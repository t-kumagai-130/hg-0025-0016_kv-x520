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83ACFCD8-1CED-444C-9557-836157767CD9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" l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59" i="3"/>
  <c r="F60" i="3" s="1"/>
  <c r="F61" i="3" s="1"/>
  <c r="F62" i="3" s="1"/>
  <c r="H12" i="3"/>
  <c r="E62" i="1" l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E67" i="1" l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E68" i="1" l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E77" i="1" l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E78" i="1" l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E87" i="1" l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E92" i="1" l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C94" i="1" l="1"/>
  <c r="D93" i="1"/>
  <c r="C86" i="1"/>
  <c r="D86" i="1" s="1"/>
  <c r="D85" i="1"/>
  <c r="C90" i="1"/>
  <c r="D89" i="1"/>
  <c r="H20" i="3"/>
  <c r="C91" i="1" l="1"/>
  <c r="D91" i="1" s="1"/>
  <c r="D90" i="1"/>
  <c r="C95" i="1"/>
  <c r="D94" i="1"/>
  <c r="H21" i="3"/>
  <c r="C96" i="1" l="1"/>
  <c r="D95" i="1"/>
  <c r="H22" i="3"/>
  <c r="D96" i="1" l="1"/>
  <c r="H23" i="3"/>
  <c r="E102" i="1" l="1"/>
  <c r="D102" i="1"/>
  <c r="D104" i="1"/>
  <c r="E104" i="1"/>
  <c r="H24" i="3"/>
  <c r="H25" i="3" l="1"/>
  <c r="H26" i="3" l="1"/>
  <c r="H27" i="3" l="1"/>
  <c r="H28" i="3" l="1"/>
  <c r="H29" i="3" l="1"/>
  <c r="H30" i="3" l="1"/>
  <c r="H31" i="3" l="1"/>
  <c r="H32" i="3" l="1"/>
  <c r="H33" i="3" l="1"/>
  <c r="H34" i="3" l="1"/>
  <c r="H35" i="3" l="1"/>
  <c r="H36" i="3" l="1"/>
  <c r="H37" i="3" l="1"/>
  <c r="H38" i="3" l="1"/>
  <c r="H39" i="3" l="1"/>
  <c r="H40" i="3" l="1"/>
  <c r="H98" i="3" l="1"/>
  <c r="H41" i="3"/>
  <c r="H100" i="3" l="1"/>
  <c r="H92" i="3"/>
  <c r="H94" i="3"/>
  <c r="H96" i="3"/>
  <c r="H101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9" i="3"/>
  <c r="H97" i="3"/>
  <c r="H102" i="3" l="1"/>
  <c r="H103" i="3" l="1"/>
  <c r="H104" i="3" l="1"/>
  <c r="H105" i="3" l="1"/>
  <c r="H106" i="3" l="1"/>
  <c r="H107" i="3" l="1"/>
  <c r="H108" i="3" l="1"/>
  <c r="H109" i="3" l="1"/>
  <c r="H110" i="3" l="1"/>
  <c r="H111" i="3" l="1"/>
  <c r="H112" i="3" l="1"/>
  <c r="H113" i="3" l="1"/>
  <c r="H114" i="3" l="1"/>
  <c r="H115" i="3" l="1"/>
  <c r="H116" i="3" l="1"/>
  <c r="H117" i="3" l="1"/>
  <c r="H118" i="3" l="1"/>
  <c r="H119" i="3" l="1"/>
  <c r="H120" i="3" l="1"/>
  <c r="H121" i="3" l="1"/>
  <c r="H122" i="3" l="1"/>
  <c r="H123" i="3" l="1"/>
  <c r="H124" i="3" l="1"/>
  <c r="H125" i="3" l="1"/>
  <c r="H126" i="3" l="1"/>
  <c r="H127" i="3" l="1"/>
  <c r="H128" i="3" l="1"/>
  <c r="H129" i="3" l="1"/>
  <c r="H130" i="3" l="1"/>
  <c r="H131" i="3" l="1"/>
  <c r="H132" i="3" l="1"/>
  <c r="H133" i="3" l="1"/>
  <c r="H134" i="3" l="1"/>
  <c r="H135" i="3" l="1"/>
  <c r="H136" i="3" l="1"/>
  <c r="H137" i="3" l="1"/>
  <c r="H138" i="3" l="1"/>
  <c r="H139" i="3" l="1"/>
  <c r="H140" i="3" l="1"/>
  <c r="H141" i="3" l="1"/>
  <c r="H142" i="3" l="1"/>
  <c r="H143" i="3" l="1"/>
  <c r="H144" i="3" l="1"/>
  <c r="H145" i="3" l="1"/>
  <c r="H146" i="3" l="1"/>
  <c r="H147" i="3" l="1"/>
  <c r="H148" i="3" l="1"/>
  <c r="H149" i="3" l="1"/>
  <c r="H150" i="3" l="1"/>
  <c r="H151" i="3" l="1"/>
  <c r="H152" i="3" l="1"/>
  <c r="H153" i="3" l="1"/>
  <c r="H154" i="3" l="1"/>
  <c r="H155" i="3" l="1"/>
  <c r="H156" i="3" l="1"/>
  <c r="H157" i="3" l="1"/>
  <c r="H158" i="3" l="1"/>
  <c r="H159" i="3" l="1"/>
  <c r="H160" i="3" l="1"/>
  <c r="H161" i="3" l="1"/>
  <c r="H162" i="3" l="1"/>
  <c r="H163" i="3" l="1"/>
  <c r="H164" i="3" l="1"/>
  <c r="H165" i="3" l="1"/>
  <c r="H166" i="3" l="1"/>
  <c r="H167" i="3" l="1"/>
  <c r="H168" i="3" l="1"/>
  <c r="H169" i="3" l="1"/>
  <c r="H170" i="3" l="1"/>
  <c r="H171" i="3" l="1"/>
  <c r="H172" i="3" l="1"/>
  <c r="H173" i="3" l="1"/>
  <c r="H174" i="3" l="1"/>
  <c r="H175" i="3" l="1"/>
  <c r="H176" i="3" l="1"/>
  <c r="H177" i="3" l="1"/>
  <c r="H178" i="3" l="1"/>
  <c r="H179" i="3" l="1"/>
  <c r="H180" i="3" l="1"/>
  <c r="H181" i="3" l="1"/>
  <c r="H182" i="3" l="1"/>
  <c r="H183" i="3" l="1"/>
  <c r="H184" i="3" l="1"/>
  <c r="H185" i="3" l="1"/>
  <c r="H186" i="3" l="1"/>
  <c r="H187" i="3" l="1"/>
  <c r="H188" i="3" l="1"/>
  <c r="H189" i="3" l="1"/>
  <c r="H190" i="3" l="1"/>
  <c r="H191" i="3" l="1"/>
  <c r="H192" i="3" l="1"/>
  <c r="H193" i="3" l="1"/>
  <c r="H194" i="3" l="1"/>
  <c r="H195" i="3" l="1"/>
  <c r="H196" i="3" l="1"/>
  <c r="H197" i="3" l="1"/>
  <c r="H198" i="3" l="1"/>
  <c r="H199" i="3" l="1"/>
  <c r="H200" i="3" l="1"/>
  <c r="H201" i="3" l="1"/>
  <c r="H202" i="3" l="1"/>
  <c r="J3" i="3" s="1" a="1"/>
  <c r="J3" i="3" l="1"/>
  <c r="Q3" i="3" s="1" a="1"/>
  <c r="Q3" i="3" s="1"/>
  <c r="R3" i="3" s="1" a="1"/>
  <c r="R3" i="3" s="1"/>
  <c r="K3" i="3" a="1"/>
  <c r="K3" i="3" s="1"/>
  <c r="O3" i="3" a="1"/>
  <c r="O3" i="3" s="1"/>
  <c r="P3" i="3" s="1" a="1"/>
  <c r="P3" i="3" s="1"/>
  <c r="I4" i="3" a="1"/>
  <c r="I4" i="3" s="1"/>
  <c r="L3" i="3" l="1" a="1"/>
  <c r="L3" i="3" s="1"/>
  <c r="Z3" i="3" l="1" a="1"/>
  <c r="N3" i="3" a="1"/>
  <c r="N3" i="3" s="1"/>
  <c r="Z3" i="3" l="1"/>
  <c r="AA3" i="3" a="1"/>
  <c r="AA3" i="3" s="1"/>
  <c r="AB3" i="3" l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l="1" a="1"/>
  <c r="AL3" i="3" s="1"/>
  <c r="AM3" i="3" l="1" a="1"/>
  <c r="AM3" i="3" s="1"/>
  <c r="AM205" i="3" s="1"/>
  <c r="B1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<sst xmlns="http://schemas.openxmlformats.org/spreadsheetml/2006/main" count="213" uniqueCount="98">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</sst>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1" xfId="0" applyFont="1" applyBorder="1">
      <alignment vertical="center"/>
    </xf>
    <xf numFmtId="0" fontId="0" fillId="0" borderId="4" xfId="0" applyFont="1" applyBorder="1">
      <alignment vertical="center"/>
    </xf>
  </cellXfs>
  <cellStyles count="1">
    <cellStyle name="標準" xfId="0" builtinId="0"/>
  </cellStyles>
  <dxfs count="5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workbookViewId="0">
      <pane xSplit="5" ySplit="1" topLeftCell="F17" activePane="bottomRight" state="frozen"/>
      <selection pane="topRight" activeCell="D1" sqref="D1"/>
      <selection pane="bottomLeft" activeCell="A2" sqref="A2"/>
      <selection pane="bottomRight" activeCell="H40" sqref="H40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31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:E49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:E54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:E59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:E64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32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32"/>
      <c r="C38" s="26">
        <f t="shared" ref="C38" si="27">C37</f>
        <v>8</v>
      </c>
      <c r="D38" s="26" t="str">
        <f t="shared" si="0"/>
        <v>8</v>
      </c>
      <c r="E38" s="4">
        <f t="shared" ref="E38:E69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32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:E74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:E79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:E96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:E96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6" si="47">C62</f>
        <v>13</v>
      </c>
      <c r="D63" s="4" t="str">
        <f t="shared" si="0"/>
        <v>13</v>
      </c>
      <c r="E63" s="4">
        <f t="shared" ref="E63:E96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:E96" si="51">E67+1</f>
        <v>2</v>
      </c>
      <c r="F68" s="5"/>
      <c r="G68" s="5"/>
      <c r="H68" s="5" t="s">
        <v>82</v>
      </c>
      <c r="I68" s="5" t="s">
        <v>84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82</v>
      </c>
      <c r="I69" s="5" t="s">
        <v>84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82</v>
      </c>
      <c r="I70" s="5" t="s">
        <v>84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:E96" si="53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:E96" si="57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:E96" si="59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:E96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Y17" sqref="Y17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待機位置</v>
      </c>
      <c r="L3" t="str" cm="1">
        <f t="array" aca="1" ref="L3:L202" ca="1">IF(LEN(_xlfn.ANCHORARRAY($J3)),IF(LEN(_xlfn.ANCHORARRAY(K3)),_xlfn.ANCHORARRAY(K3),"unknown"),"")</f>
        <v>待機位置</v>
      </c>
      <c r="N3" t="str" cm="1">
        <f t="array" aca="1" ref="N3:N202" ca="1">IF(LEN(_xlfn.ANCHORARRAY(L3)),"【"&amp;G3:G202&amp;H3:H202&amp;"】 "&amp;_xlfn.ANCHORARRAY(L3),"")</f>
        <v>【11】 待機位置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//待機位置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C:\tk\prj\hg-0025-0016\git\kv-x520\doc\[kv_script_Pos_info.xlsx]info_script によって生成されました。</v>
      </c>
      <c r="F5">
        <f t="shared" ref="F5:G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:G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:G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:G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(予約)</v>
      </c>
      <c r="L42" t="str">
        <f ca="1"/>
        <v>(予約)</v>
      </c>
      <c r="N42" t="str">
        <f ca="1"/>
        <v>【85】 (予約)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//(予約)
	ELSIF uiInfoIdx = 5 THEN</v>
      </c>
      <c r="AC42" t="str">
        <f ca="1"/>
        <v xml:space="preserve">
	//(予約)
	ELSIF uiInfoIdx = 5 THEN
		IF strInfoKey = 'name' THEN</v>
      </c>
      <c r="AD42" t="str">
        <f ca="1"/>
        <v xml:space="preserve">
	//(予約)
	ELSIF uiInfoIdx = 5 THEN
		IF strInfoKey = 'name' THEN
			strRt	:= '(予約)';</v>
      </c>
      <c r="AE42" t="str">
        <f ca="1"/>
        <v xml:space="preserve">
	//(予約)
	ELSIF uiInfoIdx = 5 THEN
		IF strInfoKey = 'name' THEN
			strRt	:= '(予約)';
		ELSIF strInfoKey = 'index_name' THEN</v>
      </c>
      <c r="AF42" t="str">
        <f ca="1"/>
        <v xml:space="preserve">
	//(予約)
	ELSIF uiInfoIdx = 5 THEN
		IF strInfoKey = 'name' THEN
			strRt	:= '(予約)';
		ELSIF strInfoKey = 'index_name' THEN
			strRt	:= '【85】 (予約)';</v>
      </c>
      <c r="AG42" t="str">
        <f ca="1"/>
        <v xml:space="preserve">
	//(予約)
	ELSIF uiInfoIdx = 5 THEN
		IF strInfoKey = 'name' THEN
			strRt	:= '(予約)';
		ELSIF strInfoKey = 'index_name' THEN
			strRt	:= '【85】 (予約)';
		ELSIF strInfoKey = 'model' THEN</v>
      </c>
      <c r="AH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</v>
      </c>
      <c r="AI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</v>
      </c>
      <c r="AJ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</v>
      </c>
      <c r="AK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</v>
      </c>
      <c r="AL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:G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待機位置</v>
      </c>
      <c r="L43" t="str">
        <f ca="1"/>
        <v>待機位置</v>
      </c>
      <c r="N43" t="str">
        <f ca="1"/>
        <v>【91】 待機位置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//待機位置
	IF uiInfoIdx = 1 THEN</v>
      </c>
      <c r="AC43" t="str">
        <f ca="1"/>
        <v xml:space="preserve">
//9
ELSIF strInfoType = 9 THEN
	//待機位置
	IF uiInfoIdx = 1 THEN
		IF strInfoKey = 'name' THEN</v>
      </c>
      <c r="AD43" t="str">
        <f ca="1"/>
        <v xml:space="preserve">
//9
ELSIF strInfoType = 9 THEN
	//待機位置
	IF uiInfoIdx = 1 THEN
		IF strInfoKey = 'name' THEN
			strRt	:= '待機位置';</v>
      </c>
      <c r="AE43" t="str">
        <f ca="1"/>
        <v xml:space="preserve">
//9
ELSIF strInfoType = 9 THEN
	//待機位置
	IF uiInfoIdx = 1 THEN
		IF strInfoKey = 'name' THEN
			strRt	:= '待機位置';
		ELSIF strInfoKey = 'index_name' THEN</v>
      </c>
      <c r="AF43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3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押え位置</v>
      </c>
      <c r="L44" t="str">
        <f ca="1"/>
        <v>押え位置</v>
      </c>
      <c r="N44" t="str">
        <f ca="1"/>
        <v>【92】 押え位置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//押え位置
	ELSIF uiInfoIdx = 2 THEN</v>
      </c>
      <c r="AC44" t="str">
        <f ca="1"/>
        <v xml:space="preserve">
	//押え位置
	ELSIF uiInfoIdx = 2 THEN
		IF strInfoKey = 'name' THEN</v>
      </c>
      <c r="AD44" t="str">
        <f ca="1"/>
        <v xml:space="preserve">
	//押え位置
	ELSIF uiInfoIdx = 2 THEN
		IF strInfoKey = 'name' THEN
			strRt	:= '押え位置';</v>
      </c>
      <c r="AE44" t="str">
        <f ca="1"/>
        <v xml:space="preserve">
	//押え位置
	ELSIF uiInfoIdx = 2 THEN
		IF strInfoKey = 'name' THEN
			strRt	:= '押え位置';
		ELSIF strInfoKey = 'index_name' THEN</v>
      </c>
      <c r="AF44" t="str">
        <f ca="1"/>
        <v xml:space="preserve">
	//押え位置
	ELSIF uiInfoIdx = 2 THEN
		IF strInfoKey = 'name' THEN
			strRt	:= '押え位置';
		ELSIF strInfoKey = 'index_name' THEN
			strRt	:= '【92】 押え位置';</v>
      </c>
      <c r="AG44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4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押込み位置</v>
      </c>
      <c r="L45" t="str">
        <f ca="1"/>
        <v>押込み位置</v>
      </c>
      <c r="N45" t="str">
        <f ca="1"/>
        <v>【93】 押込み位置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//押込み位置
	ELSIF uiInfoIdx = 3 THEN</v>
      </c>
      <c r="AC45" t="str">
        <f ca="1"/>
        <v xml:space="preserve">
	//押込み位置
	ELSIF uiInfoIdx = 3 THEN
		IF strInfoKey = 'name' THEN</v>
      </c>
      <c r="AD45" t="str">
        <f ca="1"/>
        <v xml:space="preserve">
	//押込み位置
	ELSIF uiInfoIdx = 3 THEN
		IF strInfoKey = 'name' THEN
			strRt	:= '押込み位置';</v>
      </c>
      <c r="AE45" t="str">
        <f ca="1"/>
        <v xml:space="preserve">
	//押込み位置
	ELSIF uiInfoIdx = 3 THEN
		IF strInfoKey = 'name' THEN
			strRt	:= '押込み位置';
		ELSIF strInfoKey = 'index_name' THEN</v>
      </c>
      <c r="AF45" t="str">
        <f ca="1"/>
        <v xml:space="preserve">
	//押込み位置
	ELSIF uiInfoIdx = 3 THEN
		IF strInfoKey = 'name' THEN
			strRt	:= '押込み位置';
		ELSIF strInfoKey = 'index_name' THEN
			strRt	:= '【93】 押込み位置';</v>
      </c>
      <c r="AG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5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箔ロウ受入れ位置</v>
      </c>
      <c r="L46" t="str">
        <f ca="1"/>
        <v>箔ロウ受入れ位置</v>
      </c>
      <c r="N46" t="str">
        <f ca="1"/>
        <v>【94】 箔ロウ受入れ位置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//箔ロウ受入れ位置
	ELSIF uiInfoIdx = 4 THEN</v>
      </c>
      <c r="AC46" t="str">
        <f ca="1"/>
        <v xml:space="preserve">
	//箔ロウ受入れ位置
	ELSIF uiInfoIdx = 4 THEN
		IF strInfoKey = 'name' THEN</v>
      </c>
      <c r="AD46" t="str">
        <f ca="1"/>
        <v xml:space="preserve">
	//箔ロウ受入れ位置
	ELSIF uiInfoIdx = 4 THEN
		IF strInfoKey = 'name' THEN
			strRt	:= '箔ロウ受入れ位置';</v>
      </c>
      <c r="AE46" t="str">
        <f ca="1"/>
        <v xml:space="preserve">
	//箔ロウ受入れ位置
	ELSIF uiInfoIdx = 4 THEN
		IF strInfoKey = 'name' THEN
			strRt	:= '箔ロウ受入れ位置';
		ELSIF strInfoKey = 'index_name' THEN</v>
      </c>
      <c r="AF46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6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(予約)</v>
      </c>
      <c r="L47" t="str">
        <f ca="1"/>
        <v>(予約)</v>
      </c>
      <c r="N47" t="str">
        <f ca="1"/>
        <v>【95】 (予約)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//(予約)
	ELSIF uiInfoIdx = 5 THEN</v>
      </c>
      <c r="AC47" t="str">
        <f ca="1"/>
        <v xml:space="preserve">
	//(予約)
	ELSIF uiInfoIdx = 5 THEN
		IF strInfoKey = 'name' THEN</v>
      </c>
      <c r="AD47" t="str">
        <f ca="1"/>
        <v xml:space="preserve">
	//(予約)
	ELSIF uiInfoIdx = 5 THEN
		IF strInfoKey = 'name' THEN
			strRt	:= '(予約)';</v>
      </c>
      <c r="AE47" t="str">
        <f ca="1"/>
        <v xml:space="preserve">
	//(予約)
	ELSIF uiInfoIdx = 5 THEN
		IF strInfoKey = 'name' THEN
			strRt	:= '(予約)';
		ELSIF strInfoKey = 'index_name' THEN</v>
      </c>
      <c r="AF47" t="str">
        <f ca="1"/>
        <v xml:space="preserve">
	//(予約)
	ELSIF uiInfoIdx = 5 THEN
		IF strInfoKey = 'name' THEN
			strRt	:= '(予約)';
		ELSIF strInfoKey = 'index_name' THEN
			strRt	:= '【95】 (予約)';</v>
      </c>
      <c r="AG47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:G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待機位置</v>
      </c>
      <c r="L48" t="str">
        <f ca="1"/>
        <v>待機位置</v>
      </c>
      <c r="N48" t="str">
        <f ca="1"/>
        <v>【101】 待機位置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//待機位置
	IF uiInfoIdx = 1 THEN</v>
      </c>
      <c r="AC48" t="str">
        <f ca="1"/>
        <v xml:space="preserve">
//10
ELSIF strInfoType = 10 THEN
	//待機位置
	IF uiInfoIdx = 1 THEN
		IF strInfoKey = 'name' THEN</v>
      </c>
      <c r="AD48" t="str">
        <f ca="1"/>
        <v xml:space="preserve">
//10
ELSIF strInfoType = 10 THEN
	//待機位置
	IF uiInfoIdx = 1 THEN
		IF strInfoKey = 'name' THEN
			strRt	:= '待機位置';</v>
      </c>
      <c r="AE48" t="str">
        <f ca="1"/>
        <v xml:space="preserve">
//10
ELSIF strInfoType = 10 THEN
	//待機位置
	IF uiInfoIdx = 1 THEN
		IF strInfoKey = 'name' THEN
			strRt	:= '待機位置';
		ELSIF strInfoKey = 'index_name' THEN</v>
      </c>
      <c r="AF48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(予約)</v>
      </c>
      <c r="L49" t="str">
        <f ca="1"/>
        <v>(予約)</v>
      </c>
      <c r="N49" t="str">
        <f ca="1"/>
        <v>【102】 (予約)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//(予約)
	ELSIF uiInfoIdx = 2 THEN</v>
      </c>
      <c r="AC49" t="str">
        <f ca="1"/>
        <v xml:space="preserve">
	//(予約)
	ELSIF uiInfoIdx = 2 THEN
		IF strInfoKey = 'name' THEN</v>
      </c>
      <c r="AD49" t="str">
        <f ca="1"/>
        <v xml:space="preserve">
	//(予約)
	ELSIF uiInfoIdx = 2 THEN
		IF strInfoKey = 'name' THEN
			strRt	:= '(予約)';</v>
      </c>
      <c r="AE49" t="str">
        <f ca="1"/>
        <v xml:space="preserve">
	//(予約)
	ELSIF uiInfoIdx = 2 THEN
		IF strInfoKey = 'name' THEN
			strRt	:= '(予約)';
		ELSIF strInfoKey = 'index_name' THEN</v>
      </c>
      <c r="AF49" t="str">
        <f ca="1"/>
        <v xml:space="preserve">
	//(予約)
	ELSIF uiInfoIdx = 2 THEN
		IF strInfoKey = 'name' THEN
			strRt	:= '(予約)';
		ELSIF strInfoKey = 'index_name' THEN
			strRt	:= '【102】 (予約)';</v>
      </c>
      <c r="AG49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49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【103】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3 THEN</v>
      </c>
      <c r="AC50" t="str">
        <f ca="1"/>
        <v xml:space="preserve">
	//(予約)
	ELSIF uiInfoIdx = 3 THEN
		IF strInfoKey = 'name' THEN</v>
      </c>
      <c r="AD50" t="str">
        <f ca="1"/>
        <v xml:space="preserve">
	//(予約)
	ELSIF uiInfoIdx = 3 THEN
		IF strInfoKey = 'name' THEN
			strRt	:= '(予約)';</v>
      </c>
      <c r="AE50" t="str">
        <f ca="1"/>
        <v xml:space="preserve">
	//(予約)
	ELSIF uiInfoIdx = 3 THEN
		IF strInfoKey = 'name' THEN
			strRt	:= '(予約)';
		ELSIF strInfoKey = 'index_name' THEN</v>
      </c>
      <c r="AF50" t="str">
        <f ca="1"/>
        <v xml:space="preserve">
	//(予約)
	ELSIF uiInfoIdx = 3 THEN
		IF strInfoKey = 'name' THEN
			strRt	:= '(予約)';
		ELSIF strInfoKey = 'index_name' THEN
			strRt	:= '【103】 (予約)';</v>
      </c>
      <c r="AG50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【104】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4 THEN</v>
      </c>
      <c r="AC51" t="str">
        <f ca="1"/>
        <v xml:space="preserve">
	//(予約)
	ELSIF uiInfoIdx = 4 THEN
		IF strInfoKey = 'name' THEN</v>
      </c>
      <c r="AD51" t="str">
        <f ca="1"/>
        <v xml:space="preserve">
	//(予約)
	ELSIF uiInfoIdx = 4 THEN
		IF strInfoKey = 'name' THEN
			strRt	:= '(予約)';</v>
      </c>
      <c r="AE51" t="str">
        <f ca="1"/>
        <v xml:space="preserve">
	//(予約)
	ELSIF uiInfoIdx = 4 THEN
		IF strInfoKey = 'name' THEN
			strRt	:= '(予約)';
		ELSIF strInfoKey = 'index_name' THEN</v>
      </c>
      <c r="AF51" t="str">
        <f ca="1"/>
        <v xml:space="preserve">
	//(予約)
	ELSIF uiInfoIdx = 4 THEN
		IF strInfoKey = 'name' THEN
			strRt	:= '(予約)';
		ELSIF strInfoKey = 'index_name' THEN
			strRt	:= '【104】 (予約)';</v>
      </c>
      <c r="AG51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【105】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5 THEN</v>
      </c>
      <c r="AC52" t="str">
        <f ca="1"/>
        <v xml:space="preserve">
	//(予約)
	ELSIF uiInfoIdx = 5 THEN
		IF strInfoKey = 'name' THEN</v>
      </c>
      <c r="AD52" t="str">
        <f ca="1"/>
        <v xml:space="preserve">
	//(予約)
	ELSIF uiInfoIdx = 5 THEN
		IF strInfoKey = 'name' THEN
			strRt	:= '(予約)';</v>
      </c>
      <c r="AE52" t="str">
        <f ca="1"/>
        <v xml:space="preserve">
	//(予約)
	ELSIF uiInfoIdx = 5 THEN
		IF strInfoKey = 'name' THEN
			strRt	:= '(予約)';
		ELSIF strInfoKey = 'index_name' THEN</v>
      </c>
      <c r="AF52" t="str">
        <f ca="1"/>
        <v xml:space="preserve">
	//(予約)
	ELSIF uiInfoIdx = 5 THEN
		IF strInfoKey = 'name' THEN
			strRt	:= '(予約)';
		ELSIF strInfoKey = 'index_name' THEN
			strRt	:= '【105】 (予約)';</v>
      </c>
      <c r="AG52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:G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待機位置</v>
      </c>
      <c r="L53" t="str">
        <f ca="1"/>
        <v>待機位置</v>
      </c>
      <c r="N53" t="str">
        <f ca="1"/>
        <v>【111】 待機位置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//待機位置
	IF uiInfoIdx = 1 THEN</v>
      </c>
      <c r="AC53" t="str">
        <f ca="1"/>
        <v xml:space="preserve">
//11
ELSIF strInfoType = 11 THEN
	//待機位置
	IF uiInfoIdx = 1 THEN
		IF strInfoKey = 'name' THEN</v>
      </c>
      <c r="AD53" t="str">
        <f ca="1"/>
        <v xml:space="preserve">
//11
ELSIF strInfoType = 11 THEN
	//待機位置
	IF uiInfoIdx = 1 THEN
		IF strInfoKey = 'name' THEN
			strRt	:= '待機位置';</v>
      </c>
      <c r="AE53" t="str">
        <f ca="1"/>
        <v xml:space="preserve">
//11
ELSIF strInfoType = 11 THEN
	//待機位置
	IF uiInfoIdx = 1 THEN
		IF strInfoKey = 'name' THEN
			strRt	:= '待機位置';
		ELSIF strInfoKey = 'index_name' THEN</v>
      </c>
      <c r="AF53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寄せ位置</v>
      </c>
      <c r="L54" t="str">
        <f ca="1"/>
        <v>寄せ位置</v>
      </c>
      <c r="N54" t="str">
        <f ca="1"/>
        <v>【112】 寄せ位置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//寄せ位置
	ELSIF uiInfoIdx = 2 THEN</v>
      </c>
      <c r="AC54" t="str">
        <f ca="1"/>
        <v xml:space="preserve">
	//寄せ位置
	ELSIF uiInfoIdx = 2 THEN
		IF strInfoKey = 'name' THEN</v>
      </c>
      <c r="AD54" t="str">
        <f ca="1"/>
        <v xml:space="preserve">
	//寄せ位置
	ELSIF uiInfoIdx = 2 THEN
		IF strInfoKey = 'name' THEN
			strRt	:= '寄せ位置';</v>
      </c>
      <c r="AE54" t="str">
        <f ca="1"/>
        <v xml:space="preserve">
	//寄せ位置
	ELSIF uiInfoIdx = 2 THEN
		IF strInfoKey = 'name' THEN
			strRt	:= '寄せ位置';
		ELSIF strInfoKey = 'index_name' THEN</v>
      </c>
      <c r="AF54" t="str">
        <f ca="1"/>
        <v xml:space="preserve">
	//寄せ位置
	ELSIF uiInfoIdx = 2 THEN
		IF strInfoKey = 'name' THEN
			strRt	:= '寄せ位置';
		ELSIF strInfoKey = 'index_name' THEN
			strRt	:= '【112】 寄せ位置';</v>
      </c>
      <c r="AG54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4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(予約)</v>
      </c>
      <c r="L55" t="str">
        <f ca="1"/>
        <v>(予約)</v>
      </c>
      <c r="N55" t="str">
        <f ca="1"/>
        <v>【113】 (予約)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//(予約)
	ELSIF uiInfoIdx = 3 THEN</v>
      </c>
      <c r="AC55" t="str">
        <f ca="1"/>
        <v xml:space="preserve">
	//(予約)
	ELSIF uiInfoIdx = 3 THEN
		IF strInfoKey = 'name' THEN</v>
      </c>
      <c r="AD55" t="str">
        <f ca="1"/>
        <v xml:space="preserve">
	//(予約)
	ELSIF uiInfoIdx = 3 THEN
		IF strInfoKey = 'name' THEN
			strRt	:= '(予約)';</v>
      </c>
      <c r="AE55" t="str">
        <f ca="1"/>
        <v xml:space="preserve">
	//(予約)
	ELSIF uiInfoIdx = 3 THEN
		IF strInfoKey = 'name' THEN
			strRt	:= '(予約)';
		ELSIF strInfoKey = 'index_name' THEN</v>
      </c>
      <c r="AF55" t="str">
        <f ca="1"/>
        <v xml:space="preserve">
	//(予約)
	ELSIF uiInfoIdx = 3 THEN
		IF strInfoKey = 'name' THEN
			strRt	:= '(予約)';
		ELSIF strInfoKey = 'index_name' THEN
			strRt	:= '【113】 (予約)';</v>
      </c>
      <c r="AG55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5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【114】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4 THEN</v>
      </c>
      <c r="AC56" t="str">
        <f ca="1"/>
        <v xml:space="preserve">
	//(予約)
	ELSIF uiInfoIdx = 4 THEN
		IF strInfoKey = 'name' THEN</v>
      </c>
      <c r="AD56" t="str">
        <f ca="1"/>
        <v xml:space="preserve">
	//(予約)
	ELSIF uiInfoIdx = 4 THEN
		IF strInfoKey = 'name' THEN
			strRt	:= '(予約)';</v>
      </c>
      <c r="AE56" t="str">
        <f ca="1"/>
        <v xml:space="preserve">
	//(予約)
	ELSIF uiInfoIdx = 4 THEN
		IF strInfoKey = 'name' THEN
			strRt	:= '(予約)';
		ELSIF strInfoKey = 'index_name' THEN</v>
      </c>
      <c r="AF56" t="str">
        <f ca="1"/>
        <v xml:space="preserve">
	//(予約)
	ELSIF uiInfoIdx = 4 THEN
		IF strInfoKey = 'name' THEN
			strRt	:= '(予約)';
		ELSIF strInfoKey = 'index_name' THEN
			strRt	:= '【114】 (予約)';</v>
      </c>
      <c r="AG56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【115】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5 THEN</v>
      </c>
      <c r="AC57" t="str">
        <f ca="1"/>
        <v xml:space="preserve">
	//(予約)
	ELSIF uiInfoIdx = 5 THEN
		IF strInfoKey = 'name' THEN</v>
      </c>
      <c r="AD57" t="str">
        <f ca="1"/>
        <v xml:space="preserve">
	//(予約)
	ELSIF uiInfoIdx = 5 THEN
		IF strInfoKey = 'name' THEN
			strRt	:= '(予約)';</v>
      </c>
      <c r="AE57" t="str">
        <f ca="1"/>
        <v xml:space="preserve">
	//(予約)
	ELSIF uiInfoIdx = 5 THEN
		IF strInfoKey = 'name' THEN
			strRt	:= '(予約)';
		ELSIF strInfoKey = 'index_name' THEN</v>
      </c>
      <c r="AF57" t="str">
        <f ca="1"/>
        <v xml:space="preserve">
	//(予約)
	ELSIF uiInfoIdx = 5 THEN
		IF strInfoKey = 'name' THEN
			strRt	:= '(予約)';
		ELSIF strInfoKey = 'index_name' THEN
			strRt	:= '【115】 (予約)';</v>
      </c>
      <c r="AG57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:G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待機位置</v>
      </c>
      <c r="L58" t="str">
        <f ca="1"/>
        <v>待機位置</v>
      </c>
      <c r="N58" t="str">
        <f ca="1"/>
        <v>【121】 待機位置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//待機位置
	IF uiInfoIdx = 1 THEN</v>
      </c>
      <c r="AC58" t="str">
        <f ca="1"/>
        <v xml:space="preserve">
//12
ELSIF strInfoType = 12 THEN
	//待機位置
	IF uiInfoIdx = 1 THEN
		IF strInfoKey = 'name' THEN</v>
      </c>
      <c r="AD58" t="str">
        <f ca="1"/>
        <v xml:space="preserve">
//12
ELSIF strInfoType = 12 THEN
	//待機位置
	IF uiInfoIdx = 1 THEN
		IF strInfoKey = 'name' THEN
			strRt	:= '待機位置';</v>
      </c>
      <c r="AE58" t="str">
        <f ca="1"/>
        <v xml:space="preserve">
//12
ELSIF strInfoType = 12 THEN
	//待機位置
	IF uiInfoIdx = 1 THEN
		IF strInfoKey = 'name' THEN
			strRt	:= '待機位置';
		ELSIF strInfoKey = 'index_name' THEN</v>
      </c>
      <c r="AF58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(予約)</v>
      </c>
      <c r="L59" t="str">
        <f ca="1"/>
        <v>(予約)</v>
      </c>
      <c r="N59" t="str">
        <f ca="1"/>
        <v>【122】 (予約)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//(予約)
	ELSIF uiInfoIdx = 2 THEN</v>
      </c>
      <c r="AC59" t="str">
        <f ca="1"/>
        <v xml:space="preserve">
	//(予約)
	ELSIF uiInfoIdx = 2 THEN
		IF strInfoKey = 'name' THEN</v>
      </c>
      <c r="AD59" t="str">
        <f ca="1"/>
        <v xml:space="preserve">
	//(予約)
	ELSIF uiInfoIdx = 2 THEN
		IF strInfoKey = 'name' THEN
			strRt	:= '(予約)';</v>
      </c>
      <c r="AE59" t="str">
        <f ca="1"/>
        <v xml:space="preserve">
	//(予約)
	ELSIF uiInfoIdx = 2 THEN
		IF strInfoKey = 'name' THEN
			strRt	:= '(予約)';
		ELSIF strInfoKey = 'index_name' THEN</v>
      </c>
      <c r="AF59" t="str">
        <f ca="1"/>
        <v xml:space="preserve">
	//(予約)
	ELSIF uiInfoIdx = 2 THEN
		IF strInfoKey = 'name' THEN
			strRt	:= '(予約)';
		ELSIF strInfoKey = 'index_name' THEN
			strRt	:= '【122】 (予約)';</v>
      </c>
      <c r="AG59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59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【123】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3 THEN</v>
      </c>
      <c r="AC60" t="str">
        <f ca="1"/>
        <v xml:space="preserve">
	//(予約)
	ELSIF uiInfoIdx = 3 THEN
		IF strInfoKey = 'name' THEN</v>
      </c>
      <c r="AD60" t="str">
        <f ca="1"/>
        <v xml:space="preserve">
	//(予約)
	ELSIF uiInfoIdx = 3 THEN
		IF strInfoKey = 'name' THEN
			strRt	:= '(予約)';</v>
      </c>
      <c r="AE60" t="str">
        <f ca="1"/>
        <v xml:space="preserve">
	//(予約)
	ELSIF uiInfoIdx = 3 THEN
		IF strInfoKey = 'name' THEN
			strRt	:= '(予約)';
		ELSIF strInfoKey = 'index_name' THEN</v>
      </c>
      <c r="AF60" t="str">
        <f ca="1"/>
        <v xml:space="preserve">
	//(予約)
	ELSIF uiInfoIdx = 3 THEN
		IF strInfoKey = 'name' THEN
			strRt	:= '(予約)';
		ELSIF strInfoKey = 'index_name' THEN
			strRt	:= '【123】 (予約)';</v>
      </c>
      <c r="AG60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【124】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4 THEN</v>
      </c>
      <c r="AC61" t="str">
        <f ca="1"/>
        <v xml:space="preserve">
	//(予約)
	ELSIF uiInfoIdx = 4 THEN
		IF strInfoKey = 'name' THEN</v>
      </c>
      <c r="AD61" t="str">
        <f ca="1"/>
        <v xml:space="preserve">
	//(予約)
	ELSIF uiInfoIdx = 4 THEN
		IF strInfoKey = 'name' THEN
			strRt	:= '(予約)';</v>
      </c>
      <c r="AE61" t="str">
        <f ca="1"/>
        <v xml:space="preserve">
	//(予約)
	ELSIF uiInfoIdx = 4 THEN
		IF strInfoKey = 'name' THEN
			strRt	:= '(予約)';
		ELSIF strInfoKey = 'index_name' THEN</v>
      </c>
      <c r="AF61" t="str">
        <f ca="1"/>
        <v xml:space="preserve">
	//(予約)
	ELSIF uiInfoIdx = 4 THEN
		IF strInfoKey = 'name' THEN
			strRt	:= '(予約)';
		ELSIF strInfoKey = 'index_name' THEN
			strRt	:= '【124】 (予約)';</v>
      </c>
      <c r="AG61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【125】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5 THEN</v>
      </c>
      <c r="AC62" t="str">
        <f ca="1"/>
        <v xml:space="preserve">
	//(予約)
	ELSIF uiInfoIdx = 5 THEN
		IF strInfoKey = 'name' THEN</v>
      </c>
      <c r="AD62" t="str">
        <f ca="1"/>
        <v xml:space="preserve">
	//(予約)
	ELSIF uiInfoIdx = 5 THEN
		IF strInfoKey = 'name' THEN
			strRt	:= '(予約)';</v>
      </c>
      <c r="AE62" t="str">
        <f ca="1"/>
        <v xml:space="preserve">
	//(予約)
	ELSIF uiInfoIdx = 5 THEN
		IF strInfoKey = 'name' THEN
			strRt	:= '(予約)';
		ELSIF strInfoKey = 'index_name' THEN</v>
      </c>
      <c r="AF62" t="str">
        <f ca="1"/>
        <v xml:space="preserve">
	//(予約)
	ELSIF uiInfoIdx = 5 THEN
		IF strInfoKey = 'name' THEN
			strRt	:= '(予約)';
		ELSIF strInfoKey = 'index_name' THEN
			strRt	:= '【125】 (予約)';</v>
      </c>
      <c r="AG62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:G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待機位置</v>
      </c>
      <c r="L63" t="str">
        <f ca="1"/>
        <v>待機位置</v>
      </c>
      <c r="N63" t="str">
        <f ca="1"/>
        <v>【131】 待機位置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//待機位置
	IF uiInfoIdx = 1 THEN</v>
      </c>
      <c r="AC63" t="str">
        <f ca="1"/>
        <v xml:space="preserve">
//13
ELSIF strInfoType = 13 THEN
	//待機位置
	IF uiInfoIdx = 1 THEN
		IF strInfoKey = 'name' THEN</v>
      </c>
      <c r="AD63" t="str">
        <f ca="1"/>
        <v xml:space="preserve">
//13
ELSIF strInfoType = 13 THEN
	//待機位置
	IF uiInfoIdx = 1 THEN
		IF strInfoKey = 'name' THEN
			strRt	:= '待機位置';</v>
      </c>
      <c r="AE63" t="str">
        <f ca="1"/>
        <v xml:space="preserve">
//13
ELSIF strInfoType = 13 THEN
	//待機位置
	IF uiInfoIdx = 1 THEN
		IF strInfoKey = 'name' THEN
			strRt	:= '待機位置';
		ELSIF strInfoKey = 'index_name' THEN</v>
      </c>
      <c r="AF63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(予約)</v>
      </c>
      <c r="L64" t="str">
        <f ca="1"/>
        <v>(予約)</v>
      </c>
      <c r="N64" t="str">
        <f ca="1"/>
        <v>【132】 (予約)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//(予約)
	ELSIF uiInfoIdx = 2 THEN</v>
      </c>
      <c r="AC64" t="str">
        <f ca="1"/>
        <v xml:space="preserve">
	//(予約)
	ELSIF uiInfoIdx = 2 THEN
		IF strInfoKey = 'name' THEN</v>
      </c>
      <c r="AD64" t="str">
        <f ca="1"/>
        <v xml:space="preserve">
	//(予約)
	ELSIF uiInfoIdx = 2 THEN
		IF strInfoKey = 'name' THEN
			strRt	:= '(予約)';</v>
      </c>
      <c r="AE64" t="str">
        <f ca="1"/>
        <v xml:space="preserve">
	//(予約)
	ELSIF uiInfoIdx = 2 THEN
		IF strInfoKey = 'name' THEN
			strRt	:= '(予約)';
		ELSIF strInfoKey = 'index_name' THEN</v>
      </c>
      <c r="AF64" t="str">
        <f ca="1"/>
        <v xml:space="preserve">
	//(予約)
	ELSIF uiInfoIdx = 2 THEN
		IF strInfoKey = 'name' THEN
			strRt	:= '(予約)';
		ELSIF strInfoKey = 'index_name' THEN
			strRt	:= '【132】 (予約)';</v>
      </c>
      <c r="AG64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4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【133】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3 THEN</v>
      </c>
      <c r="AC65" t="str">
        <f ca="1"/>
        <v xml:space="preserve">
	//(予約)
	ELSIF uiInfoIdx = 3 THEN
		IF strInfoKey = 'name' THEN</v>
      </c>
      <c r="AD65" t="str">
        <f ca="1"/>
        <v xml:space="preserve">
	//(予約)
	ELSIF uiInfoIdx = 3 THEN
		IF strInfoKey = 'name' THEN
			strRt	:= '(予約)';</v>
      </c>
      <c r="AE65" t="str">
        <f ca="1"/>
        <v xml:space="preserve">
	//(予約)
	ELSIF uiInfoIdx = 3 THEN
		IF strInfoKey = 'name' THEN
			strRt	:= '(予約)';
		ELSIF strInfoKey = 'index_name' THEN</v>
      </c>
      <c r="AF65" t="str">
        <f ca="1"/>
        <v xml:space="preserve">
	//(予約)
	ELSIF uiInfoIdx = 3 THEN
		IF strInfoKey = 'name' THEN
			strRt	:= '(予約)';
		ELSIF strInfoKey = 'index_name' THEN
			strRt	:= '【133】 (予約)';</v>
      </c>
      <c r="AG65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【134】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4 THEN</v>
      </c>
      <c r="AC66" t="str">
        <f ca="1"/>
        <v xml:space="preserve">
	//(予約)
	ELSIF uiInfoIdx = 4 THEN
		IF strInfoKey = 'name' THEN</v>
      </c>
      <c r="AD66" t="str">
        <f ca="1"/>
        <v xml:space="preserve">
	//(予約)
	ELSIF uiInfoIdx = 4 THEN
		IF strInfoKey = 'name' THEN
			strRt	:= '(予約)';</v>
      </c>
      <c r="AE66" t="str">
        <f ca="1"/>
        <v xml:space="preserve">
	//(予約)
	ELSIF uiInfoIdx = 4 THEN
		IF strInfoKey = 'name' THEN
			strRt	:= '(予約)';
		ELSIF strInfoKey = 'index_name' THEN</v>
      </c>
      <c r="AF66" t="str">
        <f ca="1"/>
        <v xml:space="preserve">
	//(予約)
	ELSIF uiInfoIdx = 4 THEN
		IF strInfoKey = 'name' THEN
			strRt	:= '(予約)';
		ELSIF strInfoKey = 'index_name' THEN
			strRt	:= '【134】 (予約)';</v>
      </c>
      <c r="AG66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/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【135】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5 THEN</v>
      </c>
      <c r="AC67" t="str">
        <f ca="1"/>
        <v xml:space="preserve">
	//(予約)
	ELSIF uiInfoIdx = 5 THEN
		IF strInfoKey = 'name' THEN</v>
      </c>
      <c r="AD67" t="str">
        <f ca="1"/>
        <v xml:space="preserve">
	//(予約)
	ELSIF uiInfoIdx = 5 THEN
		IF strInfoKey = 'name' THEN
			strRt	:= '(予約)';</v>
      </c>
      <c r="AE67" t="str">
        <f ca="1"/>
        <v xml:space="preserve">
	//(予約)
	ELSIF uiInfoIdx = 5 THEN
		IF strInfoKey = 'name' THEN
			strRt	:= '(予約)';
		ELSIF strInfoKey = 'index_name' THEN</v>
      </c>
      <c r="AF67" t="str">
        <f ca="1"/>
        <v xml:space="preserve">
	//(予約)
	ELSIF uiInfoIdx = 5 THEN
		IF strInfoKey = 'name' THEN
			strRt	:= '(予約)';
		ELSIF strInfoKey = 'index_name' THEN
			strRt	:= '【135】 (予約)';</v>
      </c>
      <c r="AG67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M67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</row>
    <row r="68" spans="6:39" x14ac:dyDescent="0.55000000000000004">
      <c r="F68">
        <f t="shared" si="1"/>
        <v>13</v>
      </c>
      <c r="G68" t="str">
        <f t="shared" ref="G68:G131" si="10">E68&amp;F68</f>
        <v>13</v>
      </c>
      <c r="H68">
        <f>COUNTIF(G$3:G68,G68)</f>
        <v>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G132" si="11">F68</f>
        <v>13</v>
      </c>
      <c r="G69" t="str">
        <f t="shared" si="10"/>
        <v>13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11"/>
        <v>13</v>
      </c>
      <c r="G70" t="str">
        <f t="shared" si="10"/>
        <v>13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11"/>
        <v>13</v>
      </c>
      <c r="G71" t="str">
        <f t="shared" si="10"/>
        <v>13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11"/>
        <v>13</v>
      </c>
      <c r="G72" t="str">
        <f t="shared" si="10"/>
        <v>13</v>
      </c>
      <c r="H72">
        <f>COUNTIF(G$3:G72,G72)</f>
        <v>10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11"/>
        <v>13</v>
      </c>
      <c r="G73" t="str">
        <f t="shared" si="10"/>
        <v>13</v>
      </c>
      <c r="H73">
        <f>COUNTIF(G$3:G73,G73)</f>
        <v>11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11"/>
        <v>13</v>
      </c>
      <c r="G74" t="str">
        <f t="shared" si="10"/>
        <v>13</v>
      </c>
      <c r="H74">
        <f>COUNTIF(G$3:G74,G74)</f>
        <v>12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11"/>
        <v>13</v>
      </c>
      <c r="G75" t="str">
        <f t="shared" si="10"/>
        <v>13</v>
      </c>
      <c r="H75">
        <f>COUNTIF(G$3:G75,G75)</f>
        <v>13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11"/>
        <v>13</v>
      </c>
      <c r="G76" t="str">
        <f t="shared" si="10"/>
        <v>13</v>
      </c>
      <c r="H76">
        <f>COUNTIF(G$3:G76,G76)</f>
        <v>14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11"/>
        <v>13</v>
      </c>
      <c r="G77" t="str">
        <f t="shared" si="10"/>
        <v>13</v>
      </c>
      <c r="H77">
        <f>COUNTIF(G$3:G77,G77)</f>
        <v>15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11"/>
        <v>13</v>
      </c>
      <c r="G78" t="str">
        <f t="shared" si="10"/>
        <v>13</v>
      </c>
      <c r="H78">
        <f>COUNTIF(G$3:G78,G78)</f>
        <v>16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11"/>
        <v>13</v>
      </c>
      <c r="G79" t="str">
        <f t="shared" si="10"/>
        <v>13</v>
      </c>
      <c r="H79">
        <f>COUNTIF(G$3:G79,G79)</f>
        <v>17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11"/>
        <v>13</v>
      </c>
      <c r="G80" t="str">
        <f t="shared" si="10"/>
        <v>13</v>
      </c>
      <c r="H80">
        <f>COUNTIF(G$3:G80,G80)</f>
        <v>18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11"/>
        <v>13</v>
      </c>
      <c r="G81" t="str">
        <f t="shared" si="10"/>
        <v>13</v>
      </c>
      <c r="H81">
        <f>COUNTIF(G$3:G81,G81)</f>
        <v>19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11"/>
        <v>13</v>
      </c>
      <c r="G82" t="str">
        <f t="shared" si="10"/>
        <v>13</v>
      </c>
      <c r="H82">
        <f>COUNTIF(G$3:G82,G82)</f>
        <v>20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11"/>
        <v>13</v>
      </c>
      <c r="G83" t="str">
        <f t="shared" si="10"/>
        <v>13</v>
      </c>
      <c r="H83">
        <f>COUNTIF(G$3:G83,G83)</f>
        <v>21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1"/>
        <v>13</v>
      </c>
      <c r="G84" t="str">
        <f t="shared" si="10"/>
        <v>13</v>
      </c>
      <c r="H84">
        <f>COUNTIF(G$3:G84,G84)</f>
        <v>22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1"/>
        <v>13</v>
      </c>
      <c r="G85" t="str">
        <f t="shared" si="10"/>
        <v>13</v>
      </c>
      <c r="H85">
        <f>COUNTIF(G$3:G85,G85)</f>
        <v>23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1"/>
        <v>13</v>
      </c>
      <c r="G86" t="str">
        <f t="shared" si="10"/>
        <v>13</v>
      </c>
      <c r="H86">
        <f>COUNTIF(G$3:G86,G86)</f>
        <v>24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1"/>
        <v>13</v>
      </c>
      <c r="G87" t="str">
        <f t="shared" si="10"/>
        <v>13</v>
      </c>
      <c r="H87">
        <f>COUNTIF(G$3:G87,G87)</f>
        <v>25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1"/>
        <v>13</v>
      </c>
      <c r="G88" t="str">
        <f t="shared" si="10"/>
        <v>13</v>
      </c>
      <c r="H88">
        <f>COUNTIF(G$3:G88,G88)</f>
        <v>26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1"/>
        <v>13</v>
      </c>
      <c r="G89" t="str">
        <f t="shared" si="10"/>
        <v>13</v>
      </c>
      <c r="H89">
        <f>COUNTIF(G$3:G89,G89)</f>
        <v>27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1"/>
        <v>13</v>
      </c>
      <c r="G90" t="str">
        <f t="shared" si="10"/>
        <v>13</v>
      </c>
      <c r="H90">
        <f>COUNTIF(G$3:G90,G90)</f>
        <v>28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1"/>
        <v>13</v>
      </c>
      <c r="G91" t="str">
        <f t="shared" si="10"/>
        <v>13</v>
      </c>
      <c r="H91">
        <f>COUNTIF(G$3:G91,G91)</f>
        <v>29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1"/>
        <v>13</v>
      </c>
      <c r="G92" t="str">
        <f t="shared" si="10"/>
        <v>13</v>
      </c>
      <c r="H92">
        <f>COUNTIF(G$3:G92,G92)</f>
        <v>30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1"/>
        <v>13</v>
      </c>
      <c r="G93" t="str">
        <f t="shared" si="10"/>
        <v>13</v>
      </c>
      <c r="H93">
        <f>COUNTIF(G$3:G93,G93)</f>
        <v>31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1"/>
        <v>13</v>
      </c>
      <c r="G94" t="str">
        <f t="shared" si="10"/>
        <v>13</v>
      </c>
      <c r="H94">
        <f>COUNTIF(G$3:G94,G94)</f>
        <v>32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1"/>
        <v>13</v>
      </c>
      <c r="G95" t="str">
        <f t="shared" si="10"/>
        <v>13</v>
      </c>
      <c r="H95">
        <f>COUNTIF(G$3:G95,G95)</f>
        <v>33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1"/>
        <v>13</v>
      </c>
      <c r="G96" t="str">
        <f t="shared" si="10"/>
        <v>13</v>
      </c>
      <c r="H96">
        <f>COUNTIF(G$3:G96,G96)</f>
        <v>34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1"/>
        <v>13</v>
      </c>
      <c r="G97" t="str">
        <f t="shared" si="10"/>
        <v>13</v>
      </c>
      <c r="H97">
        <f>COUNTIF(G$3:G97,G97)</f>
        <v>35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1"/>
        <v>13</v>
      </c>
      <c r="G98" t="str">
        <f t="shared" si="10"/>
        <v>13</v>
      </c>
      <c r="H98">
        <f>COUNTIF(G$3:G98,G98)</f>
        <v>36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1"/>
        <v>13</v>
      </c>
      <c r="G99" t="str">
        <f t="shared" si="10"/>
        <v>13</v>
      </c>
      <c r="H99">
        <f>COUNTIF(G$3:G99,G99)</f>
        <v>37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1"/>
        <v>13</v>
      </c>
      <c r="G100" t="str">
        <f t="shared" si="10"/>
        <v>13</v>
      </c>
      <c r="H100">
        <f>COUNTIF(G$3:G100,G100)</f>
        <v>38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1"/>
        <v>13</v>
      </c>
      <c r="G101" t="str">
        <f t="shared" si="10"/>
        <v>13</v>
      </c>
      <c r="H101">
        <f>COUNTIF(G$3:G101,G101)</f>
        <v>39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1"/>
        <v>13</v>
      </c>
      <c r="G102" t="str">
        <f t="shared" si="10"/>
        <v>13</v>
      </c>
      <c r="H102">
        <f>COUNTIF(G$3:G102,G102)</f>
        <v>40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1"/>
        <v>13</v>
      </c>
      <c r="G103" t="str">
        <f t="shared" si="10"/>
        <v>13</v>
      </c>
      <c r="H103">
        <f>COUNTIF(G$3:G103,G103)</f>
        <v>41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1"/>
        <v>13</v>
      </c>
      <c r="G104" t="str">
        <f t="shared" si="10"/>
        <v>13</v>
      </c>
      <c r="H104">
        <f>COUNTIF(G$3:G104,G104)</f>
        <v>42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1"/>
        <v>13</v>
      </c>
      <c r="G105" t="str">
        <f t="shared" si="10"/>
        <v>13</v>
      </c>
      <c r="H105">
        <f>COUNTIF(G$3:G105,G105)</f>
        <v>43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1"/>
        <v>13</v>
      </c>
      <c r="G106" t="str">
        <f t="shared" si="10"/>
        <v>13</v>
      </c>
      <c r="H106">
        <f>COUNTIF(G$3:G106,G106)</f>
        <v>44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1"/>
        <v>13</v>
      </c>
      <c r="G107" t="str">
        <f t="shared" si="10"/>
        <v>13</v>
      </c>
      <c r="H107">
        <f>COUNTIF(G$3:G107,G107)</f>
        <v>45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1"/>
        <v>13</v>
      </c>
      <c r="G108" t="str">
        <f t="shared" si="10"/>
        <v>13</v>
      </c>
      <c r="H108">
        <f>COUNTIF(G$3:G108,G108)</f>
        <v>46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1"/>
        <v>13</v>
      </c>
      <c r="G109" t="str">
        <f t="shared" si="10"/>
        <v>13</v>
      </c>
      <c r="H109">
        <f>COUNTIF(G$3:G109,G109)</f>
        <v>47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1"/>
        <v>13</v>
      </c>
      <c r="G110" t="str">
        <f t="shared" si="10"/>
        <v>13</v>
      </c>
      <c r="H110">
        <f>COUNTIF(G$3:G110,G110)</f>
        <v>48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1"/>
        <v>13</v>
      </c>
      <c r="G111" t="str">
        <f t="shared" si="10"/>
        <v>13</v>
      </c>
      <c r="H111">
        <f>COUNTIF(G$3:G111,G111)</f>
        <v>49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1"/>
        <v>13</v>
      </c>
      <c r="G112" t="str">
        <f t="shared" si="10"/>
        <v>13</v>
      </c>
      <c r="H112">
        <f>COUNTIF(G$3:G112,G112)</f>
        <v>50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1"/>
        <v>13</v>
      </c>
      <c r="G113" t="str">
        <f t="shared" si="10"/>
        <v>13</v>
      </c>
      <c r="H113">
        <f>COUNTIF(G$3:G113,G113)</f>
        <v>51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1"/>
        <v>13</v>
      </c>
      <c r="G114" t="str">
        <f t="shared" si="10"/>
        <v>13</v>
      </c>
      <c r="H114">
        <f>COUNTIF(G$3:G114,G114)</f>
        <v>52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1"/>
        <v>13</v>
      </c>
      <c r="G115" t="str">
        <f t="shared" si="10"/>
        <v>13</v>
      </c>
      <c r="H115">
        <f>COUNTIF(G$3:G115,G115)</f>
        <v>53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1"/>
        <v>13</v>
      </c>
      <c r="G116" t="str">
        <f t="shared" si="10"/>
        <v>13</v>
      </c>
      <c r="H116">
        <f>COUNTIF(G$3:G116,G116)</f>
        <v>54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1"/>
        <v>13</v>
      </c>
      <c r="G117" t="str">
        <f t="shared" si="10"/>
        <v>13</v>
      </c>
      <c r="H117">
        <f>COUNTIF(G$3:G117,G117)</f>
        <v>55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1"/>
        <v>13</v>
      </c>
      <c r="G118" t="str">
        <f t="shared" si="10"/>
        <v>13</v>
      </c>
      <c r="H118">
        <f>COUNTIF(G$3:G118,G118)</f>
        <v>56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1"/>
        <v>13</v>
      </c>
      <c r="G119" t="str">
        <f t="shared" si="10"/>
        <v>13</v>
      </c>
      <c r="H119">
        <f>COUNTIF(G$3:G119,G119)</f>
        <v>57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1"/>
        <v>13</v>
      </c>
      <c r="G120" t="str">
        <f t="shared" si="10"/>
        <v>13</v>
      </c>
      <c r="H120">
        <f>COUNTIF(G$3:G120,G120)</f>
        <v>58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1"/>
        <v>13</v>
      </c>
      <c r="G121" t="str">
        <f t="shared" si="10"/>
        <v>13</v>
      </c>
      <c r="H121">
        <f>COUNTIF(G$3:G121,G121)</f>
        <v>59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1"/>
        <v>13</v>
      </c>
      <c r="G122" t="str">
        <f t="shared" si="10"/>
        <v>13</v>
      </c>
      <c r="H122">
        <f>COUNTIF(G$3:G122,G122)</f>
        <v>60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1"/>
        <v>13</v>
      </c>
      <c r="G123" t="str">
        <f t="shared" si="10"/>
        <v>13</v>
      </c>
      <c r="H123">
        <f>COUNTIF(G$3:G123,G123)</f>
        <v>61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1"/>
        <v>13</v>
      </c>
      <c r="G124" t="str">
        <f t="shared" si="10"/>
        <v>13</v>
      </c>
      <c r="H124">
        <f>COUNTIF(G$3:G124,G124)</f>
        <v>62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1"/>
        <v>13</v>
      </c>
      <c r="G125" t="str">
        <f t="shared" si="10"/>
        <v>13</v>
      </c>
      <c r="H125">
        <f>COUNTIF(G$3:G125,G125)</f>
        <v>63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1"/>
        <v>13</v>
      </c>
      <c r="G126" t="str">
        <f t="shared" si="10"/>
        <v>13</v>
      </c>
      <c r="H126">
        <f>COUNTIF(G$3:G126,G126)</f>
        <v>64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1"/>
        <v>13</v>
      </c>
      <c r="G127" t="str">
        <f t="shared" si="10"/>
        <v>13</v>
      </c>
      <c r="H127">
        <f>COUNTIF(G$3:G127,G127)</f>
        <v>65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1"/>
        <v>13</v>
      </c>
      <c r="G128" t="str">
        <f t="shared" si="10"/>
        <v>13</v>
      </c>
      <c r="H128">
        <f>COUNTIF(G$3:G128,G128)</f>
        <v>66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1"/>
        <v>13</v>
      </c>
      <c r="G129" t="str">
        <f t="shared" si="10"/>
        <v>13</v>
      </c>
      <c r="H129">
        <f>COUNTIF(G$3:G129,G129)</f>
        <v>67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1"/>
        <v>13</v>
      </c>
      <c r="G130" t="str">
        <f t="shared" si="10"/>
        <v>13</v>
      </c>
      <c r="H130">
        <f>COUNTIF(G$3:G130,G130)</f>
        <v>68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1"/>
        <v>13</v>
      </c>
      <c r="G131" t="str">
        <f t="shared" si="10"/>
        <v>13</v>
      </c>
      <c r="H131">
        <f>COUNTIF(G$3:G131,G131)</f>
        <v>69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1"/>
        <v>13</v>
      </c>
      <c r="G132" t="str">
        <f t="shared" ref="G132:G195" si="12">E132&amp;F132</f>
        <v>13</v>
      </c>
      <c r="H132">
        <f>COUNTIF(G$3:G132,G132)</f>
        <v>70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G196" si="13">F132</f>
        <v>13</v>
      </c>
      <c r="G133" t="str">
        <f t="shared" si="12"/>
        <v>13</v>
      </c>
      <c r="H133">
        <f>COUNTIF(G$3:G133,G133)</f>
        <v>71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3"/>
        <v>13</v>
      </c>
      <c r="G134" t="str">
        <f t="shared" si="12"/>
        <v>13</v>
      </c>
      <c r="H134">
        <f>COUNTIF(G$3:G134,G134)</f>
        <v>72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3"/>
        <v>13</v>
      </c>
      <c r="G135" t="str">
        <f t="shared" si="12"/>
        <v>13</v>
      </c>
      <c r="H135">
        <f>COUNTIF(G$3:G135,G135)</f>
        <v>73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3"/>
        <v>13</v>
      </c>
      <c r="G136" t="str">
        <f t="shared" si="12"/>
        <v>13</v>
      </c>
      <c r="H136">
        <f>COUNTIF(G$3:G136,G136)</f>
        <v>74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3"/>
        <v>13</v>
      </c>
      <c r="G137" t="str">
        <f t="shared" si="12"/>
        <v>13</v>
      </c>
      <c r="H137">
        <f>COUNTIF(G$3:G137,G137)</f>
        <v>75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3"/>
        <v>13</v>
      </c>
      <c r="G138" t="str">
        <f t="shared" si="12"/>
        <v>13</v>
      </c>
      <c r="H138">
        <f>COUNTIF(G$3:G138,G138)</f>
        <v>76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3"/>
        <v>13</v>
      </c>
      <c r="G139" t="str">
        <f t="shared" si="12"/>
        <v>13</v>
      </c>
      <c r="H139">
        <f>COUNTIF(G$3:G139,G139)</f>
        <v>77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3"/>
        <v>13</v>
      </c>
      <c r="G140" t="str">
        <f t="shared" si="12"/>
        <v>13</v>
      </c>
      <c r="H140">
        <f>COUNTIF(G$3:G140,G140)</f>
        <v>78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3"/>
        <v>13</v>
      </c>
      <c r="G141" t="str">
        <f t="shared" si="12"/>
        <v>13</v>
      </c>
      <c r="H141">
        <f>COUNTIF(G$3:G141,G141)</f>
        <v>79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3"/>
        <v>13</v>
      </c>
      <c r="G142" t="str">
        <f t="shared" si="12"/>
        <v>13</v>
      </c>
      <c r="H142">
        <f>COUNTIF(G$3:G142,G142)</f>
        <v>80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3"/>
        <v>13</v>
      </c>
      <c r="G143" t="str">
        <f t="shared" si="12"/>
        <v>13</v>
      </c>
      <c r="H143">
        <f>COUNTIF(G$3:G143,G143)</f>
        <v>81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3"/>
        <v>13</v>
      </c>
      <c r="G144" t="str">
        <f t="shared" si="12"/>
        <v>13</v>
      </c>
      <c r="H144">
        <f>COUNTIF(G$3:G144,G144)</f>
        <v>82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3"/>
        <v>13</v>
      </c>
      <c r="G145" t="str">
        <f t="shared" si="12"/>
        <v>13</v>
      </c>
      <c r="H145">
        <f>COUNTIF(G$3:G145,G145)</f>
        <v>83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3"/>
        <v>13</v>
      </c>
      <c r="G146" t="str">
        <f t="shared" si="12"/>
        <v>13</v>
      </c>
      <c r="H146">
        <f>COUNTIF(G$3:G146,G146)</f>
        <v>84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3"/>
        <v>13</v>
      </c>
      <c r="G147" t="str">
        <f t="shared" si="12"/>
        <v>13</v>
      </c>
      <c r="H147">
        <f>COUNTIF(G$3:G147,G147)</f>
        <v>85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3"/>
        <v>13</v>
      </c>
      <c r="G148" t="str">
        <f t="shared" si="12"/>
        <v>13</v>
      </c>
      <c r="H148">
        <f>COUNTIF(G$3:G148,G148)</f>
        <v>86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3"/>
        <v>13</v>
      </c>
      <c r="G149" t="str">
        <f t="shared" si="12"/>
        <v>13</v>
      </c>
      <c r="H149">
        <f>COUNTIF(G$3:G149,G149)</f>
        <v>87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3"/>
        <v>13</v>
      </c>
      <c r="G150" t="str">
        <f t="shared" si="12"/>
        <v>13</v>
      </c>
      <c r="H150">
        <f>COUNTIF(G$3:G150,G150)</f>
        <v>88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3"/>
        <v>13</v>
      </c>
      <c r="G151" t="str">
        <f t="shared" si="12"/>
        <v>13</v>
      </c>
      <c r="H151">
        <f>COUNTIF(G$3:G151,G151)</f>
        <v>89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3"/>
        <v>13</v>
      </c>
      <c r="G152" t="str">
        <f t="shared" si="12"/>
        <v>13</v>
      </c>
      <c r="H152">
        <f>COUNTIF(G$3:G152,G152)</f>
        <v>90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3"/>
        <v>13</v>
      </c>
      <c r="G153" t="str">
        <f t="shared" si="12"/>
        <v>13</v>
      </c>
      <c r="H153">
        <f>COUNTIF(G$3:G153,G153)</f>
        <v>91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3"/>
        <v>13</v>
      </c>
      <c r="G154" t="str">
        <f t="shared" si="12"/>
        <v>13</v>
      </c>
      <c r="H154">
        <f>COUNTIF(G$3:G154,G154)</f>
        <v>92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3"/>
        <v>13</v>
      </c>
      <c r="G155" t="str">
        <f t="shared" si="12"/>
        <v>13</v>
      </c>
      <c r="H155">
        <f>COUNTIF(G$3:G155,G155)</f>
        <v>93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3"/>
        <v>13</v>
      </c>
      <c r="G156" t="str">
        <f t="shared" si="12"/>
        <v>13</v>
      </c>
      <c r="H156">
        <f>COUNTIF(G$3:G156,G156)</f>
        <v>94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3"/>
        <v>13</v>
      </c>
      <c r="G157" t="str">
        <f t="shared" si="12"/>
        <v>13</v>
      </c>
      <c r="H157">
        <f>COUNTIF(G$3:G157,G157)</f>
        <v>95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3"/>
        <v>13</v>
      </c>
      <c r="G158" t="str">
        <f t="shared" si="12"/>
        <v>13</v>
      </c>
      <c r="H158">
        <f>COUNTIF(G$3:G158,G158)</f>
        <v>96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3"/>
        <v>13</v>
      </c>
      <c r="G159" t="str">
        <f t="shared" si="12"/>
        <v>13</v>
      </c>
      <c r="H159">
        <f>COUNTIF(G$3:G159,G159)</f>
        <v>97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3"/>
        <v>13</v>
      </c>
      <c r="G160" t="str">
        <f t="shared" si="12"/>
        <v>13</v>
      </c>
      <c r="H160">
        <f>COUNTIF(G$3:G160,G160)</f>
        <v>98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3"/>
        <v>13</v>
      </c>
      <c r="G161" t="str">
        <f t="shared" si="12"/>
        <v>13</v>
      </c>
      <c r="H161">
        <f>COUNTIF(G$3:G161,G161)</f>
        <v>99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3"/>
        <v>13</v>
      </c>
      <c r="G162" t="str">
        <f t="shared" si="12"/>
        <v>13</v>
      </c>
      <c r="H162">
        <f>COUNTIF(G$3:G162,G162)</f>
        <v>100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3"/>
        <v>13</v>
      </c>
      <c r="G163" t="str">
        <f t="shared" si="12"/>
        <v>13</v>
      </c>
      <c r="H163">
        <f>COUNTIF(G$3:G163,G163)</f>
        <v>101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3"/>
        <v>13</v>
      </c>
      <c r="G164" t="str">
        <f t="shared" si="12"/>
        <v>13</v>
      </c>
      <c r="H164">
        <f>COUNTIF(G$3:G164,G164)</f>
        <v>102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3"/>
        <v>13</v>
      </c>
      <c r="G165" t="str">
        <f t="shared" si="12"/>
        <v>13</v>
      </c>
      <c r="H165">
        <f>COUNTIF(G$3:G165,G165)</f>
        <v>103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3"/>
        <v>13</v>
      </c>
      <c r="G166" t="str">
        <f t="shared" si="12"/>
        <v>13</v>
      </c>
      <c r="H166">
        <f>COUNTIF(G$3:G166,G166)</f>
        <v>104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3"/>
        <v>13</v>
      </c>
      <c r="G167" t="str">
        <f t="shared" si="12"/>
        <v>13</v>
      </c>
      <c r="H167">
        <f>COUNTIF(G$3:G167,G167)</f>
        <v>105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3"/>
        <v>13</v>
      </c>
      <c r="G168" t="str">
        <f t="shared" si="12"/>
        <v>13</v>
      </c>
      <c r="H168">
        <f>COUNTIF(G$3:G168,G168)</f>
        <v>106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3"/>
        <v>13</v>
      </c>
      <c r="G169" t="str">
        <f t="shared" si="12"/>
        <v>13</v>
      </c>
      <c r="H169">
        <f>COUNTIF(G$3:G169,G169)</f>
        <v>107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3"/>
        <v>13</v>
      </c>
      <c r="G170" t="str">
        <f t="shared" si="12"/>
        <v>13</v>
      </c>
      <c r="H170">
        <f>COUNTIF(G$3:G170,G170)</f>
        <v>108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3"/>
        <v>13</v>
      </c>
      <c r="G171" t="str">
        <f t="shared" si="12"/>
        <v>13</v>
      </c>
      <c r="H171">
        <f>COUNTIF(G$3:G171,G171)</f>
        <v>109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3"/>
        <v>13</v>
      </c>
      <c r="G172" t="str">
        <f t="shared" si="12"/>
        <v>13</v>
      </c>
      <c r="H172">
        <f>COUNTIF(G$3:G172,G172)</f>
        <v>110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3"/>
        <v>13</v>
      </c>
      <c r="G173" t="str">
        <f t="shared" si="12"/>
        <v>13</v>
      </c>
      <c r="H173">
        <f>COUNTIF(G$3:G173,G173)</f>
        <v>111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3"/>
        <v>13</v>
      </c>
      <c r="G174" t="str">
        <f t="shared" si="12"/>
        <v>13</v>
      </c>
      <c r="H174">
        <f>COUNTIF(G$3:G174,G174)</f>
        <v>112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3"/>
        <v>13</v>
      </c>
      <c r="G175" t="str">
        <f t="shared" si="12"/>
        <v>13</v>
      </c>
      <c r="H175">
        <f>COUNTIF(G$3:G175,G175)</f>
        <v>113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3"/>
        <v>13</v>
      </c>
      <c r="G176" t="str">
        <f t="shared" si="12"/>
        <v>13</v>
      </c>
      <c r="H176">
        <f>COUNTIF(G$3:G176,G176)</f>
        <v>114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3"/>
        <v>13</v>
      </c>
      <c r="G177" t="str">
        <f t="shared" si="12"/>
        <v>13</v>
      </c>
      <c r="H177">
        <f>COUNTIF(G$3:G177,G177)</f>
        <v>115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3"/>
        <v>13</v>
      </c>
      <c r="G178" t="str">
        <f t="shared" si="12"/>
        <v>13</v>
      </c>
      <c r="H178">
        <f>COUNTIF(G$3:G178,G178)</f>
        <v>116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3"/>
        <v>13</v>
      </c>
      <c r="G179" t="str">
        <f t="shared" si="12"/>
        <v>13</v>
      </c>
      <c r="H179">
        <f>COUNTIF(G$3:G179,G179)</f>
        <v>117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3"/>
        <v>13</v>
      </c>
      <c r="G180" t="str">
        <f t="shared" si="12"/>
        <v>13</v>
      </c>
      <c r="H180">
        <f>COUNTIF(G$3:G180,G180)</f>
        <v>118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3"/>
        <v>13</v>
      </c>
      <c r="G181" t="str">
        <f t="shared" si="12"/>
        <v>13</v>
      </c>
      <c r="H181">
        <f>COUNTIF(G$3:G181,G181)</f>
        <v>119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3"/>
        <v>13</v>
      </c>
      <c r="G182" t="str">
        <f t="shared" si="12"/>
        <v>13</v>
      </c>
      <c r="H182">
        <f>COUNTIF(G$3:G182,G182)</f>
        <v>120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3"/>
        <v>13</v>
      </c>
      <c r="G183" t="str">
        <f t="shared" si="12"/>
        <v>13</v>
      </c>
      <c r="H183">
        <f>COUNTIF(G$3:G183,G183)</f>
        <v>121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3"/>
        <v>13</v>
      </c>
      <c r="G184" t="str">
        <f t="shared" si="12"/>
        <v>13</v>
      </c>
      <c r="H184">
        <f>COUNTIF(G$3:G184,G184)</f>
        <v>122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3"/>
        <v>13</v>
      </c>
      <c r="G185" t="str">
        <f t="shared" si="12"/>
        <v>13</v>
      </c>
      <c r="H185">
        <f>COUNTIF(G$3:G185,G185)</f>
        <v>123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3"/>
        <v>13</v>
      </c>
      <c r="G186" t="str">
        <f t="shared" si="12"/>
        <v>13</v>
      </c>
      <c r="H186">
        <f>COUNTIF(G$3:G186,G186)</f>
        <v>124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3"/>
        <v>13</v>
      </c>
      <c r="G187" t="str">
        <f t="shared" si="12"/>
        <v>13</v>
      </c>
      <c r="H187">
        <f>COUNTIF(G$3:G187,G187)</f>
        <v>125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3"/>
        <v>13</v>
      </c>
      <c r="G188" t="str">
        <f t="shared" si="12"/>
        <v>13</v>
      </c>
      <c r="H188">
        <f>COUNTIF(G$3:G188,G188)</f>
        <v>126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3"/>
        <v>13</v>
      </c>
      <c r="G189" t="str">
        <f t="shared" si="12"/>
        <v>13</v>
      </c>
      <c r="H189">
        <f>COUNTIF(G$3:G189,G189)</f>
        <v>127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3"/>
        <v>13</v>
      </c>
      <c r="G190" t="str">
        <f t="shared" si="12"/>
        <v>13</v>
      </c>
      <c r="H190">
        <f>COUNTIF(G$3:G190,G190)</f>
        <v>128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3"/>
        <v>13</v>
      </c>
      <c r="G191" t="str">
        <f t="shared" si="12"/>
        <v>13</v>
      </c>
      <c r="H191">
        <f>COUNTIF(G$3:G191,G191)</f>
        <v>129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3"/>
        <v>13</v>
      </c>
      <c r="G192" t="str">
        <f t="shared" si="12"/>
        <v>13</v>
      </c>
      <c r="H192">
        <f>COUNTIF(G$3:G192,G192)</f>
        <v>130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3"/>
        <v>13</v>
      </c>
      <c r="G193" t="str">
        <f t="shared" si="12"/>
        <v>13</v>
      </c>
      <c r="H193">
        <f>COUNTIF(G$3:G193,G193)</f>
        <v>131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3"/>
        <v>13</v>
      </c>
      <c r="G194" t="str">
        <f t="shared" si="12"/>
        <v>13</v>
      </c>
      <c r="H194">
        <f>COUNTIF(G$3:G194,G194)</f>
        <v>132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3"/>
        <v>13</v>
      </c>
      <c r="G195" t="str">
        <f t="shared" si="12"/>
        <v>13</v>
      </c>
      <c r="H195">
        <f>COUNTIF(G$3:G195,G195)</f>
        <v>133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3"/>
        <v>13</v>
      </c>
      <c r="G196" t="str">
        <f t="shared" ref="G196:G202" si="14">E196&amp;F196</f>
        <v>13</v>
      </c>
      <c r="H196">
        <f>COUNTIF(G$3:G196,G196)</f>
        <v>134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G202" si="15">F196</f>
        <v>13</v>
      </c>
      <c r="G197" t="str">
        <f t="shared" si="14"/>
        <v>13</v>
      </c>
      <c r="H197">
        <f>COUNTIF(G$3:G197,G197)</f>
        <v>135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5"/>
        <v>13</v>
      </c>
      <c r="G198" t="str">
        <f t="shared" si="14"/>
        <v>13</v>
      </c>
      <c r="H198">
        <f>COUNTIF(G$3:G198,G198)</f>
        <v>136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5"/>
        <v>13</v>
      </c>
      <c r="G199" t="str">
        <f t="shared" si="14"/>
        <v>13</v>
      </c>
      <c r="H199">
        <f>COUNTIF(G$3:G199,G199)</f>
        <v>137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5"/>
        <v>13</v>
      </c>
      <c r="G200" t="str">
        <f t="shared" si="14"/>
        <v>13</v>
      </c>
      <c r="H200">
        <f>COUNTIF(G$3:G200,G200)</f>
        <v>138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5"/>
        <v>13</v>
      </c>
      <c r="G201" t="str">
        <f t="shared" si="14"/>
        <v>13</v>
      </c>
      <c r="H201">
        <f>COUNTIF(G$3:G201,G201)</f>
        <v>139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5"/>
        <v>13</v>
      </c>
      <c r="G202" t="str">
        <f t="shared" si="14"/>
        <v>13</v>
      </c>
      <c r="H202">
        <f>COUNTIF(G$3:G202,G202)</f>
        <v>140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'【85】 (予約)';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2025-12-05T11:53:24Z</dcterms:modified>
</cp:coreProperties>
</file>