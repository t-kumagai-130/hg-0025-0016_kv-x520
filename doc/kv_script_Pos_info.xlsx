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D3584621-C716-444C-96B5-86CB9DA8CF1D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8" i="3" l="1"/>
  <c r="G68" i="3" s="1"/>
  <c r="E7" i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F13" i="3"/>
  <c r="F18" i="3" s="1"/>
  <c r="F8" i="3"/>
  <c r="F9" i="3" s="1"/>
  <c r="F10" i="3" s="1"/>
  <c r="F11" i="3" s="1"/>
  <c r="F12" i="3" s="1"/>
  <c r="F5" i="3"/>
  <c r="F6" i="3" s="1"/>
  <c r="F7" i="3" s="1"/>
  <c r="F4" i="3"/>
  <c r="AC1" i="3"/>
  <c r="AE1" i="3" s="1"/>
  <c r="AG1" i="3" s="1"/>
  <c r="AI1" i="3" s="1"/>
  <c r="AK1" i="3" s="1"/>
  <c r="B14" i="3" s="1"/>
  <c r="D12" i="1" l="1"/>
  <c r="E12" i="1"/>
  <c r="E13" i="1" s="1"/>
  <c r="E14" i="1" s="1"/>
  <c r="E15" i="1" s="1"/>
  <c r="E16" i="1" s="1"/>
  <c r="E17" i="1"/>
  <c r="D4" i="1"/>
  <c r="D3" i="1"/>
  <c r="D5" i="1"/>
  <c r="D7" i="1"/>
  <c r="C8" i="1"/>
  <c r="C18" i="1"/>
  <c r="C22" i="1"/>
  <c r="D22" i="1" s="1"/>
  <c r="C13" i="1"/>
  <c r="F23" i="3"/>
  <c r="F19" i="3"/>
  <c r="F20" i="3" s="1"/>
  <c r="F21" i="3" s="1"/>
  <c r="F22" i="3" s="1"/>
  <c r="F14" i="3"/>
  <c r="F15" i="3" s="1"/>
  <c r="F16" i="3" s="1"/>
  <c r="F17" i="3" s="1"/>
  <c r="B3" i="3" a="1"/>
  <c r="B3" i="3" s="1"/>
  <c r="B5" i="3" s="1"/>
  <c r="H3" i="3"/>
  <c r="A102" i="1"/>
  <c r="F100" i="1"/>
  <c r="A100" i="1"/>
  <c r="E22" i="1" l="1"/>
  <c r="E18" i="1"/>
  <c r="E19" i="1" s="1"/>
  <c r="E20" i="1" s="1"/>
  <c r="E21" i="1" s="1"/>
  <c r="C19" i="1"/>
  <c r="D18" i="1"/>
  <c r="C9" i="1"/>
  <c r="D8" i="1"/>
  <c r="C14" i="1"/>
  <c r="D13" i="1"/>
  <c r="C27" i="1"/>
  <c r="D27" i="1" s="1"/>
  <c r="C23" i="1"/>
  <c r="F24" i="3"/>
  <c r="F25" i="3" s="1"/>
  <c r="F26" i="3" s="1"/>
  <c r="F27" i="3" s="1"/>
  <c r="F28" i="3"/>
  <c r="H4" i="3"/>
  <c r="H5" i="3"/>
  <c r="E23" i="1" l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F29" i="3"/>
  <c r="F30" i="3" s="1"/>
  <c r="F31" i="3" s="1"/>
  <c r="F32" i="3" s="1"/>
  <c r="H6" i="3"/>
  <c r="E28" i="1" l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5" i="3" s="1"/>
  <c r="F36" i="3" s="1"/>
  <c r="F37" i="3" s="1"/>
  <c r="F38" i="3"/>
  <c r="H7" i="3"/>
  <c r="E37" i="1" l="1"/>
  <c r="E33" i="1"/>
  <c r="E34" i="1" s="1"/>
  <c r="E35" i="1" s="1"/>
  <c r="E36" i="1" s="1"/>
  <c r="C34" i="1"/>
  <c r="D33" i="1"/>
  <c r="C26" i="1"/>
  <c r="D26" i="1" s="1"/>
  <c r="D25" i="1"/>
  <c r="C30" i="1"/>
  <c r="D29" i="1"/>
  <c r="C42" i="1"/>
  <c r="C38" i="1"/>
  <c r="F39" i="3"/>
  <c r="F40" i="3" s="1"/>
  <c r="F41" i="3" s="1"/>
  <c r="F42" i="3" s="1"/>
  <c r="F43" i="3"/>
  <c r="H8" i="3"/>
  <c r="E38" i="1" l="1"/>
  <c r="E39" i="1" s="1"/>
  <c r="E40" i="1" s="1"/>
  <c r="E41" i="1" s="1"/>
  <c r="E42" i="1"/>
  <c r="C39" i="1"/>
  <c r="D38" i="1"/>
  <c r="C47" i="1"/>
  <c r="D42" i="1"/>
  <c r="C31" i="1"/>
  <c r="D31" i="1" s="1"/>
  <c r="D30" i="1"/>
  <c r="C35" i="1"/>
  <c r="D34" i="1"/>
  <c r="C43" i="1"/>
  <c r="F48" i="3"/>
  <c r="F44" i="3"/>
  <c r="F45" i="3" s="1"/>
  <c r="F46" i="3" s="1"/>
  <c r="F47" i="3" s="1"/>
  <c r="H9" i="3"/>
  <c r="E47" i="1" l="1"/>
  <c r="E43" i="1"/>
  <c r="E44" i="1" s="1"/>
  <c r="E45" i="1" s="1"/>
  <c r="E46" i="1" s="1"/>
  <c r="C36" i="1"/>
  <c r="D36" i="1" s="1"/>
  <c r="D35" i="1"/>
  <c r="C48" i="1"/>
  <c r="D47" i="1"/>
  <c r="C52" i="1"/>
  <c r="C44" i="1"/>
  <c r="D43" i="1"/>
  <c r="C40" i="1"/>
  <c r="D39" i="1"/>
  <c r="F49" i="3"/>
  <c r="F50" i="3" s="1"/>
  <c r="F51" i="3" s="1"/>
  <c r="F52" i="3" s="1"/>
  <c r="F53" i="3"/>
  <c r="H10" i="3"/>
  <c r="E52" i="1" l="1"/>
  <c r="E48" i="1"/>
  <c r="E49" i="1" s="1"/>
  <c r="E50" i="1" s="1"/>
  <c r="E51" i="1" s="1"/>
  <c r="C49" i="1"/>
  <c r="D48" i="1"/>
  <c r="C53" i="1"/>
  <c r="C57" i="1"/>
  <c r="D52" i="1"/>
  <c r="C41" i="1"/>
  <c r="D41" i="1" s="1"/>
  <c r="D40" i="1"/>
  <c r="C45" i="1"/>
  <c r="D44" i="1"/>
  <c r="F58" i="3"/>
  <c r="F54" i="3"/>
  <c r="F55" i="3" s="1"/>
  <c r="F56" i="3" s="1"/>
  <c r="F57" i="3" s="1"/>
  <c r="H11" i="3"/>
  <c r="E53" i="1" l="1"/>
  <c r="E54" i="1" s="1"/>
  <c r="E55" i="1" s="1"/>
  <c r="E56" i="1" s="1"/>
  <c r="E57" i="1"/>
  <c r="C46" i="1"/>
  <c r="D46" i="1" s="1"/>
  <c r="D45" i="1"/>
  <c r="C58" i="1"/>
  <c r="D57" i="1"/>
  <c r="C62" i="1"/>
  <c r="C54" i="1"/>
  <c r="D53" i="1"/>
  <c r="C50" i="1"/>
  <c r="D49" i="1"/>
  <c r="F63" i="3"/>
  <c r="F64" i="3" s="1"/>
  <c r="F65" i="3" s="1"/>
  <c r="F66" i="3" s="1"/>
  <c r="F67" i="3" s="1"/>
  <c r="F69" i="3" s="1"/>
  <c r="F59" i="3"/>
  <c r="F60" i="3" s="1"/>
  <c r="F61" i="3" s="1"/>
  <c r="F62" i="3" s="1"/>
  <c r="H12" i="3"/>
  <c r="F70" i="3" l="1"/>
  <c r="G69" i="3"/>
  <c r="E62" i="1"/>
  <c r="E58" i="1"/>
  <c r="E59" i="1" s="1"/>
  <c r="E60" i="1" s="1"/>
  <c r="E61" i="1" s="1"/>
  <c r="C59" i="1"/>
  <c r="D58" i="1"/>
  <c r="C51" i="1"/>
  <c r="D51" i="1" s="1"/>
  <c r="D50" i="1"/>
  <c r="C55" i="1"/>
  <c r="D54" i="1"/>
  <c r="C63" i="1"/>
  <c r="D62" i="1"/>
  <c r="C67" i="1"/>
  <c r="H13" i="3"/>
  <c r="F71" i="3" l="1"/>
  <c r="G70" i="3"/>
  <c r="E67" i="1"/>
  <c r="E63" i="1"/>
  <c r="E64" i="1" s="1"/>
  <c r="E65" i="1" s="1"/>
  <c r="E66" i="1" s="1"/>
  <c r="C64" i="1"/>
  <c r="D63" i="1"/>
  <c r="C56" i="1"/>
  <c r="D56" i="1" s="1"/>
  <c r="D55" i="1"/>
  <c r="D67" i="1"/>
  <c r="C72" i="1"/>
  <c r="C68" i="1"/>
  <c r="C60" i="1"/>
  <c r="D59" i="1"/>
  <c r="H14" i="3"/>
  <c r="F72" i="3" l="1"/>
  <c r="G71" i="3"/>
  <c r="E68" i="1"/>
  <c r="E69" i="1" s="1"/>
  <c r="E70" i="1" s="1"/>
  <c r="E71" i="1" s="1"/>
  <c r="E72" i="1"/>
  <c r="C61" i="1"/>
  <c r="D61" i="1" s="1"/>
  <c r="D60" i="1"/>
  <c r="C69" i="1"/>
  <c r="D68" i="1"/>
  <c r="D72" i="1"/>
  <c r="C73" i="1"/>
  <c r="C77" i="1"/>
  <c r="C65" i="1"/>
  <c r="D64" i="1"/>
  <c r="H15" i="3"/>
  <c r="F73" i="3" l="1"/>
  <c r="G72" i="3"/>
  <c r="E77" i="1"/>
  <c r="E73" i="1"/>
  <c r="E74" i="1" s="1"/>
  <c r="E75" i="1" s="1"/>
  <c r="E76" i="1" s="1"/>
  <c r="C66" i="1"/>
  <c r="D66" i="1" s="1"/>
  <c r="D65" i="1"/>
  <c r="C74" i="1"/>
  <c r="D73" i="1"/>
  <c r="C70" i="1"/>
  <c r="D69" i="1"/>
  <c r="D77" i="1"/>
  <c r="C82" i="1"/>
  <c r="C78" i="1"/>
  <c r="H16" i="3"/>
  <c r="F74" i="3" l="1"/>
  <c r="G73" i="3"/>
  <c r="E78" i="1"/>
  <c r="E79" i="1" s="1"/>
  <c r="E80" i="1" s="1"/>
  <c r="E81" i="1" s="1"/>
  <c r="E82" i="1"/>
  <c r="D82" i="1"/>
  <c r="C87" i="1"/>
  <c r="C83" i="1"/>
  <c r="C71" i="1"/>
  <c r="D71" i="1" s="1"/>
  <c r="D70" i="1"/>
  <c r="C75" i="1"/>
  <c r="D74" i="1"/>
  <c r="C79" i="1"/>
  <c r="D78" i="1"/>
  <c r="H17" i="3"/>
  <c r="F75" i="3" l="1"/>
  <c r="G74" i="3"/>
  <c r="E87" i="1"/>
  <c r="E83" i="1"/>
  <c r="E84" i="1" s="1"/>
  <c r="E85" i="1" s="1"/>
  <c r="E86" i="1" s="1"/>
  <c r="C76" i="1"/>
  <c r="D76" i="1" s="1"/>
  <c r="D75" i="1"/>
  <c r="C80" i="1"/>
  <c r="D79" i="1"/>
  <c r="C84" i="1"/>
  <c r="D83" i="1"/>
  <c r="D87" i="1"/>
  <c r="C88" i="1"/>
  <c r="C92" i="1"/>
  <c r="H18" i="3"/>
  <c r="F76" i="3" l="1"/>
  <c r="G75" i="3"/>
  <c r="E92" i="1"/>
  <c r="E93" i="1" s="1"/>
  <c r="E94" i="1" s="1"/>
  <c r="E95" i="1" s="1"/>
  <c r="E96" i="1" s="1"/>
  <c r="E88" i="1"/>
  <c r="E89" i="1" s="1"/>
  <c r="E90" i="1" s="1"/>
  <c r="E91" i="1" s="1"/>
  <c r="C89" i="1"/>
  <c r="D88" i="1"/>
  <c r="C85" i="1"/>
  <c r="D84" i="1"/>
  <c r="C81" i="1"/>
  <c r="D81" i="1" s="1"/>
  <c r="D80" i="1"/>
  <c r="C93" i="1"/>
  <c r="D92" i="1"/>
  <c r="H19" i="3"/>
  <c r="F77" i="3" l="1"/>
  <c r="G76" i="3"/>
  <c r="C94" i="1"/>
  <c r="D93" i="1"/>
  <c r="C86" i="1"/>
  <c r="D86" i="1" s="1"/>
  <c r="D85" i="1"/>
  <c r="C90" i="1"/>
  <c r="D89" i="1"/>
  <c r="H20" i="3"/>
  <c r="F78" i="3" l="1"/>
  <c r="G77" i="3"/>
  <c r="C91" i="1"/>
  <c r="D91" i="1" s="1"/>
  <c r="D90" i="1"/>
  <c r="C95" i="1"/>
  <c r="D94" i="1"/>
  <c r="H21" i="3"/>
  <c r="F79" i="3" l="1"/>
  <c r="G78" i="3"/>
  <c r="C96" i="1"/>
  <c r="D95" i="1"/>
  <c r="H22" i="3"/>
  <c r="F80" i="3" l="1"/>
  <c r="G79" i="3"/>
  <c r="D96" i="1"/>
  <c r="H23" i="3"/>
  <c r="F81" i="3" l="1"/>
  <c r="G80" i="3"/>
  <c r="E102" i="1"/>
  <c r="D102" i="1"/>
  <c r="D104" i="1"/>
  <c r="E104" i="1"/>
  <c r="H24" i="3"/>
  <c r="F82" i="3" l="1"/>
  <c r="G81" i="3"/>
  <c r="H25" i="3"/>
  <c r="F83" i="3" l="1"/>
  <c r="G82" i="3"/>
  <c r="H26" i="3"/>
  <c r="F84" i="3" l="1"/>
  <c r="G83" i="3"/>
  <c r="H27" i="3"/>
  <c r="F85" i="3" l="1"/>
  <c r="G84" i="3"/>
  <c r="H28" i="3"/>
  <c r="F86" i="3" l="1"/>
  <c r="G85" i="3"/>
  <c r="H29" i="3"/>
  <c r="F87" i="3" l="1"/>
  <c r="G86" i="3"/>
  <c r="H30" i="3"/>
  <c r="F88" i="3" l="1"/>
  <c r="G87" i="3"/>
  <c r="H31" i="3"/>
  <c r="F89" i="3" l="1"/>
  <c r="G88" i="3"/>
  <c r="H32" i="3"/>
  <c r="F90" i="3" l="1"/>
  <c r="G89" i="3"/>
  <c r="H33" i="3"/>
  <c r="F91" i="3" l="1"/>
  <c r="G90" i="3"/>
  <c r="H34" i="3"/>
  <c r="F92" i="3" l="1"/>
  <c r="G91" i="3"/>
  <c r="H35" i="3"/>
  <c r="F93" i="3" l="1"/>
  <c r="G92" i="3"/>
  <c r="H36" i="3"/>
  <c r="F94" i="3" l="1"/>
  <c r="G93" i="3"/>
  <c r="H37" i="3"/>
  <c r="F95" i="3" l="1"/>
  <c r="G94" i="3"/>
  <c r="H38" i="3"/>
  <c r="F96" i="3" l="1"/>
  <c r="G95" i="3"/>
  <c r="H39" i="3"/>
  <c r="F97" i="3" l="1"/>
  <c r="G96" i="3"/>
  <c r="H40" i="3"/>
  <c r="F98" i="3" l="1"/>
  <c r="G97" i="3"/>
  <c r="H41" i="3"/>
  <c r="F99" i="3" l="1"/>
  <c r="G98" i="3"/>
  <c r="H98" i="3" s="1"/>
  <c r="H92" i="3"/>
  <c r="H94" i="3"/>
  <c r="H96" i="3"/>
  <c r="H42" i="3"/>
  <c r="H44" i="3"/>
  <c r="H45" i="3"/>
  <c r="H43" i="3"/>
  <c r="H46" i="3"/>
  <c r="H47" i="3"/>
  <c r="H48" i="3"/>
  <c r="H49" i="3"/>
  <c r="H50" i="3"/>
  <c r="H52" i="3"/>
  <c r="H54" i="3"/>
  <c r="H51" i="3"/>
  <c r="H53" i="3"/>
  <c r="H72" i="3"/>
  <c r="H77" i="3"/>
  <c r="H75" i="3"/>
  <c r="H56" i="3"/>
  <c r="H55" i="3"/>
  <c r="H76" i="3"/>
  <c r="H80" i="3"/>
  <c r="H57" i="3"/>
  <c r="H58" i="3"/>
  <c r="H78" i="3"/>
  <c r="H81" i="3"/>
  <c r="H61" i="3"/>
  <c r="H59" i="3"/>
  <c r="H60" i="3"/>
  <c r="H71" i="3"/>
  <c r="H79" i="3"/>
  <c r="H63" i="3"/>
  <c r="H66" i="3"/>
  <c r="H67" i="3"/>
  <c r="H73" i="3"/>
  <c r="H65" i="3"/>
  <c r="H68" i="3"/>
  <c r="H70" i="3"/>
  <c r="H74" i="3"/>
  <c r="H82" i="3"/>
  <c r="H69" i="3"/>
  <c r="H64" i="3"/>
  <c r="H62" i="3"/>
  <c r="H86" i="3"/>
  <c r="H83" i="3"/>
  <c r="H84" i="3"/>
  <c r="H85" i="3"/>
  <c r="H87" i="3"/>
  <c r="H88" i="3"/>
  <c r="H89" i="3"/>
  <c r="H90" i="3"/>
  <c r="H95" i="3"/>
  <c r="H91" i="3"/>
  <c r="H93" i="3"/>
  <c r="H97" i="3"/>
  <c r="F100" i="3" l="1"/>
  <c r="G99" i="3"/>
  <c r="H99" i="3" s="1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2" i="3" s="1"/>
  <c r="H202" i="3" s="1"/>
  <c r="G201" i="3"/>
  <c r="H201" i="3" l="1"/>
  <c r="I4" i="3" s="1" a="1"/>
  <c r="I4" i="3" s="1"/>
  <c r="J3" i="3" l="1" a="1"/>
  <c r="O3" i="3" a="1"/>
  <c r="O3" i="3" s="1"/>
  <c r="P3" i="3" l="1" a="1"/>
  <c r="P3" i="3" s="1"/>
  <c r="K3" i="3" a="1"/>
  <c r="K3" i="3" s="1"/>
  <c r="J3" i="3"/>
  <c r="Q3" i="3" s="1" a="1"/>
  <c r="Q3" i="3" s="1"/>
  <c r="R3" i="3" s="1" a="1"/>
  <c r="R3" i="3" s="1"/>
  <c r="L3" i="3" l="1" a="1"/>
  <c r="L3" i="3" l="1"/>
  <c r="Z3" i="3" a="1"/>
  <c r="N3" i="3" a="1"/>
  <c r="N3" i="3" s="1"/>
  <c r="Z3" i="3" l="1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a="1"/>
  <c r="AL3" i="3" l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<sst xmlns="http://schemas.openxmlformats.org/spreadsheetml/2006/main" count="213" uniqueCount="104">
  <si>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</si>
  <si>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</si>
  <si>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</si>
  <si>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</si>
  <si>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</si>
  <si>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</si>
  <si>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</si>
  <si>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</si>
  <si>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</si>
  <si>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</si>
  <si>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</si>
  <si>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</si>
  <si>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</si>
  <si>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</si>
  <si>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</si>
  <si>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</si>
  <si>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</si>
  <si>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</si>
  <si>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</si>
  <si>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</si>
  <si>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</si>
  <si>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</si>
  <si>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</si>
  <si>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</si>
  <si>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</si>
  <si>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</si>
  <si>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</si>
  <si>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</si>
  <si>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</si>
  <si>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</si>
  <si>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</si>
  <si>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</si>
  <si>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</si>
  <si>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</si>
  <si>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</si>
  <si>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</si>
  <si>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</si>
  <si>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</si>
  <si>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</si>
  <si>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</si>
  <si>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</si>
  <si>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</si>
  <si>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</si>
  <si>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</si>
  <si>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</si>
  <si>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</si>
  <si>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</si>
  <si>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</si>
  <si>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</si>
  <si>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</si>
  <si>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</si>
  <si>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</si>
  <si>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</si>
  <si>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</si>
  <si>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</si>
  <si>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</si>
  <si>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</si>
  <si>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</si>
  <si>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</si>
  <si>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</si>
  <si>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</si>
  <si>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</si>
  <si>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</si>
  <si>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</si>
  <si>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</si>
  <si>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</si>
  <si>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</si>
  <si>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</si>
  <si>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</si>
  <si>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</si>
  <si>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</si>
  <si>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</si>
  <si>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</si>
  <si>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</si>
  <si>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</si>
  <si>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</si>
  <si>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</si>
  <si>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</si>
  <si>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</si>
  <si>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</si>
  <si>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</si>
  <si>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</si>
  <si>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</si>
  <si>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</si>
  <si>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</si>
  <si>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</si>
  <si>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</si>
  <si>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</si>
  <si>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</si>
  <si>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</si>
  <si>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</si>
  <si>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</si>
  <si>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</si>
  <si>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</si>
  <si>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</si>
  <si>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</si>
  <si>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</si>
  <si>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</si>
  <si>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</si>
  <si>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</si>
  <si>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Seaming position</t>
  </si>
  <si>
    <t>Styling position</t>
  </si>
  <si>
    <t>巻き位置</t>
    <rPh sb="0" eb="1">
      <t>マ</t>
    </rPh>
    <rPh sb="2" eb="4">
      <t>イチ</t>
    </rPh>
    <phoneticPr fontId="1"/>
  </si>
  <si>
    <t>Winding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</si>
</sst>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4"/>
  <sheetViews>
    <sheetView workbookViewId="0">
      <pane xSplit="5" ySplit="1" topLeftCell="F47" activePane="bottomRight" state="frozen"/>
      <selection pane="topRight" activeCell="D1" sqref="D1"/>
      <selection pane="bottomLeft" activeCell="A2" sqref="A2"/>
      <selection pane="bottomRight" activeCell="H70" sqref="H70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38</v>
      </c>
      <c r="B2" s="2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35</v>
      </c>
      <c r="B3" s="4"/>
      <c r="C3" s="4">
        <f>C2</f>
        <v>1</v>
      </c>
      <c r="D3" s="4" t="str">
        <f t="shared" ref="D3:D66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37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36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19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18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20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22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23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42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43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44</v>
      </c>
      <c r="B13" s="4"/>
      <c r="C13" s="4">
        <f t="shared" ref="C13:C96" si="7">C12</f>
        <v>3</v>
      </c>
      <c r="D13" s="4" t="str">
        <f t="shared" si="0"/>
        <v>3</v>
      </c>
      <c r="E13" s="4">
        <f t="shared" ref="E13:E76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32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33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41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45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46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47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2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4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3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8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7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6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10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9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11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13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14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15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48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49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50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>
        <v>12</v>
      </c>
      <c r="B37" s="4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>
        <v>16</v>
      </c>
      <c r="B38" s="4"/>
      <c r="C38" s="26">
        <f t="shared" ref="C38" si="27">C37</f>
        <v>8</v>
      </c>
      <c r="D38" s="26" t="str">
        <f t="shared" si="0"/>
        <v>8</v>
      </c>
      <c r="E38" s="4">
        <f t="shared" ref="E38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>
        <v>17</v>
      </c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21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24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82</v>
      </c>
      <c r="I41" s="5" t="s">
        <v>84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25</v>
      </c>
      <c r="B42" s="4"/>
      <c r="C42" s="4">
        <f t="shared" ref="C42" si="29">C37+1</f>
        <v>9</v>
      </c>
      <c r="D42" s="4" t="str">
        <f t="shared" si="0"/>
        <v>9</v>
      </c>
      <c r="E42" s="4">
        <f t="shared" ref="E42" si="30">E37</f>
        <v>1</v>
      </c>
      <c r="F42" s="5"/>
      <c r="G42" s="5"/>
      <c r="H42" s="5" t="s">
        <v>69</v>
      </c>
      <c r="I42" s="5" t="s">
        <v>83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29</v>
      </c>
      <c r="B43" s="4"/>
      <c r="C43" s="4">
        <f t="shared" ref="C43" si="31">C42</f>
        <v>9</v>
      </c>
      <c r="D43" s="4" t="str">
        <f t="shared" si="0"/>
        <v>9</v>
      </c>
      <c r="E43" s="4">
        <f t="shared" ref="E43" si="32">E42+1</f>
        <v>2</v>
      </c>
      <c r="F43" s="5"/>
      <c r="G43" s="5"/>
      <c r="H43" s="5" t="s">
        <v>77</v>
      </c>
      <c r="I43" s="5" t="s">
        <v>91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30</v>
      </c>
      <c r="B44" s="4"/>
      <c r="C44" s="4">
        <f t="shared" si="7"/>
        <v>9</v>
      </c>
      <c r="D44" s="4" t="str">
        <f t="shared" si="0"/>
        <v>9</v>
      </c>
      <c r="E44" s="4">
        <f t="shared" si="8"/>
        <v>3</v>
      </c>
      <c r="F44" s="5"/>
      <c r="G44" s="5"/>
      <c r="H44" s="5" t="s">
        <v>79</v>
      </c>
      <c r="I44" s="5" t="s">
        <v>93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34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4</v>
      </c>
      <c r="F45" s="5"/>
      <c r="G45" s="5"/>
      <c r="H45" s="5" t="s">
        <v>80</v>
      </c>
      <c r="I45" s="5" t="s">
        <v>94</v>
      </c>
      <c r="J45" s="5"/>
      <c r="K45" s="13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26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5</v>
      </c>
      <c r="F46" s="5"/>
      <c r="G46" s="5"/>
      <c r="H46" s="5" t="s">
        <v>82</v>
      </c>
      <c r="I46" s="5" t="s">
        <v>84</v>
      </c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3">C42+1</f>
        <v>10</v>
      </c>
      <c r="D47" s="4" t="str">
        <f t="shared" si="0"/>
        <v>10</v>
      </c>
      <c r="E47" s="4">
        <f t="shared" ref="E47" si="34">E42</f>
        <v>1</v>
      </c>
      <c r="F47" s="5"/>
      <c r="G47" s="5"/>
      <c r="H47" s="5" t="s">
        <v>69</v>
      </c>
      <c r="I47" s="5" t="s">
        <v>83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5">C47</f>
        <v>10</v>
      </c>
      <c r="D48" s="4" t="str">
        <f t="shared" si="0"/>
        <v>10</v>
      </c>
      <c r="E48" s="4">
        <f t="shared" ref="E48" si="36">E47+1</f>
        <v>2</v>
      </c>
      <c r="F48" s="5"/>
      <c r="G48" s="5"/>
      <c r="H48" s="5" t="s">
        <v>82</v>
      </c>
      <c r="I48" s="5" t="s">
        <v>84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10</v>
      </c>
      <c r="D49" s="4" t="str">
        <f t="shared" si="0"/>
        <v>10</v>
      </c>
      <c r="E49" s="4">
        <f t="shared" si="8"/>
        <v>3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4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5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7">C47+1</f>
        <v>11</v>
      </c>
      <c r="D52" s="4" t="str">
        <f t="shared" si="0"/>
        <v>11</v>
      </c>
      <c r="E52" s="4">
        <f t="shared" ref="E52" si="38">E47</f>
        <v>1</v>
      </c>
      <c r="F52" s="5"/>
      <c r="G52" s="5"/>
      <c r="H52" s="5" t="s">
        <v>69</v>
      </c>
      <c r="I52" s="5" t="s">
        <v>83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9">C52</f>
        <v>11</v>
      </c>
      <c r="D53" s="4" t="str">
        <f t="shared" si="0"/>
        <v>11</v>
      </c>
      <c r="E53" s="4">
        <f t="shared" ref="E53" si="40">E52+1</f>
        <v>2</v>
      </c>
      <c r="F53" s="5"/>
      <c r="G53" s="5"/>
      <c r="H53" s="5" t="s">
        <v>81</v>
      </c>
      <c r="I53" s="5" t="s">
        <v>95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11</v>
      </c>
      <c r="D54" s="4" t="str">
        <f t="shared" si="0"/>
        <v>11</v>
      </c>
      <c r="E54" s="4">
        <f t="shared" si="8"/>
        <v>3</v>
      </c>
      <c r="F54" s="5"/>
      <c r="G54" s="5"/>
      <c r="H54" s="5" t="s">
        <v>82</v>
      </c>
      <c r="I54" s="5" t="s">
        <v>84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4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5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41">C52+1</f>
        <v>12</v>
      </c>
      <c r="D57" s="4" t="str">
        <f t="shared" si="0"/>
        <v>12</v>
      </c>
      <c r="E57" s="4">
        <f t="shared" ref="E57" si="42">E52</f>
        <v>1</v>
      </c>
      <c r="F57" s="5"/>
      <c r="G57" s="5"/>
      <c r="H57" s="5" t="s">
        <v>69</v>
      </c>
      <c r="I57" s="5" t="s">
        <v>83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3">C57</f>
        <v>12</v>
      </c>
      <c r="D58" s="4" t="str">
        <f t="shared" si="0"/>
        <v>12</v>
      </c>
      <c r="E58" s="4">
        <f t="shared" ref="E58" si="44">E57+1</f>
        <v>2</v>
      </c>
      <c r="F58" s="5"/>
      <c r="G58" s="5"/>
      <c r="H58" s="5" t="s">
        <v>82</v>
      </c>
      <c r="I58" s="5" t="s">
        <v>84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12</v>
      </c>
      <c r="D59" s="4" t="str">
        <f t="shared" si="0"/>
        <v>12</v>
      </c>
      <c r="E59" s="4">
        <f t="shared" si="8"/>
        <v>3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4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5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:C92" si="45">C57+1</f>
        <v>13</v>
      </c>
      <c r="D62" s="4" t="str">
        <f t="shared" si="0"/>
        <v>13</v>
      </c>
      <c r="E62" s="4">
        <f t="shared" ref="E62" si="46">E57</f>
        <v>1</v>
      </c>
      <c r="F62" s="5"/>
      <c r="G62" s="5"/>
      <c r="H62" s="5" t="s">
        <v>69</v>
      </c>
      <c r="I62" s="5" t="s">
        <v>83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3" si="47">C62</f>
        <v>13</v>
      </c>
      <c r="D63" s="4" t="str">
        <f t="shared" si="0"/>
        <v>13</v>
      </c>
      <c r="E63" s="4">
        <f t="shared" ref="E63" si="48">E62+1</f>
        <v>2</v>
      </c>
      <c r="F63" s="5"/>
      <c r="G63" s="5"/>
      <c r="H63" s="5" t="s">
        <v>82</v>
      </c>
      <c r="I63" s="5" t="s">
        <v>84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13</v>
      </c>
      <c r="D64" s="4" t="str">
        <f t="shared" si="0"/>
        <v>13</v>
      </c>
      <c r="E64" s="4">
        <f t="shared" si="8"/>
        <v>3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4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5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45"/>
        <v>14</v>
      </c>
      <c r="D67" s="4" t="str">
        <f t="shared" ref="D67:D96" si="49">B67&amp;C67</f>
        <v>14</v>
      </c>
      <c r="E67" s="4">
        <f t="shared" ref="E67" si="50">E62</f>
        <v>1</v>
      </c>
      <c r="F67" s="5"/>
      <c r="G67" s="5"/>
      <c r="H67" s="5" t="s">
        <v>69</v>
      </c>
      <c r="I67" s="5" t="s">
        <v>83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7"/>
        <v>14</v>
      </c>
      <c r="D68" s="4" t="str">
        <f t="shared" si="49"/>
        <v>14</v>
      </c>
      <c r="E68" s="4">
        <f t="shared" ref="E68" si="51">E67+1</f>
        <v>2</v>
      </c>
      <c r="F68" s="5"/>
      <c r="G68" s="5"/>
      <c r="H68" s="5" t="s">
        <v>102</v>
      </c>
      <c r="I68" s="5" t="s">
        <v>103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14</v>
      </c>
      <c r="D69" s="4" t="str">
        <f t="shared" si="49"/>
        <v>14</v>
      </c>
      <c r="E69" s="4">
        <f t="shared" si="8"/>
        <v>3</v>
      </c>
      <c r="F69" s="5"/>
      <c r="G69" s="5"/>
      <c r="H69" s="5" t="s">
        <v>98</v>
      </c>
      <c r="I69" s="5" t="s">
        <v>100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9"/>
        <v>14</v>
      </c>
      <c r="E70" s="4">
        <f t="shared" si="8"/>
        <v>4</v>
      </c>
      <c r="F70" s="5"/>
      <c r="G70" s="5"/>
      <c r="H70" s="5" t="s">
        <v>99</v>
      </c>
      <c r="I70" s="5" t="s">
        <v>101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9"/>
        <v>14</v>
      </c>
      <c r="E71" s="4">
        <f t="shared" si="8"/>
        <v>5</v>
      </c>
      <c r="F71" s="5"/>
      <c r="G71" s="5"/>
      <c r="H71" s="5" t="s">
        <v>82</v>
      </c>
      <c r="I71" s="5" t="s">
        <v>84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45"/>
        <v>15</v>
      </c>
      <c r="D72" s="4" t="str">
        <f t="shared" si="49"/>
        <v>15</v>
      </c>
      <c r="E72" s="4">
        <f t="shared" ref="E72" si="52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7"/>
        <v>15</v>
      </c>
      <c r="D73" s="4" t="str">
        <f t="shared" si="49"/>
        <v>15</v>
      </c>
      <c r="E73" s="4">
        <f t="shared" ref="E73" si="53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15</v>
      </c>
      <c r="D74" s="4" t="str">
        <f t="shared" si="49"/>
        <v>15</v>
      </c>
      <c r="E74" s="4">
        <f t="shared" si="8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9"/>
        <v>15</v>
      </c>
      <c r="E75" s="4">
        <f t="shared" si="8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9"/>
        <v>15</v>
      </c>
      <c r="E76" s="4">
        <f t="shared" si="8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5"/>
        <v>16</v>
      </c>
      <c r="D77" s="4" t="str">
        <f t="shared" si="49"/>
        <v>16</v>
      </c>
      <c r="E77" s="4">
        <f t="shared" ref="E77" si="54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7"/>
        <v>16</v>
      </c>
      <c r="D78" s="4" t="str">
        <f t="shared" si="49"/>
        <v>16</v>
      </c>
      <c r="E78" s="4">
        <f t="shared" ref="E78:E96" si="55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16</v>
      </c>
      <c r="D79" s="4" t="str">
        <f t="shared" si="49"/>
        <v>16</v>
      </c>
      <c r="E79" s="4">
        <f t="shared" si="55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9"/>
        <v>16</v>
      </c>
      <c r="E80" s="4">
        <f t="shared" si="55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9"/>
        <v>16</v>
      </c>
      <c r="E81" s="4">
        <f t="shared" si="55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5"/>
        <v>17</v>
      </c>
      <c r="D82" s="4" t="str">
        <f t="shared" si="49"/>
        <v>17</v>
      </c>
      <c r="E82" s="4">
        <f t="shared" ref="E82" si="56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7"/>
        <v>17</v>
      </c>
      <c r="D83" s="4" t="str">
        <f t="shared" si="49"/>
        <v>17</v>
      </c>
      <c r="E83" s="4">
        <f t="shared" ref="E83" si="57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17</v>
      </c>
      <c r="D84" s="4" t="str">
        <f t="shared" si="49"/>
        <v>17</v>
      </c>
      <c r="E84" s="4">
        <f t="shared" si="55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9"/>
        <v>17</v>
      </c>
      <c r="E85" s="4">
        <f t="shared" si="55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9"/>
        <v>17</v>
      </c>
      <c r="E86" s="4">
        <f t="shared" si="55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5"/>
        <v>18</v>
      </c>
      <c r="D87" s="4" t="str">
        <f t="shared" si="49"/>
        <v>18</v>
      </c>
      <c r="E87" s="4">
        <f t="shared" ref="E87" si="58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7"/>
        <v>18</v>
      </c>
      <c r="D88" s="4" t="str">
        <f t="shared" si="49"/>
        <v>18</v>
      </c>
      <c r="E88" s="4">
        <f t="shared" ref="E88" si="59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18</v>
      </c>
      <c r="D89" s="4" t="str">
        <f t="shared" si="49"/>
        <v>18</v>
      </c>
      <c r="E89" s="4">
        <f t="shared" si="55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9"/>
        <v>18</v>
      </c>
      <c r="E90" s="4">
        <f t="shared" si="55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9"/>
        <v>18</v>
      </c>
      <c r="E91" s="4">
        <f t="shared" si="55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5"/>
        <v>19</v>
      </c>
      <c r="D92" s="4" t="str">
        <f t="shared" si="49"/>
        <v>19</v>
      </c>
      <c r="E92" s="4">
        <f t="shared" ref="E92" si="60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>
        <v>27</v>
      </c>
      <c r="B93" s="4"/>
      <c r="C93" s="4">
        <f t="shared" si="47"/>
        <v>19</v>
      </c>
      <c r="D93" s="4" t="str">
        <f t="shared" si="49"/>
        <v>19</v>
      </c>
      <c r="E93" s="4">
        <f t="shared" ref="E93" si="61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28</v>
      </c>
      <c r="B94" s="4"/>
      <c r="C94" s="4">
        <f t="shared" si="7"/>
        <v>19</v>
      </c>
      <c r="D94" s="4" t="str">
        <f t="shared" si="49"/>
        <v>19</v>
      </c>
      <c r="E94" s="4">
        <f t="shared" si="55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31</v>
      </c>
      <c r="B95" s="4"/>
      <c r="C95" s="4">
        <f t="shared" si="7"/>
        <v>19</v>
      </c>
      <c r="D95" s="4" t="str">
        <f t="shared" si="49"/>
        <v>19</v>
      </c>
      <c r="E95" s="4">
        <f t="shared" si="55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39</v>
      </c>
      <c r="B96" s="4"/>
      <c r="C96" s="4">
        <f t="shared" si="7"/>
        <v>19</v>
      </c>
      <c r="D96" s="4" t="str">
        <f t="shared" si="49"/>
        <v>19</v>
      </c>
      <c r="E96" s="4">
        <f t="shared" si="55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15"/>
      <c r="B97" s="15"/>
      <c r="C97" s="15"/>
      <c r="D97" s="15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7"/>
      <c r="P97" s="17"/>
      <c r="Q97" s="17"/>
      <c r="R97" s="17"/>
    </row>
    <row r="99" spans="1:18" x14ac:dyDescent="0.55000000000000004">
      <c r="A99" t="s">
        <v>9</v>
      </c>
      <c r="F99" t="s">
        <v>8</v>
      </c>
    </row>
    <row r="100" spans="1:18" x14ac:dyDescent="0.55000000000000004">
      <c r="A100">
        <f>MAX(A$2:A$97)</f>
        <v>50</v>
      </c>
      <c r="F100">
        <f>MAX(F$2:F$97)</f>
        <v>0</v>
      </c>
    </row>
    <row r="101" spans="1:18" x14ac:dyDescent="0.55000000000000004">
      <c r="A101" t="s">
        <v>40</v>
      </c>
      <c r="D101" t="s">
        <v>14</v>
      </c>
      <c r="E101" t="s">
        <v>13</v>
      </c>
    </row>
    <row r="102" spans="1:18" x14ac:dyDescent="0.55000000000000004">
      <c r="A102">
        <f>ROW(A98)-ROW(A1)-1</f>
        <v>96</v>
      </c>
      <c r="D102">
        <f>COUNTIF(D$2:D$97,D101)</f>
        <v>0</v>
      </c>
      <c r="E102" s="25">
        <f>_xlfn.MAXIFS(E$2:E$97,$D$2:$D$97,E101)</f>
        <v>0</v>
      </c>
    </row>
    <row r="103" spans="1:18" x14ac:dyDescent="0.55000000000000004">
      <c r="D103" t="s">
        <v>12</v>
      </c>
      <c r="E103" t="s">
        <v>12</v>
      </c>
    </row>
    <row r="104" spans="1:18" x14ac:dyDescent="0.55000000000000004">
      <c r="D104">
        <f>COUNTIF(D$2:D$97,D103)</f>
        <v>0</v>
      </c>
      <c r="E104" s="25">
        <f>_xlfn.MAXIFS(E$2:E$97,$D$2:$D$97,E103)</f>
        <v>0</v>
      </c>
    </row>
  </sheetData>
  <autoFilter ref="A1:R96" xr:uid="{48D32264-F25D-40E9-9C76-26E43E79C8CC}">
    <sortState xmlns:xlrd2="http://schemas.microsoft.com/office/spreadsheetml/2017/richdata2" ref="A2:R96">
      <sortCondition ref="D1:D96"/>
    </sortState>
  </autoFilter>
  <phoneticPr fontId="1"/>
  <conditionalFormatting sqref="A2:R9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C:\tk\prj\hg-0025-0016\git\kv-x520\doc\[kv_script_Pos_info.xlsx]info_script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IFERROR(MATCH($G$3:$G$202&amp;$H$3:$H$202,info_index!$D$2:$D$97&amp;info_index!$E$2:$E$97,0),"")</f>
        <v>1</v>
      </c>
      <c r="K3" t="str" cm="1">
        <f t="array" aca="1" ref="K3:K202" ca="1">IF(LEN(_xlfn.ANCHORARRAY(J3)),INDEX(OFFSET(info_index!$H$2:$H$97,0,$B$23),MATCH($G$3:$G$202&amp;$H$3:$H$202,info_index!$D$2:$D$97&amp;info_index!$E$2:$E$97,0),1)&amp;"","")</f>
        <v>待機位置</v>
      </c>
      <c r="L3" t="str" cm="1">
        <f t="array" aca="1" ref="L3:L202" ca="1">IF(LEN(_xlfn.ANCHORARRAY($J3)),IF(LEN(_xlfn.ANCHORARRAY(K3)),_xlfn.ANCHORARRAY(K3),"unknown"),"")</f>
        <v>待機位置</v>
      </c>
      <c r="N3" t="str" cm="1">
        <f t="array" aca="1" ref="N3:N202" ca="1">IF(LEN(_xlfn.ANCHORARRAY(L3)),"【"&amp;G3:G202&amp;H3:H202&amp;"】 "&amp;_xlfn.ANCHORARRAY(L3),"")</f>
        <v>【11】 待機位置</v>
      </c>
      <c r="O3" t="str" cm="1">
        <f t="array" ref="O3:O202">IFERROR(INDEX(info_index!$J$2:$J$97,MATCH($G$3:$G$202&amp;$H$3:$H$202,info_index!$D$2:$D$97&amp;info_index!$E$2:$E$97,0),1)&amp;"","")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IF(LEN(_xlfn.ANCHORARRAY(J3)),INDEX(OFFSET(info_index!$L$2:$L$97,0,$B$23),MATCH($G$3:$G$202&amp;$H$3:$H$202,info_index!$D$2:$D$97&amp;info_index!$E$2:$E$97,0),1)&amp;"","")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//待機位置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//待機位置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//待機位置
	IF uiInfoIdx = 1 THEN
		IF strInfoKey = 'name' THEN
			strRt	:= '待機位置';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//待機位置
	IF uiInfoIdx = 1 THEN
		IF strInfoKey = 'name' THEN
			strRt	:= '待機位置';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//待機位置
	IF uiInfoIdx = 1 THEN
		IF strInfoKey = 'name' THEN
			strRt	:= '待機位置';
		ELSIF strInfoKey = 'index_name' THEN
			strRt	:= '【11】 待機位置';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//待機位置
	IF uiInfoIdx = 1 THEN
		IF strInfoKey = 'name' THEN
			strRt	:= '待機位置';
		ELSIF strInfoKey = 'index_name' THEN
			strRt	:= '【11】 待機位置';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(予約)</v>
      </c>
      <c r="L4" t="str">
        <f ca="1"/>
        <v>(予約)</v>
      </c>
      <c r="N4" t="str">
        <f ca="1"/>
        <v>【12】 (予約)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//(予約)
	ELSIF uiInfoIdx = 2 THEN</v>
      </c>
      <c r="AC4" t="str">
        <f ca="1"/>
        <v xml:space="preserve">
	//(予約)
	ELSIF uiInfoIdx = 2 THEN
		IF strInfoKey = 'name' THEN</v>
      </c>
      <c r="AD4" t="str">
        <f ca="1"/>
        <v xml:space="preserve">
	//(予約)
	ELSIF uiInfoIdx = 2 THEN
		IF strInfoKey = 'name' THEN
			strRt	:= '(予約)';</v>
      </c>
      <c r="AE4" t="str">
        <f ca="1"/>
        <v xml:space="preserve">
	//(予約)
	ELSIF uiInfoIdx = 2 THEN
		IF strInfoKey = 'name' THEN
			strRt	:= '(予約)';
		ELSIF strInfoKey = 'index_name' THEN</v>
      </c>
      <c r="AF4" t="str">
        <f ca="1"/>
        <v xml:space="preserve">
	//(予約)
	ELSIF uiInfoIdx = 2 THEN
		IF strInfoKey = 'name' THEN
			strRt	:= '(予約)';
		ELSIF strInfoKey = 'index_name' THEN
			strRt	:= '【12】 (予約)';</v>
      </c>
      <c r="AG4" t="str">
        <f ca="1"/>
        <v xml:space="preserve">
	//(予約)
	ELSIF uiInfoIdx = 2 THEN
		IF strInfoKey = 'name' THEN
			strRt	:= '(予約)';
		ELSIF strInfoKey = 'index_name' THEN
			strRt	:= '【12】 (予約)';
		ELSIF strInfoKey = 'model' THEN</v>
      </c>
      <c r="AH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</v>
      </c>
      <c r="AI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</v>
      </c>
      <c r="AJ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</v>
      </c>
      <c r="AK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L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M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C:\tk\prj\hg-0025-0016\git\kv-x520\doc\[kv_script_Pos_info.xlsx]info_script によって生成されました。</v>
      </c>
      <c r="F5">
        <f t="shared" ref="F5:F67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(予約)</v>
      </c>
      <c r="L5" t="str">
        <f ca="1"/>
        <v>(予約)</v>
      </c>
      <c r="N5" t="str">
        <f ca="1"/>
        <v>【13】 (予約)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//(予約)
	ELSIF uiInfoIdx = 3 THEN</v>
      </c>
      <c r="AC5" t="str">
        <f ca="1"/>
        <v xml:space="preserve">
	//(予約)
	ELSIF uiInfoIdx = 3 THEN
		IF strInfoKey = 'name' THEN</v>
      </c>
      <c r="AD5" t="str">
        <f ca="1"/>
        <v xml:space="preserve">
	//(予約)
	ELSIF uiInfoIdx = 3 THEN
		IF strInfoKey = 'name' THEN
			strRt	:= '(予約)';</v>
      </c>
      <c r="AE5" t="str">
        <f ca="1"/>
        <v xml:space="preserve">
	//(予約)
	ELSIF uiInfoIdx = 3 THEN
		IF strInfoKey = 'name' THEN
			strRt	:= '(予約)';
		ELSIF strInfoKey = 'index_name' THEN</v>
      </c>
      <c r="AF5" t="str">
        <f ca="1"/>
        <v xml:space="preserve">
	//(予約)
	ELSIF uiInfoIdx = 3 THEN
		IF strInfoKey = 'name' THEN
			strRt	:= '(予約)';
		ELSIF strInfoKey = 'index_name' THEN
			strRt	:= '【13】 (予約)';</v>
      </c>
      <c r="AG5" t="str">
        <f ca="1"/>
        <v xml:space="preserve">
	//(予約)
	ELSIF uiInfoIdx = 3 THEN
		IF strInfoKey = 'name' THEN
			strRt	:= '(予約)';
		ELSIF strInfoKey = 'index_name' THEN
			strRt	:= '【13】 (予約)';
		ELSIF strInfoKey = 'model' THEN</v>
      </c>
      <c r="AH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</v>
      </c>
      <c r="AI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</v>
      </c>
      <c r="AJ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</v>
      </c>
      <c r="AK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L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M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(予約)</v>
      </c>
      <c r="L6" t="str">
        <f ca="1"/>
        <v>(予約)</v>
      </c>
      <c r="N6" t="str">
        <f ca="1"/>
        <v>【14】 (予約)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//(予約)
	ELSIF uiInfoIdx = 4 THEN</v>
      </c>
      <c r="AC6" t="str">
        <f ca="1"/>
        <v xml:space="preserve">
	//(予約)
	ELSIF uiInfoIdx = 4 THEN
		IF strInfoKey = 'name' THEN</v>
      </c>
      <c r="AD6" t="str">
        <f ca="1"/>
        <v xml:space="preserve">
	//(予約)
	ELSIF uiInfoIdx = 4 THEN
		IF strInfoKey = 'name' THEN
			strRt	:= '(予約)';</v>
      </c>
      <c r="AE6" t="str">
        <f ca="1"/>
        <v xml:space="preserve">
	//(予約)
	ELSIF uiInfoIdx = 4 THEN
		IF strInfoKey = 'name' THEN
			strRt	:= '(予約)';
		ELSIF strInfoKey = 'index_name' THEN</v>
      </c>
      <c r="AF6" t="str">
        <f ca="1"/>
        <v xml:space="preserve">
	//(予約)
	ELSIF uiInfoIdx = 4 THEN
		IF strInfoKey = 'name' THEN
			strRt	:= '(予約)';
		ELSIF strInfoKey = 'index_name' THEN
			strRt	:= '【14】 (予約)';</v>
      </c>
      <c r="AG6" t="str">
        <f ca="1"/>
        <v xml:space="preserve">
	//(予約)
	ELSIF uiInfoIdx = 4 THEN
		IF strInfoKey = 'name' THEN
			strRt	:= '(予約)';
		ELSIF strInfoKey = 'index_name' THEN
			strRt	:= '【14】 (予約)';
		ELSIF strInfoKey = 'model' THEN</v>
      </c>
      <c r="AH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</v>
      </c>
      <c r="AI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</v>
      </c>
      <c r="AJ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</v>
      </c>
      <c r="AK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L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M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(予約)</v>
      </c>
      <c r="L7" t="str">
        <f ca="1"/>
        <v>(予約)</v>
      </c>
      <c r="N7" t="str">
        <f ca="1"/>
        <v>【15】 (予約)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//(予約)
	ELSIF uiInfoIdx = 5 THEN</v>
      </c>
      <c r="AC7" t="str">
        <f ca="1"/>
        <v xml:space="preserve">
	//(予約)
	ELSIF uiInfoIdx = 5 THEN
		IF strInfoKey = 'name' THEN</v>
      </c>
      <c r="AD7" t="str">
        <f ca="1"/>
        <v xml:space="preserve">
	//(予約)
	ELSIF uiInfoIdx = 5 THEN
		IF strInfoKey = 'name' THEN
			strRt	:= '(予約)';</v>
      </c>
      <c r="AE7" t="str">
        <f ca="1"/>
        <v xml:space="preserve">
	//(予約)
	ELSIF uiInfoIdx = 5 THEN
		IF strInfoKey = 'name' THEN
			strRt	:= '(予約)';
		ELSIF strInfoKey = 'index_name' THEN</v>
      </c>
      <c r="AF7" t="str">
        <f ca="1"/>
        <v xml:space="preserve">
	//(予約)
	ELSIF uiInfoIdx = 5 THEN
		IF strInfoKey = 'name' THEN
			strRt	:= '(予約)';
		ELSIF strInfoKey = 'index_name' THEN
			strRt	:= '【15】 (予約)';</v>
      </c>
      <c r="AG7" t="str">
        <f ca="1"/>
        <v xml:space="preserve">
	//(予約)
	ELSIF uiInfoIdx = 5 THEN
		IF strInfoKey = 'name' THEN
			strRt	:= '(予約)';
		ELSIF strInfoKey = 'index_name' THEN
			strRt	:= '【15】 (予約)';
		ELSIF strInfoKey = 'model' THEN</v>
      </c>
      <c r="AH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</v>
      </c>
      <c r="AI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</v>
      </c>
      <c r="AJ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</v>
      </c>
      <c r="AK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</v>
      </c>
      <c r="AL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待機位置</v>
      </c>
      <c r="L8" t="str">
        <f ca="1"/>
        <v>待機位置</v>
      </c>
      <c r="N8" t="str">
        <f ca="1"/>
        <v>【21】 待機位置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//待機位置
	IF uiInfoIdx = 1 THEN</v>
      </c>
      <c r="AC8" t="str">
        <f ca="1"/>
        <v xml:space="preserve">
//2
ELSIF strInfoType = 2 THEN
	//待機位置
	IF uiInfoIdx = 1 THEN
		IF strInfoKey = 'name' THEN</v>
      </c>
      <c r="AD8" t="str">
        <f ca="1"/>
        <v xml:space="preserve">
//2
ELSIF strInfoType = 2 THEN
	//待機位置
	IF uiInfoIdx = 1 THEN
		IF strInfoKey = 'name' THEN
			strRt	:= '待機位置';</v>
      </c>
      <c r="AE8" t="str">
        <f ca="1"/>
        <v xml:space="preserve">
//2
ELSIF strInfoType = 2 THEN
	//待機位置
	IF uiInfoIdx = 1 THEN
		IF strInfoKey = 'name' THEN
			strRt	:= '待機位置';
		ELSIF strInfoKey = 'index_name' THEN</v>
      </c>
      <c r="AF8" t="str">
        <f ca="1"/>
        <v xml:space="preserve">
//2
ELSIF strInfoType = 2 THEN
	//待機位置
	IF uiInfoIdx = 1 THEN
		IF strInfoKey = 'name' THEN
			strRt	:= '待機位置';
		ELSIF strInfoKey = 'index_name' THEN
			strRt	:= '【21】 待機位置';</v>
      </c>
      <c r="AG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</v>
      </c>
      <c r="AH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</v>
      </c>
      <c r="AI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</v>
      </c>
      <c r="AJ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</v>
      </c>
      <c r="AK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L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M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(予約)</v>
      </c>
      <c r="L9" t="str">
        <f ca="1"/>
        <v>(予約)</v>
      </c>
      <c r="N9" t="str">
        <f ca="1"/>
        <v>【22】 (予約)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//(予約)
	ELSIF uiInfoIdx = 2 THEN</v>
      </c>
      <c r="AC9" t="str">
        <f ca="1"/>
        <v xml:space="preserve">
	//(予約)
	ELSIF uiInfoIdx = 2 THEN
		IF strInfoKey = 'name' THEN</v>
      </c>
      <c r="AD9" t="str">
        <f ca="1"/>
        <v xml:space="preserve">
	//(予約)
	ELSIF uiInfoIdx = 2 THEN
		IF strInfoKey = 'name' THEN
			strRt	:= '(予約)';</v>
      </c>
      <c r="AE9" t="str">
        <f ca="1"/>
        <v xml:space="preserve">
	//(予約)
	ELSIF uiInfoIdx = 2 THEN
		IF strInfoKey = 'name' THEN
			strRt	:= '(予約)';
		ELSIF strInfoKey = 'index_name' THEN</v>
      </c>
      <c r="AF9" t="str">
        <f ca="1"/>
        <v xml:space="preserve">
	//(予約)
	ELSIF uiInfoIdx = 2 THEN
		IF strInfoKey = 'name' THEN
			strRt	:= '(予約)';
		ELSIF strInfoKey = 'index_name' THEN
			strRt	:= '【22】 (予約)';</v>
      </c>
      <c r="AG9" t="str">
        <f ca="1"/>
        <v xml:space="preserve">
	//(予約)
	ELSIF uiInfoIdx = 2 THEN
		IF strInfoKey = 'name' THEN
			strRt	:= '(予約)';
		ELSIF strInfoKey = 'index_name' THEN
			strRt	:= '【22】 (予約)';
		ELSIF strInfoKey = 'model' THEN</v>
      </c>
      <c r="AH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</v>
      </c>
      <c r="AI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</v>
      </c>
      <c r="AJ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</v>
      </c>
      <c r="AK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L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M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(予約)</v>
      </c>
      <c r="L10" t="str">
        <f ca="1"/>
        <v>(予約)</v>
      </c>
      <c r="N10" t="str">
        <f ca="1"/>
        <v>【23】 (予約)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//(予約)
	ELSIF uiInfoIdx = 3 THEN</v>
      </c>
      <c r="AC10" t="str">
        <f ca="1"/>
        <v xml:space="preserve">
	//(予約)
	ELSIF uiInfoIdx = 3 THEN
		IF strInfoKey = 'name' THEN</v>
      </c>
      <c r="AD10" t="str">
        <f ca="1"/>
        <v xml:space="preserve">
	//(予約)
	ELSIF uiInfoIdx = 3 THEN
		IF strInfoKey = 'name' THEN
			strRt	:= '(予約)';</v>
      </c>
      <c r="AE10" t="str">
        <f ca="1"/>
        <v xml:space="preserve">
	//(予約)
	ELSIF uiInfoIdx = 3 THEN
		IF strInfoKey = 'name' THEN
			strRt	:= '(予約)';
		ELSIF strInfoKey = 'index_name' THEN</v>
      </c>
      <c r="AF10" t="str">
        <f ca="1"/>
        <v xml:space="preserve">
	//(予約)
	ELSIF uiInfoIdx = 3 THEN
		IF strInfoKey = 'name' THEN
			strRt	:= '(予約)';
		ELSIF strInfoKey = 'index_name' THEN
			strRt	:= '【23】 (予約)';</v>
      </c>
      <c r="AG10" t="str">
        <f ca="1"/>
        <v xml:space="preserve">
	//(予約)
	ELSIF uiInfoIdx = 3 THEN
		IF strInfoKey = 'name' THEN
			strRt	:= '(予約)';
		ELSIF strInfoKey = 'index_name' THEN
			strRt	:= '【23】 (予約)';
		ELSIF strInfoKey = 'model' THEN</v>
      </c>
      <c r="AH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</v>
      </c>
      <c r="AI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</v>
      </c>
      <c r="AJ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</v>
      </c>
      <c r="AK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L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M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(予約)</v>
      </c>
      <c r="L11" t="str">
        <f ca="1"/>
        <v>(予約)</v>
      </c>
      <c r="N11" t="str">
        <f ca="1"/>
        <v>【24】 (予約)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//(予約)
	ELSIF uiInfoIdx = 4 THEN</v>
      </c>
      <c r="AC11" t="str">
        <f ca="1"/>
        <v xml:space="preserve">
	//(予約)
	ELSIF uiInfoIdx = 4 THEN
		IF strInfoKey = 'name' THEN</v>
      </c>
      <c r="AD11" t="str">
        <f ca="1"/>
        <v xml:space="preserve">
	//(予約)
	ELSIF uiInfoIdx = 4 THEN
		IF strInfoKey = 'name' THEN
			strRt	:= '(予約)';</v>
      </c>
      <c r="AE11" t="str">
        <f ca="1"/>
        <v xml:space="preserve">
	//(予約)
	ELSIF uiInfoIdx = 4 THEN
		IF strInfoKey = 'name' THEN
			strRt	:= '(予約)';
		ELSIF strInfoKey = 'index_name' THEN</v>
      </c>
      <c r="AF11" t="str">
        <f ca="1"/>
        <v xml:space="preserve">
	//(予約)
	ELSIF uiInfoIdx = 4 THEN
		IF strInfoKey = 'name' THEN
			strRt	:= '(予約)';
		ELSIF strInfoKey = 'index_name' THEN
			strRt	:= '【24】 (予約)';</v>
      </c>
      <c r="AG11" t="str">
        <f ca="1"/>
        <v xml:space="preserve">
	//(予約)
	ELSIF uiInfoIdx = 4 THEN
		IF strInfoKey = 'name' THEN
			strRt	:= '(予約)';
		ELSIF strInfoKey = 'index_name' THEN
			strRt	:= '【24】 (予約)';
		ELSIF strInfoKey = 'model' THEN</v>
      </c>
      <c r="AH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</v>
      </c>
      <c r="AI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</v>
      </c>
      <c r="AJ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</v>
      </c>
      <c r="AK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L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M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(予約)</v>
      </c>
      <c r="L12" t="str">
        <f ca="1"/>
        <v>(予約)</v>
      </c>
      <c r="N12" t="str">
        <f ca="1"/>
        <v>【25】 (予約)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//(予約)
	ELSIF uiInfoIdx = 5 THEN</v>
      </c>
      <c r="AC12" t="str">
        <f ca="1"/>
        <v xml:space="preserve">
	//(予約)
	ELSIF uiInfoIdx = 5 THEN
		IF strInfoKey = 'name' THEN</v>
      </c>
      <c r="AD12" t="str">
        <f ca="1"/>
        <v xml:space="preserve">
	//(予約)
	ELSIF uiInfoIdx = 5 THEN
		IF strInfoKey = 'name' THEN
			strRt	:= '(予約)';</v>
      </c>
      <c r="AE12" t="str">
        <f ca="1"/>
        <v xml:space="preserve">
	//(予約)
	ELSIF uiInfoIdx = 5 THEN
		IF strInfoKey = 'name' THEN
			strRt	:= '(予約)';
		ELSIF strInfoKey = 'index_name' THEN</v>
      </c>
      <c r="AF12" t="str">
        <f ca="1"/>
        <v xml:space="preserve">
	//(予約)
	ELSIF uiInfoIdx = 5 THEN
		IF strInfoKey = 'name' THEN
			strRt	:= '(予約)';
		ELSIF strInfoKey = 'index_name' THEN
			strRt	:= '【25】 (予約)';</v>
      </c>
      <c r="AG12" t="str">
        <f ca="1"/>
        <v xml:space="preserve">
	//(予約)
	ELSIF uiInfoIdx = 5 THEN
		IF strInfoKey = 'name' THEN
			strRt	:= '(予約)';
		ELSIF strInfoKey = 'index_name' THEN
			strRt	:= '【25】 (予約)';
		ELSIF strInfoKey = 'model' THEN</v>
      </c>
      <c r="AH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</v>
      </c>
      <c r="AI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</v>
      </c>
      <c r="AJ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</v>
      </c>
      <c r="AK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</v>
      </c>
      <c r="AL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C:\tk\prj\hg-0025-0016\git\kv-x520\doc\[kv_script_Pos_info.xlsx]info_script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待機位置</v>
      </c>
      <c r="L13" t="str">
        <f ca="1"/>
        <v>待機位置</v>
      </c>
      <c r="N13" t="str">
        <f ca="1"/>
        <v>【31】 待機位置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//待機位置
	IF uiInfoIdx = 1 THEN</v>
      </c>
      <c r="AC13" t="str">
        <f ca="1"/>
        <v xml:space="preserve">
//3
ELSIF strInfoType = 3 THEN
	//待機位置
	IF uiInfoIdx = 1 THEN
		IF strInfoKey = 'name' THEN</v>
      </c>
      <c r="AD13" t="str">
        <f ca="1"/>
        <v xml:space="preserve">
//3
ELSIF strInfoType = 3 THEN
	//待機位置
	IF uiInfoIdx = 1 THEN
		IF strInfoKey = 'name' THEN
			strRt	:= '待機位置';</v>
      </c>
      <c r="AE13" t="str">
        <f ca="1"/>
        <v xml:space="preserve">
//3
ELSIF strInfoType = 3 THEN
	//待機位置
	IF uiInfoIdx = 1 THEN
		IF strInfoKey = 'name' THEN
			strRt	:= '待機位置';
		ELSIF strInfoKey = 'index_name' THEN</v>
      </c>
      <c r="AF13" t="str">
        <f ca="1"/>
        <v xml:space="preserve">
//3
ELSIF strInfoType = 3 THEN
	//待機位置
	IF uiInfoIdx = 1 THEN
		IF strInfoKey = 'name' THEN
			strRt	:= '待機位置';
		ELSIF strInfoKey = 'index_name' THEN
			strRt	:= '【31】 待機位置';</v>
      </c>
      <c r="AG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</v>
      </c>
      <c r="AH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</v>
      </c>
      <c r="AI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</v>
      </c>
      <c r="AJ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</v>
      </c>
      <c r="AK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L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M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(予約)</v>
      </c>
      <c r="L14" t="str">
        <f ca="1"/>
        <v>(予約)</v>
      </c>
      <c r="N14" t="str">
        <f ca="1"/>
        <v>【32】 (予約)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//(予約)
	ELSIF uiInfoIdx = 2 THEN</v>
      </c>
      <c r="AC14" t="str">
        <f ca="1"/>
        <v xml:space="preserve">
	//(予約)
	ELSIF uiInfoIdx = 2 THEN
		IF strInfoKey = 'name' THEN</v>
      </c>
      <c r="AD14" t="str">
        <f ca="1"/>
        <v xml:space="preserve">
	//(予約)
	ELSIF uiInfoIdx = 2 THEN
		IF strInfoKey = 'name' THEN
			strRt	:= '(予約)';</v>
      </c>
      <c r="AE14" t="str">
        <f ca="1"/>
        <v xml:space="preserve">
	//(予約)
	ELSIF uiInfoIdx = 2 THEN
		IF strInfoKey = 'name' THEN
			strRt	:= '(予約)';
		ELSIF strInfoKey = 'index_name' THEN</v>
      </c>
      <c r="AF14" t="str">
        <f ca="1"/>
        <v xml:space="preserve">
	//(予約)
	ELSIF uiInfoIdx = 2 THEN
		IF strInfoKey = 'name' THEN
			strRt	:= '(予約)';
		ELSIF strInfoKey = 'index_name' THEN
			strRt	:= '【32】 (予約)';</v>
      </c>
      <c r="AG14" t="str">
        <f ca="1"/>
        <v xml:space="preserve">
	//(予約)
	ELSIF uiInfoIdx = 2 THEN
		IF strInfoKey = 'name' THEN
			strRt	:= '(予約)';
		ELSIF strInfoKey = 'index_name' THEN
			strRt	:= '【32】 (予約)';
		ELSIF strInfoKey = 'model' THEN</v>
      </c>
      <c r="AH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</v>
      </c>
      <c r="AI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</v>
      </c>
      <c r="AJ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</v>
      </c>
      <c r="AK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L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M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(予約)</v>
      </c>
      <c r="L15" t="str">
        <f ca="1"/>
        <v>(予約)</v>
      </c>
      <c r="N15" t="str">
        <f ca="1"/>
        <v>【33】 (予約)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//(予約)
	ELSIF uiInfoIdx = 3 THEN</v>
      </c>
      <c r="AC15" t="str">
        <f ca="1"/>
        <v xml:space="preserve">
	//(予約)
	ELSIF uiInfoIdx = 3 THEN
		IF strInfoKey = 'name' THEN</v>
      </c>
      <c r="AD15" t="str">
        <f ca="1"/>
        <v xml:space="preserve">
	//(予約)
	ELSIF uiInfoIdx = 3 THEN
		IF strInfoKey = 'name' THEN
			strRt	:= '(予約)';</v>
      </c>
      <c r="AE15" t="str">
        <f ca="1"/>
        <v xml:space="preserve">
	//(予約)
	ELSIF uiInfoIdx = 3 THEN
		IF strInfoKey = 'name' THEN
			strRt	:= '(予約)';
		ELSIF strInfoKey = 'index_name' THEN</v>
      </c>
      <c r="AF15" t="str">
        <f ca="1"/>
        <v xml:space="preserve">
	//(予約)
	ELSIF uiInfoIdx = 3 THEN
		IF strInfoKey = 'name' THEN
			strRt	:= '(予約)';
		ELSIF strInfoKey = 'index_name' THEN
			strRt	:= '【33】 (予約)';</v>
      </c>
      <c r="AG15" t="str">
        <f ca="1"/>
        <v xml:space="preserve">
	//(予約)
	ELSIF uiInfoIdx = 3 THEN
		IF strInfoKey = 'name' THEN
			strRt	:= '(予約)';
		ELSIF strInfoKey = 'index_name' THEN
			strRt	:= '【33】 (予約)';
		ELSIF strInfoKey = 'model' THEN</v>
      </c>
      <c r="AH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</v>
      </c>
      <c r="AI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</v>
      </c>
      <c r="AJ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</v>
      </c>
      <c r="AK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L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M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(予約)</v>
      </c>
      <c r="L16" t="str">
        <f ca="1"/>
        <v>(予約)</v>
      </c>
      <c r="N16" t="str">
        <f ca="1"/>
        <v>【34】 (予約)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//(予約)
	ELSIF uiInfoIdx = 4 THEN</v>
      </c>
      <c r="AC16" t="str">
        <f ca="1"/>
        <v xml:space="preserve">
	//(予約)
	ELSIF uiInfoIdx = 4 THEN
		IF strInfoKey = 'name' THEN</v>
      </c>
      <c r="AD16" t="str">
        <f ca="1"/>
        <v xml:space="preserve">
	//(予約)
	ELSIF uiInfoIdx = 4 THEN
		IF strInfoKey = 'name' THEN
			strRt	:= '(予約)';</v>
      </c>
      <c r="AE16" t="str">
        <f ca="1"/>
        <v xml:space="preserve">
	//(予約)
	ELSIF uiInfoIdx = 4 THEN
		IF strInfoKey = 'name' THEN
			strRt	:= '(予約)';
		ELSIF strInfoKey = 'index_name' THEN</v>
      </c>
      <c r="AF16" t="str">
        <f ca="1"/>
        <v xml:space="preserve">
	//(予約)
	ELSIF uiInfoIdx = 4 THEN
		IF strInfoKey = 'name' THEN
			strRt	:= '(予約)';
		ELSIF strInfoKey = 'index_name' THEN
			strRt	:= '【34】 (予約)';</v>
      </c>
      <c r="AG16" t="str">
        <f ca="1"/>
        <v xml:space="preserve">
	//(予約)
	ELSIF uiInfoIdx = 4 THEN
		IF strInfoKey = 'name' THEN
			strRt	:= '(予約)';
		ELSIF strInfoKey = 'index_name' THEN
			strRt	:= '【34】 (予約)';
		ELSIF strInfoKey = 'model' THEN</v>
      </c>
      <c r="AH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</v>
      </c>
      <c r="AI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</v>
      </c>
      <c r="AJ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</v>
      </c>
      <c r="AK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L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M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(予約)</v>
      </c>
      <c r="L17" t="str">
        <f ca="1"/>
        <v>(予約)</v>
      </c>
      <c r="N17" t="str">
        <f ca="1"/>
        <v>【35】 (予約)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//(予約)
	ELSIF uiInfoIdx = 5 THEN</v>
      </c>
      <c r="AC17" t="str">
        <f ca="1"/>
        <v xml:space="preserve">
	//(予約)
	ELSIF uiInfoIdx = 5 THEN
		IF strInfoKey = 'name' THEN</v>
      </c>
      <c r="AD17" t="str">
        <f ca="1"/>
        <v xml:space="preserve">
	//(予約)
	ELSIF uiInfoIdx = 5 THEN
		IF strInfoKey = 'name' THEN
			strRt	:= '(予約)';</v>
      </c>
      <c r="AE17" t="str">
        <f ca="1"/>
        <v xml:space="preserve">
	//(予約)
	ELSIF uiInfoIdx = 5 THEN
		IF strInfoKey = 'name' THEN
			strRt	:= '(予約)';
		ELSIF strInfoKey = 'index_name' THEN</v>
      </c>
      <c r="AF17" t="str">
        <f ca="1"/>
        <v xml:space="preserve">
	//(予約)
	ELSIF uiInfoIdx = 5 THEN
		IF strInfoKey = 'name' THEN
			strRt	:= '(予約)';
		ELSIF strInfoKey = 'index_name' THEN
			strRt	:= '【35】 (予約)';</v>
      </c>
      <c r="AG17" t="str">
        <f ca="1"/>
        <v xml:space="preserve">
	//(予約)
	ELSIF uiInfoIdx = 5 THEN
		IF strInfoKey = 'name' THEN
			strRt	:= '(予約)';
		ELSIF strInfoKey = 'index_name' THEN
			strRt	:= '【35】 (予約)';
		ELSIF strInfoKey = 'model' THEN</v>
      </c>
      <c r="AH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</v>
      </c>
      <c r="AI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</v>
      </c>
      <c r="AJ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</v>
      </c>
      <c r="AK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</v>
      </c>
      <c r="AL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待機位置</v>
      </c>
      <c r="L18" t="str">
        <f ca="1"/>
        <v>待機位置</v>
      </c>
      <c r="N18" t="str">
        <f ca="1"/>
        <v>【41】 待機位置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//待機位置
	IF uiInfoIdx = 1 THEN</v>
      </c>
      <c r="AC18" t="str">
        <f ca="1"/>
        <v xml:space="preserve">
//4
ELSIF strInfoType = 4 THEN
	//待機位置
	IF uiInfoIdx = 1 THEN
		IF strInfoKey = 'name' THEN</v>
      </c>
      <c r="AD18" t="str">
        <f ca="1"/>
        <v xml:space="preserve">
//4
ELSIF strInfoType = 4 THEN
	//待機位置
	IF uiInfoIdx = 1 THEN
		IF strInfoKey = 'name' THEN
			strRt	:= '待機位置';</v>
      </c>
      <c r="AE18" t="str">
        <f ca="1"/>
        <v xml:space="preserve">
//4
ELSIF strInfoType = 4 THEN
	//待機位置
	IF uiInfoIdx = 1 THEN
		IF strInfoKey = 'name' THEN
			strRt	:= '待機位置';
		ELSIF strInfoKey = 'index_name' THEN</v>
      </c>
      <c r="AF18" t="str">
        <f ca="1"/>
        <v xml:space="preserve">
//4
ELSIF strInfoType = 4 THEN
	//待機位置
	IF uiInfoIdx = 1 THEN
		IF strInfoKey = 'name' THEN
			strRt	:= '待機位置';
		ELSIF strInfoKey = 'index_name' THEN
			strRt	:= '【41】 待機位置';</v>
      </c>
      <c r="AG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</v>
      </c>
      <c r="AH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</v>
      </c>
      <c r="AI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</v>
      </c>
      <c r="AJ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</v>
      </c>
      <c r="AK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L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M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(予約)</v>
      </c>
      <c r="L19" t="str">
        <f ca="1"/>
        <v>(予約)</v>
      </c>
      <c r="N19" t="str">
        <f ca="1"/>
        <v>【42】 (予約)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//(予約)
	ELSIF uiInfoIdx = 2 THEN</v>
      </c>
      <c r="AC19" t="str">
        <f ca="1"/>
        <v xml:space="preserve">
	//(予約)
	ELSIF uiInfoIdx = 2 THEN
		IF strInfoKey = 'name' THEN</v>
      </c>
      <c r="AD19" t="str">
        <f ca="1"/>
        <v xml:space="preserve">
	//(予約)
	ELSIF uiInfoIdx = 2 THEN
		IF strInfoKey = 'name' THEN
			strRt	:= '(予約)';</v>
      </c>
      <c r="AE19" t="str">
        <f ca="1"/>
        <v xml:space="preserve">
	//(予約)
	ELSIF uiInfoIdx = 2 THEN
		IF strInfoKey = 'name' THEN
			strRt	:= '(予約)';
		ELSIF strInfoKey = 'index_name' THEN</v>
      </c>
      <c r="AF19" t="str">
        <f ca="1"/>
        <v xml:space="preserve">
	//(予約)
	ELSIF uiInfoIdx = 2 THEN
		IF strInfoKey = 'name' THEN
			strRt	:= '(予約)';
		ELSIF strInfoKey = 'index_name' THEN
			strRt	:= '【42】 (予約)';</v>
      </c>
      <c r="AG19" t="str">
        <f ca="1"/>
        <v xml:space="preserve">
	//(予約)
	ELSIF uiInfoIdx = 2 THEN
		IF strInfoKey = 'name' THEN
			strRt	:= '(予約)';
		ELSIF strInfoKey = 'index_name' THEN
			strRt	:= '【42】 (予約)';
		ELSIF strInfoKey = 'model' THEN</v>
      </c>
      <c r="AH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</v>
      </c>
      <c r="AI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</v>
      </c>
      <c r="AJ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</v>
      </c>
      <c r="AK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L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M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(予約)</v>
      </c>
      <c r="L20" t="str">
        <f ca="1"/>
        <v>(予約)</v>
      </c>
      <c r="N20" t="str">
        <f ca="1"/>
        <v>【43】 (予約)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//(予約)
	ELSIF uiInfoIdx = 3 THEN</v>
      </c>
      <c r="AC20" t="str">
        <f ca="1"/>
        <v xml:space="preserve">
	//(予約)
	ELSIF uiInfoIdx = 3 THEN
		IF strInfoKey = 'name' THEN</v>
      </c>
      <c r="AD20" t="str">
        <f ca="1"/>
        <v xml:space="preserve">
	//(予約)
	ELSIF uiInfoIdx = 3 THEN
		IF strInfoKey = 'name' THEN
			strRt	:= '(予約)';</v>
      </c>
      <c r="AE20" t="str">
        <f ca="1"/>
        <v xml:space="preserve">
	//(予約)
	ELSIF uiInfoIdx = 3 THEN
		IF strInfoKey = 'name' THEN
			strRt	:= '(予約)';
		ELSIF strInfoKey = 'index_name' THEN</v>
      </c>
      <c r="AF20" t="str">
        <f ca="1"/>
        <v xml:space="preserve">
	//(予約)
	ELSIF uiInfoIdx = 3 THEN
		IF strInfoKey = 'name' THEN
			strRt	:= '(予約)';
		ELSIF strInfoKey = 'index_name' THEN
			strRt	:= '【43】 (予約)';</v>
      </c>
      <c r="AG20" t="str">
        <f ca="1"/>
        <v xml:space="preserve">
	//(予約)
	ELSIF uiInfoIdx = 3 THEN
		IF strInfoKey = 'name' THEN
			strRt	:= '(予約)';
		ELSIF strInfoKey = 'index_name' THEN
			strRt	:= '【43】 (予約)';
		ELSIF strInfoKey = 'model' THEN</v>
      </c>
      <c r="AH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</v>
      </c>
      <c r="AI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</v>
      </c>
      <c r="AJ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</v>
      </c>
      <c r="AK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L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M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(予約)</v>
      </c>
      <c r="L21" t="str">
        <f ca="1"/>
        <v>(予約)</v>
      </c>
      <c r="N21" t="str">
        <f ca="1"/>
        <v>【44】 (予約)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//(予約)
	ELSIF uiInfoIdx = 4 THEN</v>
      </c>
      <c r="AC21" t="str">
        <f ca="1"/>
        <v xml:space="preserve">
	//(予約)
	ELSIF uiInfoIdx = 4 THEN
		IF strInfoKey = 'name' THEN</v>
      </c>
      <c r="AD21" t="str">
        <f ca="1"/>
        <v xml:space="preserve">
	//(予約)
	ELSIF uiInfoIdx = 4 THEN
		IF strInfoKey = 'name' THEN
			strRt	:= '(予約)';</v>
      </c>
      <c r="AE21" t="str">
        <f ca="1"/>
        <v xml:space="preserve">
	//(予約)
	ELSIF uiInfoIdx = 4 THEN
		IF strInfoKey = 'name' THEN
			strRt	:= '(予約)';
		ELSIF strInfoKey = 'index_name' THEN</v>
      </c>
      <c r="AF21" t="str">
        <f ca="1"/>
        <v xml:space="preserve">
	//(予約)
	ELSIF uiInfoIdx = 4 THEN
		IF strInfoKey = 'name' THEN
			strRt	:= '(予約)';
		ELSIF strInfoKey = 'index_name' THEN
			strRt	:= '【44】 (予約)';</v>
      </c>
      <c r="AG21" t="str">
        <f ca="1"/>
        <v xml:space="preserve">
	//(予約)
	ELSIF uiInfoIdx = 4 THEN
		IF strInfoKey = 'name' THEN
			strRt	:= '(予約)';
		ELSIF strInfoKey = 'index_name' THEN
			strRt	:= '【44】 (予約)';
		ELSIF strInfoKey = 'model' THEN</v>
      </c>
      <c r="AH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</v>
      </c>
      <c r="AI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</v>
      </c>
      <c r="AJ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</v>
      </c>
      <c r="AK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L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M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(予約)</v>
      </c>
      <c r="L22" t="str">
        <f ca="1"/>
        <v>(予約)</v>
      </c>
      <c r="N22" t="str">
        <f ca="1"/>
        <v>【45】 (予約)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//(予約)
	ELSIF uiInfoIdx = 5 THEN</v>
      </c>
      <c r="AC22" t="str">
        <f ca="1"/>
        <v xml:space="preserve">
	//(予約)
	ELSIF uiInfoIdx = 5 THEN
		IF strInfoKey = 'name' THEN</v>
      </c>
      <c r="AD22" t="str">
        <f ca="1"/>
        <v xml:space="preserve">
	//(予約)
	ELSIF uiInfoIdx = 5 THEN
		IF strInfoKey = 'name' THEN
			strRt	:= '(予約)';</v>
      </c>
      <c r="AE22" t="str">
        <f ca="1"/>
        <v xml:space="preserve">
	//(予約)
	ELSIF uiInfoIdx = 5 THEN
		IF strInfoKey = 'name' THEN
			strRt	:= '(予約)';
		ELSIF strInfoKey = 'index_name' THEN</v>
      </c>
      <c r="AF22" t="str">
        <f ca="1"/>
        <v xml:space="preserve">
	//(予約)
	ELSIF uiInfoIdx = 5 THEN
		IF strInfoKey = 'name' THEN
			strRt	:= '(予約)';
		ELSIF strInfoKey = 'index_name' THEN
			strRt	:= '【45】 (予約)';</v>
      </c>
      <c r="AG22" t="str">
        <f ca="1"/>
        <v xml:space="preserve">
	//(予約)
	ELSIF uiInfoIdx = 5 THEN
		IF strInfoKey = 'name' THEN
			strRt	:= '(予約)';
		ELSIF strInfoKey = 'index_name' THEN
			strRt	:= '【45】 (予約)';
		ELSIF strInfoKey = 'model' THEN</v>
      </c>
      <c r="AH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</v>
      </c>
      <c r="AI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</v>
      </c>
      <c r="AJ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</v>
      </c>
      <c r="AK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</v>
      </c>
      <c r="AL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待機位置</v>
      </c>
      <c r="L23" t="str">
        <f ca="1"/>
        <v>待機位置</v>
      </c>
      <c r="N23" t="str">
        <f ca="1"/>
        <v>【51】 待機位置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//待機位置
	IF uiInfoIdx = 1 THEN</v>
      </c>
      <c r="AC23" t="str">
        <f ca="1"/>
        <v xml:space="preserve">
//5
ELSIF strInfoType = 5 THEN
	//待機位置
	IF uiInfoIdx = 1 THEN
		IF strInfoKey = 'name' THEN</v>
      </c>
      <c r="AD23" t="str">
        <f ca="1"/>
        <v xml:space="preserve">
//5
ELSIF strInfoType = 5 THEN
	//待機位置
	IF uiInfoIdx = 1 THEN
		IF strInfoKey = 'name' THEN
			strRt	:= '待機位置';</v>
      </c>
      <c r="AE23" t="str">
        <f ca="1"/>
        <v xml:space="preserve">
//5
ELSIF strInfoType = 5 THEN
	//待機位置
	IF uiInfoIdx = 1 THEN
		IF strInfoKey = 'name' THEN
			strRt	:= '待機位置';
		ELSIF strInfoKey = 'index_name' THEN</v>
      </c>
      <c r="AF23" t="str">
        <f ca="1"/>
        <v xml:space="preserve">
//5
ELSIF strInfoType = 5 THEN
	//待機位置
	IF uiInfoIdx = 1 THEN
		IF strInfoKey = 'name' THEN
			strRt	:= '待機位置';
		ELSIF strInfoKey = 'index_name' THEN
			strRt	:= '【51】 待機位置';</v>
      </c>
      <c r="AG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</v>
      </c>
      <c r="AH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</v>
      </c>
      <c r="AI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</v>
      </c>
      <c r="AJ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</v>
      </c>
      <c r="AK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L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M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検査待機位置</v>
      </c>
      <c r="L24" t="str">
        <f ca="1"/>
        <v>検査待機位置</v>
      </c>
      <c r="N24" t="str">
        <f ca="1"/>
        <v>【52】 検査待機位置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//検査待機位置
	ELSIF uiInfoIdx = 2 THEN</v>
      </c>
      <c r="AC24" t="str">
        <f ca="1"/>
        <v xml:space="preserve">
	//検査待機位置
	ELSIF uiInfoIdx = 2 THEN
		IF strInfoKey = 'name' THEN</v>
      </c>
      <c r="AD24" t="str">
        <f ca="1"/>
        <v xml:space="preserve">
	//検査待機位置
	ELSIF uiInfoIdx = 2 THEN
		IF strInfoKey = 'name' THEN
			strRt	:= '検査待機位置';</v>
      </c>
      <c r="AE24" t="str">
        <f ca="1"/>
        <v xml:space="preserve">
	//検査待機位置
	ELSIF uiInfoIdx = 2 THEN
		IF strInfoKey = 'name' THEN
			strRt	:= '検査待機位置';
		ELSIF strInfoKey = 'index_name' THEN</v>
      </c>
      <c r="AF24" t="str">
        <f ca="1"/>
        <v xml:space="preserve">
	//検査待機位置
	ELSIF uiInfoIdx = 2 THEN
		IF strInfoKey = 'name' THEN
			strRt	:= '検査待機位置';
		ELSIF strInfoKey = 'index_name' THEN
			strRt	:= '【52】 検査待機位置';</v>
      </c>
      <c r="AG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</v>
      </c>
      <c r="AH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</v>
      </c>
      <c r="AI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</v>
      </c>
      <c r="AJ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</v>
      </c>
      <c r="AK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L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M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受取排出位置</v>
      </c>
      <c r="L25" t="str">
        <f ca="1"/>
        <v>受取排出位置</v>
      </c>
      <c r="N25" t="str">
        <f ca="1"/>
        <v>【53】 受取排出位置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//受取排出位置
	ELSIF uiInfoIdx = 3 THEN</v>
      </c>
      <c r="AC25" t="str">
        <f ca="1"/>
        <v xml:space="preserve">
	//受取排出位置
	ELSIF uiInfoIdx = 3 THEN
		IF strInfoKey = 'name' THEN</v>
      </c>
      <c r="AD25" t="str">
        <f ca="1"/>
        <v xml:space="preserve">
	//受取排出位置
	ELSIF uiInfoIdx = 3 THEN
		IF strInfoKey = 'name' THEN
			strRt	:= '受取排出位置';</v>
      </c>
      <c r="AE25" t="str">
        <f ca="1"/>
        <v xml:space="preserve">
	//受取排出位置
	ELSIF uiInfoIdx = 3 THEN
		IF strInfoKey = 'name' THEN
			strRt	:= '受取排出位置';
		ELSIF strInfoKey = 'index_name' THEN</v>
      </c>
      <c r="AF25" t="str">
        <f ca="1"/>
        <v xml:space="preserve">
	//受取排出位置
	ELSIF uiInfoIdx = 3 THEN
		IF strInfoKey = 'name' THEN
			strRt	:= '受取排出位置';
		ELSIF strInfoKey = 'index_name' THEN
			strRt	:= '【53】 受取排出位置';</v>
      </c>
      <c r="AG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</v>
      </c>
      <c r="AH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</v>
      </c>
      <c r="AI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</v>
      </c>
      <c r="AJ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</v>
      </c>
      <c r="AK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L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M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受取渡し位置</v>
      </c>
      <c r="L26" t="str">
        <f ca="1"/>
        <v>受取渡し位置</v>
      </c>
      <c r="N26" t="str">
        <f ca="1"/>
        <v>【54】 受取渡し位置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//受取渡し位置
	ELSIF uiInfoIdx = 4 THEN</v>
      </c>
      <c r="AC26" t="str">
        <f ca="1"/>
        <v xml:space="preserve">
	//受取渡し位置
	ELSIF uiInfoIdx = 4 THEN
		IF strInfoKey = 'name' THEN</v>
      </c>
      <c r="AD26" t="str">
        <f ca="1"/>
        <v xml:space="preserve">
	//受取渡し位置
	ELSIF uiInfoIdx = 4 THEN
		IF strInfoKey = 'name' THEN
			strRt	:= '受取渡し位置';</v>
      </c>
      <c r="AE26" t="str">
        <f ca="1"/>
        <v xml:space="preserve">
	//受取渡し位置
	ELSIF uiInfoIdx = 4 THEN
		IF strInfoKey = 'name' THEN
			strRt	:= '受取渡し位置';
		ELSIF strInfoKey = 'index_name' THEN</v>
      </c>
      <c r="AF26" t="str">
        <f ca="1"/>
        <v xml:space="preserve">
	//受取渡し位置
	ELSIF uiInfoIdx = 4 THEN
		IF strInfoKey = 'name' THEN
			strRt	:= '受取渡し位置';
		ELSIF strInfoKey = 'index_name' THEN
			strRt	:= '【54】 受取渡し位置';</v>
      </c>
      <c r="AG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</v>
      </c>
      <c r="AH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</v>
      </c>
      <c r="AI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</v>
      </c>
      <c r="AJ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</v>
      </c>
      <c r="AK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L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M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(予約)</v>
      </c>
      <c r="L27" t="str">
        <f ca="1"/>
        <v>(予約)</v>
      </c>
      <c r="N27" t="str">
        <f ca="1"/>
        <v>【55】 (予約)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//(予約)
	ELSIF uiInfoIdx = 5 THEN</v>
      </c>
      <c r="AC27" t="str">
        <f ca="1"/>
        <v xml:space="preserve">
	//(予約)
	ELSIF uiInfoIdx = 5 THEN
		IF strInfoKey = 'name' THEN</v>
      </c>
      <c r="AD27" t="str">
        <f ca="1"/>
        <v xml:space="preserve">
	//(予約)
	ELSIF uiInfoIdx = 5 THEN
		IF strInfoKey = 'name' THEN
			strRt	:= '(予約)';</v>
      </c>
      <c r="AE27" t="str">
        <f ca="1"/>
        <v xml:space="preserve">
	//(予約)
	ELSIF uiInfoIdx = 5 THEN
		IF strInfoKey = 'name' THEN
			strRt	:= '(予約)';
		ELSIF strInfoKey = 'index_name' THEN</v>
      </c>
      <c r="AF27" t="str">
        <f ca="1"/>
        <v xml:space="preserve">
	//(予約)
	ELSIF uiInfoIdx = 5 THEN
		IF strInfoKey = 'name' THEN
			strRt	:= '(予約)';
		ELSIF strInfoKey = 'index_name' THEN
			strRt	:= '【55】 (予約)';</v>
      </c>
      <c r="AG27" t="str">
        <f ca="1"/>
        <v xml:space="preserve">
	//(予約)
	ELSIF uiInfoIdx = 5 THEN
		IF strInfoKey = 'name' THEN
			strRt	:= '(予約)';
		ELSIF strInfoKey = 'index_name' THEN
			strRt	:= '【55】 (予約)';
		ELSIF strInfoKey = 'model' THEN</v>
      </c>
      <c r="AH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</v>
      </c>
      <c r="AI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</v>
      </c>
      <c r="AJ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</v>
      </c>
      <c r="AK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</v>
      </c>
      <c r="AL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待機位置</v>
      </c>
      <c r="L28" t="str">
        <f ca="1"/>
        <v>待機位置</v>
      </c>
      <c r="N28" t="str">
        <f ca="1"/>
        <v>【61】 待機位置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//待機位置
	IF uiInfoIdx = 1 THEN</v>
      </c>
      <c r="AC28" t="str">
        <f ca="1"/>
        <v xml:space="preserve">
//6
ELSIF strInfoType = 6 THEN
	//待機位置
	IF uiInfoIdx = 1 THEN
		IF strInfoKey = 'name' THEN</v>
      </c>
      <c r="AD28" t="str">
        <f ca="1"/>
        <v xml:space="preserve">
//6
ELSIF strInfoType = 6 THEN
	//待機位置
	IF uiInfoIdx = 1 THEN
		IF strInfoKey = 'name' THEN
			strRt	:= '待機位置';</v>
      </c>
      <c r="AE28" t="str">
        <f ca="1"/>
        <v xml:space="preserve">
//6
ELSIF strInfoType = 6 THEN
	//待機位置
	IF uiInfoIdx = 1 THEN
		IF strInfoKey = 'name' THEN
			strRt	:= '待機位置';
		ELSIF strInfoKey = 'index_name' THEN</v>
      </c>
      <c r="AF28" t="str">
        <f ca="1"/>
        <v xml:space="preserve">
//6
ELSIF strInfoType = 6 THEN
	//待機位置
	IF uiInfoIdx = 1 THEN
		IF strInfoKey = 'name' THEN
			strRt	:= '待機位置';
		ELSIF strInfoKey = 'index_name' THEN
			strRt	:= '【61】 待機位置';</v>
      </c>
      <c r="AG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</v>
      </c>
      <c r="AH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</v>
      </c>
      <c r="AI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</v>
      </c>
      <c r="AJ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</v>
      </c>
      <c r="AK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L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M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計測位置</v>
      </c>
      <c r="L29" t="str">
        <f ca="1"/>
        <v>計測位置</v>
      </c>
      <c r="N29" t="str">
        <f ca="1"/>
        <v>【62】 計測位置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//計測位置
	ELSIF uiInfoIdx = 2 THEN</v>
      </c>
      <c r="AC29" t="str">
        <f ca="1"/>
        <v xml:space="preserve">
	//計測位置
	ELSIF uiInfoIdx = 2 THEN
		IF strInfoKey = 'name' THEN</v>
      </c>
      <c r="AD29" t="str">
        <f ca="1"/>
        <v xml:space="preserve">
	//計測位置
	ELSIF uiInfoIdx = 2 THEN
		IF strInfoKey = 'name' THEN
			strRt	:= '計測位置';</v>
      </c>
      <c r="AE29" t="str">
        <f ca="1"/>
        <v xml:space="preserve">
	//計測位置
	ELSIF uiInfoIdx = 2 THEN
		IF strInfoKey = 'name' THEN
			strRt	:= '計測位置';
		ELSIF strInfoKey = 'index_name' THEN</v>
      </c>
      <c r="AF29" t="str">
        <f ca="1"/>
        <v xml:space="preserve">
	//計測位置
	ELSIF uiInfoIdx = 2 THEN
		IF strInfoKey = 'name' THEN
			strRt	:= '計測位置';
		ELSIF strInfoKey = 'index_name' THEN
			strRt	:= '【62】 計測位置';</v>
      </c>
      <c r="AG29" t="str">
        <f ca="1"/>
        <v xml:space="preserve">
	//計測位置
	ELSIF uiInfoIdx = 2 THEN
		IF strInfoKey = 'name' THEN
			strRt	:= '計測位置';
		ELSIF strInfoKey = 'index_name' THEN
			strRt	:= '【62】 計測位置';
		ELSIF strInfoKey = 'model' THEN</v>
      </c>
      <c r="AH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</v>
      </c>
      <c r="AI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</v>
      </c>
      <c r="AJ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</v>
      </c>
      <c r="AK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L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M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(予約)</v>
      </c>
      <c r="L30" t="str">
        <f ca="1"/>
        <v>(予約)</v>
      </c>
      <c r="N30" t="str">
        <f ca="1"/>
        <v>【63】 (予約)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//(予約)
	ELSIF uiInfoIdx = 3 THEN</v>
      </c>
      <c r="AC30" t="str">
        <f ca="1"/>
        <v xml:space="preserve">
	//(予約)
	ELSIF uiInfoIdx = 3 THEN
		IF strInfoKey = 'name' THEN</v>
      </c>
      <c r="AD30" t="str">
        <f ca="1"/>
        <v xml:space="preserve">
	//(予約)
	ELSIF uiInfoIdx = 3 THEN
		IF strInfoKey = 'name' THEN
			strRt	:= '(予約)';</v>
      </c>
      <c r="AE30" t="str">
        <f ca="1"/>
        <v xml:space="preserve">
	//(予約)
	ELSIF uiInfoIdx = 3 THEN
		IF strInfoKey = 'name' THEN
			strRt	:= '(予約)';
		ELSIF strInfoKey = 'index_name' THEN</v>
      </c>
      <c r="AF30" t="str">
        <f ca="1"/>
        <v xml:space="preserve">
	//(予約)
	ELSIF uiInfoIdx = 3 THEN
		IF strInfoKey = 'name' THEN
			strRt	:= '(予約)';
		ELSIF strInfoKey = 'index_name' THEN
			strRt	:= '【63】 (予約)';</v>
      </c>
      <c r="AG30" t="str">
        <f ca="1"/>
        <v xml:space="preserve">
	//(予約)
	ELSIF uiInfoIdx = 3 THEN
		IF strInfoKey = 'name' THEN
			strRt	:= '(予約)';
		ELSIF strInfoKey = 'index_name' THEN
			strRt	:= '【63】 (予約)';
		ELSIF strInfoKey = 'model' THEN</v>
      </c>
      <c r="AH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</v>
      </c>
      <c r="AI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</v>
      </c>
      <c r="AJ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</v>
      </c>
      <c r="AK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L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M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(予約)</v>
      </c>
      <c r="L31" t="str">
        <f ca="1"/>
        <v>(予約)</v>
      </c>
      <c r="N31" t="str">
        <f ca="1"/>
        <v>【64】 (予約)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//(予約)
	ELSIF uiInfoIdx = 4 THEN</v>
      </c>
      <c r="AC31" t="str">
        <f ca="1"/>
        <v xml:space="preserve">
	//(予約)
	ELSIF uiInfoIdx = 4 THEN
		IF strInfoKey = 'name' THEN</v>
      </c>
      <c r="AD31" t="str">
        <f ca="1"/>
        <v xml:space="preserve">
	//(予約)
	ELSIF uiInfoIdx = 4 THEN
		IF strInfoKey = 'name' THEN
			strRt	:= '(予約)';</v>
      </c>
      <c r="AE31" t="str">
        <f ca="1"/>
        <v xml:space="preserve">
	//(予約)
	ELSIF uiInfoIdx = 4 THEN
		IF strInfoKey = 'name' THEN
			strRt	:= '(予約)';
		ELSIF strInfoKey = 'index_name' THEN</v>
      </c>
      <c r="AF31" t="str">
        <f ca="1"/>
        <v xml:space="preserve">
	//(予約)
	ELSIF uiInfoIdx = 4 THEN
		IF strInfoKey = 'name' THEN
			strRt	:= '(予約)';
		ELSIF strInfoKey = 'index_name' THEN
			strRt	:= '【64】 (予約)';</v>
      </c>
      <c r="AG31" t="str">
        <f ca="1"/>
        <v xml:space="preserve">
	//(予約)
	ELSIF uiInfoIdx = 4 THEN
		IF strInfoKey = 'name' THEN
			strRt	:= '(予約)';
		ELSIF strInfoKey = 'index_name' THEN
			strRt	:= '【64】 (予約)';
		ELSIF strInfoKey = 'model' THEN</v>
      </c>
      <c r="AH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</v>
      </c>
      <c r="AI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</v>
      </c>
      <c r="AJ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</v>
      </c>
      <c r="AK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L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M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(予約)</v>
      </c>
      <c r="L32" t="str">
        <f ca="1"/>
        <v>(予約)</v>
      </c>
      <c r="N32" t="str">
        <f ca="1"/>
        <v>【65】 (予約)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//(予約)
	ELSIF uiInfoIdx = 5 THEN</v>
      </c>
      <c r="AC32" t="str">
        <f ca="1"/>
        <v xml:space="preserve">
	//(予約)
	ELSIF uiInfoIdx = 5 THEN
		IF strInfoKey = 'name' THEN</v>
      </c>
      <c r="AD32" t="str">
        <f ca="1"/>
        <v xml:space="preserve">
	//(予約)
	ELSIF uiInfoIdx = 5 THEN
		IF strInfoKey = 'name' THEN
			strRt	:= '(予約)';</v>
      </c>
      <c r="AE32" t="str">
        <f ca="1"/>
        <v xml:space="preserve">
	//(予約)
	ELSIF uiInfoIdx = 5 THEN
		IF strInfoKey = 'name' THEN
			strRt	:= '(予約)';
		ELSIF strInfoKey = 'index_name' THEN</v>
      </c>
      <c r="AF32" t="str">
        <f ca="1"/>
        <v xml:space="preserve">
	//(予約)
	ELSIF uiInfoIdx = 5 THEN
		IF strInfoKey = 'name' THEN
			strRt	:= '(予約)';
		ELSIF strInfoKey = 'index_name' THEN
			strRt	:= '【65】 (予約)';</v>
      </c>
      <c r="AG32" t="str">
        <f ca="1"/>
        <v xml:space="preserve">
	//(予約)
	ELSIF uiInfoIdx = 5 THEN
		IF strInfoKey = 'name' THEN
			strRt	:= '(予約)';
		ELSIF strInfoKey = 'index_name' THEN
			strRt	:= '【65】 (予約)';
		ELSIF strInfoKey = 'model' THEN</v>
      </c>
      <c r="AH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</v>
      </c>
      <c r="AI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</v>
      </c>
      <c r="AJ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</v>
      </c>
      <c r="AK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</v>
      </c>
      <c r="AL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ひらき位置</v>
      </c>
      <c r="L33" t="str">
        <f ca="1"/>
        <v>ひらき位置</v>
      </c>
      <c r="N33" t="str">
        <f ca="1"/>
        <v>【71】 ひらき位置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//ひらき位置
	IF uiInfoIdx = 1 THEN</v>
      </c>
      <c r="AC33" t="str">
        <f ca="1"/>
        <v xml:space="preserve">
//7
ELSIF strInfoType = 7 THEN
	//ひらき位置
	IF uiInfoIdx = 1 THEN
		IF strInfoKey = 'name' THEN</v>
      </c>
      <c r="AD33" t="str">
        <f ca="1"/>
        <v xml:space="preserve">
//7
ELSIF strInfoType = 7 THEN
	//ひらき位置
	IF uiInfoIdx = 1 THEN
		IF strInfoKey = 'name' THEN
			strRt	:= 'ひらき位置';</v>
      </c>
      <c r="AE33" t="str">
        <f ca="1"/>
        <v xml:space="preserve">
//7
ELSIF strInfoType = 7 THEN
	//ひらき位置
	IF uiInfoIdx = 1 THEN
		IF strInfoKey = 'name' THEN
			strRt	:= 'ひらき位置';
		ELSIF strInfoKey = 'index_name' THEN</v>
      </c>
      <c r="AF33" t="str">
        <f ca="1"/>
        <v xml:space="preserve">
//7
ELSIF strInfoType = 7 THEN
	//ひらき位置
	IF uiInfoIdx = 1 THEN
		IF strInfoKey = 'name' THEN
			strRt	:= 'ひらき位置';
		ELSIF strInfoKey = 'index_name' THEN
			strRt	:= '【71】 ひらき位置';</v>
      </c>
      <c r="AG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</v>
      </c>
      <c r="AH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</v>
      </c>
      <c r="AI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</v>
      </c>
      <c r="AJ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</v>
      </c>
      <c r="AK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L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M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とじ位置</v>
      </c>
      <c r="L34" t="str">
        <f ca="1"/>
        <v>とじ位置</v>
      </c>
      <c r="N34" t="str">
        <f ca="1"/>
        <v>【72】 とじ位置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//とじ位置
	ELSIF uiInfoIdx = 2 THEN</v>
      </c>
      <c r="AC34" t="str">
        <f ca="1"/>
        <v xml:space="preserve">
	//とじ位置
	ELSIF uiInfoIdx = 2 THEN
		IF strInfoKey = 'name' THEN</v>
      </c>
      <c r="AD34" t="str">
        <f ca="1"/>
        <v xml:space="preserve">
	//とじ位置
	ELSIF uiInfoIdx = 2 THEN
		IF strInfoKey = 'name' THEN
			strRt	:= 'とじ位置';</v>
      </c>
      <c r="AE34" t="str">
        <f ca="1"/>
        <v xml:space="preserve">
	//とじ位置
	ELSIF uiInfoIdx = 2 THEN
		IF strInfoKey = 'name' THEN
			strRt	:= 'とじ位置';
		ELSIF strInfoKey = 'index_name' THEN</v>
      </c>
      <c r="AF34" t="str">
        <f ca="1"/>
        <v xml:space="preserve">
	//とじ位置
	ELSIF uiInfoIdx = 2 THEN
		IF strInfoKey = 'name' THEN
			strRt	:= 'とじ位置';
		ELSIF strInfoKey = 'index_name' THEN
			strRt	:= '【72】 とじ位置';</v>
      </c>
      <c r="AG34" t="str">
        <f ca="1"/>
        <v xml:space="preserve">
	//とじ位置
	ELSIF uiInfoIdx = 2 THEN
		IF strInfoKey = 'name' THEN
			strRt	:= 'とじ位置';
		ELSIF strInfoKey = 'index_name' THEN
			strRt	:= '【72】 とじ位置';
		ELSIF strInfoKey = 'model' THEN</v>
      </c>
      <c r="AH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</v>
      </c>
      <c r="AI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</v>
      </c>
      <c r="AJ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</v>
      </c>
      <c r="AK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L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M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(予約)</v>
      </c>
      <c r="L35" t="str">
        <f ca="1"/>
        <v>(予約)</v>
      </c>
      <c r="N35" t="str">
        <f ca="1"/>
        <v>【73】 (予約)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//(予約)
	ELSIF uiInfoIdx = 3 THEN</v>
      </c>
      <c r="AC35" t="str">
        <f ca="1"/>
        <v xml:space="preserve">
	//(予約)
	ELSIF uiInfoIdx = 3 THEN
		IF strInfoKey = 'name' THEN</v>
      </c>
      <c r="AD35" t="str">
        <f ca="1"/>
        <v xml:space="preserve">
	//(予約)
	ELSIF uiInfoIdx = 3 THEN
		IF strInfoKey = 'name' THEN
			strRt	:= '(予約)';</v>
      </c>
      <c r="AE35" t="str">
        <f ca="1"/>
        <v xml:space="preserve">
	//(予約)
	ELSIF uiInfoIdx = 3 THEN
		IF strInfoKey = 'name' THEN
			strRt	:= '(予約)';
		ELSIF strInfoKey = 'index_name' THEN</v>
      </c>
      <c r="AF35" t="str">
        <f ca="1"/>
        <v xml:space="preserve">
	//(予約)
	ELSIF uiInfoIdx = 3 THEN
		IF strInfoKey = 'name' THEN
			strRt	:= '(予約)';
		ELSIF strInfoKey = 'index_name' THEN
			strRt	:= '【73】 (予約)';</v>
      </c>
      <c r="AG35" t="str">
        <f ca="1"/>
        <v xml:space="preserve">
	//(予約)
	ELSIF uiInfoIdx = 3 THEN
		IF strInfoKey = 'name' THEN
			strRt	:= '(予約)';
		ELSIF strInfoKey = 'index_name' THEN
			strRt	:= '【73】 (予約)';
		ELSIF strInfoKey = 'model' THEN</v>
      </c>
      <c r="AH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</v>
      </c>
      <c r="AI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</v>
      </c>
      <c r="AJ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</v>
      </c>
      <c r="AK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L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M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(予約)</v>
      </c>
      <c r="L36" t="str">
        <f ca="1"/>
        <v>(予約)</v>
      </c>
      <c r="N36" t="str">
        <f ca="1"/>
        <v>【74】 (予約)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//(予約)
	ELSIF uiInfoIdx = 4 THEN</v>
      </c>
      <c r="AC36" t="str">
        <f ca="1"/>
        <v xml:space="preserve">
	//(予約)
	ELSIF uiInfoIdx = 4 THEN
		IF strInfoKey = 'name' THEN</v>
      </c>
      <c r="AD36" t="str">
        <f ca="1"/>
        <v xml:space="preserve">
	//(予約)
	ELSIF uiInfoIdx = 4 THEN
		IF strInfoKey = 'name' THEN
			strRt	:= '(予約)';</v>
      </c>
      <c r="AE36" t="str">
        <f ca="1"/>
        <v xml:space="preserve">
	//(予約)
	ELSIF uiInfoIdx = 4 THEN
		IF strInfoKey = 'name' THEN
			strRt	:= '(予約)';
		ELSIF strInfoKey = 'index_name' THEN</v>
      </c>
      <c r="AF36" t="str">
        <f ca="1"/>
        <v xml:space="preserve">
	//(予約)
	ELSIF uiInfoIdx = 4 THEN
		IF strInfoKey = 'name' THEN
			strRt	:= '(予約)';
		ELSIF strInfoKey = 'index_name' THEN
			strRt	:= '【74】 (予約)';</v>
      </c>
      <c r="AG36" t="str">
        <f ca="1"/>
        <v xml:space="preserve">
	//(予約)
	ELSIF uiInfoIdx = 4 THEN
		IF strInfoKey = 'name' THEN
			strRt	:= '(予約)';
		ELSIF strInfoKey = 'index_name' THEN
			strRt	:= '【74】 (予約)';
		ELSIF strInfoKey = 'model' THEN</v>
      </c>
      <c r="AH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</v>
      </c>
      <c r="AI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</v>
      </c>
      <c r="AJ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</v>
      </c>
      <c r="AK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L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M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(予約)</v>
      </c>
      <c r="L37" t="str">
        <f ca="1"/>
        <v>(予約)</v>
      </c>
      <c r="N37" t="str">
        <f ca="1"/>
        <v>【75】 (予約)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//(予約)
	ELSIF uiInfoIdx = 5 THEN</v>
      </c>
      <c r="AC37" t="str">
        <f ca="1"/>
        <v xml:space="preserve">
	//(予約)
	ELSIF uiInfoIdx = 5 THEN
		IF strInfoKey = 'name' THEN</v>
      </c>
      <c r="AD37" t="str">
        <f ca="1"/>
        <v xml:space="preserve">
	//(予約)
	ELSIF uiInfoIdx = 5 THEN
		IF strInfoKey = 'name' THEN
			strRt	:= '(予約)';</v>
      </c>
      <c r="AE37" t="str">
        <f ca="1"/>
        <v xml:space="preserve">
	//(予約)
	ELSIF uiInfoIdx = 5 THEN
		IF strInfoKey = 'name' THEN
			strRt	:= '(予約)';
		ELSIF strInfoKey = 'index_name' THEN</v>
      </c>
      <c r="AF37" t="str">
        <f ca="1"/>
        <v xml:space="preserve">
	//(予約)
	ELSIF uiInfoIdx = 5 THEN
		IF strInfoKey = 'name' THEN
			strRt	:= '(予約)';
		ELSIF strInfoKey = 'index_name' THEN
			strRt	:= '【75】 (予約)';</v>
      </c>
      <c r="AG37" t="str">
        <f ca="1"/>
        <v xml:space="preserve">
	//(予約)
	ELSIF uiInfoIdx = 5 THEN
		IF strInfoKey = 'name' THEN
			strRt	:= '(予約)';
		ELSIF strInfoKey = 'index_name' THEN
			strRt	:= '【75】 (予約)';
		ELSIF strInfoKey = 'model' THEN</v>
      </c>
      <c r="AH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</v>
      </c>
      <c r="AI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</v>
      </c>
      <c r="AJ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</v>
      </c>
      <c r="AK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</v>
      </c>
      <c r="AL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待機位置</v>
      </c>
      <c r="L38" t="str">
        <f ca="1"/>
        <v>待機位置</v>
      </c>
      <c r="N38" t="str">
        <f ca="1"/>
        <v>【81】 待機位置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//待機位置
	IF uiInfoIdx = 1 THEN</v>
      </c>
      <c r="AC38" t="str">
        <f ca="1"/>
        <v xml:space="preserve">
//8
ELSIF strInfoType = 8 THEN
	//待機位置
	IF uiInfoIdx = 1 THEN
		IF strInfoKey = 'name' THEN</v>
      </c>
      <c r="AD38" t="str">
        <f ca="1"/>
        <v xml:space="preserve">
//8
ELSIF strInfoType = 8 THEN
	//待機位置
	IF uiInfoIdx = 1 THEN
		IF strInfoKey = 'name' THEN
			strRt	:= '待機位置';</v>
      </c>
      <c r="AE38" t="str">
        <f ca="1"/>
        <v xml:space="preserve">
//8
ELSIF strInfoType = 8 THEN
	//待機位置
	IF uiInfoIdx = 1 THEN
		IF strInfoKey = 'name' THEN
			strRt	:= '待機位置';
		ELSIF strInfoKey = 'index_name' THEN</v>
      </c>
      <c r="AF38" t="str">
        <f ca="1"/>
        <v xml:space="preserve">
//8
ELSIF strInfoType = 8 THEN
	//待機位置
	IF uiInfoIdx = 1 THEN
		IF strInfoKey = 'name' THEN
			strRt	:= '待機位置';
		ELSIF strInfoKey = 'index_name' THEN
			strRt	:= '【81】 待機位置';</v>
      </c>
      <c r="AG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</v>
      </c>
      <c r="AH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</v>
      </c>
      <c r="AI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</v>
      </c>
      <c r="AJ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</v>
      </c>
      <c r="AK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L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M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押え位置</v>
      </c>
      <c r="L39" t="str">
        <f ca="1"/>
        <v>押え位置</v>
      </c>
      <c r="N39" t="str">
        <f ca="1"/>
        <v>【82】 押え位置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//押え位置
	ELSIF uiInfoIdx = 2 THEN</v>
      </c>
      <c r="AC39" t="str">
        <f ca="1"/>
        <v xml:space="preserve">
	//押え位置
	ELSIF uiInfoIdx = 2 THEN
		IF strInfoKey = 'name' THEN</v>
      </c>
      <c r="AD39" t="str">
        <f ca="1"/>
        <v xml:space="preserve">
	//押え位置
	ELSIF uiInfoIdx = 2 THEN
		IF strInfoKey = 'name' THEN
			strRt	:= '押え位置';</v>
      </c>
      <c r="AE39" t="str">
        <f ca="1"/>
        <v xml:space="preserve">
	//押え位置
	ELSIF uiInfoIdx = 2 THEN
		IF strInfoKey = 'name' THEN
			strRt	:= '押え位置';
		ELSIF strInfoKey = 'index_name' THEN</v>
      </c>
      <c r="AF39" t="str">
        <f ca="1"/>
        <v xml:space="preserve">
	//押え位置
	ELSIF uiInfoIdx = 2 THEN
		IF strInfoKey = 'name' THEN
			strRt	:= '押え位置';
		ELSIF strInfoKey = 'index_name' THEN
			strRt	:= '【82】 押え位置';</v>
      </c>
      <c r="AG39" t="str">
        <f ca="1"/>
        <v xml:space="preserve">
	//押え位置
	ELSIF uiInfoIdx = 2 THEN
		IF strInfoKey = 'name' THEN
			strRt	:= '押え位置';
		ELSIF strInfoKey = 'index_name' THEN
			strRt	:= '【82】 押え位置';
		ELSIF strInfoKey = 'model' THEN</v>
      </c>
      <c r="AH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</v>
      </c>
      <c r="AI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</v>
      </c>
      <c r="AJ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</v>
      </c>
      <c r="AK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L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M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溶接位置</v>
      </c>
      <c r="L40" t="str">
        <f ca="1"/>
        <v>溶接位置</v>
      </c>
      <c r="N40" t="str">
        <f ca="1"/>
        <v>【83】 溶接位置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//溶接位置
	ELSIF uiInfoIdx = 3 THEN</v>
      </c>
      <c r="AC40" t="str">
        <f ca="1"/>
        <v xml:space="preserve">
	//溶接位置
	ELSIF uiInfoIdx = 3 THEN
		IF strInfoKey = 'name' THEN</v>
      </c>
      <c r="AD40" t="str">
        <f ca="1"/>
        <v xml:space="preserve">
	//溶接位置
	ELSIF uiInfoIdx = 3 THEN
		IF strInfoKey = 'name' THEN
			strRt	:= '溶接位置';</v>
      </c>
      <c r="AE40" t="str">
        <f ca="1"/>
        <v xml:space="preserve">
	//溶接位置
	ELSIF uiInfoIdx = 3 THEN
		IF strInfoKey = 'name' THEN
			strRt	:= '溶接位置';
		ELSIF strInfoKey = 'index_name' THEN</v>
      </c>
      <c r="AF40" t="str">
        <f ca="1"/>
        <v xml:space="preserve">
	//溶接位置
	ELSIF uiInfoIdx = 3 THEN
		IF strInfoKey = 'name' THEN
			strRt	:= '溶接位置';
		ELSIF strInfoKey = 'index_name' THEN
			strRt	:= '【83】 溶接位置';</v>
      </c>
      <c r="AG40" t="str">
        <f ca="1"/>
        <v xml:space="preserve">
	//溶接位置
	ELSIF uiInfoIdx = 3 THEN
		IF strInfoKey = 'name' THEN
			strRt	:= '溶接位置';
		ELSIF strInfoKey = 'index_name' THEN
			strRt	:= '【83】 溶接位置';
		ELSIF strInfoKey = 'model' THEN</v>
      </c>
      <c r="AH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</v>
      </c>
      <c r="AI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</v>
      </c>
      <c r="AJ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</v>
      </c>
      <c r="AK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L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M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箔ロウ溶接位置</v>
      </c>
      <c r="L41" t="str">
        <f ca="1"/>
        <v>箔ロウ溶接位置</v>
      </c>
      <c r="N41" t="str">
        <f ca="1"/>
        <v>【84】 箔ロウ溶接位置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//箔ロウ溶接位置
	ELSIF uiInfoIdx = 4 THEN</v>
      </c>
      <c r="AC41" t="str">
        <f ca="1"/>
        <v xml:space="preserve">
	//箔ロウ溶接位置
	ELSIF uiInfoIdx = 4 THEN
		IF strInfoKey = 'name' THEN</v>
      </c>
      <c r="AD41" t="str">
        <f ca="1"/>
        <v xml:space="preserve">
	//箔ロウ溶接位置
	ELSIF uiInfoIdx = 4 THEN
		IF strInfoKey = 'name' THEN
			strRt	:= '箔ロウ溶接位置';</v>
      </c>
      <c r="AE41" t="str">
        <f ca="1"/>
        <v xml:space="preserve">
	//箔ロウ溶接位置
	ELSIF uiInfoIdx = 4 THEN
		IF strInfoKey = 'name' THEN
			strRt	:= '箔ロウ溶接位置';
		ELSIF strInfoKey = 'index_name' THEN</v>
      </c>
      <c r="AF41" t="str">
        <f ca="1"/>
        <v xml:space="preserve">
	//箔ロウ溶接位置
	ELSIF uiInfoIdx = 4 THEN
		IF strInfoKey = 'name' THEN
			strRt	:= '箔ロウ溶接位置';
		ELSIF strInfoKey = 'index_name' THEN
			strRt	:= '【84】 箔ロウ溶接位置';</v>
      </c>
      <c r="AG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</v>
      </c>
      <c r="AH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</v>
      </c>
      <c r="AI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</v>
      </c>
      <c r="AJ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</v>
      </c>
      <c r="AK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L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M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>●</v>
      </c>
      <c r="J42">
        <v>40</v>
      </c>
      <c r="K42" t="str">
        <f ca="1"/>
        <v>(予約)</v>
      </c>
      <c r="L42" t="str">
        <f ca="1"/>
        <v>(予約)</v>
      </c>
      <c r="N42" t="str">
        <f ca="1"/>
        <v>【85】 (予約)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//(予約)
	ELSIF uiInfoIdx = 5 THEN</v>
      </c>
      <c r="AC42" t="str">
        <f ca="1"/>
        <v xml:space="preserve">
	//(予約)
	ELSIF uiInfoIdx = 5 THEN
		IF strInfoKey = 'name' THEN</v>
      </c>
      <c r="AD42" t="str">
        <f ca="1"/>
        <v xml:space="preserve">
	//(予約)
	ELSIF uiInfoIdx = 5 THEN
		IF strInfoKey = 'name' THEN
			strRt	:= '(予約)';</v>
      </c>
      <c r="AE42" t="str">
        <f ca="1"/>
        <v xml:space="preserve">
	//(予約)
	ELSIF uiInfoIdx = 5 THEN
		IF strInfoKey = 'name' THEN
			strRt	:= '(予約)';
		ELSIF strInfoKey = 'index_name' THEN</v>
      </c>
      <c r="AF42" t="str">
        <f ca="1"/>
        <v xml:space="preserve">
	//(予約)
	ELSIF uiInfoIdx = 5 THEN
		IF strInfoKey = 'name' THEN
			strRt	:= '(予約)';
		ELSIF strInfoKey = 'index_name' THEN
			strRt	:= '【85】 (予約)';</v>
      </c>
      <c r="AG42" t="str">
        <f ca="1"/>
        <v xml:space="preserve">
	//(予約)
	ELSIF uiInfoIdx = 5 THEN
		IF strInfoKey = 'name' THEN
			strRt	:= '(予約)';
		ELSIF strInfoKey = 'index_name' THEN
			strRt	:= '【85】 (予約)';
		ELSIF strInfoKey = 'model' THEN</v>
      </c>
      <c r="AH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</v>
      </c>
      <c r="AI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</v>
      </c>
      <c r="AJ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</v>
      </c>
      <c r="AK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</v>
      </c>
      <c r="AL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  <c r="AM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</row>
    <row r="43" spans="6:39" x14ac:dyDescent="0.55000000000000004">
      <c r="F43">
        <f t="shared" ref="F43" si="5">F38+1</f>
        <v>9</v>
      </c>
      <c r="G43" t="str">
        <f t="shared" si="0"/>
        <v>9</v>
      </c>
      <c r="H43">
        <f>COUNTIF(G$3:G43,G43)</f>
        <v>1</v>
      </c>
      <c r="I43" t="str">
        <v/>
      </c>
      <c r="J43">
        <v>41</v>
      </c>
      <c r="K43" t="str">
        <f ca="1"/>
        <v>待機位置</v>
      </c>
      <c r="L43" t="str">
        <f ca="1"/>
        <v>待機位置</v>
      </c>
      <c r="N43" t="str">
        <f ca="1"/>
        <v>【91】 待機位置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//9</v>
      </c>
      <c r="AA43" t="str">
        <f ca="1"/>
        <v xml:space="preserve">
//9
ELSIF strInfoType = 9 THEN</v>
      </c>
      <c r="AB43" t="str">
        <f ca="1"/>
        <v xml:space="preserve">
//9
ELSIF strInfoType = 9 THEN
	//待機位置
	IF uiInfoIdx = 1 THEN</v>
      </c>
      <c r="AC43" t="str">
        <f ca="1"/>
        <v xml:space="preserve">
//9
ELSIF strInfoType = 9 THEN
	//待機位置
	IF uiInfoIdx = 1 THEN
		IF strInfoKey = 'name' THEN</v>
      </c>
      <c r="AD43" t="str">
        <f ca="1"/>
        <v xml:space="preserve">
//9
ELSIF strInfoType = 9 THEN
	//待機位置
	IF uiInfoIdx = 1 THEN
		IF strInfoKey = 'name' THEN
			strRt	:= '待機位置';</v>
      </c>
      <c r="AE43" t="str">
        <f ca="1"/>
        <v xml:space="preserve">
//9
ELSIF strInfoType = 9 THEN
	//待機位置
	IF uiInfoIdx = 1 THEN
		IF strInfoKey = 'name' THEN
			strRt	:= '待機位置';
		ELSIF strInfoKey = 'index_name' THEN</v>
      </c>
      <c r="AF43" t="str">
        <f ca="1"/>
        <v xml:space="preserve">
//9
ELSIF strInfoType = 9 THEN
	//待機位置
	IF uiInfoIdx = 1 THEN
		IF strInfoKey = 'name' THEN
			strRt	:= '待機位置';
		ELSIF strInfoKey = 'index_name' THEN
			strRt	:= '【91】 待機位置';</v>
      </c>
      <c r="AG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</v>
      </c>
      <c r="AH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</v>
      </c>
      <c r="AI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</v>
      </c>
      <c r="AJ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</v>
      </c>
      <c r="AK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L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M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9</v>
      </c>
      <c r="G44" t="str">
        <f t="shared" si="0"/>
        <v>9</v>
      </c>
      <c r="H44">
        <f>COUNTIF(G$3:G44,G44)</f>
        <v>2</v>
      </c>
      <c r="I44" t="str">
        <v/>
      </c>
      <c r="J44">
        <v>42</v>
      </c>
      <c r="K44" t="str">
        <f ca="1"/>
        <v>押え位置</v>
      </c>
      <c r="L44" t="str">
        <f ca="1"/>
        <v>押え位置</v>
      </c>
      <c r="N44" t="str">
        <f ca="1"/>
        <v>【92】 押え位置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//押え位置
	ELSIF uiInfoIdx = 2 THEN</v>
      </c>
      <c r="AC44" t="str">
        <f ca="1"/>
        <v xml:space="preserve">
	//押え位置
	ELSIF uiInfoIdx = 2 THEN
		IF strInfoKey = 'name' THEN</v>
      </c>
      <c r="AD44" t="str">
        <f ca="1"/>
        <v xml:space="preserve">
	//押え位置
	ELSIF uiInfoIdx = 2 THEN
		IF strInfoKey = 'name' THEN
			strRt	:= '押え位置';</v>
      </c>
      <c r="AE44" t="str">
        <f ca="1"/>
        <v xml:space="preserve">
	//押え位置
	ELSIF uiInfoIdx = 2 THEN
		IF strInfoKey = 'name' THEN
			strRt	:= '押え位置';
		ELSIF strInfoKey = 'index_name' THEN</v>
      </c>
      <c r="AF44" t="str">
        <f ca="1"/>
        <v xml:space="preserve">
	//押え位置
	ELSIF uiInfoIdx = 2 THEN
		IF strInfoKey = 'name' THEN
			strRt	:= '押え位置';
		ELSIF strInfoKey = 'index_name' THEN
			strRt	:= '【92】 押え位置';</v>
      </c>
      <c r="AG44" t="str">
        <f ca="1"/>
        <v xml:space="preserve">
	//押え位置
	ELSIF uiInfoIdx = 2 THEN
		IF strInfoKey = 'name' THEN
			strRt	:= '押え位置';
		ELSIF strInfoKey = 'index_name' THEN
			strRt	:= '【92】 押え位置';
		ELSIF strInfoKey = 'model' THEN</v>
      </c>
      <c r="AH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</v>
      </c>
      <c r="AI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</v>
      </c>
      <c r="AJ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</v>
      </c>
      <c r="AK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L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M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3</v>
      </c>
      <c r="I45" t="str">
        <v/>
      </c>
      <c r="J45">
        <v>43</v>
      </c>
      <c r="K45" t="str">
        <f ca="1"/>
        <v>押込み位置</v>
      </c>
      <c r="L45" t="str">
        <f ca="1"/>
        <v>押込み位置</v>
      </c>
      <c r="N45" t="str">
        <f ca="1"/>
        <v>【93】 押込み位置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//押込み位置
	ELSIF uiInfoIdx = 3 THEN</v>
      </c>
      <c r="AC45" t="str">
        <f ca="1"/>
        <v xml:space="preserve">
	//押込み位置
	ELSIF uiInfoIdx = 3 THEN
		IF strInfoKey = 'name' THEN</v>
      </c>
      <c r="AD45" t="str">
        <f ca="1"/>
        <v xml:space="preserve">
	//押込み位置
	ELSIF uiInfoIdx = 3 THEN
		IF strInfoKey = 'name' THEN
			strRt	:= '押込み位置';</v>
      </c>
      <c r="AE45" t="str">
        <f ca="1"/>
        <v xml:space="preserve">
	//押込み位置
	ELSIF uiInfoIdx = 3 THEN
		IF strInfoKey = 'name' THEN
			strRt	:= '押込み位置';
		ELSIF strInfoKey = 'index_name' THEN</v>
      </c>
      <c r="AF45" t="str">
        <f ca="1"/>
        <v xml:space="preserve">
	//押込み位置
	ELSIF uiInfoIdx = 3 THEN
		IF strInfoKey = 'name' THEN
			strRt	:= '押込み位置';
		ELSIF strInfoKey = 'index_name' THEN
			strRt	:= '【93】 押込み位置';</v>
      </c>
      <c r="AG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</v>
      </c>
      <c r="AH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</v>
      </c>
      <c r="AI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</v>
      </c>
      <c r="AJ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</v>
      </c>
      <c r="AK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L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M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4</v>
      </c>
      <c r="I46" t="str">
        <v/>
      </c>
      <c r="J46">
        <v>44</v>
      </c>
      <c r="K46" t="str">
        <f ca="1"/>
        <v>箔ロウ受入れ位置</v>
      </c>
      <c r="L46" t="str">
        <f ca="1"/>
        <v>箔ロウ受入れ位置</v>
      </c>
      <c r="N46" t="str">
        <f ca="1"/>
        <v>【94】 箔ロウ受入れ位置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//箔ロウ受入れ位置
	ELSIF uiInfoIdx = 4 THEN</v>
      </c>
      <c r="AC46" t="str">
        <f ca="1"/>
        <v xml:space="preserve">
	//箔ロウ受入れ位置
	ELSIF uiInfoIdx = 4 THEN
		IF strInfoKey = 'name' THEN</v>
      </c>
      <c r="AD46" t="str">
        <f ca="1"/>
        <v xml:space="preserve">
	//箔ロウ受入れ位置
	ELSIF uiInfoIdx = 4 THEN
		IF strInfoKey = 'name' THEN
			strRt	:= '箔ロウ受入れ位置';</v>
      </c>
      <c r="AE46" t="str">
        <f ca="1"/>
        <v xml:space="preserve">
	//箔ロウ受入れ位置
	ELSIF uiInfoIdx = 4 THEN
		IF strInfoKey = 'name' THEN
			strRt	:= '箔ロウ受入れ位置';
		ELSIF strInfoKey = 'index_name' THEN</v>
      </c>
      <c r="AF46" t="str">
        <f ca="1"/>
        <v xml:space="preserve">
	//箔ロウ受入れ位置
	ELSIF uiInfoIdx = 4 THEN
		IF strInfoKey = 'name' THEN
			strRt	:= '箔ロウ受入れ位置';
		ELSIF strInfoKey = 'index_name' THEN
			strRt	:= '【94】 箔ロウ受入れ位置';</v>
      </c>
      <c r="AG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</v>
      </c>
      <c r="AH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</v>
      </c>
      <c r="AI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</v>
      </c>
      <c r="AJ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</v>
      </c>
      <c r="AK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L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M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5</v>
      </c>
      <c r="I47" t="str">
        <v>●</v>
      </c>
      <c r="J47">
        <v>45</v>
      </c>
      <c r="K47" t="str">
        <f ca="1"/>
        <v>(予約)</v>
      </c>
      <c r="L47" t="str">
        <f ca="1"/>
        <v>(予約)</v>
      </c>
      <c r="N47" t="str">
        <f ca="1"/>
        <v>【95】 (予約)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//(予約)
	ELSIF uiInfoIdx = 5 THEN</v>
      </c>
      <c r="AC47" t="str">
        <f ca="1"/>
        <v xml:space="preserve">
	//(予約)
	ELSIF uiInfoIdx = 5 THEN
		IF strInfoKey = 'name' THEN</v>
      </c>
      <c r="AD47" t="str">
        <f ca="1"/>
        <v xml:space="preserve">
	//(予約)
	ELSIF uiInfoIdx = 5 THEN
		IF strInfoKey = 'name' THEN
			strRt	:= '(予約)';</v>
      </c>
      <c r="AE47" t="str">
        <f ca="1"/>
        <v xml:space="preserve">
	//(予約)
	ELSIF uiInfoIdx = 5 THEN
		IF strInfoKey = 'name' THEN
			strRt	:= '(予約)';
		ELSIF strInfoKey = 'index_name' THEN</v>
      </c>
      <c r="AF47" t="str">
        <f ca="1"/>
        <v xml:space="preserve">
	//(予約)
	ELSIF uiInfoIdx = 5 THEN
		IF strInfoKey = 'name' THEN
			strRt	:= '(予約)';
		ELSIF strInfoKey = 'index_name' THEN
			strRt	:= '【95】 (予約)';</v>
      </c>
      <c r="AG47" t="str">
        <f ca="1"/>
        <v xml:space="preserve">
	//(予約)
	ELSIF uiInfoIdx = 5 THEN
		IF strInfoKey = 'name' THEN
			strRt	:= '(予約)';
		ELSIF strInfoKey = 'index_name' THEN
			strRt	:= '【95】 (予約)';
		ELSIF strInfoKey = 'model' THEN</v>
      </c>
      <c r="AH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</v>
      </c>
      <c r="AI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</v>
      </c>
      <c r="AJ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</v>
      </c>
      <c r="AK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</v>
      </c>
      <c r="AL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  <c r="AM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</row>
    <row r="48" spans="6:39" x14ac:dyDescent="0.55000000000000004">
      <c r="F48">
        <f t="shared" ref="F48" si="6">F43+1</f>
        <v>10</v>
      </c>
      <c r="G48" t="str">
        <f t="shared" si="0"/>
        <v>10</v>
      </c>
      <c r="H48">
        <f>COUNTIF(G$3:G48,G48)</f>
        <v>1</v>
      </c>
      <c r="I48" t="str">
        <v/>
      </c>
      <c r="J48">
        <v>46</v>
      </c>
      <c r="K48" t="str">
        <f ca="1"/>
        <v>待機位置</v>
      </c>
      <c r="L48" t="str">
        <f ca="1"/>
        <v>待機位置</v>
      </c>
      <c r="N48" t="str">
        <f ca="1"/>
        <v>【101】 待機位置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//10</v>
      </c>
      <c r="AA48" t="str">
        <f ca="1"/>
        <v xml:space="preserve">
//10
ELSIF strInfoType = 10 THEN</v>
      </c>
      <c r="AB48" t="str">
        <f ca="1"/>
        <v xml:space="preserve">
//10
ELSIF strInfoType = 10 THEN
	//待機位置
	IF uiInfoIdx = 1 THEN</v>
      </c>
      <c r="AC48" t="str">
        <f ca="1"/>
        <v xml:space="preserve">
//10
ELSIF strInfoType = 10 THEN
	//待機位置
	IF uiInfoIdx = 1 THEN
		IF strInfoKey = 'name' THEN</v>
      </c>
      <c r="AD48" t="str">
        <f ca="1"/>
        <v xml:space="preserve">
//10
ELSIF strInfoType = 10 THEN
	//待機位置
	IF uiInfoIdx = 1 THEN
		IF strInfoKey = 'name' THEN
			strRt	:= '待機位置';</v>
      </c>
      <c r="AE48" t="str">
        <f ca="1"/>
        <v xml:space="preserve">
//10
ELSIF strInfoType = 10 THEN
	//待機位置
	IF uiInfoIdx = 1 THEN
		IF strInfoKey = 'name' THEN
			strRt	:= '待機位置';
		ELSIF strInfoKey = 'index_name' THEN</v>
      </c>
      <c r="AF48" t="str">
        <f ca="1"/>
        <v xml:space="preserve">
//10
ELSIF strInfoType = 10 THEN
	//待機位置
	IF uiInfoIdx = 1 THEN
		IF strInfoKey = 'name' THEN
			strRt	:= '待機位置';
		ELSIF strInfoKey = 'index_name' THEN
			strRt	:= '【101】 待機位置';</v>
      </c>
      <c r="AG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</v>
      </c>
      <c r="AH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</v>
      </c>
      <c r="AI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</v>
      </c>
      <c r="AJ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</v>
      </c>
      <c r="AK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L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M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</row>
    <row r="49" spans="6:39" x14ac:dyDescent="0.55000000000000004">
      <c r="F49">
        <f t="shared" si="1"/>
        <v>10</v>
      </c>
      <c r="G49" t="str">
        <f t="shared" si="0"/>
        <v>10</v>
      </c>
      <c r="H49">
        <f>COUNTIF(G$3:G49,G49)</f>
        <v>2</v>
      </c>
      <c r="I49" t="str">
        <v/>
      </c>
      <c r="J49">
        <v>47</v>
      </c>
      <c r="K49" t="str">
        <f ca="1"/>
        <v>(予約)</v>
      </c>
      <c r="L49" t="str">
        <f ca="1"/>
        <v>(予約)</v>
      </c>
      <c r="N49" t="str">
        <f ca="1"/>
        <v>【102】 (予約)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</v>
      </c>
      <c r="AA49" t="str">
        <f ca="1"/>
        <v xml:space="preserve">
</v>
      </c>
      <c r="AB49" t="str">
        <f ca="1"/>
        <v xml:space="preserve">
	//(予約)
	ELSIF uiInfoIdx = 2 THEN</v>
      </c>
      <c r="AC49" t="str">
        <f ca="1"/>
        <v xml:space="preserve">
	//(予約)
	ELSIF uiInfoIdx = 2 THEN
		IF strInfoKey = 'name' THEN</v>
      </c>
      <c r="AD49" t="str">
        <f ca="1"/>
        <v xml:space="preserve">
	//(予約)
	ELSIF uiInfoIdx = 2 THEN
		IF strInfoKey = 'name' THEN
			strRt	:= '(予約)';</v>
      </c>
      <c r="AE49" t="str">
        <f ca="1"/>
        <v xml:space="preserve">
	//(予約)
	ELSIF uiInfoIdx = 2 THEN
		IF strInfoKey = 'name' THEN
			strRt	:= '(予約)';
		ELSIF strInfoKey = 'index_name' THEN</v>
      </c>
      <c r="AF49" t="str">
        <f ca="1"/>
        <v xml:space="preserve">
	//(予約)
	ELSIF uiInfoIdx = 2 THEN
		IF strInfoKey = 'name' THEN
			strRt	:= '(予約)';
		ELSIF strInfoKey = 'index_name' THEN
			strRt	:= '【102】 (予約)';</v>
      </c>
      <c r="AG49" t="str">
        <f ca="1"/>
        <v xml:space="preserve">
	//(予約)
	ELSIF uiInfoIdx = 2 THEN
		IF strInfoKey = 'name' THEN
			strRt	:= '(予約)';
		ELSIF strInfoKey = 'index_name' THEN
			strRt	:= '【102】 (予約)';
		ELSIF strInfoKey = 'model' THEN</v>
      </c>
      <c r="AH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</v>
      </c>
      <c r="AI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</v>
      </c>
      <c r="AJ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</v>
      </c>
      <c r="AK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L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M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3</v>
      </c>
      <c r="I50" t="str">
        <v/>
      </c>
      <c r="J50">
        <v>48</v>
      </c>
      <c r="K50" t="str">
        <f ca="1"/>
        <v>(予約)</v>
      </c>
      <c r="L50" t="str">
        <f ca="1"/>
        <v>(予約)</v>
      </c>
      <c r="N50" t="str">
        <f ca="1"/>
        <v>【103】 (予約)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//(予約)
	ELSIF uiInfoIdx = 3 THEN</v>
      </c>
      <c r="AC50" t="str">
        <f ca="1"/>
        <v xml:space="preserve">
	//(予約)
	ELSIF uiInfoIdx = 3 THEN
		IF strInfoKey = 'name' THEN</v>
      </c>
      <c r="AD50" t="str">
        <f ca="1"/>
        <v xml:space="preserve">
	//(予約)
	ELSIF uiInfoIdx = 3 THEN
		IF strInfoKey = 'name' THEN
			strRt	:= '(予約)';</v>
      </c>
      <c r="AE50" t="str">
        <f ca="1"/>
        <v xml:space="preserve">
	//(予約)
	ELSIF uiInfoIdx = 3 THEN
		IF strInfoKey = 'name' THEN
			strRt	:= '(予約)';
		ELSIF strInfoKey = 'index_name' THEN</v>
      </c>
      <c r="AF50" t="str">
        <f ca="1"/>
        <v xml:space="preserve">
	//(予約)
	ELSIF uiInfoIdx = 3 THEN
		IF strInfoKey = 'name' THEN
			strRt	:= '(予約)';
		ELSIF strInfoKey = 'index_name' THEN
			strRt	:= '【103】 (予約)';</v>
      </c>
      <c r="AG50" t="str">
        <f ca="1"/>
        <v xml:space="preserve">
	//(予約)
	ELSIF uiInfoIdx = 3 THEN
		IF strInfoKey = 'name' THEN
			strRt	:= '(予約)';
		ELSIF strInfoKey = 'index_name' THEN
			strRt	:= '【103】 (予約)';
		ELSIF strInfoKey = 'model' THEN</v>
      </c>
      <c r="AH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</v>
      </c>
      <c r="AI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</v>
      </c>
      <c r="AJ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</v>
      </c>
      <c r="AK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L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M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4</v>
      </c>
      <c r="I51" t="str">
        <v/>
      </c>
      <c r="J51">
        <v>49</v>
      </c>
      <c r="K51" t="str">
        <f ca="1"/>
        <v>(予約)</v>
      </c>
      <c r="L51" t="str">
        <f ca="1"/>
        <v>(予約)</v>
      </c>
      <c r="N51" t="str">
        <f ca="1"/>
        <v>【104】 (予約)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//(予約)
	ELSIF uiInfoIdx = 4 THEN</v>
      </c>
      <c r="AC51" t="str">
        <f ca="1"/>
        <v xml:space="preserve">
	//(予約)
	ELSIF uiInfoIdx = 4 THEN
		IF strInfoKey = 'name' THEN</v>
      </c>
      <c r="AD51" t="str">
        <f ca="1"/>
        <v xml:space="preserve">
	//(予約)
	ELSIF uiInfoIdx = 4 THEN
		IF strInfoKey = 'name' THEN
			strRt	:= '(予約)';</v>
      </c>
      <c r="AE51" t="str">
        <f ca="1"/>
        <v xml:space="preserve">
	//(予約)
	ELSIF uiInfoIdx = 4 THEN
		IF strInfoKey = 'name' THEN
			strRt	:= '(予約)';
		ELSIF strInfoKey = 'index_name' THEN</v>
      </c>
      <c r="AF51" t="str">
        <f ca="1"/>
        <v xml:space="preserve">
	//(予約)
	ELSIF uiInfoIdx = 4 THEN
		IF strInfoKey = 'name' THEN
			strRt	:= '(予約)';
		ELSIF strInfoKey = 'index_name' THEN
			strRt	:= '【104】 (予約)';</v>
      </c>
      <c r="AG51" t="str">
        <f ca="1"/>
        <v xml:space="preserve">
	//(予約)
	ELSIF uiInfoIdx = 4 THEN
		IF strInfoKey = 'name' THEN
			strRt	:= '(予約)';
		ELSIF strInfoKey = 'index_name' THEN
			strRt	:= '【104】 (予約)';
		ELSIF strInfoKey = 'model' THEN</v>
      </c>
      <c r="AH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</v>
      </c>
      <c r="AI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</v>
      </c>
      <c r="AJ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</v>
      </c>
      <c r="AK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L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M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5</v>
      </c>
      <c r="I52" t="str">
        <v>●</v>
      </c>
      <c r="J52">
        <v>50</v>
      </c>
      <c r="K52" t="str">
        <f ca="1"/>
        <v>(予約)</v>
      </c>
      <c r="L52" t="str">
        <f ca="1"/>
        <v>(予約)</v>
      </c>
      <c r="N52" t="str">
        <f ca="1"/>
        <v>【105】 (予約)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//(予約)
	ELSIF uiInfoIdx = 5 THEN</v>
      </c>
      <c r="AC52" t="str">
        <f ca="1"/>
        <v xml:space="preserve">
	//(予約)
	ELSIF uiInfoIdx = 5 THEN
		IF strInfoKey = 'name' THEN</v>
      </c>
      <c r="AD52" t="str">
        <f ca="1"/>
        <v xml:space="preserve">
	//(予約)
	ELSIF uiInfoIdx = 5 THEN
		IF strInfoKey = 'name' THEN
			strRt	:= '(予約)';</v>
      </c>
      <c r="AE52" t="str">
        <f ca="1"/>
        <v xml:space="preserve">
	//(予約)
	ELSIF uiInfoIdx = 5 THEN
		IF strInfoKey = 'name' THEN
			strRt	:= '(予約)';
		ELSIF strInfoKey = 'index_name' THEN</v>
      </c>
      <c r="AF52" t="str">
        <f ca="1"/>
        <v xml:space="preserve">
	//(予約)
	ELSIF uiInfoIdx = 5 THEN
		IF strInfoKey = 'name' THEN
			strRt	:= '(予約)';
		ELSIF strInfoKey = 'index_name' THEN
			strRt	:= '【105】 (予約)';</v>
      </c>
      <c r="AG52" t="str">
        <f ca="1"/>
        <v xml:space="preserve">
	//(予約)
	ELSIF uiInfoIdx = 5 THEN
		IF strInfoKey = 'name' THEN
			strRt	:= '(予約)';
		ELSIF strInfoKey = 'index_name' THEN
			strRt	:= '【105】 (予約)';
		ELSIF strInfoKey = 'model' THEN</v>
      </c>
      <c r="AH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</v>
      </c>
      <c r="AI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</v>
      </c>
      <c r="AJ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</v>
      </c>
      <c r="AK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</v>
      </c>
      <c r="AL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  <c r="AM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</row>
    <row r="53" spans="6:39" x14ac:dyDescent="0.55000000000000004">
      <c r="F53">
        <f t="shared" ref="F53" si="7">F48+1</f>
        <v>11</v>
      </c>
      <c r="G53" t="str">
        <f t="shared" si="0"/>
        <v>11</v>
      </c>
      <c r="H53">
        <f>COUNTIF(G$3:G53,G53)</f>
        <v>1</v>
      </c>
      <c r="I53" t="str">
        <v/>
      </c>
      <c r="J53">
        <v>51</v>
      </c>
      <c r="K53" t="str">
        <f ca="1"/>
        <v>待機位置</v>
      </c>
      <c r="L53" t="str">
        <f ca="1"/>
        <v>待機位置</v>
      </c>
      <c r="N53" t="str">
        <f ca="1"/>
        <v>【111】 待機位置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//11</v>
      </c>
      <c r="AA53" t="str">
        <f ca="1"/>
        <v xml:space="preserve">
//11
ELSIF strInfoType = 11 THEN</v>
      </c>
      <c r="AB53" t="str">
        <f ca="1"/>
        <v xml:space="preserve">
//11
ELSIF strInfoType = 11 THEN
	//待機位置
	IF uiInfoIdx = 1 THEN</v>
      </c>
      <c r="AC53" t="str">
        <f ca="1"/>
        <v xml:space="preserve">
//11
ELSIF strInfoType = 11 THEN
	//待機位置
	IF uiInfoIdx = 1 THEN
		IF strInfoKey = 'name' THEN</v>
      </c>
      <c r="AD53" t="str">
        <f ca="1"/>
        <v xml:space="preserve">
//11
ELSIF strInfoType = 11 THEN
	//待機位置
	IF uiInfoIdx = 1 THEN
		IF strInfoKey = 'name' THEN
			strRt	:= '待機位置';</v>
      </c>
      <c r="AE53" t="str">
        <f ca="1"/>
        <v xml:space="preserve">
//11
ELSIF strInfoType = 11 THEN
	//待機位置
	IF uiInfoIdx = 1 THEN
		IF strInfoKey = 'name' THEN
			strRt	:= '待機位置';
		ELSIF strInfoKey = 'index_name' THEN</v>
      </c>
      <c r="AF53" t="str">
        <f ca="1"/>
        <v xml:space="preserve">
//11
ELSIF strInfoType = 11 THEN
	//待機位置
	IF uiInfoIdx = 1 THEN
		IF strInfoKey = 'name' THEN
			strRt	:= '待機位置';
		ELSIF strInfoKey = 'index_name' THEN
			strRt	:= '【111】 待機位置';</v>
      </c>
      <c r="AG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</v>
      </c>
      <c r="AH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</v>
      </c>
      <c r="AI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</v>
      </c>
      <c r="AJ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</v>
      </c>
      <c r="AK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L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M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11</v>
      </c>
      <c r="G54" t="str">
        <f t="shared" si="0"/>
        <v>11</v>
      </c>
      <c r="H54">
        <f>COUNTIF(G$3:G54,G54)</f>
        <v>2</v>
      </c>
      <c r="I54" t="str">
        <v/>
      </c>
      <c r="J54">
        <v>52</v>
      </c>
      <c r="K54" t="str">
        <f ca="1"/>
        <v>寄せ位置</v>
      </c>
      <c r="L54" t="str">
        <f ca="1"/>
        <v>寄せ位置</v>
      </c>
      <c r="N54" t="str">
        <f ca="1"/>
        <v>【112】 寄せ位置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//寄せ位置
	ELSIF uiInfoIdx = 2 THEN</v>
      </c>
      <c r="AC54" t="str">
        <f ca="1"/>
        <v xml:space="preserve">
	//寄せ位置
	ELSIF uiInfoIdx = 2 THEN
		IF strInfoKey = 'name' THEN</v>
      </c>
      <c r="AD54" t="str">
        <f ca="1"/>
        <v xml:space="preserve">
	//寄せ位置
	ELSIF uiInfoIdx = 2 THEN
		IF strInfoKey = 'name' THEN
			strRt	:= '寄せ位置';</v>
      </c>
      <c r="AE54" t="str">
        <f ca="1"/>
        <v xml:space="preserve">
	//寄せ位置
	ELSIF uiInfoIdx = 2 THEN
		IF strInfoKey = 'name' THEN
			strRt	:= '寄せ位置';
		ELSIF strInfoKey = 'index_name' THEN</v>
      </c>
      <c r="AF54" t="str">
        <f ca="1"/>
        <v xml:space="preserve">
	//寄せ位置
	ELSIF uiInfoIdx = 2 THEN
		IF strInfoKey = 'name' THEN
			strRt	:= '寄せ位置';
		ELSIF strInfoKey = 'index_name' THEN
			strRt	:= '【112】 寄せ位置';</v>
      </c>
      <c r="AG54" t="str">
        <f ca="1"/>
        <v xml:space="preserve">
	//寄せ位置
	ELSIF uiInfoIdx = 2 THEN
		IF strInfoKey = 'name' THEN
			strRt	:= '寄せ位置';
		ELSIF strInfoKey = 'index_name' THEN
			strRt	:= '【112】 寄せ位置';
		ELSIF strInfoKey = 'model' THEN</v>
      </c>
      <c r="AH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</v>
      </c>
      <c r="AI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</v>
      </c>
      <c r="AJ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</v>
      </c>
      <c r="AK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L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M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3</v>
      </c>
      <c r="I55" t="str">
        <v/>
      </c>
      <c r="J55">
        <v>53</v>
      </c>
      <c r="K55" t="str">
        <f ca="1"/>
        <v>(予約)</v>
      </c>
      <c r="L55" t="str">
        <f ca="1"/>
        <v>(予約)</v>
      </c>
      <c r="N55" t="str">
        <f ca="1"/>
        <v>【113】 (予約)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//(予約)
	ELSIF uiInfoIdx = 3 THEN</v>
      </c>
      <c r="AC55" t="str">
        <f ca="1"/>
        <v xml:space="preserve">
	//(予約)
	ELSIF uiInfoIdx = 3 THEN
		IF strInfoKey = 'name' THEN</v>
      </c>
      <c r="AD55" t="str">
        <f ca="1"/>
        <v xml:space="preserve">
	//(予約)
	ELSIF uiInfoIdx = 3 THEN
		IF strInfoKey = 'name' THEN
			strRt	:= '(予約)';</v>
      </c>
      <c r="AE55" t="str">
        <f ca="1"/>
        <v xml:space="preserve">
	//(予約)
	ELSIF uiInfoIdx = 3 THEN
		IF strInfoKey = 'name' THEN
			strRt	:= '(予約)';
		ELSIF strInfoKey = 'index_name' THEN</v>
      </c>
      <c r="AF55" t="str">
        <f ca="1"/>
        <v xml:space="preserve">
	//(予約)
	ELSIF uiInfoIdx = 3 THEN
		IF strInfoKey = 'name' THEN
			strRt	:= '(予約)';
		ELSIF strInfoKey = 'index_name' THEN
			strRt	:= '【113】 (予約)';</v>
      </c>
      <c r="AG55" t="str">
        <f ca="1"/>
        <v xml:space="preserve">
	//(予約)
	ELSIF uiInfoIdx = 3 THEN
		IF strInfoKey = 'name' THEN
			strRt	:= '(予約)';
		ELSIF strInfoKey = 'index_name' THEN
			strRt	:= '【113】 (予約)';
		ELSIF strInfoKey = 'model' THEN</v>
      </c>
      <c r="AH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</v>
      </c>
      <c r="AI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</v>
      </c>
      <c r="AJ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</v>
      </c>
      <c r="AK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L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M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4</v>
      </c>
      <c r="I56" t="str">
        <v/>
      </c>
      <c r="J56">
        <v>54</v>
      </c>
      <c r="K56" t="str">
        <f ca="1"/>
        <v>(予約)</v>
      </c>
      <c r="L56" t="str">
        <f ca="1"/>
        <v>(予約)</v>
      </c>
      <c r="N56" t="str">
        <f ca="1"/>
        <v>【114】 (予約)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//(予約)
	ELSIF uiInfoIdx = 4 THEN</v>
      </c>
      <c r="AC56" t="str">
        <f ca="1"/>
        <v xml:space="preserve">
	//(予約)
	ELSIF uiInfoIdx = 4 THEN
		IF strInfoKey = 'name' THEN</v>
      </c>
      <c r="AD56" t="str">
        <f ca="1"/>
        <v xml:space="preserve">
	//(予約)
	ELSIF uiInfoIdx = 4 THEN
		IF strInfoKey = 'name' THEN
			strRt	:= '(予約)';</v>
      </c>
      <c r="AE56" t="str">
        <f ca="1"/>
        <v xml:space="preserve">
	//(予約)
	ELSIF uiInfoIdx = 4 THEN
		IF strInfoKey = 'name' THEN
			strRt	:= '(予約)';
		ELSIF strInfoKey = 'index_name' THEN</v>
      </c>
      <c r="AF56" t="str">
        <f ca="1"/>
        <v xml:space="preserve">
	//(予約)
	ELSIF uiInfoIdx = 4 THEN
		IF strInfoKey = 'name' THEN
			strRt	:= '(予約)';
		ELSIF strInfoKey = 'index_name' THEN
			strRt	:= '【114】 (予約)';</v>
      </c>
      <c r="AG56" t="str">
        <f ca="1"/>
        <v xml:space="preserve">
	//(予約)
	ELSIF uiInfoIdx = 4 THEN
		IF strInfoKey = 'name' THEN
			strRt	:= '(予約)';
		ELSIF strInfoKey = 'index_name' THEN
			strRt	:= '【114】 (予約)';
		ELSIF strInfoKey = 'model' THEN</v>
      </c>
      <c r="AH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</v>
      </c>
      <c r="AI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</v>
      </c>
      <c r="AJ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</v>
      </c>
      <c r="AK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L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M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5</v>
      </c>
      <c r="I57" t="str">
        <v>●</v>
      </c>
      <c r="J57">
        <v>55</v>
      </c>
      <c r="K57" t="str">
        <f ca="1"/>
        <v>(予約)</v>
      </c>
      <c r="L57" t="str">
        <f ca="1"/>
        <v>(予約)</v>
      </c>
      <c r="N57" t="str">
        <f ca="1"/>
        <v>【115】 (予約)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//(予約)
	ELSIF uiInfoIdx = 5 THEN</v>
      </c>
      <c r="AC57" t="str">
        <f ca="1"/>
        <v xml:space="preserve">
	//(予約)
	ELSIF uiInfoIdx = 5 THEN
		IF strInfoKey = 'name' THEN</v>
      </c>
      <c r="AD57" t="str">
        <f ca="1"/>
        <v xml:space="preserve">
	//(予約)
	ELSIF uiInfoIdx = 5 THEN
		IF strInfoKey = 'name' THEN
			strRt	:= '(予約)';</v>
      </c>
      <c r="AE57" t="str">
        <f ca="1"/>
        <v xml:space="preserve">
	//(予約)
	ELSIF uiInfoIdx = 5 THEN
		IF strInfoKey = 'name' THEN
			strRt	:= '(予約)';
		ELSIF strInfoKey = 'index_name' THEN</v>
      </c>
      <c r="AF57" t="str">
        <f ca="1"/>
        <v xml:space="preserve">
	//(予約)
	ELSIF uiInfoIdx = 5 THEN
		IF strInfoKey = 'name' THEN
			strRt	:= '(予約)';
		ELSIF strInfoKey = 'index_name' THEN
			strRt	:= '【115】 (予約)';</v>
      </c>
      <c r="AG57" t="str">
        <f ca="1"/>
        <v xml:space="preserve">
	//(予約)
	ELSIF uiInfoIdx = 5 THEN
		IF strInfoKey = 'name' THEN
			strRt	:= '(予約)';
		ELSIF strInfoKey = 'index_name' THEN
			strRt	:= '【115】 (予約)';
		ELSIF strInfoKey = 'model' THEN</v>
      </c>
      <c r="AH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</v>
      </c>
      <c r="AI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</v>
      </c>
      <c r="AJ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</v>
      </c>
      <c r="AK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</v>
      </c>
      <c r="AL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  <c r="AM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</row>
    <row r="58" spans="6:39" x14ac:dyDescent="0.55000000000000004">
      <c r="F58">
        <f t="shared" ref="F58" si="8">F53+1</f>
        <v>12</v>
      </c>
      <c r="G58" t="str">
        <f t="shared" si="0"/>
        <v>12</v>
      </c>
      <c r="H58">
        <f>COUNTIF(G$3:G58,G58)</f>
        <v>1</v>
      </c>
      <c r="I58" t="str">
        <v/>
      </c>
      <c r="J58">
        <v>56</v>
      </c>
      <c r="K58" t="str">
        <f ca="1"/>
        <v>待機位置</v>
      </c>
      <c r="L58" t="str">
        <f ca="1"/>
        <v>待機位置</v>
      </c>
      <c r="N58" t="str">
        <f ca="1"/>
        <v>【121】 待機位置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//12</v>
      </c>
      <c r="AA58" t="str">
        <f ca="1"/>
        <v xml:space="preserve">
//12
ELSIF strInfoType = 12 THEN</v>
      </c>
      <c r="AB58" t="str">
        <f ca="1"/>
        <v xml:space="preserve">
//12
ELSIF strInfoType = 12 THEN
	//待機位置
	IF uiInfoIdx = 1 THEN</v>
      </c>
      <c r="AC58" t="str">
        <f ca="1"/>
        <v xml:space="preserve">
//12
ELSIF strInfoType = 12 THEN
	//待機位置
	IF uiInfoIdx = 1 THEN
		IF strInfoKey = 'name' THEN</v>
      </c>
      <c r="AD58" t="str">
        <f ca="1"/>
        <v xml:space="preserve">
//12
ELSIF strInfoType = 12 THEN
	//待機位置
	IF uiInfoIdx = 1 THEN
		IF strInfoKey = 'name' THEN
			strRt	:= '待機位置';</v>
      </c>
      <c r="AE58" t="str">
        <f ca="1"/>
        <v xml:space="preserve">
//12
ELSIF strInfoType = 12 THEN
	//待機位置
	IF uiInfoIdx = 1 THEN
		IF strInfoKey = 'name' THEN
			strRt	:= '待機位置';
		ELSIF strInfoKey = 'index_name' THEN</v>
      </c>
      <c r="AF58" t="str">
        <f ca="1"/>
        <v xml:space="preserve">
//12
ELSIF strInfoType = 12 THEN
	//待機位置
	IF uiInfoIdx = 1 THEN
		IF strInfoKey = 'name' THEN
			strRt	:= '待機位置';
		ELSIF strInfoKey = 'index_name' THEN
			strRt	:= '【121】 待機位置';</v>
      </c>
      <c r="AG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</v>
      </c>
      <c r="AH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</v>
      </c>
      <c r="AI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</v>
      </c>
      <c r="AJ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</v>
      </c>
      <c r="AK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L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M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12</v>
      </c>
      <c r="G59" t="str">
        <f t="shared" si="0"/>
        <v>12</v>
      </c>
      <c r="H59">
        <f>COUNTIF(G$3:G59,G59)</f>
        <v>2</v>
      </c>
      <c r="I59" t="str">
        <v/>
      </c>
      <c r="J59">
        <v>57</v>
      </c>
      <c r="K59" t="str">
        <f ca="1"/>
        <v>(予約)</v>
      </c>
      <c r="L59" t="str">
        <f ca="1"/>
        <v>(予約)</v>
      </c>
      <c r="N59" t="str">
        <f ca="1"/>
        <v>【122】 (予約)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//(予約)
	ELSIF uiInfoIdx = 2 THEN</v>
      </c>
      <c r="AC59" t="str">
        <f ca="1"/>
        <v xml:space="preserve">
	//(予約)
	ELSIF uiInfoIdx = 2 THEN
		IF strInfoKey = 'name' THEN</v>
      </c>
      <c r="AD59" t="str">
        <f ca="1"/>
        <v xml:space="preserve">
	//(予約)
	ELSIF uiInfoIdx = 2 THEN
		IF strInfoKey = 'name' THEN
			strRt	:= '(予約)';</v>
      </c>
      <c r="AE59" t="str">
        <f ca="1"/>
        <v xml:space="preserve">
	//(予約)
	ELSIF uiInfoIdx = 2 THEN
		IF strInfoKey = 'name' THEN
			strRt	:= '(予約)';
		ELSIF strInfoKey = 'index_name' THEN</v>
      </c>
      <c r="AF59" t="str">
        <f ca="1"/>
        <v xml:space="preserve">
	//(予約)
	ELSIF uiInfoIdx = 2 THEN
		IF strInfoKey = 'name' THEN
			strRt	:= '(予約)';
		ELSIF strInfoKey = 'index_name' THEN
			strRt	:= '【122】 (予約)';</v>
      </c>
      <c r="AG59" t="str">
        <f ca="1"/>
        <v xml:space="preserve">
	//(予約)
	ELSIF uiInfoIdx = 2 THEN
		IF strInfoKey = 'name' THEN
			strRt	:= '(予約)';
		ELSIF strInfoKey = 'index_name' THEN
			strRt	:= '【122】 (予約)';
		ELSIF strInfoKey = 'model' THEN</v>
      </c>
      <c r="AH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</v>
      </c>
      <c r="AI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</v>
      </c>
      <c r="AJ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</v>
      </c>
      <c r="AK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L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M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3</v>
      </c>
      <c r="I60" t="str">
        <v/>
      </c>
      <c r="J60">
        <v>58</v>
      </c>
      <c r="K60" t="str">
        <f ca="1"/>
        <v>(予約)</v>
      </c>
      <c r="L60" t="str">
        <f ca="1"/>
        <v>(予約)</v>
      </c>
      <c r="N60" t="str">
        <f ca="1"/>
        <v>【123】 (予約)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//(予約)
	ELSIF uiInfoIdx = 3 THEN</v>
      </c>
      <c r="AC60" t="str">
        <f ca="1"/>
        <v xml:space="preserve">
	//(予約)
	ELSIF uiInfoIdx = 3 THEN
		IF strInfoKey = 'name' THEN</v>
      </c>
      <c r="AD60" t="str">
        <f ca="1"/>
        <v xml:space="preserve">
	//(予約)
	ELSIF uiInfoIdx = 3 THEN
		IF strInfoKey = 'name' THEN
			strRt	:= '(予約)';</v>
      </c>
      <c r="AE60" t="str">
        <f ca="1"/>
        <v xml:space="preserve">
	//(予約)
	ELSIF uiInfoIdx = 3 THEN
		IF strInfoKey = 'name' THEN
			strRt	:= '(予約)';
		ELSIF strInfoKey = 'index_name' THEN</v>
      </c>
      <c r="AF60" t="str">
        <f ca="1"/>
        <v xml:space="preserve">
	//(予約)
	ELSIF uiInfoIdx = 3 THEN
		IF strInfoKey = 'name' THEN
			strRt	:= '(予約)';
		ELSIF strInfoKey = 'index_name' THEN
			strRt	:= '【123】 (予約)';</v>
      </c>
      <c r="AG60" t="str">
        <f ca="1"/>
        <v xml:space="preserve">
	//(予約)
	ELSIF uiInfoIdx = 3 THEN
		IF strInfoKey = 'name' THEN
			strRt	:= '(予約)';
		ELSIF strInfoKey = 'index_name' THEN
			strRt	:= '【123】 (予約)';
		ELSIF strInfoKey = 'model' THEN</v>
      </c>
      <c r="AH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</v>
      </c>
      <c r="AI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</v>
      </c>
      <c r="AJ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</v>
      </c>
      <c r="AK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L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M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4</v>
      </c>
      <c r="I61" t="str">
        <v/>
      </c>
      <c r="J61">
        <v>59</v>
      </c>
      <c r="K61" t="str">
        <f ca="1"/>
        <v>(予約)</v>
      </c>
      <c r="L61" t="str">
        <f ca="1"/>
        <v>(予約)</v>
      </c>
      <c r="N61" t="str">
        <f ca="1"/>
        <v>【124】 (予約)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//(予約)
	ELSIF uiInfoIdx = 4 THEN</v>
      </c>
      <c r="AC61" t="str">
        <f ca="1"/>
        <v xml:space="preserve">
	//(予約)
	ELSIF uiInfoIdx = 4 THEN
		IF strInfoKey = 'name' THEN</v>
      </c>
      <c r="AD61" t="str">
        <f ca="1"/>
        <v xml:space="preserve">
	//(予約)
	ELSIF uiInfoIdx = 4 THEN
		IF strInfoKey = 'name' THEN
			strRt	:= '(予約)';</v>
      </c>
      <c r="AE61" t="str">
        <f ca="1"/>
        <v xml:space="preserve">
	//(予約)
	ELSIF uiInfoIdx = 4 THEN
		IF strInfoKey = 'name' THEN
			strRt	:= '(予約)';
		ELSIF strInfoKey = 'index_name' THEN</v>
      </c>
      <c r="AF61" t="str">
        <f ca="1"/>
        <v xml:space="preserve">
	//(予約)
	ELSIF uiInfoIdx = 4 THEN
		IF strInfoKey = 'name' THEN
			strRt	:= '(予約)';
		ELSIF strInfoKey = 'index_name' THEN
			strRt	:= '【124】 (予約)';</v>
      </c>
      <c r="AG61" t="str">
        <f ca="1"/>
        <v xml:space="preserve">
	//(予約)
	ELSIF uiInfoIdx = 4 THEN
		IF strInfoKey = 'name' THEN
			strRt	:= '(予約)';
		ELSIF strInfoKey = 'index_name' THEN
			strRt	:= '【124】 (予約)';
		ELSIF strInfoKey = 'model' THEN</v>
      </c>
      <c r="AH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</v>
      </c>
      <c r="AI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</v>
      </c>
      <c r="AJ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</v>
      </c>
      <c r="AK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L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M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5</v>
      </c>
      <c r="I62" t="str">
        <v>●</v>
      </c>
      <c r="J62">
        <v>60</v>
      </c>
      <c r="K62" t="str">
        <f ca="1"/>
        <v>(予約)</v>
      </c>
      <c r="L62" t="str">
        <f ca="1"/>
        <v>(予約)</v>
      </c>
      <c r="N62" t="str">
        <f ca="1"/>
        <v>【125】 (予約)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//(予約)
	ELSIF uiInfoIdx = 5 THEN</v>
      </c>
      <c r="AC62" t="str">
        <f ca="1"/>
        <v xml:space="preserve">
	//(予約)
	ELSIF uiInfoIdx = 5 THEN
		IF strInfoKey = 'name' THEN</v>
      </c>
      <c r="AD62" t="str">
        <f ca="1"/>
        <v xml:space="preserve">
	//(予約)
	ELSIF uiInfoIdx = 5 THEN
		IF strInfoKey = 'name' THEN
			strRt	:= '(予約)';</v>
      </c>
      <c r="AE62" t="str">
        <f ca="1"/>
        <v xml:space="preserve">
	//(予約)
	ELSIF uiInfoIdx = 5 THEN
		IF strInfoKey = 'name' THEN
			strRt	:= '(予約)';
		ELSIF strInfoKey = 'index_name' THEN</v>
      </c>
      <c r="AF62" t="str">
        <f ca="1"/>
        <v xml:space="preserve">
	//(予約)
	ELSIF uiInfoIdx = 5 THEN
		IF strInfoKey = 'name' THEN
			strRt	:= '(予約)';
		ELSIF strInfoKey = 'index_name' THEN
			strRt	:= '【125】 (予約)';</v>
      </c>
      <c r="AG62" t="str">
        <f ca="1"/>
        <v xml:space="preserve">
	//(予約)
	ELSIF uiInfoIdx = 5 THEN
		IF strInfoKey = 'name' THEN
			strRt	:= '(予約)';
		ELSIF strInfoKey = 'index_name' THEN
			strRt	:= '【125】 (予約)';
		ELSIF strInfoKey = 'model' THEN</v>
      </c>
      <c r="AH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</v>
      </c>
      <c r="AI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</v>
      </c>
      <c r="AJ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</v>
      </c>
      <c r="AK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</v>
      </c>
      <c r="AL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  <c r="AM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</row>
    <row r="63" spans="6:39" x14ac:dyDescent="0.55000000000000004">
      <c r="F63">
        <f t="shared" ref="F63" si="9">F58+1</f>
        <v>13</v>
      </c>
      <c r="G63" t="str">
        <f t="shared" si="0"/>
        <v>13</v>
      </c>
      <c r="H63">
        <f>COUNTIF(G$3:G63,G63)</f>
        <v>1</v>
      </c>
      <c r="I63" t="str">
        <v/>
      </c>
      <c r="J63">
        <v>61</v>
      </c>
      <c r="K63" t="str">
        <f ca="1"/>
        <v>待機位置</v>
      </c>
      <c r="L63" t="str">
        <f ca="1"/>
        <v>待機位置</v>
      </c>
      <c r="N63" t="str">
        <f ca="1"/>
        <v>【131】 待機位置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//13</v>
      </c>
      <c r="AA63" t="str">
        <f ca="1"/>
        <v xml:space="preserve">
//13
ELSIF strInfoType = 13 THEN</v>
      </c>
      <c r="AB63" t="str">
        <f ca="1"/>
        <v xml:space="preserve">
//13
ELSIF strInfoType = 13 THEN
	//待機位置
	IF uiInfoIdx = 1 THEN</v>
      </c>
      <c r="AC63" t="str">
        <f ca="1"/>
        <v xml:space="preserve">
//13
ELSIF strInfoType = 13 THEN
	//待機位置
	IF uiInfoIdx = 1 THEN
		IF strInfoKey = 'name' THEN</v>
      </c>
      <c r="AD63" t="str">
        <f ca="1"/>
        <v xml:space="preserve">
//13
ELSIF strInfoType = 13 THEN
	//待機位置
	IF uiInfoIdx = 1 THEN
		IF strInfoKey = 'name' THEN
			strRt	:= '待機位置';</v>
      </c>
      <c r="AE63" t="str">
        <f ca="1"/>
        <v xml:space="preserve">
//13
ELSIF strInfoType = 13 THEN
	//待機位置
	IF uiInfoIdx = 1 THEN
		IF strInfoKey = 'name' THEN
			strRt	:= '待機位置';
		ELSIF strInfoKey = 'index_name' THEN</v>
      </c>
      <c r="AF63" t="str">
        <f ca="1"/>
        <v xml:space="preserve">
//13
ELSIF strInfoType = 13 THEN
	//待機位置
	IF uiInfoIdx = 1 THEN
		IF strInfoKey = 'name' THEN
			strRt	:= '待機位置';
		ELSIF strInfoKey = 'index_name' THEN
			strRt	:= '【131】 待機位置';</v>
      </c>
      <c r="AG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</v>
      </c>
      <c r="AH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</v>
      </c>
      <c r="AI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</v>
      </c>
      <c r="AJ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</v>
      </c>
      <c r="AK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L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M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13</v>
      </c>
      <c r="G64" t="str">
        <f t="shared" si="0"/>
        <v>13</v>
      </c>
      <c r="H64">
        <f>COUNTIF(G$3:G64,G64)</f>
        <v>2</v>
      </c>
      <c r="I64" t="str">
        <v/>
      </c>
      <c r="J64">
        <v>62</v>
      </c>
      <c r="K64" t="str">
        <f ca="1"/>
        <v>(予約)</v>
      </c>
      <c r="L64" t="str">
        <f ca="1"/>
        <v>(予約)</v>
      </c>
      <c r="N64" t="str">
        <f ca="1"/>
        <v>【132】 (予約)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//(予約)
	ELSIF uiInfoIdx = 2 THEN</v>
      </c>
      <c r="AC64" t="str">
        <f ca="1"/>
        <v xml:space="preserve">
	//(予約)
	ELSIF uiInfoIdx = 2 THEN
		IF strInfoKey = 'name' THEN</v>
      </c>
      <c r="AD64" t="str">
        <f ca="1"/>
        <v xml:space="preserve">
	//(予約)
	ELSIF uiInfoIdx = 2 THEN
		IF strInfoKey = 'name' THEN
			strRt	:= '(予約)';</v>
      </c>
      <c r="AE64" t="str">
        <f ca="1"/>
        <v xml:space="preserve">
	//(予約)
	ELSIF uiInfoIdx = 2 THEN
		IF strInfoKey = 'name' THEN
			strRt	:= '(予約)';
		ELSIF strInfoKey = 'index_name' THEN</v>
      </c>
      <c r="AF64" t="str">
        <f ca="1"/>
        <v xml:space="preserve">
	//(予約)
	ELSIF uiInfoIdx = 2 THEN
		IF strInfoKey = 'name' THEN
			strRt	:= '(予約)';
		ELSIF strInfoKey = 'index_name' THEN
			strRt	:= '【132】 (予約)';</v>
      </c>
      <c r="AG64" t="str">
        <f ca="1"/>
        <v xml:space="preserve">
	//(予約)
	ELSIF uiInfoIdx = 2 THEN
		IF strInfoKey = 'name' THEN
			strRt	:= '(予約)';
		ELSIF strInfoKey = 'index_name' THEN
			strRt	:= '【132】 (予約)';
		ELSIF strInfoKey = 'model' THEN</v>
      </c>
      <c r="AH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</v>
      </c>
      <c r="AI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</v>
      </c>
      <c r="AJ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</v>
      </c>
      <c r="AK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L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M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3</v>
      </c>
      <c r="I65" t="str">
        <v/>
      </c>
      <c r="J65">
        <v>63</v>
      </c>
      <c r="K65" t="str">
        <f ca="1"/>
        <v>(予約)</v>
      </c>
      <c r="L65" t="str">
        <f ca="1"/>
        <v>(予約)</v>
      </c>
      <c r="N65" t="str">
        <f ca="1"/>
        <v>【133】 (予約)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//(予約)
	ELSIF uiInfoIdx = 3 THEN</v>
      </c>
      <c r="AC65" t="str">
        <f ca="1"/>
        <v xml:space="preserve">
	//(予約)
	ELSIF uiInfoIdx = 3 THEN
		IF strInfoKey = 'name' THEN</v>
      </c>
      <c r="AD65" t="str">
        <f ca="1"/>
        <v xml:space="preserve">
	//(予約)
	ELSIF uiInfoIdx = 3 THEN
		IF strInfoKey = 'name' THEN
			strRt	:= '(予約)';</v>
      </c>
      <c r="AE65" t="str">
        <f ca="1"/>
        <v xml:space="preserve">
	//(予約)
	ELSIF uiInfoIdx = 3 THEN
		IF strInfoKey = 'name' THEN
			strRt	:= '(予約)';
		ELSIF strInfoKey = 'index_name' THEN</v>
      </c>
      <c r="AF65" t="str">
        <f ca="1"/>
        <v xml:space="preserve">
	//(予約)
	ELSIF uiInfoIdx = 3 THEN
		IF strInfoKey = 'name' THEN
			strRt	:= '(予約)';
		ELSIF strInfoKey = 'index_name' THEN
			strRt	:= '【133】 (予約)';</v>
      </c>
      <c r="AG65" t="str">
        <f ca="1"/>
        <v xml:space="preserve">
	//(予約)
	ELSIF uiInfoIdx = 3 THEN
		IF strInfoKey = 'name' THEN
			strRt	:= '(予約)';
		ELSIF strInfoKey = 'index_name' THEN
			strRt	:= '【133】 (予約)';
		ELSIF strInfoKey = 'model' THEN</v>
      </c>
      <c r="AH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</v>
      </c>
      <c r="AI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</v>
      </c>
      <c r="AJ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</v>
      </c>
      <c r="AK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L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M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4</v>
      </c>
      <c r="I66" t="str">
        <v/>
      </c>
      <c r="J66">
        <v>64</v>
      </c>
      <c r="K66" t="str">
        <f ca="1"/>
        <v>(予約)</v>
      </c>
      <c r="L66" t="str">
        <f ca="1"/>
        <v>(予約)</v>
      </c>
      <c r="N66" t="str">
        <f ca="1"/>
        <v>【134】 (予約)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//(予約)
	ELSIF uiInfoIdx = 4 THEN</v>
      </c>
      <c r="AC66" t="str">
        <f ca="1"/>
        <v xml:space="preserve">
	//(予約)
	ELSIF uiInfoIdx = 4 THEN
		IF strInfoKey = 'name' THEN</v>
      </c>
      <c r="AD66" t="str">
        <f ca="1"/>
        <v xml:space="preserve">
	//(予約)
	ELSIF uiInfoIdx = 4 THEN
		IF strInfoKey = 'name' THEN
			strRt	:= '(予約)';</v>
      </c>
      <c r="AE66" t="str">
        <f ca="1"/>
        <v xml:space="preserve">
	//(予約)
	ELSIF uiInfoIdx = 4 THEN
		IF strInfoKey = 'name' THEN
			strRt	:= '(予約)';
		ELSIF strInfoKey = 'index_name' THEN</v>
      </c>
      <c r="AF66" t="str">
        <f ca="1"/>
        <v xml:space="preserve">
	//(予約)
	ELSIF uiInfoIdx = 4 THEN
		IF strInfoKey = 'name' THEN
			strRt	:= '(予約)';
		ELSIF strInfoKey = 'index_name' THEN
			strRt	:= '【134】 (予約)';</v>
      </c>
      <c r="AG66" t="str">
        <f ca="1"/>
        <v xml:space="preserve">
	//(予約)
	ELSIF uiInfoIdx = 4 THEN
		IF strInfoKey = 'name' THEN
			strRt	:= '(予約)';
		ELSIF strInfoKey = 'index_name' THEN
			strRt	:= '【134】 (予約)';
		ELSIF strInfoKey = 'model' THEN</v>
      </c>
      <c r="AH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</v>
      </c>
      <c r="AI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</v>
      </c>
      <c r="AJ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</v>
      </c>
      <c r="AK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L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M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5</v>
      </c>
      <c r="I67" t="str">
        <v>●</v>
      </c>
      <c r="J67">
        <v>65</v>
      </c>
      <c r="K67" t="str">
        <f ca="1"/>
        <v>(予約)</v>
      </c>
      <c r="L67" t="str">
        <f ca="1"/>
        <v>(予約)</v>
      </c>
      <c r="N67" t="str">
        <f ca="1"/>
        <v>【135】 (予約)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//(予約)
	ELSIF uiInfoIdx = 5 THEN</v>
      </c>
      <c r="AC67" t="str">
        <f ca="1"/>
        <v xml:space="preserve">
	//(予約)
	ELSIF uiInfoIdx = 5 THEN
		IF strInfoKey = 'name' THEN</v>
      </c>
      <c r="AD67" t="str">
        <f ca="1"/>
        <v xml:space="preserve">
	//(予約)
	ELSIF uiInfoIdx = 5 THEN
		IF strInfoKey = 'name' THEN
			strRt	:= '(予約)';</v>
      </c>
      <c r="AE67" t="str">
        <f ca="1"/>
        <v xml:space="preserve">
	//(予約)
	ELSIF uiInfoIdx = 5 THEN
		IF strInfoKey = 'name' THEN
			strRt	:= '(予約)';
		ELSIF strInfoKey = 'index_name' THEN</v>
      </c>
      <c r="AF67" t="str">
        <f ca="1"/>
        <v xml:space="preserve">
	//(予約)
	ELSIF uiInfoIdx = 5 THEN
		IF strInfoKey = 'name' THEN
			strRt	:= '(予約)';
		ELSIF strInfoKey = 'index_name' THEN
			strRt	:= '【135】 (予約)';</v>
      </c>
      <c r="AG67" t="str">
        <f ca="1"/>
        <v xml:space="preserve">
	//(予約)
	ELSIF uiInfoIdx = 5 THEN
		IF strInfoKey = 'name' THEN
			strRt	:= '(予約)';
		ELSIF strInfoKey = 'index_name' THEN
			strRt	:= '【135】 (予約)';
		ELSIF strInfoKey = 'model' THEN</v>
      </c>
      <c r="AH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</v>
      </c>
      <c r="AI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</v>
      </c>
      <c r="AJ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</v>
      </c>
      <c r="AK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</v>
      </c>
      <c r="AL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  <c r="AM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</row>
    <row r="68" spans="6:39" x14ac:dyDescent="0.55000000000000004">
      <c r="F68">
        <f t="shared" ref="F68" si="10">F63+1</f>
        <v>14</v>
      </c>
      <c r="G68" t="str">
        <f t="shared" ref="G68" si="11">E68&amp;F68</f>
        <v>14</v>
      </c>
      <c r="H68">
        <f>COUNTIF(G$3:G68,G68)</f>
        <v>1</v>
      </c>
      <c r="I68" t="str">
        <v/>
      </c>
      <c r="J68">
        <v>66</v>
      </c>
      <c r="K68" t="str">
        <f ca="1"/>
        <v>待機位置</v>
      </c>
      <c r="L68" t="str">
        <f ca="1"/>
        <v>待機位置</v>
      </c>
      <c r="N68" t="str">
        <f ca="1"/>
        <v>【141】 待機位置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//14</v>
      </c>
      <c r="AA68" t="str">
        <f ca="1"/>
        <v xml:space="preserve">
//14
ELSIF strInfoType = 14 THEN</v>
      </c>
      <c r="AB68" t="str">
        <f ca="1"/>
        <v xml:space="preserve">
//14
ELSIF strInfoType = 14 THEN
	//待機位置
	IF uiInfoIdx = 1 THEN</v>
      </c>
      <c r="AC68" t="str">
        <f ca="1"/>
        <v xml:space="preserve">
//14
ELSIF strInfoType = 14 THEN
	//待機位置
	IF uiInfoIdx = 1 THEN
		IF strInfoKey = 'name' THEN</v>
      </c>
      <c r="AD68" t="str">
        <f ca="1"/>
        <v xml:space="preserve">
//14
ELSIF strInfoType = 14 THEN
	//待機位置
	IF uiInfoIdx = 1 THEN
		IF strInfoKey = 'name' THEN
			strRt	:= '待機位置';</v>
      </c>
      <c r="AE68" t="str">
        <f ca="1"/>
        <v xml:space="preserve">
//14
ELSIF strInfoType = 14 THEN
	//待機位置
	IF uiInfoIdx = 1 THEN
		IF strInfoKey = 'name' THEN
			strRt	:= '待機位置';
		ELSIF strInfoKey = 'index_name' THEN</v>
      </c>
      <c r="AF68" t="str">
        <f ca="1"/>
        <v xml:space="preserve">
//14
ELSIF strInfoType = 14 THEN
	//待機位置
	IF uiInfoIdx = 1 THEN
		IF strInfoKey = 'name' THEN
			strRt	:= '待機位置';
		ELSIF strInfoKey = 'index_name' THEN
			strRt	:= '【141】 待機位置';</v>
      </c>
      <c r="AG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</v>
      </c>
      <c r="AH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</v>
      </c>
      <c r="AI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</v>
      </c>
      <c r="AJ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</v>
      </c>
      <c r="AK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L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M68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12">F68</f>
        <v>14</v>
      </c>
      <c r="G69" t="str">
        <f t="shared" ref="G69:G131" si="13">E69&amp;F69</f>
        <v>14</v>
      </c>
      <c r="H69">
        <f>COUNTIF(G$3:G69,G69)</f>
        <v>2</v>
      </c>
      <c r="I69" t="str">
        <v/>
      </c>
      <c r="J69">
        <v>67</v>
      </c>
      <c r="K69" t="str">
        <f ca="1"/>
        <v>巻き位置</v>
      </c>
      <c r="L69" t="str">
        <f ca="1"/>
        <v>巻き位置</v>
      </c>
      <c r="N69" t="str">
        <f ca="1"/>
        <v>【142】 巻き位置</v>
      </c>
      <c r="O69" t="str">
        <v/>
      </c>
      <c r="P69" t="str">
        <v>unknown</v>
      </c>
      <c r="Q69" t="str">
        <f ca="1"/>
        <v/>
      </c>
      <c r="R69" t="str">
        <f ca="1"/>
        <v>unknown</v>
      </c>
      <c r="Z69" t="str">
        <f ca="1"/>
        <v xml:space="preserve">
</v>
      </c>
      <c r="AA69" t="str">
        <f ca="1"/>
        <v xml:space="preserve">
</v>
      </c>
      <c r="AB69" t="str">
        <f ca="1"/>
        <v xml:space="preserve">
	//巻き位置
	ELSIF uiInfoIdx = 2 THEN</v>
      </c>
      <c r="AC69" t="str">
        <f ca="1"/>
        <v xml:space="preserve">
	//巻き位置
	ELSIF uiInfoIdx = 2 THEN
		IF strInfoKey = 'name' THEN</v>
      </c>
      <c r="AD69" t="str">
        <f ca="1"/>
        <v xml:space="preserve">
	//巻き位置
	ELSIF uiInfoIdx = 2 THEN
		IF strInfoKey = 'name' THEN
			strRt	:= '巻き位置';</v>
      </c>
      <c r="AE69" t="str">
        <f ca="1"/>
        <v xml:space="preserve">
	//巻き位置
	ELSIF uiInfoIdx = 2 THEN
		IF strInfoKey = 'name' THEN
			strRt	:= '巻き位置';
		ELSIF strInfoKey = 'index_name' THEN</v>
      </c>
      <c r="AF69" t="str">
        <f ca="1"/>
        <v xml:space="preserve">
	//巻き位置
	ELSIF uiInfoIdx = 2 THEN
		IF strInfoKey = 'name' THEN
			strRt	:= '巻き位置';
		ELSIF strInfoKey = 'index_name' THEN
			strRt	:= '【142】 巻き位置';</v>
      </c>
      <c r="AG69" t="str">
        <f ca="1"/>
        <v xml:space="preserve">
	//巻き位置
	ELSIF uiInfoIdx = 2 THEN
		IF strInfoKey = 'name' THEN
			strRt	:= '巻き位置';
		ELSIF strInfoKey = 'index_name' THEN
			strRt	:= '【142】 巻き位置';
		ELSIF strInfoKey = 'model' THEN</v>
      </c>
      <c r="AH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</v>
      </c>
      <c r="AI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</v>
      </c>
      <c r="AJ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</v>
      </c>
      <c r="AK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L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M69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</row>
    <row r="70" spans="6:39" x14ac:dyDescent="0.55000000000000004">
      <c r="F70">
        <f t="shared" si="12"/>
        <v>14</v>
      </c>
      <c r="G70" t="str">
        <f t="shared" si="13"/>
        <v>14</v>
      </c>
      <c r="H70">
        <f>COUNTIF(G$3:G70,G70)</f>
        <v>3</v>
      </c>
      <c r="I70" t="str">
        <v/>
      </c>
      <c r="J70">
        <v>68</v>
      </c>
      <c r="K70" t="str">
        <f ca="1"/>
        <v>巻締め位置</v>
      </c>
      <c r="L70" t="str">
        <f ca="1"/>
        <v>巻締め位置</v>
      </c>
      <c r="N70" t="str">
        <f ca="1"/>
        <v>【143】 巻締め位置</v>
      </c>
      <c r="O70" t="str">
        <v/>
      </c>
      <c r="P70" t="str">
        <v>unknown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//巻締め位置
	ELSIF uiInfoIdx = 3 THEN</v>
      </c>
      <c r="AC70" t="str">
        <f ca="1"/>
        <v xml:space="preserve">
	//巻締め位置
	ELSIF uiInfoIdx = 3 THEN
		IF strInfoKey = 'name' THEN</v>
      </c>
      <c r="AD70" t="str">
        <f ca="1"/>
        <v xml:space="preserve">
	//巻締め位置
	ELSIF uiInfoIdx = 3 THEN
		IF strInfoKey = 'name' THEN
			strRt	:= '巻締め位置';</v>
      </c>
      <c r="AE70" t="str">
        <f ca="1"/>
        <v xml:space="preserve">
	//巻締め位置
	ELSIF uiInfoIdx = 3 THEN
		IF strInfoKey = 'name' THEN
			strRt	:= '巻締め位置';
		ELSIF strInfoKey = 'index_name' THEN</v>
      </c>
      <c r="AF70" t="str">
        <f ca="1"/>
        <v xml:space="preserve">
	//巻締め位置
	ELSIF uiInfoIdx = 3 THEN
		IF strInfoKey = 'name' THEN
			strRt	:= '巻締め位置';
		ELSIF strInfoKey = 'index_name' THEN
			strRt	:= '【143】 巻締め位置';</v>
      </c>
      <c r="AG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</v>
      </c>
      <c r="AH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</v>
      </c>
      <c r="AI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</v>
      </c>
      <c r="AJ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</v>
      </c>
      <c r="AK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L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M70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4</v>
      </c>
      <c r="I71" t="str">
        <v/>
      </c>
      <c r="J71">
        <v>69</v>
      </c>
      <c r="K71" t="str">
        <f ca="1"/>
        <v>整え位置</v>
      </c>
      <c r="L71" t="str">
        <f ca="1"/>
        <v>整え位置</v>
      </c>
      <c r="N71" t="str">
        <f ca="1"/>
        <v>【144】 整え位置</v>
      </c>
      <c r="O71" t="str">
        <v/>
      </c>
      <c r="P71" t="str">
        <v>unknown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//整え位置
	ELSIF uiInfoIdx = 4 THEN</v>
      </c>
      <c r="AC71" t="str">
        <f ca="1"/>
        <v xml:space="preserve">
	//整え位置
	ELSIF uiInfoIdx = 4 THEN
		IF strInfoKey = 'name' THEN</v>
      </c>
      <c r="AD71" t="str">
        <f ca="1"/>
        <v xml:space="preserve">
	//整え位置
	ELSIF uiInfoIdx = 4 THEN
		IF strInfoKey = 'name' THEN
			strRt	:= '整え位置';</v>
      </c>
      <c r="AE71" t="str">
        <f ca="1"/>
        <v xml:space="preserve">
	//整え位置
	ELSIF uiInfoIdx = 4 THEN
		IF strInfoKey = 'name' THEN
			strRt	:= '整え位置';
		ELSIF strInfoKey = 'index_name' THEN</v>
      </c>
      <c r="AF71" t="str">
        <f ca="1"/>
        <v xml:space="preserve">
	//整え位置
	ELSIF uiInfoIdx = 4 THEN
		IF strInfoKey = 'name' THEN
			strRt	:= '整え位置';
		ELSIF strInfoKey = 'index_name' THEN
			strRt	:= '【144】 整え位置';</v>
      </c>
      <c r="AG71" t="str">
        <f ca="1"/>
        <v xml:space="preserve">
	//整え位置
	ELSIF uiInfoIdx = 4 THEN
		IF strInfoKey = 'name' THEN
			strRt	:= '整え位置';
		ELSIF strInfoKey = 'index_name' THEN
			strRt	:= '【144】 整え位置';
		ELSIF strInfoKey = 'model' THEN</v>
      </c>
      <c r="AH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</v>
      </c>
      <c r="AI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</v>
      </c>
      <c r="AJ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</v>
      </c>
      <c r="AK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L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M71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5</v>
      </c>
      <c r="I72" t="str">
        <v/>
      </c>
      <c r="J72">
        <v>70</v>
      </c>
      <c r="K72" t="str">
        <f ca="1"/>
        <v>(予約)</v>
      </c>
      <c r="L72" t="str">
        <f ca="1"/>
        <v>(予約)</v>
      </c>
      <c r="N72" t="str">
        <f ca="1"/>
        <v>【145】 (予約)</v>
      </c>
      <c r="O72" t="str">
        <v/>
      </c>
      <c r="P72" t="str">
        <v>unknown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//(予約)
	ELSIF uiInfoIdx = 5 THEN</v>
      </c>
      <c r="AC72" t="str">
        <f ca="1"/>
        <v xml:space="preserve">
	//(予約)
	ELSIF uiInfoIdx = 5 THEN
		IF strInfoKey = 'name' THEN</v>
      </c>
      <c r="AD72" t="str">
        <f ca="1"/>
        <v xml:space="preserve">
	//(予約)
	ELSIF uiInfoIdx = 5 THEN
		IF strInfoKey = 'name' THEN
			strRt	:= '(予約)';</v>
      </c>
      <c r="AE72" t="str">
        <f ca="1"/>
        <v xml:space="preserve">
	//(予約)
	ELSIF uiInfoIdx = 5 THEN
		IF strInfoKey = 'name' THEN
			strRt	:= '(予約)';
		ELSIF strInfoKey = 'index_name' THEN</v>
      </c>
      <c r="AF72" t="str">
        <f ca="1"/>
        <v xml:space="preserve">
	//(予約)
	ELSIF uiInfoIdx = 5 THEN
		IF strInfoKey = 'name' THEN
			strRt	:= '(予約)';
		ELSIF strInfoKey = 'index_name' THEN
			strRt	:= '【145】 (予約)';</v>
      </c>
      <c r="AG72" t="str">
        <f ca="1"/>
        <v xml:space="preserve">
	//(予約)
	ELSIF uiInfoIdx = 5 THEN
		IF strInfoKey = 'name' THEN
			strRt	:= '(予約)';
		ELSIF strInfoKey = 'index_name' THEN
			strRt	:= '【145】 (予約)';
		ELSIF strInfoKey = 'model' THEN</v>
      </c>
      <c r="AH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</v>
      </c>
      <c r="AI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</v>
      </c>
      <c r="AJ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</v>
      </c>
      <c r="AK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</v>
      </c>
      <c r="AL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</v>
      </c>
      <c r="AM72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</v>
      </c>
    </row>
    <row r="73" spans="6:39" x14ac:dyDescent="0.55000000000000004">
      <c r="F73">
        <f t="shared" si="12"/>
        <v>14</v>
      </c>
      <c r="G73" t="str">
        <f t="shared" si="13"/>
        <v>14</v>
      </c>
      <c r="H73">
        <f>COUNTIF(G$3:G73,G73)</f>
        <v>6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12"/>
        <v>14</v>
      </c>
      <c r="G74" t="str">
        <f t="shared" si="13"/>
        <v>14</v>
      </c>
      <c r="H74">
        <f>COUNTIF(G$3:G74,G74)</f>
        <v>7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12"/>
        <v>14</v>
      </c>
      <c r="G75" t="str">
        <f t="shared" si="13"/>
        <v>14</v>
      </c>
      <c r="H75">
        <f>COUNTIF(G$3:G75,G75)</f>
        <v>8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12"/>
        <v>14</v>
      </c>
      <c r="G76" t="str">
        <f t="shared" si="13"/>
        <v>14</v>
      </c>
      <c r="H76">
        <f>COUNTIF(G$3:G76,G76)</f>
        <v>9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12"/>
        <v>14</v>
      </c>
      <c r="G77" t="str">
        <f t="shared" si="13"/>
        <v>14</v>
      </c>
      <c r="H77">
        <f>COUNTIF(G$3:G77,G77)</f>
        <v>10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12"/>
        <v>14</v>
      </c>
      <c r="G78" t="str">
        <f t="shared" si="13"/>
        <v>14</v>
      </c>
      <c r="H78">
        <f>COUNTIF(G$3:G78,G78)</f>
        <v>11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12"/>
        <v>14</v>
      </c>
      <c r="G79" t="str">
        <f t="shared" si="13"/>
        <v>14</v>
      </c>
      <c r="H79">
        <f>COUNTIF(G$3:G79,G79)</f>
        <v>12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12"/>
        <v>14</v>
      </c>
      <c r="G80" t="str">
        <f t="shared" si="13"/>
        <v>14</v>
      </c>
      <c r="H80">
        <f>COUNTIF(G$3:G80,G80)</f>
        <v>13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12"/>
        <v>14</v>
      </c>
      <c r="G81" t="str">
        <f t="shared" si="13"/>
        <v>14</v>
      </c>
      <c r="H81">
        <f>COUNTIF(G$3:G81,G81)</f>
        <v>14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12"/>
        <v>14</v>
      </c>
      <c r="G82" t="str">
        <f t="shared" si="13"/>
        <v>14</v>
      </c>
      <c r="H82">
        <f>COUNTIF(G$3:G82,G82)</f>
        <v>15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12"/>
        <v>14</v>
      </c>
      <c r="G83" t="str">
        <f t="shared" si="13"/>
        <v>14</v>
      </c>
      <c r="H83">
        <f>COUNTIF(G$3:G83,G83)</f>
        <v>16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12"/>
        <v>14</v>
      </c>
      <c r="G84" t="str">
        <f t="shared" si="13"/>
        <v>14</v>
      </c>
      <c r="H84">
        <f>COUNTIF(G$3:G84,G84)</f>
        <v>17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14</v>
      </c>
      <c r="G85" t="str">
        <f t="shared" si="13"/>
        <v>14</v>
      </c>
      <c r="H85">
        <f>COUNTIF(G$3:G85,G85)</f>
        <v>18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14</v>
      </c>
      <c r="G86" t="str">
        <f t="shared" si="13"/>
        <v>14</v>
      </c>
      <c r="H86">
        <f>COUNTIF(G$3:G86,G86)</f>
        <v>19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14</v>
      </c>
      <c r="G87" t="str">
        <f t="shared" si="13"/>
        <v>14</v>
      </c>
      <c r="H87">
        <f>COUNTIF(G$3:G87,G87)</f>
        <v>20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14</v>
      </c>
      <c r="G88" t="str">
        <f t="shared" si="13"/>
        <v>14</v>
      </c>
      <c r="H88">
        <f>COUNTIF(G$3:G88,G88)</f>
        <v>21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14</v>
      </c>
      <c r="G89" t="str">
        <f t="shared" si="13"/>
        <v>14</v>
      </c>
      <c r="H89">
        <f>COUNTIF(G$3:G89,G89)</f>
        <v>22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14</v>
      </c>
      <c r="G90" t="str">
        <f t="shared" si="13"/>
        <v>14</v>
      </c>
      <c r="H90">
        <f>COUNTIF(G$3:G90,G90)</f>
        <v>23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14</v>
      </c>
      <c r="G91" t="str">
        <f t="shared" si="13"/>
        <v>14</v>
      </c>
      <c r="H91">
        <f>COUNTIF(G$3:G91,G91)</f>
        <v>24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14</v>
      </c>
      <c r="G92" t="str">
        <f t="shared" si="13"/>
        <v>14</v>
      </c>
      <c r="H92">
        <f>COUNTIF(G$3:G92,G92)</f>
        <v>25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14</v>
      </c>
      <c r="G93" t="str">
        <f t="shared" si="13"/>
        <v>14</v>
      </c>
      <c r="H93">
        <f>COUNTIF(G$3:G93,G93)</f>
        <v>26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14</v>
      </c>
      <c r="G94" t="str">
        <f t="shared" si="13"/>
        <v>14</v>
      </c>
      <c r="H94">
        <f>COUNTIF(G$3:G94,G94)</f>
        <v>27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14</v>
      </c>
      <c r="G95" t="str">
        <f t="shared" si="13"/>
        <v>14</v>
      </c>
      <c r="H95">
        <f>COUNTIF(G$3:G95,G95)</f>
        <v>28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14</v>
      </c>
      <c r="G96" t="str">
        <f t="shared" si="13"/>
        <v>14</v>
      </c>
      <c r="H96">
        <f>COUNTIF(G$3:G96,G96)</f>
        <v>29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14</v>
      </c>
      <c r="G97" t="str">
        <f t="shared" si="13"/>
        <v>14</v>
      </c>
      <c r="H97">
        <f>COUNTIF(G$3:G97,G97)</f>
        <v>30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14</v>
      </c>
      <c r="G98" t="str">
        <f t="shared" si="13"/>
        <v>14</v>
      </c>
      <c r="H98">
        <f>COUNTIF(G$3:G98,G98)</f>
        <v>31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14</v>
      </c>
      <c r="G99" t="str">
        <f t="shared" si="13"/>
        <v>14</v>
      </c>
      <c r="H99">
        <f>COUNTIF(G$3:G99,G99)</f>
        <v>32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14</v>
      </c>
      <c r="G100" t="str">
        <f t="shared" si="13"/>
        <v>14</v>
      </c>
      <c r="H100">
        <f>COUNTIF(G$3:G100,G100)</f>
        <v>33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14</v>
      </c>
      <c r="G101" t="str">
        <f t="shared" si="13"/>
        <v>14</v>
      </c>
      <c r="H101">
        <f>COUNTIF(G$3:G101,G101)</f>
        <v>34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14</v>
      </c>
      <c r="G102" t="str">
        <f t="shared" si="13"/>
        <v>14</v>
      </c>
      <c r="H102">
        <f>COUNTIF(G$3:G102,G102)</f>
        <v>35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14</v>
      </c>
      <c r="G103" t="str">
        <f t="shared" si="13"/>
        <v>14</v>
      </c>
      <c r="H103">
        <f>COUNTIF(G$3:G103,G103)</f>
        <v>36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14</v>
      </c>
      <c r="G104" t="str">
        <f t="shared" si="13"/>
        <v>14</v>
      </c>
      <c r="H104">
        <f>COUNTIF(G$3:G104,G104)</f>
        <v>37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14</v>
      </c>
      <c r="G105" t="str">
        <f t="shared" si="13"/>
        <v>14</v>
      </c>
      <c r="H105">
        <f>COUNTIF(G$3:G105,G105)</f>
        <v>38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14</v>
      </c>
      <c r="G106" t="str">
        <f t="shared" si="13"/>
        <v>14</v>
      </c>
      <c r="H106">
        <f>COUNTIF(G$3:G106,G106)</f>
        <v>39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14</v>
      </c>
      <c r="G107" t="str">
        <f t="shared" si="13"/>
        <v>14</v>
      </c>
      <c r="H107">
        <f>COUNTIF(G$3:G107,G107)</f>
        <v>40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14</v>
      </c>
      <c r="G108" t="str">
        <f t="shared" si="13"/>
        <v>14</v>
      </c>
      <c r="H108">
        <f>COUNTIF(G$3:G108,G108)</f>
        <v>41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14</v>
      </c>
      <c r="G109" t="str">
        <f t="shared" si="13"/>
        <v>14</v>
      </c>
      <c r="H109">
        <f>COUNTIF(G$3:G109,G109)</f>
        <v>42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14</v>
      </c>
      <c r="G110" t="str">
        <f t="shared" si="13"/>
        <v>14</v>
      </c>
      <c r="H110">
        <f>COUNTIF(G$3:G110,G110)</f>
        <v>43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14</v>
      </c>
      <c r="G111" t="str">
        <f t="shared" si="13"/>
        <v>14</v>
      </c>
      <c r="H111">
        <f>COUNTIF(G$3:G111,G111)</f>
        <v>44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14</v>
      </c>
      <c r="G112" t="str">
        <f t="shared" si="13"/>
        <v>14</v>
      </c>
      <c r="H112">
        <f>COUNTIF(G$3:G112,G112)</f>
        <v>45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14</v>
      </c>
      <c r="G113" t="str">
        <f t="shared" si="13"/>
        <v>14</v>
      </c>
      <c r="H113">
        <f>COUNTIF(G$3:G113,G113)</f>
        <v>46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14</v>
      </c>
      <c r="G114" t="str">
        <f t="shared" si="13"/>
        <v>14</v>
      </c>
      <c r="H114">
        <f>COUNTIF(G$3:G114,G114)</f>
        <v>47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14</v>
      </c>
      <c r="G115" t="str">
        <f t="shared" si="13"/>
        <v>14</v>
      </c>
      <c r="H115">
        <f>COUNTIF(G$3:G115,G115)</f>
        <v>48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14</v>
      </c>
      <c r="G116" t="str">
        <f t="shared" si="13"/>
        <v>14</v>
      </c>
      <c r="H116">
        <f>COUNTIF(G$3:G116,G116)</f>
        <v>49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14</v>
      </c>
      <c r="G117" t="str">
        <f t="shared" si="13"/>
        <v>14</v>
      </c>
      <c r="H117">
        <f>COUNTIF(G$3:G117,G117)</f>
        <v>50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14</v>
      </c>
      <c r="G118" t="str">
        <f t="shared" si="13"/>
        <v>14</v>
      </c>
      <c r="H118">
        <f>COUNTIF(G$3:G118,G118)</f>
        <v>51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14</v>
      </c>
      <c r="G119" t="str">
        <f t="shared" si="13"/>
        <v>14</v>
      </c>
      <c r="H119">
        <f>COUNTIF(G$3:G119,G119)</f>
        <v>52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14</v>
      </c>
      <c r="G120" t="str">
        <f t="shared" si="13"/>
        <v>14</v>
      </c>
      <c r="H120">
        <f>COUNTIF(G$3:G120,G120)</f>
        <v>53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14</v>
      </c>
      <c r="G121" t="str">
        <f t="shared" si="13"/>
        <v>14</v>
      </c>
      <c r="H121">
        <f>COUNTIF(G$3:G121,G121)</f>
        <v>54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14</v>
      </c>
      <c r="G122" t="str">
        <f t="shared" si="13"/>
        <v>14</v>
      </c>
      <c r="H122">
        <f>COUNTIF(G$3:G122,G122)</f>
        <v>55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14</v>
      </c>
      <c r="G123" t="str">
        <f t="shared" si="13"/>
        <v>14</v>
      </c>
      <c r="H123">
        <f>COUNTIF(G$3:G123,G123)</f>
        <v>56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14</v>
      </c>
      <c r="G124" t="str">
        <f t="shared" si="13"/>
        <v>14</v>
      </c>
      <c r="H124">
        <f>COUNTIF(G$3:G124,G124)</f>
        <v>57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14</v>
      </c>
      <c r="G125" t="str">
        <f t="shared" si="13"/>
        <v>14</v>
      </c>
      <c r="H125">
        <f>COUNTIF(G$3:G125,G125)</f>
        <v>58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14</v>
      </c>
      <c r="G126" t="str">
        <f t="shared" si="13"/>
        <v>14</v>
      </c>
      <c r="H126">
        <f>COUNTIF(G$3:G126,G126)</f>
        <v>59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14</v>
      </c>
      <c r="G127" t="str">
        <f t="shared" si="13"/>
        <v>14</v>
      </c>
      <c r="H127">
        <f>COUNTIF(G$3:G127,G127)</f>
        <v>60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14</v>
      </c>
      <c r="G128" t="str">
        <f t="shared" si="13"/>
        <v>14</v>
      </c>
      <c r="H128">
        <f>COUNTIF(G$3:G128,G128)</f>
        <v>61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14</v>
      </c>
      <c r="G129" t="str">
        <f t="shared" si="13"/>
        <v>14</v>
      </c>
      <c r="H129">
        <f>COUNTIF(G$3:G129,G129)</f>
        <v>62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14</v>
      </c>
      <c r="G130" t="str">
        <f t="shared" si="13"/>
        <v>14</v>
      </c>
      <c r="H130">
        <f>COUNTIF(G$3:G130,G130)</f>
        <v>63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14</v>
      </c>
      <c r="G131" t="str">
        <f t="shared" si="13"/>
        <v>14</v>
      </c>
      <c r="H131">
        <f>COUNTIF(G$3:G131,G131)</f>
        <v>64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14</v>
      </c>
      <c r="G132" t="str">
        <f t="shared" ref="G132:G195" si="14">E132&amp;F132</f>
        <v>14</v>
      </c>
      <c r="H132">
        <f>COUNTIF(G$3:G132,G132)</f>
        <v>65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15">F132</f>
        <v>14</v>
      </c>
      <c r="G133" t="str">
        <f t="shared" si="14"/>
        <v>14</v>
      </c>
      <c r="H133">
        <f>COUNTIF(G$3:G133,G133)</f>
        <v>66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15"/>
        <v>14</v>
      </c>
      <c r="G134" t="str">
        <f t="shared" si="14"/>
        <v>14</v>
      </c>
      <c r="H134">
        <f>COUNTIF(G$3:G134,G134)</f>
        <v>67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14</v>
      </c>
      <c r="G135" t="str">
        <f t="shared" si="14"/>
        <v>14</v>
      </c>
      <c r="H135">
        <f>COUNTIF(G$3:G135,G135)</f>
        <v>68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14</v>
      </c>
      <c r="G136" t="str">
        <f t="shared" si="14"/>
        <v>14</v>
      </c>
      <c r="H136">
        <f>COUNTIF(G$3:G136,G136)</f>
        <v>69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14</v>
      </c>
      <c r="G137" t="str">
        <f t="shared" si="14"/>
        <v>14</v>
      </c>
      <c r="H137">
        <f>COUNTIF(G$3:G137,G137)</f>
        <v>70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14</v>
      </c>
      <c r="G138" t="str">
        <f t="shared" si="14"/>
        <v>14</v>
      </c>
      <c r="H138">
        <f>COUNTIF(G$3:G138,G138)</f>
        <v>71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14</v>
      </c>
      <c r="G139" t="str">
        <f t="shared" si="14"/>
        <v>14</v>
      </c>
      <c r="H139">
        <f>COUNTIF(G$3:G139,G139)</f>
        <v>72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14</v>
      </c>
      <c r="G140" t="str">
        <f t="shared" si="14"/>
        <v>14</v>
      </c>
      <c r="H140">
        <f>COUNTIF(G$3:G140,G140)</f>
        <v>73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14</v>
      </c>
      <c r="G141" t="str">
        <f t="shared" si="14"/>
        <v>14</v>
      </c>
      <c r="H141">
        <f>COUNTIF(G$3:G141,G141)</f>
        <v>74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14</v>
      </c>
      <c r="G142" t="str">
        <f t="shared" si="14"/>
        <v>14</v>
      </c>
      <c r="H142">
        <f>COUNTIF(G$3:G142,G142)</f>
        <v>75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14</v>
      </c>
      <c r="G143" t="str">
        <f t="shared" si="14"/>
        <v>14</v>
      </c>
      <c r="H143">
        <f>COUNTIF(G$3:G143,G143)</f>
        <v>76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14</v>
      </c>
      <c r="G144" t="str">
        <f t="shared" si="14"/>
        <v>14</v>
      </c>
      <c r="H144">
        <f>COUNTIF(G$3:G144,G144)</f>
        <v>77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14</v>
      </c>
      <c r="G145" t="str">
        <f t="shared" si="14"/>
        <v>14</v>
      </c>
      <c r="H145">
        <f>COUNTIF(G$3:G145,G145)</f>
        <v>78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14</v>
      </c>
      <c r="G146" t="str">
        <f t="shared" si="14"/>
        <v>14</v>
      </c>
      <c r="H146">
        <f>COUNTIF(G$3:G146,G146)</f>
        <v>79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14</v>
      </c>
      <c r="G147" t="str">
        <f t="shared" si="14"/>
        <v>14</v>
      </c>
      <c r="H147">
        <f>COUNTIF(G$3:G147,G147)</f>
        <v>80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14</v>
      </c>
      <c r="G148" t="str">
        <f t="shared" si="14"/>
        <v>14</v>
      </c>
      <c r="H148">
        <f>COUNTIF(G$3:G148,G148)</f>
        <v>81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14</v>
      </c>
      <c r="G149" t="str">
        <f t="shared" si="14"/>
        <v>14</v>
      </c>
      <c r="H149">
        <f>COUNTIF(G$3:G149,G149)</f>
        <v>82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14</v>
      </c>
      <c r="G150" t="str">
        <f t="shared" si="14"/>
        <v>14</v>
      </c>
      <c r="H150">
        <f>COUNTIF(G$3:G150,G150)</f>
        <v>83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14</v>
      </c>
      <c r="G151" t="str">
        <f t="shared" si="14"/>
        <v>14</v>
      </c>
      <c r="H151">
        <f>COUNTIF(G$3:G151,G151)</f>
        <v>84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14</v>
      </c>
      <c r="G152" t="str">
        <f t="shared" si="14"/>
        <v>14</v>
      </c>
      <c r="H152">
        <f>COUNTIF(G$3:G152,G152)</f>
        <v>85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14</v>
      </c>
      <c r="G153" t="str">
        <f t="shared" si="14"/>
        <v>14</v>
      </c>
      <c r="H153">
        <f>COUNTIF(G$3:G153,G153)</f>
        <v>86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14</v>
      </c>
      <c r="G154" t="str">
        <f t="shared" si="14"/>
        <v>14</v>
      </c>
      <c r="H154">
        <f>COUNTIF(G$3:G154,G154)</f>
        <v>87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14</v>
      </c>
      <c r="G155" t="str">
        <f t="shared" si="14"/>
        <v>14</v>
      </c>
      <c r="H155">
        <f>COUNTIF(G$3:G155,G155)</f>
        <v>88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14</v>
      </c>
      <c r="G156" t="str">
        <f t="shared" si="14"/>
        <v>14</v>
      </c>
      <c r="H156">
        <f>COUNTIF(G$3:G156,G156)</f>
        <v>89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14</v>
      </c>
      <c r="G157" t="str">
        <f t="shared" si="14"/>
        <v>14</v>
      </c>
      <c r="H157">
        <f>COUNTIF(G$3:G157,G157)</f>
        <v>90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14</v>
      </c>
      <c r="G158" t="str">
        <f t="shared" si="14"/>
        <v>14</v>
      </c>
      <c r="H158">
        <f>COUNTIF(G$3:G158,G158)</f>
        <v>91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14</v>
      </c>
      <c r="G159" t="str">
        <f t="shared" si="14"/>
        <v>14</v>
      </c>
      <c r="H159">
        <f>COUNTIF(G$3:G159,G159)</f>
        <v>92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14</v>
      </c>
      <c r="G160" t="str">
        <f t="shared" si="14"/>
        <v>14</v>
      </c>
      <c r="H160">
        <f>COUNTIF(G$3:G160,G160)</f>
        <v>93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14</v>
      </c>
      <c r="G161" t="str">
        <f t="shared" si="14"/>
        <v>14</v>
      </c>
      <c r="H161">
        <f>COUNTIF(G$3:G161,G161)</f>
        <v>94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14</v>
      </c>
      <c r="G162" t="str">
        <f t="shared" si="14"/>
        <v>14</v>
      </c>
      <c r="H162">
        <f>COUNTIF(G$3:G162,G162)</f>
        <v>95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14</v>
      </c>
      <c r="G163" t="str">
        <f t="shared" si="14"/>
        <v>14</v>
      </c>
      <c r="H163">
        <f>COUNTIF(G$3:G163,G163)</f>
        <v>96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14</v>
      </c>
      <c r="G164" t="str">
        <f t="shared" si="14"/>
        <v>14</v>
      </c>
      <c r="H164">
        <f>COUNTIF(G$3:G164,G164)</f>
        <v>97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14</v>
      </c>
      <c r="G165" t="str">
        <f t="shared" si="14"/>
        <v>14</v>
      </c>
      <c r="H165">
        <f>COUNTIF(G$3:G165,G165)</f>
        <v>98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14</v>
      </c>
      <c r="G166" t="str">
        <f t="shared" si="14"/>
        <v>14</v>
      </c>
      <c r="H166">
        <f>COUNTIF(G$3:G166,G166)</f>
        <v>99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14</v>
      </c>
      <c r="G167" t="str">
        <f t="shared" si="14"/>
        <v>14</v>
      </c>
      <c r="H167">
        <f>COUNTIF(G$3:G167,G167)</f>
        <v>100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14</v>
      </c>
      <c r="G168" t="str">
        <f t="shared" si="14"/>
        <v>14</v>
      </c>
      <c r="H168">
        <f>COUNTIF(G$3:G168,G168)</f>
        <v>101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14</v>
      </c>
      <c r="G169" t="str">
        <f t="shared" si="14"/>
        <v>14</v>
      </c>
      <c r="H169">
        <f>COUNTIF(G$3:G169,G169)</f>
        <v>102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14</v>
      </c>
      <c r="G170" t="str">
        <f t="shared" si="14"/>
        <v>14</v>
      </c>
      <c r="H170">
        <f>COUNTIF(G$3:G170,G170)</f>
        <v>103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14</v>
      </c>
      <c r="G171" t="str">
        <f t="shared" si="14"/>
        <v>14</v>
      </c>
      <c r="H171">
        <f>COUNTIF(G$3:G171,G171)</f>
        <v>104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14</v>
      </c>
      <c r="G172" t="str">
        <f t="shared" si="14"/>
        <v>14</v>
      </c>
      <c r="H172">
        <f>COUNTIF(G$3:G172,G172)</f>
        <v>105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14</v>
      </c>
      <c r="G173" t="str">
        <f t="shared" si="14"/>
        <v>14</v>
      </c>
      <c r="H173">
        <f>COUNTIF(G$3:G173,G173)</f>
        <v>106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14</v>
      </c>
      <c r="G174" t="str">
        <f t="shared" si="14"/>
        <v>14</v>
      </c>
      <c r="H174">
        <f>COUNTIF(G$3:G174,G174)</f>
        <v>107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14</v>
      </c>
      <c r="G175" t="str">
        <f t="shared" si="14"/>
        <v>14</v>
      </c>
      <c r="H175">
        <f>COUNTIF(G$3:G175,G175)</f>
        <v>108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14</v>
      </c>
      <c r="G176" t="str">
        <f t="shared" si="14"/>
        <v>14</v>
      </c>
      <c r="H176">
        <f>COUNTIF(G$3:G176,G176)</f>
        <v>109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14</v>
      </c>
      <c r="G177" t="str">
        <f t="shared" si="14"/>
        <v>14</v>
      </c>
      <c r="H177">
        <f>COUNTIF(G$3:G177,G177)</f>
        <v>110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14</v>
      </c>
      <c r="G178" t="str">
        <f t="shared" si="14"/>
        <v>14</v>
      </c>
      <c r="H178">
        <f>COUNTIF(G$3:G178,G178)</f>
        <v>111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14</v>
      </c>
      <c r="G179" t="str">
        <f t="shared" si="14"/>
        <v>14</v>
      </c>
      <c r="H179">
        <f>COUNTIF(G$3:G179,G179)</f>
        <v>112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14</v>
      </c>
      <c r="G180" t="str">
        <f t="shared" si="14"/>
        <v>14</v>
      </c>
      <c r="H180">
        <f>COUNTIF(G$3:G180,G180)</f>
        <v>113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14</v>
      </c>
      <c r="G181" t="str">
        <f t="shared" si="14"/>
        <v>14</v>
      </c>
      <c r="H181">
        <f>COUNTIF(G$3:G181,G181)</f>
        <v>114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14</v>
      </c>
      <c r="G182" t="str">
        <f t="shared" si="14"/>
        <v>14</v>
      </c>
      <c r="H182">
        <f>COUNTIF(G$3:G182,G182)</f>
        <v>115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14</v>
      </c>
      <c r="G183" t="str">
        <f t="shared" si="14"/>
        <v>14</v>
      </c>
      <c r="H183">
        <f>COUNTIF(G$3:G183,G183)</f>
        <v>116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14</v>
      </c>
      <c r="G184" t="str">
        <f t="shared" si="14"/>
        <v>14</v>
      </c>
      <c r="H184">
        <f>COUNTIF(G$3:G184,G184)</f>
        <v>117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14</v>
      </c>
      <c r="G185" t="str">
        <f t="shared" si="14"/>
        <v>14</v>
      </c>
      <c r="H185">
        <f>COUNTIF(G$3:G185,G185)</f>
        <v>118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14</v>
      </c>
      <c r="G186" t="str">
        <f t="shared" si="14"/>
        <v>14</v>
      </c>
      <c r="H186">
        <f>COUNTIF(G$3:G186,G186)</f>
        <v>119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14</v>
      </c>
      <c r="G187" t="str">
        <f t="shared" si="14"/>
        <v>14</v>
      </c>
      <c r="H187">
        <f>COUNTIF(G$3:G187,G187)</f>
        <v>120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14</v>
      </c>
      <c r="G188" t="str">
        <f t="shared" si="14"/>
        <v>14</v>
      </c>
      <c r="H188">
        <f>COUNTIF(G$3:G188,G188)</f>
        <v>121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14</v>
      </c>
      <c r="G189" t="str">
        <f t="shared" si="14"/>
        <v>14</v>
      </c>
      <c r="H189">
        <f>COUNTIF(G$3:G189,G189)</f>
        <v>122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14</v>
      </c>
      <c r="G190" t="str">
        <f t="shared" si="14"/>
        <v>14</v>
      </c>
      <c r="H190">
        <f>COUNTIF(G$3:G190,G190)</f>
        <v>123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14</v>
      </c>
      <c r="G191" t="str">
        <f t="shared" si="14"/>
        <v>14</v>
      </c>
      <c r="H191">
        <f>COUNTIF(G$3:G191,G191)</f>
        <v>124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14</v>
      </c>
      <c r="G192" t="str">
        <f t="shared" si="14"/>
        <v>14</v>
      </c>
      <c r="H192">
        <f>COUNTIF(G$3:G192,G192)</f>
        <v>125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14</v>
      </c>
      <c r="G193" t="str">
        <f t="shared" si="14"/>
        <v>14</v>
      </c>
      <c r="H193">
        <f>COUNTIF(G$3:G193,G193)</f>
        <v>126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14</v>
      </c>
      <c r="G194" t="str">
        <f t="shared" si="14"/>
        <v>14</v>
      </c>
      <c r="H194">
        <f>COUNTIF(G$3:G194,G194)</f>
        <v>127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14</v>
      </c>
      <c r="G195" t="str">
        <f t="shared" si="14"/>
        <v>14</v>
      </c>
      <c r="H195">
        <f>COUNTIF(G$3:G195,G195)</f>
        <v>128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14</v>
      </c>
      <c r="G196" t="str">
        <f t="shared" ref="G196:G202" si="16">E196&amp;F196</f>
        <v>14</v>
      </c>
      <c r="H196">
        <f>COUNTIF(G$3:G196,G196)</f>
        <v>129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7">F196</f>
        <v>14</v>
      </c>
      <c r="G197" t="str">
        <f t="shared" si="16"/>
        <v>14</v>
      </c>
      <c r="H197">
        <f>COUNTIF(G$3:G197,G197)</f>
        <v>130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7"/>
        <v>14</v>
      </c>
      <c r="G198" t="str">
        <f t="shared" si="16"/>
        <v>14</v>
      </c>
      <c r="H198">
        <f>COUNTIF(G$3:G198,G198)</f>
        <v>131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14</v>
      </c>
      <c r="G199" t="str">
        <f t="shared" si="16"/>
        <v>14</v>
      </c>
      <c r="H199">
        <f>COUNTIF(G$3:G199,G199)</f>
        <v>132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14</v>
      </c>
      <c r="G200" t="str">
        <f t="shared" si="16"/>
        <v>14</v>
      </c>
      <c r="H200">
        <f>COUNTIF(G$3:G200,G200)</f>
        <v>133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14</v>
      </c>
      <c r="G201" t="str">
        <f t="shared" si="16"/>
        <v>14</v>
      </c>
      <c r="H201">
        <f>COUNTIF(G$3:G201,G201)</f>
        <v>134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14</v>
      </c>
      <c r="G202" t="str">
        <f t="shared" si="16"/>
        <v>14</v>
      </c>
      <c r="H202">
        <f>COUNTIF(G$3:G202,G202)</f>
        <v>135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C:\tk\prj\hg-0025-0016\git\kv-x520\doc\[kv_script_Pos_info.xlsx]info_script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2026-02-26T13:04:50Z</dcterms:modified>
</cp:coreProperties>
</file>