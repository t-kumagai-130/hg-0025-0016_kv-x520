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C9723B47-606C-4BE3-86DC-7F531FD3B766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3" l="1"/>
  <c r="G68" i="3" s="1"/>
  <c r="E7" i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9" i="3" s="1"/>
  <c r="F59" i="3"/>
  <c r="F60" i="3" s="1"/>
  <c r="F61" i="3" s="1"/>
  <c r="F62" i="3" s="1"/>
  <c r="H12" i="3"/>
  <c r="F70" i="3" l="1"/>
  <c r="G69" i="3"/>
  <c r="E62" i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F71" i="3" l="1"/>
  <c r="G70" i="3"/>
  <c r="E67" i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F72" i="3" l="1"/>
  <c r="G71" i="3"/>
  <c r="E68" i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G72" i="3" l="1"/>
  <c r="E77" i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F74" i="3" l="1"/>
  <c r="G73" i="3"/>
  <c r="E78" i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F75" i="3" l="1"/>
  <c r="G74" i="3"/>
  <c r="E87" i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F76" i="3" l="1"/>
  <c r="G75" i="3"/>
  <c r="E92" i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F77" i="3" l="1"/>
  <c r="G76" i="3"/>
  <c r="C94" i="1"/>
  <c r="D93" i="1"/>
  <c r="C86" i="1"/>
  <c r="D86" i="1" s="1"/>
  <c r="D85" i="1"/>
  <c r="C90" i="1"/>
  <c r="D89" i="1"/>
  <c r="H20" i="3"/>
  <c r="G77" i="3" l="1"/>
  <c r="C91" i="1"/>
  <c r="D91" i="1" s="1"/>
  <c r="D90" i="1"/>
  <c r="C95" i="1"/>
  <c r="D94" i="1"/>
  <c r="H21" i="3"/>
  <c r="F79" i="3" l="1"/>
  <c r="G78" i="3"/>
  <c r="C96" i="1"/>
  <c r="D95" i="1"/>
  <c r="H22" i="3"/>
  <c r="F80" i="3" l="1"/>
  <c r="G79" i="3"/>
  <c r="D96" i="1"/>
  <c r="H23" i="3"/>
  <c r="F81" i="3" l="1"/>
  <c r="F82" i="3" s="1"/>
  <c r="G80" i="3"/>
  <c r="E102" i="1"/>
  <c r="D102" i="1"/>
  <c r="D104" i="1"/>
  <c r="E104" i="1"/>
  <c r="H24" i="3"/>
  <c r="G81" i="3" l="1"/>
  <c r="H25" i="3"/>
  <c r="F83" i="3" l="1"/>
  <c r="G82" i="3"/>
  <c r="H26" i="3"/>
  <c r="F84" i="3" l="1"/>
  <c r="G83" i="3"/>
  <c r="H27" i="3"/>
  <c r="F85" i="3" l="1"/>
  <c r="G84" i="3"/>
  <c r="H28" i="3"/>
  <c r="F86" i="3" l="1"/>
  <c r="G85" i="3"/>
  <c r="H29" i="3"/>
  <c r="F87" i="3" l="1"/>
  <c r="G86" i="3"/>
  <c r="H30" i="3"/>
  <c r="F88" i="3" l="1"/>
  <c r="G87" i="3"/>
  <c r="H31" i="3"/>
  <c r="F89" i="3" l="1"/>
  <c r="G88" i="3"/>
  <c r="H32" i="3"/>
  <c r="F90" i="3" l="1"/>
  <c r="G89" i="3"/>
  <c r="H33" i="3"/>
  <c r="F91" i="3" l="1"/>
  <c r="G90" i="3"/>
  <c r="H34" i="3"/>
  <c r="F92" i="3" l="1"/>
  <c r="G91" i="3"/>
  <c r="H35" i="3"/>
  <c r="F93" i="3" l="1"/>
  <c r="G92" i="3"/>
  <c r="H36" i="3"/>
  <c r="F94" i="3" l="1"/>
  <c r="G93" i="3"/>
  <c r="H37" i="3"/>
  <c r="F95" i="3" l="1"/>
  <c r="G94" i="3"/>
  <c r="H38" i="3"/>
  <c r="F96" i="3" l="1"/>
  <c r="G95" i="3"/>
  <c r="H39" i="3"/>
  <c r="F97" i="3" l="1"/>
  <c r="G96" i="3"/>
  <c r="H40" i="3"/>
  <c r="F98" i="3" l="1"/>
  <c r="G97" i="3"/>
  <c r="H41" i="3"/>
  <c r="F99" i="3" l="1"/>
  <c r="G98" i="3"/>
  <c r="H98" i="3" s="1"/>
  <c r="H92" i="3"/>
  <c r="H94" i="3"/>
  <c r="H96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7" i="3"/>
  <c r="F100" i="3" l="1"/>
  <c r="G99" i="3"/>
  <c r="H99" i="3" s="1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2" i="3" s="1"/>
  <c r="H202" i="3" s="1"/>
  <c r="G201" i="3"/>
  <c r="H201" i="3" l="1"/>
  <c r="I4" i="3" s="1" a="1"/>
  <c r="I4" i="3" s="1"/>
  <c r="J3" i="3" l="1" a="1"/>
  <c r="O3" i="3" a="1"/>
  <c r="O3" i="3" s="1"/>
  <c r="K3" i="3" l="1" a="1"/>
  <c r="K3" i="3" s="1"/>
  <c r="J3" i="3"/>
  <c r="Q3" i="3" s="1" a="1"/>
  <c r="Q3" i="3" s="1"/>
  <c r="R3" i="3" s="1" a="1"/>
  <c r="R3" i="3" s="1"/>
  <c r="P3" i="3" l="1" a="1"/>
  <c r="P3" i="3" s="1"/>
  <c r="L3" i="3" a="1"/>
  <c r="L3" i="3" l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<sst xmlns="http://schemas.openxmlformats.org/spreadsheetml/2006/main" count="253" uniqueCount="116">
  <si>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</si>
  <si>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</si>
  <si>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</si>
  <si>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</si>
  <si>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</si>
  <si>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</si>
  <si>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</si>
  <si>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</si>
  <si>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</si>
  <si>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</si>
  <si>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</si>
  <si>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</si>
  <si>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</si>
  <si>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</si>
  <si>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</si>
  <si>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</si>
  <si>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</si>
  <si>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</si>
  <si>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</si>
  <si>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</si>
  <si>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</si>
  <si>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</si>
  <si>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</si>
  <si>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</si>
  <si>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</si>
  <si>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</si>
  <si>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</si>
  <si>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</si>
  <si>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</si>
  <si>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</si>
  <si>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</si>
  <si>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</si>
  <si>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</si>
  <si>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</si>
  <si>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</si>
  <si>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</si>
  <si>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</si>
  <si>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</si>
  <si>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</si>
  <si>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</si>
  <si>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</si>
  <si>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</si>
  <si>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</si>
  <si>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</si>
  <si>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</si>
  <si>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</si>
  <si>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</si>
  <si>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</si>
  <si>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</si>
  <si>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</si>
  <si>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</si>
  <si>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</si>
  <si>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</si>
  <si>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</si>
  <si>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</si>
  <si>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</si>
  <si>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</si>
  <si>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</si>
  <si>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</si>
  <si>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</si>
  <si>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</si>
  <si>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</si>
  <si>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</si>
  <si>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</si>
  <si>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</si>
  <si>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</si>
  <si>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</si>
  <si>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</si>
  <si>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</si>
  <si>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</si>
  <si>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</si>
  <si>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</si>
  <si>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</si>
  <si>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</si>
  <si>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</si>
  <si>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</si>
  <si>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</si>
  <si>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</si>
  <si>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</si>
  <si>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</si>
  <si>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</si>
  <si>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</si>
  <si>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</si>
  <si>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</si>
  <si>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</si>
  <si>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</si>
  <si>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</si>
  <si>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</si>
  <si>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</si>
  <si>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</si>
  <si>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</si>
  <si>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</si>
  <si>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</si>
  <si>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</si>
  <si>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</si>
  <si>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</si>
  <si>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</si>
  <si>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</si>
  <si>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</si>
  <si>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</si>
  <si>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</si>
  <si>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</si>
  <si>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</si>
  <si>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</si>
  <si>
    <t>補助位置</t>
    <rPh sb="0" eb="2">
      <t>ホジョ</t>
    </rPh>
    <rPh sb="2" eb="4">
      <t>イチ</t>
    </rPh>
    <phoneticPr fontId="1"/>
  </si>
  <si>
    <t>Auxiliary position</t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</si>
  <si>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</si>
  <si>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</si>
  <si>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</si>
  <si>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</si>
  <si>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</si>
  <si>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Pick Position</t>
  </si>
  <si>
    <t>Wind assist Position</t>
  </si>
  <si>
    <t>(予約)</t>
  </si>
  <si>
    <t>計測退避位置</t>
    <rPh sb="0" eb="2">
      <t>ケイソク</t>
    </rPh>
    <rPh sb="2" eb="4">
      <t>タイヒ</t>
    </rPh>
    <rPh sb="4" eb="6">
      <t>イチ</t>
    </rPh>
    <phoneticPr fontId="1"/>
  </si>
  <si>
    <t>Measurement and evacuation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</si>
</sst>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tabSelected="1" workbookViewId="0">
      <pane xSplit="5" ySplit="1" topLeftCell="F62" activePane="bottomRight" state="frozen"/>
      <selection pane="topRight" activeCell="D1" sqref="D1"/>
      <selection pane="bottomLeft" activeCell="A2" sqref="A2"/>
      <selection pane="bottomRight" activeCell="H85" sqref="H85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7">C62</f>
        <v>13</v>
      </c>
      <c r="D63" s="4" t="str">
        <f t="shared" si="0"/>
        <v>13</v>
      </c>
      <c r="E63" s="4">
        <f t="shared" ref="E63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" si="51">E67+1</f>
        <v>2</v>
      </c>
      <c r="F68" s="5"/>
      <c r="G68" s="5"/>
      <c r="H68" s="5" t="s">
        <v>102</v>
      </c>
      <c r="I68" s="5" t="s">
        <v>103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98</v>
      </c>
      <c r="I69" s="5" t="s">
        <v>100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99</v>
      </c>
      <c r="I70" s="5" t="s">
        <v>101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 t="s">
        <v>69</v>
      </c>
      <c r="I72" s="5" t="s">
        <v>83</v>
      </c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" si="53">E72+1</f>
        <v>2</v>
      </c>
      <c r="F73" s="5"/>
      <c r="G73" s="5"/>
      <c r="H73" s="5" t="s">
        <v>104</v>
      </c>
      <c r="I73" s="5" t="s">
        <v>105</v>
      </c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 t="s">
        <v>113</v>
      </c>
      <c r="I74" s="5" t="s">
        <v>84</v>
      </c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 t="s">
        <v>113</v>
      </c>
      <c r="I75" s="5" t="s">
        <v>84</v>
      </c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 t="s">
        <v>113</v>
      </c>
      <c r="I76" s="5" t="s">
        <v>84</v>
      </c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 t="s">
        <v>113</v>
      </c>
      <c r="I77" s="5" t="s">
        <v>84</v>
      </c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 t="s">
        <v>113</v>
      </c>
      <c r="I78" s="5" t="s">
        <v>84</v>
      </c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 t="s">
        <v>113</v>
      </c>
      <c r="I79" s="5" t="s">
        <v>84</v>
      </c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 t="s">
        <v>113</v>
      </c>
      <c r="I80" s="5" t="s">
        <v>84</v>
      </c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 t="s">
        <v>113</v>
      </c>
      <c r="I81" s="5" t="s">
        <v>84</v>
      </c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 t="s">
        <v>106</v>
      </c>
      <c r="I82" s="5" t="s">
        <v>83</v>
      </c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" si="57">E82+1</f>
        <v>2</v>
      </c>
      <c r="F83" s="5"/>
      <c r="G83" s="5"/>
      <c r="H83" s="5" t="s">
        <v>108</v>
      </c>
      <c r="I83" s="5" t="s">
        <v>111</v>
      </c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 t="s">
        <v>110</v>
      </c>
      <c r="I84" s="5" t="s">
        <v>112</v>
      </c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 t="s">
        <v>114</v>
      </c>
      <c r="I85" s="5" t="s">
        <v>115</v>
      </c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 t="s">
        <v>113</v>
      </c>
      <c r="I86" s="5" t="s">
        <v>84</v>
      </c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 t="s">
        <v>69</v>
      </c>
      <c r="I87" s="5" t="s">
        <v>83</v>
      </c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" si="59">E87+1</f>
        <v>2</v>
      </c>
      <c r="F88" s="5"/>
      <c r="G88" s="5"/>
      <c r="H88" s="5" t="s">
        <v>107</v>
      </c>
      <c r="I88" s="5" t="s">
        <v>111</v>
      </c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 t="s">
        <v>109</v>
      </c>
      <c r="I89" s="5" t="s">
        <v>112</v>
      </c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 t="s">
        <v>113</v>
      </c>
      <c r="I90" s="5" t="s">
        <v>84</v>
      </c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 t="s">
        <v>113</v>
      </c>
      <c r="I91" s="5" t="s">
        <v>84</v>
      </c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K17" sqref="K17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C:\tk\prj\hg-0025-0016\git\unit01\kv-x520\doc\[kv_script_Pos_info.xlsx]info_index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待機位置</v>
      </c>
      <c r="L3" t="str" cm="1">
        <f t="array" aca="1" ref="L3:L202" ca="1">IF(LEN(_xlfn.ANCHORARRAY($J3)),IF(LEN(_xlfn.ANCHORARRAY(K3)),_xlfn.ANCHORARRAY(K3),"unknown"),"")</f>
        <v>待機位置</v>
      </c>
      <c r="N3" t="str" cm="1">
        <f t="array" aca="1" ref="N3:N202" ca="1">IF(LEN(_xlfn.ANCHORARRAY(L3)),"【"&amp;G3:G202&amp;H3:H202&amp;"】 "&amp;_xlfn.ANCHORARRAY(L3),"")</f>
        <v>【11】 待機位置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//待機位置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//待機位置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//待機位置
	IF uiInfoIdx = 1 THEN
		IF strInfoKey = 'name' THEN
			strRt	:= '待機位置';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//待機位置
	IF uiInfoIdx = 1 THEN
		IF strInfoKey = 'name' THEN
			strRt	:= '待機位置';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//待機位置
	IF uiInfoIdx = 1 THEN
		IF strInfoKey = 'name' THEN
			strRt	:= '待機位置';
		ELSIF strInfoKey = 'index_name' THEN
			strRt	:= '【11】 待機位置';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//待機位置
	IF uiInfoIdx = 1 THEN
		IF strInfoKey = 'name' THEN
			strRt	:= '待機位置';
		ELSIF strInfoKey = 'index_name' THEN
			strRt	:= '【11】 待機位置';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(予約)</v>
      </c>
      <c r="L4" t="str">
        <f ca="1"/>
        <v>(予約)</v>
      </c>
      <c r="N4" t="str">
        <f ca="1"/>
        <v>【12】 (予約)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//(予約)
	ELSIF uiInfoIdx = 2 THEN</v>
      </c>
      <c r="AC4" t="str">
        <f ca="1"/>
        <v xml:space="preserve">
	//(予約)
	ELSIF uiInfoIdx = 2 THEN
		IF strInfoKey = 'name' THEN</v>
      </c>
      <c r="AD4" t="str">
        <f ca="1"/>
        <v xml:space="preserve">
	//(予約)
	ELSIF uiInfoIdx = 2 THEN
		IF strInfoKey = 'name' THEN
			strRt	:= '(予約)';</v>
      </c>
      <c r="AE4" t="str">
        <f ca="1"/>
        <v xml:space="preserve">
	//(予約)
	ELSIF uiInfoIdx = 2 THEN
		IF strInfoKey = 'name' THEN
			strRt	:= '(予約)';
		ELSIF strInfoKey = 'index_name' THEN</v>
      </c>
      <c r="AF4" t="str">
        <f ca="1"/>
        <v xml:space="preserve">
	//(予約)
	ELSIF uiInfoIdx = 2 THEN
		IF strInfoKey = 'name' THEN
			strRt	:= '(予約)';
		ELSIF strInfoKey = 'index_name' THEN
			strRt	:= '【12】 (予約)';</v>
      </c>
      <c r="AG4" t="str">
        <f ca="1"/>
        <v xml:space="preserve">
	//(予約)
	ELSIF uiInfoIdx = 2 THEN
		IF strInfoKey = 'name' THEN
			strRt	:= '(予約)';
		ELSIF strInfoKey = 'index_name' THEN
			strRt	:= '【12】 (予約)';
		ELSIF strInfoKey = 'model' THEN</v>
      </c>
      <c r="AH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</v>
      </c>
      <c r="AI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</v>
      </c>
      <c r="AJ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</v>
      </c>
      <c r="AK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L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M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C:\tk\prj\hg-0025-0016\git\unit01\kv-x520\doc\[kv_script_Pos_info.xlsx]info_index によって生成されました。</v>
      </c>
      <c r="F5">
        <f t="shared" ref="F5:F67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(予約)</v>
      </c>
      <c r="L5" t="str">
        <f ca="1"/>
        <v>(予約)</v>
      </c>
      <c r="N5" t="str">
        <f ca="1"/>
        <v>【13】 (予約)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//(予約)
	ELSIF uiInfoIdx = 3 THEN</v>
      </c>
      <c r="AC5" t="str">
        <f ca="1"/>
        <v xml:space="preserve">
	//(予約)
	ELSIF uiInfoIdx = 3 THEN
		IF strInfoKey = 'name' THEN</v>
      </c>
      <c r="AD5" t="str">
        <f ca="1"/>
        <v xml:space="preserve">
	//(予約)
	ELSIF uiInfoIdx = 3 THEN
		IF strInfoKey = 'name' THEN
			strRt	:= '(予約)';</v>
      </c>
      <c r="AE5" t="str">
        <f ca="1"/>
        <v xml:space="preserve">
	//(予約)
	ELSIF uiInfoIdx = 3 THEN
		IF strInfoKey = 'name' THEN
			strRt	:= '(予約)';
		ELSIF strInfoKey = 'index_name' THEN</v>
      </c>
      <c r="AF5" t="str">
        <f ca="1"/>
        <v xml:space="preserve">
	//(予約)
	ELSIF uiInfoIdx = 3 THEN
		IF strInfoKey = 'name' THEN
			strRt	:= '(予約)';
		ELSIF strInfoKey = 'index_name' THEN
			strRt	:= '【13】 (予約)';</v>
      </c>
      <c r="AG5" t="str">
        <f ca="1"/>
        <v xml:space="preserve">
	//(予約)
	ELSIF uiInfoIdx = 3 THEN
		IF strInfoKey = 'name' THEN
			strRt	:= '(予約)';
		ELSIF strInfoKey = 'index_name' THEN
			strRt	:= '【13】 (予約)';
		ELSIF strInfoKey = 'model' THEN</v>
      </c>
      <c r="AH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</v>
      </c>
      <c r="AI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</v>
      </c>
      <c r="AJ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</v>
      </c>
      <c r="AK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L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M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(予約)</v>
      </c>
      <c r="L6" t="str">
        <f ca="1"/>
        <v>(予約)</v>
      </c>
      <c r="N6" t="str">
        <f ca="1"/>
        <v>【14】 (予約)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//(予約)
	ELSIF uiInfoIdx = 4 THEN</v>
      </c>
      <c r="AC6" t="str">
        <f ca="1"/>
        <v xml:space="preserve">
	//(予約)
	ELSIF uiInfoIdx = 4 THEN
		IF strInfoKey = 'name' THEN</v>
      </c>
      <c r="AD6" t="str">
        <f ca="1"/>
        <v xml:space="preserve">
	//(予約)
	ELSIF uiInfoIdx = 4 THEN
		IF strInfoKey = 'name' THEN
			strRt	:= '(予約)';</v>
      </c>
      <c r="AE6" t="str">
        <f ca="1"/>
        <v xml:space="preserve">
	//(予約)
	ELSIF uiInfoIdx = 4 THEN
		IF strInfoKey = 'name' THEN
			strRt	:= '(予約)';
		ELSIF strInfoKey = 'index_name' THEN</v>
      </c>
      <c r="AF6" t="str">
        <f ca="1"/>
        <v xml:space="preserve">
	//(予約)
	ELSIF uiInfoIdx = 4 THEN
		IF strInfoKey = 'name' THEN
			strRt	:= '(予約)';
		ELSIF strInfoKey = 'index_name' THEN
			strRt	:= '【14】 (予約)';</v>
      </c>
      <c r="AG6" t="str">
        <f ca="1"/>
        <v xml:space="preserve">
	//(予約)
	ELSIF uiInfoIdx = 4 THEN
		IF strInfoKey = 'name' THEN
			strRt	:= '(予約)';
		ELSIF strInfoKey = 'index_name' THEN
			strRt	:= '【14】 (予約)';
		ELSIF strInfoKey = 'model' THEN</v>
      </c>
      <c r="AH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</v>
      </c>
      <c r="AI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</v>
      </c>
      <c r="AJ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</v>
      </c>
      <c r="AK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L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M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(予約)</v>
      </c>
      <c r="L7" t="str">
        <f ca="1"/>
        <v>(予約)</v>
      </c>
      <c r="N7" t="str">
        <f ca="1"/>
        <v>【15】 (予約)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//(予約)
	ELSIF uiInfoIdx = 5 THEN</v>
      </c>
      <c r="AC7" t="str">
        <f ca="1"/>
        <v xml:space="preserve">
	//(予約)
	ELSIF uiInfoIdx = 5 THEN
		IF strInfoKey = 'name' THEN</v>
      </c>
      <c r="AD7" t="str">
        <f ca="1"/>
        <v xml:space="preserve">
	//(予約)
	ELSIF uiInfoIdx = 5 THEN
		IF strInfoKey = 'name' THEN
			strRt	:= '(予約)';</v>
      </c>
      <c r="AE7" t="str">
        <f ca="1"/>
        <v xml:space="preserve">
	//(予約)
	ELSIF uiInfoIdx = 5 THEN
		IF strInfoKey = 'name' THEN
			strRt	:= '(予約)';
		ELSIF strInfoKey = 'index_name' THEN</v>
      </c>
      <c r="AF7" t="str">
        <f ca="1"/>
        <v xml:space="preserve">
	//(予約)
	ELSIF uiInfoIdx = 5 THEN
		IF strInfoKey = 'name' THEN
			strRt	:= '(予約)';
		ELSIF strInfoKey = 'index_name' THEN
			strRt	:= '【15】 (予約)';</v>
      </c>
      <c r="AG7" t="str">
        <f ca="1"/>
        <v xml:space="preserve">
	//(予約)
	ELSIF uiInfoIdx = 5 THEN
		IF strInfoKey = 'name' THEN
			strRt	:= '(予約)';
		ELSIF strInfoKey = 'index_name' THEN
			strRt	:= '【15】 (予約)';
		ELSIF strInfoKey = 'model' THEN</v>
      </c>
      <c r="AH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</v>
      </c>
      <c r="AI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</v>
      </c>
      <c r="AJ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</v>
      </c>
      <c r="AK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</v>
      </c>
      <c r="AL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待機位置</v>
      </c>
      <c r="L8" t="str">
        <f ca="1"/>
        <v>待機位置</v>
      </c>
      <c r="N8" t="str">
        <f ca="1"/>
        <v>【21】 待機位置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//待機位置
	IF uiInfoIdx = 1 THEN</v>
      </c>
      <c r="AC8" t="str">
        <f ca="1"/>
        <v xml:space="preserve">
//2
ELSIF strInfoType = 2 THEN
	//待機位置
	IF uiInfoIdx = 1 THEN
		IF strInfoKey = 'name' THEN</v>
      </c>
      <c r="AD8" t="str">
        <f ca="1"/>
        <v xml:space="preserve">
//2
ELSIF strInfoType = 2 THEN
	//待機位置
	IF uiInfoIdx = 1 THEN
		IF strInfoKey = 'name' THEN
			strRt	:= '待機位置';</v>
      </c>
      <c r="AE8" t="str">
        <f ca="1"/>
        <v xml:space="preserve">
//2
ELSIF strInfoType = 2 THEN
	//待機位置
	IF uiInfoIdx = 1 THEN
		IF strInfoKey = 'name' THEN
			strRt	:= '待機位置';
		ELSIF strInfoKey = 'index_name' THEN</v>
      </c>
      <c r="AF8" t="str">
        <f ca="1"/>
        <v xml:space="preserve">
//2
ELSIF strInfoType = 2 THEN
	//待機位置
	IF uiInfoIdx = 1 THEN
		IF strInfoKey = 'name' THEN
			strRt	:= '待機位置';
		ELSIF strInfoKey = 'index_name' THEN
			strRt	:= '【21】 待機位置';</v>
      </c>
      <c r="AG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</v>
      </c>
      <c r="AH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</v>
      </c>
      <c r="AI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</v>
      </c>
      <c r="AJ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</v>
      </c>
      <c r="AK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L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M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(予約)</v>
      </c>
      <c r="L9" t="str">
        <f ca="1"/>
        <v>(予約)</v>
      </c>
      <c r="N9" t="str">
        <f ca="1"/>
        <v>【22】 (予約)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//(予約)
	ELSIF uiInfoIdx = 2 THEN</v>
      </c>
      <c r="AC9" t="str">
        <f ca="1"/>
        <v xml:space="preserve">
	//(予約)
	ELSIF uiInfoIdx = 2 THEN
		IF strInfoKey = 'name' THEN</v>
      </c>
      <c r="AD9" t="str">
        <f ca="1"/>
        <v xml:space="preserve">
	//(予約)
	ELSIF uiInfoIdx = 2 THEN
		IF strInfoKey = 'name' THEN
			strRt	:= '(予約)';</v>
      </c>
      <c r="AE9" t="str">
        <f ca="1"/>
        <v xml:space="preserve">
	//(予約)
	ELSIF uiInfoIdx = 2 THEN
		IF strInfoKey = 'name' THEN
			strRt	:= '(予約)';
		ELSIF strInfoKey = 'index_name' THEN</v>
      </c>
      <c r="AF9" t="str">
        <f ca="1"/>
        <v xml:space="preserve">
	//(予約)
	ELSIF uiInfoIdx = 2 THEN
		IF strInfoKey = 'name' THEN
			strRt	:= '(予約)';
		ELSIF strInfoKey = 'index_name' THEN
			strRt	:= '【22】 (予約)';</v>
      </c>
      <c r="AG9" t="str">
        <f ca="1"/>
        <v xml:space="preserve">
	//(予約)
	ELSIF uiInfoIdx = 2 THEN
		IF strInfoKey = 'name' THEN
			strRt	:= '(予約)';
		ELSIF strInfoKey = 'index_name' THEN
			strRt	:= '【22】 (予約)';
		ELSIF strInfoKey = 'model' THEN</v>
      </c>
      <c r="AH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</v>
      </c>
      <c r="AI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</v>
      </c>
      <c r="AJ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</v>
      </c>
      <c r="AK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L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M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(予約)</v>
      </c>
      <c r="L10" t="str">
        <f ca="1"/>
        <v>(予約)</v>
      </c>
      <c r="N10" t="str">
        <f ca="1"/>
        <v>【23】 (予約)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//(予約)
	ELSIF uiInfoIdx = 3 THEN</v>
      </c>
      <c r="AC10" t="str">
        <f ca="1"/>
        <v xml:space="preserve">
	//(予約)
	ELSIF uiInfoIdx = 3 THEN
		IF strInfoKey = 'name' THEN</v>
      </c>
      <c r="AD10" t="str">
        <f ca="1"/>
        <v xml:space="preserve">
	//(予約)
	ELSIF uiInfoIdx = 3 THEN
		IF strInfoKey = 'name' THEN
			strRt	:= '(予約)';</v>
      </c>
      <c r="AE10" t="str">
        <f ca="1"/>
        <v xml:space="preserve">
	//(予約)
	ELSIF uiInfoIdx = 3 THEN
		IF strInfoKey = 'name' THEN
			strRt	:= '(予約)';
		ELSIF strInfoKey = 'index_name' THEN</v>
      </c>
      <c r="AF10" t="str">
        <f ca="1"/>
        <v xml:space="preserve">
	//(予約)
	ELSIF uiInfoIdx = 3 THEN
		IF strInfoKey = 'name' THEN
			strRt	:= '(予約)';
		ELSIF strInfoKey = 'index_name' THEN
			strRt	:= '【23】 (予約)';</v>
      </c>
      <c r="AG10" t="str">
        <f ca="1"/>
        <v xml:space="preserve">
	//(予約)
	ELSIF uiInfoIdx = 3 THEN
		IF strInfoKey = 'name' THEN
			strRt	:= '(予約)';
		ELSIF strInfoKey = 'index_name' THEN
			strRt	:= '【23】 (予約)';
		ELSIF strInfoKey = 'model' THEN</v>
      </c>
      <c r="AH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</v>
      </c>
      <c r="AI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</v>
      </c>
      <c r="AJ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</v>
      </c>
      <c r="AK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L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M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(予約)</v>
      </c>
      <c r="L11" t="str">
        <f ca="1"/>
        <v>(予約)</v>
      </c>
      <c r="N11" t="str">
        <f ca="1"/>
        <v>【24】 (予約)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//(予約)
	ELSIF uiInfoIdx = 4 THEN</v>
      </c>
      <c r="AC11" t="str">
        <f ca="1"/>
        <v xml:space="preserve">
	//(予約)
	ELSIF uiInfoIdx = 4 THEN
		IF strInfoKey = 'name' THEN</v>
      </c>
      <c r="AD11" t="str">
        <f ca="1"/>
        <v xml:space="preserve">
	//(予約)
	ELSIF uiInfoIdx = 4 THEN
		IF strInfoKey = 'name' THEN
			strRt	:= '(予約)';</v>
      </c>
      <c r="AE11" t="str">
        <f ca="1"/>
        <v xml:space="preserve">
	//(予約)
	ELSIF uiInfoIdx = 4 THEN
		IF strInfoKey = 'name' THEN
			strRt	:= '(予約)';
		ELSIF strInfoKey = 'index_name' THEN</v>
      </c>
      <c r="AF11" t="str">
        <f ca="1"/>
        <v xml:space="preserve">
	//(予約)
	ELSIF uiInfoIdx = 4 THEN
		IF strInfoKey = 'name' THEN
			strRt	:= '(予約)';
		ELSIF strInfoKey = 'index_name' THEN
			strRt	:= '【24】 (予約)';</v>
      </c>
      <c r="AG11" t="str">
        <f ca="1"/>
        <v xml:space="preserve">
	//(予約)
	ELSIF uiInfoIdx = 4 THEN
		IF strInfoKey = 'name' THEN
			strRt	:= '(予約)';
		ELSIF strInfoKey = 'index_name' THEN
			strRt	:= '【24】 (予約)';
		ELSIF strInfoKey = 'model' THEN</v>
      </c>
      <c r="AH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</v>
      </c>
      <c r="AI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</v>
      </c>
      <c r="AJ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</v>
      </c>
      <c r="AK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L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M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(予約)</v>
      </c>
      <c r="L12" t="str">
        <f ca="1"/>
        <v>(予約)</v>
      </c>
      <c r="N12" t="str">
        <f ca="1"/>
        <v>【25】 (予約)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//(予約)
	ELSIF uiInfoIdx = 5 THEN</v>
      </c>
      <c r="AC12" t="str">
        <f ca="1"/>
        <v xml:space="preserve">
	//(予約)
	ELSIF uiInfoIdx = 5 THEN
		IF strInfoKey = 'name' THEN</v>
      </c>
      <c r="AD12" t="str">
        <f ca="1"/>
        <v xml:space="preserve">
	//(予約)
	ELSIF uiInfoIdx = 5 THEN
		IF strInfoKey = 'name' THEN
			strRt	:= '(予約)';</v>
      </c>
      <c r="AE12" t="str">
        <f ca="1"/>
        <v xml:space="preserve">
	//(予約)
	ELSIF uiInfoIdx = 5 THEN
		IF strInfoKey = 'name' THEN
			strRt	:= '(予約)';
		ELSIF strInfoKey = 'index_name' THEN</v>
      </c>
      <c r="AF12" t="str">
        <f ca="1"/>
        <v xml:space="preserve">
	//(予約)
	ELSIF uiInfoIdx = 5 THEN
		IF strInfoKey = 'name' THEN
			strRt	:= '(予約)';
		ELSIF strInfoKey = 'index_name' THEN
			strRt	:= '【25】 (予約)';</v>
      </c>
      <c r="AG12" t="str">
        <f ca="1"/>
        <v xml:space="preserve">
	//(予約)
	ELSIF uiInfoIdx = 5 THEN
		IF strInfoKey = 'name' THEN
			strRt	:= '(予約)';
		ELSIF strInfoKey = 'index_name' THEN
			strRt	:= '【25】 (予約)';
		ELSIF strInfoKey = 'model' THEN</v>
      </c>
      <c r="AH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</v>
      </c>
      <c r="AI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</v>
      </c>
      <c r="AJ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</v>
      </c>
      <c r="AK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</v>
      </c>
      <c r="AL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C:\tk\prj\hg-0025-0016\git\unit01\kv-x520\doc\[kv_script_Pos_info.xlsx]info_index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待機位置</v>
      </c>
      <c r="L13" t="str">
        <f ca="1"/>
        <v>待機位置</v>
      </c>
      <c r="N13" t="str">
        <f ca="1"/>
        <v>【31】 待機位置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//待機位置
	IF uiInfoIdx = 1 THEN</v>
      </c>
      <c r="AC13" t="str">
        <f ca="1"/>
        <v xml:space="preserve">
//3
ELSIF strInfoType = 3 THEN
	//待機位置
	IF uiInfoIdx = 1 THEN
		IF strInfoKey = 'name' THEN</v>
      </c>
      <c r="AD13" t="str">
        <f ca="1"/>
        <v xml:space="preserve">
//3
ELSIF strInfoType = 3 THEN
	//待機位置
	IF uiInfoIdx = 1 THEN
		IF strInfoKey = 'name' THEN
			strRt	:= '待機位置';</v>
      </c>
      <c r="AE13" t="str">
        <f ca="1"/>
        <v xml:space="preserve">
//3
ELSIF strInfoType = 3 THEN
	//待機位置
	IF uiInfoIdx = 1 THEN
		IF strInfoKey = 'name' THEN
			strRt	:= '待機位置';
		ELSIF strInfoKey = 'index_name' THEN</v>
      </c>
      <c r="AF13" t="str">
        <f ca="1"/>
        <v xml:space="preserve">
//3
ELSIF strInfoType = 3 THEN
	//待機位置
	IF uiInfoIdx = 1 THEN
		IF strInfoKey = 'name' THEN
			strRt	:= '待機位置';
		ELSIF strInfoKey = 'index_name' THEN
			strRt	:= '【31】 待機位置';</v>
      </c>
      <c r="AG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</v>
      </c>
      <c r="AH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</v>
      </c>
      <c r="AI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</v>
      </c>
      <c r="AJ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</v>
      </c>
      <c r="AK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L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M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(予約)</v>
      </c>
      <c r="L14" t="str">
        <f ca="1"/>
        <v>(予約)</v>
      </c>
      <c r="N14" t="str">
        <f ca="1"/>
        <v>【32】 (予約)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//(予約)
	ELSIF uiInfoIdx = 2 THEN</v>
      </c>
      <c r="AC14" t="str">
        <f ca="1"/>
        <v xml:space="preserve">
	//(予約)
	ELSIF uiInfoIdx = 2 THEN
		IF strInfoKey = 'name' THEN</v>
      </c>
      <c r="AD14" t="str">
        <f ca="1"/>
        <v xml:space="preserve">
	//(予約)
	ELSIF uiInfoIdx = 2 THEN
		IF strInfoKey = 'name' THEN
			strRt	:= '(予約)';</v>
      </c>
      <c r="AE14" t="str">
        <f ca="1"/>
        <v xml:space="preserve">
	//(予約)
	ELSIF uiInfoIdx = 2 THEN
		IF strInfoKey = 'name' THEN
			strRt	:= '(予約)';
		ELSIF strInfoKey = 'index_name' THEN</v>
      </c>
      <c r="AF14" t="str">
        <f ca="1"/>
        <v xml:space="preserve">
	//(予約)
	ELSIF uiInfoIdx = 2 THEN
		IF strInfoKey = 'name' THEN
			strRt	:= '(予約)';
		ELSIF strInfoKey = 'index_name' THEN
			strRt	:= '【32】 (予約)';</v>
      </c>
      <c r="AG14" t="str">
        <f ca="1"/>
        <v xml:space="preserve">
	//(予約)
	ELSIF uiInfoIdx = 2 THEN
		IF strInfoKey = 'name' THEN
			strRt	:= '(予約)';
		ELSIF strInfoKey = 'index_name' THEN
			strRt	:= '【32】 (予約)';
		ELSIF strInfoKey = 'model' THEN</v>
      </c>
      <c r="AH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</v>
      </c>
      <c r="AI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</v>
      </c>
      <c r="AJ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</v>
      </c>
      <c r="AK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L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M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(予約)</v>
      </c>
      <c r="L15" t="str">
        <f ca="1"/>
        <v>(予約)</v>
      </c>
      <c r="N15" t="str">
        <f ca="1"/>
        <v>【33】 (予約)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//(予約)
	ELSIF uiInfoIdx = 3 THEN</v>
      </c>
      <c r="AC15" t="str">
        <f ca="1"/>
        <v xml:space="preserve">
	//(予約)
	ELSIF uiInfoIdx = 3 THEN
		IF strInfoKey = 'name' THEN</v>
      </c>
      <c r="AD15" t="str">
        <f ca="1"/>
        <v xml:space="preserve">
	//(予約)
	ELSIF uiInfoIdx = 3 THEN
		IF strInfoKey = 'name' THEN
			strRt	:= '(予約)';</v>
      </c>
      <c r="AE15" t="str">
        <f ca="1"/>
        <v xml:space="preserve">
	//(予約)
	ELSIF uiInfoIdx = 3 THEN
		IF strInfoKey = 'name' THEN
			strRt	:= '(予約)';
		ELSIF strInfoKey = 'index_name' THEN</v>
      </c>
      <c r="AF15" t="str">
        <f ca="1"/>
        <v xml:space="preserve">
	//(予約)
	ELSIF uiInfoIdx = 3 THEN
		IF strInfoKey = 'name' THEN
			strRt	:= '(予約)';
		ELSIF strInfoKey = 'index_name' THEN
			strRt	:= '【33】 (予約)';</v>
      </c>
      <c r="AG15" t="str">
        <f ca="1"/>
        <v xml:space="preserve">
	//(予約)
	ELSIF uiInfoIdx = 3 THEN
		IF strInfoKey = 'name' THEN
			strRt	:= '(予約)';
		ELSIF strInfoKey = 'index_name' THEN
			strRt	:= '【33】 (予約)';
		ELSIF strInfoKey = 'model' THEN</v>
      </c>
      <c r="AH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</v>
      </c>
      <c r="AI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</v>
      </c>
      <c r="AJ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</v>
      </c>
      <c r="AK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L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M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(予約)</v>
      </c>
      <c r="L16" t="str">
        <f ca="1"/>
        <v>(予約)</v>
      </c>
      <c r="N16" t="str">
        <f ca="1"/>
        <v>【34】 (予約)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//(予約)
	ELSIF uiInfoIdx = 4 THEN</v>
      </c>
      <c r="AC16" t="str">
        <f ca="1"/>
        <v xml:space="preserve">
	//(予約)
	ELSIF uiInfoIdx = 4 THEN
		IF strInfoKey = 'name' THEN</v>
      </c>
      <c r="AD16" t="str">
        <f ca="1"/>
        <v xml:space="preserve">
	//(予約)
	ELSIF uiInfoIdx = 4 THEN
		IF strInfoKey = 'name' THEN
			strRt	:= '(予約)';</v>
      </c>
      <c r="AE16" t="str">
        <f ca="1"/>
        <v xml:space="preserve">
	//(予約)
	ELSIF uiInfoIdx = 4 THEN
		IF strInfoKey = 'name' THEN
			strRt	:= '(予約)';
		ELSIF strInfoKey = 'index_name' THEN</v>
      </c>
      <c r="AF16" t="str">
        <f ca="1"/>
        <v xml:space="preserve">
	//(予約)
	ELSIF uiInfoIdx = 4 THEN
		IF strInfoKey = 'name' THEN
			strRt	:= '(予約)';
		ELSIF strInfoKey = 'index_name' THEN
			strRt	:= '【34】 (予約)';</v>
      </c>
      <c r="AG16" t="str">
        <f ca="1"/>
        <v xml:space="preserve">
	//(予約)
	ELSIF uiInfoIdx = 4 THEN
		IF strInfoKey = 'name' THEN
			strRt	:= '(予約)';
		ELSIF strInfoKey = 'index_name' THEN
			strRt	:= '【34】 (予約)';
		ELSIF strInfoKey = 'model' THEN</v>
      </c>
      <c r="AH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</v>
      </c>
      <c r="AI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</v>
      </c>
      <c r="AJ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</v>
      </c>
      <c r="AK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L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M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(予約)</v>
      </c>
      <c r="L17" t="str">
        <f ca="1"/>
        <v>(予約)</v>
      </c>
      <c r="N17" t="str">
        <f ca="1"/>
        <v>【35】 (予約)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//(予約)
	ELSIF uiInfoIdx = 5 THEN</v>
      </c>
      <c r="AC17" t="str">
        <f ca="1"/>
        <v xml:space="preserve">
	//(予約)
	ELSIF uiInfoIdx = 5 THEN
		IF strInfoKey = 'name' THEN</v>
      </c>
      <c r="AD17" t="str">
        <f ca="1"/>
        <v xml:space="preserve">
	//(予約)
	ELSIF uiInfoIdx = 5 THEN
		IF strInfoKey = 'name' THEN
			strRt	:= '(予約)';</v>
      </c>
      <c r="AE17" t="str">
        <f ca="1"/>
        <v xml:space="preserve">
	//(予約)
	ELSIF uiInfoIdx = 5 THEN
		IF strInfoKey = 'name' THEN
			strRt	:= '(予約)';
		ELSIF strInfoKey = 'index_name' THEN</v>
      </c>
      <c r="AF17" t="str">
        <f ca="1"/>
        <v xml:space="preserve">
	//(予約)
	ELSIF uiInfoIdx = 5 THEN
		IF strInfoKey = 'name' THEN
			strRt	:= '(予約)';
		ELSIF strInfoKey = 'index_name' THEN
			strRt	:= '【35】 (予約)';</v>
      </c>
      <c r="AG17" t="str">
        <f ca="1"/>
        <v xml:space="preserve">
	//(予約)
	ELSIF uiInfoIdx = 5 THEN
		IF strInfoKey = 'name' THEN
			strRt	:= '(予約)';
		ELSIF strInfoKey = 'index_name' THEN
			strRt	:= '【35】 (予約)';
		ELSIF strInfoKey = 'model' THEN</v>
      </c>
      <c r="AH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</v>
      </c>
      <c r="AI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</v>
      </c>
      <c r="AJ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</v>
      </c>
      <c r="AK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</v>
      </c>
      <c r="AL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待機位置</v>
      </c>
      <c r="L18" t="str">
        <f ca="1"/>
        <v>待機位置</v>
      </c>
      <c r="N18" t="str">
        <f ca="1"/>
        <v>【41】 待機位置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//待機位置
	IF uiInfoIdx = 1 THEN</v>
      </c>
      <c r="AC18" t="str">
        <f ca="1"/>
        <v xml:space="preserve">
//4
ELSIF strInfoType = 4 THEN
	//待機位置
	IF uiInfoIdx = 1 THEN
		IF strInfoKey = 'name' THEN</v>
      </c>
      <c r="AD18" t="str">
        <f ca="1"/>
        <v xml:space="preserve">
//4
ELSIF strInfoType = 4 THEN
	//待機位置
	IF uiInfoIdx = 1 THEN
		IF strInfoKey = 'name' THEN
			strRt	:= '待機位置';</v>
      </c>
      <c r="AE18" t="str">
        <f ca="1"/>
        <v xml:space="preserve">
//4
ELSIF strInfoType = 4 THEN
	//待機位置
	IF uiInfoIdx = 1 THEN
		IF strInfoKey = 'name' THEN
			strRt	:= '待機位置';
		ELSIF strInfoKey = 'index_name' THEN</v>
      </c>
      <c r="AF18" t="str">
        <f ca="1"/>
        <v xml:space="preserve">
//4
ELSIF strInfoType = 4 THEN
	//待機位置
	IF uiInfoIdx = 1 THEN
		IF strInfoKey = 'name' THEN
			strRt	:= '待機位置';
		ELSIF strInfoKey = 'index_name' THEN
			strRt	:= '【41】 待機位置';</v>
      </c>
      <c r="AG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</v>
      </c>
      <c r="AH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</v>
      </c>
      <c r="AI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</v>
      </c>
      <c r="AJ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</v>
      </c>
      <c r="AK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L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M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(予約)</v>
      </c>
      <c r="L19" t="str">
        <f ca="1"/>
        <v>(予約)</v>
      </c>
      <c r="N19" t="str">
        <f ca="1"/>
        <v>【42】 (予約)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//(予約)
	ELSIF uiInfoIdx = 2 THEN</v>
      </c>
      <c r="AC19" t="str">
        <f ca="1"/>
        <v xml:space="preserve">
	//(予約)
	ELSIF uiInfoIdx = 2 THEN
		IF strInfoKey = 'name' THEN</v>
      </c>
      <c r="AD19" t="str">
        <f ca="1"/>
        <v xml:space="preserve">
	//(予約)
	ELSIF uiInfoIdx = 2 THEN
		IF strInfoKey = 'name' THEN
			strRt	:= '(予約)';</v>
      </c>
      <c r="AE19" t="str">
        <f ca="1"/>
        <v xml:space="preserve">
	//(予約)
	ELSIF uiInfoIdx = 2 THEN
		IF strInfoKey = 'name' THEN
			strRt	:= '(予約)';
		ELSIF strInfoKey = 'index_name' THEN</v>
      </c>
      <c r="AF19" t="str">
        <f ca="1"/>
        <v xml:space="preserve">
	//(予約)
	ELSIF uiInfoIdx = 2 THEN
		IF strInfoKey = 'name' THEN
			strRt	:= '(予約)';
		ELSIF strInfoKey = 'index_name' THEN
			strRt	:= '【42】 (予約)';</v>
      </c>
      <c r="AG19" t="str">
        <f ca="1"/>
        <v xml:space="preserve">
	//(予約)
	ELSIF uiInfoIdx = 2 THEN
		IF strInfoKey = 'name' THEN
			strRt	:= '(予約)';
		ELSIF strInfoKey = 'index_name' THEN
			strRt	:= '【42】 (予約)';
		ELSIF strInfoKey = 'model' THEN</v>
      </c>
      <c r="AH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</v>
      </c>
      <c r="AI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</v>
      </c>
      <c r="AJ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</v>
      </c>
      <c r="AK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L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M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(予約)</v>
      </c>
      <c r="L20" t="str">
        <f ca="1"/>
        <v>(予約)</v>
      </c>
      <c r="N20" t="str">
        <f ca="1"/>
        <v>【43】 (予約)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//(予約)
	ELSIF uiInfoIdx = 3 THEN</v>
      </c>
      <c r="AC20" t="str">
        <f ca="1"/>
        <v xml:space="preserve">
	//(予約)
	ELSIF uiInfoIdx = 3 THEN
		IF strInfoKey = 'name' THEN</v>
      </c>
      <c r="AD20" t="str">
        <f ca="1"/>
        <v xml:space="preserve">
	//(予約)
	ELSIF uiInfoIdx = 3 THEN
		IF strInfoKey = 'name' THEN
			strRt	:= '(予約)';</v>
      </c>
      <c r="AE20" t="str">
        <f ca="1"/>
        <v xml:space="preserve">
	//(予約)
	ELSIF uiInfoIdx = 3 THEN
		IF strInfoKey = 'name' THEN
			strRt	:= '(予約)';
		ELSIF strInfoKey = 'index_name' THEN</v>
      </c>
      <c r="AF20" t="str">
        <f ca="1"/>
        <v xml:space="preserve">
	//(予約)
	ELSIF uiInfoIdx = 3 THEN
		IF strInfoKey = 'name' THEN
			strRt	:= '(予約)';
		ELSIF strInfoKey = 'index_name' THEN
			strRt	:= '【43】 (予約)';</v>
      </c>
      <c r="AG20" t="str">
        <f ca="1"/>
        <v xml:space="preserve">
	//(予約)
	ELSIF uiInfoIdx = 3 THEN
		IF strInfoKey = 'name' THEN
			strRt	:= '(予約)';
		ELSIF strInfoKey = 'index_name' THEN
			strRt	:= '【43】 (予約)';
		ELSIF strInfoKey = 'model' THEN</v>
      </c>
      <c r="AH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</v>
      </c>
      <c r="AI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</v>
      </c>
      <c r="AJ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</v>
      </c>
      <c r="AK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L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M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(予約)</v>
      </c>
      <c r="L21" t="str">
        <f ca="1"/>
        <v>(予約)</v>
      </c>
      <c r="N21" t="str">
        <f ca="1"/>
        <v>【44】 (予約)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//(予約)
	ELSIF uiInfoIdx = 4 THEN</v>
      </c>
      <c r="AC21" t="str">
        <f ca="1"/>
        <v xml:space="preserve">
	//(予約)
	ELSIF uiInfoIdx = 4 THEN
		IF strInfoKey = 'name' THEN</v>
      </c>
      <c r="AD21" t="str">
        <f ca="1"/>
        <v xml:space="preserve">
	//(予約)
	ELSIF uiInfoIdx = 4 THEN
		IF strInfoKey = 'name' THEN
			strRt	:= '(予約)';</v>
      </c>
      <c r="AE21" t="str">
        <f ca="1"/>
        <v xml:space="preserve">
	//(予約)
	ELSIF uiInfoIdx = 4 THEN
		IF strInfoKey = 'name' THEN
			strRt	:= '(予約)';
		ELSIF strInfoKey = 'index_name' THEN</v>
      </c>
      <c r="AF21" t="str">
        <f ca="1"/>
        <v xml:space="preserve">
	//(予約)
	ELSIF uiInfoIdx = 4 THEN
		IF strInfoKey = 'name' THEN
			strRt	:= '(予約)';
		ELSIF strInfoKey = 'index_name' THEN
			strRt	:= '【44】 (予約)';</v>
      </c>
      <c r="AG21" t="str">
        <f ca="1"/>
        <v xml:space="preserve">
	//(予約)
	ELSIF uiInfoIdx = 4 THEN
		IF strInfoKey = 'name' THEN
			strRt	:= '(予約)';
		ELSIF strInfoKey = 'index_name' THEN
			strRt	:= '【44】 (予約)';
		ELSIF strInfoKey = 'model' THEN</v>
      </c>
      <c r="AH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</v>
      </c>
      <c r="AI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</v>
      </c>
      <c r="AJ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</v>
      </c>
      <c r="AK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L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M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(予約)</v>
      </c>
      <c r="L22" t="str">
        <f ca="1"/>
        <v>(予約)</v>
      </c>
      <c r="N22" t="str">
        <f ca="1"/>
        <v>【45】 (予約)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//(予約)
	ELSIF uiInfoIdx = 5 THEN</v>
      </c>
      <c r="AC22" t="str">
        <f ca="1"/>
        <v xml:space="preserve">
	//(予約)
	ELSIF uiInfoIdx = 5 THEN
		IF strInfoKey = 'name' THEN</v>
      </c>
      <c r="AD22" t="str">
        <f ca="1"/>
        <v xml:space="preserve">
	//(予約)
	ELSIF uiInfoIdx = 5 THEN
		IF strInfoKey = 'name' THEN
			strRt	:= '(予約)';</v>
      </c>
      <c r="AE22" t="str">
        <f ca="1"/>
        <v xml:space="preserve">
	//(予約)
	ELSIF uiInfoIdx = 5 THEN
		IF strInfoKey = 'name' THEN
			strRt	:= '(予約)';
		ELSIF strInfoKey = 'index_name' THEN</v>
      </c>
      <c r="AF22" t="str">
        <f ca="1"/>
        <v xml:space="preserve">
	//(予約)
	ELSIF uiInfoIdx = 5 THEN
		IF strInfoKey = 'name' THEN
			strRt	:= '(予約)';
		ELSIF strInfoKey = 'index_name' THEN
			strRt	:= '【45】 (予約)';</v>
      </c>
      <c r="AG22" t="str">
        <f ca="1"/>
        <v xml:space="preserve">
	//(予約)
	ELSIF uiInfoIdx = 5 THEN
		IF strInfoKey = 'name' THEN
			strRt	:= '(予約)';
		ELSIF strInfoKey = 'index_name' THEN
			strRt	:= '【45】 (予約)';
		ELSIF strInfoKey = 'model' THEN</v>
      </c>
      <c r="AH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</v>
      </c>
      <c r="AI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</v>
      </c>
      <c r="AJ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</v>
      </c>
      <c r="AK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</v>
      </c>
      <c r="AL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待機位置</v>
      </c>
      <c r="L23" t="str">
        <f ca="1"/>
        <v>待機位置</v>
      </c>
      <c r="N23" t="str">
        <f ca="1"/>
        <v>【51】 待機位置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//待機位置
	IF uiInfoIdx = 1 THEN</v>
      </c>
      <c r="AC23" t="str">
        <f ca="1"/>
        <v xml:space="preserve">
//5
ELSIF strInfoType = 5 THEN
	//待機位置
	IF uiInfoIdx = 1 THEN
		IF strInfoKey = 'name' THEN</v>
      </c>
      <c r="AD23" t="str">
        <f ca="1"/>
        <v xml:space="preserve">
//5
ELSIF strInfoType = 5 THEN
	//待機位置
	IF uiInfoIdx = 1 THEN
		IF strInfoKey = 'name' THEN
			strRt	:= '待機位置';</v>
      </c>
      <c r="AE23" t="str">
        <f ca="1"/>
        <v xml:space="preserve">
//5
ELSIF strInfoType = 5 THEN
	//待機位置
	IF uiInfoIdx = 1 THEN
		IF strInfoKey = 'name' THEN
			strRt	:= '待機位置';
		ELSIF strInfoKey = 'index_name' THEN</v>
      </c>
      <c r="AF23" t="str">
        <f ca="1"/>
        <v xml:space="preserve">
//5
ELSIF strInfoType = 5 THEN
	//待機位置
	IF uiInfoIdx = 1 THEN
		IF strInfoKey = 'name' THEN
			strRt	:= '待機位置';
		ELSIF strInfoKey = 'index_name' THEN
			strRt	:= '【51】 待機位置';</v>
      </c>
      <c r="AG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</v>
      </c>
      <c r="AH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</v>
      </c>
      <c r="AI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</v>
      </c>
      <c r="AJ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</v>
      </c>
      <c r="AK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L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M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検査待機位置</v>
      </c>
      <c r="L24" t="str">
        <f ca="1"/>
        <v>検査待機位置</v>
      </c>
      <c r="N24" t="str">
        <f ca="1"/>
        <v>【52】 検査待機位置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//検査待機位置
	ELSIF uiInfoIdx = 2 THEN</v>
      </c>
      <c r="AC24" t="str">
        <f ca="1"/>
        <v xml:space="preserve">
	//検査待機位置
	ELSIF uiInfoIdx = 2 THEN
		IF strInfoKey = 'name' THEN</v>
      </c>
      <c r="AD24" t="str">
        <f ca="1"/>
        <v xml:space="preserve">
	//検査待機位置
	ELSIF uiInfoIdx = 2 THEN
		IF strInfoKey = 'name' THEN
			strRt	:= '検査待機位置';</v>
      </c>
      <c r="AE24" t="str">
        <f ca="1"/>
        <v xml:space="preserve">
	//検査待機位置
	ELSIF uiInfoIdx = 2 THEN
		IF strInfoKey = 'name' THEN
			strRt	:= '検査待機位置';
		ELSIF strInfoKey = 'index_name' THEN</v>
      </c>
      <c r="AF24" t="str">
        <f ca="1"/>
        <v xml:space="preserve">
	//検査待機位置
	ELSIF uiInfoIdx = 2 THEN
		IF strInfoKey = 'name' THEN
			strRt	:= '検査待機位置';
		ELSIF strInfoKey = 'index_name' THEN
			strRt	:= '【52】 検査待機位置';</v>
      </c>
      <c r="AG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</v>
      </c>
      <c r="AH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</v>
      </c>
      <c r="AI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</v>
      </c>
      <c r="AJ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</v>
      </c>
      <c r="AK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L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M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受取排出位置</v>
      </c>
      <c r="L25" t="str">
        <f ca="1"/>
        <v>受取排出位置</v>
      </c>
      <c r="N25" t="str">
        <f ca="1"/>
        <v>【53】 受取排出位置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//受取排出位置
	ELSIF uiInfoIdx = 3 THEN</v>
      </c>
      <c r="AC25" t="str">
        <f ca="1"/>
        <v xml:space="preserve">
	//受取排出位置
	ELSIF uiInfoIdx = 3 THEN
		IF strInfoKey = 'name' THEN</v>
      </c>
      <c r="AD25" t="str">
        <f ca="1"/>
        <v xml:space="preserve">
	//受取排出位置
	ELSIF uiInfoIdx = 3 THEN
		IF strInfoKey = 'name' THEN
			strRt	:= '受取排出位置';</v>
      </c>
      <c r="AE25" t="str">
        <f ca="1"/>
        <v xml:space="preserve">
	//受取排出位置
	ELSIF uiInfoIdx = 3 THEN
		IF strInfoKey = 'name' THEN
			strRt	:= '受取排出位置';
		ELSIF strInfoKey = 'index_name' THEN</v>
      </c>
      <c r="AF25" t="str">
        <f ca="1"/>
        <v xml:space="preserve">
	//受取排出位置
	ELSIF uiInfoIdx = 3 THEN
		IF strInfoKey = 'name' THEN
			strRt	:= '受取排出位置';
		ELSIF strInfoKey = 'index_name' THEN
			strRt	:= '【53】 受取排出位置';</v>
      </c>
      <c r="AG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</v>
      </c>
      <c r="AH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</v>
      </c>
      <c r="AI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</v>
      </c>
      <c r="AJ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</v>
      </c>
      <c r="AK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L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M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受取渡し位置</v>
      </c>
      <c r="L26" t="str">
        <f ca="1"/>
        <v>受取渡し位置</v>
      </c>
      <c r="N26" t="str">
        <f ca="1"/>
        <v>【54】 受取渡し位置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//受取渡し位置
	ELSIF uiInfoIdx = 4 THEN</v>
      </c>
      <c r="AC26" t="str">
        <f ca="1"/>
        <v xml:space="preserve">
	//受取渡し位置
	ELSIF uiInfoIdx = 4 THEN
		IF strInfoKey = 'name' THEN</v>
      </c>
      <c r="AD26" t="str">
        <f ca="1"/>
        <v xml:space="preserve">
	//受取渡し位置
	ELSIF uiInfoIdx = 4 THEN
		IF strInfoKey = 'name' THEN
			strRt	:= '受取渡し位置';</v>
      </c>
      <c r="AE26" t="str">
        <f ca="1"/>
        <v xml:space="preserve">
	//受取渡し位置
	ELSIF uiInfoIdx = 4 THEN
		IF strInfoKey = 'name' THEN
			strRt	:= '受取渡し位置';
		ELSIF strInfoKey = 'index_name' THEN</v>
      </c>
      <c r="AF26" t="str">
        <f ca="1"/>
        <v xml:space="preserve">
	//受取渡し位置
	ELSIF uiInfoIdx = 4 THEN
		IF strInfoKey = 'name' THEN
			strRt	:= '受取渡し位置';
		ELSIF strInfoKey = 'index_name' THEN
			strRt	:= '【54】 受取渡し位置';</v>
      </c>
      <c r="AG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</v>
      </c>
      <c r="AH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</v>
      </c>
      <c r="AI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</v>
      </c>
      <c r="AJ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</v>
      </c>
      <c r="AK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L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M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(予約)</v>
      </c>
      <c r="L27" t="str">
        <f ca="1"/>
        <v>(予約)</v>
      </c>
      <c r="N27" t="str">
        <f ca="1"/>
        <v>【55】 (予約)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//(予約)
	ELSIF uiInfoIdx = 5 THEN</v>
      </c>
      <c r="AC27" t="str">
        <f ca="1"/>
        <v xml:space="preserve">
	//(予約)
	ELSIF uiInfoIdx = 5 THEN
		IF strInfoKey = 'name' THEN</v>
      </c>
      <c r="AD27" t="str">
        <f ca="1"/>
        <v xml:space="preserve">
	//(予約)
	ELSIF uiInfoIdx = 5 THEN
		IF strInfoKey = 'name' THEN
			strRt	:= '(予約)';</v>
      </c>
      <c r="AE27" t="str">
        <f ca="1"/>
        <v xml:space="preserve">
	//(予約)
	ELSIF uiInfoIdx = 5 THEN
		IF strInfoKey = 'name' THEN
			strRt	:= '(予約)';
		ELSIF strInfoKey = 'index_name' THEN</v>
      </c>
      <c r="AF27" t="str">
        <f ca="1"/>
        <v xml:space="preserve">
	//(予約)
	ELSIF uiInfoIdx = 5 THEN
		IF strInfoKey = 'name' THEN
			strRt	:= '(予約)';
		ELSIF strInfoKey = 'index_name' THEN
			strRt	:= '【55】 (予約)';</v>
      </c>
      <c r="AG27" t="str">
        <f ca="1"/>
        <v xml:space="preserve">
	//(予約)
	ELSIF uiInfoIdx = 5 THEN
		IF strInfoKey = 'name' THEN
			strRt	:= '(予約)';
		ELSIF strInfoKey = 'index_name' THEN
			strRt	:= '【55】 (予約)';
		ELSIF strInfoKey = 'model' THEN</v>
      </c>
      <c r="AH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</v>
      </c>
      <c r="AI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</v>
      </c>
      <c r="AJ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</v>
      </c>
      <c r="AK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</v>
      </c>
      <c r="AL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待機位置</v>
      </c>
      <c r="L28" t="str">
        <f ca="1"/>
        <v>待機位置</v>
      </c>
      <c r="N28" t="str">
        <f ca="1"/>
        <v>【61】 待機位置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//待機位置
	IF uiInfoIdx = 1 THEN</v>
      </c>
      <c r="AC28" t="str">
        <f ca="1"/>
        <v xml:space="preserve">
//6
ELSIF strInfoType = 6 THEN
	//待機位置
	IF uiInfoIdx = 1 THEN
		IF strInfoKey = 'name' THEN</v>
      </c>
      <c r="AD28" t="str">
        <f ca="1"/>
        <v xml:space="preserve">
//6
ELSIF strInfoType = 6 THEN
	//待機位置
	IF uiInfoIdx = 1 THEN
		IF strInfoKey = 'name' THEN
			strRt	:= '待機位置';</v>
      </c>
      <c r="AE28" t="str">
        <f ca="1"/>
        <v xml:space="preserve">
//6
ELSIF strInfoType = 6 THEN
	//待機位置
	IF uiInfoIdx = 1 THEN
		IF strInfoKey = 'name' THEN
			strRt	:= '待機位置';
		ELSIF strInfoKey = 'index_name' THEN</v>
      </c>
      <c r="AF28" t="str">
        <f ca="1"/>
        <v xml:space="preserve">
//6
ELSIF strInfoType = 6 THEN
	//待機位置
	IF uiInfoIdx = 1 THEN
		IF strInfoKey = 'name' THEN
			strRt	:= '待機位置';
		ELSIF strInfoKey = 'index_name' THEN
			strRt	:= '【61】 待機位置';</v>
      </c>
      <c r="AG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</v>
      </c>
      <c r="AH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</v>
      </c>
      <c r="AI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</v>
      </c>
      <c r="AJ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</v>
      </c>
      <c r="AK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L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M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計測位置</v>
      </c>
      <c r="L29" t="str">
        <f ca="1"/>
        <v>計測位置</v>
      </c>
      <c r="N29" t="str">
        <f ca="1"/>
        <v>【62】 計測位置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//計測位置
	ELSIF uiInfoIdx = 2 THEN</v>
      </c>
      <c r="AC29" t="str">
        <f ca="1"/>
        <v xml:space="preserve">
	//計測位置
	ELSIF uiInfoIdx = 2 THEN
		IF strInfoKey = 'name' THEN</v>
      </c>
      <c r="AD29" t="str">
        <f ca="1"/>
        <v xml:space="preserve">
	//計測位置
	ELSIF uiInfoIdx = 2 THEN
		IF strInfoKey = 'name' THEN
			strRt	:= '計測位置';</v>
      </c>
      <c r="AE29" t="str">
        <f ca="1"/>
        <v xml:space="preserve">
	//計測位置
	ELSIF uiInfoIdx = 2 THEN
		IF strInfoKey = 'name' THEN
			strRt	:= '計測位置';
		ELSIF strInfoKey = 'index_name' THEN</v>
      </c>
      <c r="AF29" t="str">
        <f ca="1"/>
        <v xml:space="preserve">
	//計測位置
	ELSIF uiInfoIdx = 2 THEN
		IF strInfoKey = 'name' THEN
			strRt	:= '計測位置';
		ELSIF strInfoKey = 'index_name' THEN
			strRt	:= '【62】 計測位置';</v>
      </c>
      <c r="AG29" t="str">
        <f ca="1"/>
        <v xml:space="preserve">
	//計測位置
	ELSIF uiInfoIdx = 2 THEN
		IF strInfoKey = 'name' THEN
			strRt	:= '計測位置';
		ELSIF strInfoKey = 'index_name' THEN
			strRt	:= '【62】 計測位置';
		ELSIF strInfoKey = 'model' THEN</v>
      </c>
      <c r="AH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</v>
      </c>
      <c r="AI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</v>
      </c>
      <c r="AJ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</v>
      </c>
      <c r="AK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L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M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(予約)</v>
      </c>
      <c r="L30" t="str">
        <f ca="1"/>
        <v>(予約)</v>
      </c>
      <c r="N30" t="str">
        <f ca="1"/>
        <v>【63】 (予約)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//(予約)
	ELSIF uiInfoIdx = 3 THEN</v>
      </c>
      <c r="AC30" t="str">
        <f ca="1"/>
        <v xml:space="preserve">
	//(予約)
	ELSIF uiInfoIdx = 3 THEN
		IF strInfoKey = 'name' THEN</v>
      </c>
      <c r="AD30" t="str">
        <f ca="1"/>
        <v xml:space="preserve">
	//(予約)
	ELSIF uiInfoIdx = 3 THEN
		IF strInfoKey = 'name' THEN
			strRt	:= '(予約)';</v>
      </c>
      <c r="AE30" t="str">
        <f ca="1"/>
        <v xml:space="preserve">
	//(予約)
	ELSIF uiInfoIdx = 3 THEN
		IF strInfoKey = 'name' THEN
			strRt	:= '(予約)';
		ELSIF strInfoKey = 'index_name' THEN</v>
      </c>
      <c r="AF30" t="str">
        <f ca="1"/>
        <v xml:space="preserve">
	//(予約)
	ELSIF uiInfoIdx = 3 THEN
		IF strInfoKey = 'name' THEN
			strRt	:= '(予約)';
		ELSIF strInfoKey = 'index_name' THEN
			strRt	:= '【63】 (予約)';</v>
      </c>
      <c r="AG30" t="str">
        <f ca="1"/>
        <v xml:space="preserve">
	//(予約)
	ELSIF uiInfoIdx = 3 THEN
		IF strInfoKey = 'name' THEN
			strRt	:= '(予約)';
		ELSIF strInfoKey = 'index_name' THEN
			strRt	:= '【63】 (予約)';
		ELSIF strInfoKey = 'model' THEN</v>
      </c>
      <c r="AH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</v>
      </c>
      <c r="AI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</v>
      </c>
      <c r="AJ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</v>
      </c>
      <c r="AK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L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M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(予約)</v>
      </c>
      <c r="L31" t="str">
        <f ca="1"/>
        <v>(予約)</v>
      </c>
      <c r="N31" t="str">
        <f ca="1"/>
        <v>【64】 (予約)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//(予約)
	ELSIF uiInfoIdx = 4 THEN</v>
      </c>
      <c r="AC31" t="str">
        <f ca="1"/>
        <v xml:space="preserve">
	//(予約)
	ELSIF uiInfoIdx = 4 THEN
		IF strInfoKey = 'name' THEN</v>
      </c>
      <c r="AD31" t="str">
        <f ca="1"/>
        <v xml:space="preserve">
	//(予約)
	ELSIF uiInfoIdx = 4 THEN
		IF strInfoKey = 'name' THEN
			strRt	:= '(予約)';</v>
      </c>
      <c r="AE31" t="str">
        <f ca="1"/>
        <v xml:space="preserve">
	//(予約)
	ELSIF uiInfoIdx = 4 THEN
		IF strInfoKey = 'name' THEN
			strRt	:= '(予約)';
		ELSIF strInfoKey = 'index_name' THEN</v>
      </c>
      <c r="AF31" t="str">
        <f ca="1"/>
        <v xml:space="preserve">
	//(予約)
	ELSIF uiInfoIdx = 4 THEN
		IF strInfoKey = 'name' THEN
			strRt	:= '(予約)';
		ELSIF strInfoKey = 'index_name' THEN
			strRt	:= '【64】 (予約)';</v>
      </c>
      <c r="AG31" t="str">
        <f ca="1"/>
        <v xml:space="preserve">
	//(予約)
	ELSIF uiInfoIdx = 4 THEN
		IF strInfoKey = 'name' THEN
			strRt	:= '(予約)';
		ELSIF strInfoKey = 'index_name' THEN
			strRt	:= '【64】 (予約)';
		ELSIF strInfoKey = 'model' THEN</v>
      </c>
      <c r="AH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</v>
      </c>
      <c r="AI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</v>
      </c>
      <c r="AJ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</v>
      </c>
      <c r="AK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L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M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(予約)</v>
      </c>
      <c r="L32" t="str">
        <f ca="1"/>
        <v>(予約)</v>
      </c>
      <c r="N32" t="str">
        <f ca="1"/>
        <v>【65】 (予約)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//(予約)
	ELSIF uiInfoIdx = 5 THEN</v>
      </c>
      <c r="AC32" t="str">
        <f ca="1"/>
        <v xml:space="preserve">
	//(予約)
	ELSIF uiInfoIdx = 5 THEN
		IF strInfoKey = 'name' THEN</v>
      </c>
      <c r="AD32" t="str">
        <f ca="1"/>
        <v xml:space="preserve">
	//(予約)
	ELSIF uiInfoIdx = 5 THEN
		IF strInfoKey = 'name' THEN
			strRt	:= '(予約)';</v>
      </c>
      <c r="AE32" t="str">
        <f ca="1"/>
        <v xml:space="preserve">
	//(予約)
	ELSIF uiInfoIdx = 5 THEN
		IF strInfoKey = 'name' THEN
			strRt	:= '(予約)';
		ELSIF strInfoKey = 'index_name' THEN</v>
      </c>
      <c r="AF32" t="str">
        <f ca="1"/>
        <v xml:space="preserve">
	//(予約)
	ELSIF uiInfoIdx = 5 THEN
		IF strInfoKey = 'name' THEN
			strRt	:= '(予約)';
		ELSIF strInfoKey = 'index_name' THEN
			strRt	:= '【65】 (予約)';</v>
      </c>
      <c r="AG32" t="str">
        <f ca="1"/>
        <v xml:space="preserve">
	//(予約)
	ELSIF uiInfoIdx = 5 THEN
		IF strInfoKey = 'name' THEN
			strRt	:= '(予約)';
		ELSIF strInfoKey = 'index_name' THEN
			strRt	:= '【65】 (予約)';
		ELSIF strInfoKey = 'model' THEN</v>
      </c>
      <c r="AH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</v>
      </c>
      <c r="AI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</v>
      </c>
      <c r="AJ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</v>
      </c>
      <c r="AK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</v>
      </c>
      <c r="AL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ひらき位置</v>
      </c>
      <c r="L33" t="str">
        <f ca="1"/>
        <v>ひらき位置</v>
      </c>
      <c r="N33" t="str">
        <f ca="1"/>
        <v>【71】 ひらき位置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//ひらき位置
	IF uiInfoIdx = 1 THEN</v>
      </c>
      <c r="AC33" t="str">
        <f ca="1"/>
        <v xml:space="preserve">
//7
ELSIF strInfoType = 7 THEN
	//ひらき位置
	IF uiInfoIdx = 1 THEN
		IF strInfoKey = 'name' THEN</v>
      </c>
      <c r="AD33" t="str">
        <f ca="1"/>
        <v xml:space="preserve">
//7
ELSIF strInfoType = 7 THEN
	//ひらき位置
	IF uiInfoIdx = 1 THEN
		IF strInfoKey = 'name' THEN
			strRt	:= 'ひらき位置';</v>
      </c>
      <c r="AE33" t="str">
        <f ca="1"/>
        <v xml:space="preserve">
//7
ELSIF strInfoType = 7 THEN
	//ひらき位置
	IF uiInfoIdx = 1 THEN
		IF strInfoKey = 'name' THEN
			strRt	:= 'ひらき位置';
		ELSIF strInfoKey = 'index_name' THEN</v>
      </c>
      <c r="AF33" t="str">
        <f ca="1"/>
        <v xml:space="preserve">
//7
ELSIF strInfoType = 7 THEN
	//ひらき位置
	IF uiInfoIdx = 1 THEN
		IF strInfoKey = 'name' THEN
			strRt	:= 'ひらき位置';
		ELSIF strInfoKey = 'index_name' THEN
			strRt	:= '【71】 ひらき位置';</v>
      </c>
      <c r="AG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</v>
      </c>
      <c r="AH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</v>
      </c>
      <c r="AI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</v>
      </c>
      <c r="AJ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</v>
      </c>
      <c r="AK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L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M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とじ位置</v>
      </c>
      <c r="L34" t="str">
        <f ca="1"/>
        <v>とじ位置</v>
      </c>
      <c r="N34" t="str">
        <f ca="1"/>
        <v>【72】 とじ位置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//とじ位置
	ELSIF uiInfoIdx = 2 THEN</v>
      </c>
      <c r="AC34" t="str">
        <f ca="1"/>
        <v xml:space="preserve">
	//とじ位置
	ELSIF uiInfoIdx = 2 THEN
		IF strInfoKey = 'name' THEN</v>
      </c>
      <c r="AD34" t="str">
        <f ca="1"/>
        <v xml:space="preserve">
	//とじ位置
	ELSIF uiInfoIdx = 2 THEN
		IF strInfoKey = 'name' THEN
			strRt	:= 'とじ位置';</v>
      </c>
      <c r="AE34" t="str">
        <f ca="1"/>
        <v xml:space="preserve">
	//とじ位置
	ELSIF uiInfoIdx = 2 THEN
		IF strInfoKey = 'name' THEN
			strRt	:= 'とじ位置';
		ELSIF strInfoKey = 'index_name' THEN</v>
      </c>
      <c r="AF34" t="str">
        <f ca="1"/>
        <v xml:space="preserve">
	//とじ位置
	ELSIF uiInfoIdx = 2 THEN
		IF strInfoKey = 'name' THEN
			strRt	:= 'とじ位置';
		ELSIF strInfoKey = 'index_name' THEN
			strRt	:= '【72】 とじ位置';</v>
      </c>
      <c r="AG34" t="str">
        <f ca="1"/>
        <v xml:space="preserve">
	//とじ位置
	ELSIF uiInfoIdx = 2 THEN
		IF strInfoKey = 'name' THEN
			strRt	:= 'とじ位置';
		ELSIF strInfoKey = 'index_name' THEN
			strRt	:= '【72】 とじ位置';
		ELSIF strInfoKey = 'model' THEN</v>
      </c>
      <c r="AH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</v>
      </c>
      <c r="AI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</v>
      </c>
      <c r="AJ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</v>
      </c>
      <c r="AK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L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M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(予約)</v>
      </c>
      <c r="L35" t="str">
        <f ca="1"/>
        <v>(予約)</v>
      </c>
      <c r="N35" t="str">
        <f ca="1"/>
        <v>【73】 (予約)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//(予約)
	ELSIF uiInfoIdx = 3 THEN</v>
      </c>
      <c r="AC35" t="str">
        <f ca="1"/>
        <v xml:space="preserve">
	//(予約)
	ELSIF uiInfoIdx = 3 THEN
		IF strInfoKey = 'name' THEN</v>
      </c>
      <c r="AD35" t="str">
        <f ca="1"/>
        <v xml:space="preserve">
	//(予約)
	ELSIF uiInfoIdx = 3 THEN
		IF strInfoKey = 'name' THEN
			strRt	:= '(予約)';</v>
      </c>
      <c r="AE35" t="str">
        <f ca="1"/>
        <v xml:space="preserve">
	//(予約)
	ELSIF uiInfoIdx = 3 THEN
		IF strInfoKey = 'name' THEN
			strRt	:= '(予約)';
		ELSIF strInfoKey = 'index_name' THEN</v>
      </c>
      <c r="AF35" t="str">
        <f ca="1"/>
        <v xml:space="preserve">
	//(予約)
	ELSIF uiInfoIdx = 3 THEN
		IF strInfoKey = 'name' THEN
			strRt	:= '(予約)';
		ELSIF strInfoKey = 'index_name' THEN
			strRt	:= '【73】 (予約)';</v>
      </c>
      <c r="AG35" t="str">
        <f ca="1"/>
        <v xml:space="preserve">
	//(予約)
	ELSIF uiInfoIdx = 3 THEN
		IF strInfoKey = 'name' THEN
			strRt	:= '(予約)';
		ELSIF strInfoKey = 'index_name' THEN
			strRt	:= '【73】 (予約)';
		ELSIF strInfoKey = 'model' THEN</v>
      </c>
      <c r="AH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</v>
      </c>
      <c r="AI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</v>
      </c>
      <c r="AJ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</v>
      </c>
      <c r="AK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L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M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(予約)</v>
      </c>
      <c r="L36" t="str">
        <f ca="1"/>
        <v>(予約)</v>
      </c>
      <c r="N36" t="str">
        <f ca="1"/>
        <v>【74】 (予約)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//(予約)
	ELSIF uiInfoIdx = 4 THEN</v>
      </c>
      <c r="AC36" t="str">
        <f ca="1"/>
        <v xml:space="preserve">
	//(予約)
	ELSIF uiInfoIdx = 4 THEN
		IF strInfoKey = 'name' THEN</v>
      </c>
      <c r="AD36" t="str">
        <f ca="1"/>
        <v xml:space="preserve">
	//(予約)
	ELSIF uiInfoIdx = 4 THEN
		IF strInfoKey = 'name' THEN
			strRt	:= '(予約)';</v>
      </c>
      <c r="AE36" t="str">
        <f ca="1"/>
        <v xml:space="preserve">
	//(予約)
	ELSIF uiInfoIdx = 4 THEN
		IF strInfoKey = 'name' THEN
			strRt	:= '(予約)';
		ELSIF strInfoKey = 'index_name' THEN</v>
      </c>
      <c r="AF36" t="str">
        <f ca="1"/>
        <v xml:space="preserve">
	//(予約)
	ELSIF uiInfoIdx = 4 THEN
		IF strInfoKey = 'name' THEN
			strRt	:= '(予約)';
		ELSIF strInfoKey = 'index_name' THEN
			strRt	:= '【74】 (予約)';</v>
      </c>
      <c r="AG36" t="str">
        <f ca="1"/>
        <v xml:space="preserve">
	//(予約)
	ELSIF uiInfoIdx = 4 THEN
		IF strInfoKey = 'name' THEN
			strRt	:= '(予約)';
		ELSIF strInfoKey = 'index_name' THEN
			strRt	:= '【74】 (予約)';
		ELSIF strInfoKey = 'model' THEN</v>
      </c>
      <c r="AH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</v>
      </c>
      <c r="AI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</v>
      </c>
      <c r="AJ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</v>
      </c>
      <c r="AK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L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M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(予約)</v>
      </c>
      <c r="L37" t="str">
        <f ca="1"/>
        <v>(予約)</v>
      </c>
      <c r="N37" t="str">
        <f ca="1"/>
        <v>【75】 (予約)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//(予約)
	ELSIF uiInfoIdx = 5 THEN</v>
      </c>
      <c r="AC37" t="str">
        <f ca="1"/>
        <v xml:space="preserve">
	//(予約)
	ELSIF uiInfoIdx = 5 THEN
		IF strInfoKey = 'name' THEN</v>
      </c>
      <c r="AD37" t="str">
        <f ca="1"/>
        <v xml:space="preserve">
	//(予約)
	ELSIF uiInfoIdx = 5 THEN
		IF strInfoKey = 'name' THEN
			strRt	:= '(予約)';</v>
      </c>
      <c r="AE37" t="str">
        <f ca="1"/>
        <v xml:space="preserve">
	//(予約)
	ELSIF uiInfoIdx = 5 THEN
		IF strInfoKey = 'name' THEN
			strRt	:= '(予約)';
		ELSIF strInfoKey = 'index_name' THEN</v>
      </c>
      <c r="AF37" t="str">
        <f ca="1"/>
        <v xml:space="preserve">
	//(予約)
	ELSIF uiInfoIdx = 5 THEN
		IF strInfoKey = 'name' THEN
			strRt	:= '(予約)';
		ELSIF strInfoKey = 'index_name' THEN
			strRt	:= '【75】 (予約)';</v>
      </c>
      <c r="AG37" t="str">
        <f ca="1"/>
        <v xml:space="preserve">
	//(予約)
	ELSIF uiInfoIdx = 5 THEN
		IF strInfoKey = 'name' THEN
			strRt	:= '(予約)';
		ELSIF strInfoKey = 'index_name' THEN
			strRt	:= '【75】 (予約)';
		ELSIF strInfoKey = 'model' THEN</v>
      </c>
      <c r="AH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</v>
      </c>
      <c r="AI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</v>
      </c>
      <c r="AJ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</v>
      </c>
      <c r="AK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</v>
      </c>
      <c r="AL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待機位置</v>
      </c>
      <c r="L38" t="str">
        <f ca="1"/>
        <v>待機位置</v>
      </c>
      <c r="N38" t="str">
        <f ca="1"/>
        <v>【81】 待機位置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//待機位置
	IF uiInfoIdx = 1 THEN</v>
      </c>
      <c r="AC38" t="str">
        <f ca="1"/>
        <v xml:space="preserve">
//8
ELSIF strInfoType = 8 THEN
	//待機位置
	IF uiInfoIdx = 1 THEN
		IF strInfoKey = 'name' THEN</v>
      </c>
      <c r="AD38" t="str">
        <f ca="1"/>
        <v xml:space="preserve">
//8
ELSIF strInfoType = 8 THEN
	//待機位置
	IF uiInfoIdx = 1 THEN
		IF strInfoKey = 'name' THEN
			strRt	:= '待機位置';</v>
      </c>
      <c r="AE38" t="str">
        <f ca="1"/>
        <v xml:space="preserve">
//8
ELSIF strInfoType = 8 THEN
	//待機位置
	IF uiInfoIdx = 1 THEN
		IF strInfoKey = 'name' THEN
			strRt	:= '待機位置';
		ELSIF strInfoKey = 'index_name' THEN</v>
      </c>
      <c r="AF38" t="str">
        <f ca="1"/>
        <v xml:space="preserve">
//8
ELSIF strInfoType = 8 THEN
	//待機位置
	IF uiInfoIdx = 1 THEN
		IF strInfoKey = 'name' THEN
			strRt	:= '待機位置';
		ELSIF strInfoKey = 'index_name' THEN
			strRt	:= '【81】 待機位置';</v>
      </c>
      <c r="AG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</v>
      </c>
      <c r="AH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</v>
      </c>
      <c r="AI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</v>
      </c>
      <c r="AJ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</v>
      </c>
      <c r="AK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L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M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押え位置</v>
      </c>
      <c r="L39" t="str">
        <f ca="1"/>
        <v>押え位置</v>
      </c>
      <c r="N39" t="str">
        <f ca="1"/>
        <v>【82】 押え位置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//押え位置
	ELSIF uiInfoIdx = 2 THEN</v>
      </c>
      <c r="AC39" t="str">
        <f ca="1"/>
        <v xml:space="preserve">
	//押え位置
	ELSIF uiInfoIdx = 2 THEN
		IF strInfoKey = 'name' THEN</v>
      </c>
      <c r="AD39" t="str">
        <f ca="1"/>
        <v xml:space="preserve">
	//押え位置
	ELSIF uiInfoIdx = 2 THEN
		IF strInfoKey = 'name' THEN
			strRt	:= '押え位置';</v>
      </c>
      <c r="AE39" t="str">
        <f ca="1"/>
        <v xml:space="preserve">
	//押え位置
	ELSIF uiInfoIdx = 2 THEN
		IF strInfoKey = 'name' THEN
			strRt	:= '押え位置';
		ELSIF strInfoKey = 'index_name' THEN</v>
      </c>
      <c r="AF39" t="str">
        <f ca="1"/>
        <v xml:space="preserve">
	//押え位置
	ELSIF uiInfoIdx = 2 THEN
		IF strInfoKey = 'name' THEN
			strRt	:= '押え位置';
		ELSIF strInfoKey = 'index_name' THEN
			strRt	:= '【82】 押え位置';</v>
      </c>
      <c r="AG39" t="str">
        <f ca="1"/>
        <v xml:space="preserve">
	//押え位置
	ELSIF uiInfoIdx = 2 THEN
		IF strInfoKey = 'name' THEN
			strRt	:= '押え位置';
		ELSIF strInfoKey = 'index_name' THEN
			strRt	:= '【82】 押え位置';
		ELSIF strInfoKey = 'model' THEN</v>
      </c>
      <c r="AH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</v>
      </c>
      <c r="AI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</v>
      </c>
      <c r="AJ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</v>
      </c>
      <c r="AK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L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M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溶接位置</v>
      </c>
      <c r="L40" t="str">
        <f ca="1"/>
        <v>溶接位置</v>
      </c>
      <c r="N40" t="str">
        <f ca="1"/>
        <v>【83】 溶接位置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//溶接位置
	ELSIF uiInfoIdx = 3 THEN</v>
      </c>
      <c r="AC40" t="str">
        <f ca="1"/>
        <v xml:space="preserve">
	//溶接位置
	ELSIF uiInfoIdx = 3 THEN
		IF strInfoKey = 'name' THEN</v>
      </c>
      <c r="AD40" t="str">
        <f ca="1"/>
        <v xml:space="preserve">
	//溶接位置
	ELSIF uiInfoIdx = 3 THEN
		IF strInfoKey = 'name' THEN
			strRt	:= '溶接位置';</v>
      </c>
      <c r="AE40" t="str">
        <f ca="1"/>
        <v xml:space="preserve">
	//溶接位置
	ELSIF uiInfoIdx = 3 THEN
		IF strInfoKey = 'name' THEN
			strRt	:= '溶接位置';
		ELSIF strInfoKey = 'index_name' THEN</v>
      </c>
      <c r="AF40" t="str">
        <f ca="1"/>
        <v xml:space="preserve">
	//溶接位置
	ELSIF uiInfoIdx = 3 THEN
		IF strInfoKey = 'name' THEN
			strRt	:= '溶接位置';
		ELSIF strInfoKey = 'index_name' THEN
			strRt	:= '【83】 溶接位置';</v>
      </c>
      <c r="AG40" t="str">
        <f ca="1"/>
        <v xml:space="preserve">
	//溶接位置
	ELSIF uiInfoIdx = 3 THEN
		IF strInfoKey = 'name' THEN
			strRt	:= '溶接位置';
		ELSIF strInfoKey = 'index_name' THEN
			strRt	:= '【83】 溶接位置';
		ELSIF strInfoKey = 'model' THEN</v>
      </c>
      <c r="AH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</v>
      </c>
      <c r="AI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</v>
      </c>
      <c r="AJ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</v>
      </c>
      <c r="AK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L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M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箔ロウ溶接位置</v>
      </c>
      <c r="L41" t="str">
        <f ca="1"/>
        <v>箔ロウ溶接位置</v>
      </c>
      <c r="N41" t="str">
        <f ca="1"/>
        <v>【84】 箔ロウ溶接位置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//箔ロウ溶接位置
	ELSIF uiInfoIdx = 4 THEN</v>
      </c>
      <c r="AC41" t="str">
        <f ca="1"/>
        <v xml:space="preserve">
	//箔ロウ溶接位置
	ELSIF uiInfoIdx = 4 THEN
		IF strInfoKey = 'name' THEN</v>
      </c>
      <c r="AD41" t="str">
        <f ca="1"/>
        <v xml:space="preserve">
	//箔ロウ溶接位置
	ELSIF uiInfoIdx = 4 THEN
		IF strInfoKey = 'name' THEN
			strRt	:= '箔ロウ溶接位置';</v>
      </c>
      <c r="AE41" t="str">
        <f ca="1"/>
        <v xml:space="preserve">
	//箔ロウ溶接位置
	ELSIF uiInfoIdx = 4 THEN
		IF strInfoKey = 'name' THEN
			strRt	:= '箔ロウ溶接位置';
		ELSIF strInfoKey = 'index_name' THEN</v>
      </c>
      <c r="AF41" t="str">
        <f ca="1"/>
        <v xml:space="preserve">
	//箔ロウ溶接位置
	ELSIF uiInfoIdx = 4 THEN
		IF strInfoKey = 'name' THEN
			strRt	:= '箔ロウ溶接位置';
		ELSIF strInfoKey = 'index_name' THEN
			strRt	:= '【84】 箔ロウ溶接位置';</v>
      </c>
      <c r="AG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</v>
      </c>
      <c r="AH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</v>
      </c>
      <c r="AI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</v>
      </c>
      <c r="AJ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</v>
      </c>
      <c r="AK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L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M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(予約)</v>
      </c>
      <c r="L42" t="str">
        <f ca="1"/>
        <v>(予約)</v>
      </c>
      <c r="N42" t="str">
        <f ca="1"/>
        <v>【85】 (予約)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//(予約)
	ELSIF uiInfoIdx = 5 THEN</v>
      </c>
      <c r="AC42" t="str">
        <f ca="1"/>
        <v xml:space="preserve">
	//(予約)
	ELSIF uiInfoIdx = 5 THEN
		IF strInfoKey = 'name' THEN</v>
      </c>
      <c r="AD42" t="str">
        <f ca="1"/>
        <v xml:space="preserve">
	//(予約)
	ELSIF uiInfoIdx = 5 THEN
		IF strInfoKey = 'name' THEN
			strRt	:= '(予約)';</v>
      </c>
      <c r="AE42" t="str">
        <f ca="1"/>
        <v xml:space="preserve">
	//(予約)
	ELSIF uiInfoIdx = 5 THEN
		IF strInfoKey = 'name' THEN
			strRt	:= '(予約)';
		ELSIF strInfoKey = 'index_name' THEN</v>
      </c>
      <c r="AF42" t="str">
        <f ca="1"/>
        <v xml:space="preserve">
	//(予約)
	ELSIF uiInfoIdx = 5 THEN
		IF strInfoKey = 'name' THEN
			strRt	:= '(予約)';
		ELSIF strInfoKey = 'index_name' THEN
			strRt	:= '【85】 (予約)';</v>
      </c>
      <c r="AG42" t="str">
        <f ca="1"/>
        <v xml:space="preserve">
	//(予約)
	ELSIF uiInfoIdx = 5 THEN
		IF strInfoKey = 'name' THEN
			strRt	:= '(予約)';
		ELSIF strInfoKey = 'index_name' THEN
			strRt	:= '【85】 (予約)';
		ELSIF strInfoKey = 'model' THEN</v>
      </c>
      <c r="AH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</v>
      </c>
      <c r="AI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</v>
      </c>
      <c r="AJ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</v>
      </c>
      <c r="AK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</v>
      </c>
      <c r="AL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待機位置</v>
      </c>
      <c r="L43" t="str">
        <f ca="1"/>
        <v>待機位置</v>
      </c>
      <c r="N43" t="str">
        <f ca="1"/>
        <v>【91】 待機位置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//待機位置
	IF uiInfoIdx = 1 THEN</v>
      </c>
      <c r="AC43" t="str">
        <f ca="1"/>
        <v xml:space="preserve">
//9
ELSIF strInfoType = 9 THEN
	//待機位置
	IF uiInfoIdx = 1 THEN
		IF strInfoKey = 'name' THEN</v>
      </c>
      <c r="AD43" t="str">
        <f ca="1"/>
        <v xml:space="preserve">
//9
ELSIF strInfoType = 9 THEN
	//待機位置
	IF uiInfoIdx = 1 THEN
		IF strInfoKey = 'name' THEN
			strRt	:= '待機位置';</v>
      </c>
      <c r="AE43" t="str">
        <f ca="1"/>
        <v xml:space="preserve">
//9
ELSIF strInfoType = 9 THEN
	//待機位置
	IF uiInfoIdx = 1 THEN
		IF strInfoKey = 'name' THEN
			strRt	:= '待機位置';
		ELSIF strInfoKey = 'index_name' THEN</v>
      </c>
      <c r="AF43" t="str">
        <f ca="1"/>
        <v xml:space="preserve">
//9
ELSIF strInfoType = 9 THEN
	//待機位置
	IF uiInfoIdx = 1 THEN
		IF strInfoKey = 'name' THEN
			strRt	:= '待機位置';
		ELSIF strInfoKey = 'index_name' THEN
			strRt	:= '【91】 待機位置';</v>
      </c>
      <c r="AG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</v>
      </c>
      <c r="AH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</v>
      </c>
      <c r="AI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</v>
      </c>
      <c r="AJ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</v>
      </c>
      <c r="AK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L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M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押え位置</v>
      </c>
      <c r="L44" t="str">
        <f ca="1"/>
        <v>押え位置</v>
      </c>
      <c r="N44" t="str">
        <f ca="1"/>
        <v>【92】 押え位置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//押え位置
	ELSIF uiInfoIdx = 2 THEN</v>
      </c>
      <c r="AC44" t="str">
        <f ca="1"/>
        <v xml:space="preserve">
	//押え位置
	ELSIF uiInfoIdx = 2 THEN
		IF strInfoKey = 'name' THEN</v>
      </c>
      <c r="AD44" t="str">
        <f ca="1"/>
        <v xml:space="preserve">
	//押え位置
	ELSIF uiInfoIdx = 2 THEN
		IF strInfoKey = 'name' THEN
			strRt	:= '押え位置';</v>
      </c>
      <c r="AE44" t="str">
        <f ca="1"/>
        <v xml:space="preserve">
	//押え位置
	ELSIF uiInfoIdx = 2 THEN
		IF strInfoKey = 'name' THEN
			strRt	:= '押え位置';
		ELSIF strInfoKey = 'index_name' THEN</v>
      </c>
      <c r="AF44" t="str">
        <f ca="1"/>
        <v xml:space="preserve">
	//押え位置
	ELSIF uiInfoIdx = 2 THEN
		IF strInfoKey = 'name' THEN
			strRt	:= '押え位置';
		ELSIF strInfoKey = 'index_name' THEN
			strRt	:= '【92】 押え位置';</v>
      </c>
      <c r="AG44" t="str">
        <f ca="1"/>
        <v xml:space="preserve">
	//押え位置
	ELSIF uiInfoIdx = 2 THEN
		IF strInfoKey = 'name' THEN
			strRt	:= '押え位置';
		ELSIF strInfoKey = 'index_name' THEN
			strRt	:= '【92】 押え位置';
		ELSIF strInfoKey = 'model' THEN</v>
      </c>
      <c r="AH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</v>
      </c>
      <c r="AI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</v>
      </c>
      <c r="AJ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</v>
      </c>
      <c r="AK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L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M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押込み位置</v>
      </c>
      <c r="L45" t="str">
        <f ca="1"/>
        <v>押込み位置</v>
      </c>
      <c r="N45" t="str">
        <f ca="1"/>
        <v>【93】 押込み位置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//押込み位置
	ELSIF uiInfoIdx = 3 THEN</v>
      </c>
      <c r="AC45" t="str">
        <f ca="1"/>
        <v xml:space="preserve">
	//押込み位置
	ELSIF uiInfoIdx = 3 THEN
		IF strInfoKey = 'name' THEN</v>
      </c>
      <c r="AD45" t="str">
        <f ca="1"/>
        <v xml:space="preserve">
	//押込み位置
	ELSIF uiInfoIdx = 3 THEN
		IF strInfoKey = 'name' THEN
			strRt	:= '押込み位置';</v>
      </c>
      <c r="AE45" t="str">
        <f ca="1"/>
        <v xml:space="preserve">
	//押込み位置
	ELSIF uiInfoIdx = 3 THEN
		IF strInfoKey = 'name' THEN
			strRt	:= '押込み位置';
		ELSIF strInfoKey = 'index_name' THEN</v>
      </c>
      <c r="AF45" t="str">
        <f ca="1"/>
        <v xml:space="preserve">
	//押込み位置
	ELSIF uiInfoIdx = 3 THEN
		IF strInfoKey = 'name' THEN
			strRt	:= '押込み位置';
		ELSIF strInfoKey = 'index_name' THEN
			strRt	:= '【93】 押込み位置';</v>
      </c>
      <c r="AG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</v>
      </c>
      <c r="AH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</v>
      </c>
      <c r="AI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</v>
      </c>
      <c r="AJ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</v>
      </c>
      <c r="AK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L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M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箔ロウ受入れ位置</v>
      </c>
      <c r="L46" t="str">
        <f ca="1"/>
        <v>箔ロウ受入れ位置</v>
      </c>
      <c r="N46" t="str">
        <f ca="1"/>
        <v>【94】 箔ロウ受入れ位置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//箔ロウ受入れ位置
	ELSIF uiInfoIdx = 4 THEN</v>
      </c>
      <c r="AC46" t="str">
        <f ca="1"/>
        <v xml:space="preserve">
	//箔ロウ受入れ位置
	ELSIF uiInfoIdx = 4 THEN
		IF strInfoKey = 'name' THEN</v>
      </c>
      <c r="AD46" t="str">
        <f ca="1"/>
        <v xml:space="preserve">
	//箔ロウ受入れ位置
	ELSIF uiInfoIdx = 4 THEN
		IF strInfoKey = 'name' THEN
			strRt	:= '箔ロウ受入れ位置';</v>
      </c>
      <c r="AE46" t="str">
        <f ca="1"/>
        <v xml:space="preserve">
	//箔ロウ受入れ位置
	ELSIF uiInfoIdx = 4 THEN
		IF strInfoKey = 'name' THEN
			strRt	:= '箔ロウ受入れ位置';
		ELSIF strInfoKey = 'index_name' THEN</v>
      </c>
      <c r="AF46" t="str">
        <f ca="1"/>
        <v xml:space="preserve">
	//箔ロウ受入れ位置
	ELSIF uiInfoIdx = 4 THEN
		IF strInfoKey = 'name' THEN
			strRt	:= '箔ロウ受入れ位置';
		ELSIF strInfoKey = 'index_name' THEN
			strRt	:= '【94】 箔ロウ受入れ位置';</v>
      </c>
      <c r="AG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</v>
      </c>
      <c r="AH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</v>
      </c>
      <c r="AI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</v>
      </c>
      <c r="AJ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</v>
      </c>
      <c r="AK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L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M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(予約)</v>
      </c>
      <c r="L47" t="str">
        <f ca="1"/>
        <v>(予約)</v>
      </c>
      <c r="N47" t="str">
        <f ca="1"/>
        <v>【95】 (予約)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//(予約)
	ELSIF uiInfoIdx = 5 THEN</v>
      </c>
      <c r="AC47" t="str">
        <f ca="1"/>
        <v xml:space="preserve">
	//(予約)
	ELSIF uiInfoIdx = 5 THEN
		IF strInfoKey = 'name' THEN</v>
      </c>
      <c r="AD47" t="str">
        <f ca="1"/>
        <v xml:space="preserve">
	//(予約)
	ELSIF uiInfoIdx = 5 THEN
		IF strInfoKey = 'name' THEN
			strRt	:= '(予約)';</v>
      </c>
      <c r="AE47" t="str">
        <f ca="1"/>
        <v xml:space="preserve">
	//(予約)
	ELSIF uiInfoIdx = 5 THEN
		IF strInfoKey = 'name' THEN
			strRt	:= '(予約)';
		ELSIF strInfoKey = 'index_name' THEN</v>
      </c>
      <c r="AF47" t="str">
        <f ca="1"/>
        <v xml:space="preserve">
	//(予約)
	ELSIF uiInfoIdx = 5 THEN
		IF strInfoKey = 'name' THEN
			strRt	:= '(予約)';
		ELSIF strInfoKey = 'index_name' THEN
			strRt	:= '【95】 (予約)';</v>
      </c>
      <c r="AG47" t="str">
        <f ca="1"/>
        <v xml:space="preserve">
	//(予約)
	ELSIF uiInfoIdx = 5 THEN
		IF strInfoKey = 'name' THEN
			strRt	:= '(予約)';
		ELSIF strInfoKey = 'index_name' THEN
			strRt	:= '【95】 (予約)';
		ELSIF strInfoKey = 'model' THEN</v>
      </c>
      <c r="AH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</v>
      </c>
      <c r="AI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</v>
      </c>
      <c r="AJ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</v>
      </c>
      <c r="AK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</v>
      </c>
      <c r="AL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待機位置</v>
      </c>
      <c r="L48" t="str">
        <f ca="1"/>
        <v>待機位置</v>
      </c>
      <c r="N48" t="str">
        <f ca="1"/>
        <v>【101】 待機位置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//待機位置
	IF uiInfoIdx = 1 THEN</v>
      </c>
      <c r="AC48" t="str">
        <f ca="1"/>
        <v xml:space="preserve">
//10
ELSIF strInfoType = 10 THEN
	//待機位置
	IF uiInfoIdx = 1 THEN
		IF strInfoKey = 'name' THEN</v>
      </c>
      <c r="AD48" t="str">
        <f ca="1"/>
        <v xml:space="preserve">
//10
ELSIF strInfoType = 10 THEN
	//待機位置
	IF uiInfoIdx = 1 THEN
		IF strInfoKey = 'name' THEN
			strRt	:= '待機位置';</v>
      </c>
      <c r="AE48" t="str">
        <f ca="1"/>
        <v xml:space="preserve">
//10
ELSIF strInfoType = 10 THEN
	//待機位置
	IF uiInfoIdx = 1 THEN
		IF strInfoKey = 'name' THEN
			strRt	:= '待機位置';
		ELSIF strInfoKey = 'index_name' THEN</v>
      </c>
      <c r="AF48" t="str">
        <f ca="1"/>
        <v xml:space="preserve">
//10
ELSIF strInfoType = 10 THEN
	//待機位置
	IF uiInfoIdx = 1 THEN
		IF strInfoKey = 'name' THEN
			strRt	:= '待機位置';
		ELSIF strInfoKey = 'index_name' THEN
			strRt	:= '【101】 待機位置';</v>
      </c>
      <c r="AG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</v>
      </c>
      <c r="AH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</v>
      </c>
      <c r="AI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</v>
      </c>
      <c r="AJ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</v>
      </c>
      <c r="AK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(予約)</v>
      </c>
      <c r="L49" t="str">
        <f ca="1"/>
        <v>(予約)</v>
      </c>
      <c r="N49" t="str">
        <f ca="1"/>
        <v>【102】 (予約)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//(予約)
	ELSIF uiInfoIdx = 2 THEN</v>
      </c>
      <c r="AC49" t="str">
        <f ca="1"/>
        <v xml:space="preserve">
	//(予約)
	ELSIF uiInfoIdx = 2 THEN
		IF strInfoKey = 'name' THEN</v>
      </c>
      <c r="AD49" t="str">
        <f ca="1"/>
        <v xml:space="preserve">
	//(予約)
	ELSIF uiInfoIdx = 2 THEN
		IF strInfoKey = 'name' THEN
			strRt	:= '(予約)';</v>
      </c>
      <c r="AE49" t="str">
        <f ca="1"/>
        <v xml:space="preserve">
	//(予約)
	ELSIF uiInfoIdx = 2 THEN
		IF strInfoKey = 'name' THEN
			strRt	:= '(予約)';
		ELSIF strInfoKey = 'index_name' THEN</v>
      </c>
      <c r="AF49" t="str">
        <f ca="1"/>
        <v xml:space="preserve">
	//(予約)
	ELSIF uiInfoIdx = 2 THEN
		IF strInfoKey = 'name' THEN
			strRt	:= '(予約)';
		ELSIF strInfoKey = 'index_name' THEN
			strRt	:= '【102】 (予約)';</v>
      </c>
      <c r="AG49" t="str">
        <f ca="1"/>
        <v xml:space="preserve">
	//(予約)
	ELSIF uiInfoIdx = 2 THEN
		IF strInfoKey = 'name' THEN
			strRt	:= '(予約)';
		ELSIF strInfoKey = 'index_name' THEN
			strRt	:= '【102】 (予約)';
		ELSIF strInfoKey = 'model' THEN</v>
      </c>
      <c r="AH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</v>
      </c>
      <c r="AI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</v>
      </c>
      <c r="AJ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</v>
      </c>
      <c r="AK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L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M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(予約)</v>
      </c>
      <c r="L50" t="str">
        <f ca="1"/>
        <v>(予約)</v>
      </c>
      <c r="N50" t="str">
        <f ca="1"/>
        <v>【103】 (予約)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//(予約)
	ELSIF uiInfoIdx = 3 THEN</v>
      </c>
      <c r="AC50" t="str">
        <f ca="1"/>
        <v xml:space="preserve">
	//(予約)
	ELSIF uiInfoIdx = 3 THEN
		IF strInfoKey = 'name' THEN</v>
      </c>
      <c r="AD50" t="str">
        <f ca="1"/>
        <v xml:space="preserve">
	//(予約)
	ELSIF uiInfoIdx = 3 THEN
		IF strInfoKey = 'name' THEN
			strRt	:= '(予約)';</v>
      </c>
      <c r="AE50" t="str">
        <f ca="1"/>
        <v xml:space="preserve">
	//(予約)
	ELSIF uiInfoIdx = 3 THEN
		IF strInfoKey = 'name' THEN
			strRt	:= '(予約)';
		ELSIF strInfoKey = 'index_name' THEN</v>
      </c>
      <c r="AF50" t="str">
        <f ca="1"/>
        <v xml:space="preserve">
	//(予約)
	ELSIF uiInfoIdx = 3 THEN
		IF strInfoKey = 'name' THEN
			strRt	:= '(予約)';
		ELSIF strInfoKey = 'index_name' THEN
			strRt	:= '【103】 (予約)';</v>
      </c>
      <c r="AG50" t="str">
        <f ca="1"/>
        <v xml:space="preserve">
	//(予約)
	ELSIF uiInfoIdx = 3 THEN
		IF strInfoKey = 'name' THEN
			strRt	:= '(予約)';
		ELSIF strInfoKey = 'index_name' THEN
			strRt	:= '【103】 (予約)';
		ELSIF strInfoKey = 'model' THEN</v>
      </c>
      <c r="AH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</v>
      </c>
      <c r="AI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</v>
      </c>
      <c r="AJ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</v>
      </c>
      <c r="AK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L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M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(予約)</v>
      </c>
      <c r="L51" t="str">
        <f ca="1"/>
        <v>(予約)</v>
      </c>
      <c r="N51" t="str">
        <f ca="1"/>
        <v>【104】 (予約)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//(予約)
	ELSIF uiInfoIdx = 4 THEN</v>
      </c>
      <c r="AC51" t="str">
        <f ca="1"/>
        <v xml:space="preserve">
	//(予約)
	ELSIF uiInfoIdx = 4 THEN
		IF strInfoKey = 'name' THEN</v>
      </c>
      <c r="AD51" t="str">
        <f ca="1"/>
        <v xml:space="preserve">
	//(予約)
	ELSIF uiInfoIdx = 4 THEN
		IF strInfoKey = 'name' THEN
			strRt	:= '(予約)';</v>
      </c>
      <c r="AE51" t="str">
        <f ca="1"/>
        <v xml:space="preserve">
	//(予約)
	ELSIF uiInfoIdx = 4 THEN
		IF strInfoKey = 'name' THEN
			strRt	:= '(予約)';
		ELSIF strInfoKey = 'index_name' THEN</v>
      </c>
      <c r="AF51" t="str">
        <f ca="1"/>
        <v xml:space="preserve">
	//(予約)
	ELSIF uiInfoIdx = 4 THEN
		IF strInfoKey = 'name' THEN
			strRt	:= '(予約)';
		ELSIF strInfoKey = 'index_name' THEN
			strRt	:= '【104】 (予約)';</v>
      </c>
      <c r="AG51" t="str">
        <f ca="1"/>
        <v xml:space="preserve">
	//(予約)
	ELSIF uiInfoIdx = 4 THEN
		IF strInfoKey = 'name' THEN
			strRt	:= '(予約)';
		ELSIF strInfoKey = 'index_name' THEN
			strRt	:= '【104】 (予約)';
		ELSIF strInfoKey = 'model' THEN</v>
      </c>
      <c r="AH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</v>
      </c>
      <c r="AI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</v>
      </c>
      <c r="AJ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</v>
      </c>
      <c r="AK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L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M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(予約)</v>
      </c>
      <c r="L52" t="str">
        <f ca="1"/>
        <v>(予約)</v>
      </c>
      <c r="N52" t="str">
        <f ca="1"/>
        <v>【105】 (予約)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//(予約)
	ELSIF uiInfoIdx = 5 THEN</v>
      </c>
      <c r="AC52" t="str">
        <f ca="1"/>
        <v xml:space="preserve">
	//(予約)
	ELSIF uiInfoIdx = 5 THEN
		IF strInfoKey = 'name' THEN</v>
      </c>
      <c r="AD52" t="str">
        <f ca="1"/>
        <v xml:space="preserve">
	//(予約)
	ELSIF uiInfoIdx = 5 THEN
		IF strInfoKey = 'name' THEN
			strRt	:= '(予約)';</v>
      </c>
      <c r="AE52" t="str">
        <f ca="1"/>
        <v xml:space="preserve">
	//(予約)
	ELSIF uiInfoIdx = 5 THEN
		IF strInfoKey = 'name' THEN
			strRt	:= '(予約)';
		ELSIF strInfoKey = 'index_name' THEN</v>
      </c>
      <c r="AF52" t="str">
        <f ca="1"/>
        <v xml:space="preserve">
	//(予約)
	ELSIF uiInfoIdx = 5 THEN
		IF strInfoKey = 'name' THEN
			strRt	:= '(予約)';
		ELSIF strInfoKey = 'index_name' THEN
			strRt	:= '【105】 (予約)';</v>
      </c>
      <c r="AG52" t="str">
        <f ca="1"/>
        <v xml:space="preserve">
	//(予約)
	ELSIF uiInfoIdx = 5 THEN
		IF strInfoKey = 'name' THEN
			strRt	:= '(予約)';
		ELSIF strInfoKey = 'index_name' THEN
			strRt	:= '【105】 (予約)';
		ELSIF strInfoKey = 'model' THEN</v>
      </c>
      <c r="AH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</v>
      </c>
      <c r="AI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</v>
      </c>
      <c r="AJ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</v>
      </c>
      <c r="AK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</v>
      </c>
      <c r="AL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待機位置</v>
      </c>
      <c r="L53" t="str">
        <f ca="1"/>
        <v>待機位置</v>
      </c>
      <c r="N53" t="str">
        <f ca="1"/>
        <v>【111】 待機位置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//待機位置
	IF uiInfoIdx = 1 THEN</v>
      </c>
      <c r="AC53" t="str">
        <f ca="1"/>
        <v xml:space="preserve">
//11
ELSIF strInfoType = 11 THEN
	//待機位置
	IF uiInfoIdx = 1 THEN
		IF strInfoKey = 'name' THEN</v>
      </c>
      <c r="AD53" t="str">
        <f ca="1"/>
        <v xml:space="preserve">
//11
ELSIF strInfoType = 11 THEN
	//待機位置
	IF uiInfoIdx = 1 THEN
		IF strInfoKey = 'name' THEN
			strRt	:= '待機位置';</v>
      </c>
      <c r="AE53" t="str">
        <f ca="1"/>
        <v xml:space="preserve">
//11
ELSIF strInfoType = 11 THEN
	//待機位置
	IF uiInfoIdx = 1 THEN
		IF strInfoKey = 'name' THEN
			strRt	:= '待機位置';
		ELSIF strInfoKey = 'index_name' THEN</v>
      </c>
      <c r="AF53" t="str">
        <f ca="1"/>
        <v xml:space="preserve">
//11
ELSIF strInfoType = 11 THEN
	//待機位置
	IF uiInfoIdx = 1 THEN
		IF strInfoKey = 'name' THEN
			strRt	:= '待機位置';
		ELSIF strInfoKey = 'index_name' THEN
			strRt	:= '【111】 待機位置';</v>
      </c>
      <c r="AG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</v>
      </c>
      <c r="AH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</v>
      </c>
      <c r="AI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</v>
      </c>
      <c r="AJ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</v>
      </c>
      <c r="AK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寄せ位置</v>
      </c>
      <c r="L54" t="str">
        <f ca="1"/>
        <v>寄せ位置</v>
      </c>
      <c r="N54" t="str">
        <f ca="1"/>
        <v>【112】 寄せ位置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//寄せ位置
	ELSIF uiInfoIdx = 2 THEN</v>
      </c>
      <c r="AC54" t="str">
        <f ca="1"/>
        <v xml:space="preserve">
	//寄せ位置
	ELSIF uiInfoIdx = 2 THEN
		IF strInfoKey = 'name' THEN</v>
      </c>
      <c r="AD54" t="str">
        <f ca="1"/>
        <v xml:space="preserve">
	//寄せ位置
	ELSIF uiInfoIdx = 2 THEN
		IF strInfoKey = 'name' THEN
			strRt	:= '寄せ位置';</v>
      </c>
      <c r="AE54" t="str">
        <f ca="1"/>
        <v xml:space="preserve">
	//寄せ位置
	ELSIF uiInfoIdx = 2 THEN
		IF strInfoKey = 'name' THEN
			strRt	:= '寄せ位置';
		ELSIF strInfoKey = 'index_name' THEN</v>
      </c>
      <c r="AF54" t="str">
        <f ca="1"/>
        <v xml:space="preserve">
	//寄せ位置
	ELSIF uiInfoIdx = 2 THEN
		IF strInfoKey = 'name' THEN
			strRt	:= '寄せ位置';
		ELSIF strInfoKey = 'index_name' THEN
			strRt	:= '【112】 寄せ位置';</v>
      </c>
      <c r="AG54" t="str">
        <f ca="1"/>
        <v xml:space="preserve">
	//寄せ位置
	ELSIF uiInfoIdx = 2 THEN
		IF strInfoKey = 'name' THEN
			strRt	:= '寄せ位置';
		ELSIF strInfoKey = 'index_name' THEN
			strRt	:= '【112】 寄せ位置';
		ELSIF strInfoKey = 'model' THEN</v>
      </c>
      <c r="AH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</v>
      </c>
      <c r="AI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</v>
      </c>
      <c r="AJ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</v>
      </c>
      <c r="AK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L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M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(予約)</v>
      </c>
      <c r="L55" t="str">
        <f ca="1"/>
        <v>(予約)</v>
      </c>
      <c r="N55" t="str">
        <f ca="1"/>
        <v>【113】 (予約)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//(予約)
	ELSIF uiInfoIdx = 3 THEN</v>
      </c>
      <c r="AC55" t="str">
        <f ca="1"/>
        <v xml:space="preserve">
	//(予約)
	ELSIF uiInfoIdx = 3 THEN
		IF strInfoKey = 'name' THEN</v>
      </c>
      <c r="AD55" t="str">
        <f ca="1"/>
        <v xml:space="preserve">
	//(予約)
	ELSIF uiInfoIdx = 3 THEN
		IF strInfoKey = 'name' THEN
			strRt	:= '(予約)';</v>
      </c>
      <c r="AE55" t="str">
        <f ca="1"/>
        <v xml:space="preserve">
	//(予約)
	ELSIF uiInfoIdx = 3 THEN
		IF strInfoKey = 'name' THEN
			strRt	:= '(予約)';
		ELSIF strInfoKey = 'index_name' THEN</v>
      </c>
      <c r="AF55" t="str">
        <f ca="1"/>
        <v xml:space="preserve">
	//(予約)
	ELSIF uiInfoIdx = 3 THEN
		IF strInfoKey = 'name' THEN
			strRt	:= '(予約)';
		ELSIF strInfoKey = 'index_name' THEN
			strRt	:= '【113】 (予約)';</v>
      </c>
      <c r="AG55" t="str">
        <f ca="1"/>
        <v xml:space="preserve">
	//(予約)
	ELSIF uiInfoIdx = 3 THEN
		IF strInfoKey = 'name' THEN
			strRt	:= '(予約)';
		ELSIF strInfoKey = 'index_name' THEN
			strRt	:= '【113】 (予約)';
		ELSIF strInfoKey = 'model' THEN</v>
      </c>
      <c r="AH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</v>
      </c>
      <c r="AI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</v>
      </c>
      <c r="AJ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</v>
      </c>
      <c r="AK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L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M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(予約)</v>
      </c>
      <c r="L56" t="str">
        <f ca="1"/>
        <v>(予約)</v>
      </c>
      <c r="N56" t="str">
        <f ca="1"/>
        <v>【114】 (予約)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//(予約)
	ELSIF uiInfoIdx = 4 THEN</v>
      </c>
      <c r="AC56" t="str">
        <f ca="1"/>
        <v xml:space="preserve">
	//(予約)
	ELSIF uiInfoIdx = 4 THEN
		IF strInfoKey = 'name' THEN</v>
      </c>
      <c r="AD56" t="str">
        <f ca="1"/>
        <v xml:space="preserve">
	//(予約)
	ELSIF uiInfoIdx = 4 THEN
		IF strInfoKey = 'name' THEN
			strRt	:= '(予約)';</v>
      </c>
      <c r="AE56" t="str">
        <f ca="1"/>
        <v xml:space="preserve">
	//(予約)
	ELSIF uiInfoIdx = 4 THEN
		IF strInfoKey = 'name' THEN
			strRt	:= '(予約)';
		ELSIF strInfoKey = 'index_name' THEN</v>
      </c>
      <c r="AF56" t="str">
        <f ca="1"/>
        <v xml:space="preserve">
	//(予約)
	ELSIF uiInfoIdx = 4 THEN
		IF strInfoKey = 'name' THEN
			strRt	:= '(予約)';
		ELSIF strInfoKey = 'index_name' THEN
			strRt	:= '【114】 (予約)';</v>
      </c>
      <c r="AG56" t="str">
        <f ca="1"/>
        <v xml:space="preserve">
	//(予約)
	ELSIF uiInfoIdx = 4 THEN
		IF strInfoKey = 'name' THEN
			strRt	:= '(予約)';
		ELSIF strInfoKey = 'index_name' THEN
			strRt	:= '【114】 (予約)';
		ELSIF strInfoKey = 'model' THEN</v>
      </c>
      <c r="AH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</v>
      </c>
      <c r="AI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</v>
      </c>
      <c r="AJ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</v>
      </c>
      <c r="AK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L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M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(予約)</v>
      </c>
      <c r="L57" t="str">
        <f ca="1"/>
        <v>(予約)</v>
      </c>
      <c r="N57" t="str">
        <f ca="1"/>
        <v>【115】 (予約)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//(予約)
	ELSIF uiInfoIdx = 5 THEN</v>
      </c>
      <c r="AC57" t="str">
        <f ca="1"/>
        <v xml:space="preserve">
	//(予約)
	ELSIF uiInfoIdx = 5 THEN
		IF strInfoKey = 'name' THEN</v>
      </c>
      <c r="AD57" t="str">
        <f ca="1"/>
        <v xml:space="preserve">
	//(予約)
	ELSIF uiInfoIdx = 5 THEN
		IF strInfoKey = 'name' THEN
			strRt	:= '(予約)';</v>
      </c>
      <c r="AE57" t="str">
        <f ca="1"/>
        <v xml:space="preserve">
	//(予約)
	ELSIF uiInfoIdx = 5 THEN
		IF strInfoKey = 'name' THEN
			strRt	:= '(予約)';
		ELSIF strInfoKey = 'index_name' THEN</v>
      </c>
      <c r="AF57" t="str">
        <f ca="1"/>
        <v xml:space="preserve">
	//(予約)
	ELSIF uiInfoIdx = 5 THEN
		IF strInfoKey = 'name' THEN
			strRt	:= '(予約)';
		ELSIF strInfoKey = 'index_name' THEN
			strRt	:= '【115】 (予約)';</v>
      </c>
      <c r="AG57" t="str">
        <f ca="1"/>
        <v xml:space="preserve">
	//(予約)
	ELSIF uiInfoIdx = 5 THEN
		IF strInfoKey = 'name' THEN
			strRt	:= '(予約)';
		ELSIF strInfoKey = 'index_name' THEN
			strRt	:= '【115】 (予約)';
		ELSIF strInfoKey = 'model' THEN</v>
      </c>
      <c r="AH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</v>
      </c>
      <c r="AI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</v>
      </c>
      <c r="AJ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</v>
      </c>
      <c r="AK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</v>
      </c>
      <c r="AL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待機位置</v>
      </c>
      <c r="L58" t="str">
        <f ca="1"/>
        <v>待機位置</v>
      </c>
      <c r="N58" t="str">
        <f ca="1"/>
        <v>【121】 待機位置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//待機位置
	IF uiInfoIdx = 1 THEN</v>
      </c>
      <c r="AC58" t="str">
        <f ca="1"/>
        <v xml:space="preserve">
//12
ELSIF strInfoType = 12 THEN
	//待機位置
	IF uiInfoIdx = 1 THEN
		IF strInfoKey = 'name' THEN</v>
      </c>
      <c r="AD58" t="str">
        <f ca="1"/>
        <v xml:space="preserve">
//12
ELSIF strInfoType = 12 THEN
	//待機位置
	IF uiInfoIdx = 1 THEN
		IF strInfoKey = 'name' THEN
			strRt	:= '待機位置';</v>
      </c>
      <c r="AE58" t="str">
        <f ca="1"/>
        <v xml:space="preserve">
//12
ELSIF strInfoType = 12 THEN
	//待機位置
	IF uiInfoIdx = 1 THEN
		IF strInfoKey = 'name' THEN
			strRt	:= '待機位置';
		ELSIF strInfoKey = 'index_name' THEN</v>
      </c>
      <c r="AF58" t="str">
        <f ca="1"/>
        <v xml:space="preserve">
//12
ELSIF strInfoType = 12 THEN
	//待機位置
	IF uiInfoIdx = 1 THEN
		IF strInfoKey = 'name' THEN
			strRt	:= '待機位置';
		ELSIF strInfoKey = 'index_name' THEN
			strRt	:= '【121】 待機位置';</v>
      </c>
      <c r="AG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</v>
      </c>
      <c r="AH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</v>
      </c>
      <c r="AI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</v>
      </c>
      <c r="AJ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</v>
      </c>
      <c r="AK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(予約)</v>
      </c>
      <c r="L59" t="str">
        <f ca="1"/>
        <v>(予約)</v>
      </c>
      <c r="N59" t="str">
        <f ca="1"/>
        <v>【122】 (予約)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//(予約)
	ELSIF uiInfoIdx = 2 THEN</v>
      </c>
      <c r="AC59" t="str">
        <f ca="1"/>
        <v xml:space="preserve">
	//(予約)
	ELSIF uiInfoIdx = 2 THEN
		IF strInfoKey = 'name' THEN</v>
      </c>
      <c r="AD59" t="str">
        <f ca="1"/>
        <v xml:space="preserve">
	//(予約)
	ELSIF uiInfoIdx = 2 THEN
		IF strInfoKey = 'name' THEN
			strRt	:= '(予約)';</v>
      </c>
      <c r="AE59" t="str">
        <f ca="1"/>
        <v xml:space="preserve">
	//(予約)
	ELSIF uiInfoIdx = 2 THEN
		IF strInfoKey = 'name' THEN
			strRt	:= '(予約)';
		ELSIF strInfoKey = 'index_name' THEN</v>
      </c>
      <c r="AF59" t="str">
        <f ca="1"/>
        <v xml:space="preserve">
	//(予約)
	ELSIF uiInfoIdx = 2 THEN
		IF strInfoKey = 'name' THEN
			strRt	:= '(予約)';
		ELSIF strInfoKey = 'index_name' THEN
			strRt	:= '【122】 (予約)';</v>
      </c>
      <c r="AG59" t="str">
        <f ca="1"/>
        <v xml:space="preserve">
	//(予約)
	ELSIF uiInfoIdx = 2 THEN
		IF strInfoKey = 'name' THEN
			strRt	:= '(予約)';
		ELSIF strInfoKey = 'index_name' THEN
			strRt	:= '【122】 (予約)';
		ELSIF strInfoKey = 'model' THEN</v>
      </c>
      <c r="AH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</v>
      </c>
      <c r="AI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</v>
      </c>
      <c r="AJ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</v>
      </c>
      <c r="AK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L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M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(予約)</v>
      </c>
      <c r="L60" t="str">
        <f ca="1"/>
        <v>(予約)</v>
      </c>
      <c r="N60" t="str">
        <f ca="1"/>
        <v>【123】 (予約)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//(予約)
	ELSIF uiInfoIdx = 3 THEN</v>
      </c>
      <c r="AC60" t="str">
        <f ca="1"/>
        <v xml:space="preserve">
	//(予約)
	ELSIF uiInfoIdx = 3 THEN
		IF strInfoKey = 'name' THEN</v>
      </c>
      <c r="AD60" t="str">
        <f ca="1"/>
        <v xml:space="preserve">
	//(予約)
	ELSIF uiInfoIdx = 3 THEN
		IF strInfoKey = 'name' THEN
			strRt	:= '(予約)';</v>
      </c>
      <c r="AE60" t="str">
        <f ca="1"/>
        <v xml:space="preserve">
	//(予約)
	ELSIF uiInfoIdx = 3 THEN
		IF strInfoKey = 'name' THEN
			strRt	:= '(予約)';
		ELSIF strInfoKey = 'index_name' THEN</v>
      </c>
      <c r="AF60" t="str">
        <f ca="1"/>
        <v xml:space="preserve">
	//(予約)
	ELSIF uiInfoIdx = 3 THEN
		IF strInfoKey = 'name' THEN
			strRt	:= '(予約)';
		ELSIF strInfoKey = 'index_name' THEN
			strRt	:= '【123】 (予約)';</v>
      </c>
      <c r="AG60" t="str">
        <f ca="1"/>
        <v xml:space="preserve">
	//(予約)
	ELSIF uiInfoIdx = 3 THEN
		IF strInfoKey = 'name' THEN
			strRt	:= '(予約)';
		ELSIF strInfoKey = 'index_name' THEN
			strRt	:= '【123】 (予約)';
		ELSIF strInfoKey = 'model' THEN</v>
      </c>
      <c r="AH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</v>
      </c>
      <c r="AI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</v>
      </c>
      <c r="AJ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</v>
      </c>
      <c r="AK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L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M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(予約)</v>
      </c>
      <c r="L61" t="str">
        <f ca="1"/>
        <v>(予約)</v>
      </c>
      <c r="N61" t="str">
        <f ca="1"/>
        <v>【124】 (予約)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//(予約)
	ELSIF uiInfoIdx = 4 THEN</v>
      </c>
      <c r="AC61" t="str">
        <f ca="1"/>
        <v xml:space="preserve">
	//(予約)
	ELSIF uiInfoIdx = 4 THEN
		IF strInfoKey = 'name' THEN</v>
      </c>
      <c r="AD61" t="str">
        <f ca="1"/>
        <v xml:space="preserve">
	//(予約)
	ELSIF uiInfoIdx = 4 THEN
		IF strInfoKey = 'name' THEN
			strRt	:= '(予約)';</v>
      </c>
      <c r="AE61" t="str">
        <f ca="1"/>
        <v xml:space="preserve">
	//(予約)
	ELSIF uiInfoIdx = 4 THEN
		IF strInfoKey = 'name' THEN
			strRt	:= '(予約)';
		ELSIF strInfoKey = 'index_name' THEN</v>
      </c>
      <c r="AF61" t="str">
        <f ca="1"/>
        <v xml:space="preserve">
	//(予約)
	ELSIF uiInfoIdx = 4 THEN
		IF strInfoKey = 'name' THEN
			strRt	:= '(予約)';
		ELSIF strInfoKey = 'index_name' THEN
			strRt	:= '【124】 (予約)';</v>
      </c>
      <c r="AG61" t="str">
        <f ca="1"/>
        <v xml:space="preserve">
	//(予約)
	ELSIF uiInfoIdx = 4 THEN
		IF strInfoKey = 'name' THEN
			strRt	:= '(予約)';
		ELSIF strInfoKey = 'index_name' THEN
			strRt	:= '【124】 (予約)';
		ELSIF strInfoKey = 'model' THEN</v>
      </c>
      <c r="AH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</v>
      </c>
      <c r="AI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</v>
      </c>
      <c r="AJ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</v>
      </c>
      <c r="AK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L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M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(予約)</v>
      </c>
      <c r="L62" t="str">
        <f ca="1"/>
        <v>(予約)</v>
      </c>
      <c r="N62" t="str">
        <f ca="1"/>
        <v>【125】 (予約)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//(予約)
	ELSIF uiInfoIdx = 5 THEN</v>
      </c>
      <c r="AC62" t="str">
        <f ca="1"/>
        <v xml:space="preserve">
	//(予約)
	ELSIF uiInfoIdx = 5 THEN
		IF strInfoKey = 'name' THEN</v>
      </c>
      <c r="AD62" t="str">
        <f ca="1"/>
        <v xml:space="preserve">
	//(予約)
	ELSIF uiInfoIdx = 5 THEN
		IF strInfoKey = 'name' THEN
			strRt	:= '(予約)';</v>
      </c>
      <c r="AE62" t="str">
        <f ca="1"/>
        <v xml:space="preserve">
	//(予約)
	ELSIF uiInfoIdx = 5 THEN
		IF strInfoKey = 'name' THEN
			strRt	:= '(予約)';
		ELSIF strInfoKey = 'index_name' THEN</v>
      </c>
      <c r="AF62" t="str">
        <f ca="1"/>
        <v xml:space="preserve">
	//(予約)
	ELSIF uiInfoIdx = 5 THEN
		IF strInfoKey = 'name' THEN
			strRt	:= '(予約)';
		ELSIF strInfoKey = 'index_name' THEN
			strRt	:= '【125】 (予約)';</v>
      </c>
      <c r="AG62" t="str">
        <f ca="1"/>
        <v xml:space="preserve">
	//(予約)
	ELSIF uiInfoIdx = 5 THEN
		IF strInfoKey = 'name' THEN
			strRt	:= '(予約)';
		ELSIF strInfoKey = 'index_name' THEN
			strRt	:= '【125】 (予約)';
		ELSIF strInfoKey = 'model' THEN</v>
      </c>
      <c r="AH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</v>
      </c>
      <c r="AI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</v>
      </c>
      <c r="AJ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</v>
      </c>
      <c r="AK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</v>
      </c>
      <c r="AL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待機位置</v>
      </c>
      <c r="L63" t="str">
        <f ca="1"/>
        <v>待機位置</v>
      </c>
      <c r="N63" t="str">
        <f ca="1"/>
        <v>【131】 待機位置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//待機位置
	IF uiInfoIdx = 1 THEN</v>
      </c>
      <c r="AC63" t="str">
        <f ca="1"/>
        <v xml:space="preserve">
//13
ELSIF strInfoType = 13 THEN
	//待機位置
	IF uiInfoIdx = 1 THEN
		IF strInfoKey = 'name' THEN</v>
      </c>
      <c r="AD63" t="str">
        <f ca="1"/>
        <v xml:space="preserve">
//13
ELSIF strInfoType = 13 THEN
	//待機位置
	IF uiInfoIdx = 1 THEN
		IF strInfoKey = 'name' THEN
			strRt	:= '待機位置';</v>
      </c>
      <c r="AE63" t="str">
        <f ca="1"/>
        <v xml:space="preserve">
//13
ELSIF strInfoType = 13 THEN
	//待機位置
	IF uiInfoIdx = 1 THEN
		IF strInfoKey = 'name' THEN
			strRt	:= '待機位置';
		ELSIF strInfoKey = 'index_name' THEN</v>
      </c>
      <c r="AF63" t="str">
        <f ca="1"/>
        <v xml:space="preserve">
//13
ELSIF strInfoType = 13 THEN
	//待機位置
	IF uiInfoIdx = 1 THEN
		IF strInfoKey = 'name' THEN
			strRt	:= '待機位置';
		ELSIF strInfoKey = 'index_name' THEN
			strRt	:= '【131】 待機位置';</v>
      </c>
      <c r="AG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</v>
      </c>
      <c r="AH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</v>
      </c>
      <c r="AI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</v>
      </c>
      <c r="AJ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</v>
      </c>
      <c r="AK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(予約)</v>
      </c>
      <c r="L64" t="str">
        <f ca="1"/>
        <v>(予約)</v>
      </c>
      <c r="N64" t="str">
        <f ca="1"/>
        <v>【132】 (予約)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//(予約)
	ELSIF uiInfoIdx = 2 THEN</v>
      </c>
      <c r="AC64" t="str">
        <f ca="1"/>
        <v xml:space="preserve">
	//(予約)
	ELSIF uiInfoIdx = 2 THEN
		IF strInfoKey = 'name' THEN</v>
      </c>
      <c r="AD64" t="str">
        <f ca="1"/>
        <v xml:space="preserve">
	//(予約)
	ELSIF uiInfoIdx = 2 THEN
		IF strInfoKey = 'name' THEN
			strRt	:= '(予約)';</v>
      </c>
      <c r="AE64" t="str">
        <f ca="1"/>
        <v xml:space="preserve">
	//(予約)
	ELSIF uiInfoIdx = 2 THEN
		IF strInfoKey = 'name' THEN
			strRt	:= '(予約)';
		ELSIF strInfoKey = 'index_name' THEN</v>
      </c>
      <c r="AF64" t="str">
        <f ca="1"/>
        <v xml:space="preserve">
	//(予約)
	ELSIF uiInfoIdx = 2 THEN
		IF strInfoKey = 'name' THEN
			strRt	:= '(予約)';
		ELSIF strInfoKey = 'index_name' THEN
			strRt	:= '【132】 (予約)';</v>
      </c>
      <c r="AG64" t="str">
        <f ca="1"/>
        <v xml:space="preserve">
	//(予約)
	ELSIF uiInfoIdx = 2 THEN
		IF strInfoKey = 'name' THEN
			strRt	:= '(予約)';
		ELSIF strInfoKey = 'index_name' THEN
			strRt	:= '【132】 (予約)';
		ELSIF strInfoKey = 'model' THEN</v>
      </c>
      <c r="AH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</v>
      </c>
      <c r="AI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</v>
      </c>
      <c r="AJ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</v>
      </c>
      <c r="AK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L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M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(予約)</v>
      </c>
      <c r="L65" t="str">
        <f ca="1"/>
        <v>(予約)</v>
      </c>
      <c r="N65" t="str">
        <f ca="1"/>
        <v>【133】 (予約)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//(予約)
	ELSIF uiInfoIdx = 3 THEN</v>
      </c>
      <c r="AC65" t="str">
        <f ca="1"/>
        <v xml:space="preserve">
	//(予約)
	ELSIF uiInfoIdx = 3 THEN
		IF strInfoKey = 'name' THEN</v>
      </c>
      <c r="AD65" t="str">
        <f ca="1"/>
        <v xml:space="preserve">
	//(予約)
	ELSIF uiInfoIdx = 3 THEN
		IF strInfoKey = 'name' THEN
			strRt	:= '(予約)';</v>
      </c>
      <c r="AE65" t="str">
        <f ca="1"/>
        <v xml:space="preserve">
	//(予約)
	ELSIF uiInfoIdx = 3 THEN
		IF strInfoKey = 'name' THEN
			strRt	:= '(予約)';
		ELSIF strInfoKey = 'index_name' THEN</v>
      </c>
      <c r="AF65" t="str">
        <f ca="1"/>
        <v xml:space="preserve">
	//(予約)
	ELSIF uiInfoIdx = 3 THEN
		IF strInfoKey = 'name' THEN
			strRt	:= '(予約)';
		ELSIF strInfoKey = 'index_name' THEN
			strRt	:= '【133】 (予約)';</v>
      </c>
      <c r="AG65" t="str">
        <f ca="1"/>
        <v xml:space="preserve">
	//(予約)
	ELSIF uiInfoIdx = 3 THEN
		IF strInfoKey = 'name' THEN
			strRt	:= '(予約)';
		ELSIF strInfoKey = 'index_name' THEN
			strRt	:= '【133】 (予約)';
		ELSIF strInfoKey = 'model' THEN</v>
      </c>
      <c r="AH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</v>
      </c>
      <c r="AI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</v>
      </c>
      <c r="AJ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</v>
      </c>
      <c r="AK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L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M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(予約)</v>
      </c>
      <c r="L66" t="str">
        <f ca="1"/>
        <v>(予約)</v>
      </c>
      <c r="N66" t="str">
        <f ca="1"/>
        <v>【134】 (予約)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//(予約)
	ELSIF uiInfoIdx = 4 THEN</v>
      </c>
      <c r="AC66" t="str">
        <f ca="1"/>
        <v xml:space="preserve">
	//(予約)
	ELSIF uiInfoIdx = 4 THEN
		IF strInfoKey = 'name' THEN</v>
      </c>
      <c r="AD66" t="str">
        <f ca="1"/>
        <v xml:space="preserve">
	//(予約)
	ELSIF uiInfoIdx = 4 THEN
		IF strInfoKey = 'name' THEN
			strRt	:= '(予約)';</v>
      </c>
      <c r="AE66" t="str">
        <f ca="1"/>
        <v xml:space="preserve">
	//(予約)
	ELSIF uiInfoIdx = 4 THEN
		IF strInfoKey = 'name' THEN
			strRt	:= '(予約)';
		ELSIF strInfoKey = 'index_name' THEN</v>
      </c>
      <c r="AF66" t="str">
        <f ca="1"/>
        <v xml:space="preserve">
	//(予約)
	ELSIF uiInfoIdx = 4 THEN
		IF strInfoKey = 'name' THEN
			strRt	:= '(予約)';
		ELSIF strInfoKey = 'index_name' THEN
			strRt	:= '【134】 (予約)';</v>
      </c>
      <c r="AG66" t="str">
        <f ca="1"/>
        <v xml:space="preserve">
	//(予約)
	ELSIF uiInfoIdx = 4 THEN
		IF strInfoKey = 'name' THEN
			strRt	:= '(予約)';
		ELSIF strInfoKey = 'index_name' THEN
			strRt	:= '【134】 (予約)';
		ELSIF strInfoKey = 'model' THEN</v>
      </c>
      <c r="AH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</v>
      </c>
      <c r="AI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</v>
      </c>
      <c r="AJ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</v>
      </c>
      <c r="AK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L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M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>●</v>
      </c>
      <c r="J67">
        <v>65</v>
      </c>
      <c r="K67" t="str">
        <f ca="1"/>
        <v>(予約)</v>
      </c>
      <c r="L67" t="str">
        <f ca="1"/>
        <v>(予約)</v>
      </c>
      <c r="N67" t="str">
        <f ca="1"/>
        <v>【135】 (予約)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//(予約)
	ELSIF uiInfoIdx = 5 THEN</v>
      </c>
      <c r="AC67" t="str">
        <f ca="1"/>
        <v xml:space="preserve">
	//(予約)
	ELSIF uiInfoIdx = 5 THEN
		IF strInfoKey = 'name' THEN</v>
      </c>
      <c r="AD67" t="str">
        <f ca="1"/>
        <v xml:space="preserve">
	//(予約)
	ELSIF uiInfoIdx = 5 THEN
		IF strInfoKey = 'name' THEN
			strRt	:= '(予約)';</v>
      </c>
      <c r="AE67" t="str">
        <f ca="1"/>
        <v xml:space="preserve">
	//(予約)
	ELSIF uiInfoIdx = 5 THEN
		IF strInfoKey = 'name' THEN
			strRt	:= '(予約)';
		ELSIF strInfoKey = 'index_name' THEN</v>
      </c>
      <c r="AF67" t="str">
        <f ca="1"/>
        <v xml:space="preserve">
	//(予約)
	ELSIF uiInfoIdx = 5 THEN
		IF strInfoKey = 'name' THEN
			strRt	:= '(予約)';
		ELSIF strInfoKey = 'index_name' THEN
			strRt	:= '【135】 (予約)';</v>
      </c>
      <c r="AG67" t="str">
        <f ca="1"/>
        <v xml:space="preserve">
	//(予約)
	ELSIF uiInfoIdx = 5 THEN
		IF strInfoKey = 'name' THEN
			strRt	:= '(予約)';
		ELSIF strInfoKey = 'index_name' THEN
			strRt	:= '【135】 (予約)';
		ELSIF strInfoKey = 'model' THEN</v>
      </c>
      <c r="AH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</v>
      </c>
      <c r="AI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</v>
      </c>
      <c r="AJ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</v>
      </c>
      <c r="AK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L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  <c r="AM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</row>
    <row r="68" spans="6:39" x14ac:dyDescent="0.55000000000000004">
      <c r="F68">
        <f t="shared" ref="F68" si="10">F63+1</f>
        <v>14</v>
      </c>
      <c r="G68" t="str">
        <f t="shared" ref="G68" si="11">E68&amp;F68</f>
        <v>14</v>
      </c>
      <c r="H68">
        <f>COUNTIF(G$3:G68,G68)</f>
        <v>1</v>
      </c>
      <c r="I68" t="str">
        <v/>
      </c>
      <c r="J68">
        <v>66</v>
      </c>
      <c r="K68" t="str">
        <f ca="1"/>
        <v>待機位置</v>
      </c>
      <c r="L68" t="str">
        <f ca="1"/>
        <v>待機位置</v>
      </c>
      <c r="N68" t="str">
        <f ca="1"/>
        <v>【141】 待機位置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//14</v>
      </c>
      <c r="AA68" t="str">
        <f ca="1"/>
        <v xml:space="preserve">
//14
ELSIF strInfoType = 14 THEN</v>
      </c>
      <c r="AB68" t="str">
        <f ca="1"/>
        <v xml:space="preserve">
//14
ELSIF strInfoType = 14 THEN
	//待機位置
	IF uiInfoIdx = 1 THEN</v>
      </c>
      <c r="AC68" t="str">
        <f ca="1"/>
        <v xml:space="preserve">
//14
ELSIF strInfoType = 14 THEN
	//待機位置
	IF uiInfoIdx = 1 THEN
		IF strInfoKey = 'name' THEN</v>
      </c>
      <c r="AD68" t="str">
        <f ca="1"/>
        <v xml:space="preserve">
//14
ELSIF strInfoType = 14 THEN
	//待機位置
	IF uiInfoIdx = 1 THEN
		IF strInfoKey = 'name' THEN
			strRt	:= '待機位置';</v>
      </c>
      <c r="AE68" t="str">
        <f ca="1"/>
        <v xml:space="preserve">
//14
ELSIF strInfoType = 14 THEN
	//待機位置
	IF uiInfoIdx = 1 THEN
		IF strInfoKey = 'name' THEN
			strRt	:= '待機位置';
		ELSIF strInfoKey = 'index_name' THEN</v>
      </c>
      <c r="AF68" t="str">
        <f ca="1"/>
        <v xml:space="preserve">
//14
ELSIF strInfoType = 14 THEN
	//待機位置
	IF uiInfoIdx = 1 THEN
		IF strInfoKey = 'name' THEN
			strRt	:= '待機位置';
		ELSIF strInfoKey = 'index_name' THEN
			strRt	:= '【141】 待機位置';</v>
      </c>
      <c r="AG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</v>
      </c>
      <c r="AH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</v>
      </c>
      <c r="AI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</v>
      </c>
      <c r="AJ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</v>
      </c>
      <c r="AK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L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M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12">F68</f>
        <v>14</v>
      </c>
      <c r="G69" t="str">
        <f t="shared" ref="G69:G131" si="13">E69&amp;F69</f>
        <v>14</v>
      </c>
      <c r="H69">
        <f>COUNTIF(G$3:G69,G69)</f>
        <v>2</v>
      </c>
      <c r="I69" t="str">
        <v/>
      </c>
      <c r="J69">
        <v>67</v>
      </c>
      <c r="K69" t="str">
        <f ca="1"/>
        <v>巻き位置</v>
      </c>
      <c r="L69" t="str">
        <f ca="1"/>
        <v>巻き位置</v>
      </c>
      <c r="N69" t="str">
        <f ca="1"/>
        <v>【142】 巻き位置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</v>
      </c>
      <c r="AA69" t="str">
        <f ca="1"/>
        <v xml:space="preserve">
</v>
      </c>
      <c r="AB69" t="str">
        <f ca="1"/>
        <v xml:space="preserve">
	//巻き位置
	ELSIF uiInfoIdx = 2 THEN</v>
      </c>
      <c r="AC69" t="str">
        <f ca="1"/>
        <v xml:space="preserve">
	//巻き位置
	ELSIF uiInfoIdx = 2 THEN
		IF strInfoKey = 'name' THEN</v>
      </c>
      <c r="AD69" t="str">
        <f ca="1"/>
        <v xml:space="preserve">
	//巻き位置
	ELSIF uiInfoIdx = 2 THEN
		IF strInfoKey = 'name' THEN
			strRt	:= '巻き位置';</v>
      </c>
      <c r="AE69" t="str">
        <f ca="1"/>
        <v xml:space="preserve">
	//巻き位置
	ELSIF uiInfoIdx = 2 THEN
		IF strInfoKey = 'name' THEN
			strRt	:= '巻き位置';
		ELSIF strInfoKey = 'index_name' THEN</v>
      </c>
      <c r="AF69" t="str">
        <f ca="1"/>
        <v xml:space="preserve">
	//巻き位置
	ELSIF uiInfoIdx = 2 THEN
		IF strInfoKey = 'name' THEN
			strRt	:= '巻き位置';
		ELSIF strInfoKey = 'index_name' THEN
			strRt	:= '【142】 巻き位置';</v>
      </c>
      <c r="AG69" t="str">
        <f ca="1"/>
        <v xml:space="preserve">
	//巻き位置
	ELSIF uiInfoIdx = 2 THEN
		IF strInfoKey = 'name' THEN
			strRt	:= '巻き位置';
		ELSIF strInfoKey = 'index_name' THEN
			strRt	:= '【142】 巻き位置';
		ELSIF strInfoKey = 'model' THEN</v>
      </c>
      <c r="AH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</v>
      </c>
      <c r="AI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</v>
      </c>
      <c r="AJ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</v>
      </c>
      <c r="AK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L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M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si="12"/>
        <v>14</v>
      </c>
      <c r="G70" t="str">
        <f t="shared" si="13"/>
        <v>14</v>
      </c>
      <c r="H70">
        <f>COUNTIF(G$3:G70,G70)</f>
        <v>3</v>
      </c>
      <c r="I70" t="str">
        <v/>
      </c>
      <c r="J70">
        <v>68</v>
      </c>
      <c r="K70" t="str">
        <f ca="1"/>
        <v>巻締め位置</v>
      </c>
      <c r="L70" t="str">
        <f ca="1"/>
        <v>巻締め位置</v>
      </c>
      <c r="N70" t="str">
        <f ca="1"/>
        <v>【143】 巻締め位置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//巻締め位置
	ELSIF uiInfoIdx = 3 THEN</v>
      </c>
      <c r="AC70" t="str">
        <f ca="1"/>
        <v xml:space="preserve">
	//巻締め位置
	ELSIF uiInfoIdx = 3 THEN
		IF strInfoKey = 'name' THEN</v>
      </c>
      <c r="AD70" t="str">
        <f ca="1"/>
        <v xml:space="preserve">
	//巻締め位置
	ELSIF uiInfoIdx = 3 THEN
		IF strInfoKey = 'name' THEN
			strRt	:= '巻締め位置';</v>
      </c>
      <c r="AE70" t="str">
        <f ca="1"/>
        <v xml:space="preserve">
	//巻締め位置
	ELSIF uiInfoIdx = 3 THEN
		IF strInfoKey = 'name' THEN
			strRt	:= '巻締め位置';
		ELSIF strInfoKey = 'index_name' THEN</v>
      </c>
      <c r="AF70" t="str">
        <f ca="1"/>
        <v xml:space="preserve">
	//巻締め位置
	ELSIF uiInfoIdx = 3 THEN
		IF strInfoKey = 'name' THEN
			strRt	:= '巻締め位置';
		ELSIF strInfoKey = 'index_name' THEN
			strRt	:= '【143】 巻締め位置';</v>
      </c>
      <c r="AG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</v>
      </c>
      <c r="AH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</v>
      </c>
      <c r="AI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</v>
      </c>
      <c r="AJ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</v>
      </c>
      <c r="AK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L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M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4</v>
      </c>
      <c r="I71" t="str">
        <v/>
      </c>
      <c r="J71">
        <v>69</v>
      </c>
      <c r="K71" t="str">
        <f ca="1"/>
        <v>整え位置</v>
      </c>
      <c r="L71" t="str">
        <f ca="1"/>
        <v>整え位置</v>
      </c>
      <c r="N71" t="str">
        <f ca="1"/>
        <v>【144】 整え位置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//整え位置
	ELSIF uiInfoIdx = 4 THEN</v>
      </c>
      <c r="AC71" t="str">
        <f ca="1"/>
        <v xml:space="preserve">
	//整え位置
	ELSIF uiInfoIdx = 4 THEN
		IF strInfoKey = 'name' THEN</v>
      </c>
      <c r="AD71" t="str">
        <f ca="1"/>
        <v xml:space="preserve">
	//整え位置
	ELSIF uiInfoIdx = 4 THEN
		IF strInfoKey = 'name' THEN
			strRt	:= '整え位置';</v>
      </c>
      <c r="AE71" t="str">
        <f ca="1"/>
        <v xml:space="preserve">
	//整え位置
	ELSIF uiInfoIdx = 4 THEN
		IF strInfoKey = 'name' THEN
			strRt	:= '整え位置';
		ELSIF strInfoKey = 'index_name' THEN</v>
      </c>
      <c r="AF71" t="str">
        <f ca="1"/>
        <v xml:space="preserve">
	//整え位置
	ELSIF uiInfoIdx = 4 THEN
		IF strInfoKey = 'name' THEN
			strRt	:= '整え位置';
		ELSIF strInfoKey = 'index_name' THEN
			strRt	:= '【144】 整え位置';</v>
      </c>
      <c r="AG71" t="str">
        <f ca="1"/>
        <v xml:space="preserve">
	//整え位置
	ELSIF uiInfoIdx = 4 THEN
		IF strInfoKey = 'name' THEN
			strRt	:= '整え位置';
		ELSIF strInfoKey = 'index_name' THEN
			strRt	:= '【144】 整え位置';
		ELSIF strInfoKey = 'model' THEN</v>
      </c>
      <c r="AH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</v>
      </c>
      <c r="AI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</v>
      </c>
      <c r="AJ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</v>
      </c>
      <c r="AK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L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M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5</v>
      </c>
      <c r="I72" t="str">
        <v>●</v>
      </c>
      <c r="J72">
        <v>70</v>
      </c>
      <c r="K72" t="str">
        <f ca="1"/>
        <v>(予約)</v>
      </c>
      <c r="L72" t="str">
        <f ca="1"/>
        <v>(予約)</v>
      </c>
      <c r="N72" t="str">
        <f ca="1"/>
        <v>【145】 (予約)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//(予約)
	ELSIF uiInfoIdx = 5 THEN</v>
      </c>
      <c r="AC72" t="str">
        <f ca="1"/>
        <v xml:space="preserve">
	//(予約)
	ELSIF uiInfoIdx = 5 THEN
		IF strInfoKey = 'name' THEN</v>
      </c>
      <c r="AD72" t="str">
        <f ca="1"/>
        <v xml:space="preserve">
	//(予約)
	ELSIF uiInfoIdx = 5 THEN
		IF strInfoKey = 'name' THEN
			strRt	:= '(予約)';</v>
      </c>
      <c r="AE72" t="str">
        <f ca="1"/>
        <v xml:space="preserve">
	//(予約)
	ELSIF uiInfoIdx = 5 THEN
		IF strInfoKey = 'name' THEN
			strRt	:= '(予約)';
		ELSIF strInfoKey = 'index_name' THEN</v>
      </c>
      <c r="AF72" t="str">
        <f ca="1"/>
        <v xml:space="preserve">
	//(予約)
	ELSIF uiInfoIdx = 5 THEN
		IF strInfoKey = 'name' THEN
			strRt	:= '(予約)';
		ELSIF strInfoKey = 'index_name' THEN
			strRt	:= '【145】 (予約)';</v>
      </c>
      <c r="AG72" t="str">
        <f ca="1"/>
        <v xml:space="preserve">
	//(予約)
	ELSIF uiInfoIdx = 5 THEN
		IF strInfoKey = 'name' THEN
			strRt	:= '(予約)';
		ELSIF strInfoKey = 'index_name' THEN
			strRt	:= '【145】 (予約)';
		ELSIF strInfoKey = 'model' THEN</v>
      </c>
      <c r="AH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</v>
      </c>
      <c r="AI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</v>
      </c>
      <c r="AJ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</v>
      </c>
      <c r="AK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  <c r="AL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  <c r="AM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</row>
    <row r="73" spans="6:39" x14ac:dyDescent="0.55000000000000004">
      <c r="F73">
        <v>17</v>
      </c>
      <c r="G73" t="str">
        <f t="shared" si="13"/>
        <v>17</v>
      </c>
      <c r="H73">
        <f>COUNTIF(G$3:G73,G73)</f>
        <v>1</v>
      </c>
      <c r="I73" t="str">
        <v/>
      </c>
      <c r="J73">
        <v>81</v>
      </c>
      <c r="K73" t="str">
        <f ca="1"/>
        <v>待機位置</v>
      </c>
      <c r="L73" t="str">
        <f ca="1"/>
        <v>待機位置</v>
      </c>
      <c r="N73" t="str">
        <f ca="1"/>
        <v>【171】 待機位置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//17</v>
      </c>
      <c r="AA73" t="str">
        <f ca="1"/>
        <v xml:space="preserve">
//17
ELSIF strInfoType = 17 THEN</v>
      </c>
      <c r="AB73" t="str">
        <f ca="1"/>
        <v xml:space="preserve">
//17
ELSIF strInfoType = 17 THEN
	//待機位置
	IF uiInfoIdx = 1 THEN</v>
      </c>
      <c r="AC73" t="str">
        <f ca="1"/>
        <v xml:space="preserve">
//17
ELSIF strInfoType = 17 THEN
	//待機位置
	IF uiInfoIdx = 1 THEN
		IF strInfoKey = 'name' THEN</v>
      </c>
      <c r="AD73" t="str">
        <f ca="1"/>
        <v xml:space="preserve">
//17
ELSIF strInfoType = 17 THEN
	//待機位置
	IF uiInfoIdx = 1 THEN
		IF strInfoKey = 'name' THEN
			strRt	:= '待機位置';</v>
      </c>
      <c r="AE73" t="str">
        <f ca="1"/>
        <v xml:space="preserve">
//17
ELSIF strInfoType = 17 THEN
	//待機位置
	IF uiInfoIdx = 1 THEN
		IF strInfoKey = 'name' THEN
			strRt	:= '待機位置';
		ELSIF strInfoKey = 'index_name' THEN</v>
      </c>
      <c r="AF73" t="str">
        <f ca="1"/>
        <v xml:space="preserve">
//17
ELSIF strInfoType = 17 THEN
	//待機位置
	IF uiInfoIdx = 1 THEN
		IF strInfoKey = 'name' THEN
			strRt	:= '待機位置';
		ELSIF strInfoKey = 'index_name' THEN
			strRt	:= '【171】 待機位置';</v>
      </c>
      <c r="AG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</v>
      </c>
      <c r="AH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</v>
      </c>
      <c r="AI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</v>
      </c>
      <c r="AJ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</v>
      </c>
      <c r="AK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L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M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12"/>
        <v>17</v>
      </c>
      <c r="G74" t="str">
        <f t="shared" si="13"/>
        <v>17</v>
      </c>
      <c r="H74">
        <f>COUNTIF(G$3:G74,G74)</f>
        <v>2</v>
      </c>
      <c r="I74" t="str">
        <v/>
      </c>
      <c r="J74">
        <v>82</v>
      </c>
      <c r="K74" t="str">
        <f ca="1"/>
        <v>掴み位置</v>
      </c>
      <c r="L74" t="str">
        <f ca="1"/>
        <v>掴み位置</v>
      </c>
      <c r="N74" t="str">
        <f ca="1"/>
        <v>【172】 掴み位置</v>
      </c>
      <c r="O74" t="str">
        <v/>
      </c>
      <c r="P74" t="str">
        <v>unknown</v>
      </c>
      <c r="Q74" t="str">
        <f ca="1"/>
        <v/>
      </c>
      <c r="R74" t="str">
        <f ca="1"/>
        <v>unknown</v>
      </c>
      <c r="Z74" t="str">
        <f ca="1"/>
        <v xml:space="preserve">
</v>
      </c>
      <c r="AA74" t="str">
        <f ca="1"/>
        <v xml:space="preserve">
</v>
      </c>
      <c r="AB74" t="str">
        <f ca="1"/>
        <v xml:space="preserve">
	//掴み位置
	ELSIF uiInfoIdx = 2 THEN</v>
      </c>
      <c r="AC74" t="str">
        <f ca="1"/>
        <v xml:space="preserve">
	//掴み位置
	ELSIF uiInfoIdx = 2 THEN
		IF strInfoKey = 'name' THEN</v>
      </c>
      <c r="AD74" t="str">
        <f ca="1"/>
        <v xml:space="preserve">
	//掴み位置
	ELSIF uiInfoIdx = 2 THEN
		IF strInfoKey = 'name' THEN
			strRt	:= '掴み位置';</v>
      </c>
      <c r="AE74" t="str">
        <f ca="1"/>
        <v xml:space="preserve">
	//掴み位置
	ELSIF uiInfoIdx = 2 THEN
		IF strInfoKey = 'name' THEN
			strRt	:= '掴み位置';
		ELSIF strInfoKey = 'index_name' THEN</v>
      </c>
      <c r="AF74" t="str">
        <f ca="1"/>
        <v xml:space="preserve">
	//掴み位置
	ELSIF uiInfoIdx = 2 THEN
		IF strInfoKey = 'name' THEN
			strRt	:= '掴み位置';
		ELSIF strInfoKey = 'index_name' THEN
			strRt	:= '【172】 掴み位置';</v>
      </c>
      <c r="AG74" t="str">
        <f ca="1"/>
        <v xml:space="preserve">
	//掴み位置
	ELSIF uiInfoIdx = 2 THEN
		IF strInfoKey = 'name' THEN
			strRt	:= '掴み位置';
		ELSIF strInfoKey = 'index_name' THEN
			strRt	:= '【172】 掴み位置';
		ELSIF strInfoKey = 'model' THEN</v>
      </c>
      <c r="AH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</v>
      </c>
      <c r="AI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</v>
      </c>
      <c r="AJ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</v>
      </c>
      <c r="AK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L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M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3</v>
      </c>
      <c r="I75" t="str">
        <v/>
      </c>
      <c r="J75">
        <v>83</v>
      </c>
      <c r="K75" t="str">
        <f ca="1"/>
        <v>巻き開始補助位置</v>
      </c>
      <c r="L75" t="str">
        <f ca="1"/>
        <v>巻き開始補助位置</v>
      </c>
      <c r="N75" t="str">
        <f ca="1"/>
        <v>【173】 巻き開始補助位置</v>
      </c>
      <c r="O75" t="str">
        <v/>
      </c>
      <c r="P75" t="str">
        <v>unknown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//巻き開始補助位置
	ELSIF uiInfoIdx = 3 THEN</v>
      </c>
      <c r="AC75" t="str">
        <f ca="1"/>
        <v xml:space="preserve">
	//巻き開始補助位置
	ELSIF uiInfoIdx = 3 THEN
		IF strInfoKey = 'name' THEN</v>
      </c>
      <c r="AD75" t="str">
        <f ca="1"/>
        <v xml:space="preserve">
	//巻き開始補助位置
	ELSIF uiInfoIdx = 3 THEN
		IF strInfoKey = 'name' THEN
			strRt	:= '巻き開始補助位置';</v>
      </c>
      <c r="AE75" t="str">
        <f ca="1"/>
        <v xml:space="preserve">
	//巻き開始補助位置
	ELSIF uiInfoIdx = 3 THEN
		IF strInfoKey = 'name' THEN
			strRt	:= '巻き開始補助位置';
		ELSIF strInfoKey = 'index_name' THEN</v>
      </c>
      <c r="AF75" t="str">
        <f ca="1"/>
        <v xml:space="preserve">
	//巻き開始補助位置
	ELSIF uiInfoIdx = 3 THEN
		IF strInfoKey = 'name' THEN
			strRt	:= '巻き開始補助位置';
		ELSIF strInfoKey = 'index_name' THEN
			strRt	:= '【173】 巻き開始補助位置';</v>
      </c>
      <c r="AG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</v>
      </c>
      <c r="AH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</v>
      </c>
      <c r="AI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</v>
      </c>
      <c r="AJ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</v>
      </c>
      <c r="AK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L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M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4</v>
      </c>
      <c r="I76" t="str">
        <v/>
      </c>
      <c r="J76">
        <v>84</v>
      </c>
      <c r="K76" t="str">
        <f ca="1"/>
        <v>計測退避位置</v>
      </c>
      <c r="L76" t="str">
        <f ca="1"/>
        <v>計測退避位置</v>
      </c>
      <c r="N76" t="str">
        <f ca="1"/>
        <v>【174】 計測退避位置</v>
      </c>
      <c r="O76" t="str">
        <v/>
      </c>
      <c r="P76" t="str">
        <v>unknown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//計測退避位置
	ELSIF uiInfoIdx = 4 THEN</v>
      </c>
      <c r="AC76" t="str">
        <f ca="1"/>
        <v xml:space="preserve">
	//計測退避位置
	ELSIF uiInfoIdx = 4 THEN
		IF strInfoKey = 'name' THEN</v>
      </c>
      <c r="AD76" t="str">
        <f ca="1"/>
        <v xml:space="preserve">
	//計測退避位置
	ELSIF uiInfoIdx = 4 THEN
		IF strInfoKey = 'name' THEN
			strRt	:= '計測退避位置';</v>
      </c>
      <c r="AE76" t="str">
        <f ca="1"/>
        <v xml:space="preserve">
	//計測退避位置
	ELSIF uiInfoIdx = 4 THEN
		IF strInfoKey = 'name' THEN
			strRt	:= '計測退避位置';
		ELSIF strInfoKey = 'index_name' THEN</v>
      </c>
      <c r="AF76" t="str">
        <f ca="1"/>
        <v xml:space="preserve">
	//計測退避位置
	ELSIF uiInfoIdx = 4 THEN
		IF strInfoKey = 'name' THEN
			strRt	:= '計測退避位置';
		ELSIF strInfoKey = 'index_name' THEN
			strRt	:= '【174】 計測退避位置';</v>
      </c>
      <c r="AG76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</v>
      </c>
      <c r="AH76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</v>
      </c>
      <c r="AI76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</v>
      </c>
      <c r="AJ76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</v>
      </c>
      <c r="AK76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  <c r="AL76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  <c r="AM76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5</v>
      </c>
      <c r="I77" t="str">
        <v>●</v>
      </c>
      <c r="J77">
        <v>85</v>
      </c>
      <c r="K77" t="str">
        <f ca="1"/>
        <v>(予約)</v>
      </c>
      <c r="L77" t="str">
        <f ca="1"/>
        <v>(予約)</v>
      </c>
      <c r="N77" t="str">
        <f ca="1"/>
        <v>【175】 (予約)</v>
      </c>
      <c r="O77" t="str">
        <v/>
      </c>
      <c r="P77" t="str">
        <v>unknown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//(予約)
	ELSIF uiInfoIdx = 5 THEN</v>
      </c>
      <c r="AC77" t="str">
        <f ca="1"/>
        <v xml:space="preserve">
	//(予約)
	ELSIF uiInfoIdx = 5 THEN
		IF strInfoKey = 'name' THEN</v>
      </c>
      <c r="AD77" t="str">
        <f ca="1"/>
        <v xml:space="preserve">
	//(予約)
	ELSIF uiInfoIdx = 5 THEN
		IF strInfoKey = 'name' THEN
			strRt	:= '(予約)';</v>
      </c>
      <c r="AE77" t="str">
        <f ca="1"/>
        <v xml:space="preserve">
	//(予約)
	ELSIF uiInfoIdx = 5 THEN
		IF strInfoKey = 'name' THEN
			strRt	:= '(予約)';
		ELSIF strInfoKey = 'index_name' THEN</v>
      </c>
      <c r="AF77" t="str">
        <f ca="1"/>
        <v xml:space="preserve">
	//(予約)
	ELSIF uiInfoIdx = 5 THEN
		IF strInfoKey = 'name' THEN
			strRt	:= '(予約)';
		ELSIF strInfoKey = 'index_name' THEN
			strRt	:= '【175】 (予約)';</v>
      </c>
      <c r="AG77" t="str">
        <f ca="1"/>
        <v xml:space="preserve">
	//(予約)
	ELSIF uiInfoIdx = 5 THEN
		IF strInfoKey = 'name' THEN
			strRt	:= '(予約)';
		ELSIF strInfoKey = 'index_name' THEN
			strRt	:= '【175】 (予約)';
		ELSIF strInfoKey = 'model' THEN</v>
      </c>
      <c r="AH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</v>
      </c>
      <c r="AI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</v>
      </c>
      <c r="AJ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</v>
      </c>
      <c r="AK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</v>
      </c>
      <c r="AL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  <c r="AM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</row>
    <row r="78" spans="6:39" x14ac:dyDescent="0.55000000000000004">
      <c r="F78">
        <v>18</v>
      </c>
      <c r="G78" t="str">
        <f t="shared" si="13"/>
        <v>18</v>
      </c>
      <c r="H78">
        <f>COUNTIF(G$3:G78,G78)</f>
        <v>1</v>
      </c>
      <c r="I78" t="str">
        <v/>
      </c>
      <c r="J78">
        <v>86</v>
      </c>
      <c r="K78" t="str">
        <f ca="1"/>
        <v>待機位置</v>
      </c>
      <c r="L78" t="str">
        <f ca="1"/>
        <v>待機位置</v>
      </c>
      <c r="N78" t="str">
        <f ca="1"/>
        <v>【181】 待機位置</v>
      </c>
      <c r="O78" t="str">
        <v/>
      </c>
      <c r="P78" t="str">
        <v>unknown</v>
      </c>
      <c r="Q78" t="str">
        <f ca="1"/>
        <v/>
      </c>
      <c r="R78" t="str">
        <f ca="1"/>
        <v>unknown</v>
      </c>
      <c r="Z78" t="str">
        <f ca="1"/>
        <v xml:space="preserve">
//18</v>
      </c>
      <c r="AA78" t="str">
        <f ca="1"/>
        <v xml:space="preserve">
//18
ELSIF strInfoType = 18 THEN</v>
      </c>
      <c r="AB78" t="str">
        <f ca="1"/>
        <v xml:space="preserve">
//18
ELSIF strInfoType = 18 THEN
	//待機位置
	IF uiInfoIdx = 1 THEN</v>
      </c>
      <c r="AC78" t="str">
        <f ca="1"/>
        <v xml:space="preserve">
//18
ELSIF strInfoType = 18 THEN
	//待機位置
	IF uiInfoIdx = 1 THEN
		IF strInfoKey = 'name' THEN</v>
      </c>
      <c r="AD78" t="str">
        <f ca="1"/>
        <v xml:space="preserve">
//18
ELSIF strInfoType = 18 THEN
	//待機位置
	IF uiInfoIdx = 1 THEN
		IF strInfoKey = 'name' THEN
			strRt	:= '待機位置';</v>
      </c>
      <c r="AE78" t="str">
        <f ca="1"/>
        <v xml:space="preserve">
//18
ELSIF strInfoType = 18 THEN
	//待機位置
	IF uiInfoIdx = 1 THEN
		IF strInfoKey = 'name' THEN
			strRt	:= '待機位置';
		ELSIF strInfoKey = 'index_name' THEN</v>
      </c>
      <c r="AF78" t="str">
        <f ca="1"/>
        <v xml:space="preserve">
//18
ELSIF strInfoType = 18 THEN
	//待機位置
	IF uiInfoIdx = 1 THEN
		IF strInfoKey = 'name' THEN
			strRt	:= '待機位置';
		ELSIF strInfoKey = 'index_name' THEN
			strRt	:= '【181】 待機位置';</v>
      </c>
      <c r="AG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</v>
      </c>
      <c r="AH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</v>
      </c>
      <c r="AI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</v>
      </c>
      <c r="AJ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</v>
      </c>
      <c r="AK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L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M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</row>
    <row r="79" spans="6:39" x14ac:dyDescent="0.55000000000000004">
      <c r="F79">
        <f t="shared" si="12"/>
        <v>18</v>
      </c>
      <c r="G79" t="str">
        <f t="shared" si="13"/>
        <v>18</v>
      </c>
      <c r="H79">
        <f>COUNTIF(G$3:G79,G79)</f>
        <v>2</v>
      </c>
      <c r="I79" t="str">
        <v/>
      </c>
      <c r="J79">
        <v>87</v>
      </c>
      <c r="K79" t="str">
        <f ca="1"/>
        <v>掴み位置</v>
      </c>
      <c r="L79" t="str">
        <f ca="1"/>
        <v>掴み位置</v>
      </c>
      <c r="N79" t="str">
        <f ca="1"/>
        <v>【182】 掴み位置</v>
      </c>
      <c r="O79" t="str">
        <v/>
      </c>
      <c r="P79" t="str">
        <v>unknown</v>
      </c>
      <c r="Q79" t="str">
        <f ca="1"/>
        <v/>
      </c>
      <c r="R79" t="str">
        <f ca="1"/>
        <v>unknown</v>
      </c>
      <c r="Z79" t="str">
        <f ca="1"/>
        <v xml:space="preserve">
</v>
      </c>
      <c r="AA79" t="str">
        <f ca="1"/>
        <v xml:space="preserve">
</v>
      </c>
      <c r="AB79" t="str">
        <f ca="1"/>
        <v xml:space="preserve">
	//掴み位置
	ELSIF uiInfoIdx = 2 THEN</v>
      </c>
      <c r="AC79" t="str">
        <f ca="1"/>
        <v xml:space="preserve">
	//掴み位置
	ELSIF uiInfoIdx = 2 THEN
		IF strInfoKey = 'name' THEN</v>
      </c>
      <c r="AD79" t="str">
        <f ca="1"/>
        <v xml:space="preserve">
	//掴み位置
	ELSIF uiInfoIdx = 2 THEN
		IF strInfoKey = 'name' THEN
			strRt	:= '掴み位置';</v>
      </c>
      <c r="AE79" t="str">
        <f ca="1"/>
        <v xml:space="preserve">
	//掴み位置
	ELSIF uiInfoIdx = 2 THEN
		IF strInfoKey = 'name' THEN
			strRt	:= '掴み位置';
		ELSIF strInfoKey = 'index_name' THEN</v>
      </c>
      <c r="AF79" t="str">
        <f ca="1"/>
        <v xml:space="preserve">
	//掴み位置
	ELSIF uiInfoIdx = 2 THEN
		IF strInfoKey = 'name' THEN
			strRt	:= '掴み位置';
		ELSIF strInfoKey = 'index_name' THEN
			strRt	:= '【182】 掴み位置';</v>
      </c>
      <c r="AG79" t="str">
        <f ca="1"/>
        <v xml:space="preserve">
	//掴み位置
	ELSIF uiInfoIdx = 2 THEN
		IF strInfoKey = 'name' THEN
			strRt	:= '掴み位置';
		ELSIF strInfoKey = 'index_name' THEN
			strRt	:= '【182】 掴み位置';
		ELSIF strInfoKey = 'model' THEN</v>
      </c>
      <c r="AH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</v>
      </c>
      <c r="AI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</v>
      </c>
      <c r="AJ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</v>
      </c>
      <c r="AK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L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M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3</v>
      </c>
      <c r="I80" t="str">
        <v/>
      </c>
      <c r="J80">
        <v>88</v>
      </c>
      <c r="K80" t="str">
        <f ca="1"/>
        <v>巻き開始補助位置</v>
      </c>
      <c r="L80" t="str">
        <f ca="1"/>
        <v>巻き開始補助位置</v>
      </c>
      <c r="N80" t="str">
        <f ca="1"/>
        <v>【183】 巻き開始補助位置</v>
      </c>
      <c r="O80" t="str">
        <v/>
      </c>
      <c r="P80" t="str">
        <v>unknown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//巻き開始補助位置
	ELSIF uiInfoIdx = 3 THEN</v>
      </c>
      <c r="AC80" t="str">
        <f ca="1"/>
        <v xml:space="preserve">
	//巻き開始補助位置
	ELSIF uiInfoIdx = 3 THEN
		IF strInfoKey = 'name' THEN</v>
      </c>
      <c r="AD80" t="str">
        <f ca="1"/>
        <v xml:space="preserve">
	//巻き開始補助位置
	ELSIF uiInfoIdx = 3 THEN
		IF strInfoKey = 'name' THEN
			strRt	:= '巻き開始補助位置';</v>
      </c>
      <c r="AE80" t="str">
        <f ca="1"/>
        <v xml:space="preserve">
	//巻き開始補助位置
	ELSIF uiInfoIdx = 3 THEN
		IF strInfoKey = 'name' THEN
			strRt	:= '巻き開始補助位置';
		ELSIF strInfoKey = 'index_name' THEN</v>
      </c>
      <c r="AF80" t="str">
        <f ca="1"/>
        <v xml:space="preserve">
	//巻き開始補助位置
	ELSIF uiInfoIdx = 3 THEN
		IF strInfoKey = 'name' THEN
			strRt	:= '巻き開始補助位置';
		ELSIF strInfoKey = 'index_name' THEN
			strRt	:= '【183】 巻き開始補助位置';</v>
      </c>
      <c r="AG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</v>
      </c>
      <c r="AH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</v>
      </c>
      <c r="AI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</v>
      </c>
      <c r="AJ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</v>
      </c>
      <c r="AK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L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M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4</v>
      </c>
      <c r="I81" t="str">
        <v/>
      </c>
      <c r="J81">
        <v>89</v>
      </c>
      <c r="K81" t="str">
        <f ca="1"/>
        <v>(予約)</v>
      </c>
      <c r="L81" t="str">
        <f ca="1"/>
        <v>(予約)</v>
      </c>
      <c r="N81" t="str">
        <f ca="1"/>
        <v>【184】 (予約)</v>
      </c>
      <c r="O81" t="str">
        <v/>
      </c>
      <c r="P81" t="str">
        <v>unknown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//(予約)
	ELSIF uiInfoIdx = 4 THEN</v>
      </c>
      <c r="AC81" t="str">
        <f ca="1"/>
        <v xml:space="preserve">
	//(予約)
	ELSIF uiInfoIdx = 4 THEN
		IF strInfoKey = 'name' THEN</v>
      </c>
      <c r="AD81" t="str">
        <f ca="1"/>
        <v xml:space="preserve">
	//(予約)
	ELSIF uiInfoIdx = 4 THEN
		IF strInfoKey = 'name' THEN
			strRt	:= '(予約)';</v>
      </c>
      <c r="AE81" t="str">
        <f ca="1"/>
        <v xml:space="preserve">
	//(予約)
	ELSIF uiInfoIdx = 4 THEN
		IF strInfoKey = 'name' THEN
			strRt	:= '(予約)';
		ELSIF strInfoKey = 'index_name' THEN</v>
      </c>
      <c r="AF81" t="str">
        <f ca="1"/>
        <v xml:space="preserve">
	//(予約)
	ELSIF uiInfoIdx = 4 THEN
		IF strInfoKey = 'name' THEN
			strRt	:= '(予約)';
		ELSIF strInfoKey = 'index_name' THEN
			strRt	:= '【184】 (予約)';</v>
      </c>
      <c r="AG81" t="str">
        <f ca="1"/>
        <v xml:space="preserve">
	//(予約)
	ELSIF uiInfoIdx = 4 THEN
		IF strInfoKey = 'name' THEN
			strRt	:= '(予約)';
		ELSIF strInfoKey = 'index_name' THEN
			strRt	:= '【184】 (予約)';
		ELSIF strInfoKey = 'model' THEN</v>
      </c>
      <c r="AH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</v>
      </c>
      <c r="AI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</v>
      </c>
      <c r="AJ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</v>
      </c>
      <c r="AK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L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M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5</v>
      </c>
      <c r="I82" t="str">
        <v/>
      </c>
      <c r="J82">
        <v>90</v>
      </c>
      <c r="K82" t="str">
        <f ca="1"/>
        <v>(予約)</v>
      </c>
      <c r="L82" t="str">
        <f ca="1"/>
        <v>(予約)</v>
      </c>
      <c r="N82" t="str">
        <f ca="1"/>
        <v>【185】 (予約)</v>
      </c>
      <c r="O82" t="str">
        <v/>
      </c>
      <c r="P82" t="str">
        <v>unknown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//(予約)
	ELSIF uiInfoIdx = 5 THEN</v>
      </c>
      <c r="AC82" t="str">
        <f ca="1"/>
        <v xml:space="preserve">
	//(予約)
	ELSIF uiInfoIdx = 5 THEN
		IF strInfoKey = 'name' THEN</v>
      </c>
      <c r="AD82" t="str">
        <f ca="1"/>
        <v xml:space="preserve">
	//(予約)
	ELSIF uiInfoIdx = 5 THEN
		IF strInfoKey = 'name' THEN
			strRt	:= '(予約)';</v>
      </c>
      <c r="AE82" t="str">
        <f ca="1"/>
        <v xml:space="preserve">
	//(予約)
	ELSIF uiInfoIdx = 5 THEN
		IF strInfoKey = 'name' THEN
			strRt	:= '(予約)';
		ELSIF strInfoKey = 'index_name' THEN</v>
      </c>
      <c r="AF82" t="str">
        <f ca="1"/>
        <v xml:space="preserve">
	//(予約)
	ELSIF uiInfoIdx = 5 THEN
		IF strInfoKey = 'name' THEN
			strRt	:= '(予約)';
		ELSIF strInfoKey = 'index_name' THEN
			strRt	:= '【185】 (予約)';</v>
      </c>
      <c r="AG82" t="str">
        <f ca="1"/>
        <v xml:space="preserve">
	//(予約)
	ELSIF uiInfoIdx = 5 THEN
		IF strInfoKey = 'name' THEN
			strRt	:= '(予約)';
		ELSIF strInfoKey = 'index_name' THEN
			strRt	:= '【185】 (予約)';
		ELSIF strInfoKey = 'model' THEN</v>
      </c>
      <c r="AH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</v>
      </c>
      <c r="AI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</v>
      </c>
      <c r="AJ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</v>
      </c>
      <c r="AK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L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M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6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7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8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9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10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11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12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13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14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15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16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17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18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19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20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21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22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23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24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25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26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27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28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29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30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31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32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33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34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35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36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37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38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39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40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41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42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43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44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45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46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47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48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49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50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51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52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53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54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ref="G132:G195" si="14">E132&amp;F132</f>
        <v>18</v>
      </c>
      <c r="H132">
        <f>COUNTIF(G$3:G132,G132)</f>
        <v>55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15">F132</f>
        <v>18</v>
      </c>
      <c r="G133" t="str">
        <f t="shared" si="14"/>
        <v>18</v>
      </c>
      <c r="H133">
        <f>COUNTIF(G$3:G133,G133)</f>
        <v>56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5"/>
        <v>18</v>
      </c>
      <c r="G134" t="str">
        <f t="shared" si="14"/>
        <v>18</v>
      </c>
      <c r="H134">
        <f>COUNTIF(G$3:G134,G134)</f>
        <v>57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58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59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60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61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62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63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64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65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66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67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68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69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70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71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72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73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74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75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76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77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78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79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80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81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82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83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84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85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86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87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88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89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90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91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92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93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94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95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96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97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98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99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100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101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102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103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104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105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106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107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108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109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110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111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112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113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114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115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116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117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118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ref="G196:G202" si="16">E196&amp;F196</f>
        <v>18</v>
      </c>
      <c r="H196">
        <f>COUNTIF(G$3:G196,G196)</f>
        <v>119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7">F196</f>
        <v>18</v>
      </c>
      <c r="G197" t="str">
        <f t="shared" si="16"/>
        <v>18</v>
      </c>
      <c r="H197">
        <f>COUNTIF(G$3:G197,G197)</f>
        <v>120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7"/>
        <v>18</v>
      </c>
      <c r="G198" t="str">
        <f t="shared" si="16"/>
        <v>18</v>
      </c>
      <c r="H198">
        <f>COUNTIF(G$3:G198,G198)</f>
        <v>121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122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123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124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125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C:\tk\prj\hg-0025-0016\git\unit01\kv-x520\doc\[kv_script_Pos_info.xlsx]info_index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2026-06-02T04:13:26Z</dcterms:modified>
</cp:coreProperties>
</file>