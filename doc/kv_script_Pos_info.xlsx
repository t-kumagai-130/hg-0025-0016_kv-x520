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61B9F7DC-831E-4F0B-B22F-B56BA10F8E61}" xr6:coauthVersionLast="47" xr6:coauthVersionMax="47" xr10:uidLastSave="{00000000-0000-0000-0000-000000000000}"/>
  <bookViews>
    <workbookView xWindow="-110" yWindow="-110" windowWidth="38620" windowHeight="21100" activeTab="1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8" i="3" l="1"/>
  <c r="G68" i="3" s="1"/>
  <c r="E7" i="1"/>
  <c r="E8" i="1" s="1"/>
  <c r="E9" i="1" s="1"/>
  <c r="E10" i="1" s="1"/>
  <c r="E11" i="1" s="1"/>
  <c r="E3" i="1"/>
  <c r="E4" i="1" s="1"/>
  <c r="E5" i="1" s="1"/>
  <c r="E6" i="1" s="1"/>
  <c r="D2" i="1"/>
  <c r="C7" i="1"/>
  <c r="C12" i="1" s="1"/>
  <c r="C17" i="1" s="1"/>
  <c r="D17" i="1" s="1"/>
  <c r="C3" i="1"/>
  <c r="C4" i="1" s="1"/>
  <c r="C5" i="1" s="1"/>
  <c r="C6" i="1" s="1"/>
  <c r="D6" i="1" s="1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F13" i="3"/>
  <c r="F18" i="3" s="1"/>
  <c r="F8" i="3"/>
  <c r="F9" i="3" s="1"/>
  <c r="F10" i="3" s="1"/>
  <c r="F11" i="3" s="1"/>
  <c r="F12" i="3" s="1"/>
  <c r="F5" i="3"/>
  <c r="F6" i="3" s="1"/>
  <c r="F7" i="3" s="1"/>
  <c r="F4" i="3"/>
  <c r="AC1" i="3"/>
  <c r="AE1" i="3" s="1"/>
  <c r="AG1" i="3" s="1"/>
  <c r="AI1" i="3" s="1"/>
  <c r="AK1" i="3" s="1"/>
  <c r="B14" i="3" s="1"/>
  <c r="D12" i="1" l="1"/>
  <c r="E12" i="1"/>
  <c r="E13" i="1" s="1"/>
  <c r="E14" i="1" s="1"/>
  <c r="E15" i="1" s="1"/>
  <c r="E16" i="1" s="1"/>
  <c r="E17" i="1"/>
  <c r="D4" i="1"/>
  <c r="D3" i="1"/>
  <c r="D5" i="1"/>
  <c r="D7" i="1"/>
  <c r="C8" i="1"/>
  <c r="C18" i="1"/>
  <c r="C22" i="1"/>
  <c r="D22" i="1" s="1"/>
  <c r="C13" i="1"/>
  <c r="F23" i="3"/>
  <c r="F19" i="3"/>
  <c r="F20" i="3" s="1"/>
  <c r="F21" i="3" s="1"/>
  <c r="F22" i="3" s="1"/>
  <c r="F14" i="3"/>
  <c r="F15" i="3" s="1"/>
  <c r="F16" i="3" s="1"/>
  <c r="F17" i="3" s="1"/>
  <c r="B3" i="3" a="1"/>
  <c r="B3" i="3" s="1"/>
  <c r="B5" i="3" s="1"/>
  <c r="H3" i="3"/>
  <c r="A102" i="1"/>
  <c r="F100" i="1"/>
  <c r="A100" i="1"/>
  <c r="E22" i="1" l="1"/>
  <c r="E18" i="1"/>
  <c r="E19" i="1" s="1"/>
  <c r="E20" i="1" s="1"/>
  <c r="E21" i="1" s="1"/>
  <c r="C19" i="1"/>
  <c r="D18" i="1"/>
  <c r="C9" i="1"/>
  <c r="D8" i="1"/>
  <c r="C14" i="1"/>
  <c r="D13" i="1"/>
  <c r="C27" i="1"/>
  <c r="D27" i="1" s="1"/>
  <c r="C23" i="1"/>
  <c r="F24" i="3"/>
  <c r="F25" i="3" s="1"/>
  <c r="F26" i="3" s="1"/>
  <c r="F27" i="3" s="1"/>
  <c r="F28" i="3"/>
  <c r="H4" i="3"/>
  <c r="H5" i="3"/>
  <c r="E23" i="1" l="1"/>
  <c r="E24" i="1" s="1"/>
  <c r="E25" i="1" s="1"/>
  <c r="E26" i="1" s="1"/>
  <c r="E27" i="1"/>
  <c r="C15" i="1"/>
  <c r="D14" i="1"/>
  <c r="C10" i="1"/>
  <c r="D9" i="1"/>
  <c r="C24" i="1"/>
  <c r="D23" i="1"/>
  <c r="C20" i="1"/>
  <c r="D19" i="1"/>
  <c r="C32" i="1"/>
  <c r="D32" i="1" s="1"/>
  <c r="C28" i="1"/>
  <c r="F33" i="3"/>
  <c r="F29" i="3"/>
  <c r="F30" i="3" s="1"/>
  <c r="F31" i="3" s="1"/>
  <c r="F32" i="3" s="1"/>
  <c r="H6" i="3"/>
  <c r="E28" i="1" l="1"/>
  <c r="E29" i="1" s="1"/>
  <c r="E30" i="1" s="1"/>
  <c r="E31" i="1" s="1"/>
  <c r="E32" i="1"/>
  <c r="C29" i="1"/>
  <c r="D28" i="1"/>
  <c r="C11" i="1"/>
  <c r="D11" i="1" s="1"/>
  <c r="D10" i="1"/>
  <c r="C21" i="1"/>
  <c r="D21" i="1" s="1"/>
  <c r="D20" i="1"/>
  <c r="C25" i="1"/>
  <c r="D24" i="1"/>
  <c r="C16" i="1"/>
  <c r="D16" i="1" s="1"/>
  <c r="D15" i="1"/>
  <c r="C33" i="1"/>
  <c r="C37" i="1"/>
  <c r="D37" i="1" s="1"/>
  <c r="F34" i="3"/>
  <c r="F35" i="3" s="1"/>
  <c r="F36" i="3" s="1"/>
  <c r="F37" i="3" s="1"/>
  <c r="F38" i="3"/>
  <c r="H7" i="3"/>
  <c r="E37" i="1" l="1"/>
  <c r="E33" i="1"/>
  <c r="E34" i="1" s="1"/>
  <c r="E35" i="1" s="1"/>
  <c r="E36" i="1" s="1"/>
  <c r="C34" i="1"/>
  <c r="D33" i="1"/>
  <c r="C26" i="1"/>
  <c r="D26" i="1" s="1"/>
  <c r="D25" i="1"/>
  <c r="C30" i="1"/>
  <c r="D29" i="1"/>
  <c r="C42" i="1"/>
  <c r="C38" i="1"/>
  <c r="F39" i="3"/>
  <c r="F40" i="3" s="1"/>
  <c r="F41" i="3" s="1"/>
  <c r="F42" i="3" s="1"/>
  <c r="F43" i="3"/>
  <c r="H8" i="3"/>
  <c r="E38" i="1" l="1"/>
  <c r="E39" i="1" s="1"/>
  <c r="E40" i="1" s="1"/>
  <c r="E41" i="1" s="1"/>
  <c r="E42" i="1"/>
  <c r="C39" i="1"/>
  <c r="D38" i="1"/>
  <c r="C47" i="1"/>
  <c r="D42" i="1"/>
  <c r="C31" i="1"/>
  <c r="D31" i="1" s="1"/>
  <c r="D30" i="1"/>
  <c r="C35" i="1"/>
  <c r="D34" i="1"/>
  <c r="C43" i="1"/>
  <c r="F48" i="3"/>
  <c r="F44" i="3"/>
  <c r="F45" i="3" s="1"/>
  <c r="F46" i="3" s="1"/>
  <c r="F47" i="3" s="1"/>
  <c r="H9" i="3"/>
  <c r="E47" i="1" l="1"/>
  <c r="E43" i="1"/>
  <c r="E44" i="1" s="1"/>
  <c r="E45" i="1" s="1"/>
  <c r="E46" i="1" s="1"/>
  <c r="C36" i="1"/>
  <c r="D36" i="1" s="1"/>
  <c r="D35" i="1"/>
  <c r="C48" i="1"/>
  <c r="D47" i="1"/>
  <c r="C52" i="1"/>
  <c r="C44" i="1"/>
  <c r="D43" i="1"/>
  <c r="C40" i="1"/>
  <c r="D39" i="1"/>
  <c r="F49" i="3"/>
  <c r="F50" i="3" s="1"/>
  <c r="F51" i="3" s="1"/>
  <c r="F52" i="3" s="1"/>
  <c r="F53" i="3"/>
  <c r="H10" i="3"/>
  <c r="E52" i="1" l="1"/>
  <c r="E48" i="1"/>
  <c r="E49" i="1" s="1"/>
  <c r="E50" i="1" s="1"/>
  <c r="E51" i="1" s="1"/>
  <c r="C49" i="1"/>
  <c r="D48" i="1"/>
  <c r="C53" i="1"/>
  <c r="C57" i="1"/>
  <c r="D52" i="1"/>
  <c r="C41" i="1"/>
  <c r="D41" i="1" s="1"/>
  <c r="D40" i="1"/>
  <c r="C45" i="1"/>
  <c r="D44" i="1"/>
  <c r="F58" i="3"/>
  <c r="F54" i="3"/>
  <c r="F55" i="3" s="1"/>
  <c r="F56" i="3" s="1"/>
  <c r="F57" i="3" s="1"/>
  <c r="H11" i="3"/>
  <c r="E53" i="1" l="1"/>
  <c r="E54" i="1" s="1"/>
  <c r="E55" i="1" s="1"/>
  <c r="E56" i="1" s="1"/>
  <c r="E57" i="1"/>
  <c r="C46" i="1"/>
  <c r="D46" i="1" s="1"/>
  <c r="D45" i="1"/>
  <c r="C58" i="1"/>
  <c r="D57" i="1"/>
  <c r="C62" i="1"/>
  <c r="C54" i="1"/>
  <c r="D53" i="1"/>
  <c r="C50" i="1"/>
  <c r="D49" i="1"/>
  <c r="F63" i="3"/>
  <c r="F64" i="3" s="1"/>
  <c r="F65" i="3" s="1"/>
  <c r="F66" i="3" s="1"/>
  <c r="F67" i="3" s="1"/>
  <c r="F69" i="3" s="1"/>
  <c r="F59" i="3"/>
  <c r="F60" i="3" s="1"/>
  <c r="F61" i="3" s="1"/>
  <c r="F62" i="3" s="1"/>
  <c r="H12" i="3"/>
  <c r="F70" i="3" l="1"/>
  <c r="G69" i="3"/>
  <c r="E62" i="1"/>
  <c r="E58" i="1"/>
  <c r="E59" i="1" s="1"/>
  <c r="E60" i="1" s="1"/>
  <c r="E61" i="1" s="1"/>
  <c r="C59" i="1"/>
  <c r="D58" i="1"/>
  <c r="C51" i="1"/>
  <c r="D51" i="1" s="1"/>
  <c r="D50" i="1"/>
  <c r="C55" i="1"/>
  <c r="D54" i="1"/>
  <c r="C63" i="1"/>
  <c r="D62" i="1"/>
  <c r="C67" i="1"/>
  <c r="H13" i="3"/>
  <c r="F71" i="3" l="1"/>
  <c r="G70" i="3"/>
  <c r="E67" i="1"/>
  <c r="E63" i="1"/>
  <c r="E64" i="1" s="1"/>
  <c r="E65" i="1" s="1"/>
  <c r="E66" i="1" s="1"/>
  <c r="C64" i="1"/>
  <c r="D63" i="1"/>
  <c r="C56" i="1"/>
  <c r="D56" i="1" s="1"/>
  <c r="D55" i="1"/>
  <c r="D67" i="1"/>
  <c r="C72" i="1"/>
  <c r="C68" i="1"/>
  <c r="C60" i="1"/>
  <c r="D59" i="1"/>
  <c r="H14" i="3"/>
  <c r="F72" i="3" l="1"/>
  <c r="G71" i="3"/>
  <c r="E68" i="1"/>
  <c r="E69" i="1" s="1"/>
  <c r="E70" i="1" s="1"/>
  <c r="E71" i="1" s="1"/>
  <c r="E72" i="1"/>
  <c r="C61" i="1"/>
  <c r="D61" i="1" s="1"/>
  <c r="D60" i="1"/>
  <c r="C69" i="1"/>
  <c r="D68" i="1"/>
  <c r="D72" i="1"/>
  <c r="C73" i="1"/>
  <c r="C77" i="1"/>
  <c r="C65" i="1"/>
  <c r="D64" i="1"/>
  <c r="H15" i="3"/>
  <c r="G72" i="3" l="1"/>
  <c r="E77" i="1"/>
  <c r="E73" i="1"/>
  <c r="E74" i="1" s="1"/>
  <c r="E75" i="1" s="1"/>
  <c r="E76" i="1" s="1"/>
  <c r="C66" i="1"/>
  <c r="D66" i="1" s="1"/>
  <c r="D65" i="1"/>
  <c r="C74" i="1"/>
  <c r="D73" i="1"/>
  <c r="C70" i="1"/>
  <c r="D69" i="1"/>
  <c r="D77" i="1"/>
  <c r="C82" i="1"/>
  <c r="C78" i="1"/>
  <c r="H16" i="3"/>
  <c r="F74" i="3" l="1"/>
  <c r="G73" i="3"/>
  <c r="E78" i="1"/>
  <c r="E79" i="1" s="1"/>
  <c r="E80" i="1" s="1"/>
  <c r="E81" i="1" s="1"/>
  <c r="E82" i="1"/>
  <c r="D82" i="1"/>
  <c r="C87" i="1"/>
  <c r="C83" i="1"/>
  <c r="C71" i="1"/>
  <c r="D71" i="1" s="1"/>
  <c r="D70" i="1"/>
  <c r="C75" i="1"/>
  <c r="D74" i="1"/>
  <c r="C79" i="1"/>
  <c r="D78" i="1"/>
  <c r="H17" i="3"/>
  <c r="F75" i="3" l="1"/>
  <c r="G74" i="3"/>
  <c r="E87" i="1"/>
  <c r="E83" i="1"/>
  <c r="E84" i="1" s="1"/>
  <c r="E85" i="1" s="1"/>
  <c r="E86" i="1" s="1"/>
  <c r="C76" i="1"/>
  <c r="D76" i="1" s="1"/>
  <c r="D75" i="1"/>
  <c r="C80" i="1"/>
  <c r="D79" i="1"/>
  <c r="C84" i="1"/>
  <c r="D83" i="1"/>
  <c r="D87" i="1"/>
  <c r="C88" i="1"/>
  <c r="C92" i="1"/>
  <c r="H18" i="3"/>
  <c r="F76" i="3" l="1"/>
  <c r="G75" i="3"/>
  <c r="E92" i="1"/>
  <c r="E93" i="1" s="1"/>
  <c r="E94" i="1" s="1"/>
  <c r="E95" i="1" s="1"/>
  <c r="E96" i="1" s="1"/>
  <c r="E88" i="1"/>
  <c r="E89" i="1" s="1"/>
  <c r="E90" i="1" s="1"/>
  <c r="E91" i="1" s="1"/>
  <c r="C89" i="1"/>
  <c r="D88" i="1"/>
  <c r="C85" i="1"/>
  <c r="D84" i="1"/>
  <c r="C81" i="1"/>
  <c r="D81" i="1" s="1"/>
  <c r="D80" i="1"/>
  <c r="C93" i="1"/>
  <c r="D92" i="1"/>
  <c r="H19" i="3"/>
  <c r="F77" i="3" l="1"/>
  <c r="G76" i="3"/>
  <c r="C94" i="1"/>
  <c r="D93" i="1"/>
  <c r="C86" i="1"/>
  <c r="D86" i="1" s="1"/>
  <c r="D85" i="1"/>
  <c r="C90" i="1"/>
  <c r="D89" i="1"/>
  <c r="H20" i="3"/>
  <c r="G77" i="3" l="1"/>
  <c r="C91" i="1"/>
  <c r="D91" i="1" s="1"/>
  <c r="D90" i="1"/>
  <c r="C95" i="1"/>
  <c r="D94" i="1"/>
  <c r="H21" i="3"/>
  <c r="F79" i="3" l="1"/>
  <c r="G78" i="3"/>
  <c r="C96" i="1"/>
  <c r="D95" i="1"/>
  <c r="H22" i="3"/>
  <c r="F80" i="3" l="1"/>
  <c r="G79" i="3"/>
  <c r="D96" i="1"/>
  <c r="H23" i="3"/>
  <c r="F81" i="3" l="1"/>
  <c r="F82" i="3" s="1"/>
  <c r="G80" i="3"/>
  <c r="E102" i="1"/>
  <c r="D102" i="1"/>
  <c r="D104" i="1"/>
  <c r="E104" i="1"/>
  <c r="H24" i="3"/>
  <c r="G81" i="3" l="1"/>
  <c r="H25" i="3"/>
  <c r="F83" i="3" l="1"/>
  <c r="G82" i="3"/>
  <c r="H26" i="3"/>
  <c r="F84" i="3" l="1"/>
  <c r="G83" i="3"/>
  <c r="H27" i="3"/>
  <c r="F85" i="3" l="1"/>
  <c r="G84" i="3"/>
  <c r="H28" i="3"/>
  <c r="F86" i="3" l="1"/>
  <c r="G85" i="3"/>
  <c r="H29" i="3"/>
  <c r="F87" i="3" l="1"/>
  <c r="G86" i="3"/>
  <c r="H30" i="3"/>
  <c r="F88" i="3" l="1"/>
  <c r="G87" i="3"/>
  <c r="H31" i="3"/>
  <c r="F89" i="3" l="1"/>
  <c r="G88" i="3"/>
  <c r="H32" i="3"/>
  <c r="F90" i="3" l="1"/>
  <c r="G89" i="3"/>
  <c r="H33" i="3"/>
  <c r="F91" i="3" l="1"/>
  <c r="G90" i="3"/>
  <c r="H34" i="3"/>
  <c r="F92" i="3" l="1"/>
  <c r="G91" i="3"/>
  <c r="H35" i="3"/>
  <c r="F93" i="3" l="1"/>
  <c r="G92" i="3"/>
  <c r="H36" i="3"/>
  <c r="F94" i="3" l="1"/>
  <c r="G93" i="3"/>
  <c r="H37" i="3"/>
  <c r="F95" i="3" l="1"/>
  <c r="G94" i="3"/>
  <c r="H38" i="3"/>
  <c r="F96" i="3" l="1"/>
  <c r="G95" i="3"/>
  <c r="H39" i="3"/>
  <c r="F97" i="3" l="1"/>
  <c r="G96" i="3"/>
  <c r="H40" i="3"/>
  <c r="F98" i="3" l="1"/>
  <c r="G97" i="3"/>
  <c r="H41" i="3"/>
  <c r="F99" i="3" l="1"/>
  <c r="G98" i="3"/>
  <c r="H98" i="3" s="1"/>
  <c r="H92" i="3"/>
  <c r="H94" i="3"/>
  <c r="H96" i="3"/>
  <c r="H42" i="3"/>
  <c r="H44" i="3"/>
  <c r="H45" i="3"/>
  <c r="H43" i="3"/>
  <c r="H46" i="3"/>
  <c r="H47" i="3"/>
  <c r="H48" i="3"/>
  <c r="H49" i="3"/>
  <c r="H50" i="3"/>
  <c r="H52" i="3"/>
  <c r="H54" i="3"/>
  <c r="H51" i="3"/>
  <c r="H53" i="3"/>
  <c r="H72" i="3"/>
  <c r="H77" i="3"/>
  <c r="H75" i="3"/>
  <c r="H56" i="3"/>
  <c r="H55" i="3"/>
  <c r="H76" i="3"/>
  <c r="H80" i="3"/>
  <c r="H57" i="3"/>
  <c r="H58" i="3"/>
  <c r="H78" i="3"/>
  <c r="H81" i="3"/>
  <c r="H61" i="3"/>
  <c r="H59" i="3"/>
  <c r="H60" i="3"/>
  <c r="H71" i="3"/>
  <c r="H79" i="3"/>
  <c r="H63" i="3"/>
  <c r="H66" i="3"/>
  <c r="H67" i="3"/>
  <c r="H73" i="3"/>
  <c r="H65" i="3"/>
  <c r="H68" i="3"/>
  <c r="H70" i="3"/>
  <c r="H74" i="3"/>
  <c r="H82" i="3"/>
  <c r="H69" i="3"/>
  <c r="H64" i="3"/>
  <c r="H62" i="3"/>
  <c r="H86" i="3"/>
  <c r="H83" i="3"/>
  <c r="H84" i="3"/>
  <c r="H85" i="3"/>
  <c r="H87" i="3"/>
  <c r="H88" i="3"/>
  <c r="H89" i="3"/>
  <c r="H90" i="3"/>
  <c r="H95" i="3"/>
  <c r="H91" i="3"/>
  <c r="H93" i="3"/>
  <c r="H97" i="3"/>
  <c r="F100" i="3" l="1"/>
  <c r="G99" i="3"/>
  <c r="H99" i="3" s="1"/>
  <c r="F101" i="3" l="1"/>
  <c r="G100" i="3"/>
  <c r="H100" i="3" s="1"/>
  <c r="F102" i="3" l="1"/>
  <c r="G101" i="3"/>
  <c r="H101" i="3" s="1"/>
  <c r="F103" i="3" l="1"/>
  <c r="G102" i="3"/>
  <c r="H102" i="3" s="1"/>
  <c r="F104" i="3" l="1"/>
  <c r="G103" i="3"/>
  <c r="H103" i="3" s="1"/>
  <c r="F105" i="3" l="1"/>
  <c r="G104" i="3"/>
  <c r="H104" i="3" s="1"/>
  <c r="F106" i="3" l="1"/>
  <c r="G105" i="3"/>
  <c r="H105" i="3" s="1"/>
  <c r="F107" i="3" l="1"/>
  <c r="G106" i="3"/>
  <c r="H106" i="3" s="1"/>
  <c r="F108" i="3" l="1"/>
  <c r="G107" i="3"/>
  <c r="H107" i="3" s="1"/>
  <c r="F109" i="3" l="1"/>
  <c r="G108" i="3"/>
  <c r="H108" i="3" s="1"/>
  <c r="F110" i="3" l="1"/>
  <c r="G109" i="3"/>
  <c r="H109" i="3" s="1"/>
  <c r="F111" i="3" l="1"/>
  <c r="G110" i="3"/>
  <c r="H110" i="3" s="1"/>
  <c r="F112" i="3" l="1"/>
  <c r="G111" i="3"/>
  <c r="H111" i="3" s="1"/>
  <c r="F113" i="3" l="1"/>
  <c r="G112" i="3"/>
  <c r="H112" i="3" s="1"/>
  <c r="F114" i="3" l="1"/>
  <c r="G113" i="3"/>
  <c r="H113" i="3" s="1"/>
  <c r="F115" i="3" l="1"/>
  <c r="G114" i="3"/>
  <c r="H114" i="3" s="1"/>
  <c r="F116" i="3" l="1"/>
  <c r="G115" i="3"/>
  <c r="H115" i="3" s="1"/>
  <c r="F117" i="3" l="1"/>
  <c r="G116" i="3"/>
  <c r="H116" i="3" s="1"/>
  <c r="F118" i="3" l="1"/>
  <c r="G117" i="3"/>
  <c r="H117" i="3" s="1"/>
  <c r="F119" i="3" l="1"/>
  <c r="G118" i="3"/>
  <c r="H118" i="3" s="1"/>
  <c r="F120" i="3" l="1"/>
  <c r="G119" i="3"/>
  <c r="H119" i="3" s="1"/>
  <c r="F121" i="3" l="1"/>
  <c r="G120" i="3"/>
  <c r="H120" i="3" s="1"/>
  <c r="F122" i="3" l="1"/>
  <c r="G121" i="3"/>
  <c r="H121" i="3" s="1"/>
  <c r="F123" i="3" l="1"/>
  <c r="G122" i="3"/>
  <c r="H122" i="3" s="1"/>
  <c r="F124" i="3" l="1"/>
  <c r="G123" i="3"/>
  <c r="H123" i="3" s="1"/>
  <c r="F125" i="3" l="1"/>
  <c r="G124" i="3"/>
  <c r="H124" i="3" s="1"/>
  <c r="F126" i="3" l="1"/>
  <c r="G125" i="3"/>
  <c r="H125" i="3" s="1"/>
  <c r="F127" i="3" l="1"/>
  <c r="G126" i="3"/>
  <c r="H126" i="3" s="1"/>
  <c r="F128" i="3" l="1"/>
  <c r="G127" i="3"/>
  <c r="H127" i="3" s="1"/>
  <c r="F129" i="3" l="1"/>
  <c r="G128" i="3"/>
  <c r="H128" i="3" s="1"/>
  <c r="F130" i="3" l="1"/>
  <c r="G129" i="3"/>
  <c r="H129" i="3" s="1"/>
  <c r="F131" i="3" l="1"/>
  <c r="G130" i="3"/>
  <c r="H130" i="3" s="1"/>
  <c r="F132" i="3" l="1"/>
  <c r="G131" i="3"/>
  <c r="H131" i="3" s="1"/>
  <c r="F133" i="3" l="1"/>
  <c r="G132" i="3"/>
  <c r="H132" i="3" s="1"/>
  <c r="F134" i="3" l="1"/>
  <c r="G133" i="3"/>
  <c r="H133" i="3" s="1"/>
  <c r="F135" i="3" l="1"/>
  <c r="G134" i="3"/>
  <c r="H134" i="3" s="1"/>
  <c r="F136" i="3" l="1"/>
  <c r="G135" i="3"/>
  <c r="H135" i="3" s="1"/>
  <c r="F137" i="3" l="1"/>
  <c r="G136" i="3"/>
  <c r="H136" i="3" s="1"/>
  <c r="F138" i="3" l="1"/>
  <c r="G137" i="3"/>
  <c r="H137" i="3" s="1"/>
  <c r="F139" i="3" l="1"/>
  <c r="G138" i="3"/>
  <c r="H138" i="3" s="1"/>
  <c r="F140" i="3" l="1"/>
  <c r="G139" i="3"/>
  <c r="H139" i="3" s="1"/>
  <c r="F141" i="3" l="1"/>
  <c r="G140" i="3"/>
  <c r="H140" i="3" s="1"/>
  <c r="F142" i="3" l="1"/>
  <c r="G141" i="3"/>
  <c r="H141" i="3" s="1"/>
  <c r="F143" i="3" l="1"/>
  <c r="G142" i="3"/>
  <c r="H142" i="3" s="1"/>
  <c r="F144" i="3" l="1"/>
  <c r="G143" i="3"/>
  <c r="H143" i="3" s="1"/>
  <c r="F145" i="3" l="1"/>
  <c r="G144" i="3"/>
  <c r="H144" i="3" s="1"/>
  <c r="F146" i="3" l="1"/>
  <c r="G145" i="3"/>
  <c r="H145" i="3" s="1"/>
  <c r="F147" i="3" l="1"/>
  <c r="G146" i="3"/>
  <c r="H146" i="3" s="1"/>
  <c r="F148" i="3" l="1"/>
  <c r="G147" i="3"/>
  <c r="H147" i="3" s="1"/>
  <c r="F149" i="3" l="1"/>
  <c r="G148" i="3"/>
  <c r="H148" i="3" s="1"/>
  <c r="F150" i="3" l="1"/>
  <c r="G149" i="3"/>
  <c r="H149" i="3" s="1"/>
  <c r="F151" i="3" l="1"/>
  <c r="G150" i="3"/>
  <c r="H150" i="3" s="1"/>
  <c r="F152" i="3" l="1"/>
  <c r="G151" i="3"/>
  <c r="H151" i="3" s="1"/>
  <c r="F153" i="3" l="1"/>
  <c r="G152" i="3"/>
  <c r="H152" i="3" s="1"/>
  <c r="F154" i="3" l="1"/>
  <c r="G153" i="3"/>
  <c r="H153" i="3" s="1"/>
  <c r="F155" i="3" l="1"/>
  <c r="G154" i="3"/>
  <c r="H154" i="3" s="1"/>
  <c r="F156" i="3" l="1"/>
  <c r="G155" i="3"/>
  <c r="H155" i="3" s="1"/>
  <c r="F157" i="3" l="1"/>
  <c r="G156" i="3"/>
  <c r="H156" i="3" s="1"/>
  <c r="F158" i="3" l="1"/>
  <c r="G157" i="3"/>
  <c r="H157" i="3" s="1"/>
  <c r="F159" i="3" l="1"/>
  <c r="G158" i="3"/>
  <c r="H158" i="3" s="1"/>
  <c r="F160" i="3" l="1"/>
  <c r="G159" i="3"/>
  <c r="H159" i="3" s="1"/>
  <c r="F161" i="3" l="1"/>
  <c r="G160" i="3"/>
  <c r="H160" i="3" s="1"/>
  <c r="F162" i="3" l="1"/>
  <c r="G161" i="3"/>
  <c r="H161" i="3" s="1"/>
  <c r="F163" i="3" l="1"/>
  <c r="G162" i="3"/>
  <c r="H162" i="3" s="1"/>
  <c r="F164" i="3" l="1"/>
  <c r="G163" i="3"/>
  <c r="H163" i="3" s="1"/>
  <c r="F165" i="3" l="1"/>
  <c r="G164" i="3"/>
  <c r="H164" i="3" s="1"/>
  <c r="F166" i="3" l="1"/>
  <c r="G165" i="3"/>
  <c r="H165" i="3" s="1"/>
  <c r="F167" i="3" l="1"/>
  <c r="G166" i="3"/>
  <c r="H166" i="3" s="1"/>
  <c r="F168" i="3" l="1"/>
  <c r="G167" i="3"/>
  <c r="H167" i="3" s="1"/>
  <c r="F169" i="3" l="1"/>
  <c r="G168" i="3"/>
  <c r="H168" i="3" s="1"/>
  <c r="F170" i="3" l="1"/>
  <c r="G169" i="3"/>
  <c r="H169" i="3" s="1"/>
  <c r="F171" i="3" l="1"/>
  <c r="G170" i="3"/>
  <c r="H170" i="3" s="1"/>
  <c r="F172" i="3" l="1"/>
  <c r="G171" i="3"/>
  <c r="H171" i="3" s="1"/>
  <c r="F173" i="3" l="1"/>
  <c r="G172" i="3"/>
  <c r="H172" i="3" s="1"/>
  <c r="F174" i="3" l="1"/>
  <c r="G173" i="3"/>
  <c r="H173" i="3" s="1"/>
  <c r="F175" i="3" l="1"/>
  <c r="G174" i="3"/>
  <c r="H174" i="3" s="1"/>
  <c r="F176" i="3" l="1"/>
  <c r="G175" i="3"/>
  <c r="H175" i="3" s="1"/>
  <c r="F177" i="3" l="1"/>
  <c r="G176" i="3"/>
  <c r="H176" i="3" s="1"/>
  <c r="F178" i="3" l="1"/>
  <c r="G177" i="3"/>
  <c r="H177" i="3" s="1"/>
  <c r="F179" i="3" l="1"/>
  <c r="G178" i="3"/>
  <c r="H178" i="3" s="1"/>
  <c r="F180" i="3" l="1"/>
  <c r="G179" i="3"/>
  <c r="H179" i="3" s="1"/>
  <c r="F181" i="3" l="1"/>
  <c r="G180" i="3"/>
  <c r="H180" i="3" s="1"/>
  <c r="F182" i="3" l="1"/>
  <c r="G181" i="3"/>
  <c r="H181" i="3" s="1"/>
  <c r="F183" i="3" l="1"/>
  <c r="G182" i="3"/>
  <c r="H182" i="3" s="1"/>
  <c r="F184" i="3" l="1"/>
  <c r="G183" i="3"/>
  <c r="H183" i="3" s="1"/>
  <c r="F185" i="3" l="1"/>
  <c r="G184" i="3"/>
  <c r="H184" i="3" s="1"/>
  <c r="F186" i="3" l="1"/>
  <c r="G185" i="3"/>
  <c r="H185" i="3" s="1"/>
  <c r="F187" i="3" l="1"/>
  <c r="G186" i="3"/>
  <c r="H186" i="3" s="1"/>
  <c r="F188" i="3" l="1"/>
  <c r="G187" i="3"/>
  <c r="H187" i="3" s="1"/>
  <c r="F189" i="3" l="1"/>
  <c r="G188" i="3"/>
  <c r="H188" i="3" s="1"/>
  <c r="F190" i="3" l="1"/>
  <c r="G189" i="3"/>
  <c r="H189" i="3" s="1"/>
  <c r="F191" i="3" l="1"/>
  <c r="G190" i="3"/>
  <c r="H190" i="3" s="1"/>
  <c r="F192" i="3" l="1"/>
  <c r="G191" i="3"/>
  <c r="H191" i="3" s="1"/>
  <c r="F193" i="3" l="1"/>
  <c r="G192" i="3"/>
  <c r="H192" i="3" s="1"/>
  <c r="F194" i="3" l="1"/>
  <c r="G193" i="3"/>
  <c r="H193" i="3" s="1"/>
  <c r="F195" i="3" l="1"/>
  <c r="G194" i="3"/>
  <c r="H194" i="3" s="1"/>
  <c r="F196" i="3" l="1"/>
  <c r="G195" i="3"/>
  <c r="H195" i="3" s="1"/>
  <c r="F197" i="3" l="1"/>
  <c r="G196" i="3"/>
  <c r="H196" i="3" s="1"/>
  <c r="F198" i="3" l="1"/>
  <c r="G197" i="3"/>
  <c r="H197" i="3" s="1"/>
  <c r="F199" i="3" l="1"/>
  <c r="G198" i="3"/>
  <c r="H198" i="3" s="1"/>
  <c r="F200" i="3" l="1"/>
  <c r="G199" i="3"/>
  <c r="H199" i="3" s="1"/>
  <c r="F201" i="3" l="1"/>
  <c r="G200" i="3"/>
  <c r="H200" i="3" s="1"/>
  <c r="F202" i="3" l="1"/>
  <c r="G202" i="3" s="1"/>
  <c r="H202" i="3" s="1"/>
  <c r="G201" i="3"/>
  <c r="H201" i="3" l="1"/>
  <c r="I4" i="3" s="1" a="1"/>
  <c r="I4" i="3" s="1"/>
  <c r="J3" i="3" l="1" a="1"/>
  <c r="O3" i="3" a="1"/>
  <c r="O3" i="3" s="1"/>
  <c r="K3" i="3" l="1" a="1"/>
  <c r="K3" i="3" s="1"/>
  <c r="J3" i="3"/>
  <c r="Q3" i="3" s="1" a="1"/>
  <c r="Q3" i="3" s="1"/>
  <c r="R3" i="3" s="1" a="1"/>
  <c r="R3" i="3" s="1"/>
  <c r="P3" i="3" l="1" a="1"/>
  <c r="P3" i="3" s="1"/>
  <c r="L3" i="3" a="1"/>
  <c r="L3" i="3" l="1"/>
  <c r="Z3" i="3" s="1" a="1"/>
  <c r="N3" i="3" l="1" a="1"/>
  <c r="N3" i="3" s="1"/>
  <c r="Z3" i="3"/>
  <c r="AA3" i="3" s="1" a="1"/>
  <c r="AA3" i="3" l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l="1"/>
  <c r="AL3" i="3" s="1" a="1"/>
  <c r="AL3" i="3" l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<sst xmlns="http://schemas.openxmlformats.org/spreadsheetml/2006/main" count="253" uniqueCount="116">
  <si>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</si>
  <si>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</si>
  <si>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</si>
  <si>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</si>
  <si>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</si>
  <si>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</si>
  <si>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</si>
  <si>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</si>
  <si>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</si>
  <si>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</si>
  <si>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</si>
  <si>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</si>
  <si>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</si>
  <si>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</si>
  <si>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</si>
  <si>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</si>
  <si>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</si>
  <si>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</si>
  <si>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</si>
  <si>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</si>
  <si>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</si>
  <si>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</si>
  <si>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</si>
  <si>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</si>
  <si>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</si>
  <si>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</si>
  <si>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</si>
  <si>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</si>
  <si>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</si>
  <si>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</si>
  <si>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</si>
  <si>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</si>
  <si>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</si>
  <si>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</si>
  <si>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</si>
  <si>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</si>
  <si>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</si>
  <si>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</si>
  <si>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</si>
  <si>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</si>
  <si>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</si>
  <si>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</si>
  <si>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</si>
  <si>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</si>
  <si>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</si>
  <si>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</si>
  <si>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</si>
  <si>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</si>
  <si>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</si>
  <si>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</si>
  <si>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</si>
  <si>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</si>
  <si>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</si>
  <si>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</si>
  <si>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</si>
  <si>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</si>
  <si>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</si>
  <si>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</si>
  <si>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</si>
  <si>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</si>
  <si>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</si>
  <si>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</si>
  <si>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</si>
  <si>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</si>
  <si>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</si>
  <si>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</si>
  <si>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</si>
  <si>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</si>
  <si>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</si>
  <si>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待機位置</t>
  </si>
  <si>
    <t>待機位置</t>
    <rPh sb="0" eb="4">
      <t>タイキイチ</t>
    </rPh>
    <phoneticPr fontId="1"/>
  </si>
  <si>
    <t>検査待機位置</t>
    <rPh sb="0" eb="2">
      <t>ケンサ</t>
    </rPh>
    <rPh sb="2" eb="4">
      <t>タイキ</t>
    </rPh>
    <rPh sb="4" eb="6">
      <t>イチ</t>
    </rPh>
    <phoneticPr fontId="1"/>
  </si>
  <si>
    <t>受取排出位置</t>
    <rPh sb="0" eb="2">
      <t>ウケトリ</t>
    </rPh>
    <rPh sb="2" eb="4">
      <t>ハイシュツ</t>
    </rPh>
    <rPh sb="4" eb="6">
      <t>イチ</t>
    </rPh>
    <phoneticPr fontId="1"/>
  </si>
  <si>
    <t>受取渡し位置</t>
    <rPh sb="0" eb="2">
      <t>ウケトリ</t>
    </rPh>
    <rPh sb="2" eb="3">
      <t>ワタ</t>
    </rPh>
    <rPh sb="4" eb="6">
      <t>イチ</t>
    </rPh>
    <phoneticPr fontId="1"/>
  </si>
  <si>
    <t>計測位置</t>
    <rPh sb="0" eb="2">
      <t>ケイソク</t>
    </rPh>
    <rPh sb="2" eb="4">
      <t>イチ</t>
    </rPh>
    <phoneticPr fontId="1"/>
  </si>
  <si>
    <t>ひらき位置</t>
    <rPh sb="3" eb="5">
      <t>イチ</t>
    </rPh>
    <phoneticPr fontId="1"/>
  </si>
  <si>
    <t>とじ位置</t>
    <rPh sb="2" eb="4">
      <t>イチ</t>
    </rPh>
    <phoneticPr fontId="1"/>
  </si>
  <si>
    <t>押え位置</t>
    <rPh sb="0" eb="1">
      <t>オサ</t>
    </rPh>
    <rPh sb="2" eb="4">
      <t>イチ</t>
    </rPh>
    <phoneticPr fontId="1"/>
  </si>
  <si>
    <t>溶接位置</t>
    <rPh sb="0" eb="2">
      <t>ヨウセツ</t>
    </rPh>
    <rPh sb="2" eb="4">
      <t>イチ</t>
    </rPh>
    <phoneticPr fontId="1"/>
  </si>
  <si>
    <t>押込み位置</t>
    <rPh sb="0" eb="2">
      <t>オシコ</t>
    </rPh>
    <rPh sb="3" eb="5">
      <t>イチ</t>
    </rPh>
    <phoneticPr fontId="1"/>
  </si>
  <si>
    <t>箔ロウ受入れ位置</t>
    <rPh sb="0" eb="1">
      <t>ハク</t>
    </rPh>
    <rPh sb="3" eb="5">
      <t>ウケイ</t>
    </rPh>
    <rPh sb="6" eb="8">
      <t>イチ</t>
    </rPh>
    <phoneticPr fontId="1"/>
  </si>
  <si>
    <t>寄せ位置</t>
    <rPh sb="0" eb="1">
      <t>ヨ</t>
    </rPh>
    <rPh sb="2" eb="4">
      <t>イチ</t>
    </rPh>
    <phoneticPr fontId="1"/>
  </si>
  <si>
    <t>(予約)</t>
    <rPh sb="1" eb="3">
      <t>ヨヤク</t>
    </rPh>
    <phoneticPr fontId="1"/>
  </si>
  <si>
    <t>Standby Position</t>
  </si>
  <si>
    <t>Reserved</t>
  </si>
  <si>
    <t>Inspection Standby Position</t>
  </si>
  <si>
    <t>Receive &amp; Discharge Position</t>
  </si>
  <si>
    <t>Receive &amp; Transfer Position</t>
  </si>
  <si>
    <t>Measurement Position</t>
  </si>
  <si>
    <t>Open Position</t>
  </si>
  <si>
    <t>Close Position</t>
  </si>
  <si>
    <t>Clamp Position</t>
  </si>
  <si>
    <t>Welding Position</t>
  </si>
  <si>
    <t>Press-in Position</t>
  </si>
  <si>
    <t>Foil Wax Receiving Position</t>
  </si>
  <si>
    <t>Alignment Position</t>
  </si>
  <si>
    <t>箔ロウ溶接位置</t>
    <rPh sb="0" eb="1">
      <t>ハク</t>
    </rPh>
    <rPh sb="3" eb="5">
      <t>ヨウセツ</t>
    </rPh>
    <rPh sb="5" eb="7">
      <t>イチ</t>
    </rPh>
    <phoneticPr fontId="1"/>
  </si>
  <si>
    <t>Foil brazing position</t>
    <phoneticPr fontId="1"/>
  </si>
  <si>
    <t>巻締め位置</t>
    <rPh sb="0" eb="2">
      <t>マキシメ</t>
    </rPh>
    <rPh sb="3" eb="5">
      <t>イチ</t>
    </rPh>
    <phoneticPr fontId="1"/>
  </si>
  <si>
    <t>整え位置</t>
    <rPh sb="0" eb="1">
      <t>トトノ</t>
    </rPh>
    <rPh sb="2" eb="4">
      <t>イチ</t>
    </rPh>
    <phoneticPr fontId="1"/>
  </si>
  <si>
    <t>Seaming position</t>
  </si>
  <si>
    <t>Styling position</t>
  </si>
  <si>
    <t>巻き位置</t>
    <rPh sb="0" eb="1">
      <t>マ</t>
    </rPh>
    <rPh sb="2" eb="4">
      <t>イチ</t>
    </rPh>
    <phoneticPr fontId="1"/>
  </si>
  <si>
    <t>Winding position</t>
  </si>
  <si>
    <t>補助位置</t>
    <rPh sb="0" eb="2">
      <t>ホジョ</t>
    </rPh>
    <rPh sb="2" eb="4">
      <t>イチ</t>
    </rPh>
    <phoneticPr fontId="1"/>
  </si>
  <si>
    <t>Auxiliary position</t>
  </si>
  <si>
    <t>待機位置</t>
    <rPh sb="0" eb="2">
      <t>タイキ</t>
    </rPh>
    <rPh sb="2" eb="4">
      <t>イチ</t>
    </rPh>
    <phoneticPr fontId="1"/>
  </si>
  <si>
    <t>掴み位置</t>
  </si>
  <si>
    <t>掴み位置</t>
    <rPh sb="0" eb="1">
      <t>ツカ</t>
    </rPh>
    <rPh sb="2" eb="4">
      <t>イチ</t>
    </rPh>
    <phoneticPr fontId="1"/>
  </si>
  <si>
    <t>巻き開始補助位置</t>
  </si>
  <si>
    <t>巻き開始補助位置</t>
    <rPh sb="0" eb="1">
      <t>マ</t>
    </rPh>
    <rPh sb="2" eb="4">
      <t>カイシ</t>
    </rPh>
    <rPh sb="4" eb="6">
      <t>ホジョ</t>
    </rPh>
    <rPh sb="6" eb="8">
      <t>イチ</t>
    </rPh>
    <phoneticPr fontId="1"/>
  </si>
  <si>
    <t>Pick Position</t>
  </si>
  <si>
    <t>Wind assist Position</t>
  </si>
  <si>
    <t>(予約)</t>
  </si>
  <si>
    <t>計測位置</t>
    <rPh sb="0" eb="2">
      <t>ケイソク</t>
    </rPh>
    <rPh sb="2" eb="4">
      <t>イチ</t>
    </rPh>
    <phoneticPr fontId="1"/>
  </si>
  <si>
    <t>Measurement Position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</si>
</sst>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100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4"/>
  <sheetViews>
    <sheetView workbookViewId="0">
      <pane xSplit="5" ySplit="1" topLeftCell="F62" activePane="bottomRight" state="frozen"/>
      <selection pane="topRight" activeCell="D1" sqref="D1"/>
      <selection pane="bottomLeft" activeCell="A2" sqref="A2"/>
      <selection pane="bottomRight" activeCell="G89" sqref="G89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>
        <v>38</v>
      </c>
      <c r="B2" s="2"/>
      <c r="C2" s="27">
        <v>1</v>
      </c>
      <c r="D2" s="2" t="str">
        <f>B2&amp;C2</f>
        <v>1</v>
      </c>
      <c r="E2" s="2">
        <v>1</v>
      </c>
      <c r="F2" s="28"/>
      <c r="G2" s="28"/>
      <c r="H2" s="28" t="s">
        <v>70</v>
      </c>
      <c r="I2" s="28" t="s">
        <v>83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>
        <v>35</v>
      </c>
      <c r="B3" s="4"/>
      <c r="C3" s="4">
        <f>C2</f>
        <v>1</v>
      </c>
      <c r="D3" s="4" t="str">
        <f t="shared" ref="D3:D66" si="0">B3&amp;C3</f>
        <v>1</v>
      </c>
      <c r="E3" s="4">
        <f>E2+1</f>
        <v>2</v>
      </c>
      <c r="F3" s="9"/>
      <c r="G3" s="9"/>
      <c r="H3" s="9" t="s">
        <v>82</v>
      </c>
      <c r="I3" s="9" t="s">
        <v>84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>
        <v>37</v>
      </c>
      <c r="B4" s="4"/>
      <c r="C4" s="4">
        <f t="shared" ref="C4:C6" si="1">C3</f>
        <v>1</v>
      </c>
      <c r="D4" s="4" t="str">
        <f t="shared" si="0"/>
        <v>1</v>
      </c>
      <c r="E4" s="4">
        <f t="shared" ref="E4:E6" si="2">E3+1</f>
        <v>3</v>
      </c>
      <c r="F4" s="9"/>
      <c r="G4" s="9"/>
      <c r="H4" s="9" t="s">
        <v>82</v>
      </c>
      <c r="I4" s="9" t="s">
        <v>84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>
        <v>36</v>
      </c>
      <c r="B5" s="4"/>
      <c r="C5" s="4">
        <f t="shared" si="1"/>
        <v>1</v>
      </c>
      <c r="D5" s="4" t="str">
        <f t="shared" si="0"/>
        <v>1</v>
      </c>
      <c r="E5" s="4">
        <f t="shared" si="2"/>
        <v>4</v>
      </c>
      <c r="F5" s="9"/>
      <c r="G5" s="9"/>
      <c r="H5" s="9" t="s">
        <v>82</v>
      </c>
      <c r="I5" s="9" t="s">
        <v>84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>
        <v>19</v>
      </c>
      <c r="B6" s="4"/>
      <c r="C6" s="4">
        <f t="shared" si="1"/>
        <v>1</v>
      </c>
      <c r="D6" s="4" t="str">
        <f t="shared" si="0"/>
        <v>1</v>
      </c>
      <c r="E6" s="4">
        <f t="shared" si="2"/>
        <v>5</v>
      </c>
      <c r="F6" s="5"/>
      <c r="G6" s="5"/>
      <c r="H6" s="5" t="s">
        <v>82</v>
      </c>
      <c r="I6" s="5" t="s">
        <v>84</v>
      </c>
      <c r="J6" s="5"/>
      <c r="K6" s="5"/>
      <c r="L6" s="5"/>
      <c r="M6" s="5"/>
      <c r="N6" s="5"/>
      <c r="O6" s="7"/>
      <c r="P6" s="7"/>
      <c r="Q6" s="7"/>
      <c r="R6" s="7"/>
    </row>
    <row r="7" spans="1:18" x14ac:dyDescent="0.55000000000000004">
      <c r="A7" s="4">
        <v>18</v>
      </c>
      <c r="B7" s="4"/>
      <c r="C7" s="4">
        <f>C2+1</f>
        <v>2</v>
      </c>
      <c r="D7" s="4" t="str">
        <f t="shared" si="0"/>
        <v>2</v>
      </c>
      <c r="E7" s="4">
        <f>E2</f>
        <v>1</v>
      </c>
      <c r="F7" s="5"/>
      <c r="G7" s="5"/>
      <c r="H7" s="5" t="s">
        <v>69</v>
      </c>
      <c r="I7" s="5" t="s">
        <v>83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>
        <v>20</v>
      </c>
      <c r="B8" s="4"/>
      <c r="C8" s="4">
        <f>C7</f>
        <v>2</v>
      </c>
      <c r="D8" s="4" t="str">
        <f t="shared" si="0"/>
        <v>2</v>
      </c>
      <c r="E8" s="4">
        <f>E7+1</f>
        <v>2</v>
      </c>
      <c r="F8" s="5"/>
      <c r="G8" s="5"/>
      <c r="H8" s="5" t="s">
        <v>82</v>
      </c>
      <c r="I8" s="5" t="s">
        <v>84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>
        <v>22</v>
      </c>
      <c r="B9" s="4"/>
      <c r="C9" s="4">
        <f t="shared" ref="C9:C11" si="3">C8</f>
        <v>2</v>
      </c>
      <c r="D9" s="4" t="str">
        <f t="shared" si="0"/>
        <v>2</v>
      </c>
      <c r="E9" s="4">
        <f t="shared" ref="E9:E11" si="4">E8+1</f>
        <v>3</v>
      </c>
      <c r="F9" s="5"/>
      <c r="G9" s="5"/>
      <c r="H9" s="5" t="s">
        <v>82</v>
      </c>
      <c r="I9" s="5" t="s">
        <v>84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>
        <v>23</v>
      </c>
      <c r="B10" s="4"/>
      <c r="C10" s="4">
        <f t="shared" si="3"/>
        <v>2</v>
      </c>
      <c r="D10" s="4" t="str">
        <f t="shared" si="0"/>
        <v>2</v>
      </c>
      <c r="E10" s="4">
        <f t="shared" si="4"/>
        <v>4</v>
      </c>
      <c r="F10" s="5"/>
      <c r="G10" s="5"/>
      <c r="H10" s="5" t="s">
        <v>82</v>
      </c>
      <c r="I10" s="5" t="s">
        <v>84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>
        <v>42</v>
      </c>
      <c r="B11" s="4"/>
      <c r="C11" s="4">
        <f t="shared" si="3"/>
        <v>2</v>
      </c>
      <c r="D11" s="4" t="str">
        <f t="shared" si="0"/>
        <v>2</v>
      </c>
      <c r="E11" s="4">
        <f t="shared" si="4"/>
        <v>5</v>
      </c>
      <c r="F11" s="5"/>
      <c r="G11" s="5"/>
      <c r="H11" s="5" t="s">
        <v>82</v>
      </c>
      <c r="I11" s="5" t="s">
        <v>84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>
        <v>43</v>
      </c>
      <c r="B12" s="4"/>
      <c r="C12" s="4">
        <f t="shared" ref="C12" si="5">C7+1</f>
        <v>3</v>
      </c>
      <c r="D12" s="4" t="str">
        <f t="shared" si="0"/>
        <v>3</v>
      </c>
      <c r="E12" s="4">
        <f t="shared" ref="E12" si="6">E7</f>
        <v>1</v>
      </c>
      <c r="F12" s="5"/>
      <c r="G12" s="5"/>
      <c r="H12" s="5" t="s">
        <v>69</v>
      </c>
      <c r="I12" s="5" t="s">
        <v>83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>
        <v>44</v>
      </c>
      <c r="B13" s="4"/>
      <c r="C13" s="4">
        <f t="shared" ref="C13:C96" si="7">C12</f>
        <v>3</v>
      </c>
      <c r="D13" s="4" t="str">
        <f t="shared" si="0"/>
        <v>3</v>
      </c>
      <c r="E13" s="4">
        <f t="shared" ref="E13:E76" si="8">E12+1</f>
        <v>2</v>
      </c>
      <c r="F13" s="5"/>
      <c r="G13" s="5"/>
      <c r="H13" s="5" t="s">
        <v>82</v>
      </c>
      <c r="I13" s="5" t="s">
        <v>84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>
        <v>32</v>
      </c>
      <c r="B14" s="4"/>
      <c r="C14" s="4">
        <f t="shared" si="7"/>
        <v>3</v>
      </c>
      <c r="D14" s="4" t="str">
        <f t="shared" si="0"/>
        <v>3</v>
      </c>
      <c r="E14" s="4">
        <f t="shared" si="8"/>
        <v>3</v>
      </c>
      <c r="F14" s="5"/>
      <c r="G14" s="5"/>
      <c r="H14" s="5" t="s">
        <v>82</v>
      </c>
      <c r="I14" s="5" t="s">
        <v>84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>
        <v>33</v>
      </c>
      <c r="B15" s="4"/>
      <c r="C15" s="4">
        <f t="shared" si="7"/>
        <v>3</v>
      </c>
      <c r="D15" s="4" t="str">
        <f t="shared" si="0"/>
        <v>3</v>
      </c>
      <c r="E15" s="4">
        <f t="shared" si="8"/>
        <v>4</v>
      </c>
      <c r="F15" s="5"/>
      <c r="G15" s="5"/>
      <c r="H15" s="5" t="s">
        <v>82</v>
      </c>
      <c r="I15" s="5" t="s">
        <v>84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>
        <v>41</v>
      </c>
      <c r="B16" s="4"/>
      <c r="C16" s="4">
        <f t="shared" si="7"/>
        <v>3</v>
      </c>
      <c r="D16" s="4" t="str">
        <f t="shared" si="0"/>
        <v>3</v>
      </c>
      <c r="E16" s="4">
        <f t="shared" si="8"/>
        <v>5</v>
      </c>
      <c r="F16" s="5"/>
      <c r="G16" s="5"/>
      <c r="H16" s="5" t="s">
        <v>82</v>
      </c>
      <c r="I16" s="5" t="s">
        <v>84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>
        <v>45</v>
      </c>
      <c r="B17" s="4"/>
      <c r="C17" s="4">
        <f t="shared" ref="C17" si="9">C12+1</f>
        <v>4</v>
      </c>
      <c r="D17" s="4" t="str">
        <f t="shared" si="0"/>
        <v>4</v>
      </c>
      <c r="E17" s="4">
        <f t="shared" ref="E17" si="10">E12</f>
        <v>1</v>
      </c>
      <c r="F17" s="5"/>
      <c r="G17" s="5"/>
      <c r="H17" s="5" t="s">
        <v>69</v>
      </c>
      <c r="I17" s="5" t="s">
        <v>83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>
        <v>1</v>
      </c>
      <c r="B18" s="4"/>
      <c r="C18" s="4">
        <f t="shared" ref="C18" si="11">C17</f>
        <v>4</v>
      </c>
      <c r="D18" s="4" t="str">
        <f t="shared" si="0"/>
        <v>4</v>
      </c>
      <c r="E18" s="4">
        <f t="shared" ref="E18" si="12">E17+1</f>
        <v>2</v>
      </c>
      <c r="F18" s="5"/>
      <c r="G18" s="5"/>
      <c r="H18" s="5" t="s">
        <v>82</v>
      </c>
      <c r="I18" s="5" t="s">
        <v>84</v>
      </c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>
        <v>46</v>
      </c>
      <c r="B19" s="4"/>
      <c r="C19" s="4">
        <f t="shared" si="7"/>
        <v>4</v>
      </c>
      <c r="D19" s="4" t="str">
        <f t="shared" si="0"/>
        <v>4</v>
      </c>
      <c r="E19" s="4">
        <f t="shared" si="8"/>
        <v>3</v>
      </c>
      <c r="F19" s="5"/>
      <c r="G19" s="5"/>
      <c r="H19" s="5" t="s">
        <v>82</v>
      </c>
      <c r="I19" s="5" t="s">
        <v>84</v>
      </c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>
        <v>47</v>
      </c>
      <c r="B20" s="4"/>
      <c r="C20" s="4">
        <f t="shared" si="7"/>
        <v>4</v>
      </c>
      <c r="D20" s="4" t="str">
        <f t="shared" si="0"/>
        <v>4</v>
      </c>
      <c r="E20" s="4">
        <f t="shared" si="8"/>
        <v>4</v>
      </c>
      <c r="F20" s="5"/>
      <c r="G20" s="5"/>
      <c r="H20" s="5" t="s">
        <v>82</v>
      </c>
      <c r="I20" s="5" t="s">
        <v>84</v>
      </c>
      <c r="J20" s="5"/>
      <c r="K20" s="5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>
        <v>2</v>
      </c>
      <c r="B21" s="4"/>
      <c r="C21" s="4">
        <f t="shared" si="7"/>
        <v>4</v>
      </c>
      <c r="D21" s="4" t="str">
        <f t="shared" si="0"/>
        <v>4</v>
      </c>
      <c r="E21" s="4">
        <f t="shared" si="8"/>
        <v>5</v>
      </c>
      <c r="F21" s="5"/>
      <c r="G21" s="5"/>
      <c r="H21" s="5" t="s">
        <v>82</v>
      </c>
      <c r="I21" s="5" t="s">
        <v>84</v>
      </c>
      <c r="J21" s="5"/>
      <c r="K21" s="6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>
        <v>4</v>
      </c>
      <c r="B22" s="4"/>
      <c r="C22" s="4">
        <f t="shared" ref="C22" si="13">C17+1</f>
        <v>5</v>
      </c>
      <c r="D22" s="4" t="str">
        <f t="shared" si="0"/>
        <v>5</v>
      </c>
      <c r="E22" s="4">
        <f t="shared" ref="E22" si="14">E17</f>
        <v>1</v>
      </c>
      <c r="F22" s="5"/>
      <c r="G22" s="5"/>
      <c r="H22" s="5" t="s">
        <v>69</v>
      </c>
      <c r="I22" s="5" t="s">
        <v>83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>
        <v>3</v>
      </c>
      <c r="B23" s="4"/>
      <c r="C23" s="4">
        <f t="shared" ref="C23" si="15">C22</f>
        <v>5</v>
      </c>
      <c r="D23" s="4" t="str">
        <f t="shared" si="0"/>
        <v>5</v>
      </c>
      <c r="E23" s="4">
        <f t="shared" ref="E23" si="16">E22+1</f>
        <v>2</v>
      </c>
      <c r="F23" s="5"/>
      <c r="G23" s="5"/>
      <c r="H23" s="5" t="s">
        <v>71</v>
      </c>
      <c r="I23" s="5" t="s">
        <v>85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>
        <v>8</v>
      </c>
      <c r="B24" s="4"/>
      <c r="C24" s="4">
        <f t="shared" si="7"/>
        <v>5</v>
      </c>
      <c r="D24" s="4" t="str">
        <f t="shared" si="0"/>
        <v>5</v>
      </c>
      <c r="E24" s="4">
        <f t="shared" si="8"/>
        <v>3</v>
      </c>
      <c r="F24" s="5"/>
      <c r="G24" s="5"/>
      <c r="H24" s="5" t="s">
        <v>72</v>
      </c>
      <c r="I24" s="5" t="s">
        <v>86</v>
      </c>
      <c r="J24" s="5"/>
      <c r="K24" s="5"/>
      <c r="L24" s="5"/>
      <c r="M24" s="5"/>
      <c r="N24" s="8"/>
      <c r="O24" s="21"/>
      <c r="P24" s="21"/>
      <c r="Q24" s="21"/>
      <c r="R24" s="7"/>
    </row>
    <row r="25" spans="1:18" x14ac:dyDescent="0.55000000000000004">
      <c r="A25" s="4">
        <v>7</v>
      </c>
      <c r="B25" s="4"/>
      <c r="C25" s="4">
        <f t="shared" si="7"/>
        <v>5</v>
      </c>
      <c r="D25" s="4" t="str">
        <f t="shared" si="0"/>
        <v>5</v>
      </c>
      <c r="E25" s="4">
        <f t="shared" si="8"/>
        <v>4</v>
      </c>
      <c r="F25" s="5"/>
      <c r="G25" s="5"/>
      <c r="H25" s="5" t="s">
        <v>73</v>
      </c>
      <c r="I25" s="5" t="s">
        <v>87</v>
      </c>
      <c r="J25" s="5"/>
      <c r="K25" s="5"/>
      <c r="L25" s="5"/>
      <c r="M25" s="5"/>
      <c r="N25" s="8"/>
      <c r="O25" s="21"/>
      <c r="P25" s="21"/>
      <c r="Q25" s="21"/>
      <c r="R25" s="7"/>
    </row>
    <row r="26" spans="1:18" x14ac:dyDescent="0.55000000000000004">
      <c r="A26" s="4">
        <v>6</v>
      </c>
      <c r="B26" s="4"/>
      <c r="C26" s="4">
        <f t="shared" si="7"/>
        <v>5</v>
      </c>
      <c r="D26" s="4" t="str">
        <f t="shared" si="0"/>
        <v>5</v>
      </c>
      <c r="E26" s="4">
        <f t="shared" si="8"/>
        <v>5</v>
      </c>
      <c r="F26" s="5"/>
      <c r="G26" s="5"/>
      <c r="H26" s="5" t="s">
        <v>82</v>
      </c>
      <c r="I26" s="5" t="s">
        <v>84</v>
      </c>
      <c r="J26" s="5"/>
      <c r="K26" s="5"/>
      <c r="L26" s="5"/>
      <c r="M26" s="5"/>
      <c r="N26" s="8"/>
      <c r="O26" s="21"/>
      <c r="P26" s="21"/>
      <c r="Q26" s="21"/>
      <c r="R26" s="7"/>
    </row>
    <row r="27" spans="1:18" x14ac:dyDescent="0.55000000000000004">
      <c r="A27" s="4">
        <v>5</v>
      </c>
      <c r="B27" s="4"/>
      <c r="C27" s="4">
        <f t="shared" ref="C27" si="17">C22+1</f>
        <v>6</v>
      </c>
      <c r="D27" s="4" t="str">
        <f t="shared" si="0"/>
        <v>6</v>
      </c>
      <c r="E27" s="4">
        <f t="shared" ref="E27" si="18">E22</f>
        <v>1</v>
      </c>
      <c r="F27" s="5"/>
      <c r="G27" s="5"/>
      <c r="H27" s="5" t="s">
        <v>69</v>
      </c>
      <c r="I27" s="5" t="s">
        <v>83</v>
      </c>
      <c r="J27" s="5"/>
      <c r="K27" s="5"/>
      <c r="L27" s="5"/>
      <c r="M27" s="5"/>
      <c r="N27" s="8"/>
      <c r="O27" s="21"/>
      <c r="P27" s="21"/>
      <c r="Q27" s="21"/>
      <c r="R27" s="7"/>
    </row>
    <row r="28" spans="1:18" x14ac:dyDescent="0.55000000000000004">
      <c r="A28" s="4">
        <v>10</v>
      </c>
      <c r="B28" s="4"/>
      <c r="C28" s="4">
        <f t="shared" ref="C28" si="19">C27</f>
        <v>6</v>
      </c>
      <c r="D28" s="4" t="str">
        <f t="shared" si="0"/>
        <v>6</v>
      </c>
      <c r="E28" s="4">
        <f t="shared" ref="E28" si="20">E27+1</f>
        <v>2</v>
      </c>
      <c r="F28" s="9"/>
      <c r="G28" s="9"/>
      <c r="H28" s="9" t="s">
        <v>74</v>
      </c>
      <c r="I28" s="9" t="s">
        <v>88</v>
      </c>
      <c r="J28" s="9"/>
      <c r="K28" s="9"/>
      <c r="L28" s="9"/>
      <c r="M28" s="9"/>
      <c r="N28" s="10"/>
      <c r="O28" s="22"/>
      <c r="P28" s="22"/>
      <c r="Q28" s="22"/>
      <c r="R28" s="7"/>
    </row>
    <row r="29" spans="1:18" x14ac:dyDescent="0.55000000000000004">
      <c r="A29" s="4">
        <v>9</v>
      </c>
      <c r="B29" s="4"/>
      <c r="C29" s="4">
        <f t="shared" si="7"/>
        <v>6</v>
      </c>
      <c r="D29" s="4" t="str">
        <f t="shared" si="0"/>
        <v>6</v>
      </c>
      <c r="E29" s="4">
        <f t="shared" si="8"/>
        <v>3</v>
      </c>
      <c r="F29" s="5"/>
      <c r="G29" s="5"/>
      <c r="H29" s="5" t="s">
        <v>82</v>
      </c>
      <c r="I29" s="5" t="s">
        <v>84</v>
      </c>
      <c r="J29" s="5"/>
      <c r="K29" s="5"/>
      <c r="L29" s="5"/>
      <c r="M29" s="5"/>
      <c r="N29" s="8"/>
      <c r="O29" s="21"/>
      <c r="P29" s="21"/>
      <c r="Q29" s="21"/>
      <c r="R29" s="7"/>
    </row>
    <row r="30" spans="1:18" x14ac:dyDescent="0.55000000000000004">
      <c r="A30" s="4">
        <v>11</v>
      </c>
      <c r="B30" s="4"/>
      <c r="C30" s="4">
        <f t="shared" si="7"/>
        <v>6</v>
      </c>
      <c r="D30" s="4" t="str">
        <f t="shared" si="0"/>
        <v>6</v>
      </c>
      <c r="E30" s="4">
        <f t="shared" si="8"/>
        <v>4</v>
      </c>
      <c r="F30" s="9"/>
      <c r="G30" s="9"/>
      <c r="H30" s="9" t="s">
        <v>82</v>
      </c>
      <c r="I30" s="9" t="s">
        <v>84</v>
      </c>
      <c r="J30" s="9"/>
      <c r="K30" s="9"/>
      <c r="L30" s="9"/>
      <c r="M30" s="9"/>
      <c r="N30" s="10"/>
      <c r="O30" s="22"/>
      <c r="P30" s="22"/>
      <c r="Q30" s="22"/>
      <c r="R30" s="7"/>
    </row>
    <row r="31" spans="1:18" x14ac:dyDescent="0.55000000000000004">
      <c r="A31" s="4">
        <v>13</v>
      </c>
      <c r="B31" s="4"/>
      <c r="C31" s="4">
        <f t="shared" si="7"/>
        <v>6</v>
      </c>
      <c r="D31" s="4" t="str">
        <f t="shared" si="0"/>
        <v>6</v>
      </c>
      <c r="E31" s="4">
        <f t="shared" si="8"/>
        <v>5</v>
      </c>
      <c r="F31" s="5"/>
      <c r="G31" s="5"/>
      <c r="H31" s="5" t="s">
        <v>82</v>
      </c>
      <c r="I31" s="5" t="s">
        <v>84</v>
      </c>
      <c r="J31" s="5"/>
      <c r="K31" s="5"/>
      <c r="L31" s="5"/>
      <c r="M31" s="5"/>
      <c r="N31" s="8"/>
      <c r="O31" s="21"/>
      <c r="P31" s="21"/>
      <c r="Q31" s="21"/>
      <c r="R31" s="7"/>
    </row>
    <row r="32" spans="1:18" x14ac:dyDescent="0.55000000000000004">
      <c r="A32" s="4">
        <v>14</v>
      </c>
      <c r="B32" s="4"/>
      <c r="C32" s="4">
        <f t="shared" ref="C32" si="21">C27+1</f>
        <v>7</v>
      </c>
      <c r="D32" s="4" t="str">
        <f t="shared" si="0"/>
        <v>7</v>
      </c>
      <c r="E32" s="4">
        <f t="shared" ref="E32" si="22">E27</f>
        <v>1</v>
      </c>
      <c r="F32" s="9"/>
      <c r="G32" s="9"/>
      <c r="H32" s="9" t="s">
        <v>75</v>
      </c>
      <c r="I32" s="9" t="s">
        <v>89</v>
      </c>
      <c r="J32" s="9"/>
      <c r="K32" s="9"/>
      <c r="L32" s="9"/>
      <c r="M32" s="9"/>
      <c r="N32" s="10"/>
      <c r="O32" s="22"/>
      <c r="P32" s="22"/>
      <c r="Q32" s="22"/>
      <c r="R32" s="7"/>
    </row>
    <row r="33" spans="1:18" x14ac:dyDescent="0.55000000000000004">
      <c r="A33" s="4">
        <v>15</v>
      </c>
      <c r="B33" s="4"/>
      <c r="C33" s="4">
        <f t="shared" ref="C33" si="23">C32</f>
        <v>7</v>
      </c>
      <c r="D33" s="4" t="str">
        <f t="shared" si="0"/>
        <v>7</v>
      </c>
      <c r="E33" s="4">
        <f t="shared" ref="E33" si="24">E32+1</f>
        <v>2</v>
      </c>
      <c r="F33" s="9"/>
      <c r="G33" s="9"/>
      <c r="H33" s="9" t="s">
        <v>76</v>
      </c>
      <c r="I33" s="9" t="s">
        <v>90</v>
      </c>
      <c r="J33" s="9"/>
      <c r="K33" s="9"/>
      <c r="L33" s="9"/>
      <c r="M33" s="9"/>
      <c r="N33" s="10"/>
      <c r="O33" s="22"/>
      <c r="P33" s="22"/>
      <c r="Q33" s="22"/>
      <c r="R33" s="7"/>
    </row>
    <row r="34" spans="1:18" x14ac:dyDescent="0.55000000000000004">
      <c r="A34" s="4">
        <v>48</v>
      </c>
      <c r="B34" s="4"/>
      <c r="C34" s="4">
        <f t="shared" si="7"/>
        <v>7</v>
      </c>
      <c r="D34" s="4" t="str">
        <f t="shared" si="0"/>
        <v>7</v>
      </c>
      <c r="E34" s="4">
        <f t="shared" si="8"/>
        <v>3</v>
      </c>
      <c r="F34" s="5"/>
      <c r="G34" s="5"/>
      <c r="H34" s="5" t="s">
        <v>82</v>
      </c>
      <c r="I34" s="5" t="s">
        <v>84</v>
      </c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4">
        <v>49</v>
      </c>
      <c r="B35" s="4"/>
      <c r="C35" s="4">
        <f t="shared" si="7"/>
        <v>7</v>
      </c>
      <c r="D35" s="4" t="str">
        <f t="shared" si="0"/>
        <v>7</v>
      </c>
      <c r="E35" s="4">
        <f t="shared" si="8"/>
        <v>4</v>
      </c>
      <c r="F35" s="5"/>
      <c r="G35" s="5"/>
      <c r="H35" s="5" t="s">
        <v>82</v>
      </c>
      <c r="I35" s="5" t="s">
        <v>84</v>
      </c>
      <c r="J35" s="5"/>
      <c r="K35" s="5"/>
      <c r="L35" s="5"/>
      <c r="M35" s="5"/>
      <c r="N35" s="5"/>
      <c r="O35" s="7"/>
      <c r="P35" s="7"/>
      <c r="Q35" s="7"/>
      <c r="R35" s="7"/>
    </row>
    <row r="36" spans="1:18" x14ac:dyDescent="0.55000000000000004">
      <c r="A36" s="4">
        <v>50</v>
      </c>
      <c r="B36" s="4"/>
      <c r="C36" s="4">
        <f t="shared" si="7"/>
        <v>7</v>
      </c>
      <c r="D36" s="4" t="str">
        <f t="shared" si="0"/>
        <v>7</v>
      </c>
      <c r="E36" s="4">
        <f t="shared" si="8"/>
        <v>5</v>
      </c>
      <c r="F36" s="5"/>
      <c r="G36" s="5"/>
      <c r="H36" s="5" t="s">
        <v>82</v>
      </c>
      <c r="I36" s="5" t="s">
        <v>84</v>
      </c>
      <c r="J36" s="5"/>
      <c r="K36" s="5"/>
      <c r="L36" s="5"/>
      <c r="M36" s="5"/>
      <c r="N36" s="5"/>
      <c r="O36" s="7"/>
      <c r="P36" s="7"/>
      <c r="Q36" s="7"/>
      <c r="R36" s="7"/>
    </row>
    <row r="37" spans="1:18" x14ac:dyDescent="0.55000000000000004">
      <c r="A37" s="26">
        <v>12</v>
      </c>
      <c r="B37" s="4"/>
      <c r="C37" s="26">
        <f t="shared" ref="C37" si="25">C32+1</f>
        <v>8</v>
      </c>
      <c r="D37" s="26" t="str">
        <f t="shared" si="0"/>
        <v>8</v>
      </c>
      <c r="E37" s="4">
        <f t="shared" ref="E37" si="26">E32</f>
        <v>1</v>
      </c>
      <c r="F37" s="11"/>
      <c r="G37" s="11"/>
      <c r="H37" s="11" t="s">
        <v>69</v>
      </c>
      <c r="I37" s="11" t="s">
        <v>83</v>
      </c>
      <c r="J37" s="11"/>
      <c r="K37" s="11"/>
      <c r="L37" s="11"/>
      <c r="M37" s="11"/>
      <c r="N37" s="12"/>
      <c r="O37" s="23"/>
      <c r="P37" s="23"/>
      <c r="Q37" s="23"/>
      <c r="R37" s="7"/>
    </row>
    <row r="38" spans="1:18" x14ac:dyDescent="0.55000000000000004">
      <c r="A38" s="26">
        <v>16</v>
      </c>
      <c r="B38" s="4"/>
      <c r="C38" s="26">
        <f t="shared" ref="C38" si="27">C37</f>
        <v>8</v>
      </c>
      <c r="D38" s="26" t="str">
        <f t="shared" si="0"/>
        <v>8</v>
      </c>
      <c r="E38" s="4">
        <f t="shared" ref="E38" si="28">E37+1</f>
        <v>2</v>
      </c>
      <c r="F38" s="11"/>
      <c r="G38" s="11"/>
      <c r="H38" s="11" t="s">
        <v>77</v>
      </c>
      <c r="I38" s="11" t="s">
        <v>91</v>
      </c>
      <c r="J38" s="11"/>
      <c r="K38" s="11"/>
      <c r="L38" s="11"/>
      <c r="M38" s="11"/>
      <c r="N38" s="12"/>
      <c r="O38" s="23"/>
      <c r="P38" s="23"/>
      <c r="Q38" s="23"/>
      <c r="R38" s="7"/>
    </row>
    <row r="39" spans="1:18" x14ac:dyDescent="0.55000000000000004">
      <c r="A39" s="26">
        <v>17</v>
      </c>
      <c r="B39" s="4"/>
      <c r="C39" s="26">
        <f t="shared" si="7"/>
        <v>8</v>
      </c>
      <c r="D39" s="26" t="str">
        <f t="shared" si="0"/>
        <v>8</v>
      </c>
      <c r="E39" s="4">
        <f t="shared" si="8"/>
        <v>3</v>
      </c>
      <c r="F39" s="11"/>
      <c r="G39" s="11"/>
      <c r="H39" s="11" t="s">
        <v>78</v>
      </c>
      <c r="I39" s="11" t="s">
        <v>92</v>
      </c>
      <c r="J39" s="11"/>
      <c r="K39" s="11"/>
      <c r="L39" s="11"/>
      <c r="M39" s="11"/>
      <c r="N39" s="12"/>
      <c r="O39" s="23"/>
      <c r="P39" s="23"/>
      <c r="Q39" s="23"/>
      <c r="R39" s="7"/>
    </row>
    <row r="40" spans="1:18" x14ac:dyDescent="0.55000000000000004">
      <c r="A40" s="4">
        <v>21</v>
      </c>
      <c r="B40" s="4"/>
      <c r="C40" s="4">
        <f t="shared" si="7"/>
        <v>8</v>
      </c>
      <c r="D40" s="4" t="str">
        <f t="shared" si="0"/>
        <v>8</v>
      </c>
      <c r="E40" s="4">
        <f t="shared" si="8"/>
        <v>4</v>
      </c>
      <c r="F40" s="5"/>
      <c r="G40" s="5"/>
      <c r="H40" s="5" t="s">
        <v>96</v>
      </c>
      <c r="I40" s="5" t="s">
        <v>97</v>
      </c>
      <c r="J40" s="5"/>
      <c r="K40" s="5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>
        <v>24</v>
      </c>
      <c r="B41" s="4"/>
      <c r="C41" s="4">
        <f t="shared" si="7"/>
        <v>8</v>
      </c>
      <c r="D41" s="4" t="str">
        <f t="shared" si="0"/>
        <v>8</v>
      </c>
      <c r="E41" s="4">
        <f t="shared" si="8"/>
        <v>5</v>
      </c>
      <c r="F41" s="5"/>
      <c r="G41" s="5"/>
      <c r="H41" s="5" t="s">
        <v>82</v>
      </c>
      <c r="I41" s="5" t="s">
        <v>84</v>
      </c>
      <c r="J41" s="5"/>
      <c r="K41" s="5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>
        <v>25</v>
      </c>
      <c r="B42" s="4"/>
      <c r="C42" s="4">
        <f t="shared" ref="C42" si="29">C37+1</f>
        <v>9</v>
      </c>
      <c r="D42" s="4" t="str">
        <f t="shared" si="0"/>
        <v>9</v>
      </c>
      <c r="E42" s="4">
        <f t="shared" ref="E42" si="30">E37</f>
        <v>1</v>
      </c>
      <c r="F42" s="5"/>
      <c r="G42" s="5"/>
      <c r="H42" s="5" t="s">
        <v>69</v>
      </c>
      <c r="I42" s="5" t="s">
        <v>83</v>
      </c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>
        <v>29</v>
      </c>
      <c r="B43" s="4"/>
      <c r="C43" s="4">
        <f t="shared" ref="C43" si="31">C42</f>
        <v>9</v>
      </c>
      <c r="D43" s="4" t="str">
        <f t="shared" si="0"/>
        <v>9</v>
      </c>
      <c r="E43" s="4">
        <f t="shared" ref="E43" si="32">E42+1</f>
        <v>2</v>
      </c>
      <c r="F43" s="5"/>
      <c r="G43" s="5"/>
      <c r="H43" s="5" t="s">
        <v>77</v>
      </c>
      <c r="I43" s="5" t="s">
        <v>91</v>
      </c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>
        <v>30</v>
      </c>
      <c r="B44" s="4"/>
      <c r="C44" s="4">
        <f t="shared" si="7"/>
        <v>9</v>
      </c>
      <c r="D44" s="4" t="str">
        <f t="shared" si="0"/>
        <v>9</v>
      </c>
      <c r="E44" s="4">
        <f t="shared" si="8"/>
        <v>3</v>
      </c>
      <c r="F44" s="5"/>
      <c r="G44" s="5"/>
      <c r="H44" s="5" t="s">
        <v>79</v>
      </c>
      <c r="I44" s="5" t="s">
        <v>93</v>
      </c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>
        <v>34</v>
      </c>
      <c r="B45" s="4"/>
      <c r="C45" s="4">
        <f t="shared" si="7"/>
        <v>9</v>
      </c>
      <c r="D45" s="4" t="str">
        <f t="shared" si="0"/>
        <v>9</v>
      </c>
      <c r="E45" s="4">
        <f t="shared" si="8"/>
        <v>4</v>
      </c>
      <c r="F45" s="5"/>
      <c r="G45" s="5"/>
      <c r="H45" s="5" t="s">
        <v>80</v>
      </c>
      <c r="I45" s="5" t="s">
        <v>94</v>
      </c>
      <c r="J45" s="5"/>
      <c r="K45" s="13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>
        <v>26</v>
      </c>
      <c r="B46" s="4"/>
      <c r="C46" s="4">
        <f t="shared" si="7"/>
        <v>9</v>
      </c>
      <c r="D46" s="4" t="str">
        <f t="shared" si="0"/>
        <v>9</v>
      </c>
      <c r="E46" s="4">
        <f t="shared" si="8"/>
        <v>5</v>
      </c>
      <c r="F46" s="5"/>
      <c r="G46" s="5"/>
      <c r="H46" s="5" t="s">
        <v>82</v>
      </c>
      <c r="I46" s="5" t="s">
        <v>84</v>
      </c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/>
      <c r="B47" s="4"/>
      <c r="C47" s="4">
        <f t="shared" ref="C47" si="33">C42+1</f>
        <v>10</v>
      </c>
      <c r="D47" s="4" t="str">
        <f t="shared" si="0"/>
        <v>10</v>
      </c>
      <c r="E47" s="4">
        <f t="shared" ref="E47" si="34">E42</f>
        <v>1</v>
      </c>
      <c r="F47" s="5"/>
      <c r="G47" s="5"/>
      <c r="H47" s="5" t="s">
        <v>69</v>
      </c>
      <c r="I47" s="5" t="s">
        <v>83</v>
      </c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ref="C48" si="35">C47</f>
        <v>10</v>
      </c>
      <c r="D48" s="4" t="str">
        <f t="shared" si="0"/>
        <v>10</v>
      </c>
      <c r="E48" s="4">
        <f t="shared" ref="E48" si="36">E47+1</f>
        <v>2</v>
      </c>
      <c r="F48" s="5"/>
      <c r="G48" s="5"/>
      <c r="H48" s="5" t="s">
        <v>82</v>
      </c>
      <c r="I48" s="5" t="s">
        <v>84</v>
      </c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si="7"/>
        <v>10</v>
      </c>
      <c r="D49" s="4" t="str">
        <f t="shared" si="0"/>
        <v>10</v>
      </c>
      <c r="E49" s="4">
        <f t="shared" si="8"/>
        <v>3</v>
      </c>
      <c r="F49" s="5"/>
      <c r="G49" s="5"/>
      <c r="H49" s="5" t="s">
        <v>82</v>
      </c>
      <c r="I49" s="5" t="s">
        <v>84</v>
      </c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si="7"/>
        <v>10</v>
      </c>
      <c r="D50" s="4" t="str">
        <f t="shared" si="0"/>
        <v>10</v>
      </c>
      <c r="E50" s="4">
        <f t="shared" si="8"/>
        <v>4</v>
      </c>
      <c r="F50" s="5"/>
      <c r="G50" s="5"/>
      <c r="H50" s="5" t="s">
        <v>82</v>
      </c>
      <c r="I50" s="5" t="s">
        <v>84</v>
      </c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7"/>
        <v>10</v>
      </c>
      <c r="D51" s="4" t="str">
        <f t="shared" si="0"/>
        <v>10</v>
      </c>
      <c r="E51" s="4">
        <f t="shared" si="8"/>
        <v>5</v>
      </c>
      <c r="F51" s="5"/>
      <c r="G51" s="5"/>
      <c r="H51" s="5" t="s">
        <v>82</v>
      </c>
      <c r="I51" s="5" t="s">
        <v>84</v>
      </c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ref="C52" si="37">C47+1</f>
        <v>11</v>
      </c>
      <c r="D52" s="4" t="str">
        <f t="shared" si="0"/>
        <v>11</v>
      </c>
      <c r="E52" s="4">
        <f t="shared" ref="E52" si="38">E47</f>
        <v>1</v>
      </c>
      <c r="F52" s="5"/>
      <c r="G52" s="5"/>
      <c r="H52" s="5" t="s">
        <v>69</v>
      </c>
      <c r="I52" s="5" t="s">
        <v>83</v>
      </c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ref="C53" si="39">C52</f>
        <v>11</v>
      </c>
      <c r="D53" s="4" t="str">
        <f t="shared" si="0"/>
        <v>11</v>
      </c>
      <c r="E53" s="4">
        <f t="shared" ref="E53" si="40">E52+1</f>
        <v>2</v>
      </c>
      <c r="F53" s="5"/>
      <c r="G53" s="5"/>
      <c r="H53" s="5" t="s">
        <v>81</v>
      </c>
      <c r="I53" s="5" t="s">
        <v>95</v>
      </c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7"/>
        <v>11</v>
      </c>
      <c r="D54" s="4" t="str">
        <f t="shared" si="0"/>
        <v>11</v>
      </c>
      <c r="E54" s="4">
        <f t="shared" si="8"/>
        <v>3</v>
      </c>
      <c r="F54" s="5"/>
      <c r="G54" s="5"/>
      <c r="H54" s="5" t="s">
        <v>82</v>
      </c>
      <c r="I54" s="5" t="s">
        <v>84</v>
      </c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7"/>
        <v>11</v>
      </c>
      <c r="D55" s="4" t="str">
        <f t="shared" si="0"/>
        <v>11</v>
      </c>
      <c r="E55" s="4">
        <f t="shared" si="8"/>
        <v>4</v>
      </c>
      <c r="F55" s="5"/>
      <c r="G55" s="5"/>
      <c r="H55" s="5" t="s">
        <v>82</v>
      </c>
      <c r="I55" s="5" t="s">
        <v>84</v>
      </c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7"/>
        <v>11</v>
      </c>
      <c r="D56" s="4" t="str">
        <f t="shared" si="0"/>
        <v>11</v>
      </c>
      <c r="E56" s="4">
        <f t="shared" si="8"/>
        <v>5</v>
      </c>
      <c r="F56" s="5"/>
      <c r="G56" s="5"/>
      <c r="H56" s="5" t="s">
        <v>82</v>
      </c>
      <c r="I56" s="5" t="s">
        <v>84</v>
      </c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ref="C57" si="41">C52+1</f>
        <v>12</v>
      </c>
      <c r="D57" s="4" t="str">
        <f t="shared" si="0"/>
        <v>12</v>
      </c>
      <c r="E57" s="4">
        <f t="shared" ref="E57" si="42">E52</f>
        <v>1</v>
      </c>
      <c r="F57" s="5"/>
      <c r="G57" s="5"/>
      <c r="H57" s="5" t="s">
        <v>69</v>
      </c>
      <c r="I57" s="5" t="s">
        <v>83</v>
      </c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ref="C58" si="43">C57</f>
        <v>12</v>
      </c>
      <c r="D58" s="4" t="str">
        <f t="shared" si="0"/>
        <v>12</v>
      </c>
      <c r="E58" s="4">
        <f t="shared" ref="E58" si="44">E57+1</f>
        <v>2</v>
      </c>
      <c r="F58" s="5"/>
      <c r="G58" s="5"/>
      <c r="H58" s="5" t="s">
        <v>82</v>
      </c>
      <c r="I58" s="5" t="s">
        <v>84</v>
      </c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7"/>
        <v>12</v>
      </c>
      <c r="D59" s="4" t="str">
        <f t="shared" si="0"/>
        <v>12</v>
      </c>
      <c r="E59" s="4">
        <f t="shared" si="8"/>
        <v>3</v>
      </c>
      <c r="F59" s="5"/>
      <c r="G59" s="5"/>
      <c r="H59" s="5" t="s">
        <v>82</v>
      </c>
      <c r="I59" s="5" t="s">
        <v>84</v>
      </c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7"/>
        <v>12</v>
      </c>
      <c r="D60" s="4" t="str">
        <f t="shared" si="0"/>
        <v>12</v>
      </c>
      <c r="E60" s="4">
        <f t="shared" si="8"/>
        <v>4</v>
      </c>
      <c r="F60" s="5"/>
      <c r="G60" s="5"/>
      <c r="H60" s="5" t="s">
        <v>82</v>
      </c>
      <c r="I60" s="5" t="s">
        <v>84</v>
      </c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7"/>
        <v>12</v>
      </c>
      <c r="D61" s="4" t="str">
        <f t="shared" si="0"/>
        <v>12</v>
      </c>
      <c r="E61" s="4">
        <f t="shared" si="8"/>
        <v>5</v>
      </c>
      <c r="F61" s="5"/>
      <c r="G61" s="5"/>
      <c r="H61" s="5" t="s">
        <v>82</v>
      </c>
      <c r="I61" s="5" t="s">
        <v>84</v>
      </c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ref="C62:C92" si="45">C57+1</f>
        <v>13</v>
      </c>
      <c r="D62" s="4" t="str">
        <f t="shared" si="0"/>
        <v>13</v>
      </c>
      <c r="E62" s="4">
        <f t="shared" ref="E62" si="46">E57</f>
        <v>1</v>
      </c>
      <c r="F62" s="5"/>
      <c r="G62" s="5"/>
      <c r="H62" s="5" t="s">
        <v>69</v>
      </c>
      <c r="I62" s="5" t="s">
        <v>83</v>
      </c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ref="C63:C93" si="47">C62</f>
        <v>13</v>
      </c>
      <c r="D63" s="4" t="str">
        <f t="shared" si="0"/>
        <v>13</v>
      </c>
      <c r="E63" s="4">
        <f t="shared" ref="E63" si="48">E62+1</f>
        <v>2</v>
      </c>
      <c r="F63" s="5"/>
      <c r="G63" s="5"/>
      <c r="H63" s="5" t="s">
        <v>82</v>
      </c>
      <c r="I63" s="5" t="s">
        <v>84</v>
      </c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7"/>
        <v>13</v>
      </c>
      <c r="D64" s="4" t="str">
        <f t="shared" si="0"/>
        <v>13</v>
      </c>
      <c r="E64" s="4">
        <f t="shared" si="8"/>
        <v>3</v>
      </c>
      <c r="F64" s="5"/>
      <c r="G64" s="5"/>
      <c r="H64" s="5" t="s">
        <v>82</v>
      </c>
      <c r="I64" s="5" t="s">
        <v>84</v>
      </c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7"/>
        <v>13</v>
      </c>
      <c r="D65" s="4" t="str">
        <f t="shared" si="0"/>
        <v>13</v>
      </c>
      <c r="E65" s="4">
        <f t="shared" si="8"/>
        <v>4</v>
      </c>
      <c r="F65" s="5"/>
      <c r="G65" s="5"/>
      <c r="H65" s="5" t="s">
        <v>82</v>
      </c>
      <c r="I65" s="5" t="s">
        <v>84</v>
      </c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7"/>
        <v>13</v>
      </c>
      <c r="D66" s="4" t="str">
        <f t="shared" si="0"/>
        <v>13</v>
      </c>
      <c r="E66" s="4">
        <f t="shared" si="8"/>
        <v>5</v>
      </c>
      <c r="F66" s="5"/>
      <c r="G66" s="5"/>
      <c r="H66" s="5" t="s">
        <v>82</v>
      </c>
      <c r="I66" s="5" t="s">
        <v>84</v>
      </c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45"/>
        <v>14</v>
      </c>
      <c r="D67" s="4" t="str">
        <f t="shared" ref="D67:D96" si="49">B67&amp;C67</f>
        <v>14</v>
      </c>
      <c r="E67" s="4">
        <f t="shared" ref="E67" si="50">E62</f>
        <v>1</v>
      </c>
      <c r="F67" s="5"/>
      <c r="G67" s="5"/>
      <c r="H67" s="5" t="s">
        <v>69</v>
      </c>
      <c r="I67" s="5" t="s">
        <v>83</v>
      </c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47"/>
        <v>14</v>
      </c>
      <c r="D68" s="4" t="str">
        <f t="shared" si="49"/>
        <v>14</v>
      </c>
      <c r="E68" s="4">
        <f t="shared" ref="E68" si="51">E67+1</f>
        <v>2</v>
      </c>
      <c r="F68" s="5"/>
      <c r="G68" s="5"/>
      <c r="H68" s="5" t="s">
        <v>102</v>
      </c>
      <c r="I68" s="5" t="s">
        <v>103</v>
      </c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7"/>
        <v>14</v>
      </c>
      <c r="D69" s="4" t="str">
        <f t="shared" si="49"/>
        <v>14</v>
      </c>
      <c r="E69" s="4">
        <f t="shared" si="8"/>
        <v>3</v>
      </c>
      <c r="F69" s="5"/>
      <c r="G69" s="5"/>
      <c r="H69" s="5" t="s">
        <v>98</v>
      </c>
      <c r="I69" s="5" t="s">
        <v>100</v>
      </c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7"/>
        <v>14</v>
      </c>
      <c r="D70" s="4" t="str">
        <f t="shared" si="49"/>
        <v>14</v>
      </c>
      <c r="E70" s="4">
        <f t="shared" si="8"/>
        <v>4</v>
      </c>
      <c r="F70" s="5"/>
      <c r="G70" s="5"/>
      <c r="H70" s="5" t="s">
        <v>99</v>
      </c>
      <c r="I70" s="5" t="s">
        <v>101</v>
      </c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7"/>
        <v>14</v>
      </c>
      <c r="D71" s="4" t="str">
        <f t="shared" si="49"/>
        <v>14</v>
      </c>
      <c r="E71" s="4">
        <f t="shared" si="8"/>
        <v>5</v>
      </c>
      <c r="F71" s="5"/>
      <c r="G71" s="5"/>
      <c r="H71" s="5" t="s">
        <v>82</v>
      </c>
      <c r="I71" s="5" t="s">
        <v>84</v>
      </c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45"/>
        <v>15</v>
      </c>
      <c r="D72" s="4" t="str">
        <f t="shared" si="49"/>
        <v>15</v>
      </c>
      <c r="E72" s="4">
        <f t="shared" ref="E72" si="52">E67</f>
        <v>1</v>
      </c>
      <c r="F72" s="5"/>
      <c r="G72" s="5"/>
      <c r="H72" s="5" t="s">
        <v>69</v>
      </c>
      <c r="I72" s="5" t="s">
        <v>83</v>
      </c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47"/>
        <v>15</v>
      </c>
      <c r="D73" s="4" t="str">
        <f t="shared" si="49"/>
        <v>15</v>
      </c>
      <c r="E73" s="4">
        <f t="shared" ref="E73" si="53">E72+1</f>
        <v>2</v>
      </c>
      <c r="F73" s="5"/>
      <c r="G73" s="5"/>
      <c r="H73" s="5" t="s">
        <v>104</v>
      </c>
      <c r="I73" s="5" t="s">
        <v>105</v>
      </c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7"/>
        <v>15</v>
      </c>
      <c r="D74" s="4" t="str">
        <f t="shared" si="49"/>
        <v>15</v>
      </c>
      <c r="E74" s="4">
        <f t="shared" si="8"/>
        <v>3</v>
      </c>
      <c r="F74" s="5"/>
      <c r="G74" s="5"/>
      <c r="H74" s="5" t="s">
        <v>113</v>
      </c>
      <c r="I74" s="5" t="s">
        <v>84</v>
      </c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7"/>
        <v>15</v>
      </c>
      <c r="D75" s="4" t="str">
        <f t="shared" si="49"/>
        <v>15</v>
      </c>
      <c r="E75" s="4">
        <f t="shared" si="8"/>
        <v>4</v>
      </c>
      <c r="F75" s="5"/>
      <c r="G75" s="5"/>
      <c r="H75" s="5" t="s">
        <v>113</v>
      </c>
      <c r="I75" s="5" t="s">
        <v>84</v>
      </c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7"/>
        <v>15</v>
      </c>
      <c r="D76" s="4" t="str">
        <f t="shared" si="49"/>
        <v>15</v>
      </c>
      <c r="E76" s="4">
        <f t="shared" si="8"/>
        <v>5</v>
      </c>
      <c r="F76" s="5"/>
      <c r="G76" s="5"/>
      <c r="H76" s="5" t="s">
        <v>113</v>
      </c>
      <c r="I76" s="5" t="s">
        <v>84</v>
      </c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45"/>
        <v>16</v>
      </c>
      <c r="D77" s="4" t="str">
        <f t="shared" si="49"/>
        <v>16</v>
      </c>
      <c r="E77" s="4">
        <f t="shared" ref="E77" si="54">E72</f>
        <v>1</v>
      </c>
      <c r="F77" s="5"/>
      <c r="G77" s="5"/>
      <c r="H77" s="5" t="s">
        <v>113</v>
      </c>
      <c r="I77" s="5" t="s">
        <v>84</v>
      </c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47"/>
        <v>16</v>
      </c>
      <c r="D78" s="4" t="str">
        <f t="shared" si="49"/>
        <v>16</v>
      </c>
      <c r="E78" s="4">
        <f t="shared" ref="E78:E96" si="55">E77+1</f>
        <v>2</v>
      </c>
      <c r="F78" s="5"/>
      <c r="G78" s="5"/>
      <c r="H78" s="5" t="s">
        <v>113</v>
      </c>
      <c r="I78" s="5" t="s">
        <v>84</v>
      </c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7"/>
        <v>16</v>
      </c>
      <c r="D79" s="4" t="str">
        <f t="shared" si="49"/>
        <v>16</v>
      </c>
      <c r="E79" s="4">
        <f t="shared" si="55"/>
        <v>3</v>
      </c>
      <c r="F79" s="5"/>
      <c r="G79" s="5"/>
      <c r="H79" s="5" t="s">
        <v>113</v>
      </c>
      <c r="I79" s="5" t="s">
        <v>84</v>
      </c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7"/>
        <v>16</v>
      </c>
      <c r="D80" s="4" t="str">
        <f t="shared" si="49"/>
        <v>16</v>
      </c>
      <c r="E80" s="4">
        <f t="shared" si="55"/>
        <v>4</v>
      </c>
      <c r="F80" s="5"/>
      <c r="G80" s="5"/>
      <c r="H80" s="5" t="s">
        <v>113</v>
      </c>
      <c r="I80" s="5" t="s">
        <v>84</v>
      </c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7"/>
        <v>16</v>
      </c>
      <c r="D81" s="4" t="str">
        <f t="shared" si="49"/>
        <v>16</v>
      </c>
      <c r="E81" s="4">
        <f t="shared" si="55"/>
        <v>5</v>
      </c>
      <c r="F81" s="5"/>
      <c r="G81" s="5"/>
      <c r="H81" s="5" t="s">
        <v>113</v>
      </c>
      <c r="I81" s="5" t="s">
        <v>84</v>
      </c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45"/>
        <v>17</v>
      </c>
      <c r="D82" s="4" t="str">
        <f t="shared" si="49"/>
        <v>17</v>
      </c>
      <c r="E82" s="4">
        <f t="shared" ref="E82" si="56">E77</f>
        <v>1</v>
      </c>
      <c r="F82" s="5"/>
      <c r="G82" s="5"/>
      <c r="H82" s="5" t="s">
        <v>106</v>
      </c>
      <c r="I82" s="5" t="s">
        <v>83</v>
      </c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47"/>
        <v>17</v>
      </c>
      <c r="D83" s="4" t="str">
        <f t="shared" si="49"/>
        <v>17</v>
      </c>
      <c r="E83" s="4">
        <f t="shared" ref="E83" si="57">E82+1</f>
        <v>2</v>
      </c>
      <c r="F83" s="5"/>
      <c r="G83" s="5"/>
      <c r="H83" s="5" t="s">
        <v>108</v>
      </c>
      <c r="I83" s="5" t="s">
        <v>111</v>
      </c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7"/>
        <v>17</v>
      </c>
      <c r="D84" s="4" t="str">
        <f t="shared" si="49"/>
        <v>17</v>
      </c>
      <c r="E84" s="4">
        <f t="shared" si="55"/>
        <v>3</v>
      </c>
      <c r="F84" s="5"/>
      <c r="G84" s="5"/>
      <c r="H84" s="5" t="s">
        <v>110</v>
      </c>
      <c r="I84" s="5" t="s">
        <v>112</v>
      </c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7"/>
        <v>17</v>
      </c>
      <c r="D85" s="4" t="str">
        <f t="shared" si="49"/>
        <v>17</v>
      </c>
      <c r="E85" s="4">
        <f t="shared" si="55"/>
        <v>4</v>
      </c>
      <c r="F85" s="5"/>
      <c r="G85" s="5"/>
      <c r="H85" s="5" t="s">
        <v>114</v>
      </c>
      <c r="I85" s="5" t="s">
        <v>115</v>
      </c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7"/>
        <v>17</v>
      </c>
      <c r="D86" s="4" t="str">
        <f t="shared" si="49"/>
        <v>17</v>
      </c>
      <c r="E86" s="4">
        <f t="shared" si="55"/>
        <v>5</v>
      </c>
      <c r="F86" s="5"/>
      <c r="G86" s="5"/>
      <c r="H86" s="5" t="s">
        <v>113</v>
      </c>
      <c r="I86" s="5" t="s">
        <v>84</v>
      </c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45"/>
        <v>18</v>
      </c>
      <c r="D87" s="4" t="str">
        <f t="shared" si="49"/>
        <v>18</v>
      </c>
      <c r="E87" s="4">
        <f t="shared" ref="E87" si="58">E82</f>
        <v>1</v>
      </c>
      <c r="F87" s="5"/>
      <c r="G87" s="5"/>
      <c r="H87" s="5" t="s">
        <v>69</v>
      </c>
      <c r="I87" s="5" t="s">
        <v>83</v>
      </c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47"/>
        <v>18</v>
      </c>
      <c r="D88" s="4" t="str">
        <f t="shared" si="49"/>
        <v>18</v>
      </c>
      <c r="E88" s="4">
        <f t="shared" ref="E88" si="59">E87+1</f>
        <v>2</v>
      </c>
      <c r="F88" s="5"/>
      <c r="G88" s="5"/>
      <c r="H88" s="5" t="s">
        <v>107</v>
      </c>
      <c r="I88" s="5" t="s">
        <v>111</v>
      </c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7"/>
        <v>18</v>
      </c>
      <c r="D89" s="4" t="str">
        <f t="shared" si="49"/>
        <v>18</v>
      </c>
      <c r="E89" s="4">
        <f t="shared" si="55"/>
        <v>3</v>
      </c>
      <c r="F89" s="5"/>
      <c r="G89" s="5"/>
      <c r="H89" s="5" t="s">
        <v>109</v>
      </c>
      <c r="I89" s="5" t="s">
        <v>112</v>
      </c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7"/>
        <v>18</v>
      </c>
      <c r="D90" s="4" t="str">
        <f t="shared" si="49"/>
        <v>18</v>
      </c>
      <c r="E90" s="4">
        <f t="shared" si="55"/>
        <v>4</v>
      </c>
      <c r="F90" s="5"/>
      <c r="G90" s="5"/>
      <c r="H90" s="5" t="s">
        <v>113</v>
      </c>
      <c r="I90" s="5" t="s">
        <v>84</v>
      </c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7"/>
        <v>18</v>
      </c>
      <c r="D91" s="4" t="str">
        <f t="shared" si="49"/>
        <v>18</v>
      </c>
      <c r="E91" s="4">
        <f t="shared" si="55"/>
        <v>5</v>
      </c>
      <c r="F91" s="5"/>
      <c r="G91" s="5"/>
      <c r="H91" s="5" t="s">
        <v>113</v>
      </c>
      <c r="I91" s="5" t="s">
        <v>84</v>
      </c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4"/>
      <c r="B92" s="4"/>
      <c r="C92" s="4">
        <f t="shared" si="45"/>
        <v>19</v>
      </c>
      <c r="D92" s="4" t="str">
        <f t="shared" si="49"/>
        <v>19</v>
      </c>
      <c r="E92" s="4">
        <f t="shared" ref="E92" si="60">E87</f>
        <v>1</v>
      </c>
      <c r="F92" s="5"/>
      <c r="G92" s="5"/>
      <c r="H92" s="5"/>
      <c r="I92" s="5"/>
      <c r="J92" s="5"/>
      <c r="K92" s="5"/>
      <c r="L92" s="5"/>
      <c r="M92" s="5"/>
      <c r="N92" s="5"/>
      <c r="O92" s="7"/>
      <c r="P92" s="7"/>
      <c r="Q92" s="7"/>
      <c r="R92" s="7"/>
    </row>
    <row r="93" spans="1:18" x14ac:dyDescent="0.55000000000000004">
      <c r="A93" s="4">
        <v>27</v>
      </c>
      <c r="B93" s="4"/>
      <c r="C93" s="4">
        <f t="shared" si="47"/>
        <v>19</v>
      </c>
      <c r="D93" s="4" t="str">
        <f t="shared" si="49"/>
        <v>19</v>
      </c>
      <c r="E93" s="4">
        <f t="shared" ref="E93" si="61">E92+1</f>
        <v>2</v>
      </c>
      <c r="F93" s="5"/>
      <c r="G93" s="5"/>
      <c r="H93" s="5"/>
      <c r="I93" s="5"/>
      <c r="J93" s="5"/>
      <c r="K93" s="5"/>
      <c r="L93" s="5"/>
      <c r="M93" s="5"/>
      <c r="N93" s="5"/>
      <c r="O93" s="7"/>
      <c r="P93" s="7"/>
      <c r="Q93" s="7"/>
      <c r="R93" s="7"/>
    </row>
    <row r="94" spans="1:18" x14ac:dyDescent="0.55000000000000004">
      <c r="A94" s="4">
        <v>28</v>
      </c>
      <c r="B94" s="4"/>
      <c r="C94" s="4">
        <f t="shared" si="7"/>
        <v>19</v>
      </c>
      <c r="D94" s="4" t="str">
        <f t="shared" si="49"/>
        <v>19</v>
      </c>
      <c r="E94" s="4">
        <f t="shared" si="55"/>
        <v>3</v>
      </c>
      <c r="F94" s="5"/>
      <c r="G94" s="5"/>
      <c r="H94" s="5"/>
      <c r="I94" s="5"/>
      <c r="J94" s="5"/>
      <c r="K94" s="5"/>
      <c r="L94" s="5"/>
      <c r="M94" s="5"/>
      <c r="N94" s="5"/>
      <c r="O94" s="7"/>
      <c r="P94" s="7"/>
      <c r="Q94" s="7"/>
      <c r="R94" s="7"/>
    </row>
    <row r="95" spans="1:18" x14ac:dyDescent="0.55000000000000004">
      <c r="A95" s="4">
        <v>31</v>
      </c>
      <c r="B95" s="4"/>
      <c r="C95" s="4">
        <f t="shared" si="7"/>
        <v>19</v>
      </c>
      <c r="D95" s="4" t="str">
        <f t="shared" si="49"/>
        <v>19</v>
      </c>
      <c r="E95" s="4">
        <f t="shared" si="55"/>
        <v>4</v>
      </c>
      <c r="F95" s="5"/>
      <c r="G95" s="5"/>
      <c r="H95" s="5"/>
      <c r="I95" s="5"/>
      <c r="J95" s="5"/>
      <c r="K95" s="5"/>
      <c r="L95" s="5"/>
      <c r="M95" s="5"/>
      <c r="N95" s="5"/>
      <c r="O95" s="7"/>
      <c r="P95" s="7"/>
      <c r="Q95" s="7"/>
      <c r="R95" s="7"/>
    </row>
    <row r="96" spans="1:18" x14ac:dyDescent="0.55000000000000004">
      <c r="A96" s="4">
        <v>39</v>
      </c>
      <c r="B96" s="4"/>
      <c r="C96" s="4">
        <f t="shared" si="7"/>
        <v>19</v>
      </c>
      <c r="D96" s="4" t="str">
        <f t="shared" si="49"/>
        <v>19</v>
      </c>
      <c r="E96" s="4">
        <f t="shared" si="55"/>
        <v>5</v>
      </c>
      <c r="F96" s="5"/>
      <c r="G96" s="5"/>
      <c r="H96" s="5"/>
      <c r="I96" s="5"/>
      <c r="J96" s="5"/>
      <c r="K96" s="5"/>
      <c r="L96" s="5"/>
      <c r="M96" s="5"/>
      <c r="N96" s="5"/>
      <c r="O96" s="7"/>
      <c r="P96" s="7"/>
      <c r="Q96" s="7"/>
      <c r="R96" s="7"/>
    </row>
    <row r="97" spans="1:18" x14ac:dyDescent="0.55000000000000004">
      <c r="A97" s="15"/>
      <c r="B97" s="15"/>
      <c r="C97" s="15"/>
      <c r="D97" s="15"/>
      <c r="E97" s="15"/>
      <c r="F97" s="16"/>
      <c r="G97" s="16"/>
      <c r="H97" s="16"/>
      <c r="I97" s="16"/>
      <c r="J97" s="16"/>
      <c r="K97" s="16"/>
      <c r="L97" s="16"/>
      <c r="M97" s="16"/>
      <c r="N97" s="16"/>
      <c r="O97" s="17"/>
      <c r="P97" s="17"/>
      <c r="Q97" s="17"/>
      <c r="R97" s="17"/>
    </row>
    <row r="99" spans="1:18" x14ac:dyDescent="0.55000000000000004">
      <c r="A99" t="s">
        <v>9</v>
      </c>
      <c r="F99" t="s">
        <v>8</v>
      </c>
    </row>
    <row r="100" spans="1:18" x14ac:dyDescent="0.55000000000000004">
      <c r="A100">
        <f>MAX(A$2:A$97)</f>
        <v>50</v>
      </c>
      <c r="F100">
        <f>MAX(F$2:F$97)</f>
        <v>0</v>
      </c>
    </row>
    <row r="101" spans="1:18" x14ac:dyDescent="0.55000000000000004">
      <c r="A101" t="s">
        <v>40</v>
      </c>
      <c r="D101" t="s">
        <v>14</v>
      </c>
      <c r="E101" t="s">
        <v>13</v>
      </c>
    </row>
    <row r="102" spans="1:18" x14ac:dyDescent="0.55000000000000004">
      <c r="A102">
        <f>ROW(A98)-ROW(A1)-1</f>
        <v>96</v>
      </c>
      <c r="D102">
        <f>COUNTIF(D$2:D$97,D101)</f>
        <v>0</v>
      </c>
      <c r="E102" s="25">
        <f>_xlfn.MAXIFS(E$2:E$97,$D$2:$D$97,E101)</f>
        <v>0</v>
      </c>
    </row>
    <row r="103" spans="1:18" x14ac:dyDescent="0.55000000000000004">
      <c r="D103" t="s">
        <v>12</v>
      </c>
      <c r="E103" t="s">
        <v>12</v>
      </c>
    </row>
    <row r="104" spans="1:18" x14ac:dyDescent="0.55000000000000004">
      <c r="D104">
        <f>COUNTIF(D$2:D$97,D103)</f>
        <v>0</v>
      </c>
      <c r="E104" s="25">
        <f>_xlfn.MAXIFS(E$2:E$97,$D$2:$D$97,E103)</f>
        <v>0</v>
      </c>
    </row>
  </sheetData>
  <autoFilter ref="A1:R96" xr:uid="{48D32264-F25D-40E9-9C76-26E43E79C8CC}">
    <sortState xmlns:xlrd2="http://schemas.microsoft.com/office/spreadsheetml/2017/richdata2" ref="A2:R96">
      <sortCondition ref="D1:D96"/>
    </sortState>
  </autoFilter>
  <phoneticPr fontId="1"/>
  <conditionalFormatting sqref="A2:R97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tabSelected="1" workbookViewId="0">
      <pane xSplit="8" ySplit="2" topLeftCell="I3" activePane="bottomRight" state="frozen"/>
      <selection activeCell="I12" sqref="I12"/>
      <selection pane="topRight" activeCell="I12" sqref="I12"/>
      <selection pane="bottomLeft" activeCell="I12" sqref="I12"/>
      <selection pane="bottomRight" activeCell="B13" sqref="B13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C:\tk\prj\hg-0025-0016\git\unit01\kv-x520\doc\[kv_script_Pos_info.xlsx]info_script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IFERROR(MATCH($G$3:$G$202&amp;$H$3:$H$202,info_index!$D$2:$D$97&amp;info_index!$E$2:$E$97,0),"")</f>
        <v>1</v>
      </c>
      <c r="K3" t="str" cm="1">
        <f t="array" aca="1" ref="K3:K202" ca="1">IF(LEN(_xlfn.ANCHORARRAY(J3)),INDEX(OFFSET(info_index!$H$2:$H$97,0,$B$23),MATCH($G$3:$G$202&amp;$H$3:$H$202,info_index!$D$2:$D$97&amp;info_index!$E$2:$E$97,0),1)&amp;"","")</f>
        <v>待機位置</v>
      </c>
      <c r="L3" t="str" cm="1">
        <f t="array" aca="1" ref="L3:L202" ca="1">IF(LEN(_xlfn.ANCHORARRAY($J3)),IF(LEN(_xlfn.ANCHORARRAY(K3)),_xlfn.ANCHORARRAY(K3),"unknown"),"")</f>
        <v>待機位置</v>
      </c>
      <c r="N3" t="str" cm="1">
        <f t="array" aca="1" ref="N3:N202" ca="1">IF(LEN(_xlfn.ANCHORARRAY(L3)),"【"&amp;G3:G202&amp;H3:H202&amp;"】 "&amp;_xlfn.ANCHORARRAY(L3),"")</f>
        <v>【11】 待機位置</v>
      </c>
      <c r="O3" t="str" cm="1">
        <f t="array" ref="O3:O202">IFERROR(INDEX(info_index!$J$2:$J$97,MATCH($G$3:$G$202&amp;$H$3:$H$202,info_index!$D$2:$D$97&amp;info_index!$E$2:$E$97,0),1)&amp;"","")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IF(LEN(_xlfn.ANCHORARRAY(J3)),INDEX(OFFSET(info_index!$L$2:$L$97,0,$B$23),MATCH($G$3:$G$202&amp;$H$3:$H$202,info_index!$D$2:$D$97&amp;info_index!$E$2:$E$97,0),1)&amp;"","")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//待機位置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//待機位置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//待機位置
	IF uiInfoIdx = 1 THEN
		IF strInfoKey = 'name' THEN
			strRt	:= '待機位置';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//待機位置
	IF uiInfoIdx = 1 THEN
		IF strInfoKey = 'name' THEN
			strRt	:= '待機位置';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//待機位置
	IF uiInfoIdx = 1 THEN
		IF strInfoKey = 'name' THEN
			strRt	:= '待機位置';
		ELSIF strInfoKey = 'index_name' THEN
			strRt	:= '【11】 待機位置';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//待機位置
	IF uiInfoIdx = 1 THEN
		IF strInfoKey = 'name' THEN
			strRt	:= '待機位置';
		ELSIF strInfoKey = 'index_name' THEN
			strRt	:= '【11】 待機位置';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6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(予約)</v>
      </c>
      <c r="L4" t="str">
        <f ca="1"/>
        <v>(予約)</v>
      </c>
      <c r="N4" t="str">
        <f ca="1"/>
        <v>【12】 (予約)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//(予約)
	ELSIF uiInfoIdx = 2 THEN</v>
      </c>
      <c r="AC4" t="str">
        <f ca="1"/>
        <v xml:space="preserve">
	//(予約)
	ELSIF uiInfoIdx = 2 THEN
		IF strInfoKey = 'name' THEN</v>
      </c>
      <c r="AD4" t="str">
        <f ca="1"/>
        <v xml:space="preserve">
	//(予約)
	ELSIF uiInfoIdx = 2 THEN
		IF strInfoKey = 'name' THEN
			strRt	:= '(予約)';</v>
      </c>
      <c r="AE4" t="str">
        <f ca="1"/>
        <v xml:space="preserve">
	//(予約)
	ELSIF uiInfoIdx = 2 THEN
		IF strInfoKey = 'name' THEN
			strRt	:= '(予約)';
		ELSIF strInfoKey = 'index_name' THEN</v>
      </c>
      <c r="AF4" t="str">
        <f ca="1"/>
        <v xml:space="preserve">
	//(予約)
	ELSIF uiInfoIdx = 2 THEN
		IF strInfoKey = 'name' THEN
			strRt	:= '(予約)';
		ELSIF strInfoKey = 'index_name' THEN
			strRt	:= '【12】 (予約)';</v>
      </c>
      <c r="AG4" t="str">
        <f ca="1"/>
        <v xml:space="preserve">
	//(予約)
	ELSIF uiInfoIdx = 2 THEN
		IF strInfoKey = 'name' THEN
			strRt	:= '(予約)';
		ELSIF strInfoKey = 'index_name' THEN
			strRt	:= '【12】 (予約)';
		ELSIF strInfoKey = 'model' THEN</v>
      </c>
      <c r="AH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</v>
      </c>
      <c r="AI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</v>
      </c>
      <c r="AJ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</v>
      </c>
      <c r="AK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</v>
      </c>
      <c r="AL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</v>
      </c>
      <c r="AM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C:\tk\prj\hg-0025-0016\git\unit01\kv-x520\doc\[kv_script_Pos_info.xlsx]info_script によって生成されました。</v>
      </c>
      <c r="F5">
        <f t="shared" ref="F5:F67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(予約)</v>
      </c>
      <c r="L5" t="str">
        <f ca="1"/>
        <v>(予約)</v>
      </c>
      <c r="N5" t="str">
        <f ca="1"/>
        <v>【13】 (予約)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//(予約)
	ELSIF uiInfoIdx = 3 THEN</v>
      </c>
      <c r="AC5" t="str">
        <f ca="1"/>
        <v xml:space="preserve">
	//(予約)
	ELSIF uiInfoIdx = 3 THEN
		IF strInfoKey = 'name' THEN</v>
      </c>
      <c r="AD5" t="str">
        <f ca="1"/>
        <v xml:space="preserve">
	//(予約)
	ELSIF uiInfoIdx = 3 THEN
		IF strInfoKey = 'name' THEN
			strRt	:= '(予約)';</v>
      </c>
      <c r="AE5" t="str">
        <f ca="1"/>
        <v xml:space="preserve">
	//(予約)
	ELSIF uiInfoIdx = 3 THEN
		IF strInfoKey = 'name' THEN
			strRt	:= '(予約)';
		ELSIF strInfoKey = 'index_name' THEN</v>
      </c>
      <c r="AF5" t="str">
        <f ca="1"/>
        <v xml:space="preserve">
	//(予約)
	ELSIF uiInfoIdx = 3 THEN
		IF strInfoKey = 'name' THEN
			strRt	:= '(予約)';
		ELSIF strInfoKey = 'index_name' THEN
			strRt	:= '【13】 (予約)';</v>
      </c>
      <c r="AG5" t="str">
        <f ca="1"/>
        <v xml:space="preserve">
	//(予約)
	ELSIF uiInfoIdx = 3 THEN
		IF strInfoKey = 'name' THEN
			strRt	:= '(予約)';
		ELSIF strInfoKey = 'index_name' THEN
			strRt	:= '【13】 (予約)';
		ELSIF strInfoKey = 'model' THEN</v>
      </c>
      <c r="AH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</v>
      </c>
      <c r="AI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</v>
      </c>
      <c r="AJ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</v>
      </c>
      <c r="AK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</v>
      </c>
      <c r="AL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</v>
      </c>
      <c r="AM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(予約)</v>
      </c>
      <c r="L6" t="str">
        <f ca="1"/>
        <v>(予約)</v>
      </c>
      <c r="N6" t="str">
        <f ca="1"/>
        <v>【14】 (予約)</v>
      </c>
      <c r="O6" t="str">
        <v/>
      </c>
      <c r="P6" t="str">
        <v>unknown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//(予約)
	ELSIF uiInfoIdx = 4 THEN</v>
      </c>
      <c r="AC6" t="str">
        <f ca="1"/>
        <v xml:space="preserve">
	//(予約)
	ELSIF uiInfoIdx = 4 THEN
		IF strInfoKey = 'name' THEN</v>
      </c>
      <c r="AD6" t="str">
        <f ca="1"/>
        <v xml:space="preserve">
	//(予約)
	ELSIF uiInfoIdx = 4 THEN
		IF strInfoKey = 'name' THEN
			strRt	:= '(予約)';</v>
      </c>
      <c r="AE6" t="str">
        <f ca="1"/>
        <v xml:space="preserve">
	//(予約)
	ELSIF uiInfoIdx = 4 THEN
		IF strInfoKey = 'name' THEN
			strRt	:= '(予約)';
		ELSIF strInfoKey = 'index_name' THEN</v>
      </c>
      <c r="AF6" t="str">
        <f ca="1"/>
        <v xml:space="preserve">
	//(予約)
	ELSIF uiInfoIdx = 4 THEN
		IF strInfoKey = 'name' THEN
			strRt	:= '(予約)';
		ELSIF strInfoKey = 'index_name' THEN
			strRt	:= '【14】 (予約)';</v>
      </c>
      <c r="AG6" t="str">
        <f ca="1"/>
        <v xml:space="preserve">
	//(予約)
	ELSIF uiInfoIdx = 4 THEN
		IF strInfoKey = 'name' THEN
			strRt	:= '(予約)';
		ELSIF strInfoKey = 'index_name' THEN
			strRt	:= '【14】 (予約)';
		ELSIF strInfoKey = 'model' THEN</v>
      </c>
      <c r="AH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</v>
      </c>
      <c r="AI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</v>
      </c>
      <c r="AJ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</v>
      </c>
      <c r="AK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</v>
      </c>
      <c r="AL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</v>
      </c>
      <c r="AM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</v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>●</v>
      </c>
      <c r="J7">
        <v>5</v>
      </c>
      <c r="K7" t="str">
        <f ca="1"/>
        <v>(予約)</v>
      </c>
      <c r="L7" t="str">
        <f ca="1"/>
        <v>(予約)</v>
      </c>
      <c r="N7" t="str">
        <f ca="1"/>
        <v>【15】 (予約)</v>
      </c>
      <c r="O7" t="str">
        <v/>
      </c>
      <c r="P7" t="str">
        <v>unknown</v>
      </c>
      <c r="Q7" t="str">
        <f ca="1"/>
        <v/>
      </c>
      <c r="R7" t="str">
        <f ca="1"/>
        <v>unknown</v>
      </c>
      <c r="Z7" t="str">
        <f ca="1"/>
        <v xml:space="preserve">
</v>
      </c>
      <c r="AA7" t="str">
        <f ca="1"/>
        <v xml:space="preserve">
</v>
      </c>
      <c r="AB7" t="str">
        <f ca="1"/>
        <v xml:space="preserve">
	//(予約)
	ELSIF uiInfoIdx = 5 THEN</v>
      </c>
      <c r="AC7" t="str">
        <f ca="1"/>
        <v xml:space="preserve">
	//(予約)
	ELSIF uiInfoIdx = 5 THEN
		IF strInfoKey = 'name' THEN</v>
      </c>
      <c r="AD7" t="str">
        <f ca="1"/>
        <v xml:space="preserve">
	//(予約)
	ELSIF uiInfoIdx = 5 THEN
		IF strInfoKey = 'name' THEN
			strRt	:= '(予約)';</v>
      </c>
      <c r="AE7" t="str">
        <f ca="1"/>
        <v xml:space="preserve">
	//(予約)
	ELSIF uiInfoIdx = 5 THEN
		IF strInfoKey = 'name' THEN
			strRt	:= '(予約)';
		ELSIF strInfoKey = 'index_name' THEN</v>
      </c>
      <c r="AF7" t="str">
        <f ca="1"/>
        <v xml:space="preserve">
	//(予約)
	ELSIF uiInfoIdx = 5 THEN
		IF strInfoKey = 'name' THEN
			strRt	:= '(予約)';
		ELSIF strInfoKey = 'index_name' THEN
			strRt	:= '【15】 (予約)';</v>
      </c>
      <c r="AG7" t="str">
        <f ca="1"/>
        <v xml:space="preserve">
	//(予約)
	ELSIF uiInfoIdx = 5 THEN
		IF strInfoKey = 'name' THEN
			strRt	:= '(予約)';
		ELSIF strInfoKey = 'index_name' THEN
			strRt	:= '【15】 (予約)';
		ELSIF strInfoKey = 'model' THEN</v>
      </c>
      <c r="AH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</v>
      </c>
      <c r="AI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</v>
      </c>
      <c r="AJ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</v>
      </c>
      <c r="AK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</v>
      </c>
      <c r="AL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</v>
      </c>
      <c r="AM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</v>
      </c>
    </row>
    <row r="8" spans="1:39" x14ac:dyDescent="0.55000000000000004">
      <c r="A8" t="s">
        <v>19</v>
      </c>
      <c r="B8" t="s">
        <v>20</v>
      </c>
      <c r="F8">
        <f>F3+1</f>
        <v>2</v>
      </c>
      <c r="G8" t="str">
        <f t="shared" si="0"/>
        <v>2</v>
      </c>
      <c r="H8">
        <f>COUNTIF(G$3:G8,G8)</f>
        <v>1</v>
      </c>
      <c r="I8" t="str">
        <v/>
      </c>
      <c r="J8">
        <v>6</v>
      </c>
      <c r="K8" t="str">
        <f ca="1"/>
        <v>待機位置</v>
      </c>
      <c r="L8" t="str">
        <f ca="1"/>
        <v>待機位置</v>
      </c>
      <c r="N8" t="str">
        <f ca="1"/>
        <v>【21】 待機位置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//2</v>
      </c>
      <c r="AA8" t="str">
        <f ca="1"/>
        <v xml:space="preserve">
//2
ELSIF strInfoType = 2 THEN</v>
      </c>
      <c r="AB8" t="str">
        <f ca="1"/>
        <v xml:space="preserve">
//2
ELSIF strInfoType = 2 THEN
	//待機位置
	IF uiInfoIdx = 1 THEN</v>
      </c>
      <c r="AC8" t="str">
        <f ca="1"/>
        <v xml:space="preserve">
//2
ELSIF strInfoType = 2 THEN
	//待機位置
	IF uiInfoIdx = 1 THEN
		IF strInfoKey = 'name' THEN</v>
      </c>
      <c r="AD8" t="str">
        <f ca="1"/>
        <v xml:space="preserve">
//2
ELSIF strInfoType = 2 THEN
	//待機位置
	IF uiInfoIdx = 1 THEN
		IF strInfoKey = 'name' THEN
			strRt	:= '待機位置';</v>
      </c>
      <c r="AE8" t="str">
        <f ca="1"/>
        <v xml:space="preserve">
//2
ELSIF strInfoType = 2 THEN
	//待機位置
	IF uiInfoIdx = 1 THEN
		IF strInfoKey = 'name' THEN
			strRt	:= '待機位置';
		ELSIF strInfoKey = 'index_name' THEN</v>
      </c>
      <c r="AF8" t="str">
        <f ca="1"/>
        <v xml:space="preserve">
//2
ELSIF strInfoType = 2 THEN
	//待機位置
	IF uiInfoIdx = 1 THEN
		IF strInfoKey = 'name' THEN
			strRt	:= '待機位置';
		ELSIF strInfoKey = 'index_name' THEN
			strRt	:= '【21】 待機位置';</v>
      </c>
      <c r="AG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</v>
      </c>
      <c r="AH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</v>
      </c>
      <c r="AI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</v>
      </c>
      <c r="AJ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</v>
      </c>
      <c r="AK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</v>
      </c>
      <c r="AL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</v>
      </c>
      <c r="AM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2</v>
      </c>
      <c r="G9" t="str">
        <f t="shared" si="0"/>
        <v>2</v>
      </c>
      <c r="H9">
        <f>COUNTIF(G$3:G9,G9)</f>
        <v>2</v>
      </c>
      <c r="I9" t="str">
        <v/>
      </c>
      <c r="J9">
        <v>7</v>
      </c>
      <c r="K9" t="str">
        <f ca="1"/>
        <v>(予約)</v>
      </c>
      <c r="L9" t="str">
        <f ca="1"/>
        <v>(予約)</v>
      </c>
      <c r="N9" t="str">
        <f ca="1"/>
        <v>【22】 (予約)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//(予約)
	ELSIF uiInfoIdx = 2 THEN</v>
      </c>
      <c r="AC9" t="str">
        <f ca="1"/>
        <v xml:space="preserve">
	//(予約)
	ELSIF uiInfoIdx = 2 THEN
		IF strInfoKey = 'name' THEN</v>
      </c>
      <c r="AD9" t="str">
        <f ca="1"/>
        <v xml:space="preserve">
	//(予約)
	ELSIF uiInfoIdx = 2 THEN
		IF strInfoKey = 'name' THEN
			strRt	:= '(予約)';</v>
      </c>
      <c r="AE9" t="str">
        <f ca="1"/>
        <v xml:space="preserve">
	//(予約)
	ELSIF uiInfoIdx = 2 THEN
		IF strInfoKey = 'name' THEN
			strRt	:= '(予約)';
		ELSIF strInfoKey = 'index_name' THEN</v>
      </c>
      <c r="AF9" t="str">
        <f ca="1"/>
        <v xml:space="preserve">
	//(予約)
	ELSIF uiInfoIdx = 2 THEN
		IF strInfoKey = 'name' THEN
			strRt	:= '(予約)';
		ELSIF strInfoKey = 'index_name' THEN
			strRt	:= '【22】 (予約)';</v>
      </c>
      <c r="AG9" t="str">
        <f ca="1"/>
        <v xml:space="preserve">
	//(予約)
	ELSIF uiInfoIdx = 2 THEN
		IF strInfoKey = 'name' THEN
			strRt	:= '(予約)';
		ELSIF strInfoKey = 'index_name' THEN
			strRt	:= '【22】 (予約)';
		ELSIF strInfoKey = 'model' THEN</v>
      </c>
      <c r="AH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</v>
      </c>
      <c r="AI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</v>
      </c>
      <c r="AJ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</v>
      </c>
      <c r="AK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</v>
      </c>
      <c r="AL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</v>
      </c>
      <c r="AM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2</v>
      </c>
      <c r="G10" t="str">
        <f t="shared" si="0"/>
        <v>2</v>
      </c>
      <c r="H10">
        <f>COUNTIF(G$3:G10,G10)</f>
        <v>3</v>
      </c>
      <c r="I10" t="str">
        <v/>
      </c>
      <c r="J10">
        <v>8</v>
      </c>
      <c r="K10" t="str">
        <f ca="1"/>
        <v>(予約)</v>
      </c>
      <c r="L10" t="str">
        <f ca="1"/>
        <v>(予約)</v>
      </c>
      <c r="N10" t="str">
        <f ca="1"/>
        <v>【23】 (予約)</v>
      </c>
      <c r="O10" t="str">
        <v/>
      </c>
      <c r="P10" t="str">
        <v>unknown</v>
      </c>
      <c r="Q10" t="str">
        <f ca="1"/>
        <v/>
      </c>
      <c r="R10" t="str">
        <f ca="1"/>
        <v>unknown</v>
      </c>
      <c r="Z10" t="str">
        <f ca="1"/>
        <v xml:space="preserve">
</v>
      </c>
      <c r="AA10" t="str">
        <f ca="1"/>
        <v xml:space="preserve">
</v>
      </c>
      <c r="AB10" t="str">
        <f ca="1"/>
        <v xml:space="preserve">
	//(予約)
	ELSIF uiInfoIdx = 3 THEN</v>
      </c>
      <c r="AC10" t="str">
        <f ca="1"/>
        <v xml:space="preserve">
	//(予約)
	ELSIF uiInfoIdx = 3 THEN
		IF strInfoKey = 'name' THEN</v>
      </c>
      <c r="AD10" t="str">
        <f ca="1"/>
        <v xml:space="preserve">
	//(予約)
	ELSIF uiInfoIdx = 3 THEN
		IF strInfoKey = 'name' THEN
			strRt	:= '(予約)';</v>
      </c>
      <c r="AE10" t="str">
        <f ca="1"/>
        <v xml:space="preserve">
	//(予約)
	ELSIF uiInfoIdx = 3 THEN
		IF strInfoKey = 'name' THEN
			strRt	:= '(予約)';
		ELSIF strInfoKey = 'index_name' THEN</v>
      </c>
      <c r="AF10" t="str">
        <f ca="1"/>
        <v xml:space="preserve">
	//(予約)
	ELSIF uiInfoIdx = 3 THEN
		IF strInfoKey = 'name' THEN
			strRt	:= '(予約)';
		ELSIF strInfoKey = 'index_name' THEN
			strRt	:= '【23】 (予約)';</v>
      </c>
      <c r="AG10" t="str">
        <f ca="1"/>
        <v xml:space="preserve">
	//(予約)
	ELSIF uiInfoIdx = 3 THEN
		IF strInfoKey = 'name' THEN
			strRt	:= '(予約)';
		ELSIF strInfoKey = 'index_name' THEN
			strRt	:= '【23】 (予約)';
		ELSIF strInfoKey = 'model' THEN</v>
      </c>
      <c r="AH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</v>
      </c>
      <c r="AI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</v>
      </c>
      <c r="AJ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</v>
      </c>
      <c r="AK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</v>
      </c>
      <c r="AL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</v>
      </c>
      <c r="AM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</v>
      </c>
    </row>
    <row r="11" spans="1:39" x14ac:dyDescent="0.55000000000000004">
      <c r="F11">
        <f t="shared" si="1"/>
        <v>2</v>
      </c>
      <c r="G11" t="str">
        <f t="shared" si="0"/>
        <v>2</v>
      </c>
      <c r="H11">
        <f>COUNTIF(G$3:G11,G11)</f>
        <v>4</v>
      </c>
      <c r="I11" t="str">
        <v/>
      </c>
      <c r="J11">
        <v>9</v>
      </c>
      <c r="K11" t="str">
        <f ca="1"/>
        <v>(予約)</v>
      </c>
      <c r="L11" t="str">
        <f ca="1"/>
        <v>(予約)</v>
      </c>
      <c r="N11" t="str">
        <f ca="1"/>
        <v>【24】 (予約)</v>
      </c>
      <c r="O11" t="str">
        <v/>
      </c>
      <c r="P11" t="str">
        <v>unknown</v>
      </c>
      <c r="Q11" t="str">
        <f ca="1"/>
        <v/>
      </c>
      <c r="R11" t="str">
        <f ca="1"/>
        <v>unknown</v>
      </c>
      <c r="Z11" t="str">
        <f ca="1"/>
        <v xml:space="preserve">
</v>
      </c>
      <c r="AA11" t="str">
        <f ca="1"/>
        <v xml:space="preserve">
</v>
      </c>
      <c r="AB11" t="str">
        <f ca="1"/>
        <v xml:space="preserve">
	//(予約)
	ELSIF uiInfoIdx = 4 THEN</v>
      </c>
      <c r="AC11" t="str">
        <f ca="1"/>
        <v xml:space="preserve">
	//(予約)
	ELSIF uiInfoIdx = 4 THEN
		IF strInfoKey = 'name' THEN</v>
      </c>
      <c r="AD11" t="str">
        <f ca="1"/>
        <v xml:space="preserve">
	//(予約)
	ELSIF uiInfoIdx = 4 THEN
		IF strInfoKey = 'name' THEN
			strRt	:= '(予約)';</v>
      </c>
      <c r="AE11" t="str">
        <f ca="1"/>
        <v xml:space="preserve">
	//(予約)
	ELSIF uiInfoIdx = 4 THEN
		IF strInfoKey = 'name' THEN
			strRt	:= '(予約)';
		ELSIF strInfoKey = 'index_name' THEN</v>
      </c>
      <c r="AF11" t="str">
        <f ca="1"/>
        <v xml:space="preserve">
	//(予約)
	ELSIF uiInfoIdx = 4 THEN
		IF strInfoKey = 'name' THEN
			strRt	:= '(予約)';
		ELSIF strInfoKey = 'index_name' THEN
			strRt	:= '【24】 (予約)';</v>
      </c>
      <c r="AG11" t="str">
        <f ca="1"/>
        <v xml:space="preserve">
	//(予約)
	ELSIF uiInfoIdx = 4 THEN
		IF strInfoKey = 'name' THEN
			strRt	:= '(予約)';
		ELSIF strInfoKey = 'index_name' THEN
			strRt	:= '【24】 (予約)';
		ELSIF strInfoKey = 'model' THEN</v>
      </c>
      <c r="AH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</v>
      </c>
      <c r="AI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</v>
      </c>
      <c r="AJ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</v>
      </c>
      <c r="AK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</v>
      </c>
      <c r="AL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</v>
      </c>
      <c r="AM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</v>
      </c>
    </row>
    <row r="12" spans="1:39" x14ac:dyDescent="0.55000000000000004">
      <c r="F12">
        <f t="shared" si="1"/>
        <v>2</v>
      </c>
      <c r="G12" t="str">
        <f t="shared" si="0"/>
        <v>2</v>
      </c>
      <c r="H12">
        <f>COUNTIF(G$3:G12,G12)</f>
        <v>5</v>
      </c>
      <c r="I12" t="str">
        <v>●</v>
      </c>
      <c r="J12">
        <v>10</v>
      </c>
      <c r="K12" t="str">
        <f ca="1"/>
        <v>(予約)</v>
      </c>
      <c r="L12" t="str">
        <f ca="1"/>
        <v>(予約)</v>
      </c>
      <c r="N12" t="str">
        <f ca="1"/>
        <v>【25】 (予約)</v>
      </c>
      <c r="O12" t="str">
        <v/>
      </c>
      <c r="P12" t="str">
        <v>unknown</v>
      </c>
      <c r="Q12" t="str">
        <f ca="1"/>
        <v/>
      </c>
      <c r="R12" t="str">
        <f ca="1"/>
        <v>unknown</v>
      </c>
      <c r="Z12" t="str">
        <f ca="1"/>
        <v xml:space="preserve">
</v>
      </c>
      <c r="AA12" t="str">
        <f ca="1"/>
        <v xml:space="preserve">
</v>
      </c>
      <c r="AB12" t="str">
        <f ca="1"/>
        <v xml:space="preserve">
	//(予約)
	ELSIF uiInfoIdx = 5 THEN</v>
      </c>
      <c r="AC12" t="str">
        <f ca="1"/>
        <v xml:space="preserve">
	//(予約)
	ELSIF uiInfoIdx = 5 THEN
		IF strInfoKey = 'name' THEN</v>
      </c>
      <c r="AD12" t="str">
        <f ca="1"/>
        <v xml:space="preserve">
	//(予約)
	ELSIF uiInfoIdx = 5 THEN
		IF strInfoKey = 'name' THEN
			strRt	:= '(予約)';</v>
      </c>
      <c r="AE12" t="str">
        <f ca="1"/>
        <v xml:space="preserve">
	//(予約)
	ELSIF uiInfoIdx = 5 THEN
		IF strInfoKey = 'name' THEN
			strRt	:= '(予約)';
		ELSIF strInfoKey = 'index_name' THEN</v>
      </c>
      <c r="AF12" t="str">
        <f ca="1"/>
        <v xml:space="preserve">
	//(予約)
	ELSIF uiInfoIdx = 5 THEN
		IF strInfoKey = 'name' THEN
			strRt	:= '(予約)';
		ELSIF strInfoKey = 'index_name' THEN
			strRt	:= '【25】 (予約)';</v>
      </c>
      <c r="AG12" t="str">
        <f ca="1"/>
        <v xml:space="preserve">
	//(予約)
	ELSIF uiInfoIdx = 5 THEN
		IF strInfoKey = 'name' THEN
			strRt	:= '(予約)';
		ELSIF strInfoKey = 'index_name' THEN
			strRt	:= '【25】 (予約)';
		ELSIF strInfoKey = 'model' THEN</v>
      </c>
      <c r="AH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</v>
      </c>
      <c r="AI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</v>
      </c>
      <c r="AJ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</v>
      </c>
      <c r="AK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</v>
      </c>
      <c r="AL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</v>
      </c>
      <c r="AM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C:\tk\prj\hg-0025-0016\git\unit01\kv-x520\doc\[kv_script_Pos_info.xlsx]info_script によって生成されました。
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
	ELSE
		uiErrCode	:= 2;
	END_IF;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
	ELSE
		uiErrCode	:= 2;
	END_IF;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
		ELSE
			uiErrCode	:= 3;
		END_IF;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
		ELSE
			uiErrCode	:= 3;
		END_IF;
	//計測位置
	ELSIF uiInfoIdx = 4 THEN
		IF strInfoKey = 'name' THEN
			strRt	:= '計測位置';
		ELSIF strInfoKey = 'index_name' THEN
			strRt	:= '【174】 計測位置';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'【175】 (予約)';
		ELSIF strInfoKey = 'model' THEN
			strRt	:= 'unknown';
		ELSIF strInfoKey = 'mf' THEN
			strRt	:= 'unknown';
		ELSE
			uiErrCode	:= 3;
		END_IF;
	ELSE
		uiErrCode	:= 2;
	END_IF;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
		ELSE
			uiErrCode	:= 3;
		END_IF;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
		ELSE
			uiErrCode	:= 3;
		END_IF;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'【184】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'【185】 (予約)';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F8+1</f>
        <v>3</v>
      </c>
      <c r="G13" t="str">
        <f t="shared" si="0"/>
        <v>3</v>
      </c>
      <c r="H13">
        <f>COUNTIF(G$3:G13,G13)</f>
        <v>1</v>
      </c>
      <c r="I13" t="str">
        <v/>
      </c>
      <c r="J13">
        <v>11</v>
      </c>
      <c r="K13" t="str">
        <f ca="1"/>
        <v>待機位置</v>
      </c>
      <c r="L13" t="str">
        <f ca="1"/>
        <v>待機位置</v>
      </c>
      <c r="N13" t="str">
        <f ca="1"/>
        <v>【31】 待機位置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//3</v>
      </c>
      <c r="AA13" t="str">
        <f ca="1"/>
        <v xml:space="preserve">
//3
ELSIF strInfoType = 3 THEN</v>
      </c>
      <c r="AB13" t="str">
        <f ca="1"/>
        <v xml:space="preserve">
//3
ELSIF strInfoType = 3 THEN
	//待機位置
	IF uiInfoIdx = 1 THEN</v>
      </c>
      <c r="AC13" t="str">
        <f ca="1"/>
        <v xml:space="preserve">
//3
ELSIF strInfoType = 3 THEN
	//待機位置
	IF uiInfoIdx = 1 THEN
		IF strInfoKey = 'name' THEN</v>
      </c>
      <c r="AD13" t="str">
        <f ca="1"/>
        <v xml:space="preserve">
//3
ELSIF strInfoType = 3 THEN
	//待機位置
	IF uiInfoIdx = 1 THEN
		IF strInfoKey = 'name' THEN
			strRt	:= '待機位置';</v>
      </c>
      <c r="AE13" t="str">
        <f ca="1"/>
        <v xml:space="preserve">
//3
ELSIF strInfoType = 3 THEN
	//待機位置
	IF uiInfoIdx = 1 THEN
		IF strInfoKey = 'name' THEN
			strRt	:= '待機位置';
		ELSIF strInfoKey = 'index_name' THEN</v>
      </c>
      <c r="AF13" t="str">
        <f ca="1"/>
        <v xml:space="preserve">
//3
ELSIF strInfoType = 3 THEN
	//待機位置
	IF uiInfoIdx = 1 THEN
		IF strInfoKey = 'name' THEN
			strRt	:= '待機位置';
		ELSIF strInfoKey = 'index_name' THEN
			strRt	:= '【31】 待機位置';</v>
      </c>
      <c r="AG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</v>
      </c>
      <c r="AH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</v>
      </c>
      <c r="AI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</v>
      </c>
      <c r="AJ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</v>
      </c>
      <c r="AK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</v>
      </c>
      <c r="AL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</v>
      </c>
      <c r="AM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3</v>
      </c>
      <c r="G14" t="str">
        <f t="shared" si="0"/>
        <v>3</v>
      </c>
      <c r="H14">
        <f>COUNTIF(G$3:G14,G14)</f>
        <v>2</v>
      </c>
      <c r="I14" t="str">
        <v/>
      </c>
      <c r="J14">
        <v>12</v>
      </c>
      <c r="K14" t="str">
        <f ca="1"/>
        <v>(予約)</v>
      </c>
      <c r="L14" t="str">
        <f ca="1"/>
        <v>(予約)</v>
      </c>
      <c r="N14" t="str">
        <f ca="1"/>
        <v>【32】 (予約)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//(予約)
	ELSIF uiInfoIdx = 2 THEN</v>
      </c>
      <c r="AC14" t="str">
        <f ca="1"/>
        <v xml:space="preserve">
	//(予約)
	ELSIF uiInfoIdx = 2 THEN
		IF strInfoKey = 'name' THEN</v>
      </c>
      <c r="AD14" t="str">
        <f ca="1"/>
        <v xml:space="preserve">
	//(予約)
	ELSIF uiInfoIdx = 2 THEN
		IF strInfoKey = 'name' THEN
			strRt	:= '(予約)';</v>
      </c>
      <c r="AE14" t="str">
        <f ca="1"/>
        <v xml:space="preserve">
	//(予約)
	ELSIF uiInfoIdx = 2 THEN
		IF strInfoKey = 'name' THEN
			strRt	:= '(予約)';
		ELSIF strInfoKey = 'index_name' THEN</v>
      </c>
      <c r="AF14" t="str">
        <f ca="1"/>
        <v xml:space="preserve">
	//(予約)
	ELSIF uiInfoIdx = 2 THEN
		IF strInfoKey = 'name' THEN
			strRt	:= '(予約)';
		ELSIF strInfoKey = 'index_name' THEN
			strRt	:= '【32】 (予約)';</v>
      </c>
      <c r="AG14" t="str">
        <f ca="1"/>
        <v xml:space="preserve">
	//(予約)
	ELSIF uiInfoIdx = 2 THEN
		IF strInfoKey = 'name' THEN
			strRt	:= '(予約)';
		ELSIF strInfoKey = 'index_name' THEN
			strRt	:= '【32】 (予約)';
		ELSIF strInfoKey = 'model' THEN</v>
      </c>
      <c r="AH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</v>
      </c>
      <c r="AI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</v>
      </c>
      <c r="AJ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</v>
      </c>
      <c r="AK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</v>
      </c>
      <c r="AL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</v>
      </c>
      <c r="AM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3</v>
      </c>
      <c r="G15" t="str">
        <f t="shared" si="0"/>
        <v>3</v>
      </c>
      <c r="H15">
        <f>COUNTIF(G$3:G15,G15)</f>
        <v>3</v>
      </c>
      <c r="I15" t="str">
        <v/>
      </c>
      <c r="J15">
        <v>13</v>
      </c>
      <c r="K15" t="str">
        <f ca="1"/>
        <v>(予約)</v>
      </c>
      <c r="L15" t="str">
        <f ca="1"/>
        <v>(予約)</v>
      </c>
      <c r="N15" t="str">
        <f ca="1"/>
        <v>【33】 (予約)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//(予約)
	ELSIF uiInfoIdx = 3 THEN</v>
      </c>
      <c r="AC15" t="str">
        <f ca="1"/>
        <v xml:space="preserve">
	//(予約)
	ELSIF uiInfoIdx = 3 THEN
		IF strInfoKey = 'name' THEN</v>
      </c>
      <c r="AD15" t="str">
        <f ca="1"/>
        <v xml:space="preserve">
	//(予約)
	ELSIF uiInfoIdx = 3 THEN
		IF strInfoKey = 'name' THEN
			strRt	:= '(予約)';</v>
      </c>
      <c r="AE15" t="str">
        <f ca="1"/>
        <v xml:space="preserve">
	//(予約)
	ELSIF uiInfoIdx = 3 THEN
		IF strInfoKey = 'name' THEN
			strRt	:= '(予約)';
		ELSIF strInfoKey = 'index_name' THEN</v>
      </c>
      <c r="AF15" t="str">
        <f ca="1"/>
        <v xml:space="preserve">
	//(予約)
	ELSIF uiInfoIdx = 3 THEN
		IF strInfoKey = 'name' THEN
			strRt	:= '(予約)';
		ELSIF strInfoKey = 'index_name' THEN
			strRt	:= '【33】 (予約)';</v>
      </c>
      <c r="AG15" t="str">
        <f ca="1"/>
        <v xml:space="preserve">
	//(予約)
	ELSIF uiInfoIdx = 3 THEN
		IF strInfoKey = 'name' THEN
			strRt	:= '(予約)';
		ELSIF strInfoKey = 'index_name' THEN
			strRt	:= '【33】 (予約)';
		ELSIF strInfoKey = 'model' THEN</v>
      </c>
      <c r="AH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</v>
      </c>
      <c r="AI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</v>
      </c>
      <c r="AJ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</v>
      </c>
      <c r="AK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</v>
      </c>
      <c r="AL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</v>
      </c>
      <c r="AM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3</v>
      </c>
      <c r="G16" t="str">
        <f t="shared" si="0"/>
        <v>3</v>
      </c>
      <c r="H16">
        <f>COUNTIF(G$3:G16,G16)</f>
        <v>4</v>
      </c>
      <c r="I16" t="str">
        <v/>
      </c>
      <c r="J16">
        <v>14</v>
      </c>
      <c r="K16" t="str">
        <f ca="1"/>
        <v>(予約)</v>
      </c>
      <c r="L16" t="str">
        <f ca="1"/>
        <v>(予約)</v>
      </c>
      <c r="N16" t="str">
        <f ca="1"/>
        <v>【34】 (予約)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//(予約)
	ELSIF uiInfoIdx = 4 THEN</v>
      </c>
      <c r="AC16" t="str">
        <f ca="1"/>
        <v xml:space="preserve">
	//(予約)
	ELSIF uiInfoIdx = 4 THEN
		IF strInfoKey = 'name' THEN</v>
      </c>
      <c r="AD16" t="str">
        <f ca="1"/>
        <v xml:space="preserve">
	//(予約)
	ELSIF uiInfoIdx = 4 THEN
		IF strInfoKey = 'name' THEN
			strRt	:= '(予約)';</v>
      </c>
      <c r="AE16" t="str">
        <f ca="1"/>
        <v xml:space="preserve">
	//(予約)
	ELSIF uiInfoIdx = 4 THEN
		IF strInfoKey = 'name' THEN
			strRt	:= '(予約)';
		ELSIF strInfoKey = 'index_name' THEN</v>
      </c>
      <c r="AF16" t="str">
        <f ca="1"/>
        <v xml:space="preserve">
	//(予約)
	ELSIF uiInfoIdx = 4 THEN
		IF strInfoKey = 'name' THEN
			strRt	:= '(予約)';
		ELSIF strInfoKey = 'index_name' THEN
			strRt	:= '【34】 (予約)';</v>
      </c>
      <c r="AG16" t="str">
        <f ca="1"/>
        <v xml:space="preserve">
	//(予約)
	ELSIF uiInfoIdx = 4 THEN
		IF strInfoKey = 'name' THEN
			strRt	:= '(予約)';
		ELSIF strInfoKey = 'index_name' THEN
			strRt	:= '【34】 (予約)';
		ELSIF strInfoKey = 'model' THEN</v>
      </c>
      <c r="AH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</v>
      </c>
      <c r="AI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</v>
      </c>
      <c r="AJ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</v>
      </c>
      <c r="AK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</v>
      </c>
      <c r="AL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</v>
      </c>
      <c r="AM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3</v>
      </c>
      <c r="G17" t="str">
        <f t="shared" si="0"/>
        <v>3</v>
      </c>
      <c r="H17">
        <f>COUNTIF(G$3:G17,G17)</f>
        <v>5</v>
      </c>
      <c r="I17" t="str">
        <v>●</v>
      </c>
      <c r="J17">
        <v>15</v>
      </c>
      <c r="K17" t="str">
        <f ca="1"/>
        <v>(予約)</v>
      </c>
      <c r="L17" t="str">
        <f ca="1"/>
        <v>(予約)</v>
      </c>
      <c r="N17" t="str">
        <f ca="1"/>
        <v>【35】 (予約)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//(予約)
	ELSIF uiInfoIdx = 5 THEN</v>
      </c>
      <c r="AC17" t="str">
        <f ca="1"/>
        <v xml:space="preserve">
	//(予約)
	ELSIF uiInfoIdx = 5 THEN
		IF strInfoKey = 'name' THEN</v>
      </c>
      <c r="AD17" t="str">
        <f ca="1"/>
        <v xml:space="preserve">
	//(予約)
	ELSIF uiInfoIdx = 5 THEN
		IF strInfoKey = 'name' THEN
			strRt	:= '(予約)';</v>
      </c>
      <c r="AE17" t="str">
        <f ca="1"/>
        <v xml:space="preserve">
	//(予約)
	ELSIF uiInfoIdx = 5 THEN
		IF strInfoKey = 'name' THEN
			strRt	:= '(予約)';
		ELSIF strInfoKey = 'index_name' THEN</v>
      </c>
      <c r="AF17" t="str">
        <f ca="1"/>
        <v xml:space="preserve">
	//(予約)
	ELSIF uiInfoIdx = 5 THEN
		IF strInfoKey = 'name' THEN
			strRt	:= '(予約)';
		ELSIF strInfoKey = 'index_name' THEN
			strRt	:= '【35】 (予約)';</v>
      </c>
      <c r="AG17" t="str">
        <f ca="1"/>
        <v xml:space="preserve">
	//(予約)
	ELSIF uiInfoIdx = 5 THEN
		IF strInfoKey = 'name' THEN
			strRt	:= '(予約)';
		ELSIF strInfoKey = 'index_name' THEN
			strRt	:= '【35】 (予約)';
		ELSIF strInfoKey = 'model' THEN</v>
      </c>
      <c r="AH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</v>
      </c>
      <c r="AI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</v>
      </c>
      <c r="AJ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</v>
      </c>
      <c r="AK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</v>
      </c>
      <c r="AL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</v>
      </c>
      <c r="AM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</v>
      </c>
    </row>
    <row r="18" spans="1:39" x14ac:dyDescent="0.55000000000000004">
      <c r="F18">
        <f>F13+1</f>
        <v>4</v>
      </c>
      <c r="G18" t="str">
        <f t="shared" si="0"/>
        <v>4</v>
      </c>
      <c r="H18">
        <f>COUNTIF(G$3:G18,G18)</f>
        <v>1</v>
      </c>
      <c r="I18" t="str">
        <v/>
      </c>
      <c r="J18">
        <v>16</v>
      </c>
      <c r="K18" t="str">
        <f ca="1"/>
        <v>待機位置</v>
      </c>
      <c r="L18" t="str">
        <f ca="1"/>
        <v>待機位置</v>
      </c>
      <c r="N18" t="str">
        <f ca="1"/>
        <v>【41】 待機位置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//4</v>
      </c>
      <c r="AA18" t="str">
        <f ca="1"/>
        <v xml:space="preserve">
//4
ELSIF strInfoType = 4 THEN</v>
      </c>
      <c r="AB18" t="str">
        <f ca="1"/>
        <v xml:space="preserve">
//4
ELSIF strInfoType = 4 THEN
	//待機位置
	IF uiInfoIdx = 1 THEN</v>
      </c>
      <c r="AC18" t="str">
        <f ca="1"/>
        <v xml:space="preserve">
//4
ELSIF strInfoType = 4 THEN
	//待機位置
	IF uiInfoIdx = 1 THEN
		IF strInfoKey = 'name' THEN</v>
      </c>
      <c r="AD18" t="str">
        <f ca="1"/>
        <v xml:space="preserve">
//4
ELSIF strInfoType = 4 THEN
	//待機位置
	IF uiInfoIdx = 1 THEN
		IF strInfoKey = 'name' THEN
			strRt	:= '待機位置';</v>
      </c>
      <c r="AE18" t="str">
        <f ca="1"/>
        <v xml:space="preserve">
//4
ELSIF strInfoType = 4 THEN
	//待機位置
	IF uiInfoIdx = 1 THEN
		IF strInfoKey = 'name' THEN
			strRt	:= '待機位置';
		ELSIF strInfoKey = 'index_name' THEN</v>
      </c>
      <c r="AF18" t="str">
        <f ca="1"/>
        <v xml:space="preserve">
//4
ELSIF strInfoType = 4 THEN
	//待機位置
	IF uiInfoIdx = 1 THEN
		IF strInfoKey = 'name' THEN
			strRt	:= '待機位置';
		ELSIF strInfoKey = 'index_name' THEN
			strRt	:= '【41】 待機位置';</v>
      </c>
      <c r="AG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</v>
      </c>
      <c r="AH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</v>
      </c>
      <c r="AI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</v>
      </c>
      <c r="AJ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</v>
      </c>
      <c r="AK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</v>
      </c>
      <c r="AL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</v>
      </c>
      <c r="AM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4</v>
      </c>
      <c r="G19" t="str">
        <f t="shared" si="0"/>
        <v>4</v>
      </c>
      <c r="H19">
        <f>COUNTIF(G$3:G19,G19)</f>
        <v>2</v>
      </c>
      <c r="I19" t="str">
        <v/>
      </c>
      <c r="J19">
        <v>17</v>
      </c>
      <c r="K19" t="str">
        <f ca="1"/>
        <v>(予約)</v>
      </c>
      <c r="L19" t="str">
        <f ca="1"/>
        <v>(予約)</v>
      </c>
      <c r="N19" t="str">
        <f ca="1"/>
        <v>【42】 (予約)</v>
      </c>
      <c r="O19" t="str">
        <v/>
      </c>
      <c r="P19" t="str">
        <v>unknown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//(予約)
	ELSIF uiInfoIdx = 2 THEN</v>
      </c>
      <c r="AC19" t="str">
        <f ca="1"/>
        <v xml:space="preserve">
	//(予約)
	ELSIF uiInfoIdx = 2 THEN
		IF strInfoKey = 'name' THEN</v>
      </c>
      <c r="AD19" t="str">
        <f ca="1"/>
        <v xml:space="preserve">
	//(予約)
	ELSIF uiInfoIdx = 2 THEN
		IF strInfoKey = 'name' THEN
			strRt	:= '(予約)';</v>
      </c>
      <c r="AE19" t="str">
        <f ca="1"/>
        <v xml:space="preserve">
	//(予約)
	ELSIF uiInfoIdx = 2 THEN
		IF strInfoKey = 'name' THEN
			strRt	:= '(予約)';
		ELSIF strInfoKey = 'index_name' THEN</v>
      </c>
      <c r="AF19" t="str">
        <f ca="1"/>
        <v xml:space="preserve">
	//(予約)
	ELSIF uiInfoIdx = 2 THEN
		IF strInfoKey = 'name' THEN
			strRt	:= '(予約)';
		ELSIF strInfoKey = 'index_name' THEN
			strRt	:= '【42】 (予約)';</v>
      </c>
      <c r="AG19" t="str">
        <f ca="1"/>
        <v xml:space="preserve">
	//(予約)
	ELSIF uiInfoIdx = 2 THEN
		IF strInfoKey = 'name' THEN
			strRt	:= '(予約)';
		ELSIF strInfoKey = 'index_name' THEN
			strRt	:= '【42】 (予約)';
		ELSIF strInfoKey = 'model' THEN</v>
      </c>
      <c r="AH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</v>
      </c>
      <c r="AI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</v>
      </c>
      <c r="AJ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</v>
      </c>
      <c r="AK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</v>
      </c>
      <c r="AL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</v>
      </c>
      <c r="AM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</v>
      </c>
    </row>
    <row r="20" spans="1:39" x14ac:dyDescent="0.55000000000000004">
      <c r="F20">
        <f t="shared" si="1"/>
        <v>4</v>
      </c>
      <c r="G20" t="str">
        <f t="shared" si="0"/>
        <v>4</v>
      </c>
      <c r="H20">
        <f>COUNTIF(G$3:G20,G20)</f>
        <v>3</v>
      </c>
      <c r="I20" t="str">
        <v/>
      </c>
      <c r="J20">
        <v>18</v>
      </c>
      <c r="K20" t="str">
        <f ca="1"/>
        <v>(予約)</v>
      </c>
      <c r="L20" t="str">
        <f ca="1"/>
        <v>(予約)</v>
      </c>
      <c r="N20" t="str">
        <f ca="1"/>
        <v>【43】 (予約)</v>
      </c>
      <c r="O20" t="str">
        <v/>
      </c>
      <c r="P20" t="str">
        <v>unknown</v>
      </c>
      <c r="Q20" t="str">
        <f ca="1"/>
        <v/>
      </c>
      <c r="R20" t="str">
        <f ca="1"/>
        <v>unknown</v>
      </c>
      <c r="Z20" t="str">
        <f ca="1"/>
        <v xml:space="preserve">
</v>
      </c>
      <c r="AA20" t="str">
        <f ca="1"/>
        <v xml:space="preserve">
</v>
      </c>
      <c r="AB20" t="str">
        <f ca="1"/>
        <v xml:space="preserve">
	//(予約)
	ELSIF uiInfoIdx = 3 THEN</v>
      </c>
      <c r="AC20" t="str">
        <f ca="1"/>
        <v xml:space="preserve">
	//(予約)
	ELSIF uiInfoIdx = 3 THEN
		IF strInfoKey = 'name' THEN</v>
      </c>
      <c r="AD20" t="str">
        <f ca="1"/>
        <v xml:space="preserve">
	//(予約)
	ELSIF uiInfoIdx = 3 THEN
		IF strInfoKey = 'name' THEN
			strRt	:= '(予約)';</v>
      </c>
      <c r="AE20" t="str">
        <f ca="1"/>
        <v xml:space="preserve">
	//(予約)
	ELSIF uiInfoIdx = 3 THEN
		IF strInfoKey = 'name' THEN
			strRt	:= '(予約)';
		ELSIF strInfoKey = 'index_name' THEN</v>
      </c>
      <c r="AF20" t="str">
        <f ca="1"/>
        <v xml:space="preserve">
	//(予約)
	ELSIF uiInfoIdx = 3 THEN
		IF strInfoKey = 'name' THEN
			strRt	:= '(予約)';
		ELSIF strInfoKey = 'index_name' THEN
			strRt	:= '【43】 (予約)';</v>
      </c>
      <c r="AG20" t="str">
        <f ca="1"/>
        <v xml:space="preserve">
	//(予約)
	ELSIF uiInfoIdx = 3 THEN
		IF strInfoKey = 'name' THEN
			strRt	:= '(予約)';
		ELSIF strInfoKey = 'index_name' THEN
			strRt	:= '【43】 (予約)';
		ELSIF strInfoKey = 'model' THEN</v>
      </c>
      <c r="AH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</v>
      </c>
      <c r="AI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</v>
      </c>
      <c r="AJ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</v>
      </c>
      <c r="AK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</v>
      </c>
      <c r="AL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</v>
      </c>
      <c r="AM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</v>
      </c>
    </row>
    <row r="21" spans="1:39" x14ac:dyDescent="0.55000000000000004">
      <c r="F21">
        <f t="shared" si="1"/>
        <v>4</v>
      </c>
      <c r="G21" t="str">
        <f t="shared" si="0"/>
        <v>4</v>
      </c>
      <c r="H21">
        <f>COUNTIF(G$3:G21,G21)</f>
        <v>4</v>
      </c>
      <c r="I21" t="str">
        <v/>
      </c>
      <c r="J21">
        <v>19</v>
      </c>
      <c r="K21" t="str">
        <f ca="1"/>
        <v>(予約)</v>
      </c>
      <c r="L21" t="str">
        <f ca="1"/>
        <v>(予約)</v>
      </c>
      <c r="N21" t="str">
        <f ca="1"/>
        <v>【44】 (予約)</v>
      </c>
      <c r="O21" t="str">
        <v/>
      </c>
      <c r="P21" t="str">
        <v>unknown</v>
      </c>
      <c r="Q21" t="str">
        <f ca="1"/>
        <v/>
      </c>
      <c r="R21" t="str">
        <f ca="1"/>
        <v>unknown</v>
      </c>
      <c r="Z21" t="str">
        <f ca="1"/>
        <v xml:space="preserve">
</v>
      </c>
      <c r="AA21" t="str">
        <f ca="1"/>
        <v xml:space="preserve">
</v>
      </c>
      <c r="AB21" t="str">
        <f ca="1"/>
        <v xml:space="preserve">
	//(予約)
	ELSIF uiInfoIdx = 4 THEN</v>
      </c>
      <c r="AC21" t="str">
        <f ca="1"/>
        <v xml:space="preserve">
	//(予約)
	ELSIF uiInfoIdx = 4 THEN
		IF strInfoKey = 'name' THEN</v>
      </c>
      <c r="AD21" t="str">
        <f ca="1"/>
        <v xml:space="preserve">
	//(予約)
	ELSIF uiInfoIdx = 4 THEN
		IF strInfoKey = 'name' THEN
			strRt	:= '(予約)';</v>
      </c>
      <c r="AE21" t="str">
        <f ca="1"/>
        <v xml:space="preserve">
	//(予約)
	ELSIF uiInfoIdx = 4 THEN
		IF strInfoKey = 'name' THEN
			strRt	:= '(予約)';
		ELSIF strInfoKey = 'index_name' THEN</v>
      </c>
      <c r="AF21" t="str">
        <f ca="1"/>
        <v xml:space="preserve">
	//(予約)
	ELSIF uiInfoIdx = 4 THEN
		IF strInfoKey = 'name' THEN
			strRt	:= '(予約)';
		ELSIF strInfoKey = 'index_name' THEN
			strRt	:= '【44】 (予約)';</v>
      </c>
      <c r="AG21" t="str">
        <f ca="1"/>
        <v xml:space="preserve">
	//(予約)
	ELSIF uiInfoIdx = 4 THEN
		IF strInfoKey = 'name' THEN
			strRt	:= '(予約)';
		ELSIF strInfoKey = 'index_name' THEN
			strRt	:= '【44】 (予約)';
		ELSIF strInfoKey = 'model' THEN</v>
      </c>
      <c r="AH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</v>
      </c>
      <c r="AI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</v>
      </c>
      <c r="AJ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</v>
      </c>
      <c r="AK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</v>
      </c>
      <c r="AL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</v>
      </c>
      <c r="AM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</v>
      </c>
    </row>
    <row r="22" spans="1:39" x14ac:dyDescent="0.55000000000000004">
      <c r="F22">
        <f t="shared" si="1"/>
        <v>4</v>
      </c>
      <c r="G22" t="str">
        <f t="shared" si="0"/>
        <v>4</v>
      </c>
      <c r="H22">
        <f>COUNTIF(G$3:G22,G22)</f>
        <v>5</v>
      </c>
      <c r="I22" t="str">
        <v>●</v>
      </c>
      <c r="J22">
        <v>20</v>
      </c>
      <c r="K22" t="str">
        <f ca="1"/>
        <v>(予約)</v>
      </c>
      <c r="L22" t="str">
        <f ca="1"/>
        <v>(予約)</v>
      </c>
      <c r="N22" t="str">
        <f ca="1"/>
        <v>【45】 (予約)</v>
      </c>
      <c r="O22" t="str">
        <v/>
      </c>
      <c r="P22" t="str">
        <v>unknown</v>
      </c>
      <c r="Q22" t="str">
        <f ca="1"/>
        <v/>
      </c>
      <c r="R22" t="str">
        <f ca="1"/>
        <v>unknown</v>
      </c>
      <c r="Z22" t="str">
        <f ca="1"/>
        <v xml:space="preserve">
</v>
      </c>
      <c r="AA22" t="str">
        <f ca="1"/>
        <v xml:space="preserve">
</v>
      </c>
      <c r="AB22" t="str">
        <f ca="1"/>
        <v xml:space="preserve">
	//(予約)
	ELSIF uiInfoIdx = 5 THEN</v>
      </c>
      <c r="AC22" t="str">
        <f ca="1"/>
        <v xml:space="preserve">
	//(予約)
	ELSIF uiInfoIdx = 5 THEN
		IF strInfoKey = 'name' THEN</v>
      </c>
      <c r="AD22" t="str">
        <f ca="1"/>
        <v xml:space="preserve">
	//(予約)
	ELSIF uiInfoIdx = 5 THEN
		IF strInfoKey = 'name' THEN
			strRt	:= '(予約)';</v>
      </c>
      <c r="AE22" t="str">
        <f ca="1"/>
        <v xml:space="preserve">
	//(予約)
	ELSIF uiInfoIdx = 5 THEN
		IF strInfoKey = 'name' THEN
			strRt	:= '(予約)';
		ELSIF strInfoKey = 'index_name' THEN</v>
      </c>
      <c r="AF22" t="str">
        <f ca="1"/>
        <v xml:space="preserve">
	//(予約)
	ELSIF uiInfoIdx = 5 THEN
		IF strInfoKey = 'name' THEN
			strRt	:= '(予約)';
		ELSIF strInfoKey = 'index_name' THEN
			strRt	:= '【45】 (予約)';</v>
      </c>
      <c r="AG22" t="str">
        <f ca="1"/>
        <v xml:space="preserve">
	//(予約)
	ELSIF uiInfoIdx = 5 THEN
		IF strInfoKey = 'name' THEN
			strRt	:= '(予約)';
		ELSIF strInfoKey = 'index_name' THEN
			strRt	:= '【45】 (予約)';
		ELSIF strInfoKey = 'model' THEN</v>
      </c>
      <c r="AH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</v>
      </c>
      <c r="AI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</v>
      </c>
      <c r="AJ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</v>
      </c>
      <c r="AK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</v>
      </c>
      <c r="AL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</v>
      </c>
      <c r="AM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</v>
      </c>
    </row>
    <row r="23" spans="1:39" x14ac:dyDescent="0.55000000000000004">
      <c r="A23" t="s">
        <v>41</v>
      </c>
      <c r="B23">
        <v>0</v>
      </c>
      <c r="F23">
        <f>F18+1</f>
        <v>5</v>
      </c>
      <c r="G23" t="str">
        <f t="shared" si="0"/>
        <v>5</v>
      </c>
      <c r="H23">
        <f>COUNTIF(G$3:G23,G23)</f>
        <v>1</v>
      </c>
      <c r="I23" t="str">
        <v/>
      </c>
      <c r="J23">
        <v>21</v>
      </c>
      <c r="K23" t="str">
        <f ca="1"/>
        <v>待機位置</v>
      </c>
      <c r="L23" t="str">
        <f ca="1"/>
        <v>待機位置</v>
      </c>
      <c r="N23" t="str">
        <f ca="1"/>
        <v>【51】 待機位置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//5</v>
      </c>
      <c r="AA23" t="str">
        <f ca="1"/>
        <v xml:space="preserve">
//5
ELSIF strInfoType = 5 THEN</v>
      </c>
      <c r="AB23" t="str">
        <f ca="1"/>
        <v xml:space="preserve">
//5
ELSIF strInfoType = 5 THEN
	//待機位置
	IF uiInfoIdx = 1 THEN</v>
      </c>
      <c r="AC23" t="str">
        <f ca="1"/>
        <v xml:space="preserve">
//5
ELSIF strInfoType = 5 THEN
	//待機位置
	IF uiInfoIdx = 1 THEN
		IF strInfoKey = 'name' THEN</v>
      </c>
      <c r="AD23" t="str">
        <f ca="1"/>
        <v xml:space="preserve">
//5
ELSIF strInfoType = 5 THEN
	//待機位置
	IF uiInfoIdx = 1 THEN
		IF strInfoKey = 'name' THEN
			strRt	:= '待機位置';</v>
      </c>
      <c r="AE23" t="str">
        <f ca="1"/>
        <v xml:space="preserve">
//5
ELSIF strInfoType = 5 THEN
	//待機位置
	IF uiInfoIdx = 1 THEN
		IF strInfoKey = 'name' THEN
			strRt	:= '待機位置';
		ELSIF strInfoKey = 'index_name' THEN</v>
      </c>
      <c r="AF23" t="str">
        <f ca="1"/>
        <v xml:space="preserve">
//5
ELSIF strInfoType = 5 THEN
	//待機位置
	IF uiInfoIdx = 1 THEN
		IF strInfoKey = 'name' THEN
			strRt	:= '待機位置';
		ELSIF strInfoKey = 'index_name' THEN
			strRt	:= '【51】 待機位置';</v>
      </c>
      <c r="AG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</v>
      </c>
      <c r="AH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</v>
      </c>
      <c r="AI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</v>
      </c>
      <c r="AJ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</v>
      </c>
      <c r="AK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</v>
      </c>
      <c r="AL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</v>
      </c>
      <c r="AM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5</v>
      </c>
      <c r="G24" t="str">
        <f t="shared" si="0"/>
        <v>5</v>
      </c>
      <c r="H24">
        <f>COUNTIF(G$3:G24,G24)</f>
        <v>2</v>
      </c>
      <c r="I24" t="str">
        <v/>
      </c>
      <c r="J24">
        <v>22</v>
      </c>
      <c r="K24" t="str">
        <f ca="1"/>
        <v>検査待機位置</v>
      </c>
      <c r="L24" t="str">
        <f ca="1"/>
        <v>検査待機位置</v>
      </c>
      <c r="N24" t="str">
        <f ca="1"/>
        <v>【52】 検査待機位置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//検査待機位置
	ELSIF uiInfoIdx = 2 THEN</v>
      </c>
      <c r="AC24" t="str">
        <f ca="1"/>
        <v xml:space="preserve">
	//検査待機位置
	ELSIF uiInfoIdx = 2 THEN
		IF strInfoKey = 'name' THEN</v>
      </c>
      <c r="AD24" t="str">
        <f ca="1"/>
        <v xml:space="preserve">
	//検査待機位置
	ELSIF uiInfoIdx = 2 THEN
		IF strInfoKey = 'name' THEN
			strRt	:= '検査待機位置';</v>
      </c>
      <c r="AE24" t="str">
        <f ca="1"/>
        <v xml:space="preserve">
	//検査待機位置
	ELSIF uiInfoIdx = 2 THEN
		IF strInfoKey = 'name' THEN
			strRt	:= '検査待機位置';
		ELSIF strInfoKey = 'index_name' THEN</v>
      </c>
      <c r="AF24" t="str">
        <f ca="1"/>
        <v xml:space="preserve">
	//検査待機位置
	ELSIF uiInfoIdx = 2 THEN
		IF strInfoKey = 'name' THEN
			strRt	:= '検査待機位置';
		ELSIF strInfoKey = 'index_name' THEN
			strRt	:= '【52】 検査待機位置';</v>
      </c>
      <c r="AG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</v>
      </c>
      <c r="AH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</v>
      </c>
      <c r="AI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</v>
      </c>
      <c r="AJ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</v>
      </c>
      <c r="AK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</v>
      </c>
      <c r="AL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</v>
      </c>
      <c r="AM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5</v>
      </c>
      <c r="G25" t="str">
        <f t="shared" si="0"/>
        <v>5</v>
      </c>
      <c r="H25">
        <f>COUNTIF(G$3:G25,G25)</f>
        <v>3</v>
      </c>
      <c r="I25" t="str">
        <v/>
      </c>
      <c r="J25">
        <v>23</v>
      </c>
      <c r="K25" t="str">
        <f ca="1"/>
        <v>受取排出位置</v>
      </c>
      <c r="L25" t="str">
        <f ca="1"/>
        <v>受取排出位置</v>
      </c>
      <c r="N25" t="str">
        <f ca="1"/>
        <v>【53】 受取排出位置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//受取排出位置
	ELSIF uiInfoIdx = 3 THEN</v>
      </c>
      <c r="AC25" t="str">
        <f ca="1"/>
        <v xml:space="preserve">
	//受取排出位置
	ELSIF uiInfoIdx = 3 THEN
		IF strInfoKey = 'name' THEN</v>
      </c>
      <c r="AD25" t="str">
        <f ca="1"/>
        <v xml:space="preserve">
	//受取排出位置
	ELSIF uiInfoIdx = 3 THEN
		IF strInfoKey = 'name' THEN
			strRt	:= '受取排出位置';</v>
      </c>
      <c r="AE25" t="str">
        <f ca="1"/>
        <v xml:space="preserve">
	//受取排出位置
	ELSIF uiInfoIdx = 3 THEN
		IF strInfoKey = 'name' THEN
			strRt	:= '受取排出位置';
		ELSIF strInfoKey = 'index_name' THEN</v>
      </c>
      <c r="AF25" t="str">
        <f ca="1"/>
        <v xml:space="preserve">
	//受取排出位置
	ELSIF uiInfoIdx = 3 THEN
		IF strInfoKey = 'name' THEN
			strRt	:= '受取排出位置';
		ELSIF strInfoKey = 'index_name' THEN
			strRt	:= '【53】 受取排出位置';</v>
      </c>
      <c r="AG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</v>
      </c>
      <c r="AH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</v>
      </c>
      <c r="AI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</v>
      </c>
      <c r="AJ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</v>
      </c>
      <c r="AK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</v>
      </c>
      <c r="AL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</v>
      </c>
      <c r="AM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5</v>
      </c>
      <c r="G26" t="str">
        <f t="shared" si="0"/>
        <v>5</v>
      </c>
      <c r="H26">
        <f>COUNTIF(G$3:G26,G26)</f>
        <v>4</v>
      </c>
      <c r="I26" t="str">
        <v/>
      </c>
      <c r="J26">
        <v>24</v>
      </c>
      <c r="K26" t="str">
        <f ca="1"/>
        <v>受取渡し位置</v>
      </c>
      <c r="L26" t="str">
        <f ca="1"/>
        <v>受取渡し位置</v>
      </c>
      <c r="N26" t="str">
        <f ca="1"/>
        <v>【54】 受取渡し位置</v>
      </c>
      <c r="O26" t="str">
        <v/>
      </c>
      <c r="P26" t="str">
        <v>unknown</v>
      </c>
      <c r="Q26" t="str">
        <f ca="1"/>
        <v/>
      </c>
      <c r="R26" t="str">
        <f ca="1"/>
        <v>unknown</v>
      </c>
      <c r="Z26" t="str">
        <f ca="1"/>
        <v xml:space="preserve">
</v>
      </c>
      <c r="AA26" t="str">
        <f ca="1"/>
        <v xml:space="preserve">
</v>
      </c>
      <c r="AB26" t="str">
        <f ca="1"/>
        <v xml:space="preserve">
	//受取渡し位置
	ELSIF uiInfoIdx = 4 THEN</v>
      </c>
      <c r="AC26" t="str">
        <f ca="1"/>
        <v xml:space="preserve">
	//受取渡し位置
	ELSIF uiInfoIdx = 4 THEN
		IF strInfoKey = 'name' THEN</v>
      </c>
      <c r="AD26" t="str">
        <f ca="1"/>
        <v xml:space="preserve">
	//受取渡し位置
	ELSIF uiInfoIdx = 4 THEN
		IF strInfoKey = 'name' THEN
			strRt	:= '受取渡し位置';</v>
      </c>
      <c r="AE26" t="str">
        <f ca="1"/>
        <v xml:space="preserve">
	//受取渡し位置
	ELSIF uiInfoIdx = 4 THEN
		IF strInfoKey = 'name' THEN
			strRt	:= '受取渡し位置';
		ELSIF strInfoKey = 'index_name' THEN</v>
      </c>
      <c r="AF26" t="str">
        <f ca="1"/>
        <v xml:space="preserve">
	//受取渡し位置
	ELSIF uiInfoIdx = 4 THEN
		IF strInfoKey = 'name' THEN
			strRt	:= '受取渡し位置';
		ELSIF strInfoKey = 'index_name' THEN
			strRt	:= '【54】 受取渡し位置';</v>
      </c>
      <c r="AG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</v>
      </c>
      <c r="AH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</v>
      </c>
      <c r="AI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</v>
      </c>
      <c r="AJ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</v>
      </c>
      <c r="AK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</v>
      </c>
      <c r="AL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</v>
      </c>
      <c r="AM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</v>
      </c>
    </row>
    <row r="27" spans="1:39" x14ac:dyDescent="0.55000000000000004">
      <c r="A27" t="s">
        <v>30</v>
      </c>
      <c r="B27" t="s">
        <v>64</v>
      </c>
      <c r="F27">
        <f t="shared" si="1"/>
        <v>5</v>
      </c>
      <c r="G27" t="str">
        <f t="shared" si="0"/>
        <v>5</v>
      </c>
      <c r="H27">
        <f>COUNTIF(G$3:G27,G27)</f>
        <v>5</v>
      </c>
      <c r="I27" t="str">
        <v>●</v>
      </c>
      <c r="J27">
        <v>25</v>
      </c>
      <c r="K27" t="str">
        <f ca="1"/>
        <v>(予約)</v>
      </c>
      <c r="L27" t="str">
        <f ca="1"/>
        <v>(予約)</v>
      </c>
      <c r="N27" t="str">
        <f ca="1"/>
        <v>【55】 (予約)</v>
      </c>
      <c r="O27" t="str">
        <v/>
      </c>
      <c r="P27" t="str">
        <v>unknown</v>
      </c>
      <c r="Q27" t="str">
        <f ca="1"/>
        <v/>
      </c>
      <c r="R27" t="str">
        <f ca="1"/>
        <v>unknown</v>
      </c>
      <c r="Z27" t="str">
        <f ca="1"/>
        <v xml:space="preserve">
</v>
      </c>
      <c r="AA27" t="str">
        <f ca="1"/>
        <v xml:space="preserve">
</v>
      </c>
      <c r="AB27" t="str">
        <f ca="1"/>
        <v xml:space="preserve">
	//(予約)
	ELSIF uiInfoIdx = 5 THEN</v>
      </c>
      <c r="AC27" t="str">
        <f ca="1"/>
        <v xml:space="preserve">
	//(予約)
	ELSIF uiInfoIdx = 5 THEN
		IF strInfoKey = 'name' THEN</v>
      </c>
      <c r="AD27" t="str">
        <f ca="1"/>
        <v xml:space="preserve">
	//(予約)
	ELSIF uiInfoIdx = 5 THEN
		IF strInfoKey = 'name' THEN
			strRt	:= '(予約)';</v>
      </c>
      <c r="AE27" t="str">
        <f ca="1"/>
        <v xml:space="preserve">
	//(予約)
	ELSIF uiInfoIdx = 5 THEN
		IF strInfoKey = 'name' THEN
			strRt	:= '(予約)';
		ELSIF strInfoKey = 'index_name' THEN</v>
      </c>
      <c r="AF27" t="str">
        <f ca="1"/>
        <v xml:space="preserve">
	//(予約)
	ELSIF uiInfoIdx = 5 THEN
		IF strInfoKey = 'name' THEN
			strRt	:= '(予約)';
		ELSIF strInfoKey = 'index_name' THEN
			strRt	:= '【55】 (予約)';</v>
      </c>
      <c r="AG27" t="str">
        <f ca="1"/>
        <v xml:space="preserve">
	//(予約)
	ELSIF uiInfoIdx = 5 THEN
		IF strInfoKey = 'name' THEN
			strRt	:= '(予約)';
		ELSIF strInfoKey = 'index_name' THEN
			strRt	:= '【55】 (予約)';
		ELSIF strInfoKey = 'model' THEN</v>
      </c>
      <c r="AH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</v>
      </c>
      <c r="AI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</v>
      </c>
      <c r="AJ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</v>
      </c>
      <c r="AK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</v>
      </c>
      <c r="AL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</v>
      </c>
      <c r="AM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</v>
      </c>
    </row>
    <row r="28" spans="1:39" x14ac:dyDescent="0.55000000000000004">
      <c r="A28" t="s">
        <v>28</v>
      </c>
      <c r="B28" t="s">
        <v>67</v>
      </c>
      <c r="F28">
        <f t="shared" ref="F28" si="2">F23+1</f>
        <v>6</v>
      </c>
      <c r="G28" t="str">
        <f t="shared" si="0"/>
        <v>6</v>
      </c>
      <c r="H28">
        <f>COUNTIF(G$3:G28,G28)</f>
        <v>1</v>
      </c>
      <c r="I28" t="str">
        <v/>
      </c>
      <c r="J28">
        <v>26</v>
      </c>
      <c r="K28" t="str">
        <f ca="1"/>
        <v>待機位置</v>
      </c>
      <c r="L28" t="str">
        <f ca="1"/>
        <v>待機位置</v>
      </c>
      <c r="N28" t="str">
        <f ca="1"/>
        <v>【61】 待機位置</v>
      </c>
      <c r="O28" t="str">
        <v/>
      </c>
      <c r="P28" t="str">
        <v>unknown</v>
      </c>
      <c r="Q28" t="str">
        <f ca="1"/>
        <v/>
      </c>
      <c r="R28" t="str">
        <f ca="1"/>
        <v>unknown</v>
      </c>
      <c r="Z28" t="str">
        <f ca="1"/>
        <v xml:space="preserve">
//6</v>
      </c>
      <c r="AA28" t="str">
        <f ca="1"/>
        <v xml:space="preserve">
//6
ELSIF strInfoType = 6 THEN</v>
      </c>
      <c r="AB28" t="str">
        <f ca="1"/>
        <v xml:space="preserve">
//6
ELSIF strInfoType = 6 THEN
	//待機位置
	IF uiInfoIdx = 1 THEN</v>
      </c>
      <c r="AC28" t="str">
        <f ca="1"/>
        <v xml:space="preserve">
//6
ELSIF strInfoType = 6 THEN
	//待機位置
	IF uiInfoIdx = 1 THEN
		IF strInfoKey = 'name' THEN</v>
      </c>
      <c r="AD28" t="str">
        <f ca="1"/>
        <v xml:space="preserve">
//6
ELSIF strInfoType = 6 THEN
	//待機位置
	IF uiInfoIdx = 1 THEN
		IF strInfoKey = 'name' THEN
			strRt	:= '待機位置';</v>
      </c>
      <c r="AE28" t="str">
        <f ca="1"/>
        <v xml:space="preserve">
//6
ELSIF strInfoType = 6 THEN
	//待機位置
	IF uiInfoIdx = 1 THEN
		IF strInfoKey = 'name' THEN
			strRt	:= '待機位置';
		ELSIF strInfoKey = 'index_name' THEN</v>
      </c>
      <c r="AF28" t="str">
        <f ca="1"/>
        <v xml:space="preserve">
//6
ELSIF strInfoType = 6 THEN
	//待機位置
	IF uiInfoIdx = 1 THEN
		IF strInfoKey = 'name' THEN
			strRt	:= '待機位置';
		ELSIF strInfoKey = 'index_name' THEN
			strRt	:= '【61】 待機位置';</v>
      </c>
      <c r="AG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</v>
      </c>
      <c r="AH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</v>
      </c>
      <c r="AI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</v>
      </c>
      <c r="AJ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</v>
      </c>
      <c r="AK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</v>
      </c>
      <c r="AL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</v>
      </c>
      <c r="AM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</v>
      </c>
    </row>
    <row r="29" spans="1:39" x14ac:dyDescent="0.55000000000000004">
      <c r="A29" t="s">
        <v>48</v>
      </c>
      <c r="B29" t="s">
        <v>68</v>
      </c>
      <c r="F29">
        <f t="shared" si="1"/>
        <v>6</v>
      </c>
      <c r="G29" t="str">
        <f t="shared" si="0"/>
        <v>6</v>
      </c>
      <c r="H29">
        <f>COUNTIF(G$3:G29,G29)</f>
        <v>2</v>
      </c>
      <c r="I29" t="str">
        <v/>
      </c>
      <c r="J29">
        <v>27</v>
      </c>
      <c r="K29" t="str">
        <f ca="1"/>
        <v>計測位置</v>
      </c>
      <c r="L29" t="str">
        <f ca="1"/>
        <v>計測位置</v>
      </c>
      <c r="N29" t="str">
        <f ca="1"/>
        <v>【62】 計測位置</v>
      </c>
      <c r="O29" t="str">
        <v/>
      </c>
      <c r="P29" t="str">
        <v>unknown</v>
      </c>
      <c r="Q29" t="str">
        <f ca="1"/>
        <v/>
      </c>
      <c r="R29" t="str">
        <f ca="1"/>
        <v>unknown</v>
      </c>
      <c r="Z29" t="str">
        <f ca="1"/>
        <v xml:space="preserve">
</v>
      </c>
      <c r="AA29" t="str">
        <f ca="1"/>
        <v xml:space="preserve">
</v>
      </c>
      <c r="AB29" t="str">
        <f ca="1"/>
        <v xml:space="preserve">
	//計測位置
	ELSIF uiInfoIdx = 2 THEN</v>
      </c>
      <c r="AC29" t="str">
        <f ca="1"/>
        <v xml:space="preserve">
	//計測位置
	ELSIF uiInfoIdx = 2 THEN
		IF strInfoKey = 'name' THEN</v>
      </c>
      <c r="AD29" t="str">
        <f ca="1"/>
        <v xml:space="preserve">
	//計測位置
	ELSIF uiInfoIdx = 2 THEN
		IF strInfoKey = 'name' THEN
			strRt	:= '計測位置';</v>
      </c>
      <c r="AE29" t="str">
        <f ca="1"/>
        <v xml:space="preserve">
	//計測位置
	ELSIF uiInfoIdx = 2 THEN
		IF strInfoKey = 'name' THEN
			strRt	:= '計測位置';
		ELSIF strInfoKey = 'index_name' THEN</v>
      </c>
      <c r="AF29" t="str">
        <f ca="1"/>
        <v xml:space="preserve">
	//計測位置
	ELSIF uiInfoIdx = 2 THEN
		IF strInfoKey = 'name' THEN
			strRt	:= '計測位置';
		ELSIF strInfoKey = 'index_name' THEN
			strRt	:= '【62】 計測位置';</v>
      </c>
      <c r="AG29" t="str">
        <f ca="1"/>
        <v xml:space="preserve">
	//計測位置
	ELSIF uiInfoIdx = 2 THEN
		IF strInfoKey = 'name' THEN
			strRt	:= '計測位置';
		ELSIF strInfoKey = 'index_name' THEN
			strRt	:= '【62】 計測位置';
		ELSIF strInfoKey = 'model' THEN</v>
      </c>
      <c r="AH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</v>
      </c>
      <c r="AI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</v>
      </c>
      <c r="AJ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</v>
      </c>
      <c r="AK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</v>
      </c>
      <c r="AL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</v>
      </c>
      <c r="AM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</v>
      </c>
    </row>
    <row r="30" spans="1:39" x14ac:dyDescent="0.55000000000000004">
      <c r="F30">
        <f t="shared" si="1"/>
        <v>6</v>
      </c>
      <c r="G30" t="str">
        <f t="shared" si="0"/>
        <v>6</v>
      </c>
      <c r="H30">
        <f>COUNTIF(G$3:G30,G30)</f>
        <v>3</v>
      </c>
      <c r="I30" t="str">
        <v/>
      </c>
      <c r="J30">
        <v>28</v>
      </c>
      <c r="K30" t="str">
        <f ca="1"/>
        <v>(予約)</v>
      </c>
      <c r="L30" t="str">
        <f ca="1"/>
        <v>(予約)</v>
      </c>
      <c r="N30" t="str">
        <f ca="1"/>
        <v>【63】 (予約)</v>
      </c>
      <c r="O30" t="str">
        <v/>
      </c>
      <c r="P30" t="str">
        <v>unknown</v>
      </c>
      <c r="Q30" t="str">
        <f ca="1"/>
        <v/>
      </c>
      <c r="R30" t="str">
        <f ca="1"/>
        <v>unknown</v>
      </c>
      <c r="Z30" t="str">
        <f ca="1"/>
        <v xml:space="preserve">
</v>
      </c>
      <c r="AA30" t="str">
        <f ca="1"/>
        <v xml:space="preserve">
</v>
      </c>
      <c r="AB30" t="str">
        <f ca="1"/>
        <v xml:space="preserve">
	//(予約)
	ELSIF uiInfoIdx = 3 THEN</v>
      </c>
      <c r="AC30" t="str">
        <f ca="1"/>
        <v xml:space="preserve">
	//(予約)
	ELSIF uiInfoIdx = 3 THEN
		IF strInfoKey = 'name' THEN</v>
      </c>
      <c r="AD30" t="str">
        <f ca="1"/>
        <v xml:space="preserve">
	//(予約)
	ELSIF uiInfoIdx = 3 THEN
		IF strInfoKey = 'name' THEN
			strRt	:= '(予約)';</v>
      </c>
      <c r="AE30" t="str">
        <f ca="1"/>
        <v xml:space="preserve">
	//(予約)
	ELSIF uiInfoIdx = 3 THEN
		IF strInfoKey = 'name' THEN
			strRt	:= '(予約)';
		ELSIF strInfoKey = 'index_name' THEN</v>
      </c>
      <c r="AF30" t="str">
        <f ca="1"/>
        <v xml:space="preserve">
	//(予約)
	ELSIF uiInfoIdx = 3 THEN
		IF strInfoKey = 'name' THEN
			strRt	:= '(予約)';
		ELSIF strInfoKey = 'index_name' THEN
			strRt	:= '【63】 (予約)';</v>
      </c>
      <c r="AG30" t="str">
        <f ca="1"/>
        <v xml:space="preserve">
	//(予約)
	ELSIF uiInfoIdx = 3 THEN
		IF strInfoKey = 'name' THEN
			strRt	:= '(予約)';
		ELSIF strInfoKey = 'index_name' THEN
			strRt	:= '【63】 (予約)';
		ELSIF strInfoKey = 'model' THEN</v>
      </c>
      <c r="AH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</v>
      </c>
      <c r="AI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</v>
      </c>
      <c r="AJ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</v>
      </c>
      <c r="AK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</v>
      </c>
      <c r="AL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</v>
      </c>
      <c r="AM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</v>
      </c>
    </row>
    <row r="31" spans="1:39" x14ac:dyDescent="0.55000000000000004">
      <c r="F31">
        <f t="shared" si="1"/>
        <v>6</v>
      </c>
      <c r="G31" t="str">
        <f t="shared" si="0"/>
        <v>6</v>
      </c>
      <c r="H31">
        <f>COUNTIF(G$3:G31,G31)</f>
        <v>4</v>
      </c>
      <c r="I31" t="str">
        <v/>
      </c>
      <c r="J31">
        <v>29</v>
      </c>
      <c r="K31" t="str">
        <f ca="1"/>
        <v>(予約)</v>
      </c>
      <c r="L31" t="str">
        <f ca="1"/>
        <v>(予約)</v>
      </c>
      <c r="N31" t="str">
        <f ca="1"/>
        <v>【64】 (予約)</v>
      </c>
      <c r="O31" t="str">
        <v/>
      </c>
      <c r="P31" t="str">
        <v>unknown</v>
      </c>
      <c r="Q31" t="str">
        <f ca="1"/>
        <v/>
      </c>
      <c r="R31" t="str">
        <f ca="1"/>
        <v>unknown</v>
      </c>
      <c r="Z31" t="str">
        <f ca="1"/>
        <v xml:space="preserve">
</v>
      </c>
      <c r="AA31" t="str">
        <f ca="1"/>
        <v xml:space="preserve">
</v>
      </c>
      <c r="AB31" t="str">
        <f ca="1"/>
        <v xml:space="preserve">
	//(予約)
	ELSIF uiInfoIdx = 4 THEN</v>
      </c>
      <c r="AC31" t="str">
        <f ca="1"/>
        <v xml:space="preserve">
	//(予約)
	ELSIF uiInfoIdx = 4 THEN
		IF strInfoKey = 'name' THEN</v>
      </c>
      <c r="AD31" t="str">
        <f ca="1"/>
        <v xml:space="preserve">
	//(予約)
	ELSIF uiInfoIdx = 4 THEN
		IF strInfoKey = 'name' THEN
			strRt	:= '(予約)';</v>
      </c>
      <c r="AE31" t="str">
        <f ca="1"/>
        <v xml:space="preserve">
	//(予約)
	ELSIF uiInfoIdx = 4 THEN
		IF strInfoKey = 'name' THEN
			strRt	:= '(予約)';
		ELSIF strInfoKey = 'index_name' THEN</v>
      </c>
      <c r="AF31" t="str">
        <f ca="1"/>
        <v xml:space="preserve">
	//(予約)
	ELSIF uiInfoIdx = 4 THEN
		IF strInfoKey = 'name' THEN
			strRt	:= '(予約)';
		ELSIF strInfoKey = 'index_name' THEN
			strRt	:= '【64】 (予約)';</v>
      </c>
      <c r="AG31" t="str">
        <f ca="1"/>
        <v xml:space="preserve">
	//(予約)
	ELSIF uiInfoIdx = 4 THEN
		IF strInfoKey = 'name' THEN
			strRt	:= '(予約)';
		ELSIF strInfoKey = 'index_name' THEN
			strRt	:= '【64】 (予約)';
		ELSIF strInfoKey = 'model' THEN</v>
      </c>
      <c r="AH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</v>
      </c>
      <c r="AI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</v>
      </c>
      <c r="AJ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</v>
      </c>
      <c r="AK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</v>
      </c>
      <c r="AL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</v>
      </c>
      <c r="AM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</v>
      </c>
    </row>
    <row r="32" spans="1:39" x14ac:dyDescent="0.55000000000000004">
      <c r="F32">
        <f t="shared" si="1"/>
        <v>6</v>
      </c>
      <c r="G32" t="str">
        <f t="shared" si="0"/>
        <v>6</v>
      </c>
      <c r="H32">
        <f>COUNTIF(G$3:G32,G32)</f>
        <v>5</v>
      </c>
      <c r="I32" t="str">
        <v>●</v>
      </c>
      <c r="J32">
        <v>30</v>
      </c>
      <c r="K32" t="str">
        <f ca="1"/>
        <v>(予約)</v>
      </c>
      <c r="L32" t="str">
        <f ca="1"/>
        <v>(予約)</v>
      </c>
      <c r="N32" t="str">
        <f ca="1"/>
        <v>【65】 (予約)</v>
      </c>
      <c r="O32" t="str">
        <v/>
      </c>
      <c r="P32" t="str">
        <v>unknown</v>
      </c>
      <c r="Q32" t="str">
        <f ca="1"/>
        <v/>
      </c>
      <c r="R32" t="str">
        <f ca="1"/>
        <v>unknown</v>
      </c>
      <c r="Z32" t="str">
        <f ca="1"/>
        <v xml:space="preserve">
</v>
      </c>
      <c r="AA32" t="str">
        <f ca="1"/>
        <v xml:space="preserve">
</v>
      </c>
      <c r="AB32" t="str">
        <f ca="1"/>
        <v xml:space="preserve">
	//(予約)
	ELSIF uiInfoIdx = 5 THEN</v>
      </c>
      <c r="AC32" t="str">
        <f ca="1"/>
        <v xml:space="preserve">
	//(予約)
	ELSIF uiInfoIdx = 5 THEN
		IF strInfoKey = 'name' THEN</v>
      </c>
      <c r="AD32" t="str">
        <f ca="1"/>
        <v xml:space="preserve">
	//(予約)
	ELSIF uiInfoIdx = 5 THEN
		IF strInfoKey = 'name' THEN
			strRt	:= '(予約)';</v>
      </c>
      <c r="AE32" t="str">
        <f ca="1"/>
        <v xml:space="preserve">
	//(予約)
	ELSIF uiInfoIdx = 5 THEN
		IF strInfoKey = 'name' THEN
			strRt	:= '(予約)';
		ELSIF strInfoKey = 'index_name' THEN</v>
      </c>
      <c r="AF32" t="str">
        <f ca="1"/>
        <v xml:space="preserve">
	//(予約)
	ELSIF uiInfoIdx = 5 THEN
		IF strInfoKey = 'name' THEN
			strRt	:= '(予約)';
		ELSIF strInfoKey = 'index_name' THEN
			strRt	:= '【65】 (予約)';</v>
      </c>
      <c r="AG32" t="str">
        <f ca="1"/>
        <v xml:space="preserve">
	//(予約)
	ELSIF uiInfoIdx = 5 THEN
		IF strInfoKey = 'name' THEN
			strRt	:= '(予約)';
		ELSIF strInfoKey = 'index_name' THEN
			strRt	:= '【65】 (予約)';
		ELSIF strInfoKey = 'model' THEN</v>
      </c>
      <c r="AH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</v>
      </c>
      <c r="AI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</v>
      </c>
      <c r="AJ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</v>
      </c>
      <c r="AK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</v>
      </c>
      <c r="AL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</v>
      </c>
      <c r="AM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</v>
      </c>
    </row>
    <row r="33" spans="6:39" x14ac:dyDescent="0.55000000000000004">
      <c r="F33">
        <f t="shared" ref="F33" si="3">F28+1</f>
        <v>7</v>
      </c>
      <c r="G33" t="str">
        <f t="shared" si="0"/>
        <v>7</v>
      </c>
      <c r="H33">
        <f>COUNTIF(G$3:G33,G33)</f>
        <v>1</v>
      </c>
      <c r="I33" t="str">
        <v/>
      </c>
      <c r="J33">
        <v>31</v>
      </c>
      <c r="K33" t="str">
        <f ca="1"/>
        <v>ひらき位置</v>
      </c>
      <c r="L33" t="str">
        <f ca="1"/>
        <v>ひらき位置</v>
      </c>
      <c r="N33" t="str">
        <f ca="1"/>
        <v>【71】 ひらき位置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//7</v>
      </c>
      <c r="AA33" t="str">
        <f ca="1"/>
        <v xml:space="preserve">
//7
ELSIF strInfoType = 7 THEN</v>
      </c>
      <c r="AB33" t="str">
        <f ca="1"/>
        <v xml:space="preserve">
//7
ELSIF strInfoType = 7 THEN
	//ひらき位置
	IF uiInfoIdx = 1 THEN</v>
      </c>
      <c r="AC33" t="str">
        <f ca="1"/>
        <v xml:space="preserve">
//7
ELSIF strInfoType = 7 THEN
	//ひらき位置
	IF uiInfoIdx = 1 THEN
		IF strInfoKey = 'name' THEN</v>
      </c>
      <c r="AD33" t="str">
        <f ca="1"/>
        <v xml:space="preserve">
//7
ELSIF strInfoType = 7 THEN
	//ひらき位置
	IF uiInfoIdx = 1 THEN
		IF strInfoKey = 'name' THEN
			strRt	:= 'ひらき位置';</v>
      </c>
      <c r="AE33" t="str">
        <f ca="1"/>
        <v xml:space="preserve">
//7
ELSIF strInfoType = 7 THEN
	//ひらき位置
	IF uiInfoIdx = 1 THEN
		IF strInfoKey = 'name' THEN
			strRt	:= 'ひらき位置';
		ELSIF strInfoKey = 'index_name' THEN</v>
      </c>
      <c r="AF33" t="str">
        <f ca="1"/>
        <v xml:space="preserve">
//7
ELSIF strInfoType = 7 THEN
	//ひらき位置
	IF uiInfoIdx = 1 THEN
		IF strInfoKey = 'name' THEN
			strRt	:= 'ひらき位置';
		ELSIF strInfoKey = 'index_name' THEN
			strRt	:= '【71】 ひらき位置';</v>
      </c>
      <c r="AG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</v>
      </c>
      <c r="AH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</v>
      </c>
      <c r="AI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</v>
      </c>
      <c r="AJ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</v>
      </c>
      <c r="AK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</v>
      </c>
      <c r="AL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</v>
      </c>
      <c r="AM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7</v>
      </c>
      <c r="G34" t="str">
        <f t="shared" si="0"/>
        <v>7</v>
      </c>
      <c r="H34">
        <f>COUNTIF(G$3:G34,G34)</f>
        <v>2</v>
      </c>
      <c r="I34" t="str">
        <v/>
      </c>
      <c r="J34">
        <v>32</v>
      </c>
      <c r="K34" t="str">
        <f ca="1"/>
        <v>とじ位置</v>
      </c>
      <c r="L34" t="str">
        <f ca="1"/>
        <v>とじ位置</v>
      </c>
      <c r="N34" t="str">
        <f ca="1"/>
        <v>【72】 とじ位置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//とじ位置
	ELSIF uiInfoIdx = 2 THEN</v>
      </c>
      <c r="AC34" t="str">
        <f ca="1"/>
        <v xml:space="preserve">
	//とじ位置
	ELSIF uiInfoIdx = 2 THEN
		IF strInfoKey = 'name' THEN</v>
      </c>
      <c r="AD34" t="str">
        <f ca="1"/>
        <v xml:space="preserve">
	//とじ位置
	ELSIF uiInfoIdx = 2 THEN
		IF strInfoKey = 'name' THEN
			strRt	:= 'とじ位置';</v>
      </c>
      <c r="AE34" t="str">
        <f ca="1"/>
        <v xml:space="preserve">
	//とじ位置
	ELSIF uiInfoIdx = 2 THEN
		IF strInfoKey = 'name' THEN
			strRt	:= 'とじ位置';
		ELSIF strInfoKey = 'index_name' THEN</v>
      </c>
      <c r="AF34" t="str">
        <f ca="1"/>
        <v xml:space="preserve">
	//とじ位置
	ELSIF uiInfoIdx = 2 THEN
		IF strInfoKey = 'name' THEN
			strRt	:= 'とじ位置';
		ELSIF strInfoKey = 'index_name' THEN
			strRt	:= '【72】 とじ位置';</v>
      </c>
      <c r="AG34" t="str">
        <f ca="1"/>
        <v xml:space="preserve">
	//とじ位置
	ELSIF uiInfoIdx = 2 THEN
		IF strInfoKey = 'name' THEN
			strRt	:= 'とじ位置';
		ELSIF strInfoKey = 'index_name' THEN
			strRt	:= '【72】 とじ位置';
		ELSIF strInfoKey = 'model' THEN</v>
      </c>
      <c r="AH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</v>
      </c>
      <c r="AI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</v>
      </c>
      <c r="AJ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</v>
      </c>
      <c r="AK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</v>
      </c>
      <c r="AL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</v>
      </c>
      <c r="AM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7</v>
      </c>
      <c r="G35" t="str">
        <f t="shared" si="0"/>
        <v>7</v>
      </c>
      <c r="H35">
        <f>COUNTIF(G$3:G35,G35)</f>
        <v>3</v>
      </c>
      <c r="I35" t="str">
        <v/>
      </c>
      <c r="J35">
        <v>33</v>
      </c>
      <c r="K35" t="str">
        <f ca="1"/>
        <v>(予約)</v>
      </c>
      <c r="L35" t="str">
        <f ca="1"/>
        <v>(予約)</v>
      </c>
      <c r="N35" t="str">
        <f ca="1"/>
        <v>【73】 (予約)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//(予約)
	ELSIF uiInfoIdx = 3 THEN</v>
      </c>
      <c r="AC35" t="str">
        <f ca="1"/>
        <v xml:space="preserve">
	//(予約)
	ELSIF uiInfoIdx = 3 THEN
		IF strInfoKey = 'name' THEN</v>
      </c>
      <c r="AD35" t="str">
        <f ca="1"/>
        <v xml:space="preserve">
	//(予約)
	ELSIF uiInfoIdx = 3 THEN
		IF strInfoKey = 'name' THEN
			strRt	:= '(予約)';</v>
      </c>
      <c r="AE35" t="str">
        <f ca="1"/>
        <v xml:space="preserve">
	//(予約)
	ELSIF uiInfoIdx = 3 THEN
		IF strInfoKey = 'name' THEN
			strRt	:= '(予約)';
		ELSIF strInfoKey = 'index_name' THEN</v>
      </c>
      <c r="AF35" t="str">
        <f ca="1"/>
        <v xml:space="preserve">
	//(予約)
	ELSIF uiInfoIdx = 3 THEN
		IF strInfoKey = 'name' THEN
			strRt	:= '(予約)';
		ELSIF strInfoKey = 'index_name' THEN
			strRt	:= '【73】 (予約)';</v>
      </c>
      <c r="AG35" t="str">
        <f ca="1"/>
        <v xml:space="preserve">
	//(予約)
	ELSIF uiInfoIdx = 3 THEN
		IF strInfoKey = 'name' THEN
			strRt	:= '(予約)';
		ELSIF strInfoKey = 'index_name' THEN
			strRt	:= '【73】 (予約)';
		ELSIF strInfoKey = 'model' THEN</v>
      </c>
      <c r="AH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</v>
      </c>
      <c r="AI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</v>
      </c>
      <c r="AJ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</v>
      </c>
      <c r="AK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</v>
      </c>
      <c r="AL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</v>
      </c>
      <c r="AM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7</v>
      </c>
      <c r="G36" t="str">
        <f t="shared" si="0"/>
        <v>7</v>
      </c>
      <c r="H36">
        <f>COUNTIF(G$3:G36,G36)</f>
        <v>4</v>
      </c>
      <c r="I36" t="str">
        <v/>
      </c>
      <c r="J36">
        <v>34</v>
      </c>
      <c r="K36" t="str">
        <f ca="1"/>
        <v>(予約)</v>
      </c>
      <c r="L36" t="str">
        <f ca="1"/>
        <v>(予約)</v>
      </c>
      <c r="N36" t="str">
        <f ca="1"/>
        <v>【74】 (予約)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//(予約)
	ELSIF uiInfoIdx = 4 THEN</v>
      </c>
      <c r="AC36" t="str">
        <f ca="1"/>
        <v xml:space="preserve">
	//(予約)
	ELSIF uiInfoIdx = 4 THEN
		IF strInfoKey = 'name' THEN</v>
      </c>
      <c r="AD36" t="str">
        <f ca="1"/>
        <v xml:space="preserve">
	//(予約)
	ELSIF uiInfoIdx = 4 THEN
		IF strInfoKey = 'name' THEN
			strRt	:= '(予約)';</v>
      </c>
      <c r="AE36" t="str">
        <f ca="1"/>
        <v xml:space="preserve">
	//(予約)
	ELSIF uiInfoIdx = 4 THEN
		IF strInfoKey = 'name' THEN
			strRt	:= '(予約)';
		ELSIF strInfoKey = 'index_name' THEN</v>
      </c>
      <c r="AF36" t="str">
        <f ca="1"/>
        <v xml:space="preserve">
	//(予約)
	ELSIF uiInfoIdx = 4 THEN
		IF strInfoKey = 'name' THEN
			strRt	:= '(予約)';
		ELSIF strInfoKey = 'index_name' THEN
			strRt	:= '【74】 (予約)';</v>
      </c>
      <c r="AG36" t="str">
        <f ca="1"/>
        <v xml:space="preserve">
	//(予約)
	ELSIF uiInfoIdx = 4 THEN
		IF strInfoKey = 'name' THEN
			strRt	:= '(予約)';
		ELSIF strInfoKey = 'index_name' THEN
			strRt	:= '【74】 (予約)';
		ELSIF strInfoKey = 'model' THEN</v>
      </c>
      <c r="AH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</v>
      </c>
      <c r="AI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</v>
      </c>
      <c r="AJ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</v>
      </c>
      <c r="AK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</v>
      </c>
      <c r="AL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</v>
      </c>
      <c r="AM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7</v>
      </c>
      <c r="G37" t="str">
        <f t="shared" si="0"/>
        <v>7</v>
      </c>
      <c r="H37">
        <f>COUNTIF(G$3:G37,G37)</f>
        <v>5</v>
      </c>
      <c r="I37" t="str">
        <v>●</v>
      </c>
      <c r="J37">
        <v>35</v>
      </c>
      <c r="K37" t="str">
        <f ca="1"/>
        <v>(予約)</v>
      </c>
      <c r="L37" t="str">
        <f ca="1"/>
        <v>(予約)</v>
      </c>
      <c r="N37" t="str">
        <f ca="1"/>
        <v>【75】 (予約)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//(予約)
	ELSIF uiInfoIdx = 5 THEN</v>
      </c>
      <c r="AC37" t="str">
        <f ca="1"/>
        <v xml:space="preserve">
	//(予約)
	ELSIF uiInfoIdx = 5 THEN
		IF strInfoKey = 'name' THEN</v>
      </c>
      <c r="AD37" t="str">
        <f ca="1"/>
        <v xml:space="preserve">
	//(予約)
	ELSIF uiInfoIdx = 5 THEN
		IF strInfoKey = 'name' THEN
			strRt	:= '(予約)';</v>
      </c>
      <c r="AE37" t="str">
        <f ca="1"/>
        <v xml:space="preserve">
	//(予約)
	ELSIF uiInfoIdx = 5 THEN
		IF strInfoKey = 'name' THEN
			strRt	:= '(予約)';
		ELSIF strInfoKey = 'index_name' THEN</v>
      </c>
      <c r="AF37" t="str">
        <f ca="1"/>
        <v xml:space="preserve">
	//(予約)
	ELSIF uiInfoIdx = 5 THEN
		IF strInfoKey = 'name' THEN
			strRt	:= '(予約)';
		ELSIF strInfoKey = 'index_name' THEN
			strRt	:= '【75】 (予約)';</v>
      </c>
      <c r="AG37" t="str">
        <f ca="1"/>
        <v xml:space="preserve">
	//(予約)
	ELSIF uiInfoIdx = 5 THEN
		IF strInfoKey = 'name' THEN
			strRt	:= '(予約)';
		ELSIF strInfoKey = 'index_name' THEN
			strRt	:= '【75】 (予約)';
		ELSIF strInfoKey = 'model' THEN</v>
      </c>
      <c r="AH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</v>
      </c>
      <c r="AI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</v>
      </c>
      <c r="AJ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</v>
      </c>
      <c r="AK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</v>
      </c>
      <c r="AL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</v>
      </c>
      <c r="AM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</v>
      </c>
    </row>
    <row r="38" spans="6:39" x14ac:dyDescent="0.55000000000000004">
      <c r="F38">
        <f t="shared" ref="F38" si="4">F33+1</f>
        <v>8</v>
      </c>
      <c r="G38" t="str">
        <f t="shared" si="0"/>
        <v>8</v>
      </c>
      <c r="H38">
        <f>COUNTIF(G$3:G38,G38)</f>
        <v>1</v>
      </c>
      <c r="I38" t="str">
        <v/>
      </c>
      <c r="J38">
        <v>36</v>
      </c>
      <c r="K38" t="str">
        <f ca="1"/>
        <v>待機位置</v>
      </c>
      <c r="L38" t="str">
        <f ca="1"/>
        <v>待機位置</v>
      </c>
      <c r="N38" t="str">
        <f ca="1"/>
        <v>【81】 待機位置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//8</v>
      </c>
      <c r="AA38" t="str">
        <f ca="1"/>
        <v xml:space="preserve">
//8
ELSIF strInfoType = 8 THEN</v>
      </c>
      <c r="AB38" t="str">
        <f ca="1"/>
        <v xml:space="preserve">
//8
ELSIF strInfoType = 8 THEN
	//待機位置
	IF uiInfoIdx = 1 THEN</v>
      </c>
      <c r="AC38" t="str">
        <f ca="1"/>
        <v xml:space="preserve">
//8
ELSIF strInfoType = 8 THEN
	//待機位置
	IF uiInfoIdx = 1 THEN
		IF strInfoKey = 'name' THEN</v>
      </c>
      <c r="AD38" t="str">
        <f ca="1"/>
        <v xml:space="preserve">
//8
ELSIF strInfoType = 8 THEN
	//待機位置
	IF uiInfoIdx = 1 THEN
		IF strInfoKey = 'name' THEN
			strRt	:= '待機位置';</v>
      </c>
      <c r="AE38" t="str">
        <f ca="1"/>
        <v xml:space="preserve">
//8
ELSIF strInfoType = 8 THEN
	//待機位置
	IF uiInfoIdx = 1 THEN
		IF strInfoKey = 'name' THEN
			strRt	:= '待機位置';
		ELSIF strInfoKey = 'index_name' THEN</v>
      </c>
      <c r="AF38" t="str">
        <f ca="1"/>
        <v xml:space="preserve">
//8
ELSIF strInfoType = 8 THEN
	//待機位置
	IF uiInfoIdx = 1 THEN
		IF strInfoKey = 'name' THEN
			strRt	:= '待機位置';
		ELSIF strInfoKey = 'index_name' THEN
			strRt	:= '【81】 待機位置';</v>
      </c>
      <c r="AG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</v>
      </c>
      <c r="AH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</v>
      </c>
      <c r="AI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</v>
      </c>
      <c r="AJ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</v>
      </c>
      <c r="AK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</v>
      </c>
      <c r="AL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</v>
      </c>
      <c r="AM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8</v>
      </c>
      <c r="G39" t="str">
        <f t="shared" si="0"/>
        <v>8</v>
      </c>
      <c r="H39">
        <f>COUNTIF(G$3:G39,G39)</f>
        <v>2</v>
      </c>
      <c r="I39" t="str">
        <v/>
      </c>
      <c r="J39">
        <v>37</v>
      </c>
      <c r="K39" t="str">
        <f ca="1"/>
        <v>押え位置</v>
      </c>
      <c r="L39" t="str">
        <f ca="1"/>
        <v>押え位置</v>
      </c>
      <c r="N39" t="str">
        <f ca="1"/>
        <v>【82】 押え位置</v>
      </c>
      <c r="O39" t="str">
        <v/>
      </c>
      <c r="P39" t="str">
        <v>unknown</v>
      </c>
      <c r="Q39" t="str">
        <f ca="1"/>
        <v/>
      </c>
      <c r="R39" t="str">
        <f ca="1"/>
        <v>unknown</v>
      </c>
      <c r="Z39" t="str">
        <f ca="1"/>
        <v xml:space="preserve">
</v>
      </c>
      <c r="AA39" t="str">
        <f ca="1"/>
        <v xml:space="preserve">
</v>
      </c>
      <c r="AB39" t="str">
        <f ca="1"/>
        <v xml:space="preserve">
	//押え位置
	ELSIF uiInfoIdx = 2 THEN</v>
      </c>
      <c r="AC39" t="str">
        <f ca="1"/>
        <v xml:space="preserve">
	//押え位置
	ELSIF uiInfoIdx = 2 THEN
		IF strInfoKey = 'name' THEN</v>
      </c>
      <c r="AD39" t="str">
        <f ca="1"/>
        <v xml:space="preserve">
	//押え位置
	ELSIF uiInfoIdx = 2 THEN
		IF strInfoKey = 'name' THEN
			strRt	:= '押え位置';</v>
      </c>
      <c r="AE39" t="str">
        <f ca="1"/>
        <v xml:space="preserve">
	//押え位置
	ELSIF uiInfoIdx = 2 THEN
		IF strInfoKey = 'name' THEN
			strRt	:= '押え位置';
		ELSIF strInfoKey = 'index_name' THEN</v>
      </c>
      <c r="AF39" t="str">
        <f ca="1"/>
        <v xml:space="preserve">
	//押え位置
	ELSIF uiInfoIdx = 2 THEN
		IF strInfoKey = 'name' THEN
			strRt	:= '押え位置';
		ELSIF strInfoKey = 'index_name' THEN
			strRt	:= '【82】 押え位置';</v>
      </c>
      <c r="AG39" t="str">
        <f ca="1"/>
        <v xml:space="preserve">
	//押え位置
	ELSIF uiInfoIdx = 2 THEN
		IF strInfoKey = 'name' THEN
			strRt	:= '押え位置';
		ELSIF strInfoKey = 'index_name' THEN
			strRt	:= '【82】 押え位置';
		ELSIF strInfoKey = 'model' THEN</v>
      </c>
      <c r="AH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</v>
      </c>
      <c r="AI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</v>
      </c>
      <c r="AJ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</v>
      </c>
      <c r="AK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</v>
      </c>
      <c r="AL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</v>
      </c>
      <c r="AM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</v>
      </c>
    </row>
    <row r="40" spans="6:39" x14ac:dyDescent="0.55000000000000004">
      <c r="F40">
        <f t="shared" si="1"/>
        <v>8</v>
      </c>
      <c r="G40" t="str">
        <f t="shared" si="0"/>
        <v>8</v>
      </c>
      <c r="H40">
        <f>COUNTIF(G$3:G40,G40)</f>
        <v>3</v>
      </c>
      <c r="I40" t="str">
        <v/>
      </c>
      <c r="J40">
        <v>38</v>
      </c>
      <c r="K40" t="str">
        <f ca="1"/>
        <v>溶接位置</v>
      </c>
      <c r="L40" t="str">
        <f ca="1"/>
        <v>溶接位置</v>
      </c>
      <c r="N40" t="str">
        <f ca="1"/>
        <v>【83】 溶接位置</v>
      </c>
      <c r="O40" t="str">
        <v/>
      </c>
      <c r="P40" t="str">
        <v>unknown</v>
      </c>
      <c r="Q40" t="str">
        <f ca="1"/>
        <v/>
      </c>
      <c r="R40" t="str">
        <f ca="1"/>
        <v>unknown</v>
      </c>
      <c r="Z40" t="str">
        <f ca="1"/>
        <v xml:space="preserve">
</v>
      </c>
      <c r="AA40" t="str">
        <f ca="1"/>
        <v xml:space="preserve">
</v>
      </c>
      <c r="AB40" t="str">
        <f ca="1"/>
        <v xml:space="preserve">
	//溶接位置
	ELSIF uiInfoIdx = 3 THEN</v>
      </c>
      <c r="AC40" t="str">
        <f ca="1"/>
        <v xml:space="preserve">
	//溶接位置
	ELSIF uiInfoIdx = 3 THEN
		IF strInfoKey = 'name' THEN</v>
      </c>
      <c r="AD40" t="str">
        <f ca="1"/>
        <v xml:space="preserve">
	//溶接位置
	ELSIF uiInfoIdx = 3 THEN
		IF strInfoKey = 'name' THEN
			strRt	:= '溶接位置';</v>
      </c>
      <c r="AE40" t="str">
        <f ca="1"/>
        <v xml:space="preserve">
	//溶接位置
	ELSIF uiInfoIdx = 3 THEN
		IF strInfoKey = 'name' THEN
			strRt	:= '溶接位置';
		ELSIF strInfoKey = 'index_name' THEN</v>
      </c>
      <c r="AF40" t="str">
        <f ca="1"/>
        <v xml:space="preserve">
	//溶接位置
	ELSIF uiInfoIdx = 3 THEN
		IF strInfoKey = 'name' THEN
			strRt	:= '溶接位置';
		ELSIF strInfoKey = 'index_name' THEN
			strRt	:= '【83】 溶接位置';</v>
      </c>
      <c r="AG40" t="str">
        <f ca="1"/>
        <v xml:space="preserve">
	//溶接位置
	ELSIF uiInfoIdx = 3 THEN
		IF strInfoKey = 'name' THEN
			strRt	:= '溶接位置';
		ELSIF strInfoKey = 'index_name' THEN
			strRt	:= '【83】 溶接位置';
		ELSIF strInfoKey = 'model' THEN</v>
      </c>
      <c r="AH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</v>
      </c>
      <c r="AI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</v>
      </c>
      <c r="AJ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</v>
      </c>
      <c r="AK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</v>
      </c>
      <c r="AL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</v>
      </c>
      <c r="AM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</v>
      </c>
    </row>
    <row r="41" spans="6:39" x14ac:dyDescent="0.55000000000000004">
      <c r="F41">
        <f t="shared" si="1"/>
        <v>8</v>
      </c>
      <c r="G41" t="str">
        <f t="shared" si="0"/>
        <v>8</v>
      </c>
      <c r="H41">
        <f>COUNTIF(G$3:G41,G41)</f>
        <v>4</v>
      </c>
      <c r="I41" t="str">
        <v/>
      </c>
      <c r="J41">
        <v>39</v>
      </c>
      <c r="K41" t="str">
        <f ca="1"/>
        <v>箔ロウ溶接位置</v>
      </c>
      <c r="L41" t="str">
        <f ca="1"/>
        <v>箔ロウ溶接位置</v>
      </c>
      <c r="N41" t="str">
        <f ca="1"/>
        <v>【84】 箔ロウ溶接位置</v>
      </c>
      <c r="O41" t="str">
        <v/>
      </c>
      <c r="P41" t="str">
        <v>unknown</v>
      </c>
      <c r="Q41" t="str">
        <f ca="1"/>
        <v/>
      </c>
      <c r="R41" t="str">
        <f ca="1"/>
        <v>unknown</v>
      </c>
      <c r="Z41" t="str">
        <f ca="1"/>
        <v xml:space="preserve">
</v>
      </c>
      <c r="AA41" t="str">
        <f ca="1"/>
        <v xml:space="preserve">
</v>
      </c>
      <c r="AB41" t="str">
        <f ca="1"/>
        <v xml:space="preserve">
	//箔ロウ溶接位置
	ELSIF uiInfoIdx = 4 THEN</v>
      </c>
      <c r="AC41" t="str">
        <f ca="1"/>
        <v xml:space="preserve">
	//箔ロウ溶接位置
	ELSIF uiInfoIdx = 4 THEN
		IF strInfoKey = 'name' THEN</v>
      </c>
      <c r="AD41" t="str">
        <f ca="1"/>
        <v xml:space="preserve">
	//箔ロウ溶接位置
	ELSIF uiInfoIdx = 4 THEN
		IF strInfoKey = 'name' THEN
			strRt	:= '箔ロウ溶接位置';</v>
      </c>
      <c r="AE41" t="str">
        <f ca="1"/>
        <v xml:space="preserve">
	//箔ロウ溶接位置
	ELSIF uiInfoIdx = 4 THEN
		IF strInfoKey = 'name' THEN
			strRt	:= '箔ロウ溶接位置';
		ELSIF strInfoKey = 'index_name' THEN</v>
      </c>
      <c r="AF41" t="str">
        <f ca="1"/>
        <v xml:space="preserve">
	//箔ロウ溶接位置
	ELSIF uiInfoIdx = 4 THEN
		IF strInfoKey = 'name' THEN
			strRt	:= '箔ロウ溶接位置';
		ELSIF strInfoKey = 'index_name' THEN
			strRt	:= '【84】 箔ロウ溶接位置';</v>
      </c>
      <c r="AG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</v>
      </c>
      <c r="AH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</v>
      </c>
      <c r="AI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</v>
      </c>
      <c r="AJ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</v>
      </c>
      <c r="AK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</v>
      </c>
      <c r="AL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</v>
      </c>
      <c r="AM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</v>
      </c>
    </row>
    <row r="42" spans="6:39" x14ac:dyDescent="0.55000000000000004">
      <c r="F42">
        <f t="shared" si="1"/>
        <v>8</v>
      </c>
      <c r="G42" t="str">
        <f t="shared" si="0"/>
        <v>8</v>
      </c>
      <c r="H42">
        <f>COUNTIF(G$3:G42,G42)</f>
        <v>5</v>
      </c>
      <c r="I42" t="str">
        <v>●</v>
      </c>
      <c r="J42">
        <v>40</v>
      </c>
      <c r="K42" t="str">
        <f ca="1"/>
        <v>(予約)</v>
      </c>
      <c r="L42" t="str">
        <f ca="1"/>
        <v>(予約)</v>
      </c>
      <c r="N42" t="str">
        <f ca="1"/>
        <v>【85】 (予約)</v>
      </c>
      <c r="O42" t="str">
        <v/>
      </c>
      <c r="P42" t="str">
        <v>unknown</v>
      </c>
      <c r="Q42" t="str">
        <f ca="1"/>
        <v/>
      </c>
      <c r="R42" t="str">
        <f ca="1"/>
        <v>unknown</v>
      </c>
      <c r="Z42" t="str">
        <f ca="1"/>
        <v xml:space="preserve">
</v>
      </c>
      <c r="AA42" t="str">
        <f ca="1"/>
        <v xml:space="preserve">
</v>
      </c>
      <c r="AB42" t="str">
        <f ca="1"/>
        <v xml:space="preserve">
	//(予約)
	ELSIF uiInfoIdx = 5 THEN</v>
      </c>
      <c r="AC42" t="str">
        <f ca="1"/>
        <v xml:space="preserve">
	//(予約)
	ELSIF uiInfoIdx = 5 THEN
		IF strInfoKey = 'name' THEN</v>
      </c>
      <c r="AD42" t="str">
        <f ca="1"/>
        <v xml:space="preserve">
	//(予約)
	ELSIF uiInfoIdx = 5 THEN
		IF strInfoKey = 'name' THEN
			strRt	:= '(予約)';</v>
      </c>
      <c r="AE42" t="str">
        <f ca="1"/>
        <v xml:space="preserve">
	//(予約)
	ELSIF uiInfoIdx = 5 THEN
		IF strInfoKey = 'name' THEN
			strRt	:= '(予約)';
		ELSIF strInfoKey = 'index_name' THEN</v>
      </c>
      <c r="AF42" t="str">
        <f ca="1"/>
        <v xml:space="preserve">
	//(予約)
	ELSIF uiInfoIdx = 5 THEN
		IF strInfoKey = 'name' THEN
			strRt	:= '(予約)';
		ELSIF strInfoKey = 'index_name' THEN
			strRt	:= '【85】 (予約)';</v>
      </c>
      <c r="AG42" t="str">
        <f ca="1"/>
        <v xml:space="preserve">
	//(予約)
	ELSIF uiInfoIdx = 5 THEN
		IF strInfoKey = 'name' THEN
			strRt	:= '(予約)';
		ELSIF strInfoKey = 'index_name' THEN
			strRt	:= '【85】 (予約)';
		ELSIF strInfoKey = 'model' THEN</v>
      </c>
      <c r="AH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</v>
      </c>
      <c r="AI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</v>
      </c>
      <c r="AJ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
			strRt	:= 'unknown';</v>
      </c>
      <c r="AK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</v>
      </c>
      <c r="AL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
	ELSE
		uiErrCode	:= 2;
	END_IF;</v>
      </c>
      <c r="AM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
	ELSE
		uiErrCode	:= 2;
	END_IF;</v>
      </c>
    </row>
    <row r="43" spans="6:39" x14ac:dyDescent="0.55000000000000004">
      <c r="F43">
        <f t="shared" ref="F43" si="5">F38+1</f>
        <v>9</v>
      </c>
      <c r="G43" t="str">
        <f t="shared" si="0"/>
        <v>9</v>
      </c>
      <c r="H43">
        <f>COUNTIF(G$3:G43,G43)</f>
        <v>1</v>
      </c>
      <c r="I43" t="str">
        <v/>
      </c>
      <c r="J43">
        <v>41</v>
      </c>
      <c r="K43" t="str">
        <f ca="1"/>
        <v>待機位置</v>
      </c>
      <c r="L43" t="str">
        <f ca="1"/>
        <v>待機位置</v>
      </c>
      <c r="N43" t="str">
        <f ca="1"/>
        <v>【91】 待機位置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//9</v>
      </c>
      <c r="AA43" t="str">
        <f ca="1"/>
        <v xml:space="preserve">
//9
ELSIF strInfoType = 9 THEN</v>
      </c>
      <c r="AB43" t="str">
        <f ca="1"/>
        <v xml:space="preserve">
//9
ELSIF strInfoType = 9 THEN
	//待機位置
	IF uiInfoIdx = 1 THEN</v>
      </c>
      <c r="AC43" t="str">
        <f ca="1"/>
        <v xml:space="preserve">
//9
ELSIF strInfoType = 9 THEN
	//待機位置
	IF uiInfoIdx = 1 THEN
		IF strInfoKey = 'name' THEN</v>
      </c>
      <c r="AD43" t="str">
        <f ca="1"/>
        <v xml:space="preserve">
//9
ELSIF strInfoType = 9 THEN
	//待機位置
	IF uiInfoIdx = 1 THEN
		IF strInfoKey = 'name' THEN
			strRt	:= '待機位置';</v>
      </c>
      <c r="AE43" t="str">
        <f ca="1"/>
        <v xml:space="preserve">
//9
ELSIF strInfoType = 9 THEN
	//待機位置
	IF uiInfoIdx = 1 THEN
		IF strInfoKey = 'name' THEN
			strRt	:= '待機位置';
		ELSIF strInfoKey = 'index_name' THEN</v>
      </c>
      <c r="AF43" t="str">
        <f ca="1"/>
        <v xml:space="preserve">
//9
ELSIF strInfoType = 9 THEN
	//待機位置
	IF uiInfoIdx = 1 THEN
		IF strInfoKey = 'name' THEN
			strRt	:= '待機位置';
		ELSIF strInfoKey = 'index_name' THEN
			strRt	:= '【91】 待機位置';</v>
      </c>
      <c r="AG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</v>
      </c>
      <c r="AH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</v>
      </c>
      <c r="AI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</v>
      </c>
      <c r="AJ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</v>
      </c>
      <c r="AK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</v>
      </c>
      <c r="AL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</v>
      </c>
      <c r="AM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9</v>
      </c>
      <c r="G44" t="str">
        <f t="shared" si="0"/>
        <v>9</v>
      </c>
      <c r="H44">
        <f>COUNTIF(G$3:G44,G44)</f>
        <v>2</v>
      </c>
      <c r="I44" t="str">
        <v/>
      </c>
      <c r="J44">
        <v>42</v>
      </c>
      <c r="K44" t="str">
        <f ca="1"/>
        <v>押え位置</v>
      </c>
      <c r="L44" t="str">
        <f ca="1"/>
        <v>押え位置</v>
      </c>
      <c r="N44" t="str">
        <f ca="1"/>
        <v>【92】 押え位置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//押え位置
	ELSIF uiInfoIdx = 2 THEN</v>
      </c>
      <c r="AC44" t="str">
        <f ca="1"/>
        <v xml:space="preserve">
	//押え位置
	ELSIF uiInfoIdx = 2 THEN
		IF strInfoKey = 'name' THEN</v>
      </c>
      <c r="AD44" t="str">
        <f ca="1"/>
        <v xml:space="preserve">
	//押え位置
	ELSIF uiInfoIdx = 2 THEN
		IF strInfoKey = 'name' THEN
			strRt	:= '押え位置';</v>
      </c>
      <c r="AE44" t="str">
        <f ca="1"/>
        <v xml:space="preserve">
	//押え位置
	ELSIF uiInfoIdx = 2 THEN
		IF strInfoKey = 'name' THEN
			strRt	:= '押え位置';
		ELSIF strInfoKey = 'index_name' THEN</v>
      </c>
      <c r="AF44" t="str">
        <f ca="1"/>
        <v xml:space="preserve">
	//押え位置
	ELSIF uiInfoIdx = 2 THEN
		IF strInfoKey = 'name' THEN
			strRt	:= '押え位置';
		ELSIF strInfoKey = 'index_name' THEN
			strRt	:= '【92】 押え位置';</v>
      </c>
      <c r="AG44" t="str">
        <f ca="1"/>
        <v xml:space="preserve">
	//押え位置
	ELSIF uiInfoIdx = 2 THEN
		IF strInfoKey = 'name' THEN
			strRt	:= '押え位置';
		ELSIF strInfoKey = 'index_name' THEN
			strRt	:= '【92】 押え位置';
		ELSIF strInfoKey = 'model' THEN</v>
      </c>
      <c r="AH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</v>
      </c>
      <c r="AI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</v>
      </c>
      <c r="AJ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</v>
      </c>
      <c r="AK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</v>
      </c>
      <c r="AL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</v>
      </c>
      <c r="AM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9</v>
      </c>
      <c r="G45" t="str">
        <f t="shared" si="0"/>
        <v>9</v>
      </c>
      <c r="H45">
        <f>COUNTIF(G$3:G45,G45)</f>
        <v>3</v>
      </c>
      <c r="I45" t="str">
        <v/>
      </c>
      <c r="J45">
        <v>43</v>
      </c>
      <c r="K45" t="str">
        <f ca="1"/>
        <v>押込み位置</v>
      </c>
      <c r="L45" t="str">
        <f ca="1"/>
        <v>押込み位置</v>
      </c>
      <c r="N45" t="str">
        <f ca="1"/>
        <v>【93】 押込み位置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//押込み位置
	ELSIF uiInfoIdx = 3 THEN</v>
      </c>
      <c r="AC45" t="str">
        <f ca="1"/>
        <v xml:space="preserve">
	//押込み位置
	ELSIF uiInfoIdx = 3 THEN
		IF strInfoKey = 'name' THEN</v>
      </c>
      <c r="AD45" t="str">
        <f ca="1"/>
        <v xml:space="preserve">
	//押込み位置
	ELSIF uiInfoIdx = 3 THEN
		IF strInfoKey = 'name' THEN
			strRt	:= '押込み位置';</v>
      </c>
      <c r="AE45" t="str">
        <f ca="1"/>
        <v xml:space="preserve">
	//押込み位置
	ELSIF uiInfoIdx = 3 THEN
		IF strInfoKey = 'name' THEN
			strRt	:= '押込み位置';
		ELSIF strInfoKey = 'index_name' THEN</v>
      </c>
      <c r="AF45" t="str">
        <f ca="1"/>
        <v xml:space="preserve">
	//押込み位置
	ELSIF uiInfoIdx = 3 THEN
		IF strInfoKey = 'name' THEN
			strRt	:= '押込み位置';
		ELSIF strInfoKey = 'index_name' THEN
			strRt	:= '【93】 押込み位置';</v>
      </c>
      <c r="AG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</v>
      </c>
      <c r="AH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</v>
      </c>
      <c r="AI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</v>
      </c>
      <c r="AJ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</v>
      </c>
      <c r="AK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</v>
      </c>
      <c r="AL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</v>
      </c>
      <c r="AM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9</v>
      </c>
      <c r="G46" t="str">
        <f t="shared" si="0"/>
        <v>9</v>
      </c>
      <c r="H46">
        <f>COUNTIF(G$3:G46,G46)</f>
        <v>4</v>
      </c>
      <c r="I46" t="str">
        <v/>
      </c>
      <c r="J46">
        <v>44</v>
      </c>
      <c r="K46" t="str">
        <f ca="1"/>
        <v>箔ロウ受入れ位置</v>
      </c>
      <c r="L46" t="str">
        <f ca="1"/>
        <v>箔ロウ受入れ位置</v>
      </c>
      <c r="N46" t="str">
        <f ca="1"/>
        <v>【94】 箔ロウ受入れ位置</v>
      </c>
      <c r="O46" t="str">
        <v/>
      </c>
      <c r="P46" t="str">
        <v>unknown</v>
      </c>
      <c r="Q46" t="str">
        <f ca="1"/>
        <v/>
      </c>
      <c r="R46" t="str">
        <f ca="1"/>
        <v>unknown</v>
      </c>
      <c r="Z46" t="str">
        <f ca="1"/>
        <v xml:space="preserve">
</v>
      </c>
      <c r="AA46" t="str">
        <f ca="1"/>
        <v xml:space="preserve">
</v>
      </c>
      <c r="AB46" t="str">
        <f ca="1"/>
        <v xml:space="preserve">
	//箔ロウ受入れ位置
	ELSIF uiInfoIdx = 4 THEN</v>
      </c>
      <c r="AC46" t="str">
        <f ca="1"/>
        <v xml:space="preserve">
	//箔ロウ受入れ位置
	ELSIF uiInfoIdx = 4 THEN
		IF strInfoKey = 'name' THEN</v>
      </c>
      <c r="AD46" t="str">
        <f ca="1"/>
        <v xml:space="preserve">
	//箔ロウ受入れ位置
	ELSIF uiInfoIdx = 4 THEN
		IF strInfoKey = 'name' THEN
			strRt	:= '箔ロウ受入れ位置';</v>
      </c>
      <c r="AE46" t="str">
        <f ca="1"/>
        <v xml:space="preserve">
	//箔ロウ受入れ位置
	ELSIF uiInfoIdx = 4 THEN
		IF strInfoKey = 'name' THEN
			strRt	:= '箔ロウ受入れ位置';
		ELSIF strInfoKey = 'index_name' THEN</v>
      </c>
      <c r="AF46" t="str">
        <f ca="1"/>
        <v xml:space="preserve">
	//箔ロウ受入れ位置
	ELSIF uiInfoIdx = 4 THEN
		IF strInfoKey = 'name' THEN
			strRt	:= '箔ロウ受入れ位置';
		ELSIF strInfoKey = 'index_name' THEN
			strRt	:= '【94】 箔ロウ受入れ位置';</v>
      </c>
      <c r="AG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</v>
      </c>
      <c r="AH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</v>
      </c>
      <c r="AI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</v>
      </c>
      <c r="AJ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</v>
      </c>
      <c r="AK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</v>
      </c>
      <c r="AL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</v>
      </c>
      <c r="AM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</v>
      </c>
    </row>
    <row r="47" spans="6:39" x14ac:dyDescent="0.55000000000000004">
      <c r="F47">
        <f t="shared" si="1"/>
        <v>9</v>
      </c>
      <c r="G47" t="str">
        <f t="shared" si="0"/>
        <v>9</v>
      </c>
      <c r="H47">
        <f>COUNTIF(G$3:G47,G47)</f>
        <v>5</v>
      </c>
      <c r="I47" t="str">
        <v>●</v>
      </c>
      <c r="J47">
        <v>45</v>
      </c>
      <c r="K47" t="str">
        <f ca="1"/>
        <v>(予約)</v>
      </c>
      <c r="L47" t="str">
        <f ca="1"/>
        <v>(予約)</v>
      </c>
      <c r="N47" t="str">
        <f ca="1"/>
        <v>【95】 (予約)</v>
      </c>
      <c r="O47" t="str">
        <v/>
      </c>
      <c r="P47" t="str">
        <v>unknown</v>
      </c>
      <c r="Q47" t="str">
        <f ca="1"/>
        <v/>
      </c>
      <c r="R47" t="str">
        <f ca="1"/>
        <v>unknown</v>
      </c>
      <c r="Z47" t="str">
        <f ca="1"/>
        <v xml:space="preserve">
</v>
      </c>
      <c r="AA47" t="str">
        <f ca="1"/>
        <v xml:space="preserve">
</v>
      </c>
      <c r="AB47" t="str">
        <f ca="1"/>
        <v xml:space="preserve">
	//(予約)
	ELSIF uiInfoIdx = 5 THEN</v>
      </c>
      <c r="AC47" t="str">
        <f ca="1"/>
        <v xml:space="preserve">
	//(予約)
	ELSIF uiInfoIdx = 5 THEN
		IF strInfoKey = 'name' THEN</v>
      </c>
      <c r="AD47" t="str">
        <f ca="1"/>
        <v xml:space="preserve">
	//(予約)
	ELSIF uiInfoIdx = 5 THEN
		IF strInfoKey = 'name' THEN
			strRt	:= '(予約)';</v>
      </c>
      <c r="AE47" t="str">
        <f ca="1"/>
        <v xml:space="preserve">
	//(予約)
	ELSIF uiInfoIdx = 5 THEN
		IF strInfoKey = 'name' THEN
			strRt	:= '(予約)';
		ELSIF strInfoKey = 'index_name' THEN</v>
      </c>
      <c r="AF47" t="str">
        <f ca="1"/>
        <v xml:space="preserve">
	//(予約)
	ELSIF uiInfoIdx = 5 THEN
		IF strInfoKey = 'name' THEN
			strRt	:= '(予約)';
		ELSIF strInfoKey = 'index_name' THEN
			strRt	:= '【95】 (予約)';</v>
      </c>
      <c r="AG47" t="str">
        <f ca="1"/>
        <v xml:space="preserve">
	//(予約)
	ELSIF uiInfoIdx = 5 THEN
		IF strInfoKey = 'name' THEN
			strRt	:= '(予約)';
		ELSIF strInfoKey = 'index_name' THEN
			strRt	:= '【95】 (予約)';
		ELSIF strInfoKey = 'model' THEN</v>
      </c>
      <c r="AH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</v>
      </c>
      <c r="AI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</v>
      </c>
      <c r="AJ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</v>
      </c>
      <c r="AK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</v>
      </c>
      <c r="AL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</v>
      </c>
      <c r="AM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</v>
      </c>
    </row>
    <row r="48" spans="6:39" x14ac:dyDescent="0.55000000000000004">
      <c r="F48">
        <f t="shared" ref="F48" si="6">F43+1</f>
        <v>10</v>
      </c>
      <c r="G48" t="str">
        <f t="shared" si="0"/>
        <v>10</v>
      </c>
      <c r="H48">
        <f>COUNTIF(G$3:G48,G48)</f>
        <v>1</v>
      </c>
      <c r="I48" t="str">
        <v/>
      </c>
      <c r="J48">
        <v>46</v>
      </c>
      <c r="K48" t="str">
        <f ca="1"/>
        <v>待機位置</v>
      </c>
      <c r="L48" t="str">
        <f ca="1"/>
        <v>待機位置</v>
      </c>
      <c r="N48" t="str">
        <f ca="1"/>
        <v>【101】 待機位置</v>
      </c>
      <c r="O48" t="str">
        <v/>
      </c>
      <c r="P48" t="str">
        <v>unknown</v>
      </c>
      <c r="Q48" t="str">
        <f ca="1"/>
        <v/>
      </c>
      <c r="R48" t="str">
        <f ca="1"/>
        <v>unknown</v>
      </c>
      <c r="Z48" t="str">
        <f ca="1"/>
        <v xml:space="preserve">
//10</v>
      </c>
      <c r="AA48" t="str">
        <f ca="1"/>
        <v xml:space="preserve">
//10
ELSIF strInfoType = 10 THEN</v>
      </c>
      <c r="AB48" t="str">
        <f ca="1"/>
        <v xml:space="preserve">
//10
ELSIF strInfoType = 10 THEN
	//待機位置
	IF uiInfoIdx = 1 THEN</v>
      </c>
      <c r="AC48" t="str">
        <f ca="1"/>
        <v xml:space="preserve">
//10
ELSIF strInfoType = 10 THEN
	//待機位置
	IF uiInfoIdx = 1 THEN
		IF strInfoKey = 'name' THEN</v>
      </c>
      <c r="AD48" t="str">
        <f ca="1"/>
        <v xml:space="preserve">
//10
ELSIF strInfoType = 10 THEN
	//待機位置
	IF uiInfoIdx = 1 THEN
		IF strInfoKey = 'name' THEN
			strRt	:= '待機位置';</v>
      </c>
      <c r="AE48" t="str">
        <f ca="1"/>
        <v xml:space="preserve">
//10
ELSIF strInfoType = 10 THEN
	//待機位置
	IF uiInfoIdx = 1 THEN
		IF strInfoKey = 'name' THEN
			strRt	:= '待機位置';
		ELSIF strInfoKey = 'index_name' THEN</v>
      </c>
      <c r="AF48" t="str">
        <f ca="1"/>
        <v xml:space="preserve">
//10
ELSIF strInfoType = 10 THEN
	//待機位置
	IF uiInfoIdx = 1 THEN
		IF strInfoKey = 'name' THEN
			strRt	:= '待機位置';
		ELSIF strInfoKey = 'index_name' THEN
			strRt	:= '【101】 待機位置';</v>
      </c>
      <c r="AG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</v>
      </c>
      <c r="AH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</v>
      </c>
      <c r="AI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</v>
      </c>
      <c r="AJ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</v>
      </c>
      <c r="AK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</v>
      </c>
      <c r="AL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</v>
      </c>
      <c r="AM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</v>
      </c>
    </row>
    <row r="49" spans="6:39" x14ac:dyDescent="0.55000000000000004">
      <c r="F49">
        <f t="shared" si="1"/>
        <v>10</v>
      </c>
      <c r="G49" t="str">
        <f t="shared" si="0"/>
        <v>10</v>
      </c>
      <c r="H49">
        <f>COUNTIF(G$3:G49,G49)</f>
        <v>2</v>
      </c>
      <c r="I49" t="str">
        <v/>
      </c>
      <c r="J49">
        <v>47</v>
      </c>
      <c r="K49" t="str">
        <f ca="1"/>
        <v>(予約)</v>
      </c>
      <c r="L49" t="str">
        <f ca="1"/>
        <v>(予約)</v>
      </c>
      <c r="N49" t="str">
        <f ca="1"/>
        <v>【102】 (予約)</v>
      </c>
      <c r="O49" t="str">
        <v/>
      </c>
      <c r="P49" t="str">
        <v>unknown</v>
      </c>
      <c r="Q49" t="str">
        <f ca="1"/>
        <v/>
      </c>
      <c r="R49" t="str">
        <f ca="1"/>
        <v>unknown</v>
      </c>
      <c r="Z49" t="str">
        <f ca="1"/>
        <v xml:space="preserve">
</v>
      </c>
      <c r="AA49" t="str">
        <f ca="1"/>
        <v xml:space="preserve">
</v>
      </c>
      <c r="AB49" t="str">
        <f ca="1"/>
        <v xml:space="preserve">
	//(予約)
	ELSIF uiInfoIdx = 2 THEN</v>
      </c>
      <c r="AC49" t="str">
        <f ca="1"/>
        <v xml:space="preserve">
	//(予約)
	ELSIF uiInfoIdx = 2 THEN
		IF strInfoKey = 'name' THEN</v>
      </c>
      <c r="AD49" t="str">
        <f ca="1"/>
        <v xml:space="preserve">
	//(予約)
	ELSIF uiInfoIdx = 2 THEN
		IF strInfoKey = 'name' THEN
			strRt	:= '(予約)';</v>
      </c>
      <c r="AE49" t="str">
        <f ca="1"/>
        <v xml:space="preserve">
	//(予約)
	ELSIF uiInfoIdx = 2 THEN
		IF strInfoKey = 'name' THEN
			strRt	:= '(予約)';
		ELSIF strInfoKey = 'index_name' THEN</v>
      </c>
      <c r="AF49" t="str">
        <f ca="1"/>
        <v xml:space="preserve">
	//(予約)
	ELSIF uiInfoIdx = 2 THEN
		IF strInfoKey = 'name' THEN
			strRt	:= '(予約)';
		ELSIF strInfoKey = 'index_name' THEN
			strRt	:= '【102】 (予約)';</v>
      </c>
      <c r="AG49" t="str">
        <f ca="1"/>
        <v xml:space="preserve">
	//(予約)
	ELSIF uiInfoIdx = 2 THEN
		IF strInfoKey = 'name' THEN
			strRt	:= '(予約)';
		ELSIF strInfoKey = 'index_name' THEN
			strRt	:= '【102】 (予約)';
		ELSIF strInfoKey = 'model' THEN</v>
      </c>
      <c r="AH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</v>
      </c>
      <c r="AI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</v>
      </c>
      <c r="AJ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</v>
      </c>
      <c r="AK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</v>
      </c>
      <c r="AL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</v>
      </c>
      <c r="AM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</v>
      </c>
    </row>
    <row r="50" spans="6:39" x14ac:dyDescent="0.55000000000000004">
      <c r="F50">
        <f t="shared" si="1"/>
        <v>10</v>
      </c>
      <c r="G50" t="str">
        <f t="shared" si="0"/>
        <v>10</v>
      </c>
      <c r="H50">
        <f>COUNTIF(G$3:G50,G50)</f>
        <v>3</v>
      </c>
      <c r="I50" t="str">
        <v/>
      </c>
      <c r="J50">
        <v>48</v>
      </c>
      <c r="K50" t="str">
        <f ca="1"/>
        <v>(予約)</v>
      </c>
      <c r="L50" t="str">
        <f ca="1"/>
        <v>(予約)</v>
      </c>
      <c r="N50" t="str">
        <f ca="1"/>
        <v>【103】 (予約)</v>
      </c>
      <c r="O50" t="str">
        <v/>
      </c>
      <c r="P50" t="str">
        <v>unknown</v>
      </c>
      <c r="Q50" t="str">
        <f ca="1"/>
        <v/>
      </c>
      <c r="R50" t="str">
        <f ca="1"/>
        <v>unknown</v>
      </c>
      <c r="Z50" t="str">
        <f ca="1"/>
        <v xml:space="preserve">
</v>
      </c>
      <c r="AA50" t="str">
        <f ca="1"/>
        <v xml:space="preserve">
</v>
      </c>
      <c r="AB50" t="str">
        <f ca="1"/>
        <v xml:space="preserve">
	//(予約)
	ELSIF uiInfoIdx = 3 THEN</v>
      </c>
      <c r="AC50" t="str">
        <f ca="1"/>
        <v xml:space="preserve">
	//(予約)
	ELSIF uiInfoIdx = 3 THEN
		IF strInfoKey = 'name' THEN</v>
      </c>
      <c r="AD50" t="str">
        <f ca="1"/>
        <v xml:space="preserve">
	//(予約)
	ELSIF uiInfoIdx = 3 THEN
		IF strInfoKey = 'name' THEN
			strRt	:= '(予約)';</v>
      </c>
      <c r="AE50" t="str">
        <f ca="1"/>
        <v xml:space="preserve">
	//(予約)
	ELSIF uiInfoIdx = 3 THEN
		IF strInfoKey = 'name' THEN
			strRt	:= '(予約)';
		ELSIF strInfoKey = 'index_name' THEN</v>
      </c>
      <c r="AF50" t="str">
        <f ca="1"/>
        <v xml:space="preserve">
	//(予約)
	ELSIF uiInfoIdx = 3 THEN
		IF strInfoKey = 'name' THEN
			strRt	:= '(予約)';
		ELSIF strInfoKey = 'index_name' THEN
			strRt	:= '【103】 (予約)';</v>
      </c>
      <c r="AG50" t="str">
        <f ca="1"/>
        <v xml:space="preserve">
	//(予約)
	ELSIF uiInfoIdx = 3 THEN
		IF strInfoKey = 'name' THEN
			strRt	:= '(予約)';
		ELSIF strInfoKey = 'index_name' THEN
			strRt	:= '【103】 (予約)';
		ELSIF strInfoKey = 'model' THEN</v>
      </c>
      <c r="AH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</v>
      </c>
      <c r="AI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</v>
      </c>
      <c r="AJ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</v>
      </c>
      <c r="AK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</v>
      </c>
      <c r="AL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</v>
      </c>
      <c r="AM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</v>
      </c>
    </row>
    <row r="51" spans="6:39" x14ac:dyDescent="0.55000000000000004">
      <c r="F51">
        <f t="shared" si="1"/>
        <v>10</v>
      </c>
      <c r="G51" t="str">
        <f t="shared" si="0"/>
        <v>10</v>
      </c>
      <c r="H51">
        <f>COUNTIF(G$3:G51,G51)</f>
        <v>4</v>
      </c>
      <c r="I51" t="str">
        <v/>
      </c>
      <c r="J51">
        <v>49</v>
      </c>
      <c r="K51" t="str">
        <f ca="1"/>
        <v>(予約)</v>
      </c>
      <c r="L51" t="str">
        <f ca="1"/>
        <v>(予約)</v>
      </c>
      <c r="N51" t="str">
        <f ca="1"/>
        <v>【104】 (予約)</v>
      </c>
      <c r="O51" t="str">
        <v/>
      </c>
      <c r="P51" t="str">
        <v>unknown</v>
      </c>
      <c r="Q51" t="str">
        <f ca="1"/>
        <v/>
      </c>
      <c r="R51" t="str">
        <f ca="1"/>
        <v>unknown</v>
      </c>
      <c r="Z51" t="str">
        <f ca="1"/>
        <v xml:space="preserve">
</v>
      </c>
      <c r="AA51" t="str">
        <f ca="1"/>
        <v xml:space="preserve">
</v>
      </c>
      <c r="AB51" t="str">
        <f ca="1"/>
        <v xml:space="preserve">
	//(予約)
	ELSIF uiInfoIdx = 4 THEN</v>
      </c>
      <c r="AC51" t="str">
        <f ca="1"/>
        <v xml:space="preserve">
	//(予約)
	ELSIF uiInfoIdx = 4 THEN
		IF strInfoKey = 'name' THEN</v>
      </c>
      <c r="AD51" t="str">
        <f ca="1"/>
        <v xml:space="preserve">
	//(予約)
	ELSIF uiInfoIdx = 4 THEN
		IF strInfoKey = 'name' THEN
			strRt	:= '(予約)';</v>
      </c>
      <c r="AE51" t="str">
        <f ca="1"/>
        <v xml:space="preserve">
	//(予約)
	ELSIF uiInfoIdx = 4 THEN
		IF strInfoKey = 'name' THEN
			strRt	:= '(予約)';
		ELSIF strInfoKey = 'index_name' THEN</v>
      </c>
      <c r="AF51" t="str">
        <f ca="1"/>
        <v xml:space="preserve">
	//(予約)
	ELSIF uiInfoIdx = 4 THEN
		IF strInfoKey = 'name' THEN
			strRt	:= '(予約)';
		ELSIF strInfoKey = 'index_name' THEN
			strRt	:= '【104】 (予約)';</v>
      </c>
      <c r="AG51" t="str">
        <f ca="1"/>
        <v xml:space="preserve">
	//(予約)
	ELSIF uiInfoIdx = 4 THEN
		IF strInfoKey = 'name' THEN
			strRt	:= '(予約)';
		ELSIF strInfoKey = 'index_name' THEN
			strRt	:= '【104】 (予約)';
		ELSIF strInfoKey = 'model' THEN</v>
      </c>
      <c r="AH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</v>
      </c>
      <c r="AI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</v>
      </c>
      <c r="AJ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</v>
      </c>
      <c r="AK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</v>
      </c>
      <c r="AL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</v>
      </c>
      <c r="AM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</v>
      </c>
    </row>
    <row r="52" spans="6:39" x14ac:dyDescent="0.55000000000000004">
      <c r="F52">
        <f t="shared" si="1"/>
        <v>10</v>
      </c>
      <c r="G52" t="str">
        <f t="shared" si="0"/>
        <v>10</v>
      </c>
      <c r="H52">
        <f>COUNTIF(G$3:G52,G52)</f>
        <v>5</v>
      </c>
      <c r="I52" t="str">
        <v>●</v>
      </c>
      <c r="J52">
        <v>50</v>
      </c>
      <c r="K52" t="str">
        <f ca="1"/>
        <v>(予約)</v>
      </c>
      <c r="L52" t="str">
        <f ca="1"/>
        <v>(予約)</v>
      </c>
      <c r="N52" t="str">
        <f ca="1"/>
        <v>【105】 (予約)</v>
      </c>
      <c r="O52" t="str">
        <v/>
      </c>
      <c r="P52" t="str">
        <v>unknown</v>
      </c>
      <c r="Q52" t="str">
        <f ca="1"/>
        <v/>
      </c>
      <c r="R52" t="str">
        <f ca="1"/>
        <v>unknown</v>
      </c>
      <c r="Z52" t="str">
        <f ca="1"/>
        <v xml:space="preserve">
</v>
      </c>
      <c r="AA52" t="str">
        <f ca="1"/>
        <v xml:space="preserve">
</v>
      </c>
      <c r="AB52" t="str">
        <f ca="1"/>
        <v xml:space="preserve">
	//(予約)
	ELSIF uiInfoIdx = 5 THEN</v>
      </c>
      <c r="AC52" t="str">
        <f ca="1"/>
        <v xml:space="preserve">
	//(予約)
	ELSIF uiInfoIdx = 5 THEN
		IF strInfoKey = 'name' THEN</v>
      </c>
      <c r="AD52" t="str">
        <f ca="1"/>
        <v xml:space="preserve">
	//(予約)
	ELSIF uiInfoIdx = 5 THEN
		IF strInfoKey = 'name' THEN
			strRt	:= '(予約)';</v>
      </c>
      <c r="AE52" t="str">
        <f ca="1"/>
        <v xml:space="preserve">
	//(予約)
	ELSIF uiInfoIdx = 5 THEN
		IF strInfoKey = 'name' THEN
			strRt	:= '(予約)';
		ELSIF strInfoKey = 'index_name' THEN</v>
      </c>
      <c r="AF52" t="str">
        <f ca="1"/>
        <v xml:space="preserve">
	//(予約)
	ELSIF uiInfoIdx = 5 THEN
		IF strInfoKey = 'name' THEN
			strRt	:= '(予約)';
		ELSIF strInfoKey = 'index_name' THEN
			strRt	:= '【105】 (予約)';</v>
      </c>
      <c r="AG52" t="str">
        <f ca="1"/>
        <v xml:space="preserve">
	//(予約)
	ELSIF uiInfoIdx = 5 THEN
		IF strInfoKey = 'name' THEN
			strRt	:= '(予約)';
		ELSIF strInfoKey = 'index_name' THEN
			strRt	:= '【105】 (予約)';
		ELSIF strInfoKey = 'model' THEN</v>
      </c>
      <c r="AH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</v>
      </c>
      <c r="AI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</v>
      </c>
      <c r="AJ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</v>
      </c>
      <c r="AK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</v>
      </c>
      <c r="AL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</v>
      </c>
      <c r="AM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</v>
      </c>
    </row>
    <row r="53" spans="6:39" x14ac:dyDescent="0.55000000000000004">
      <c r="F53">
        <f t="shared" ref="F53" si="7">F48+1</f>
        <v>11</v>
      </c>
      <c r="G53" t="str">
        <f t="shared" si="0"/>
        <v>11</v>
      </c>
      <c r="H53">
        <f>COUNTIF(G$3:G53,G53)</f>
        <v>1</v>
      </c>
      <c r="I53" t="str">
        <v/>
      </c>
      <c r="J53">
        <v>51</v>
      </c>
      <c r="K53" t="str">
        <f ca="1"/>
        <v>待機位置</v>
      </c>
      <c r="L53" t="str">
        <f ca="1"/>
        <v>待機位置</v>
      </c>
      <c r="N53" t="str">
        <f ca="1"/>
        <v>【111】 待機位置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//11</v>
      </c>
      <c r="AA53" t="str">
        <f ca="1"/>
        <v xml:space="preserve">
//11
ELSIF strInfoType = 11 THEN</v>
      </c>
      <c r="AB53" t="str">
        <f ca="1"/>
        <v xml:space="preserve">
//11
ELSIF strInfoType = 11 THEN
	//待機位置
	IF uiInfoIdx = 1 THEN</v>
      </c>
      <c r="AC53" t="str">
        <f ca="1"/>
        <v xml:space="preserve">
//11
ELSIF strInfoType = 11 THEN
	//待機位置
	IF uiInfoIdx = 1 THEN
		IF strInfoKey = 'name' THEN</v>
      </c>
      <c r="AD53" t="str">
        <f ca="1"/>
        <v xml:space="preserve">
//11
ELSIF strInfoType = 11 THEN
	//待機位置
	IF uiInfoIdx = 1 THEN
		IF strInfoKey = 'name' THEN
			strRt	:= '待機位置';</v>
      </c>
      <c r="AE53" t="str">
        <f ca="1"/>
        <v xml:space="preserve">
//11
ELSIF strInfoType = 11 THEN
	//待機位置
	IF uiInfoIdx = 1 THEN
		IF strInfoKey = 'name' THEN
			strRt	:= '待機位置';
		ELSIF strInfoKey = 'index_name' THEN</v>
      </c>
      <c r="AF53" t="str">
        <f ca="1"/>
        <v xml:space="preserve">
//11
ELSIF strInfoType = 11 THEN
	//待機位置
	IF uiInfoIdx = 1 THEN
		IF strInfoKey = 'name' THEN
			strRt	:= '待機位置';
		ELSIF strInfoKey = 'index_name' THEN
			strRt	:= '【111】 待機位置';</v>
      </c>
      <c r="AG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</v>
      </c>
      <c r="AH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</v>
      </c>
      <c r="AI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</v>
      </c>
      <c r="AJ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</v>
      </c>
      <c r="AK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</v>
      </c>
      <c r="AL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</v>
      </c>
      <c r="AM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11</v>
      </c>
      <c r="G54" t="str">
        <f t="shared" si="0"/>
        <v>11</v>
      </c>
      <c r="H54">
        <f>COUNTIF(G$3:G54,G54)</f>
        <v>2</v>
      </c>
      <c r="I54" t="str">
        <v/>
      </c>
      <c r="J54">
        <v>52</v>
      </c>
      <c r="K54" t="str">
        <f ca="1"/>
        <v>寄せ位置</v>
      </c>
      <c r="L54" t="str">
        <f ca="1"/>
        <v>寄せ位置</v>
      </c>
      <c r="N54" t="str">
        <f ca="1"/>
        <v>【112】 寄せ位置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//寄せ位置
	ELSIF uiInfoIdx = 2 THEN</v>
      </c>
      <c r="AC54" t="str">
        <f ca="1"/>
        <v xml:space="preserve">
	//寄せ位置
	ELSIF uiInfoIdx = 2 THEN
		IF strInfoKey = 'name' THEN</v>
      </c>
      <c r="AD54" t="str">
        <f ca="1"/>
        <v xml:space="preserve">
	//寄せ位置
	ELSIF uiInfoIdx = 2 THEN
		IF strInfoKey = 'name' THEN
			strRt	:= '寄せ位置';</v>
      </c>
      <c r="AE54" t="str">
        <f ca="1"/>
        <v xml:space="preserve">
	//寄せ位置
	ELSIF uiInfoIdx = 2 THEN
		IF strInfoKey = 'name' THEN
			strRt	:= '寄せ位置';
		ELSIF strInfoKey = 'index_name' THEN</v>
      </c>
      <c r="AF54" t="str">
        <f ca="1"/>
        <v xml:space="preserve">
	//寄せ位置
	ELSIF uiInfoIdx = 2 THEN
		IF strInfoKey = 'name' THEN
			strRt	:= '寄せ位置';
		ELSIF strInfoKey = 'index_name' THEN
			strRt	:= '【112】 寄せ位置';</v>
      </c>
      <c r="AG54" t="str">
        <f ca="1"/>
        <v xml:space="preserve">
	//寄せ位置
	ELSIF uiInfoIdx = 2 THEN
		IF strInfoKey = 'name' THEN
			strRt	:= '寄せ位置';
		ELSIF strInfoKey = 'index_name' THEN
			strRt	:= '【112】 寄せ位置';
		ELSIF strInfoKey = 'model' THEN</v>
      </c>
      <c r="AH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</v>
      </c>
      <c r="AI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</v>
      </c>
      <c r="AJ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</v>
      </c>
      <c r="AK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</v>
      </c>
      <c r="AL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</v>
      </c>
      <c r="AM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11</v>
      </c>
      <c r="G55" t="str">
        <f t="shared" si="0"/>
        <v>11</v>
      </c>
      <c r="H55">
        <f>COUNTIF(G$3:G55,G55)</f>
        <v>3</v>
      </c>
      <c r="I55" t="str">
        <v/>
      </c>
      <c r="J55">
        <v>53</v>
      </c>
      <c r="K55" t="str">
        <f ca="1"/>
        <v>(予約)</v>
      </c>
      <c r="L55" t="str">
        <f ca="1"/>
        <v>(予約)</v>
      </c>
      <c r="N55" t="str">
        <f ca="1"/>
        <v>【113】 (予約)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//(予約)
	ELSIF uiInfoIdx = 3 THEN</v>
      </c>
      <c r="AC55" t="str">
        <f ca="1"/>
        <v xml:space="preserve">
	//(予約)
	ELSIF uiInfoIdx = 3 THEN
		IF strInfoKey = 'name' THEN</v>
      </c>
      <c r="AD55" t="str">
        <f ca="1"/>
        <v xml:space="preserve">
	//(予約)
	ELSIF uiInfoIdx = 3 THEN
		IF strInfoKey = 'name' THEN
			strRt	:= '(予約)';</v>
      </c>
      <c r="AE55" t="str">
        <f ca="1"/>
        <v xml:space="preserve">
	//(予約)
	ELSIF uiInfoIdx = 3 THEN
		IF strInfoKey = 'name' THEN
			strRt	:= '(予約)';
		ELSIF strInfoKey = 'index_name' THEN</v>
      </c>
      <c r="AF55" t="str">
        <f ca="1"/>
        <v xml:space="preserve">
	//(予約)
	ELSIF uiInfoIdx = 3 THEN
		IF strInfoKey = 'name' THEN
			strRt	:= '(予約)';
		ELSIF strInfoKey = 'index_name' THEN
			strRt	:= '【113】 (予約)';</v>
      </c>
      <c r="AG55" t="str">
        <f ca="1"/>
        <v xml:space="preserve">
	//(予約)
	ELSIF uiInfoIdx = 3 THEN
		IF strInfoKey = 'name' THEN
			strRt	:= '(予約)';
		ELSIF strInfoKey = 'index_name' THEN
			strRt	:= '【113】 (予約)';
		ELSIF strInfoKey = 'model' THEN</v>
      </c>
      <c r="AH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</v>
      </c>
      <c r="AI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</v>
      </c>
      <c r="AJ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</v>
      </c>
      <c r="AK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</v>
      </c>
      <c r="AL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</v>
      </c>
      <c r="AM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11</v>
      </c>
      <c r="G56" t="str">
        <f t="shared" si="0"/>
        <v>11</v>
      </c>
      <c r="H56">
        <f>COUNTIF(G$3:G56,G56)</f>
        <v>4</v>
      </c>
      <c r="I56" t="str">
        <v/>
      </c>
      <c r="J56">
        <v>54</v>
      </c>
      <c r="K56" t="str">
        <f ca="1"/>
        <v>(予約)</v>
      </c>
      <c r="L56" t="str">
        <f ca="1"/>
        <v>(予約)</v>
      </c>
      <c r="N56" t="str">
        <f ca="1"/>
        <v>【114】 (予約)</v>
      </c>
      <c r="O56" t="str">
        <v/>
      </c>
      <c r="P56" t="str">
        <v>unknown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//(予約)
	ELSIF uiInfoIdx = 4 THEN</v>
      </c>
      <c r="AC56" t="str">
        <f ca="1"/>
        <v xml:space="preserve">
	//(予約)
	ELSIF uiInfoIdx = 4 THEN
		IF strInfoKey = 'name' THEN</v>
      </c>
      <c r="AD56" t="str">
        <f ca="1"/>
        <v xml:space="preserve">
	//(予約)
	ELSIF uiInfoIdx = 4 THEN
		IF strInfoKey = 'name' THEN
			strRt	:= '(予約)';</v>
      </c>
      <c r="AE56" t="str">
        <f ca="1"/>
        <v xml:space="preserve">
	//(予約)
	ELSIF uiInfoIdx = 4 THEN
		IF strInfoKey = 'name' THEN
			strRt	:= '(予約)';
		ELSIF strInfoKey = 'index_name' THEN</v>
      </c>
      <c r="AF56" t="str">
        <f ca="1"/>
        <v xml:space="preserve">
	//(予約)
	ELSIF uiInfoIdx = 4 THEN
		IF strInfoKey = 'name' THEN
			strRt	:= '(予約)';
		ELSIF strInfoKey = 'index_name' THEN
			strRt	:= '【114】 (予約)';</v>
      </c>
      <c r="AG56" t="str">
        <f ca="1"/>
        <v xml:space="preserve">
	//(予約)
	ELSIF uiInfoIdx = 4 THEN
		IF strInfoKey = 'name' THEN
			strRt	:= '(予約)';
		ELSIF strInfoKey = 'index_name' THEN
			strRt	:= '【114】 (予約)';
		ELSIF strInfoKey = 'model' THEN</v>
      </c>
      <c r="AH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</v>
      </c>
      <c r="AI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</v>
      </c>
      <c r="AJ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</v>
      </c>
      <c r="AK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</v>
      </c>
      <c r="AL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</v>
      </c>
      <c r="AM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</v>
      </c>
    </row>
    <row r="57" spans="6:39" x14ac:dyDescent="0.55000000000000004">
      <c r="F57">
        <f t="shared" si="1"/>
        <v>11</v>
      </c>
      <c r="G57" t="str">
        <f t="shared" si="0"/>
        <v>11</v>
      </c>
      <c r="H57">
        <f>COUNTIF(G$3:G57,G57)</f>
        <v>5</v>
      </c>
      <c r="I57" t="str">
        <v>●</v>
      </c>
      <c r="J57">
        <v>55</v>
      </c>
      <c r="K57" t="str">
        <f ca="1"/>
        <v>(予約)</v>
      </c>
      <c r="L57" t="str">
        <f ca="1"/>
        <v>(予約)</v>
      </c>
      <c r="N57" t="str">
        <f ca="1"/>
        <v>【115】 (予約)</v>
      </c>
      <c r="O57" t="str">
        <v/>
      </c>
      <c r="P57" t="str">
        <v>unknown</v>
      </c>
      <c r="Q57" t="str">
        <f ca="1"/>
        <v/>
      </c>
      <c r="R57" t="str">
        <f ca="1"/>
        <v>unknown</v>
      </c>
      <c r="Z57" t="str">
        <f ca="1"/>
        <v xml:space="preserve">
</v>
      </c>
      <c r="AA57" t="str">
        <f ca="1"/>
        <v xml:space="preserve">
</v>
      </c>
      <c r="AB57" t="str">
        <f ca="1"/>
        <v xml:space="preserve">
	//(予約)
	ELSIF uiInfoIdx = 5 THEN</v>
      </c>
      <c r="AC57" t="str">
        <f ca="1"/>
        <v xml:space="preserve">
	//(予約)
	ELSIF uiInfoIdx = 5 THEN
		IF strInfoKey = 'name' THEN</v>
      </c>
      <c r="AD57" t="str">
        <f ca="1"/>
        <v xml:space="preserve">
	//(予約)
	ELSIF uiInfoIdx = 5 THEN
		IF strInfoKey = 'name' THEN
			strRt	:= '(予約)';</v>
      </c>
      <c r="AE57" t="str">
        <f ca="1"/>
        <v xml:space="preserve">
	//(予約)
	ELSIF uiInfoIdx = 5 THEN
		IF strInfoKey = 'name' THEN
			strRt	:= '(予約)';
		ELSIF strInfoKey = 'index_name' THEN</v>
      </c>
      <c r="AF57" t="str">
        <f ca="1"/>
        <v xml:space="preserve">
	//(予約)
	ELSIF uiInfoIdx = 5 THEN
		IF strInfoKey = 'name' THEN
			strRt	:= '(予約)';
		ELSIF strInfoKey = 'index_name' THEN
			strRt	:= '【115】 (予約)';</v>
      </c>
      <c r="AG57" t="str">
        <f ca="1"/>
        <v xml:space="preserve">
	//(予約)
	ELSIF uiInfoIdx = 5 THEN
		IF strInfoKey = 'name' THEN
			strRt	:= '(予約)';
		ELSIF strInfoKey = 'index_name' THEN
			strRt	:= '【115】 (予約)';
		ELSIF strInfoKey = 'model' THEN</v>
      </c>
      <c r="AH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</v>
      </c>
      <c r="AI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</v>
      </c>
      <c r="AJ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</v>
      </c>
      <c r="AK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</v>
      </c>
      <c r="AL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</v>
      </c>
      <c r="AM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</v>
      </c>
    </row>
    <row r="58" spans="6:39" x14ac:dyDescent="0.55000000000000004">
      <c r="F58">
        <f t="shared" ref="F58" si="8">F53+1</f>
        <v>12</v>
      </c>
      <c r="G58" t="str">
        <f t="shared" si="0"/>
        <v>12</v>
      </c>
      <c r="H58">
        <f>COUNTIF(G$3:G58,G58)</f>
        <v>1</v>
      </c>
      <c r="I58" t="str">
        <v/>
      </c>
      <c r="J58">
        <v>56</v>
      </c>
      <c r="K58" t="str">
        <f ca="1"/>
        <v>待機位置</v>
      </c>
      <c r="L58" t="str">
        <f ca="1"/>
        <v>待機位置</v>
      </c>
      <c r="N58" t="str">
        <f ca="1"/>
        <v>【121】 待機位置</v>
      </c>
      <c r="O58" t="str">
        <v/>
      </c>
      <c r="P58" t="str">
        <v>unknown</v>
      </c>
      <c r="Q58" t="str">
        <f ca="1"/>
        <v/>
      </c>
      <c r="R58" t="str">
        <f ca="1"/>
        <v>unknown</v>
      </c>
      <c r="Z58" t="str">
        <f ca="1"/>
        <v xml:space="preserve">
//12</v>
      </c>
      <c r="AA58" t="str">
        <f ca="1"/>
        <v xml:space="preserve">
//12
ELSIF strInfoType = 12 THEN</v>
      </c>
      <c r="AB58" t="str">
        <f ca="1"/>
        <v xml:space="preserve">
//12
ELSIF strInfoType = 12 THEN
	//待機位置
	IF uiInfoIdx = 1 THEN</v>
      </c>
      <c r="AC58" t="str">
        <f ca="1"/>
        <v xml:space="preserve">
//12
ELSIF strInfoType = 12 THEN
	//待機位置
	IF uiInfoIdx = 1 THEN
		IF strInfoKey = 'name' THEN</v>
      </c>
      <c r="AD58" t="str">
        <f ca="1"/>
        <v xml:space="preserve">
//12
ELSIF strInfoType = 12 THEN
	//待機位置
	IF uiInfoIdx = 1 THEN
		IF strInfoKey = 'name' THEN
			strRt	:= '待機位置';</v>
      </c>
      <c r="AE58" t="str">
        <f ca="1"/>
        <v xml:space="preserve">
//12
ELSIF strInfoType = 12 THEN
	//待機位置
	IF uiInfoIdx = 1 THEN
		IF strInfoKey = 'name' THEN
			strRt	:= '待機位置';
		ELSIF strInfoKey = 'index_name' THEN</v>
      </c>
      <c r="AF58" t="str">
        <f ca="1"/>
        <v xml:space="preserve">
//12
ELSIF strInfoType = 12 THEN
	//待機位置
	IF uiInfoIdx = 1 THEN
		IF strInfoKey = 'name' THEN
			strRt	:= '待機位置';
		ELSIF strInfoKey = 'index_name' THEN
			strRt	:= '【121】 待機位置';</v>
      </c>
      <c r="AG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</v>
      </c>
      <c r="AH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</v>
      </c>
      <c r="AI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</v>
      </c>
      <c r="AJ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</v>
      </c>
      <c r="AK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</v>
      </c>
      <c r="AL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</v>
      </c>
      <c r="AM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</v>
      </c>
    </row>
    <row r="59" spans="6:39" x14ac:dyDescent="0.55000000000000004">
      <c r="F59">
        <f t="shared" si="1"/>
        <v>12</v>
      </c>
      <c r="G59" t="str">
        <f t="shared" si="0"/>
        <v>12</v>
      </c>
      <c r="H59">
        <f>COUNTIF(G$3:G59,G59)</f>
        <v>2</v>
      </c>
      <c r="I59" t="str">
        <v/>
      </c>
      <c r="J59">
        <v>57</v>
      </c>
      <c r="K59" t="str">
        <f ca="1"/>
        <v>(予約)</v>
      </c>
      <c r="L59" t="str">
        <f ca="1"/>
        <v>(予約)</v>
      </c>
      <c r="N59" t="str">
        <f ca="1"/>
        <v>【122】 (予約)</v>
      </c>
      <c r="O59" t="str">
        <v/>
      </c>
      <c r="P59" t="str">
        <v>unknown</v>
      </c>
      <c r="Q59" t="str">
        <f ca="1"/>
        <v/>
      </c>
      <c r="R59" t="str">
        <f ca="1"/>
        <v>unknown</v>
      </c>
      <c r="Z59" t="str">
        <f ca="1"/>
        <v xml:space="preserve">
</v>
      </c>
      <c r="AA59" t="str">
        <f ca="1"/>
        <v xml:space="preserve">
</v>
      </c>
      <c r="AB59" t="str">
        <f ca="1"/>
        <v xml:space="preserve">
	//(予約)
	ELSIF uiInfoIdx = 2 THEN</v>
      </c>
      <c r="AC59" t="str">
        <f ca="1"/>
        <v xml:space="preserve">
	//(予約)
	ELSIF uiInfoIdx = 2 THEN
		IF strInfoKey = 'name' THEN</v>
      </c>
      <c r="AD59" t="str">
        <f ca="1"/>
        <v xml:space="preserve">
	//(予約)
	ELSIF uiInfoIdx = 2 THEN
		IF strInfoKey = 'name' THEN
			strRt	:= '(予約)';</v>
      </c>
      <c r="AE59" t="str">
        <f ca="1"/>
        <v xml:space="preserve">
	//(予約)
	ELSIF uiInfoIdx = 2 THEN
		IF strInfoKey = 'name' THEN
			strRt	:= '(予約)';
		ELSIF strInfoKey = 'index_name' THEN</v>
      </c>
      <c r="AF59" t="str">
        <f ca="1"/>
        <v xml:space="preserve">
	//(予約)
	ELSIF uiInfoIdx = 2 THEN
		IF strInfoKey = 'name' THEN
			strRt	:= '(予約)';
		ELSIF strInfoKey = 'index_name' THEN
			strRt	:= '【122】 (予約)';</v>
      </c>
      <c r="AG59" t="str">
        <f ca="1"/>
        <v xml:space="preserve">
	//(予約)
	ELSIF uiInfoIdx = 2 THEN
		IF strInfoKey = 'name' THEN
			strRt	:= '(予約)';
		ELSIF strInfoKey = 'index_name' THEN
			strRt	:= '【122】 (予約)';
		ELSIF strInfoKey = 'model' THEN</v>
      </c>
      <c r="AH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</v>
      </c>
      <c r="AI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</v>
      </c>
      <c r="AJ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</v>
      </c>
      <c r="AK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</v>
      </c>
      <c r="AL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</v>
      </c>
      <c r="AM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</v>
      </c>
    </row>
    <row r="60" spans="6:39" x14ac:dyDescent="0.55000000000000004">
      <c r="F60">
        <f t="shared" si="1"/>
        <v>12</v>
      </c>
      <c r="G60" t="str">
        <f t="shared" si="0"/>
        <v>12</v>
      </c>
      <c r="H60">
        <f>COUNTIF(G$3:G60,G60)</f>
        <v>3</v>
      </c>
      <c r="I60" t="str">
        <v/>
      </c>
      <c r="J60">
        <v>58</v>
      </c>
      <c r="K60" t="str">
        <f ca="1"/>
        <v>(予約)</v>
      </c>
      <c r="L60" t="str">
        <f ca="1"/>
        <v>(予約)</v>
      </c>
      <c r="N60" t="str">
        <f ca="1"/>
        <v>【123】 (予約)</v>
      </c>
      <c r="O60" t="str">
        <v/>
      </c>
      <c r="P60" t="str">
        <v>unknown</v>
      </c>
      <c r="Q60" t="str">
        <f ca="1"/>
        <v/>
      </c>
      <c r="R60" t="str">
        <f ca="1"/>
        <v>unknown</v>
      </c>
      <c r="Z60" t="str">
        <f ca="1"/>
        <v xml:space="preserve">
</v>
      </c>
      <c r="AA60" t="str">
        <f ca="1"/>
        <v xml:space="preserve">
</v>
      </c>
      <c r="AB60" t="str">
        <f ca="1"/>
        <v xml:space="preserve">
	//(予約)
	ELSIF uiInfoIdx = 3 THEN</v>
      </c>
      <c r="AC60" t="str">
        <f ca="1"/>
        <v xml:space="preserve">
	//(予約)
	ELSIF uiInfoIdx = 3 THEN
		IF strInfoKey = 'name' THEN</v>
      </c>
      <c r="AD60" t="str">
        <f ca="1"/>
        <v xml:space="preserve">
	//(予約)
	ELSIF uiInfoIdx = 3 THEN
		IF strInfoKey = 'name' THEN
			strRt	:= '(予約)';</v>
      </c>
      <c r="AE60" t="str">
        <f ca="1"/>
        <v xml:space="preserve">
	//(予約)
	ELSIF uiInfoIdx = 3 THEN
		IF strInfoKey = 'name' THEN
			strRt	:= '(予約)';
		ELSIF strInfoKey = 'index_name' THEN</v>
      </c>
      <c r="AF60" t="str">
        <f ca="1"/>
        <v xml:space="preserve">
	//(予約)
	ELSIF uiInfoIdx = 3 THEN
		IF strInfoKey = 'name' THEN
			strRt	:= '(予約)';
		ELSIF strInfoKey = 'index_name' THEN
			strRt	:= '【123】 (予約)';</v>
      </c>
      <c r="AG60" t="str">
        <f ca="1"/>
        <v xml:space="preserve">
	//(予約)
	ELSIF uiInfoIdx = 3 THEN
		IF strInfoKey = 'name' THEN
			strRt	:= '(予約)';
		ELSIF strInfoKey = 'index_name' THEN
			strRt	:= '【123】 (予約)';
		ELSIF strInfoKey = 'model' THEN</v>
      </c>
      <c r="AH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</v>
      </c>
      <c r="AI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</v>
      </c>
      <c r="AJ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</v>
      </c>
      <c r="AK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</v>
      </c>
      <c r="AL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</v>
      </c>
      <c r="AM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</v>
      </c>
    </row>
    <row r="61" spans="6:39" x14ac:dyDescent="0.55000000000000004">
      <c r="F61">
        <f t="shared" si="1"/>
        <v>12</v>
      </c>
      <c r="G61" t="str">
        <f t="shared" si="0"/>
        <v>12</v>
      </c>
      <c r="H61">
        <f>COUNTIF(G$3:G61,G61)</f>
        <v>4</v>
      </c>
      <c r="I61" t="str">
        <v/>
      </c>
      <c r="J61">
        <v>59</v>
      </c>
      <c r="K61" t="str">
        <f ca="1"/>
        <v>(予約)</v>
      </c>
      <c r="L61" t="str">
        <f ca="1"/>
        <v>(予約)</v>
      </c>
      <c r="N61" t="str">
        <f ca="1"/>
        <v>【124】 (予約)</v>
      </c>
      <c r="O61" t="str">
        <v/>
      </c>
      <c r="P61" t="str">
        <v>unknown</v>
      </c>
      <c r="Q61" t="str">
        <f ca="1"/>
        <v/>
      </c>
      <c r="R61" t="str">
        <f ca="1"/>
        <v>unknown</v>
      </c>
      <c r="Z61" t="str">
        <f ca="1"/>
        <v xml:space="preserve">
</v>
      </c>
      <c r="AA61" t="str">
        <f ca="1"/>
        <v xml:space="preserve">
</v>
      </c>
      <c r="AB61" t="str">
        <f ca="1"/>
        <v xml:space="preserve">
	//(予約)
	ELSIF uiInfoIdx = 4 THEN</v>
      </c>
      <c r="AC61" t="str">
        <f ca="1"/>
        <v xml:space="preserve">
	//(予約)
	ELSIF uiInfoIdx = 4 THEN
		IF strInfoKey = 'name' THEN</v>
      </c>
      <c r="AD61" t="str">
        <f ca="1"/>
        <v xml:space="preserve">
	//(予約)
	ELSIF uiInfoIdx = 4 THEN
		IF strInfoKey = 'name' THEN
			strRt	:= '(予約)';</v>
      </c>
      <c r="AE61" t="str">
        <f ca="1"/>
        <v xml:space="preserve">
	//(予約)
	ELSIF uiInfoIdx = 4 THEN
		IF strInfoKey = 'name' THEN
			strRt	:= '(予約)';
		ELSIF strInfoKey = 'index_name' THEN</v>
      </c>
      <c r="AF61" t="str">
        <f ca="1"/>
        <v xml:space="preserve">
	//(予約)
	ELSIF uiInfoIdx = 4 THEN
		IF strInfoKey = 'name' THEN
			strRt	:= '(予約)';
		ELSIF strInfoKey = 'index_name' THEN
			strRt	:= '【124】 (予約)';</v>
      </c>
      <c r="AG61" t="str">
        <f ca="1"/>
        <v xml:space="preserve">
	//(予約)
	ELSIF uiInfoIdx = 4 THEN
		IF strInfoKey = 'name' THEN
			strRt	:= '(予約)';
		ELSIF strInfoKey = 'index_name' THEN
			strRt	:= '【124】 (予約)';
		ELSIF strInfoKey = 'model' THEN</v>
      </c>
      <c r="AH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</v>
      </c>
      <c r="AI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</v>
      </c>
      <c r="AJ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</v>
      </c>
      <c r="AK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</v>
      </c>
      <c r="AL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</v>
      </c>
      <c r="AM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</v>
      </c>
    </row>
    <row r="62" spans="6:39" x14ac:dyDescent="0.55000000000000004">
      <c r="F62">
        <f t="shared" si="1"/>
        <v>12</v>
      </c>
      <c r="G62" t="str">
        <f t="shared" si="0"/>
        <v>12</v>
      </c>
      <c r="H62">
        <f>COUNTIF(G$3:G62,G62)</f>
        <v>5</v>
      </c>
      <c r="I62" t="str">
        <v>●</v>
      </c>
      <c r="J62">
        <v>60</v>
      </c>
      <c r="K62" t="str">
        <f ca="1"/>
        <v>(予約)</v>
      </c>
      <c r="L62" t="str">
        <f ca="1"/>
        <v>(予約)</v>
      </c>
      <c r="N62" t="str">
        <f ca="1"/>
        <v>【125】 (予約)</v>
      </c>
      <c r="O62" t="str">
        <v/>
      </c>
      <c r="P62" t="str">
        <v>unknown</v>
      </c>
      <c r="Q62" t="str">
        <f ca="1"/>
        <v/>
      </c>
      <c r="R62" t="str">
        <f ca="1"/>
        <v>unknown</v>
      </c>
      <c r="Z62" t="str">
        <f ca="1"/>
        <v xml:space="preserve">
</v>
      </c>
      <c r="AA62" t="str">
        <f ca="1"/>
        <v xml:space="preserve">
</v>
      </c>
      <c r="AB62" t="str">
        <f ca="1"/>
        <v xml:space="preserve">
	//(予約)
	ELSIF uiInfoIdx = 5 THEN</v>
      </c>
      <c r="AC62" t="str">
        <f ca="1"/>
        <v xml:space="preserve">
	//(予約)
	ELSIF uiInfoIdx = 5 THEN
		IF strInfoKey = 'name' THEN</v>
      </c>
      <c r="AD62" t="str">
        <f ca="1"/>
        <v xml:space="preserve">
	//(予約)
	ELSIF uiInfoIdx = 5 THEN
		IF strInfoKey = 'name' THEN
			strRt	:= '(予約)';</v>
      </c>
      <c r="AE62" t="str">
        <f ca="1"/>
        <v xml:space="preserve">
	//(予約)
	ELSIF uiInfoIdx = 5 THEN
		IF strInfoKey = 'name' THEN
			strRt	:= '(予約)';
		ELSIF strInfoKey = 'index_name' THEN</v>
      </c>
      <c r="AF62" t="str">
        <f ca="1"/>
        <v xml:space="preserve">
	//(予約)
	ELSIF uiInfoIdx = 5 THEN
		IF strInfoKey = 'name' THEN
			strRt	:= '(予約)';
		ELSIF strInfoKey = 'index_name' THEN
			strRt	:= '【125】 (予約)';</v>
      </c>
      <c r="AG62" t="str">
        <f ca="1"/>
        <v xml:space="preserve">
	//(予約)
	ELSIF uiInfoIdx = 5 THEN
		IF strInfoKey = 'name' THEN
			strRt	:= '(予約)';
		ELSIF strInfoKey = 'index_name' THEN
			strRt	:= '【125】 (予約)';
		ELSIF strInfoKey = 'model' THEN</v>
      </c>
      <c r="AH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</v>
      </c>
      <c r="AI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</v>
      </c>
      <c r="AJ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</v>
      </c>
      <c r="AK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</v>
      </c>
      <c r="AL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</v>
      </c>
      <c r="AM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</v>
      </c>
    </row>
    <row r="63" spans="6:39" x14ac:dyDescent="0.55000000000000004">
      <c r="F63">
        <f t="shared" ref="F63" si="9">F58+1</f>
        <v>13</v>
      </c>
      <c r="G63" t="str">
        <f t="shared" si="0"/>
        <v>13</v>
      </c>
      <c r="H63">
        <f>COUNTIF(G$3:G63,G63)</f>
        <v>1</v>
      </c>
      <c r="I63" t="str">
        <v/>
      </c>
      <c r="J63">
        <v>61</v>
      </c>
      <c r="K63" t="str">
        <f ca="1"/>
        <v>待機位置</v>
      </c>
      <c r="L63" t="str">
        <f ca="1"/>
        <v>待機位置</v>
      </c>
      <c r="N63" t="str">
        <f ca="1"/>
        <v>【131】 待機位置</v>
      </c>
      <c r="O63" t="str">
        <v/>
      </c>
      <c r="P63" t="str">
        <v>unknown</v>
      </c>
      <c r="Q63" t="str">
        <f ca="1"/>
        <v/>
      </c>
      <c r="R63" t="str">
        <f ca="1"/>
        <v>unknown</v>
      </c>
      <c r="Z63" t="str">
        <f ca="1"/>
        <v xml:space="preserve">
//13</v>
      </c>
      <c r="AA63" t="str">
        <f ca="1"/>
        <v xml:space="preserve">
//13
ELSIF strInfoType = 13 THEN</v>
      </c>
      <c r="AB63" t="str">
        <f ca="1"/>
        <v xml:space="preserve">
//13
ELSIF strInfoType = 13 THEN
	//待機位置
	IF uiInfoIdx = 1 THEN</v>
      </c>
      <c r="AC63" t="str">
        <f ca="1"/>
        <v xml:space="preserve">
//13
ELSIF strInfoType = 13 THEN
	//待機位置
	IF uiInfoIdx = 1 THEN
		IF strInfoKey = 'name' THEN</v>
      </c>
      <c r="AD63" t="str">
        <f ca="1"/>
        <v xml:space="preserve">
//13
ELSIF strInfoType = 13 THEN
	//待機位置
	IF uiInfoIdx = 1 THEN
		IF strInfoKey = 'name' THEN
			strRt	:= '待機位置';</v>
      </c>
      <c r="AE63" t="str">
        <f ca="1"/>
        <v xml:space="preserve">
//13
ELSIF strInfoType = 13 THEN
	//待機位置
	IF uiInfoIdx = 1 THEN
		IF strInfoKey = 'name' THEN
			strRt	:= '待機位置';
		ELSIF strInfoKey = 'index_name' THEN</v>
      </c>
      <c r="AF63" t="str">
        <f ca="1"/>
        <v xml:space="preserve">
//13
ELSIF strInfoType = 13 THEN
	//待機位置
	IF uiInfoIdx = 1 THEN
		IF strInfoKey = 'name' THEN
			strRt	:= '待機位置';
		ELSIF strInfoKey = 'index_name' THEN
			strRt	:= '【131】 待機位置';</v>
      </c>
      <c r="AG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</v>
      </c>
      <c r="AH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</v>
      </c>
      <c r="AI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</v>
      </c>
      <c r="AJ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</v>
      </c>
      <c r="AK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</v>
      </c>
      <c r="AL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</v>
      </c>
      <c r="AM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</v>
      </c>
    </row>
    <row r="64" spans="6:39" x14ac:dyDescent="0.55000000000000004">
      <c r="F64">
        <f t="shared" si="1"/>
        <v>13</v>
      </c>
      <c r="G64" t="str">
        <f t="shared" si="0"/>
        <v>13</v>
      </c>
      <c r="H64">
        <f>COUNTIF(G$3:G64,G64)</f>
        <v>2</v>
      </c>
      <c r="I64" t="str">
        <v/>
      </c>
      <c r="J64">
        <v>62</v>
      </c>
      <c r="K64" t="str">
        <f ca="1"/>
        <v>(予約)</v>
      </c>
      <c r="L64" t="str">
        <f ca="1"/>
        <v>(予約)</v>
      </c>
      <c r="N64" t="str">
        <f ca="1"/>
        <v>【132】 (予約)</v>
      </c>
      <c r="O64" t="str">
        <v/>
      </c>
      <c r="P64" t="str">
        <v>unknown</v>
      </c>
      <c r="Q64" t="str">
        <f ca="1"/>
        <v/>
      </c>
      <c r="R64" t="str">
        <f ca="1"/>
        <v>unknown</v>
      </c>
      <c r="Z64" t="str">
        <f ca="1"/>
        <v xml:space="preserve">
</v>
      </c>
      <c r="AA64" t="str">
        <f ca="1"/>
        <v xml:space="preserve">
</v>
      </c>
      <c r="AB64" t="str">
        <f ca="1"/>
        <v xml:space="preserve">
	//(予約)
	ELSIF uiInfoIdx = 2 THEN</v>
      </c>
      <c r="AC64" t="str">
        <f ca="1"/>
        <v xml:space="preserve">
	//(予約)
	ELSIF uiInfoIdx = 2 THEN
		IF strInfoKey = 'name' THEN</v>
      </c>
      <c r="AD64" t="str">
        <f ca="1"/>
        <v xml:space="preserve">
	//(予約)
	ELSIF uiInfoIdx = 2 THEN
		IF strInfoKey = 'name' THEN
			strRt	:= '(予約)';</v>
      </c>
      <c r="AE64" t="str">
        <f ca="1"/>
        <v xml:space="preserve">
	//(予約)
	ELSIF uiInfoIdx = 2 THEN
		IF strInfoKey = 'name' THEN
			strRt	:= '(予約)';
		ELSIF strInfoKey = 'index_name' THEN</v>
      </c>
      <c r="AF64" t="str">
        <f ca="1"/>
        <v xml:space="preserve">
	//(予約)
	ELSIF uiInfoIdx = 2 THEN
		IF strInfoKey = 'name' THEN
			strRt	:= '(予約)';
		ELSIF strInfoKey = 'index_name' THEN
			strRt	:= '【132】 (予約)';</v>
      </c>
      <c r="AG64" t="str">
        <f ca="1"/>
        <v xml:space="preserve">
	//(予約)
	ELSIF uiInfoIdx = 2 THEN
		IF strInfoKey = 'name' THEN
			strRt	:= '(予約)';
		ELSIF strInfoKey = 'index_name' THEN
			strRt	:= '【132】 (予約)';
		ELSIF strInfoKey = 'model' THEN</v>
      </c>
      <c r="AH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</v>
      </c>
      <c r="AI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</v>
      </c>
      <c r="AJ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</v>
      </c>
      <c r="AK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</v>
      </c>
      <c r="AL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</v>
      </c>
      <c r="AM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</v>
      </c>
    </row>
    <row r="65" spans="6:39" x14ac:dyDescent="0.55000000000000004">
      <c r="F65">
        <f t="shared" si="1"/>
        <v>13</v>
      </c>
      <c r="G65" t="str">
        <f t="shared" si="0"/>
        <v>13</v>
      </c>
      <c r="H65">
        <f>COUNTIF(G$3:G65,G65)</f>
        <v>3</v>
      </c>
      <c r="I65" t="str">
        <v/>
      </c>
      <c r="J65">
        <v>63</v>
      </c>
      <c r="K65" t="str">
        <f ca="1"/>
        <v>(予約)</v>
      </c>
      <c r="L65" t="str">
        <f ca="1"/>
        <v>(予約)</v>
      </c>
      <c r="N65" t="str">
        <f ca="1"/>
        <v>【133】 (予約)</v>
      </c>
      <c r="O65" t="str">
        <v/>
      </c>
      <c r="P65" t="str">
        <v>unknown</v>
      </c>
      <c r="Q65" t="str">
        <f ca="1"/>
        <v/>
      </c>
      <c r="R65" t="str">
        <f ca="1"/>
        <v>unknown</v>
      </c>
      <c r="Z65" t="str">
        <f ca="1"/>
        <v xml:space="preserve">
</v>
      </c>
      <c r="AA65" t="str">
        <f ca="1"/>
        <v xml:space="preserve">
</v>
      </c>
      <c r="AB65" t="str">
        <f ca="1"/>
        <v xml:space="preserve">
	//(予約)
	ELSIF uiInfoIdx = 3 THEN</v>
      </c>
      <c r="AC65" t="str">
        <f ca="1"/>
        <v xml:space="preserve">
	//(予約)
	ELSIF uiInfoIdx = 3 THEN
		IF strInfoKey = 'name' THEN</v>
      </c>
      <c r="AD65" t="str">
        <f ca="1"/>
        <v xml:space="preserve">
	//(予約)
	ELSIF uiInfoIdx = 3 THEN
		IF strInfoKey = 'name' THEN
			strRt	:= '(予約)';</v>
      </c>
      <c r="AE65" t="str">
        <f ca="1"/>
        <v xml:space="preserve">
	//(予約)
	ELSIF uiInfoIdx = 3 THEN
		IF strInfoKey = 'name' THEN
			strRt	:= '(予約)';
		ELSIF strInfoKey = 'index_name' THEN</v>
      </c>
      <c r="AF65" t="str">
        <f ca="1"/>
        <v xml:space="preserve">
	//(予約)
	ELSIF uiInfoIdx = 3 THEN
		IF strInfoKey = 'name' THEN
			strRt	:= '(予約)';
		ELSIF strInfoKey = 'index_name' THEN
			strRt	:= '【133】 (予約)';</v>
      </c>
      <c r="AG65" t="str">
        <f ca="1"/>
        <v xml:space="preserve">
	//(予約)
	ELSIF uiInfoIdx = 3 THEN
		IF strInfoKey = 'name' THEN
			strRt	:= '(予約)';
		ELSIF strInfoKey = 'index_name' THEN
			strRt	:= '【133】 (予約)';
		ELSIF strInfoKey = 'model' THEN</v>
      </c>
      <c r="AH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</v>
      </c>
      <c r="AI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</v>
      </c>
      <c r="AJ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</v>
      </c>
      <c r="AK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</v>
      </c>
      <c r="AL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</v>
      </c>
      <c r="AM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</v>
      </c>
    </row>
    <row r="66" spans="6:39" x14ac:dyDescent="0.55000000000000004">
      <c r="F66">
        <f t="shared" si="1"/>
        <v>13</v>
      </c>
      <c r="G66" t="str">
        <f t="shared" si="0"/>
        <v>13</v>
      </c>
      <c r="H66">
        <f>COUNTIF(G$3:G66,G66)</f>
        <v>4</v>
      </c>
      <c r="I66" t="str">
        <v/>
      </c>
      <c r="J66">
        <v>64</v>
      </c>
      <c r="K66" t="str">
        <f ca="1"/>
        <v>(予約)</v>
      </c>
      <c r="L66" t="str">
        <f ca="1"/>
        <v>(予約)</v>
      </c>
      <c r="N66" t="str">
        <f ca="1"/>
        <v>【134】 (予約)</v>
      </c>
      <c r="O66" t="str">
        <v/>
      </c>
      <c r="P66" t="str">
        <v>unknown</v>
      </c>
      <c r="Q66" t="str">
        <f ca="1"/>
        <v/>
      </c>
      <c r="R66" t="str">
        <f ca="1"/>
        <v>unknown</v>
      </c>
      <c r="Z66" t="str">
        <f ca="1"/>
        <v xml:space="preserve">
</v>
      </c>
      <c r="AA66" t="str">
        <f ca="1"/>
        <v xml:space="preserve">
</v>
      </c>
      <c r="AB66" t="str">
        <f ca="1"/>
        <v xml:space="preserve">
	//(予約)
	ELSIF uiInfoIdx = 4 THEN</v>
      </c>
      <c r="AC66" t="str">
        <f ca="1"/>
        <v xml:space="preserve">
	//(予約)
	ELSIF uiInfoIdx = 4 THEN
		IF strInfoKey = 'name' THEN</v>
      </c>
      <c r="AD66" t="str">
        <f ca="1"/>
        <v xml:space="preserve">
	//(予約)
	ELSIF uiInfoIdx = 4 THEN
		IF strInfoKey = 'name' THEN
			strRt	:= '(予約)';</v>
      </c>
      <c r="AE66" t="str">
        <f ca="1"/>
        <v xml:space="preserve">
	//(予約)
	ELSIF uiInfoIdx = 4 THEN
		IF strInfoKey = 'name' THEN
			strRt	:= '(予約)';
		ELSIF strInfoKey = 'index_name' THEN</v>
      </c>
      <c r="AF66" t="str">
        <f ca="1"/>
        <v xml:space="preserve">
	//(予約)
	ELSIF uiInfoIdx = 4 THEN
		IF strInfoKey = 'name' THEN
			strRt	:= '(予約)';
		ELSIF strInfoKey = 'index_name' THEN
			strRt	:= '【134】 (予約)';</v>
      </c>
      <c r="AG66" t="str">
        <f ca="1"/>
        <v xml:space="preserve">
	//(予約)
	ELSIF uiInfoIdx = 4 THEN
		IF strInfoKey = 'name' THEN
			strRt	:= '(予約)';
		ELSIF strInfoKey = 'index_name' THEN
			strRt	:= '【134】 (予約)';
		ELSIF strInfoKey = 'model' THEN</v>
      </c>
      <c r="AH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</v>
      </c>
      <c r="AI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</v>
      </c>
      <c r="AJ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</v>
      </c>
      <c r="AK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</v>
      </c>
      <c r="AL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</v>
      </c>
      <c r="AM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</v>
      </c>
    </row>
    <row r="67" spans="6:39" x14ac:dyDescent="0.55000000000000004">
      <c r="F67">
        <f t="shared" si="1"/>
        <v>13</v>
      </c>
      <c r="G67" t="str">
        <f t="shared" si="0"/>
        <v>13</v>
      </c>
      <c r="H67">
        <f>COUNTIF(G$3:G67,G67)</f>
        <v>5</v>
      </c>
      <c r="I67" t="str">
        <v>●</v>
      </c>
      <c r="J67">
        <v>65</v>
      </c>
      <c r="K67" t="str">
        <f ca="1"/>
        <v>(予約)</v>
      </c>
      <c r="L67" t="str">
        <f ca="1"/>
        <v>(予約)</v>
      </c>
      <c r="N67" t="str">
        <f ca="1"/>
        <v>【135】 (予約)</v>
      </c>
      <c r="O67" t="str">
        <v/>
      </c>
      <c r="P67" t="str">
        <v>unknown</v>
      </c>
      <c r="Q67" t="str">
        <f ca="1"/>
        <v/>
      </c>
      <c r="R67" t="str">
        <f ca="1"/>
        <v>unknown</v>
      </c>
      <c r="Z67" t="str">
        <f ca="1"/>
        <v xml:space="preserve">
</v>
      </c>
      <c r="AA67" t="str">
        <f ca="1"/>
        <v xml:space="preserve">
</v>
      </c>
      <c r="AB67" t="str">
        <f ca="1"/>
        <v xml:space="preserve">
	//(予約)
	ELSIF uiInfoIdx = 5 THEN</v>
      </c>
      <c r="AC67" t="str">
        <f ca="1"/>
        <v xml:space="preserve">
	//(予約)
	ELSIF uiInfoIdx = 5 THEN
		IF strInfoKey = 'name' THEN</v>
      </c>
      <c r="AD67" t="str">
        <f ca="1"/>
        <v xml:space="preserve">
	//(予約)
	ELSIF uiInfoIdx = 5 THEN
		IF strInfoKey = 'name' THEN
			strRt	:= '(予約)';</v>
      </c>
      <c r="AE67" t="str">
        <f ca="1"/>
        <v xml:space="preserve">
	//(予約)
	ELSIF uiInfoIdx = 5 THEN
		IF strInfoKey = 'name' THEN
			strRt	:= '(予約)';
		ELSIF strInfoKey = 'index_name' THEN</v>
      </c>
      <c r="AF67" t="str">
        <f ca="1"/>
        <v xml:space="preserve">
	//(予約)
	ELSIF uiInfoIdx = 5 THEN
		IF strInfoKey = 'name' THEN
			strRt	:= '(予約)';
		ELSIF strInfoKey = 'index_name' THEN
			strRt	:= '【135】 (予約)';</v>
      </c>
      <c r="AG67" t="str">
        <f ca="1"/>
        <v xml:space="preserve">
	//(予約)
	ELSIF uiInfoIdx = 5 THEN
		IF strInfoKey = 'name' THEN
			strRt	:= '(予約)';
		ELSIF strInfoKey = 'index_name' THEN
			strRt	:= '【135】 (予約)';
		ELSIF strInfoKey = 'model' THEN</v>
      </c>
      <c r="AH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</v>
      </c>
      <c r="AI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</v>
      </c>
      <c r="AJ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</v>
      </c>
      <c r="AK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</v>
      </c>
      <c r="AL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</v>
      </c>
      <c r="AM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</v>
      </c>
    </row>
    <row r="68" spans="6:39" x14ac:dyDescent="0.55000000000000004">
      <c r="F68">
        <f t="shared" ref="F68" si="10">F63+1</f>
        <v>14</v>
      </c>
      <c r="G68" t="str">
        <f t="shared" ref="G68" si="11">E68&amp;F68</f>
        <v>14</v>
      </c>
      <c r="H68">
        <f>COUNTIF(G$3:G68,G68)</f>
        <v>1</v>
      </c>
      <c r="I68" t="str">
        <v/>
      </c>
      <c r="J68">
        <v>66</v>
      </c>
      <c r="K68" t="str">
        <f ca="1"/>
        <v>待機位置</v>
      </c>
      <c r="L68" t="str">
        <f ca="1"/>
        <v>待機位置</v>
      </c>
      <c r="N68" t="str">
        <f ca="1"/>
        <v>【141】 待機位置</v>
      </c>
      <c r="O68" t="str">
        <v/>
      </c>
      <c r="P68" t="str">
        <v>unknown</v>
      </c>
      <c r="Q68" t="str">
        <f ca="1"/>
        <v/>
      </c>
      <c r="R68" t="str">
        <f ca="1"/>
        <v>unknown</v>
      </c>
      <c r="Z68" t="str">
        <f ca="1"/>
        <v xml:space="preserve">
//14</v>
      </c>
      <c r="AA68" t="str">
        <f ca="1"/>
        <v xml:space="preserve">
//14
ELSIF strInfoType = 14 THEN</v>
      </c>
      <c r="AB68" t="str">
        <f ca="1"/>
        <v xml:space="preserve">
//14
ELSIF strInfoType = 14 THEN
	//待機位置
	IF uiInfoIdx = 1 THEN</v>
      </c>
      <c r="AC68" t="str">
        <f ca="1"/>
        <v xml:space="preserve">
//14
ELSIF strInfoType = 14 THEN
	//待機位置
	IF uiInfoIdx = 1 THEN
		IF strInfoKey = 'name' THEN</v>
      </c>
      <c r="AD68" t="str">
        <f ca="1"/>
        <v xml:space="preserve">
//14
ELSIF strInfoType = 14 THEN
	//待機位置
	IF uiInfoIdx = 1 THEN
		IF strInfoKey = 'name' THEN
			strRt	:= '待機位置';</v>
      </c>
      <c r="AE68" t="str">
        <f ca="1"/>
        <v xml:space="preserve">
//14
ELSIF strInfoType = 14 THEN
	//待機位置
	IF uiInfoIdx = 1 THEN
		IF strInfoKey = 'name' THEN
			strRt	:= '待機位置';
		ELSIF strInfoKey = 'index_name' THEN</v>
      </c>
      <c r="AF68" t="str">
        <f ca="1"/>
        <v xml:space="preserve">
//14
ELSIF strInfoType = 14 THEN
	//待機位置
	IF uiInfoIdx = 1 THEN
		IF strInfoKey = 'name' THEN
			strRt	:= '待機位置';
		ELSIF strInfoKey = 'index_name' THEN
			strRt	:= '【141】 待機位置';</v>
      </c>
      <c r="AG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</v>
      </c>
      <c r="AH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</v>
      </c>
      <c r="AI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</v>
      </c>
      <c r="AJ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</v>
      </c>
      <c r="AK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</v>
      </c>
      <c r="AL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</v>
      </c>
      <c r="AM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</v>
      </c>
    </row>
    <row r="69" spans="6:39" x14ac:dyDescent="0.55000000000000004">
      <c r="F69">
        <f t="shared" ref="F69:F132" si="12">F68</f>
        <v>14</v>
      </c>
      <c r="G69" t="str">
        <f t="shared" ref="G69:G131" si="13">E69&amp;F69</f>
        <v>14</v>
      </c>
      <c r="H69">
        <f>COUNTIF(G$3:G69,G69)</f>
        <v>2</v>
      </c>
      <c r="I69" t="str">
        <v/>
      </c>
      <c r="J69">
        <v>67</v>
      </c>
      <c r="K69" t="str">
        <f ca="1"/>
        <v>巻き位置</v>
      </c>
      <c r="L69" t="str">
        <f ca="1"/>
        <v>巻き位置</v>
      </c>
      <c r="N69" t="str">
        <f ca="1"/>
        <v>【142】 巻き位置</v>
      </c>
      <c r="O69" t="str">
        <v/>
      </c>
      <c r="P69" t="str">
        <v>unknown</v>
      </c>
      <c r="Q69" t="str">
        <f ca="1"/>
        <v/>
      </c>
      <c r="R69" t="str">
        <f ca="1"/>
        <v>unknown</v>
      </c>
      <c r="Z69" t="str">
        <f ca="1"/>
        <v xml:space="preserve">
</v>
      </c>
      <c r="AA69" t="str">
        <f ca="1"/>
        <v xml:space="preserve">
</v>
      </c>
      <c r="AB69" t="str">
        <f ca="1"/>
        <v xml:space="preserve">
	//巻き位置
	ELSIF uiInfoIdx = 2 THEN</v>
      </c>
      <c r="AC69" t="str">
        <f ca="1"/>
        <v xml:space="preserve">
	//巻き位置
	ELSIF uiInfoIdx = 2 THEN
		IF strInfoKey = 'name' THEN</v>
      </c>
      <c r="AD69" t="str">
        <f ca="1"/>
        <v xml:space="preserve">
	//巻き位置
	ELSIF uiInfoIdx = 2 THEN
		IF strInfoKey = 'name' THEN
			strRt	:= '巻き位置';</v>
      </c>
      <c r="AE69" t="str">
        <f ca="1"/>
        <v xml:space="preserve">
	//巻き位置
	ELSIF uiInfoIdx = 2 THEN
		IF strInfoKey = 'name' THEN
			strRt	:= '巻き位置';
		ELSIF strInfoKey = 'index_name' THEN</v>
      </c>
      <c r="AF69" t="str">
        <f ca="1"/>
        <v xml:space="preserve">
	//巻き位置
	ELSIF uiInfoIdx = 2 THEN
		IF strInfoKey = 'name' THEN
			strRt	:= '巻き位置';
		ELSIF strInfoKey = 'index_name' THEN
			strRt	:= '【142】 巻き位置';</v>
      </c>
      <c r="AG69" t="str">
        <f ca="1"/>
        <v xml:space="preserve">
	//巻き位置
	ELSIF uiInfoIdx = 2 THEN
		IF strInfoKey = 'name' THEN
			strRt	:= '巻き位置';
		ELSIF strInfoKey = 'index_name' THEN
			strRt	:= '【142】 巻き位置';
		ELSIF strInfoKey = 'model' THEN</v>
      </c>
      <c r="AH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</v>
      </c>
      <c r="AI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</v>
      </c>
      <c r="AJ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</v>
      </c>
      <c r="AK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</v>
      </c>
      <c r="AL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</v>
      </c>
      <c r="AM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</v>
      </c>
    </row>
    <row r="70" spans="6:39" x14ac:dyDescent="0.55000000000000004">
      <c r="F70">
        <f t="shared" si="12"/>
        <v>14</v>
      </c>
      <c r="G70" t="str">
        <f t="shared" si="13"/>
        <v>14</v>
      </c>
      <c r="H70">
        <f>COUNTIF(G$3:G70,G70)</f>
        <v>3</v>
      </c>
      <c r="I70" t="str">
        <v/>
      </c>
      <c r="J70">
        <v>68</v>
      </c>
      <c r="K70" t="str">
        <f ca="1"/>
        <v>巻締め位置</v>
      </c>
      <c r="L70" t="str">
        <f ca="1"/>
        <v>巻締め位置</v>
      </c>
      <c r="N70" t="str">
        <f ca="1"/>
        <v>【143】 巻締め位置</v>
      </c>
      <c r="O70" t="str">
        <v/>
      </c>
      <c r="P70" t="str">
        <v>unknown</v>
      </c>
      <c r="Q70" t="str">
        <f ca="1"/>
        <v/>
      </c>
      <c r="R70" t="str">
        <f ca="1"/>
        <v>unknown</v>
      </c>
      <c r="Z70" t="str">
        <f ca="1"/>
        <v xml:space="preserve">
</v>
      </c>
      <c r="AA70" t="str">
        <f ca="1"/>
        <v xml:space="preserve">
</v>
      </c>
      <c r="AB70" t="str">
        <f ca="1"/>
        <v xml:space="preserve">
	//巻締め位置
	ELSIF uiInfoIdx = 3 THEN</v>
      </c>
      <c r="AC70" t="str">
        <f ca="1"/>
        <v xml:space="preserve">
	//巻締め位置
	ELSIF uiInfoIdx = 3 THEN
		IF strInfoKey = 'name' THEN</v>
      </c>
      <c r="AD70" t="str">
        <f ca="1"/>
        <v xml:space="preserve">
	//巻締め位置
	ELSIF uiInfoIdx = 3 THEN
		IF strInfoKey = 'name' THEN
			strRt	:= '巻締め位置';</v>
      </c>
      <c r="AE70" t="str">
        <f ca="1"/>
        <v xml:space="preserve">
	//巻締め位置
	ELSIF uiInfoIdx = 3 THEN
		IF strInfoKey = 'name' THEN
			strRt	:= '巻締め位置';
		ELSIF strInfoKey = 'index_name' THEN</v>
      </c>
      <c r="AF70" t="str">
        <f ca="1"/>
        <v xml:space="preserve">
	//巻締め位置
	ELSIF uiInfoIdx = 3 THEN
		IF strInfoKey = 'name' THEN
			strRt	:= '巻締め位置';
		ELSIF strInfoKey = 'index_name' THEN
			strRt	:= '【143】 巻締め位置';</v>
      </c>
      <c r="AG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</v>
      </c>
      <c r="AH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</v>
      </c>
      <c r="AI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</v>
      </c>
      <c r="AJ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</v>
      </c>
      <c r="AK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</v>
      </c>
      <c r="AL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</v>
      </c>
      <c r="AM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</v>
      </c>
    </row>
    <row r="71" spans="6:39" x14ac:dyDescent="0.55000000000000004">
      <c r="F71">
        <f t="shared" si="12"/>
        <v>14</v>
      </c>
      <c r="G71" t="str">
        <f t="shared" si="13"/>
        <v>14</v>
      </c>
      <c r="H71">
        <f>COUNTIF(G$3:G71,G71)</f>
        <v>4</v>
      </c>
      <c r="I71" t="str">
        <v/>
      </c>
      <c r="J71">
        <v>69</v>
      </c>
      <c r="K71" t="str">
        <f ca="1"/>
        <v>整え位置</v>
      </c>
      <c r="L71" t="str">
        <f ca="1"/>
        <v>整え位置</v>
      </c>
      <c r="N71" t="str">
        <f ca="1"/>
        <v>【144】 整え位置</v>
      </c>
      <c r="O71" t="str">
        <v/>
      </c>
      <c r="P71" t="str">
        <v>unknown</v>
      </c>
      <c r="Q71" t="str">
        <f ca="1"/>
        <v/>
      </c>
      <c r="R71" t="str">
        <f ca="1"/>
        <v>unknown</v>
      </c>
      <c r="Z71" t="str">
        <f ca="1"/>
        <v xml:space="preserve">
</v>
      </c>
      <c r="AA71" t="str">
        <f ca="1"/>
        <v xml:space="preserve">
</v>
      </c>
      <c r="AB71" t="str">
        <f ca="1"/>
        <v xml:space="preserve">
	//整え位置
	ELSIF uiInfoIdx = 4 THEN</v>
      </c>
      <c r="AC71" t="str">
        <f ca="1"/>
        <v xml:space="preserve">
	//整え位置
	ELSIF uiInfoIdx = 4 THEN
		IF strInfoKey = 'name' THEN</v>
      </c>
      <c r="AD71" t="str">
        <f ca="1"/>
        <v xml:space="preserve">
	//整え位置
	ELSIF uiInfoIdx = 4 THEN
		IF strInfoKey = 'name' THEN
			strRt	:= '整え位置';</v>
      </c>
      <c r="AE71" t="str">
        <f ca="1"/>
        <v xml:space="preserve">
	//整え位置
	ELSIF uiInfoIdx = 4 THEN
		IF strInfoKey = 'name' THEN
			strRt	:= '整え位置';
		ELSIF strInfoKey = 'index_name' THEN</v>
      </c>
      <c r="AF71" t="str">
        <f ca="1"/>
        <v xml:space="preserve">
	//整え位置
	ELSIF uiInfoIdx = 4 THEN
		IF strInfoKey = 'name' THEN
			strRt	:= '整え位置';
		ELSIF strInfoKey = 'index_name' THEN
			strRt	:= '【144】 整え位置';</v>
      </c>
      <c r="AG71" t="str">
        <f ca="1"/>
        <v xml:space="preserve">
	//整え位置
	ELSIF uiInfoIdx = 4 THEN
		IF strInfoKey = 'name' THEN
			strRt	:= '整え位置';
		ELSIF strInfoKey = 'index_name' THEN
			strRt	:= '【144】 整え位置';
		ELSIF strInfoKey = 'model' THEN</v>
      </c>
      <c r="AH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</v>
      </c>
      <c r="AI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</v>
      </c>
      <c r="AJ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</v>
      </c>
      <c r="AK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</v>
      </c>
      <c r="AL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</v>
      </c>
      <c r="AM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</v>
      </c>
    </row>
    <row r="72" spans="6:39" x14ac:dyDescent="0.55000000000000004">
      <c r="F72">
        <f t="shared" si="12"/>
        <v>14</v>
      </c>
      <c r="G72" t="str">
        <f t="shared" si="13"/>
        <v>14</v>
      </c>
      <c r="H72">
        <f>COUNTIF(G$3:G72,G72)</f>
        <v>5</v>
      </c>
      <c r="I72" t="str">
        <v>●</v>
      </c>
      <c r="J72">
        <v>70</v>
      </c>
      <c r="K72" t="str">
        <f ca="1"/>
        <v>(予約)</v>
      </c>
      <c r="L72" t="str">
        <f ca="1"/>
        <v>(予約)</v>
      </c>
      <c r="N72" t="str">
        <f ca="1"/>
        <v>【145】 (予約)</v>
      </c>
      <c r="O72" t="str">
        <v/>
      </c>
      <c r="P72" t="str">
        <v>unknown</v>
      </c>
      <c r="Q72" t="str">
        <f ca="1"/>
        <v/>
      </c>
      <c r="R72" t="str">
        <f ca="1"/>
        <v>unknown</v>
      </c>
      <c r="Z72" t="str">
        <f ca="1"/>
        <v xml:space="preserve">
</v>
      </c>
      <c r="AA72" t="str">
        <f ca="1"/>
        <v xml:space="preserve">
</v>
      </c>
      <c r="AB72" t="str">
        <f ca="1"/>
        <v xml:space="preserve">
	//(予約)
	ELSIF uiInfoIdx = 5 THEN</v>
      </c>
      <c r="AC72" t="str">
        <f ca="1"/>
        <v xml:space="preserve">
	//(予約)
	ELSIF uiInfoIdx = 5 THEN
		IF strInfoKey = 'name' THEN</v>
      </c>
      <c r="AD72" t="str">
        <f ca="1"/>
        <v xml:space="preserve">
	//(予約)
	ELSIF uiInfoIdx = 5 THEN
		IF strInfoKey = 'name' THEN
			strRt	:= '(予約)';</v>
      </c>
      <c r="AE72" t="str">
        <f ca="1"/>
        <v xml:space="preserve">
	//(予約)
	ELSIF uiInfoIdx = 5 THEN
		IF strInfoKey = 'name' THEN
			strRt	:= '(予約)';
		ELSIF strInfoKey = 'index_name' THEN</v>
      </c>
      <c r="AF72" t="str">
        <f ca="1"/>
        <v xml:space="preserve">
	//(予約)
	ELSIF uiInfoIdx = 5 THEN
		IF strInfoKey = 'name' THEN
			strRt	:= '(予約)';
		ELSIF strInfoKey = 'index_name' THEN
			strRt	:= '【145】 (予約)';</v>
      </c>
      <c r="AG72" t="str">
        <f ca="1"/>
        <v xml:space="preserve">
	//(予約)
	ELSIF uiInfoIdx = 5 THEN
		IF strInfoKey = 'name' THEN
			strRt	:= '(予約)';
		ELSIF strInfoKey = 'index_name' THEN
			strRt	:= '【145】 (予約)';
		ELSIF strInfoKey = 'model' THEN</v>
      </c>
      <c r="AH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</v>
      </c>
      <c r="AI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</v>
      </c>
      <c r="AJ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</v>
      </c>
      <c r="AK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</v>
      </c>
      <c r="AL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
	ELSE
		uiErrCode	:= 2;
	END_IF;</v>
      </c>
      <c r="AM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
	ELSE
		uiErrCode	:= 2;
	END_IF;</v>
      </c>
    </row>
    <row r="73" spans="6:39" x14ac:dyDescent="0.55000000000000004">
      <c r="F73">
        <v>17</v>
      </c>
      <c r="G73" t="str">
        <f t="shared" si="13"/>
        <v>17</v>
      </c>
      <c r="H73">
        <f>COUNTIF(G$3:G73,G73)</f>
        <v>1</v>
      </c>
      <c r="I73" t="str">
        <v/>
      </c>
      <c r="J73">
        <v>81</v>
      </c>
      <c r="K73" t="str">
        <f ca="1"/>
        <v>待機位置</v>
      </c>
      <c r="L73" t="str">
        <f ca="1"/>
        <v>待機位置</v>
      </c>
      <c r="N73" t="str">
        <f ca="1"/>
        <v>【171】 待機位置</v>
      </c>
      <c r="O73" t="str">
        <v/>
      </c>
      <c r="P73" t="str">
        <v>unknown</v>
      </c>
      <c r="Q73" t="str">
        <f ca="1"/>
        <v/>
      </c>
      <c r="R73" t="str">
        <f ca="1"/>
        <v>unknown</v>
      </c>
      <c r="Z73" t="str">
        <f ca="1"/>
        <v xml:space="preserve">
//17</v>
      </c>
      <c r="AA73" t="str">
        <f ca="1"/>
        <v xml:space="preserve">
//17
ELSIF strInfoType = 17 THEN</v>
      </c>
      <c r="AB73" t="str">
        <f ca="1"/>
        <v xml:space="preserve">
//17
ELSIF strInfoType = 17 THEN
	//待機位置
	IF uiInfoIdx = 1 THEN</v>
      </c>
      <c r="AC73" t="str">
        <f ca="1"/>
        <v xml:space="preserve">
//17
ELSIF strInfoType = 17 THEN
	//待機位置
	IF uiInfoIdx = 1 THEN
		IF strInfoKey = 'name' THEN</v>
      </c>
      <c r="AD73" t="str">
        <f ca="1"/>
        <v xml:space="preserve">
//17
ELSIF strInfoType = 17 THEN
	//待機位置
	IF uiInfoIdx = 1 THEN
		IF strInfoKey = 'name' THEN
			strRt	:= '待機位置';</v>
      </c>
      <c r="AE73" t="str">
        <f ca="1"/>
        <v xml:space="preserve">
//17
ELSIF strInfoType = 17 THEN
	//待機位置
	IF uiInfoIdx = 1 THEN
		IF strInfoKey = 'name' THEN
			strRt	:= '待機位置';
		ELSIF strInfoKey = 'index_name' THEN</v>
      </c>
      <c r="AF73" t="str">
        <f ca="1"/>
        <v xml:space="preserve">
//17
ELSIF strInfoType = 17 THEN
	//待機位置
	IF uiInfoIdx = 1 THEN
		IF strInfoKey = 'name' THEN
			strRt	:= '待機位置';
		ELSIF strInfoKey = 'index_name' THEN
			strRt	:= '【171】 待機位置';</v>
      </c>
      <c r="AG73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</v>
      </c>
      <c r="AH73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</v>
      </c>
      <c r="AI73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</v>
      </c>
      <c r="AJ73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</v>
      </c>
      <c r="AK73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</v>
      </c>
      <c r="AL73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</v>
      </c>
      <c r="AM73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</v>
      </c>
    </row>
    <row r="74" spans="6:39" x14ac:dyDescent="0.55000000000000004">
      <c r="F74">
        <f t="shared" si="12"/>
        <v>17</v>
      </c>
      <c r="G74" t="str">
        <f t="shared" si="13"/>
        <v>17</v>
      </c>
      <c r="H74">
        <f>COUNTIF(G$3:G74,G74)</f>
        <v>2</v>
      </c>
      <c r="I74" t="str">
        <v/>
      </c>
      <c r="J74">
        <v>82</v>
      </c>
      <c r="K74" t="str">
        <f ca="1"/>
        <v>掴み位置</v>
      </c>
      <c r="L74" t="str">
        <f ca="1"/>
        <v>掴み位置</v>
      </c>
      <c r="N74" t="str">
        <f ca="1"/>
        <v>【172】 掴み位置</v>
      </c>
      <c r="O74" t="str">
        <v/>
      </c>
      <c r="P74" t="str">
        <v>unknown</v>
      </c>
      <c r="Q74" t="str">
        <f ca="1"/>
        <v/>
      </c>
      <c r="R74" t="str">
        <f ca="1"/>
        <v>unknown</v>
      </c>
      <c r="Z74" t="str">
        <f ca="1"/>
        <v xml:space="preserve">
</v>
      </c>
      <c r="AA74" t="str">
        <f ca="1"/>
        <v xml:space="preserve">
</v>
      </c>
      <c r="AB74" t="str">
        <f ca="1"/>
        <v xml:space="preserve">
	//掴み位置
	ELSIF uiInfoIdx = 2 THEN</v>
      </c>
      <c r="AC74" t="str">
        <f ca="1"/>
        <v xml:space="preserve">
	//掴み位置
	ELSIF uiInfoIdx = 2 THEN
		IF strInfoKey = 'name' THEN</v>
      </c>
      <c r="AD74" t="str">
        <f ca="1"/>
        <v xml:space="preserve">
	//掴み位置
	ELSIF uiInfoIdx = 2 THEN
		IF strInfoKey = 'name' THEN
			strRt	:= '掴み位置';</v>
      </c>
      <c r="AE74" t="str">
        <f ca="1"/>
        <v xml:space="preserve">
	//掴み位置
	ELSIF uiInfoIdx = 2 THEN
		IF strInfoKey = 'name' THEN
			strRt	:= '掴み位置';
		ELSIF strInfoKey = 'index_name' THEN</v>
      </c>
      <c r="AF74" t="str">
        <f ca="1"/>
        <v xml:space="preserve">
	//掴み位置
	ELSIF uiInfoIdx = 2 THEN
		IF strInfoKey = 'name' THEN
			strRt	:= '掴み位置';
		ELSIF strInfoKey = 'index_name' THEN
			strRt	:= '【172】 掴み位置';</v>
      </c>
      <c r="AG74" t="str">
        <f ca="1"/>
        <v xml:space="preserve">
	//掴み位置
	ELSIF uiInfoIdx = 2 THEN
		IF strInfoKey = 'name' THEN
			strRt	:= '掴み位置';
		ELSIF strInfoKey = 'index_name' THEN
			strRt	:= '【172】 掴み位置';
		ELSIF strInfoKey = 'model' THEN</v>
      </c>
      <c r="AH74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</v>
      </c>
      <c r="AI74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
		ELSIF strInfoKey = 'mf' THEN</v>
      </c>
      <c r="AJ74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</v>
      </c>
      <c r="AK74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
		ELSE
			uiErrCode	:= 3;
		END_IF;</v>
      </c>
      <c r="AL74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
		ELSE
			uiErrCode	:= 3;
		END_IF;</v>
      </c>
      <c r="AM74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
		ELSE
			uiErrCode	:= 3;
		END_IF;</v>
      </c>
    </row>
    <row r="75" spans="6:39" x14ac:dyDescent="0.55000000000000004">
      <c r="F75">
        <f t="shared" si="12"/>
        <v>17</v>
      </c>
      <c r="G75" t="str">
        <f t="shared" si="13"/>
        <v>17</v>
      </c>
      <c r="H75">
        <f>COUNTIF(G$3:G75,G75)</f>
        <v>3</v>
      </c>
      <c r="I75" t="str">
        <v/>
      </c>
      <c r="J75">
        <v>83</v>
      </c>
      <c r="K75" t="str">
        <f ca="1"/>
        <v>巻き開始補助位置</v>
      </c>
      <c r="L75" t="str">
        <f ca="1"/>
        <v>巻き開始補助位置</v>
      </c>
      <c r="N75" t="str">
        <f ca="1"/>
        <v>【173】 巻き開始補助位置</v>
      </c>
      <c r="O75" t="str">
        <v/>
      </c>
      <c r="P75" t="str">
        <v>unknown</v>
      </c>
      <c r="Q75" t="str">
        <f ca="1"/>
        <v/>
      </c>
      <c r="R75" t="str">
        <f ca="1"/>
        <v>unknown</v>
      </c>
      <c r="Z75" t="str">
        <f ca="1"/>
        <v xml:space="preserve">
</v>
      </c>
      <c r="AA75" t="str">
        <f ca="1"/>
        <v xml:space="preserve">
</v>
      </c>
      <c r="AB75" t="str">
        <f ca="1"/>
        <v xml:space="preserve">
	//巻き開始補助位置
	ELSIF uiInfoIdx = 3 THEN</v>
      </c>
      <c r="AC75" t="str">
        <f ca="1"/>
        <v xml:space="preserve">
	//巻き開始補助位置
	ELSIF uiInfoIdx = 3 THEN
		IF strInfoKey = 'name' THEN</v>
      </c>
      <c r="AD75" t="str">
        <f ca="1"/>
        <v xml:space="preserve">
	//巻き開始補助位置
	ELSIF uiInfoIdx = 3 THEN
		IF strInfoKey = 'name' THEN
			strRt	:= '巻き開始補助位置';</v>
      </c>
      <c r="AE75" t="str">
        <f ca="1"/>
        <v xml:space="preserve">
	//巻き開始補助位置
	ELSIF uiInfoIdx = 3 THEN
		IF strInfoKey = 'name' THEN
			strRt	:= '巻き開始補助位置';
		ELSIF strInfoKey = 'index_name' THEN</v>
      </c>
      <c r="AF75" t="str">
        <f ca="1"/>
        <v xml:space="preserve">
	//巻き開始補助位置
	ELSIF uiInfoIdx = 3 THEN
		IF strInfoKey = 'name' THEN
			strRt	:= '巻き開始補助位置';
		ELSIF strInfoKey = 'index_name' THEN
			strRt	:= '【173】 巻き開始補助位置';</v>
      </c>
      <c r="AG75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</v>
      </c>
      <c r="AH75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</v>
      </c>
      <c r="AI75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</v>
      </c>
      <c r="AJ75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</v>
      </c>
      <c r="AK75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
		ELSE
			uiErrCode	:= 3;
		END_IF;</v>
      </c>
      <c r="AL75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
		ELSE
			uiErrCode	:= 3;
		END_IF;</v>
      </c>
      <c r="AM75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
		ELSE
			uiErrCode	:= 3;
		END_IF;</v>
      </c>
    </row>
    <row r="76" spans="6:39" x14ac:dyDescent="0.55000000000000004">
      <c r="F76">
        <f t="shared" si="12"/>
        <v>17</v>
      </c>
      <c r="G76" t="str">
        <f t="shared" si="13"/>
        <v>17</v>
      </c>
      <c r="H76">
        <f>COUNTIF(G$3:G76,G76)</f>
        <v>4</v>
      </c>
      <c r="I76" t="str">
        <v/>
      </c>
      <c r="J76">
        <v>84</v>
      </c>
      <c r="K76" t="str">
        <f ca="1"/>
        <v>計測位置</v>
      </c>
      <c r="L76" t="str">
        <f ca="1"/>
        <v>計測位置</v>
      </c>
      <c r="N76" t="str">
        <f ca="1"/>
        <v>【174】 計測位置</v>
      </c>
      <c r="O76" t="str">
        <v/>
      </c>
      <c r="P76" t="str">
        <v>unknown</v>
      </c>
      <c r="Q76" t="str">
        <f ca="1"/>
        <v/>
      </c>
      <c r="R76" t="str">
        <f ca="1"/>
        <v>unknown</v>
      </c>
      <c r="Z76" t="str">
        <f ca="1"/>
        <v xml:space="preserve">
</v>
      </c>
      <c r="AA76" t="str">
        <f ca="1"/>
        <v xml:space="preserve">
</v>
      </c>
      <c r="AB76" t="str">
        <f ca="1"/>
        <v xml:space="preserve">
	//計測位置
	ELSIF uiInfoIdx = 4 THEN</v>
      </c>
      <c r="AC76" t="str">
        <f ca="1"/>
        <v xml:space="preserve">
	//計測位置
	ELSIF uiInfoIdx = 4 THEN
		IF strInfoKey = 'name' THEN</v>
      </c>
      <c r="AD76" t="str">
        <f ca="1"/>
        <v xml:space="preserve">
	//計測位置
	ELSIF uiInfoIdx = 4 THEN
		IF strInfoKey = 'name' THEN
			strRt	:= '計測位置';</v>
      </c>
      <c r="AE76" t="str">
        <f ca="1"/>
        <v xml:space="preserve">
	//計測位置
	ELSIF uiInfoIdx = 4 THEN
		IF strInfoKey = 'name' THEN
			strRt	:= '計測位置';
		ELSIF strInfoKey = 'index_name' THEN</v>
      </c>
      <c r="AF76" t="str">
        <f ca="1"/>
        <v xml:space="preserve">
	//計測位置
	ELSIF uiInfoIdx = 4 THEN
		IF strInfoKey = 'name' THEN
			strRt	:= '計測位置';
		ELSIF strInfoKey = 'index_name' THEN
			strRt	:= '【174】 計測位置';</v>
      </c>
      <c r="AG76" t="str">
        <f ca="1"/>
        <v xml:space="preserve">
	//計測位置
	ELSIF uiInfoIdx = 4 THEN
		IF strInfoKey = 'name' THEN
			strRt	:= '計測位置';
		ELSIF strInfoKey = 'index_name' THEN
			strRt	:= '【174】 計測位置';
		ELSIF strInfoKey = 'model' THEN</v>
      </c>
      <c r="AH76" t="str">
        <f ca="1"/>
        <v xml:space="preserve">
	//計測位置
	ELSIF uiInfoIdx = 4 THEN
		IF strInfoKey = 'name' THEN
			strRt	:= '計測位置';
		ELSIF strInfoKey = 'index_name' THEN
			strRt	:= '【174】 計測位置';
		ELSIF strInfoKey = 'model' THEN
			strRt	:= 'unknown';</v>
      </c>
      <c r="AI76" t="str">
        <f ca="1"/>
        <v xml:space="preserve">
	//計測位置
	ELSIF uiInfoIdx = 4 THEN
		IF strInfoKey = 'name' THEN
			strRt	:= '計測位置';
		ELSIF strInfoKey = 'index_name' THEN
			strRt	:= '【174】 計測位置';
		ELSIF strInfoKey = 'model' THEN
			strRt	:= 'unknown';
		ELSIF strInfoKey = 'mf' THEN</v>
      </c>
      <c r="AJ76" t="str">
        <f ca="1"/>
        <v xml:space="preserve">
	//計測位置
	ELSIF uiInfoIdx = 4 THEN
		IF strInfoKey = 'name' THEN
			strRt	:= '計測位置';
		ELSIF strInfoKey = 'index_name' THEN
			strRt	:= '【174】 計測位置';
		ELSIF strInfoKey = 'model' THEN
			strRt	:= 'unknown';
		ELSIF strInfoKey = 'mf' THEN
			strRt	:= 'unknown';</v>
      </c>
      <c r="AK76" t="str">
        <f ca="1"/>
        <v xml:space="preserve">
	//計測位置
	ELSIF uiInfoIdx = 4 THEN
		IF strInfoKey = 'name' THEN
			strRt	:= '計測位置';
		ELSIF strInfoKey = 'index_name' THEN
			strRt	:= '【174】 計測位置';
		ELSIF strInfoKey = 'model' THEN
			strRt	:= 'unknown';
		ELSIF strInfoKey = 'mf' THEN
			strRt	:= 'unknown';
		ELSE
			uiErrCode	:= 3;
		END_IF;</v>
      </c>
      <c r="AL76" t="str">
        <f ca="1"/>
        <v xml:space="preserve">
	//計測位置
	ELSIF uiInfoIdx = 4 THEN
		IF strInfoKey = 'name' THEN
			strRt	:= '計測位置';
		ELSIF strInfoKey = 'index_name' THEN
			strRt	:= '【174】 計測位置';
		ELSIF strInfoKey = 'model' THEN
			strRt	:= 'unknown';
		ELSIF strInfoKey = 'mf' THEN
			strRt	:= 'unknown';
		ELSE
			uiErrCode	:= 3;
		END_IF;</v>
      </c>
      <c r="AM76" t="str">
        <f ca="1"/>
        <v xml:space="preserve">
	//計測位置
	ELSIF uiInfoIdx = 4 THEN
		IF strInfoKey = 'name' THEN
			strRt	:= '計測位置';
		ELSIF strInfoKey = 'index_name' THEN
			strRt	:= '【174】 計測位置';
		ELSIF strInfoKey = 'model' THEN
			strRt	:= 'unknown';
		ELSIF strInfoKey = 'mf' THEN
			strRt	:= 'unknown';
		ELSE
			uiErrCode	:= 3;
		END_IF;</v>
      </c>
    </row>
    <row r="77" spans="6:39" x14ac:dyDescent="0.55000000000000004">
      <c r="F77">
        <f t="shared" si="12"/>
        <v>17</v>
      </c>
      <c r="G77" t="str">
        <f t="shared" si="13"/>
        <v>17</v>
      </c>
      <c r="H77">
        <f>COUNTIF(G$3:G77,G77)</f>
        <v>5</v>
      </c>
      <c r="I77" t="str">
        <v>●</v>
      </c>
      <c r="J77">
        <v>85</v>
      </c>
      <c r="K77" t="str">
        <f ca="1"/>
        <v>(予約)</v>
      </c>
      <c r="L77" t="str">
        <f ca="1"/>
        <v>(予約)</v>
      </c>
      <c r="N77" t="str">
        <f ca="1"/>
        <v>【175】 (予約)</v>
      </c>
      <c r="O77" t="str">
        <v/>
      </c>
      <c r="P77" t="str">
        <v>unknown</v>
      </c>
      <c r="Q77" t="str">
        <f ca="1"/>
        <v/>
      </c>
      <c r="R77" t="str">
        <f ca="1"/>
        <v>unknown</v>
      </c>
      <c r="Z77" t="str">
        <f ca="1"/>
        <v xml:space="preserve">
</v>
      </c>
      <c r="AA77" t="str">
        <f ca="1"/>
        <v xml:space="preserve">
</v>
      </c>
      <c r="AB77" t="str">
        <f ca="1"/>
        <v xml:space="preserve">
	//(予約)
	ELSIF uiInfoIdx = 5 THEN</v>
      </c>
      <c r="AC77" t="str">
        <f ca="1"/>
        <v xml:space="preserve">
	//(予約)
	ELSIF uiInfoIdx = 5 THEN
		IF strInfoKey = 'name' THEN</v>
      </c>
      <c r="AD77" t="str">
        <f ca="1"/>
        <v xml:space="preserve">
	//(予約)
	ELSIF uiInfoIdx = 5 THEN
		IF strInfoKey = 'name' THEN
			strRt	:= '(予約)';</v>
      </c>
      <c r="AE77" t="str">
        <f ca="1"/>
        <v xml:space="preserve">
	//(予約)
	ELSIF uiInfoIdx = 5 THEN
		IF strInfoKey = 'name' THEN
			strRt	:= '(予約)';
		ELSIF strInfoKey = 'index_name' THEN</v>
      </c>
      <c r="AF77" t="str">
        <f ca="1"/>
        <v xml:space="preserve">
	//(予約)
	ELSIF uiInfoIdx = 5 THEN
		IF strInfoKey = 'name' THEN
			strRt	:= '(予約)';
		ELSIF strInfoKey = 'index_name' THEN
			strRt	:= '【175】 (予約)';</v>
      </c>
      <c r="AG77" t="str">
        <f ca="1"/>
        <v xml:space="preserve">
	//(予約)
	ELSIF uiInfoIdx = 5 THEN
		IF strInfoKey = 'name' THEN
			strRt	:= '(予約)';
		ELSIF strInfoKey = 'index_name' THEN
			strRt	:= '【175】 (予約)';
		ELSIF strInfoKey = 'model' THEN</v>
      </c>
      <c r="AH77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</v>
      </c>
      <c r="AI77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
		ELSIF strInfoKey = 'mf' THEN</v>
      </c>
      <c r="AJ77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
		ELSIF strInfoKey = 'mf' THEN
			strRt	:= 'unknown';</v>
      </c>
      <c r="AK77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
		ELSIF strInfoKey = 'mf' THEN
			strRt	:= 'unknown';
		ELSE
			uiErrCode	:= 3;
		END_IF;</v>
      </c>
      <c r="AL77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
		ELSIF strInfoKey = 'mf' THEN
			strRt	:= 'unknown';
		ELSE
			uiErrCode	:= 3;
		END_IF;
	ELSE
		uiErrCode	:= 2;
	END_IF;</v>
      </c>
      <c r="AM77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
		ELSIF strInfoKey = 'mf' THEN
			strRt	:= 'unknown';
		ELSE
			uiErrCode	:= 3;
		END_IF;
	ELSE
		uiErrCode	:= 2;
	END_IF;</v>
      </c>
    </row>
    <row r="78" spans="6:39" x14ac:dyDescent="0.55000000000000004">
      <c r="F78">
        <v>18</v>
      </c>
      <c r="G78" t="str">
        <f t="shared" si="13"/>
        <v>18</v>
      </c>
      <c r="H78">
        <f>COUNTIF(G$3:G78,G78)</f>
        <v>1</v>
      </c>
      <c r="I78" t="str">
        <v/>
      </c>
      <c r="J78">
        <v>86</v>
      </c>
      <c r="K78" t="str">
        <f ca="1"/>
        <v>待機位置</v>
      </c>
      <c r="L78" t="str">
        <f ca="1"/>
        <v>待機位置</v>
      </c>
      <c r="N78" t="str">
        <f ca="1"/>
        <v>【181】 待機位置</v>
      </c>
      <c r="O78" t="str">
        <v/>
      </c>
      <c r="P78" t="str">
        <v>unknown</v>
      </c>
      <c r="Q78" t="str">
        <f ca="1"/>
        <v/>
      </c>
      <c r="R78" t="str">
        <f ca="1"/>
        <v>unknown</v>
      </c>
      <c r="Z78" t="str">
        <f ca="1"/>
        <v xml:space="preserve">
//18</v>
      </c>
      <c r="AA78" t="str">
        <f ca="1"/>
        <v xml:space="preserve">
//18
ELSIF strInfoType = 18 THEN</v>
      </c>
      <c r="AB78" t="str">
        <f ca="1"/>
        <v xml:space="preserve">
//18
ELSIF strInfoType = 18 THEN
	//待機位置
	IF uiInfoIdx = 1 THEN</v>
      </c>
      <c r="AC78" t="str">
        <f ca="1"/>
        <v xml:space="preserve">
//18
ELSIF strInfoType = 18 THEN
	//待機位置
	IF uiInfoIdx = 1 THEN
		IF strInfoKey = 'name' THEN</v>
      </c>
      <c r="AD78" t="str">
        <f ca="1"/>
        <v xml:space="preserve">
//18
ELSIF strInfoType = 18 THEN
	//待機位置
	IF uiInfoIdx = 1 THEN
		IF strInfoKey = 'name' THEN
			strRt	:= '待機位置';</v>
      </c>
      <c r="AE78" t="str">
        <f ca="1"/>
        <v xml:space="preserve">
//18
ELSIF strInfoType = 18 THEN
	//待機位置
	IF uiInfoIdx = 1 THEN
		IF strInfoKey = 'name' THEN
			strRt	:= '待機位置';
		ELSIF strInfoKey = 'index_name' THEN</v>
      </c>
      <c r="AF78" t="str">
        <f ca="1"/>
        <v xml:space="preserve">
//18
ELSIF strInfoType = 18 THEN
	//待機位置
	IF uiInfoIdx = 1 THEN
		IF strInfoKey = 'name' THEN
			strRt	:= '待機位置';
		ELSIF strInfoKey = 'index_name' THEN
			strRt	:= '【181】 待機位置';</v>
      </c>
      <c r="AG78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</v>
      </c>
      <c r="AH78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</v>
      </c>
      <c r="AI78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</v>
      </c>
      <c r="AJ78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</v>
      </c>
      <c r="AK78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
		ELSE
			uiErrCode	:= 3;
		END_IF;</v>
      </c>
      <c r="AL78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
		ELSE
			uiErrCode	:= 3;
		END_IF;</v>
      </c>
      <c r="AM78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
		ELSE
			uiErrCode	:= 3;
		END_IF;</v>
      </c>
    </row>
    <row r="79" spans="6:39" x14ac:dyDescent="0.55000000000000004">
      <c r="F79">
        <f t="shared" si="12"/>
        <v>18</v>
      </c>
      <c r="G79" t="str">
        <f t="shared" si="13"/>
        <v>18</v>
      </c>
      <c r="H79">
        <f>COUNTIF(G$3:G79,G79)</f>
        <v>2</v>
      </c>
      <c r="I79" t="str">
        <v/>
      </c>
      <c r="J79">
        <v>87</v>
      </c>
      <c r="K79" t="str">
        <f ca="1"/>
        <v>掴み位置</v>
      </c>
      <c r="L79" t="str">
        <f ca="1"/>
        <v>掴み位置</v>
      </c>
      <c r="N79" t="str">
        <f ca="1"/>
        <v>【182】 掴み位置</v>
      </c>
      <c r="O79" t="str">
        <v/>
      </c>
      <c r="P79" t="str">
        <v>unknown</v>
      </c>
      <c r="Q79" t="str">
        <f ca="1"/>
        <v/>
      </c>
      <c r="R79" t="str">
        <f ca="1"/>
        <v>unknown</v>
      </c>
      <c r="Z79" t="str">
        <f ca="1"/>
        <v xml:space="preserve">
</v>
      </c>
      <c r="AA79" t="str">
        <f ca="1"/>
        <v xml:space="preserve">
</v>
      </c>
      <c r="AB79" t="str">
        <f ca="1"/>
        <v xml:space="preserve">
	//掴み位置
	ELSIF uiInfoIdx = 2 THEN</v>
      </c>
      <c r="AC79" t="str">
        <f ca="1"/>
        <v xml:space="preserve">
	//掴み位置
	ELSIF uiInfoIdx = 2 THEN
		IF strInfoKey = 'name' THEN</v>
      </c>
      <c r="AD79" t="str">
        <f ca="1"/>
        <v xml:space="preserve">
	//掴み位置
	ELSIF uiInfoIdx = 2 THEN
		IF strInfoKey = 'name' THEN
			strRt	:= '掴み位置';</v>
      </c>
      <c r="AE79" t="str">
        <f ca="1"/>
        <v xml:space="preserve">
	//掴み位置
	ELSIF uiInfoIdx = 2 THEN
		IF strInfoKey = 'name' THEN
			strRt	:= '掴み位置';
		ELSIF strInfoKey = 'index_name' THEN</v>
      </c>
      <c r="AF79" t="str">
        <f ca="1"/>
        <v xml:space="preserve">
	//掴み位置
	ELSIF uiInfoIdx = 2 THEN
		IF strInfoKey = 'name' THEN
			strRt	:= '掴み位置';
		ELSIF strInfoKey = 'index_name' THEN
			strRt	:= '【182】 掴み位置';</v>
      </c>
      <c r="AG79" t="str">
        <f ca="1"/>
        <v xml:space="preserve">
	//掴み位置
	ELSIF uiInfoIdx = 2 THEN
		IF strInfoKey = 'name' THEN
			strRt	:= '掴み位置';
		ELSIF strInfoKey = 'index_name' THEN
			strRt	:= '【182】 掴み位置';
		ELSIF strInfoKey = 'model' THEN</v>
      </c>
      <c r="AH79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</v>
      </c>
      <c r="AI79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
		ELSIF strInfoKey = 'mf' THEN</v>
      </c>
      <c r="AJ79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</v>
      </c>
      <c r="AK79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
		ELSE
			uiErrCode	:= 3;
		END_IF;</v>
      </c>
      <c r="AL79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
		ELSE
			uiErrCode	:= 3;
		END_IF;</v>
      </c>
      <c r="AM79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
		ELSE
			uiErrCode	:= 3;
		END_IF;</v>
      </c>
    </row>
    <row r="80" spans="6:39" x14ac:dyDescent="0.55000000000000004">
      <c r="F80">
        <f t="shared" si="12"/>
        <v>18</v>
      </c>
      <c r="G80" t="str">
        <f t="shared" si="13"/>
        <v>18</v>
      </c>
      <c r="H80">
        <f>COUNTIF(G$3:G80,G80)</f>
        <v>3</v>
      </c>
      <c r="I80" t="str">
        <v/>
      </c>
      <c r="J80">
        <v>88</v>
      </c>
      <c r="K80" t="str">
        <f ca="1"/>
        <v>巻き開始補助位置</v>
      </c>
      <c r="L80" t="str">
        <f ca="1"/>
        <v>巻き開始補助位置</v>
      </c>
      <c r="N80" t="str">
        <f ca="1"/>
        <v>【183】 巻き開始補助位置</v>
      </c>
      <c r="O80" t="str">
        <v/>
      </c>
      <c r="P80" t="str">
        <v>unknown</v>
      </c>
      <c r="Q80" t="str">
        <f ca="1"/>
        <v/>
      </c>
      <c r="R80" t="str">
        <f ca="1"/>
        <v>unknown</v>
      </c>
      <c r="Z80" t="str">
        <f ca="1"/>
        <v xml:space="preserve">
</v>
      </c>
      <c r="AA80" t="str">
        <f ca="1"/>
        <v xml:space="preserve">
</v>
      </c>
      <c r="AB80" t="str">
        <f ca="1"/>
        <v xml:space="preserve">
	//巻き開始補助位置
	ELSIF uiInfoIdx = 3 THEN</v>
      </c>
      <c r="AC80" t="str">
        <f ca="1"/>
        <v xml:space="preserve">
	//巻き開始補助位置
	ELSIF uiInfoIdx = 3 THEN
		IF strInfoKey = 'name' THEN</v>
      </c>
      <c r="AD80" t="str">
        <f ca="1"/>
        <v xml:space="preserve">
	//巻き開始補助位置
	ELSIF uiInfoIdx = 3 THEN
		IF strInfoKey = 'name' THEN
			strRt	:= '巻き開始補助位置';</v>
      </c>
      <c r="AE80" t="str">
        <f ca="1"/>
        <v xml:space="preserve">
	//巻き開始補助位置
	ELSIF uiInfoIdx = 3 THEN
		IF strInfoKey = 'name' THEN
			strRt	:= '巻き開始補助位置';
		ELSIF strInfoKey = 'index_name' THEN</v>
      </c>
      <c r="AF80" t="str">
        <f ca="1"/>
        <v xml:space="preserve">
	//巻き開始補助位置
	ELSIF uiInfoIdx = 3 THEN
		IF strInfoKey = 'name' THEN
			strRt	:= '巻き開始補助位置';
		ELSIF strInfoKey = 'index_name' THEN
			strRt	:= '【183】 巻き開始補助位置';</v>
      </c>
      <c r="AG80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</v>
      </c>
      <c r="AH80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</v>
      </c>
      <c r="AI80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</v>
      </c>
      <c r="AJ80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</v>
      </c>
      <c r="AK80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
		ELSE
			uiErrCode	:= 3;
		END_IF;</v>
      </c>
      <c r="AL80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
		ELSE
			uiErrCode	:= 3;
		END_IF;</v>
      </c>
      <c r="AM80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
		ELSE
			uiErrCode	:= 3;
		END_IF;</v>
      </c>
    </row>
    <row r="81" spans="6:39" x14ac:dyDescent="0.55000000000000004">
      <c r="F81">
        <f t="shared" si="12"/>
        <v>18</v>
      </c>
      <c r="G81" t="str">
        <f t="shared" si="13"/>
        <v>18</v>
      </c>
      <c r="H81">
        <f>COUNTIF(G$3:G81,G81)</f>
        <v>4</v>
      </c>
      <c r="I81" t="str">
        <v/>
      </c>
      <c r="J81">
        <v>89</v>
      </c>
      <c r="K81" t="str">
        <f ca="1"/>
        <v>(予約)</v>
      </c>
      <c r="L81" t="str">
        <f ca="1"/>
        <v>(予約)</v>
      </c>
      <c r="N81" t="str">
        <f ca="1"/>
        <v>【184】 (予約)</v>
      </c>
      <c r="O81" t="str">
        <v/>
      </c>
      <c r="P81" t="str">
        <v>unknown</v>
      </c>
      <c r="Q81" t="str">
        <f ca="1"/>
        <v/>
      </c>
      <c r="R81" t="str">
        <f ca="1"/>
        <v>unknown</v>
      </c>
      <c r="Z81" t="str">
        <f ca="1"/>
        <v xml:space="preserve">
</v>
      </c>
      <c r="AA81" t="str">
        <f ca="1"/>
        <v xml:space="preserve">
</v>
      </c>
      <c r="AB81" t="str">
        <f ca="1"/>
        <v xml:space="preserve">
	//(予約)
	ELSIF uiInfoIdx = 4 THEN</v>
      </c>
      <c r="AC81" t="str">
        <f ca="1"/>
        <v xml:space="preserve">
	//(予約)
	ELSIF uiInfoIdx = 4 THEN
		IF strInfoKey = 'name' THEN</v>
      </c>
      <c r="AD81" t="str">
        <f ca="1"/>
        <v xml:space="preserve">
	//(予約)
	ELSIF uiInfoIdx = 4 THEN
		IF strInfoKey = 'name' THEN
			strRt	:= '(予約)';</v>
      </c>
      <c r="AE81" t="str">
        <f ca="1"/>
        <v xml:space="preserve">
	//(予約)
	ELSIF uiInfoIdx = 4 THEN
		IF strInfoKey = 'name' THEN
			strRt	:= '(予約)';
		ELSIF strInfoKey = 'index_name' THEN</v>
      </c>
      <c r="AF81" t="str">
        <f ca="1"/>
        <v xml:space="preserve">
	//(予約)
	ELSIF uiInfoIdx = 4 THEN
		IF strInfoKey = 'name' THEN
			strRt	:= '(予約)';
		ELSIF strInfoKey = 'index_name' THEN
			strRt	:= '【184】 (予約)';</v>
      </c>
      <c r="AG81" t="str">
        <f ca="1"/>
        <v xml:space="preserve">
	//(予約)
	ELSIF uiInfoIdx = 4 THEN
		IF strInfoKey = 'name' THEN
			strRt	:= '(予約)';
		ELSIF strInfoKey = 'index_name' THEN
			strRt	:= '【184】 (予約)';
		ELSIF strInfoKey = 'model' THEN</v>
      </c>
      <c r="AH81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</v>
      </c>
      <c r="AI81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
		ELSIF strInfoKey = 'mf' THEN</v>
      </c>
      <c r="AJ81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
		ELSIF strInfoKey = 'mf' THEN
			strRt	:= 'unknown';</v>
      </c>
      <c r="AK81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
		ELSIF strInfoKey = 'mf' THEN
			strRt	:= 'unknown';
		ELSE
			uiErrCode	:= 3;
		END_IF;</v>
      </c>
      <c r="AL81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
		ELSIF strInfoKey = 'mf' THEN
			strRt	:= 'unknown';
		ELSE
			uiErrCode	:= 3;
		END_IF;</v>
      </c>
      <c r="AM81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
		ELSIF strInfoKey = 'mf' THEN
			strRt	:= 'unknown';
		ELSE
			uiErrCode	:= 3;
		END_IF;</v>
      </c>
    </row>
    <row r="82" spans="6:39" x14ac:dyDescent="0.55000000000000004">
      <c r="F82">
        <f t="shared" si="12"/>
        <v>18</v>
      </c>
      <c r="G82" t="str">
        <f t="shared" si="13"/>
        <v>18</v>
      </c>
      <c r="H82">
        <f>COUNTIF(G$3:G82,G82)</f>
        <v>5</v>
      </c>
      <c r="I82" t="str">
        <v/>
      </c>
      <c r="J82">
        <v>90</v>
      </c>
      <c r="K82" t="str">
        <f ca="1"/>
        <v>(予約)</v>
      </c>
      <c r="L82" t="str">
        <f ca="1"/>
        <v>(予約)</v>
      </c>
      <c r="N82" t="str">
        <f ca="1"/>
        <v>【185】 (予約)</v>
      </c>
      <c r="O82" t="str">
        <v/>
      </c>
      <c r="P82" t="str">
        <v>unknown</v>
      </c>
      <c r="Q82" t="str">
        <f ca="1"/>
        <v/>
      </c>
      <c r="R82" t="str">
        <f ca="1"/>
        <v>unknown</v>
      </c>
      <c r="Z82" t="str">
        <f ca="1"/>
        <v xml:space="preserve">
</v>
      </c>
      <c r="AA82" t="str">
        <f ca="1"/>
        <v xml:space="preserve">
</v>
      </c>
      <c r="AB82" t="str">
        <f ca="1"/>
        <v xml:space="preserve">
	//(予約)
	ELSIF uiInfoIdx = 5 THEN</v>
      </c>
      <c r="AC82" t="str">
        <f ca="1"/>
        <v xml:space="preserve">
	//(予約)
	ELSIF uiInfoIdx = 5 THEN
		IF strInfoKey = 'name' THEN</v>
      </c>
      <c r="AD82" t="str">
        <f ca="1"/>
        <v xml:space="preserve">
	//(予約)
	ELSIF uiInfoIdx = 5 THEN
		IF strInfoKey = 'name' THEN
			strRt	:= '(予約)';</v>
      </c>
      <c r="AE82" t="str">
        <f ca="1"/>
        <v xml:space="preserve">
	//(予約)
	ELSIF uiInfoIdx = 5 THEN
		IF strInfoKey = 'name' THEN
			strRt	:= '(予約)';
		ELSIF strInfoKey = 'index_name' THEN</v>
      </c>
      <c r="AF82" t="str">
        <f ca="1"/>
        <v xml:space="preserve">
	//(予約)
	ELSIF uiInfoIdx = 5 THEN
		IF strInfoKey = 'name' THEN
			strRt	:= '(予約)';
		ELSIF strInfoKey = 'index_name' THEN
			strRt	:= '【185】 (予約)';</v>
      </c>
      <c r="AG82" t="str">
        <f ca="1"/>
        <v xml:space="preserve">
	//(予約)
	ELSIF uiInfoIdx = 5 THEN
		IF strInfoKey = 'name' THEN
			strRt	:= '(予約)';
		ELSIF strInfoKey = 'index_name' THEN
			strRt	:= '【185】 (予約)';
		ELSIF strInfoKey = 'model' THEN</v>
      </c>
      <c r="AH82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</v>
      </c>
      <c r="AI82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
		ELSIF strInfoKey = 'mf' THEN</v>
      </c>
      <c r="AJ82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
		ELSIF strInfoKey = 'mf' THEN
			strRt	:= 'unknown';</v>
      </c>
      <c r="AK82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
		ELSIF strInfoKey = 'mf' THEN
			strRt	:= 'unknown';
		ELSE
			uiErrCode	:= 3;
		END_IF;</v>
      </c>
      <c r="AL82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
		ELSIF strInfoKey = 'mf' THEN
			strRt	:= 'unknown';
		ELSE
			uiErrCode	:= 3;
		END_IF;</v>
      </c>
      <c r="AM82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
		ELSIF strInfoKey = 'mf' THEN
			strRt	:= 'unknown';
		ELSE
			uiErrCode	:= 3;
		END_IF;</v>
      </c>
    </row>
    <row r="83" spans="6:39" x14ac:dyDescent="0.55000000000000004">
      <c r="F83">
        <f t="shared" si="12"/>
        <v>18</v>
      </c>
      <c r="G83" t="str">
        <f t="shared" si="13"/>
        <v>18</v>
      </c>
      <c r="H83">
        <f>COUNTIF(G$3:G83,G83)</f>
        <v>6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12"/>
        <v>18</v>
      </c>
      <c r="G84" t="str">
        <f t="shared" si="13"/>
        <v>18</v>
      </c>
      <c r="H84">
        <f>COUNTIF(G$3:G84,G84)</f>
        <v>7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12"/>
        <v>18</v>
      </c>
      <c r="G85" t="str">
        <f t="shared" si="13"/>
        <v>18</v>
      </c>
      <c r="H85">
        <f>COUNTIF(G$3:G85,G85)</f>
        <v>8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12"/>
        <v>18</v>
      </c>
      <c r="G86" t="str">
        <f t="shared" si="13"/>
        <v>18</v>
      </c>
      <c r="H86">
        <f>COUNTIF(G$3:G86,G86)</f>
        <v>9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12"/>
        <v>18</v>
      </c>
      <c r="G87" t="str">
        <f t="shared" si="13"/>
        <v>18</v>
      </c>
      <c r="H87">
        <f>COUNTIF(G$3:G87,G87)</f>
        <v>10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12"/>
        <v>18</v>
      </c>
      <c r="G88" t="str">
        <f t="shared" si="13"/>
        <v>18</v>
      </c>
      <c r="H88">
        <f>COUNTIF(G$3:G88,G88)</f>
        <v>11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12"/>
        <v>18</v>
      </c>
      <c r="G89" t="str">
        <f t="shared" si="13"/>
        <v>18</v>
      </c>
      <c r="H89">
        <f>COUNTIF(G$3:G89,G89)</f>
        <v>12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12"/>
        <v>18</v>
      </c>
      <c r="G90" t="str">
        <f t="shared" si="13"/>
        <v>18</v>
      </c>
      <c r="H90">
        <f>COUNTIF(G$3:G90,G90)</f>
        <v>13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12"/>
        <v>18</v>
      </c>
      <c r="G91" t="str">
        <f t="shared" si="13"/>
        <v>18</v>
      </c>
      <c r="H91">
        <f>COUNTIF(G$3:G91,G91)</f>
        <v>14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12"/>
        <v>18</v>
      </c>
      <c r="G92" t="str">
        <f t="shared" si="13"/>
        <v>18</v>
      </c>
      <c r="H92">
        <f>COUNTIF(G$3:G92,G92)</f>
        <v>15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12"/>
        <v>18</v>
      </c>
      <c r="G93" t="str">
        <f t="shared" si="13"/>
        <v>18</v>
      </c>
      <c r="H93">
        <f>COUNTIF(G$3:G93,G93)</f>
        <v>16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12"/>
        <v>18</v>
      </c>
      <c r="G94" t="str">
        <f t="shared" si="13"/>
        <v>18</v>
      </c>
      <c r="H94">
        <f>COUNTIF(G$3:G94,G94)</f>
        <v>17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12"/>
        <v>18</v>
      </c>
      <c r="G95" t="str">
        <f t="shared" si="13"/>
        <v>18</v>
      </c>
      <c r="H95">
        <f>COUNTIF(G$3:G95,G95)</f>
        <v>18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12"/>
        <v>18</v>
      </c>
      <c r="G96" t="str">
        <f t="shared" si="13"/>
        <v>18</v>
      </c>
      <c r="H96">
        <f>COUNTIF(G$3:G96,G96)</f>
        <v>19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12"/>
        <v>18</v>
      </c>
      <c r="G97" t="str">
        <f t="shared" si="13"/>
        <v>18</v>
      </c>
      <c r="H97">
        <f>COUNTIF(G$3:G97,G97)</f>
        <v>20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12"/>
        <v>18</v>
      </c>
      <c r="G98" t="str">
        <f t="shared" si="13"/>
        <v>18</v>
      </c>
      <c r="H98">
        <f>COUNTIF(G$3:G98,G98)</f>
        <v>21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12"/>
        <v>18</v>
      </c>
      <c r="G99" t="str">
        <f t="shared" si="13"/>
        <v>18</v>
      </c>
      <c r="H99">
        <f>COUNTIF(G$3:G99,G99)</f>
        <v>22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12"/>
        <v>18</v>
      </c>
      <c r="G100" t="str">
        <f t="shared" si="13"/>
        <v>18</v>
      </c>
      <c r="H100">
        <f>COUNTIF(G$3:G100,G100)</f>
        <v>23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12"/>
        <v>18</v>
      </c>
      <c r="G101" t="str">
        <f t="shared" si="13"/>
        <v>18</v>
      </c>
      <c r="H101">
        <f>COUNTIF(G$3:G101,G101)</f>
        <v>24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12"/>
        <v>18</v>
      </c>
      <c r="G102" t="str">
        <f t="shared" si="13"/>
        <v>18</v>
      </c>
      <c r="H102">
        <f>COUNTIF(G$3:G102,G102)</f>
        <v>25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12"/>
        <v>18</v>
      </c>
      <c r="G103" t="str">
        <f t="shared" si="13"/>
        <v>18</v>
      </c>
      <c r="H103">
        <f>COUNTIF(G$3:G103,G103)</f>
        <v>26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12"/>
        <v>18</v>
      </c>
      <c r="G104" t="str">
        <f t="shared" si="13"/>
        <v>18</v>
      </c>
      <c r="H104">
        <f>COUNTIF(G$3:G104,G104)</f>
        <v>27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12"/>
        <v>18</v>
      </c>
      <c r="G105" t="str">
        <f t="shared" si="13"/>
        <v>18</v>
      </c>
      <c r="H105">
        <f>COUNTIF(G$3:G105,G105)</f>
        <v>28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12"/>
        <v>18</v>
      </c>
      <c r="G106" t="str">
        <f t="shared" si="13"/>
        <v>18</v>
      </c>
      <c r="H106">
        <f>COUNTIF(G$3:G106,G106)</f>
        <v>29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12"/>
        <v>18</v>
      </c>
      <c r="G107" t="str">
        <f t="shared" si="13"/>
        <v>18</v>
      </c>
      <c r="H107">
        <f>COUNTIF(G$3:G107,G107)</f>
        <v>30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12"/>
        <v>18</v>
      </c>
      <c r="G108" t="str">
        <f t="shared" si="13"/>
        <v>18</v>
      </c>
      <c r="H108">
        <f>COUNTIF(G$3:G108,G108)</f>
        <v>31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12"/>
        <v>18</v>
      </c>
      <c r="G109" t="str">
        <f t="shared" si="13"/>
        <v>18</v>
      </c>
      <c r="H109">
        <f>COUNTIF(G$3:G109,G109)</f>
        <v>32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12"/>
        <v>18</v>
      </c>
      <c r="G110" t="str">
        <f t="shared" si="13"/>
        <v>18</v>
      </c>
      <c r="H110">
        <f>COUNTIF(G$3:G110,G110)</f>
        <v>33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12"/>
        <v>18</v>
      </c>
      <c r="G111" t="str">
        <f t="shared" si="13"/>
        <v>18</v>
      </c>
      <c r="H111">
        <f>COUNTIF(G$3:G111,G111)</f>
        <v>34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12"/>
        <v>18</v>
      </c>
      <c r="G112" t="str">
        <f t="shared" si="13"/>
        <v>18</v>
      </c>
      <c r="H112">
        <f>COUNTIF(G$3:G112,G112)</f>
        <v>35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12"/>
        <v>18</v>
      </c>
      <c r="G113" t="str">
        <f t="shared" si="13"/>
        <v>18</v>
      </c>
      <c r="H113">
        <f>COUNTIF(G$3:G113,G113)</f>
        <v>36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12"/>
        <v>18</v>
      </c>
      <c r="G114" t="str">
        <f t="shared" si="13"/>
        <v>18</v>
      </c>
      <c r="H114">
        <f>COUNTIF(G$3:G114,G114)</f>
        <v>37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12"/>
        <v>18</v>
      </c>
      <c r="G115" t="str">
        <f t="shared" si="13"/>
        <v>18</v>
      </c>
      <c r="H115">
        <f>COUNTIF(G$3:G115,G115)</f>
        <v>38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12"/>
        <v>18</v>
      </c>
      <c r="G116" t="str">
        <f t="shared" si="13"/>
        <v>18</v>
      </c>
      <c r="H116">
        <f>COUNTIF(G$3:G116,G116)</f>
        <v>39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12"/>
        <v>18</v>
      </c>
      <c r="G117" t="str">
        <f t="shared" si="13"/>
        <v>18</v>
      </c>
      <c r="H117">
        <f>COUNTIF(G$3:G117,G117)</f>
        <v>40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12"/>
        <v>18</v>
      </c>
      <c r="G118" t="str">
        <f t="shared" si="13"/>
        <v>18</v>
      </c>
      <c r="H118">
        <f>COUNTIF(G$3:G118,G118)</f>
        <v>41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12"/>
        <v>18</v>
      </c>
      <c r="G119" t="str">
        <f t="shared" si="13"/>
        <v>18</v>
      </c>
      <c r="H119">
        <f>COUNTIF(G$3:G119,G119)</f>
        <v>42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12"/>
        <v>18</v>
      </c>
      <c r="G120" t="str">
        <f t="shared" si="13"/>
        <v>18</v>
      </c>
      <c r="H120">
        <f>COUNTIF(G$3:G120,G120)</f>
        <v>43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12"/>
        <v>18</v>
      </c>
      <c r="G121" t="str">
        <f t="shared" si="13"/>
        <v>18</v>
      </c>
      <c r="H121">
        <f>COUNTIF(G$3:G121,G121)</f>
        <v>44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12"/>
        <v>18</v>
      </c>
      <c r="G122" t="str">
        <f t="shared" si="13"/>
        <v>18</v>
      </c>
      <c r="H122">
        <f>COUNTIF(G$3:G122,G122)</f>
        <v>45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12"/>
        <v>18</v>
      </c>
      <c r="G123" t="str">
        <f t="shared" si="13"/>
        <v>18</v>
      </c>
      <c r="H123">
        <f>COUNTIF(G$3:G123,G123)</f>
        <v>46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12"/>
        <v>18</v>
      </c>
      <c r="G124" t="str">
        <f t="shared" si="13"/>
        <v>18</v>
      </c>
      <c r="H124">
        <f>COUNTIF(G$3:G124,G124)</f>
        <v>47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12"/>
        <v>18</v>
      </c>
      <c r="G125" t="str">
        <f t="shared" si="13"/>
        <v>18</v>
      </c>
      <c r="H125">
        <f>COUNTIF(G$3:G125,G125)</f>
        <v>48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12"/>
        <v>18</v>
      </c>
      <c r="G126" t="str">
        <f t="shared" si="13"/>
        <v>18</v>
      </c>
      <c r="H126">
        <f>COUNTIF(G$3:G126,G126)</f>
        <v>49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12"/>
        <v>18</v>
      </c>
      <c r="G127" t="str">
        <f t="shared" si="13"/>
        <v>18</v>
      </c>
      <c r="H127">
        <f>COUNTIF(G$3:G127,G127)</f>
        <v>50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12"/>
        <v>18</v>
      </c>
      <c r="G128" t="str">
        <f t="shared" si="13"/>
        <v>18</v>
      </c>
      <c r="H128">
        <f>COUNTIF(G$3:G128,G128)</f>
        <v>51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12"/>
        <v>18</v>
      </c>
      <c r="G129" t="str">
        <f t="shared" si="13"/>
        <v>18</v>
      </c>
      <c r="H129">
        <f>COUNTIF(G$3:G129,G129)</f>
        <v>52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12"/>
        <v>18</v>
      </c>
      <c r="G130" t="str">
        <f t="shared" si="13"/>
        <v>18</v>
      </c>
      <c r="H130">
        <f>COUNTIF(G$3:G130,G130)</f>
        <v>53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12"/>
        <v>18</v>
      </c>
      <c r="G131" t="str">
        <f t="shared" si="13"/>
        <v>18</v>
      </c>
      <c r="H131">
        <f>COUNTIF(G$3:G131,G131)</f>
        <v>54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12"/>
        <v>18</v>
      </c>
      <c r="G132" t="str">
        <f t="shared" ref="G132:G195" si="14">E132&amp;F132</f>
        <v>18</v>
      </c>
      <c r="H132">
        <f>COUNTIF(G$3:G132,G132)</f>
        <v>55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15">F132</f>
        <v>18</v>
      </c>
      <c r="G133" t="str">
        <f t="shared" si="14"/>
        <v>18</v>
      </c>
      <c r="H133">
        <f>COUNTIF(G$3:G133,G133)</f>
        <v>56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15"/>
        <v>18</v>
      </c>
      <c r="G134" t="str">
        <f t="shared" si="14"/>
        <v>18</v>
      </c>
      <c r="H134">
        <f>COUNTIF(G$3:G134,G134)</f>
        <v>57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15"/>
        <v>18</v>
      </c>
      <c r="G135" t="str">
        <f t="shared" si="14"/>
        <v>18</v>
      </c>
      <c r="H135">
        <f>COUNTIF(G$3:G135,G135)</f>
        <v>58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15"/>
        <v>18</v>
      </c>
      <c r="G136" t="str">
        <f t="shared" si="14"/>
        <v>18</v>
      </c>
      <c r="H136">
        <f>COUNTIF(G$3:G136,G136)</f>
        <v>59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15"/>
        <v>18</v>
      </c>
      <c r="G137" t="str">
        <f t="shared" si="14"/>
        <v>18</v>
      </c>
      <c r="H137">
        <f>COUNTIF(G$3:G137,G137)</f>
        <v>60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15"/>
        <v>18</v>
      </c>
      <c r="G138" t="str">
        <f t="shared" si="14"/>
        <v>18</v>
      </c>
      <c r="H138">
        <f>COUNTIF(G$3:G138,G138)</f>
        <v>61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15"/>
        <v>18</v>
      </c>
      <c r="G139" t="str">
        <f t="shared" si="14"/>
        <v>18</v>
      </c>
      <c r="H139">
        <f>COUNTIF(G$3:G139,G139)</f>
        <v>62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15"/>
        <v>18</v>
      </c>
      <c r="G140" t="str">
        <f t="shared" si="14"/>
        <v>18</v>
      </c>
      <c r="H140">
        <f>COUNTIF(G$3:G140,G140)</f>
        <v>63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15"/>
        <v>18</v>
      </c>
      <c r="G141" t="str">
        <f t="shared" si="14"/>
        <v>18</v>
      </c>
      <c r="H141">
        <f>COUNTIF(G$3:G141,G141)</f>
        <v>64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15"/>
        <v>18</v>
      </c>
      <c r="G142" t="str">
        <f t="shared" si="14"/>
        <v>18</v>
      </c>
      <c r="H142">
        <f>COUNTIF(G$3:G142,G142)</f>
        <v>65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15"/>
        <v>18</v>
      </c>
      <c r="G143" t="str">
        <f t="shared" si="14"/>
        <v>18</v>
      </c>
      <c r="H143">
        <f>COUNTIF(G$3:G143,G143)</f>
        <v>66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15"/>
        <v>18</v>
      </c>
      <c r="G144" t="str">
        <f t="shared" si="14"/>
        <v>18</v>
      </c>
      <c r="H144">
        <f>COUNTIF(G$3:G144,G144)</f>
        <v>67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15"/>
        <v>18</v>
      </c>
      <c r="G145" t="str">
        <f t="shared" si="14"/>
        <v>18</v>
      </c>
      <c r="H145">
        <f>COUNTIF(G$3:G145,G145)</f>
        <v>68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15"/>
        <v>18</v>
      </c>
      <c r="G146" t="str">
        <f t="shared" si="14"/>
        <v>18</v>
      </c>
      <c r="H146">
        <f>COUNTIF(G$3:G146,G146)</f>
        <v>69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15"/>
        <v>18</v>
      </c>
      <c r="G147" t="str">
        <f t="shared" si="14"/>
        <v>18</v>
      </c>
      <c r="H147">
        <f>COUNTIF(G$3:G147,G147)</f>
        <v>70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15"/>
        <v>18</v>
      </c>
      <c r="G148" t="str">
        <f t="shared" si="14"/>
        <v>18</v>
      </c>
      <c r="H148">
        <f>COUNTIF(G$3:G148,G148)</f>
        <v>71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15"/>
        <v>18</v>
      </c>
      <c r="G149" t="str">
        <f t="shared" si="14"/>
        <v>18</v>
      </c>
      <c r="H149">
        <f>COUNTIF(G$3:G149,G149)</f>
        <v>72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15"/>
        <v>18</v>
      </c>
      <c r="G150" t="str">
        <f t="shared" si="14"/>
        <v>18</v>
      </c>
      <c r="H150">
        <f>COUNTIF(G$3:G150,G150)</f>
        <v>73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15"/>
        <v>18</v>
      </c>
      <c r="G151" t="str">
        <f t="shared" si="14"/>
        <v>18</v>
      </c>
      <c r="H151">
        <f>COUNTIF(G$3:G151,G151)</f>
        <v>74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15"/>
        <v>18</v>
      </c>
      <c r="G152" t="str">
        <f t="shared" si="14"/>
        <v>18</v>
      </c>
      <c r="H152">
        <f>COUNTIF(G$3:G152,G152)</f>
        <v>75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15"/>
        <v>18</v>
      </c>
      <c r="G153" t="str">
        <f t="shared" si="14"/>
        <v>18</v>
      </c>
      <c r="H153">
        <f>COUNTIF(G$3:G153,G153)</f>
        <v>76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15"/>
        <v>18</v>
      </c>
      <c r="G154" t="str">
        <f t="shared" si="14"/>
        <v>18</v>
      </c>
      <c r="H154">
        <f>COUNTIF(G$3:G154,G154)</f>
        <v>77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15"/>
        <v>18</v>
      </c>
      <c r="G155" t="str">
        <f t="shared" si="14"/>
        <v>18</v>
      </c>
      <c r="H155">
        <f>COUNTIF(G$3:G155,G155)</f>
        <v>78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15"/>
        <v>18</v>
      </c>
      <c r="G156" t="str">
        <f t="shared" si="14"/>
        <v>18</v>
      </c>
      <c r="H156">
        <f>COUNTIF(G$3:G156,G156)</f>
        <v>79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15"/>
        <v>18</v>
      </c>
      <c r="G157" t="str">
        <f t="shared" si="14"/>
        <v>18</v>
      </c>
      <c r="H157">
        <f>COUNTIF(G$3:G157,G157)</f>
        <v>80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15"/>
        <v>18</v>
      </c>
      <c r="G158" t="str">
        <f t="shared" si="14"/>
        <v>18</v>
      </c>
      <c r="H158">
        <f>COUNTIF(G$3:G158,G158)</f>
        <v>81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15"/>
        <v>18</v>
      </c>
      <c r="G159" t="str">
        <f t="shared" si="14"/>
        <v>18</v>
      </c>
      <c r="H159">
        <f>COUNTIF(G$3:G159,G159)</f>
        <v>82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15"/>
        <v>18</v>
      </c>
      <c r="G160" t="str">
        <f t="shared" si="14"/>
        <v>18</v>
      </c>
      <c r="H160">
        <f>COUNTIF(G$3:G160,G160)</f>
        <v>83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15"/>
        <v>18</v>
      </c>
      <c r="G161" t="str">
        <f t="shared" si="14"/>
        <v>18</v>
      </c>
      <c r="H161">
        <f>COUNTIF(G$3:G161,G161)</f>
        <v>84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15"/>
        <v>18</v>
      </c>
      <c r="G162" t="str">
        <f t="shared" si="14"/>
        <v>18</v>
      </c>
      <c r="H162">
        <f>COUNTIF(G$3:G162,G162)</f>
        <v>85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15"/>
        <v>18</v>
      </c>
      <c r="G163" t="str">
        <f t="shared" si="14"/>
        <v>18</v>
      </c>
      <c r="H163">
        <f>COUNTIF(G$3:G163,G163)</f>
        <v>86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15"/>
        <v>18</v>
      </c>
      <c r="G164" t="str">
        <f t="shared" si="14"/>
        <v>18</v>
      </c>
      <c r="H164">
        <f>COUNTIF(G$3:G164,G164)</f>
        <v>87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15"/>
        <v>18</v>
      </c>
      <c r="G165" t="str">
        <f t="shared" si="14"/>
        <v>18</v>
      </c>
      <c r="H165">
        <f>COUNTIF(G$3:G165,G165)</f>
        <v>88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15"/>
        <v>18</v>
      </c>
      <c r="G166" t="str">
        <f t="shared" si="14"/>
        <v>18</v>
      </c>
      <c r="H166">
        <f>COUNTIF(G$3:G166,G166)</f>
        <v>89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15"/>
        <v>18</v>
      </c>
      <c r="G167" t="str">
        <f t="shared" si="14"/>
        <v>18</v>
      </c>
      <c r="H167">
        <f>COUNTIF(G$3:G167,G167)</f>
        <v>90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15"/>
        <v>18</v>
      </c>
      <c r="G168" t="str">
        <f t="shared" si="14"/>
        <v>18</v>
      </c>
      <c r="H168">
        <f>COUNTIF(G$3:G168,G168)</f>
        <v>91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15"/>
        <v>18</v>
      </c>
      <c r="G169" t="str">
        <f t="shared" si="14"/>
        <v>18</v>
      </c>
      <c r="H169">
        <f>COUNTIF(G$3:G169,G169)</f>
        <v>92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15"/>
        <v>18</v>
      </c>
      <c r="G170" t="str">
        <f t="shared" si="14"/>
        <v>18</v>
      </c>
      <c r="H170">
        <f>COUNTIF(G$3:G170,G170)</f>
        <v>93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15"/>
        <v>18</v>
      </c>
      <c r="G171" t="str">
        <f t="shared" si="14"/>
        <v>18</v>
      </c>
      <c r="H171">
        <f>COUNTIF(G$3:G171,G171)</f>
        <v>94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15"/>
        <v>18</v>
      </c>
      <c r="G172" t="str">
        <f t="shared" si="14"/>
        <v>18</v>
      </c>
      <c r="H172">
        <f>COUNTIF(G$3:G172,G172)</f>
        <v>95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15"/>
        <v>18</v>
      </c>
      <c r="G173" t="str">
        <f t="shared" si="14"/>
        <v>18</v>
      </c>
      <c r="H173">
        <f>COUNTIF(G$3:G173,G173)</f>
        <v>96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15"/>
        <v>18</v>
      </c>
      <c r="G174" t="str">
        <f t="shared" si="14"/>
        <v>18</v>
      </c>
      <c r="H174">
        <f>COUNTIF(G$3:G174,G174)</f>
        <v>97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15"/>
        <v>18</v>
      </c>
      <c r="G175" t="str">
        <f t="shared" si="14"/>
        <v>18</v>
      </c>
      <c r="H175">
        <f>COUNTIF(G$3:G175,G175)</f>
        <v>98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15"/>
        <v>18</v>
      </c>
      <c r="G176" t="str">
        <f t="shared" si="14"/>
        <v>18</v>
      </c>
      <c r="H176">
        <f>COUNTIF(G$3:G176,G176)</f>
        <v>99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15"/>
        <v>18</v>
      </c>
      <c r="G177" t="str">
        <f t="shared" si="14"/>
        <v>18</v>
      </c>
      <c r="H177">
        <f>COUNTIF(G$3:G177,G177)</f>
        <v>100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15"/>
        <v>18</v>
      </c>
      <c r="G178" t="str">
        <f t="shared" si="14"/>
        <v>18</v>
      </c>
      <c r="H178">
        <f>COUNTIF(G$3:G178,G178)</f>
        <v>101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15"/>
        <v>18</v>
      </c>
      <c r="G179" t="str">
        <f t="shared" si="14"/>
        <v>18</v>
      </c>
      <c r="H179">
        <f>COUNTIF(G$3:G179,G179)</f>
        <v>102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15"/>
        <v>18</v>
      </c>
      <c r="G180" t="str">
        <f t="shared" si="14"/>
        <v>18</v>
      </c>
      <c r="H180">
        <f>COUNTIF(G$3:G180,G180)</f>
        <v>103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15"/>
        <v>18</v>
      </c>
      <c r="G181" t="str">
        <f t="shared" si="14"/>
        <v>18</v>
      </c>
      <c r="H181">
        <f>COUNTIF(G$3:G181,G181)</f>
        <v>104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15"/>
        <v>18</v>
      </c>
      <c r="G182" t="str">
        <f t="shared" si="14"/>
        <v>18</v>
      </c>
      <c r="H182">
        <f>COUNTIF(G$3:G182,G182)</f>
        <v>105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15"/>
        <v>18</v>
      </c>
      <c r="G183" t="str">
        <f t="shared" si="14"/>
        <v>18</v>
      </c>
      <c r="H183">
        <f>COUNTIF(G$3:G183,G183)</f>
        <v>106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15"/>
        <v>18</v>
      </c>
      <c r="G184" t="str">
        <f t="shared" si="14"/>
        <v>18</v>
      </c>
      <c r="H184">
        <f>COUNTIF(G$3:G184,G184)</f>
        <v>107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15"/>
        <v>18</v>
      </c>
      <c r="G185" t="str">
        <f t="shared" si="14"/>
        <v>18</v>
      </c>
      <c r="H185">
        <f>COUNTIF(G$3:G185,G185)</f>
        <v>108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15"/>
        <v>18</v>
      </c>
      <c r="G186" t="str">
        <f t="shared" si="14"/>
        <v>18</v>
      </c>
      <c r="H186">
        <f>COUNTIF(G$3:G186,G186)</f>
        <v>109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15"/>
        <v>18</v>
      </c>
      <c r="G187" t="str">
        <f t="shared" si="14"/>
        <v>18</v>
      </c>
      <c r="H187">
        <f>COUNTIF(G$3:G187,G187)</f>
        <v>110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15"/>
        <v>18</v>
      </c>
      <c r="G188" t="str">
        <f t="shared" si="14"/>
        <v>18</v>
      </c>
      <c r="H188">
        <f>COUNTIF(G$3:G188,G188)</f>
        <v>111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15"/>
        <v>18</v>
      </c>
      <c r="G189" t="str">
        <f t="shared" si="14"/>
        <v>18</v>
      </c>
      <c r="H189">
        <f>COUNTIF(G$3:G189,G189)</f>
        <v>112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15"/>
        <v>18</v>
      </c>
      <c r="G190" t="str">
        <f t="shared" si="14"/>
        <v>18</v>
      </c>
      <c r="H190">
        <f>COUNTIF(G$3:G190,G190)</f>
        <v>113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15"/>
        <v>18</v>
      </c>
      <c r="G191" t="str">
        <f t="shared" si="14"/>
        <v>18</v>
      </c>
      <c r="H191">
        <f>COUNTIF(G$3:G191,G191)</f>
        <v>114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15"/>
        <v>18</v>
      </c>
      <c r="G192" t="str">
        <f t="shared" si="14"/>
        <v>18</v>
      </c>
      <c r="H192">
        <f>COUNTIF(G$3:G192,G192)</f>
        <v>115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15"/>
        <v>18</v>
      </c>
      <c r="G193" t="str">
        <f t="shared" si="14"/>
        <v>18</v>
      </c>
      <c r="H193">
        <f>COUNTIF(G$3:G193,G193)</f>
        <v>116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15"/>
        <v>18</v>
      </c>
      <c r="G194" t="str">
        <f t="shared" si="14"/>
        <v>18</v>
      </c>
      <c r="H194">
        <f>COUNTIF(G$3:G194,G194)</f>
        <v>117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15"/>
        <v>18</v>
      </c>
      <c r="G195" t="str">
        <f t="shared" si="14"/>
        <v>18</v>
      </c>
      <c r="H195">
        <f>COUNTIF(G$3:G195,G195)</f>
        <v>118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15"/>
        <v>18</v>
      </c>
      <c r="G196" t="str">
        <f t="shared" ref="G196:G202" si="16">E196&amp;F196</f>
        <v>18</v>
      </c>
      <c r="H196">
        <f>COUNTIF(G$3:G196,G196)</f>
        <v>119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7">F196</f>
        <v>18</v>
      </c>
      <c r="G197" t="str">
        <f t="shared" si="16"/>
        <v>18</v>
      </c>
      <c r="H197">
        <f>COUNTIF(G$3:G197,G197)</f>
        <v>120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7"/>
        <v>18</v>
      </c>
      <c r="G198" t="str">
        <f t="shared" si="16"/>
        <v>18</v>
      </c>
      <c r="H198">
        <f>COUNTIF(G$3:G198,G198)</f>
        <v>121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7"/>
        <v>18</v>
      </c>
      <c r="G199" t="str">
        <f t="shared" si="16"/>
        <v>18</v>
      </c>
      <c r="H199">
        <f>COUNTIF(G$3:G199,G199)</f>
        <v>122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7"/>
        <v>18</v>
      </c>
      <c r="G200" t="str">
        <f t="shared" si="16"/>
        <v>18</v>
      </c>
      <c r="H200">
        <f>COUNTIF(G$3:G200,G200)</f>
        <v>123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7"/>
        <v>18</v>
      </c>
      <c r="G201" t="str">
        <f t="shared" si="16"/>
        <v>18</v>
      </c>
      <c r="H201">
        <f>COUNTIF(G$3:G201,G201)</f>
        <v>124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7"/>
        <v>18</v>
      </c>
      <c r="G202" t="str">
        <f t="shared" si="16"/>
        <v>18</v>
      </c>
      <c r="H202">
        <f>COUNTIF(G$3:G202,G202)</f>
        <v>125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C:\tk\prj\hg-0025-0016\git\unit01\kv-x520\doc\[kv_script_Pos_info.xlsx]info_script によって生成されました。
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
	ELSE
		uiErrCode	:= 2;
	END_IF;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
	ELSE
		uiErrCode	:= 2;
	END_IF;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
		ELSE
			uiErrCode	:= 3;
		END_IF;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
		ELSE
			uiErrCode	:= 3;
		END_IF;
	//計測位置
	ELSIF uiInfoIdx = 4 THEN
		IF strInfoKey = 'name' THEN
			strRt	:= '計測位置';
		ELSIF strInfoKey = 'index_name' THEN
			strRt	:= '【174】 計測位置';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'【175】 (予約)';
		ELSIF strInfoKey = 'model' THEN
			strRt	:= 'unknown';
		ELSIF strInfoKey = 'mf' THEN
			strRt	:= 'unknown';
		ELSE
			uiErrCode	:= 3;
		END_IF;
	ELSE
		uiErrCode	:= 2;
	END_IF;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
		ELSE
			uiErrCode	:= 3;
		END_IF;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
		ELSE
			uiErrCode	:= 3;
		END_IF;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'【184】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'【185】 (予約)';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2026-06-01T10:57:16Z</dcterms:modified>
</cp:coreProperties>
</file>