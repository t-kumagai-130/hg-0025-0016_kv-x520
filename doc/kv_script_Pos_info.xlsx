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69CCA274-27B3-4EC6-8517-A29D88D89A7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info_index!$D$2:$V$98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H8" i="1"/>
  <c r="H9" i="1" s="1"/>
  <c r="H10" i="1" s="1"/>
  <c r="H11" i="1" s="1"/>
  <c r="H12" i="1" s="1"/>
  <c r="H4" i="1"/>
  <c r="H5" i="1" s="1"/>
  <c r="H6" i="1" s="1"/>
  <c r="H7" i="1" s="1"/>
  <c r="G3" i="1"/>
  <c r="F8" i="1"/>
  <c r="F13" i="1" s="1"/>
  <c r="F18" i="1" s="1"/>
  <c r="G18" i="1" s="1"/>
  <c r="F4" i="1"/>
  <c r="F5" i="1" s="1"/>
  <c r="F6" i="1" s="1"/>
  <c r="F7" i="1" s="1"/>
  <c r="G7" i="1" s="1"/>
  <c r="G11" i="3"/>
  <c r="G3" i="3"/>
  <c r="F13" i="3"/>
  <c r="F18" i="3" s="1"/>
  <c r="G18" i="3" s="1"/>
  <c r="F8" i="3"/>
  <c r="F9" i="3" s="1"/>
  <c r="F10" i="3" s="1"/>
  <c r="F11" i="3" s="1"/>
  <c r="F12" i="3" s="1"/>
  <c r="G12" i="3" s="1"/>
  <c r="F4" i="3"/>
  <c r="F5" i="3" s="1"/>
  <c r="AC1" i="3"/>
  <c r="AE1" i="3" s="1"/>
  <c r="AG1" i="3" s="1"/>
  <c r="AI1" i="3" s="1"/>
  <c r="AK1" i="3" s="1"/>
  <c r="B14" i="3" s="1"/>
  <c r="G4" i="3" l="1"/>
  <c r="G10" i="3"/>
  <c r="F6" i="3"/>
  <c r="G5" i="3"/>
  <c r="G13" i="3"/>
  <c r="G8" i="3"/>
  <c r="G9" i="3"/>
  <c r="G13" i="1"/>
  <c r="H13" i="1"/>
  <c r="H14" i="1" s="1"/>
  <c r="H15" i="1" s="1"/>
  <c r="H16" i="1" s="1"/>
  <c r="H17" i="1" s="1"/>
  <c r="G5" i="1"/>
  <c r="G4" i="1"/>
  <c r="G6" i="1"/>
  <c r="G8" i="1"/>
  <c r="F9" i="1"/>
  <c r="F19" i="1"/>
  <c r="F23" i="1"/>
  <c r="G23" i="1" s="1"/>
  <c r="F14" i="1"/>
  <c r="F23" i="3"/>
  <c r="G23" i="3" s="1"/>
  <c r="F19" i="3"/>
  <c r="F14" i="3"/>
  <c r="B3" i="3" a="1"/>
  <c r="B3" i="3" s="1"/>
  <c r="B5" i="3" s="1"/>
  <c r="H3" i="3"/>
  <c r="D104" i="1"/>
  <c r="I102" i="1"/>
  <c r="D102" i="1"/>
  <c r="F15" i="3" l="1"/>
  <c r="G14" i="3"/>
  <c r="F20" i="3"/>
  <c r="G19" i="3"/>
  <c r="F7" i="3"/>
  <c r="G7" i="3" s="1"/>
  <c r="G6" i="3"/>
  <c r="H18" i="1"/>
  <c r="H23" i="1" s="1"/>
  <c r="F20" i="1"/>
  <c r="G19" i="1"/>
  <c r="F10" i="1"/>
  <c r="G9" i="1"/>
  <c r="F15" i="1"/>
  <c r="G14" i="1"/>
  <c r="F28" i="1"/>
  <c r="G28" i="1" s="1"/>
  <c r="F24" i="1"/>
  <c r="F24" i="3"/>
  <c r="F28" i="3"/>
  <c r="G28" i="3" s="1"/>
  <c r="H4" i="3"/>
  <c r="H5" i="3"/>
  <c r="H19" i="1" l="1"/>
  <c r="H20" i="1" s="1"/>
  <c r="H21" i="1" s="1"/>
  <c r="H22" i="1" s="1"/>
  <c r="F21" i="3"/>
  <c r="G20" i="3"/>
  <c r="F25" i="3"/>
  <c r="G24" i="3"/>
  <c r="F16" i="3"/>
  <c r="G15" i="3"/>
  <c r="H24" i="1"/>
  <c r="H25" i="1" s="1"/>
  <c r="H26" i="1" s="1"/>
  <c r="H27" i="1" s="1"/>
  <c r="H28" i="1"/>
  <c r="F16" i="1"/>
  <c r="G15" i="1"/>
  <c r="F11" i="1"/>
  <c r="G10" i="1"/>
  <c r="F25" i="1"/>
  <c r="G24" i="1"/>
  <c r="F21" i="1"/>
  <c r="G20" i="1"/>
  <c r="F33" i="1"/>
  <c r="G33" i="1" s="1"/>
  <c r="F29" i="1"/>
  <c r="F33" i="3"/>
  <c r="G33" i="3" s="1"/>
  <c r="F29" i="3"/>
  <c r="H6" i="3"/>
  <c r="F26" i="3" l="1"/>
  <c r="G25" i="3"/>
  <c r="F17" i="3"/>
  <c r="G17" i="3" s="1"/>
  <c r="G16" i="3"/>
  <c r="F30" i="3"/>
  <c r="G29" i="3"/>
  <c r="F22" i="3"/>
  <c r="G22" i="3" s="1"/>
  <c r="G21" i="3"/>
  <c r="H29" i="1"/>
  <c r="H30" i="1" s="1"/>
  <c r="H31" i="1" s="1"/>
  <c r="H32" i="1" s="1"/>
  <c r="H33" i="1"/>
  <c r="F30" i="1"/>
  <c r="G29" i="1"/>
  <c r="F12" i="1"/>
  <c r="G12" i="1" s="1"/>
  <c r="G11" i="1"/>
  <c r="F22" i="1"/>
  <c r="G22" i="1" s="1"/>
  <c r="G21" i="1"/>
  <c r="F26" i="1"/>
  <c r="G25" i="1"/>
  <c r="F17" i="1"/>
  <c r="G17" i="1" s="1"/>
  <c r="G16" i="1"/>
  <c r="F34" i="1"/>
  <c r="F38" i="1"/>
  <c r="G38" i="1" s="1"/>
  <c r="F34" i="3"/>
  <c r="F38" i="3"/>
  <c r="G38" i="3" s="1"/>
  <c r="H7" i="3"/>
  <c r="F35" i="3" l="1"/>
  <c r="G34" i="3"/>
  <c r="F31" i="3"/>
  <c r="G30" i="3"/>
  <c r="F27" i="3"/>
  <c r="G27" i="3" s="1"/>
  <c r="G26" i="3"/>
  <c r="H38" i="1"/>
  <c r="H34" i="1"/>
  <c r="H35" i="1" s="1"/>
  <c r="H36" i="1" s="1"/>
  <c r="H37" i="1" s="1"/>
  <c r="F35" i="1"/>
  <c r="G34" i="1"/>
  <c r="F27" i="1"/>
  <c r="G27" i="1" s="1"/>
  <c r="G26" i="1"/>
  <c r="F31" i="1"/>
  <c r="G30" i="1"/>
  <c r="F44" i="1"/>
  <c r="F39" i="1"/>
  <c r="F39" i="3"/>
  <c r="F44" i="3"/>
  <c r="G44" i="3" s="1"/>
  <c r="H8" i="3"/>
  <c r="F32" i="3" l="1"/>
  <c r="G32" i="3" s="1"/>
  <c r="G31" i="3"/>
  <c r="F40" i="3"/>
  <c r="G39" i="3"/>
  <c r="F36" i="3"/>
  <c r="G35" i="3"/>
  <c r="H39" i="1"/>
  <c r="H40" i="1" s="1"/>
  <c r="H41" i="1" s="1"/>
  <c r="H42" i="1" s="1"/>
  <c r="H43" i="1" s="1"/>
  <c r="H44" i="1"/>
  <c r="F40" i="1"/>
  <c r="G39" i="1"/>
  <c r="F49" i="1"/>
  <c r="G44" i="1"/>
  <c r="F32" i="1"/>
  <c r="G32" i="1" s="1"/>
  <c r="G31" i="1"/>
  <c r="F36" i="1"/>
  <c r="G35" i="1"/>
  <c r="F45" i="1"/>
  <c r="F49" i="3"/>
  <c r="G49" i="3" s="1"/>
  <c r="F45" i="3"/>
  <c r="H9" i="3"/>
  <c r="F37" i="3" l="1"/>
  <c r="G37" i="3" s="1"/>
  <c r="G36" i="3"/>
  <c r="F46" i="3"/>
  <c r="G45" i="3"/>
  <c r="F41" i="3"/>
  <c r="G40" i="3"/>
  <c r="H49" i="1"/>
  <c r="H45" i="1"/>
  <c r="H46" i="1" s="1"/>
  <c r="H47" i="1" s="1"/>
  <c r="H48" i="1" s="1"/>
  <c r="F37" i="1"/>
  <c r="G37" i="1" s="1"/>
  <c r="G36" i="1"/>
  <c r="F50" i="1"/>
  <c r="G49" i="1"/>
  <c r="F54" i="1"/>
  <c r="F46" i="1"/>
  <c r="G45" i="1"/>
  <c r="F41" i="1"/>
  <c r="G40" i="1"/>
  <c r="F50" i="3"/>
  <c r="F54" i="3"/>
  <c r="G54" i="3" s="1"/>
  <c r="H10" i="3"/>
  <c r="F42" i="3" l="1"/>
  <c r="G41" i="3"/>
  <c r="F47" i="3"/>
  <c r="G46" i="3"/>
  <c r="F51" i="3"/>
  <c r="G50" i="3"/>
  <c r="H54" i="1"/>
  <c r="H50" i="1"/>
  <c r="H51" i="1" s="1"/>
  <c r="H52" i="1" s="1"/>
  <c r="H53" i="1" s="1"/>
  <c r="F51" i="1"/>
  <c r="G50" i="1"/>
  <c r="F55" i="1"/>
  <c r="F59" i="1"/>
  <c r="G54" i="1"/>
  <c r="F42" i="1"/>
  <c r="G41" i="1"/>
  <c r="F47" i="1"/>
  <c r="G46" i="1"/>
  <c r="F59" i="3"/>
  <c r="G59" i="3" s="1"/>
  <c r="F55" i="3"/>
  <c r="H11" i="3"/>
  <c r="G42" i="3" l="1"/>
  <c r="F43" i="3"/>
  <c r="G43" i="3" s="1"/>
  <c r="H43" i="3" s="1"/>
  <c r="F52" i="3"/>
  <c r="G51" i="3"/>
  <c r="F56" i="3"/>
  <c r="G55" i="3"/>
  <c r="F48" i="3"/>
  <c r="G48" i="3" s="1"/>
  <c r="G47" i="3"/>
  <c r="G42" i="1"/>
  <c r="F43" i="1"/>
  <c r="G43" i="1" s="1"/>
  <c r="H55" i="1"/>
  <c r="H56" i="1" s="1"/>
  <c r="H57" i="1" s="1"/>
  <c r="H58" i="1" s="1"/>
  <c r="H59" i="1"/>
  <c r="F48" i="1"/>
  <c r="G48" i="1" s="1"/>
  <c r="G47" i="1"/>
  <c r="F60" i="1"/>
  <c r="G59" i="1"/>
  <c r="F64" i="1"/>
  <c r="F56" i="1"/>
  <c r="G55" i="1"/>
  <c r="F52" i="1"/>
  <c r="G51" i="1"/>
  <c r="F64" i="3"/>
  <c r="F60" i="3"/>
  <c r="H12" i="3"/>
  <c r="F61" i="3" l="1"/>
  <c r="G60" i="3"/>
  <c r="F53" i="3"/>
  <c r="G53" i="3" s="1"/>
  <c r="G52" i="3"/>
  <c r="F65" i="3"/>
  <c r="F69" i="3"/>
  <c r="G69" i="3" s="1"/>
  <c r="G64" i="3"/>
  <c r="F57" i="3"/>
  <c r="G56" i="3"/>
  <c r="H64" i="1"/>
  <c r="H60" i="1"/>
  <c r="H61" i="1" s="1"/>
  <c r="H62" i="1" s="1"/>
  <c r="H63" i="1" s="1"/>
  <c r="F61" i="1"/>
  <c r="G60" i="1"/>
  <c r="F53" i="1"/>
  <c r="G53" i="1" s="1"/>
  <c r="G52" i="1"/>
  <c r="F57" i="1"/>
  <c r="G56" i="1"/>
  <c r="F65" i="1"/>
  <c r="G64" i="1"/>
  <c r="F69" i="1"/>
  <c r="H13" i="3"/>
  <c r="F58" i="3" l="1"/>
  <c r="G58" i="3" s="1"/>
  <c r="G57" i="3"/>
  <c r="F66" i="3"/>
  <c r="G65" i="3"/>
  <c r="F62" i="3"/>
  <c r="G61" i="3"/>
  <c r="H69" i="1"/>
  <c r="H65" i="1"/>
  <c r="H66" i="1" s="1"/>
  <c r="H67" i="1" s="1"/>
  <c r="H68" i="1" s="1"/>
  <c r="F66" i="1"/>
  <c r="G65" i="1"/>
  <c r="F58" i="1"/>
  <c r="G58" i="1" s="1"/>
  <c r="G57" i="1"/>
  <c r="G69" i="1"/>
  <c r="F74" i="1"/>
  <c r="F70" i="1"/>
  <c r="F62" i="1"/>
  <c r="G61" i="1"/>
  <c r="H14" i="3"/>
  <c r="F63" i="3" l="1"/>
  <c r="G63" i="3" s="1"/>
  <c r="G62" i="3"/>
  <c r="F67" i="3"/>
  <c r="G66" i="3"/>
  <c r="H70" i="1"/>
  <c r="H71" i="1" s="1"/>
  <c r="H72" i="1" s="1"/>
  <c r="H73" i="1" s="1"/>
  <c r="H74" i="1"/>
  <c r="F63" i="1"/>
  <c r="G63" i="1" s="1"/>
  <c r="G62" i="1"/>
  <c r="F71" i="1"/>
  <c r="G70" i="1"/>
  <c r="G74" i="1"/>
  <c r="F75" i="1"/>
  <c r="F79" i="1"/>
  <c r="F67" i="1"/>
  <c r="G66" i="1"/>
  <c r="H15" i="3"/>
  <c r="F68" i="3" l="1"/>
  <c r="G67" i="3"/>
  <c r="H79" i="1"/>
  <c r="H75" i="1"/>
  <c r="H76" i="1" s="1"/>
  <c r="H77" i="1" s="1"/>
  <c r="H78" i="1" s="1"/>
  <c r="F68" i="1"/>
  <c r="G68" i="1" s="1"/>
  <c r="G67" i="1"/>
  <c r="F76" i="1"/>
  <c r="G75" i="1"/>
  <c r="F72" i="1"/>
  <c r="G71" i="1"/>
  <c r="G79" i="1"/>
  <c r="F84" i="1"/>
  <c r="F80" i="1"/>
  <c r="H16" i="3"/>
  <c r="F70" i="3" l="1"/>
  <c r="G68" i="3"/>
  <c r="F75" i="3"/>
  <c r="G74" i="3"/>
  <c r="H80" i="1"/>
  <c r="H81" i="1" s="1"/>
  <c r="H82" i="1" s="1"/>
  <c r="H83" i="1" s="1"/>
  <c r="H84" i="1"/>
  <c r="G84" i="1"/>
  <c r="F89" i="1"/>
  <c r="F85" i="1"/>
  <c r="F73" i="1"/>
  <c r="G73" i="1" s="1"/>
  <c r="G72" i="1"/>
  <c r="F77" i="1"/>
  <c r="G76" i="1"/>
  <c r="F81" i="1"/>
  <c r="G80" i="1"/>
  <c r="H17" i="3"/>
  <c r="F71" i="3" l="1"/>
  <c r="G70" i="3"/>
  <c r="F76" i="3"/>
  <c r="G75" i="3"/>
  <c r="H89" i="1"/>
  <c r="H85" i="1"/>
  <c r="H86" i="1" s="1"/>
  <c r="H87" i="1" s="1"/>
  <c r="H88" i="1" s="1"/>
  <c r="F78" i="1"/>
  <c r="G78" i="1" s="1"/>
  <c r="G77" i="1"/>
  <c r="F82" i="1"/>
  <c r="G81" i="1"/>
  <c r="F86" i="1"/>
  <c r="G85" i="1"/>
  <c r="G89" i="1"/>
  <c r="F90" i="1"/>
  <c r="F94" i="1"/>
  <c r="H18" i="3"/>
  <c r="F72" i="3" l="1"/>
  <c r="G71" i="3"/>
  <c r="F77" i="3"/>
  <c r="G76" i="3"/>
  <c r="H94" i="1"/>
  <c r="H95" i="1" s="1"/>
  <c r="H96" i="1" s="1"/>
  <c r="H97" i="1" s="1"/>
  <c r="H98" i="1" s="1"/>
  <c r="H90" i="1"/>
  <c r="H91" i="1" s="1"/>
  <c r="H92" i="1" s="1"/>
  <c r="H93" i="1" s="1"/>
  <c r="F91" i="1"/>
  <c r="G90" i="1"/>
  <c r="F87" i="1"/>
  <c r="G86" i="1"/>
  <c r="F83" i="1"/>
  <c r="G83" i="1" s="1"/>
  <c r="G82" i="1"/>
  <c r="F95" i="1"/>
  <c r="G94" i="1"/>
  <c r="H19" i="3"/>
  <c r="F73" i="3" l="1"/>
  <c r="G73" i="3" s="1"/>
  <c r="G72" i="3"/>
  <c r="F78" i="3"/>
  <c r="G77" i="3"/>
  <c r="F96" i="1"/>
  <c r="G95" i="1"/>
  <c r="F88" i="1"/>
  <c r="G88" i="1" s="1"/>
  <c r="G87" i="1"/>
  <c r="F92" i="1"/>
  <c r="G91" i="1"/>
  <c r="H20" i="3"/>
  <c r="G78" i="3" l="1"/>
  <c r="F93" i="1"/>
  <c r="G93" i="1" s="1"/>
  <c r="G92" i="1"/>
  <c r="F97" i="1"/>
  <c r="G96" i="1"/>
  <c r="H21" i="3"/>
  <c r="F80" i="3" l="1"/>
  <c r="G79" i="3"/>
  <c r="F98" i="1"/>
  <c r="G97" i="1"/>
  <c r="H22" i="3"/>
  <c r="F81" i="3" l="1"/>
  <c r="G80" i="3"/>
  <c r="G98" i="1"/>
  <c r="H23" i="3"/>
  <c r="F82" i="3" l="1"/>
  <c r="F83" i="3" s="1"/>
  <c r="G81" i="3"/>
  <c r="H104" i="1"/>
  <c r="G104" i="1"/>
  <c r="G106" i="1"/>
  <c r="H106" i="1"/>
  <c r="H24" i="3"/>
  <c r="G82" i="3" l="1"/>
  <c r="H25" i="3"/>
  <c r="F84" i="3" l="1"/>
  <c r="G83" i="3"/>
  <c r="H26" i="3"/>
  <c r="F85" i="3" l="1"/>
  <c r="G84" i="3"/>
  <c r="H27" i="3"/>
  <c r="F86" i="3" l="1"/>
  <c r="G85" i="3"/>
  <c r="H28" i="3"/>
  <c r="F87" i="3" l="1"/>
  <c r="G86" i="3"/>
  <c r="H29" i="3"/>
  <c r="F88" i="3" l="1"/>
  <c r="G87" i="3"/>
  <c r="H30" i="3"/>
  <c r="F89" i="3" l="1"/>
  <c r="G88" i="3"/>
  <c r="H31" i="3"/>
  <c r="F90" i="3" l="1"/>
  <c r="G89" i="3"/>
  <c r="H32" i="3"/>
  <c r="F91" i="3" l="1"/>
  <c r="G90" i="3"/>
  <c r="H33" i="3"/>
  <c r="F92" i="3" l="1"/>
  <c r="G91" i="3"/>
  <c r="H34" i="3"/>
  <c r="F93" i="3" l="1"/>
  <c r="G92" i="3"/>
  <c r="H35" i="3"/>
  <c r="F94" i="3" l="1"/>
  <c r="G93" i="3"/>
  <c r="H36" i="3"/>
  <c r="F95" i="3" l="1"/>
  <c r="G94" i="3"/>
  <c r="H37" i="3"/>
  <c r="F96" i="3" l="1"/>
  <c r="G95" i="3"/>
  <c r="H38" i="3"/>
  <c r="F97" i="3" l="1"/>
  <c r="G96" i="3"/>
  <c r="H39" i="3"/>
  <c r="F98" i="3" l="1"/>
  <c r="G97" i="3"/>
  <c r="H40" i="3"/>
  <c r="F99" i="3" l="1"/>
  <c r="G98" i="3"/>
  <c r="H41" i="3"/>
  <c r="F100" i="3" l="1"/>
  <c r="G99" i="3"/>
  <c r="H99" i="3" s="1"/>
  <c r="H93" i="3"/>
  <c r="H95" i="3"/>
  <c r="H97" i="3"/>
  <c r="H42" i="3"/>
  <c r="H45" i="3"/>
  <c r="H46" i="3"/>
  <c r="H44" i="3"/>
  <c r="H47" i="3"/>
  <c r="H48" i="3"/>
  <c r="H49" i="3"/>
  <c r="H50" i="3"/>
  <c r="H51" i="3"/>
  <c r="H53" i="3"/>
  <c r="H55" i="3"/>
  <c r="H52" i="3"/>
  <c r="H54" i="3"/>
  <c r="H73" i="3"/>
  <c r="H78" i="3"/>
  <c r="H76" i="3"/>
  <c r="H57" i="3"/>
  <c r="H56" i="3"/>
  <c r="H77" i="3"/>
  <c r="H81" i="3"/>
  <c r="H58" i="3"/>
  <c r="H59" i="3"/>
  <c r="H79" i="3"/>
  <c r="H82" i="3"/>
  <c r="H62" i="3"/>
  <c r="H60" i="3"/>
  <c r="H61" i="3"/>
  <c r="H72" i="3"/>
  <c r="H80" i="3"/>
  <c r="H64" i="3"/>
  <c r="H67" i="3"/>
  <c r="H68" i="3"/>
  <c r="H74" i="3"/>
  <c r="H66" i="3"/>
  <c r="H69" i="3"/>
  <c r="H71" i="3"/>
  <c r="H75" i="3"/>
  <c r="H83" i="3"/>
  <c r="H70" i="3"/>
  <c r="H65" i="3"/>
  <c r="H63" i="3"/>
  <c r="H87" i="3"/>
  <c r="H84" i="3"/>
  <c r="H85" i="3"/>
  <c r="H86" i="3"/>
  <c r="H88" i="3"/>
  <c r="H89" i="3"/>
  <c r="H90" i="3"/>
  <c r="H91" i="3"/>
  <c r="H96" i="3"/>
  <c r="H92" i="3"/>
  <c r="H94" i="3"/>
  <c r="H98" i="3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1" i="3"/>
  <c r="H201" i="3" s="1"/>
  <c r="F203" i="3" l="1"/>
  <c r="G203" i="3" s="1"/>
  <c r="H203" i="3" s="1"/>
  <c r="G202" i="3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l="1" a="1"/>
  <c r="K3" i="3" s="1"/>
  <c r="P3" i="3" a="1"/>
  <c r="P3" i="3" s="1"/>
  <c r="L3" i="3" l="1" a="1"/>
  <c r="L3" i="3" s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6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<sst xmlns="http://schemas.openxmlformats.org/spreadsheetml/2006/main" count="351" uniqueCount="140">
  <si>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</si>
  <si>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</si>
  <si>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</si>
  <si>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</si>
  <si>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</si>
  <si>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</si>
  <si>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</si>
  <si>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</si>
  <si>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</si>
  <si>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</si>
  <si>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</si>
  <si>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</si>
  <si>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</si>
  <si>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</si>
  <si>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</si>
  <si>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</si>
  <si>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</si>
  <si>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</si>
  <si>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</si>
  <si>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</si>
  <si>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</si>
  <si>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</si>
  <si>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</si>
  <si>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</si>
  <si>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</si>
  <si>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</si>
  <si>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</si>
  <si>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</si>
  <si>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</si>
  <si>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</si>
  <si>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</si>
  <si>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</si>
  <si>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</si>
  <si>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</si>
  <si>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</si>
  <si>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</si>
  <si>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</si>
  <si>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</si>
  <si>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</si>
  <si>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</si>
  <si>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</si>
  <si>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</si>
  <si>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</si>
  <si>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</si>
  <si>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</si>
  <si>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</si>
  <si>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</si>
  <si>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</si>
  <si>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</si>
  <si>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</si>
  <si>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</si>
  <si>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</si>
  <si>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</si>
  <si>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</si>
  <si>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</si>
  <si>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</si>
  <si>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</si>
  <si>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</si>
  <si>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</si>
  <si>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</si>
  <si>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</si>
  <si>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</si>
  <si>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</si>
  <si>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</si>
  <si>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</si>
  <si>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</si>
  <si>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</si>
  <si>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</si>
  <si>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</si>
  <si>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</si>
  <si>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</si>
  <si>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</si>
  <si>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</si>
  <si>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</si>
  <si>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</si>
  <si>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</si>
  <si>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</si>
  <si>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</si>
  <si>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</si>
  <si>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</si>
  <si>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</si>
  <si>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</si>
  <si>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Reserved</t>
  </si>
  <si>
    <t>箔ロウ溶接位置</t>
    <rPh sb="0" eb="1">
      <t>ハク</t>
    </rPh>
    <rPh sb="3" eb="5">
      <t>ヨウセツ</t>
    </rPh>
    <rPh sb="5" eb="7">
      <t>イチ</t>
    </rPh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</si>
  <si>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</si>
  <si>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</si>
  <si>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巻き位置</t>
    <rPh sb="0" eb="1">
      <t>マ</t>
    </rPh>
    <rPh sb="2" eb="4">
      <t>イチ</t>
    </rPh>
    <phoneticPr fontId="1"/>
  </si>
  <si>
    <t>補助位置</t>
    <rPh sb="0" eb="2">
      <t>ホジョ</t>
    </rPh>
    <rPh sb="2" eb="4">
      <t>イチ</t>
    </rPh>
    <phoneticPr fontId="1"/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</si>
  <si>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</si>
  <si>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</si>
  <si>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</si>
  <si>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</si>
  <si>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</si>
  <si>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(予約)</t>
  </si>
  <si>
    <t>計測退避位置</t>
    <rPh sb="0" eb="2">
      <t>ケイソク</t>
    </rPh>
    <rPh sb="2" eb="4">
      <t>タイヒ</t>
    </rPh>
    <rPh sb="4" eb="6">
      <t>イチ</t>
    </rPh>
    <phoneticPr fontId="1"/>
  </si>
  <si>
    <t>溶接位置2</t>
    <rPh sb="0" eb="2">
      <t>ヨウセツ</t>
    </rPh>
    <rPh sb="2" eb="4">
      <t>イチ</t>
    </rPh>
    <phoneticPr fontId="1"/>
  </si>
  <si>
    <t>溶接位置3</t>
    <rPh sb="0" eb="2">
      <t>ヨウセツ</t>
    </rPh>
    <rPh sb="2" eb="4">
      <t>イチ</t>
    </rPh>
    <phoneticPr fontId="1"/>
  </si>
  <si>
    <t>id</t>
    <phoneticPr fontId="1"/>
  </si>
  <si>
    <t>axis</t>
    <phoneticPr fontId="1"/>
  </si>
  <si>
    <t>緒言</t>
    <rPh sb="0" eb="2">
      <t>ショゲン</t>
    </rPh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</si>
  <si>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</si>
  <si>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Standby Pos</t>
  </si>
  <si>
    <t>Inspect Stby Pos</t>
  </si>
  <si>
    <t>Recv/Dischg Pos</t>
  </si>
  <si>
    <t>Recv/Transfer Pos</t>
  </si>
  <si>
    <t>Measure Pos</t>
  </si>
  <si>
    <t>Open Pos</t>
  </si>
  <si>
    <t>Close Pos</t>
  </si>
  <si>
    <t>Clamp Pos</t>
  </si>
  <si>
    <t>Weld Pos</t>
  </si>
  <si>
    <t>Braz Foil Weld Pos</t>
  </si>
  <si>
    <t>Weld Pos 2</t>
  </si>
  <si>
    <t>Weld Pos 3</t>
  </si>
  <si>
    <t>Press-In Pos</t>
  </si>
  <si>
    <t>Braz Foil Recv Pos</t>
  </si>
  <si>
    <t>Align Pos</t>
  </si>
  <si>
    <t>Wind Pos</t>
  </si>
  <si>
    <t>Seam Pos</t>
  </si>
  <si>
    <t>Aux Pos</t>
  </si>
  <si>
    <t>Pick Pos</t>
  </si>
  <si>
    <t>Wind Assist Pos</t>
  </si>
  <si>
    <t>Measure Retract Pos</t>
  </si>
  <si>
    <t>文字数オーバー</t>
  </si>
  <si>
    <t>文字数オーバー(EN)</t>
  </si>
  <si>
    <t>Auxiliary Pos</t>
  </si>
  <si>
    <t>Inspection Standby Pos</t>
  </si>
  <si>
    <t>Receive &amp; Discharge Pos</t>
  </si>
  <si>
    <t>Receive &amp; Transfer Pos</t>
  </si>
  <si>
    <t>Measurement Pos</t>
  </si>
  <si>
    <t>Welding Pos</t>
  </si>
  <si>
    <t>Brazing Foil Weld Pos</t>
  </si>
  <si>
    <t>Welding Pos 2</t>
  </si>
  <si>
    <t>Welding Pos 3</t>
  </si>
  <si>
    <t>Brazing Foil Receiving Pos</t>
  </si>
  <si>
    <t>Alignment Pos</t>
  </si>
  <si>
    <t>Winding Pos</t>
  </si>
  <si>
    <t>Seaming Pos</t>
  </si>
  <si>
    <t>Winding Assist Pos</t>
  </si>
  <si>
    <t>Measurement Retract Pos</t>
  </si>
  <si>
    <t>標準ポジション名(EN)</t>
    <rPh sb="0" eb="2">
      <t>ヒョウジュン</t>
    </rPh>
    <rPh sb="7" eb="8">
      <t>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</si>
</sst>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0"/>
      <name val="メイリオ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3" fillId="0" borderId="5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0" xfId="0" applyFont="1" applyAlignment="1">
      <alignment vertical="center" shrinkToFit="1"/>
    </xf>
    <xf numFmtId="0" fontId="3" fillId="0" borderId="4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2" borderId="10" xfId="0" applyFont="1" applyFill="1" applyBorder="1">
      <alignment vertical="center"/>
    </xf>
    <xf numFmtId="0" fontId="5" fillId="2" borderId="11" xfId="0" applyFont="1" applyFill="1" applyBorder="1">
      <alignment vertical="center"/>
    </xf>
    <xf numFmtId="0" fontId="5" fillId="2" borderId="12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3" fillId="0" borderId="5" xfId="0" applyFont="1" applyBorder="1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6" fillId="0" borderId="5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9" xfId="0" applyFont="1" applyBorder="1">
      <alignment vertical="center"/>
    </xf>
    <xf numFmtId="176" fontId="4" fillId="0" borderId="0" xfId="0" applyNumberFormat="1" applyFont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1</xdr:row>
      <xdr:rowOff>50800</xdr:rowOff>
    </xdr:from>
    <xdr:to>
      <xdr:col>3</xdr:col>
      <xdr:colOff>465915</xdr:colOff>
      <xdr:row>2</xdr:row>
      <xdr:rowOff>0</xdr:rowOff>
    </xdr:to>
    <xdr:sp macro="" textlink="$D$102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95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Y106"/>
  <sheetViews>
    <sheetView tabSelected="1" workbookViewId="0">
      <pane xSplit="11" ySplit="3" topLeftCell="X37" activePane="bottomRight" state="frozen"/>
      <selection pane="topRight" activeCell="L1" sqref="L1"/>
      <selection pane="bottomLeft" activeCell="A4" sqref="A4"/>
      <selection pane="bottomRight" activeCell="J54" sqref="J54"/>
    </sheetView>
  </sheetViews>
  <sheetFormatPr defaultRowHeight="18" x14ac:dyDescent="0.55000000000000004"/>
  <cols>
    <col min="1" max="1" width="29.6640625" style="9" bestFit="1" customWidth="1"/>
    <col min="2" max="6" width="8.6640625" style="9"/>
    <col min="7" max="7" width="8.6640625" style="9" customWidth="1"/>
    <col min="8" max="8" width="9.1640625" style="9" bestFit="1" customWidth="1"/>
    <col min="9" max="9" width="8.6640625" style="9" customWidth="1"/>
    <col min="10" max="10" width="20" style="9" customWidth="1"/>
    <col min="11" max="13" width="31.4140625" style="9" customWidth="1"/>
    <col min="14" max="14" width="81" style="9" bestFit="1" customWidth="1"/>
    <col min="15" max="15" width="71.08203125" style="9" customWidth="1"/>
    <col min="16" max="17" width="13.08203125" style="9" customWidth="1"/>
    <col min="18" max="21" width="18.33203125" style="9" customWidth="1"/>
    <col min="22" max="22" width="3.58203125" style="9" customWidth="1"/>
    <col min="23" max="16384" width="8.6640625" style="9"/>
  </cols>
  <sheetData>
    <row r="1" spans="1:25" x14ac:dyDescent="0.55000000000000004">
      <c r="L1" s="9" t="s">
        <v>15</v>
      </c>
    </row>
    <row r="2" spans="1:25" s="10" customFormat="1" x14ac:dyDescent="0.55000000000000004">
      <c r="A2" s="10" t="s">
        <v>99</v>
      </c>
      <c r="D2" s="11" t="s">
        <v>97</v>
      </c>
      <c r="E2" s="11"/>
      <c r="F2" s="11" t="s">
        <v>98</v>
      </c>
      <c r="G2" s="11" t="s">
        <v>10</v>
      </c>
      <c r="H2" s="11" t="s">
        <v>14</v>
      </c>
      <c r="I2" s="12" t="s">
        <v>4</v>
      </c>
      <c r="J2" s="12" t="s">
        <v>5</v>
      </c>
      <c r="K2" s="12" t="s">
        <v>6</v>
      </c>
      <c r="L2" s="12" t="str">
        <f>L1&amp;"(Max:"&amp;$B$3&amp;"byte)"</f>
        <v>機器名(EN)(Max:24byte)</v>
      </c>
      <c r="M2" s="12"/>
      <c r="N2" s="12" t="s">
        <v>139</v>
      </c>
      <c r="O2" s="12" t="s">
        <v>2</v>
      </c>
      <c r="P2" s="12" t="s">
        <v>0</v>
      </c>
      <c r="Q2" s="12" t="s">
        <v>53</v>
      </c>
      <c r="R2" s="12" t="s">
        <v>1</v>
      </c>
      <c r="S2" s="13" t="s">
        <v>9</v>
      </c>
      <c r="T2" s="13" t="s">
        <v>65</v>
      </c>
      <c r="U2" s="13" t="s">
        <v>64</v>
      </c>
      <c r="V2" s="13"/>
      <c r="X2" s="10" t="s">
        <v>122</v>
      </c>
      <c r="Y2" s="10" t="s">
        <v>123</v>
      </c>
    </row>
    <row r="3" spans="1:25" x14ac:dyDescent="0.55000000000000004">
      <c r="A3" s="9" t="s">
        <v>100</v>
      </c>
      <c r="B3" s="9">
        <v>24</v>
      </c>
      <c r="D3" s="2">
        <v>0</v>
      </c>
      <c r="E3" s="2"/>
      <c r="F3" s="2">
        <v>1</v>
      </c>
      <c r="G3" s="2" t="str">
        <f>E3&amp;F3</f>
        <v>1</v>
      </c>
      <c r="H3" s="2">
        <v>1</v>
      </c>
      <c r="I3" s="3"/>
      <c r="J3" s="3"/>
      <c r="K3" s="3" t="s">
        <v>69</v>
      </c>
      <c r="L3" s="3" t="s">
        <v>101</v>
      </c>
      <c r="M3" s="3"/>
      <c r="N3" s="3" t="s">
        <v>101</v>
      </c>
      <c r="O3" s="3"/>
      <c r="P3" s="3"/>
      <c r="Q3" s="3"/>
      <c r="R3" s="3"/>
      <c r="S3" s="4"/>
      <c r="T3" s="4"/>
      <c r="U3" s="4"/>
      <c r="V3" s="14"/>
      <c r="Y3" s="9">
        <f>LENB(M3)-$B$3</f>
        <v>-24</v>
      </c>
    </row>
    <row r="4" spans="1:25" x14ac:dyDescent="0.55000000000000004">
      <c r="D4" s="6">
        <v>1</v>
      </c>
      <c r="E4" s="6"/>
      <c r="F4" s="6">
        <f>F3</f>
        <v>1</v>
      </c>
      <c r="G4" s="6" t="str">
        <f t="shared" ref="G4:G68" si="0">E4&amp;F4</f>
        <v>1</v>
      </c>
      <c r="H4" s="6">
        <f>H3+1</f>
        <v>2</v>
      </c>
      <c r="I4" s="1"/>
      <c r="J4" s="1"/>
      <c r="K4" s="1" t="s">
        <v>81</v>
      </c>
      <c r="L4" s="1" t="s">
        <v>82</v>
      </c>
      <c r="M4" s="1"/>
      <c r="N4" s="15" t="s">
        <v>82</v>
      </c>
      <c r="O4" s="15"/>
      <c r="P4" s="1"/>
      <c r="Q4" s="15"/>
      <c r="R4" s="15"/>
      <c r="S4" s="16"/>
      <c r="T4" s="16"/>
      <c r="U4" s="16"/>
      <c r="V4" s="16"/>
      <c r="Y4" s="9">
        <f t="shared" ref="Y4:Y67" si="1">LENB(M4)-$B$3</f>
        <v>-24</v>
      </c>
    </row>
    <row r="5" spans="1:25" x14ac:dyDescent="0.55000000000000004">
      <c r="D5" s="6">
        <v>2</v>
      </c>
      <c r="E5" s="6"/>
      <c r="F5" s="6">
        <f t="shared" ref="F5:F7" si="2">F4</f>
        <v>1</v>
      </c>
      <c r="G5" s="6" t="str">
        <f t="shared" si="0"/>
        <v>1</v>
      </c>
      <c r="H5" s="6">
        <f t="shared" ref="H5:H7" si="3">H4+1</f>
        <v>3</v>
      </c>
      <c r="I5" s="1"/>
      <c r="J5" s="1"/>
      <c r="K5" s="1" t="s">
        <v>81</v>
      </c>
      <c r="L5" s="1" t="s">
        <v>82</v>
      </c>
      <c r="M5" s="1"/>
      <c r="N5" s="15" t="s">
        <v>82</v>
      </c>
      <c r="O5" s="15"/>
      <c r="P5" s="1"/>
      <c r="Q5" s="15"/>
      <c r="R5" s="15"/>
      <c r="S5" s="16"/>
      <c r="T5" s="16"/>
      <c r="U5" s="16"/>
      <c r="V5" s="16"/>
      <c r="Y5" s="9">
        <f t="shared" si="1"/>
        <v>-24</v>
      </c>
    </row>
    <row r="6" spans="1:25" x14ac:dyDescent="0.55000000000000004">
      <c r="D6" s="6">
        <v>3</v>
      </c>
      <c r="E6" s="6"/>
      <c r="F6" s="6">
        <f t="shared" si="2"/>
        <v>1</v>
      </c>
      <c r="G6" s="6" t="str">
        <f t="shared" si="0"/>
        <v>1</v>
      </c>
      <c r="H6" s="6">
        <f t="shared" si="3"/>
        <v>4</v>
      </c>
      <c r="I6" s="1"/>
      <c r="J6" s="1"/>
      <c r="K6" s="1" t="s">
        <v>81</v>
      </c>
      <c r="L6" s="1" t="s">
        <v>82</v>
      </c>
      <c r="M6" s="1"/>
      <c r="N6" s="15" t="s">
        <v>82</v>
      </c>
      <c r="O6" s="15"/>
      <c r="P6" s="1"/>
      <c r="Q6" s="15"/>
      <c r="R6" s="15"/>
      <c r="S6" s="16"/>
      <c r="T6" s="16"/>
      <c r="U6" s="16"/>
      <c r="V6" s="16"/>
      <c r="Y6" s="9">
        <f t="shared" si="1"/>
        <v>-24</v>
      </c>
    </row>
    <row r="7" spans="1:25" x14ac:dyDescent="0.55000000000000004">
      <c r="D7" s="6">
        <v>4</v>
      </c>
      <c r="E7" s="6"/>
      <c r="F7" s="6">
        <f t="shared" si="2"/>
        <v>1</v>
      </c>
      <c r="G7" s="6" t="str">
        <f t="shared" si="0"/>
        <v>1</v>
      </c>
      <c r="H7" s="6">
        <f t="shared" si="3"/>
        <v>5</v>
      </c>
      <c r="I7" s="1"/>
      <c r="J7" s="1"/>
      <c r="K7" s="1" t="s">
        <v>81</v>
      </c>
      <c r="L7" s="1" t="s">
        <v>82</v>
      </c>
      <c r="M7" s="1"/>
      <c r="N7" s="15" t="s">
        <v>82</v>
      </c>
      <c r="O7" s="15"/>
      <c r="P7" s="15"/>
      <c r="Q7" s="15"/>
      <c r="R7" s="15"/>
      <c r="S7" s="16"/>
      <c r="T7" s="16"/>
      <c r="U7" s="16"/>
      <c r="V7" s="16"/>
      <c r="Y7" s="9">
        <f t="shared" si="1"/>
        <v>-24</v>
      </c>
    </row>
    <row r="8" spans="1:25" x14ac:dyDescent="0.55000000000000004">
      <c r="D8" s="6">
        <v>5</v>
      </c>
      <c r="E8" s="6"/>
      <c r="F8" s="6">
        <f>F3+1</f>
        <v>2</v>
      </c>
      <c r="G8" s="6" t="str">
        <f t="shared" si="0"/>
        <v>2</v>
      </c>
      <c r="H8" s="6">
        <f>H3</f>
        <v>1</v>
      </c>
      <c r="I8" s="1"/>
      <c r="J8" s="1"/>
      <c r="K8" s="1" t="s">
        <v>68</v>
      </c>
      <c r="L8" s="1" t="s">
        <v>101</v>
      </c>
      <c r="M8" s="1"/>
      <c r="N8" s="15" t="s">
        <v>101</v>
      </c>
      <c r="O8" s="15"/>
      <c r="P8" s="15"/>
      <c r="Q8" s="15"/>
      <c r="R8" s="15"/>
      <c r="S8" s="16"/>
      <c r="T8" s="16"/>
      <c r="U8" s="16"/>
      <c r="V8" s="16"/>
      <c r="Y8" s="9">
        <f t="shared" si="1"/>
        <v>-24</v>
      </c>
    </row>
    <row r="9" spans="1:25" x14ac:dyDescent="0.55000000000000004">
      <c r="D9" s="6">
        <v>6</v>
      </c>
      <c r="E9" s="6"/>
      <c r="F9" s="6">
        <f>F8</f>
        <v>2</v>
      </c>
      <c r="G9" s="6" t="str">
        <f t="shared" si="0"/>
        <v>2</v>
      </c>
      <c r="H9" s="6">
        <f>H8+1</f>
        <v>2</v>
      </c>
      <c r="I9" s="1"/>
      <c r="J9" s="1"/>
      <c r="K9" s="1" t="s">
        <v>81</v>
      </c>
      <c r="L9" s="1" t="s">
        <v>82</v>
      </c>
      <c r="M9" s="1"/>
      <c r="N9" s="15" t="s">
        <v>82</v>
      </c>
      <c r="O9" s="15"/>
      <c r="P9" s="15"/>
      <c r="Q9" s="15"/>
      <c r="R9" s="15"/>
      <c r="S9" s="16"/>
      <c r="T9" s="16"/>
      <c r="U9" s="16"/>
      <c r="V9" s="16"/>
      <c r="Y9" s="9">
        <f t="shared" si="1"/>
        <v>-24</v>
      </c>
    </row>
    <row r="10" spans="1:25" x14ac:dyDescent="0.55000000000000004">
      <c r="D10" s="6">
        <v>7</v>
      </c>
      <c r="E10" s="6"/>
      <c r="F10" s="6">
        <f t="shared" ref="F10:F12" si="4">F9</f>
        <v>2</v>
      </c>
      <c r="G10" s="6" t="str">
        <f t="shared" si="0"/>
        <v>2</v>
      </c>
      <c r="H10" s="6">
        <f t="shared" ref="H10:H12" si="5">H9+1</f>
        <v>3</v>
      </c>
      <c r="I10" s="1"/>
      <c r="J10" s="1"/>
      <c r="K10" s="1" t="s">
        <v>81</v>
      </c>
      <c r="L10" s="1" t="s">
        <v>82</v>
      </c>
      <c r="M10" s="1"/>
      <c r="N10" s="15" t="s">
        <v>82</v>
      </c>
      <c r="O10" s="15"/>
      <c r="P10" s="15"/>
      <c r="Q10" s="15"/>
      <c r="R10" s="15"/>
      <c r="S10" s="16"/>
      <c r="T10" s="16"/>
      <c r="U10" s="16"/>
      <c r="V10" s="16"/>
      <c r="Y10" s="9">
        <f t="shared" si="1"/>
        <v>-24</v>
      </c>
    </row>
    <row r="11" spans="1:25" x14ac:dyDescent="0.55000000000000004">
      <c r="D11" s="6">
        <v>8</v>
      </c>
      <c r="E11" s="6"/>
      <c r="F11" s="6">
        <f t="shared" si="4"/>
        <v>2</v>
      </c>
      <c r="G11" s="6" t="str">
        <f t="shared" si="0"/>
        <v>2</v>
      </c>
      <c r="H11" s="6">
        <f t="shared" si="5"/>
        <v>4</v>
      </c>
      <c r="I11" s="1"/>
      <c r="J11" s="1"/>
      <c r="K11" s="1" t="s">
        <v>81</v>
      </c>
      <c r="L11" s="1" t="s">
        <v>82</v>
      </c>
      <c r="M11" s="1"/>
      <c r="N11" s="15" t="s">
        <v>82</v>
      </c>
      <c r="O11" s="15"/>
      <c r="P11" s="15"/>
      <c r="Q11" s="15"/>
      <c r="R11" s="15"/>
      <c r="S11" s="16"/>
      <c r="T11" s="16"/>
      <c r="U11" s="16"/>
      <c r="V11" s="16"/>
      <c r="Y11" s="9">
        <f t="shared" si="1"/>
        <v>-24</v>
      </c>
    </row>
    <row r="12" spans="1:25" x14ac:dyDescent="0.55000000000000004">
      <c r="D12" s="6">
        <v>9</v>
      </c>
      <c r="E12" s="6"/>
      <c r="F12" s="6">
        <f t="shared" si="4"/>
        <v>2</v>
      </c>
      <c r="G12" s="6" t="str">
        <f t="shared" si="0"/>
        <v>2</v>
      </c>
      <c r="H12" s="6">
        <f t="shared" si="5"/>
        <v>5</v>
      </c>
      <c r="I12" s="1"/>
      <c r="J12" s="1"/>
      <c r="K12" s="1" t="s">
        <v>81</v>
      </c>
      <c r="L12" s="1" t="s">
        <v>82</v>
      </c>
      <c r="M12" s="1"/>
      <c r="N12" s="15" t="s">
        <v>82</v>
      </c>
      <c r="O12" s="15"/>
      <c r="P12" s="15"/>
      <c r="Q12" s="15"/>
      <c r="R12" s="15"/>
      <c r="S12" s="16"/>
      <c r="T12" s="16"/>
      <c r="U12" s="16"/>
      <c r="V12" s="16"/>
      <c r="Y12" s="9">
        <f t="shared" si="1"/>
        <v>-24</v>
      </c>
    </row>
    <row r="13" spans="1:25" x14ac:dyDescent="0.55000000000000004">
      <c r="D13" s="6">
        <v>10</v>
      </c>
      <c r="E13" s="6"/>
      <c r="F13" s="6">
        <f t="shared" ref="F13" si="6">F8+1</f>
        <v>3</v>
      </c>
      <c r="G13" s="6" t="str">
        <f t="shared" si="0"/>
        <v>3</v>
      </c>
      <c r="H13" s="6">
        <f t="shared" ref="H13" si="7">H8</f>
        <v>1</v>
      </c>
      <c r="I13" s="1"/>
      <c r="J13" s="1"/>
      <c r="K13" s="1" t="s">
        <v>68</v>
      </c>
      <c r="L13" s="1" t="s">
        <v>101</v>
      </c>
      <c r="M13" s="1"/>
      <c r="N13" s="15" t="s">
        <v>101</v>
      </c>
      <c r="O13" s="15"/>
      <c r="P13" s="15"/>
      <c r="Q13" s="15"/>
      <c r="R13" s="15"/>
      <c r="S13" s="16"/>
      <c r="T13" s="16"/>
      <c r="U13" s="16"/>
      <c r="V13" s="16"/>
      <c r="Y13" s="9">
        <f t="shared" si="1"/>
        <v>-24</v>
      </c>
    </row>
    <row r="14" spans="1:25" x14ac:dyDescent="0.55000000000000004">
      <c r="D14" s="6">
        <v>11</v>
      </c>
      <c r="E14" s="6"/>
      <c r="F14" s="6">
        <f t="shared" ref="F14:F98" si="8">F13</f>
        <v>3</v>
      </c>
      <c r="G14" s="6" t="str">
        <f t="shared" si="0"/>
        <v>3</v>
      </c>
      <c r="H14" s="6">
        <f t="shared" ref="H14:H78" si="9">H13+1</f>
        <v>2</v>
      </c>
      <c r="I14" s="1"/>
      <c r="J14" s="1"/>
      <c r="K14" s="1" t="s">
        <v>81</v>
      </c>
      <c r="L14" s="1" t="s">
        <v>82</v>
      </c>
      <c r="M14" s="1"/>
      <c r="N14" s="15" t="s">
        <v>82</v>
      </c>
      <c r="O14" s="15"/>
      <c r="P14" s="15"/>
      <c r="Q14" s="15"/>
      <c r="R14" s="15"/>
      <c r="S14" s="16"/>
      <c r="T14" s="16"/>
      <c r="U14" s="16"/>
      <c r="V14" s="16"/>
      <c r="Y14" s="9">
        <f t="shared" si="1"/>
        <v>-24</v>
      </c>
    </row>
    <row r="15" spans="1:25" x14ac:dyDescent="0.55000000000000004">
      <c r="D15" s="6">
        <v>12</v>
      </c>
      <c r="E15" s="6"/>
      <c r="F15" s="6">
        <f t="shared" si="8"/>
        <v>3</v>
      </c>
      <c r="G15" s="6" t="str">
        <f t="shared" si="0"/>
        <v>3</v>
      </c>
      <c r="H15" s="6">
        <f t="shared" si="9"/>
        <v>3</v>
      </c>
      <c r="I15" s="1"/>
      <c r="J15" s="1"/>
      <c r="K15" s="1" t="s">
        <v>81</v>
      </c>
      <c r="L15" s="1" t="s">
        <v>82</v>
      </c>
      <c r="M15" s="1"/>
      <c r="N15" s="15" t="s">
        <v>82</v>
      </c>
      <c r="O15" s="15"/>
      <c r="P15" s="15"/>
      <c r="Q15" s="15"/>
      <c r="R15" s="15"/>
      <c r="S15" s="16"/>
      <c r="T15" s="16"/>
      <c r="U15" s="16"/>
      <c r="V15" s="16"/>
      <c r="Y15" s="9">
        <f t="shared" si="1"/>
        <v>-24</v>
      </c>
    </row>
    <row r="16" spans="1:25" x14ac:dyDescent="0.55000000000000004">
      <c r="D16" s="6">
        <v>13</v>
      </c>
      <c r="E16" s="6"/>
      <c r="F16" s="6">
        <f t="shared" si="8"/>
        <v>3</v>
      </c>
      <c r="G16" s="6" t="str">
        <f t="shared" si="0"/>
        <v>3</v>
      </c>
      <c r="H16" s="6">
        <f t="shared" si="9"/>
        <v>4</v>
      </c>
      <c r="I16" s="1"/>
      <c r="J16" s="1"/>
      <c r="K16" s="1" t="s">
        <v>81</v>
      </c>
      <c r="L16" s="1" t="s">
        <v>82</v>
      </c>
      <c r="M16" s="1"/>
      <c r="N16" s="15" t="s">
        <v>82</v>
      </c>
      <c r="O16" s="15"/>
      <c r="P16" s="15"/>
      <c r="Q16" s="15"/>
      <c r="R16" s="15"/>
      <c r="S16" s="16"/>
      <c r="T16" s="16"/>
      <c r="U16" s="16"/>
      <c r="V16" s="16"/>
      <c r="Y16" s="9">
        <f t="shared" si="1"/>
        <v>-24</v>
      </c>
    </row>
    <row r="17" spans="4:25" x14ac:dyDescent="0.55000000000000004">
      <c r="D17" s="6">
        <v>14</v>
      </c>
      <c r="E17" s="6"/>
      <c r="F17" s="6">
        <f t="shared" si="8"/>
        <v>3</v>
      </c>
      <c r="G17" s="6" t="str">
        <f t="shared" si="0"/>
        <v>3</v>
      </c>
      <c r="H17" s="6">
        <f t="shared" si="9"/>
        <v>5</v>
      </c>
      <c r="I17" s="1"/>
      <c r="J17" s="1"/>
      <c r="K17" s="1" t="s">
        <v>81</v>
      </c>
      <c r="L17" s="1" t="s">
        <v>82</v>
      </c>
      <c r="M17" s="1"/>
      <c r="N17" s="15" t="s">
        <v>82</v>
      </c>
      <c r="O17" s="15"/>
      <c r="P17" s="15"/>
      <c r="Q17" s="15"/>
      <c r="R17" s="15"/>
      <c r="S17" s="16"/>
      <c r="T17" s="16"/>
      <c r="U17" s="16"/>
      <c r="V17" s="16"/>
      <c r="Y17" s="9">
        <f t="shared" si="1"/>
        <v>-24</v>
      </c>
    </row>
    <row r="18" spans="4:25" x14ac:dyDescent="0.55000000000000004">
      <c r="D18" s="6">
        <v>15</v>
      </c>
      <c r="E18" s="6"/>
      <c r="F18" s="6">
        <f t="shared" ref="F18" si="10">F13+1</f>
        <v>4</v>
      </c>
      <c r="G18" s="6" t="str">
        <f t="shared" si="0"/>
        <v>4</v>
      </c>
      <c r="H18" s="6">
        <f t="shared" ref="H18" si="11">H13</f>
        <v>1</v>
      </c>
      <c r="I18" s="1"/>
      <c r="J18" s="1"/>
      <c r="K18" s="1" t="s">
        <v>68</v>
      </c>
      <c r="L18" s="1" t="s">
        <v>101</v>
      </c>
      <c r="M18" s="1"/>
      <c r="N18" s="15" t="s">
        <v>101</v>
      </c>
      <c r="O18" s="15"/>
      <c r="P18" s="15"/>
      <c r="Q18" s="15"/>
      <c r="R18" s="15"/>
      <c r="S18" s="16"/>
      <c r="T18" s="16"/>
      <c r="U18" s="16"/>
      <c r="V18" s="16"/>
      <c r="Y18" s="9">
        <f t="shared" si="1"/>
        <v>-24</v>
      </c>
    </row>
    <row r="19" spans="4:25" x14ac:dyDescent="0.55000000000000004">
      <c r="D19" s="6">
        <v>16</v>
      </c>
      <c r="E19" s="6"/>
      <c r="F19" s="6">
        <f t="shared" ref="F19" si="12">F18</f>
        <v>4</v>
      </c>
      <c r="G19" s="6" t="str">
        <f t="shared" si="0"/>
        <v>4</v>
      </c>
      <c r="H19" s="6">
        <f t="shared" ref="H19" si="13">H18+1</f>
        <v>2</v>
      </c>
      <c r="I19" s="1"/>
      <c r="J19" s="1"/>
      <c r="K19" s="1" t="s">
        <v>81</v>
      </c>
      <c r="L19" s="1" t="s">
        <v>82</v>
      </c>
      <c r="M19" s="1"/>
      <c r="N19" s="15" t="s">
        <v>82</v>
      </c>
      <c r="O19" s="15"/>
      <c r="P19" s="15"/>
      <c r="Q19" s="15"/>
      <c r="R19" s="15"/>
      <c r="S19" s="16"/>
      <c r="T19" s="16"/>
      <c r="U19" s="16"/>
      <c r="V19" s="16"/>
      <c r="Y19" s="9">
        <f t="shared" si="1"/>
        <v>-24</v>
      </c>
    </row>
    <row r="20" spans="4:25" x14ac:dyDescent="0.55000000000000004">
      <c r="D20" s="6">
        <v>17</v>
      </c>
      <c r="E20" s="6"/>
      <c r="F20" s="6">
        <f t="shared" si="8"/>
        <v>4</v>
      </c>
      <c r="G20" s="6" t="str">
        <f t="shared" si="0"/>
        <v>4</v>
      </c>
      <c r="H20" s="6">
        <f t="shared" si="9"/>
        <v>3</v>
      </c>
      <c r="I20" s="1"/>
      <c r="J20" s="1"/>
      <c r="K20" s="1" t="s">
        <v>81</v>
      </c>
      <c r="L20" s="1" t="s">
        <v>82</v>
      </c>
      <c r="M20" s="1"/>
      <c r="N20" s="15" t="s">
        <v>82</v>
      </c>
      <c r="O20" s="15"/>
      <c r="P20" s="15"/>
      <c r="Q20" s="15"/>
      <c r="R20" s="15"/>
      <c r="S20" s="16"/>
      <c r="T20" s="16"/>
      <c r="U20" s="16"/>
      <c r="V20" s="16"/>
      <c r="Y20" s="9">
        <f t="shared" si="1"/>
        <v>-24</v>
      </c>
    </row>
    <row r="21" spans="4:25" x14ac:dyDescent="0.55000000000000004">
      <c r="D21" s="6">
        <v>18</v>
      </c>
      <c r="E21" s="6"/>
      <c r="F21" s="6">
        <f t="shared" si="8"/>
        <v>4</v>
      </c>
      <c r="G21" s="6" t="str">
        <f t="shared" si="0"/>
        <v>4</v>
      </c>
      <c r="H21" s="6">
        <f t="shared" si="9"/>
        <v>4</v>
      </c>
      <c r="I21" s="1"/>
      <c r="J21" s="1"/>
      <c r="K21" s="1" t="s">
        <v>81</v>
      </c>
      <c r="L21" s="1" t="s">
        <v>82</v>
      </c>
      <c r="M21" s="1"/>
      <c r="N21" s="15" t="s">
        <v>82</v>
      </c>
      <c r="O21" s="15"/>
      <c r="P21" s="15"/>
      <c r="Q21" s="15"/>
      <c r="R21" s="15"/>
      <c r="S21" s="16"/>
      <c r="T21" s="16"/>
      <c r="U21" s="16"/>
      <c r="V21" s="16"/>
      <c r="Y21" s="9">
        <f t="shared" si="1"/>
        <v>-24</v>
      </c>
    </row>
    <row r="22" spans="4:25" x14ac:dyDescent="0.55000000000000004">
      <c r="D22" s="6">
        <v>19</v>
      </c>
      <c r="E22" s="6"/>
      <c r="F22" s="6">
        <f t="shared" si="8"/>
        <v>4</v>
      </c>
      <c r="G22" s="6" t="str">
        <f t="shared" si="0"/>
        <v>4</v>
      </c>
      <c r="H22" s="6">
        <f t="shared" si="9"/>
        <v>5</v>
      </c>
      <c r="I22" s="1"/>
      <c r="J22" s="1"/>
      <c r="K22" s="1" t="s">
        <v>81</v>
      </c>
      <c r="L22" s="1" t="s">
        <v>82</v>
      </c>
      <c r="M22" s="1"/>
      <c r="N22" s="15" t="s">
        <v>82</v>
      </c>
      <c r="O22" s="1"/>
      <c r="P22" s="15"/>
      <c r="Q22" s="15"/>
      <c r="R22" s="15"/>
      <c r="S22" s="16"/>
      <c r="T22" s="16"/>
      <c r="U22" s="16"/>
      <c r="V22" s="16"/>
      <c r="Y22" s="9">
        <f t="shared" si="1"/>
        <v>-24</v>
      </c>
    </row>
    <row r="23" spans="4:25" x14ac:dyDescent="0.55000000000000004">
      <c r="D23" s="6">
        <v>20</v>
      </c>
      <c r="E23" s="6"/>
      <c r="F23" s="6">
        <f t="shared" ref="F23" si="14">F18+1</f>
        <v>5</v>
      </c>
      <c r="G23" s="6" t="str">
        <f t="shared" si="0"/>
        <v>5</v>
      </c>
      <c r="H23" s="6">
        <f t="shared" ref="H23" si="15">H18</f>
        <v>1</v>
      </c>
      <c r="I23" s="1"/>
      <c r="J23" s="1"/>
      <c r="K23" s="1" t="s">
        <v>68</v>
      </c>
      <c r="L23" s="1" t="s">
        <v>101</v>
      </c>
      <c r="M23" s="1"/>
      <c r="N23" s="15" t="s">
        <v>101</v>
      </c>
      <c r="O23" s="15"/>
      <c r="P23" s="15"/>
      <c r="Q23" s="15"/>
      <c r="R23" s="15"/>
      <c r="S23" s="16"/>
      <c r="T23" s="16"/>
      <c r="U23" s="16"/>
      <c r="V23" s="16"/>
      <c r="Y23" s="9">
        <f t="shared" si="1"/>
        <v>-24</v>
      </c>
    </row>
    <row r="24" spans="4:25" x14ac:dyDescent="0.55000000000000004">
      <c r="D24" s="6">
        <v>21</v>
      </c>
      <c r="E24" s="6"/>
      <c r="F24" s="6">
        <f t="shared" ref="F24" si="16">F23</f>
        <v>5</v>
      </c>
      <c r="G24" s="6" t="str">
        <f t="shared" si="0"/>
        <v>5</v>
      </c>
      <c r="H24" s="6">
        <f t="shared" ref="H24" si="17">H23+1</f>
        <v>2</v>
      </c>
      <c r="I24" s="1"/>
      <c r="J24" s="1"/>
      <c r="K24" s="1" t="s">
        <v>70</v>
      </c>
      <c r="L24" s="1" t="s">
        <v>102</v>
      </c>
      <c r="M24" s="1"/>
      <c r="N24" s="15" t="s">
        <v>125</v>
      </c>
      <c r="O24" s="15"/>
      <c r="P24" s="15"/>
      <c r="Q24" s="15"/>
      <c r="R24" s="15"/>
      <c r="S24" s="16"/>
      <c r="T24" s="16"/>
      <c r="U24" s="16"/>
      <c r="V24" s="16"/>
      <c r="Y24" s="9">
        <f t="shared" si="1"/>
        <v>-24</v>
      </c>
    </row>
    <row r="25" spans="4:25" x14ac:dyDescent="0.55000000000000004">
      <c r="D25" s="6">
        <v>22</v>
      </c>
      <c r="E25" s="6"/>
      <c r="F25" s="6">
        <f t="shared" si="8"/>
        <v>5</v>
      </c>
      <c r="G25" s="6" t="str">
        <f t="shared" si="0"/>
        <v>5</v>
      </c>
      <c r="H25" s="6">
        <f t="shared" si="9"/>
        <v>3</v>
      </c>
      <c r="I25" s="1"/>
      <c r="J25" s="1"/>
      <c r="K25" s="1" t="s">
        <v>71</v>
      </c>
      <c r="L25" s="1" t="s">
        <v>103</v>
      </c>
      <c r="M25" s="1"/>
      <c r="N25" s="15" t="s">
        <v>126</v>
      </c>
      <c r="O25" s="15"/>
      <c r="P25" s="15"/>
      <c r="Q25" s="15"/>
      <c r="R25" s="17"/>
      <c r="S25" s="18"/>
      <c r="T25" s="18"/>
      <c r="U25" s="18"/>
      <c r="V25" s="16"/>
      <c r="Y25" s="9">
        <f t="shared" si="1"/>
        <v>-24</v>
      </c>
    </row>
    <row r="26" spans="4:25" x14ac:dyDescent="0.55000000000000004">
      <c r="D26" s="6">
        <v>23</v>
      </c>
      <c r="E26" s="6"/>
      <c r="F26" s="6">
        <f t="shared" si="8"/>
        <v>5</v>
      </c>
      <c r="G26" s="6" t="str">
        <f t="shared" si="0"/>
        <v>5</v>
      </c>
      <c r="H26" s="6">
        <f t="shared" si="9"/>
        <v>4</v>
      </c>
      <c r="I26" s="1"/>
      <c r="J26" s="1"/>
      <c r="K26" s="1" t="s">
        <v>72</v>
      </c>
      <c r="L26" s="1" t="s">
        <v>104</v>
      </c>
      <c r="M26" s="1"/>
      <c r="N26" s="15" t="s">
        <v>127</v>
      </c>
      <c r="O26" s="15"/>
      <c r="P26" s="15"/>
      <c r="Q26" s="15"/>
      <c r="R26" s="17"/>
      <c r="S26" s="18"/>
      <c r="T26" s="18"/>
      <c r="U26" s="18"/>
      <c r="V26" s="16"/>
      <c r="Y26" s="9">
        <f t="shared" si="1"/>
        <v>-24</v>
      </c>
    </row>
    <row r="27" spans="4:25" x14ac:dyDescent="0.55000000000000004">
      <c r="D27" s="6">
        <v>24</v>
      </c>
      <c r="E27" s="6"/>
      <c r="F27" s="6">
        <f t="shared" si="8"/>
        <v>5</v>
      </c>
      <c r="G27" s="6" t="str">
        <f t="shared" si="0"/>
        <v>5</v>
      </c>
      <c r="H27" s="6">
        <f t="shared" si="9"/>
        <v>5</v>
      </c>
      <c r="I27" s="1"/>
      <c r="J27" s="1"/>
      <c r="K27" s="1" t="s">
        <v>81</v>
      </c>
      <c r="L27" s="1" t="s">
        <v>82</v>
      </c>
      <c r="M27" s="1"/>
      <c r="N27" s="15" t="s">
        <v>82</v>
      </c>
      <c r="O27" s="15"/>
      <c r="P27" s="15"/>
      <c r="Q27" s="15"/>
      <c r="R27" s="17"/>
      <c r="S27" s="18"/>
      <c r="T27" s="18"/>
      <c r="U27" s="18"/>
      <c r="V27" s="16"/>
      <c r="Y27" s="9">
        <f t="shared" si="1"/>
        <v>-24</v>
      </c>
    </row>
    <row r="28" spans="4:25" x14ac:dyDescent="0.55000000000000004">
      <c r="D28" s="6">
        <v>25</v>
      </c>
      <c r="E28" s="6"/>
      <c r="F28" s="6">
        <f t="shared" ref="F28" si="18">F23+1</f>
        <v>6</v>
      </c>
      <c r="G28" s="6" t="str">
        <f t="shared" si="0"/>
        <v>6</v>
      </c>
      <c r="H28" s="6">
        <f t="shared" ref="H28" si="19">H23</f>
        <v>1</v>
      </c>
      <c r="I28" s="1"/>
      <c r="J28" s="1"/>
      <c r="K28" s="1" t="s">
        <v>68</v>
      </c>
      <c r="L28" s="1" t="s">
        <v>101</v>
      </c>
      <c r="M28" s="1"/>
      <c r="N28" s="15" t="s">
        <v>101</v>
      </c>
      <c r="O28" s="15"/>
      <c r="P28" s="15"/>
      <c r="Q28" s="15"/>
      <c r="R28" s="17"/>
      <c r="S28" s="18"/>
      <c r="T28" s="18"/>
      <c r="U28" s="18"/>
      <c r="V28" s="16"/>
      <c r="Y28" s="9">
        <f t="shared" si="1"/>
        <v>-24</v>
      </c>
    </row>
    <row r="29" spans="4:25" x14ac:dyDescent="0.55000000000000004">
      <c r="D29" s="6">
        <v>26</v>
      </c>
      <c r="E29" s="6"/>
      <c r="F29" s="6">
        <f t="shared" ref="F29" si="20">F28</f>
        <v>6</v>
      </c>
      <c r="G29" s="6" t="str">
        <f t="shared" si="0"/>
        <v>6</v>
      </c>
      <c r="H29" s="6">
        <f t="shared" ref="H29" si="21">H28+1</f>
        <v>2</v>
      </c>
      <c r="I29" s="1"/>
      <c r="J29" s="1"/>
      <c r="K29" s="1" t="s">
        <v>73</v>
      </c>
      <c r="L29" s="1" t="s">
        <v>105</v>
      </c>
      <c r="M29" s="1"/>
      <c r="N29" s="15" t="s">
        <v>128</v>
      </c>
      <c r="O29" s="15"/>
      <c r="P29" s="15"/>
      <c r="Q29" s="15"/>
      <c r="R29" s="19"/>
      <c r="S29" s="20"/>
      <c r="T29" s="20"/>
      <c r="U29" s="20"/>
      <c r="V29" s="16"/>
      <c r="Y29" s="9">
        <f t="shared" si="1"/>
        <v>-24</v>
      </c>
    </row>
    <row r="30" spans="4:25" x14ac:dyDescent="0.55000000000000004">
      <c r="D30" s="6">
        <v>27</v>
      </c>
      <c r="E30" s="6"/>
      <c r="F30" s="6">
        <f t="shared" si="8"/>
        <v>6</v>
      </c>
      <c r="G30" s="6" t="str">
        <f t="shared" si="0"/>
        <v>6</v>
      </c>
      <c r="H30" s="6">
        <f t="shared" si="9"/>
        <v>3</v>
      </c>
      <c r="I30" s="1"/>
      <c r="J30" s="1"/>
      <c r="K30" s="1" t="s">
        <v>81</v>
      </c>
      <c r="L30" s="1" t="s">
        <v>82</v>
      </c>
      <c r="M30" s="1"/>
      <c r="N30" s="15" t="s">
        <v>82</v>
      </c>
      <c r="O30" s="15"/>
      <c r="P30" s="15"/>
      <c r="Q30" s="15"/>
      <c r="R30" s="17"/>
      <c r="S30" s="18"/>
      <c r="T30" s="18"/>
      <c r="U30" s="18"/>
      <c r="V30" s="16"/>
      <c r="Y30" s="9">
        <f t="shared" si="1"/>
        <v>-24</v>
      </c>
    </row>
    <row r="31" spans="4:25" x14ac:dyDescent="0.55000000000000004">
      <c r="D31" s="6">
        <v>28</v>
      </c>
      <c r="E31" s="6"/>
      <c r="F31" s="6">
        <f t="shared" si="8"/>
        <v>6</v>
      </c>
      <c r="G31" s="6" t="str">
        <f t="shared" si="0"/>
        <v>6</v>
      </c>
      <c r="H31" s="6">
        <f t="shared" si="9"/>
        <v>4</v>
      </c>
      <c r="I31" s="1"/>
      <c r="J31" s="1"/>
      <c r="K31" s="1" t="s">
        <v>81</v>
      </c>
      <c r="L31" s="1" t="s">
        <v>82</v>
      </c>
      <c r="M31" s="1"/>
      <c r="N31" s="15" t="s">
        <v>82</v>
      </c>
      <c r="O31" s="15"/>
      <c r="P31" s="15"/>
      <c r="Q31" s="15"/>
      <c r="R31" s="19"/>
      <c r="S31" s="20"/>
      <c r="T31" s="20"/>
      <c r="U31" s="20"/>
      <c r="V31" s="16"/>
      <c r="Y31" s="9">
        <f t="shared" si="1"/>
        <v>-24</v>
      </c>
    </row>
    <row r="32" spans="4:25" x14ac:dyDescent="0.55000000000000004">
      <c r="D32" s="6">
        <v>29</v>
      </c>
      <c r="E32" s="6"/>
      <c r="F32" s="6">
        <f t="shared" si="8"/>
        <v>6</v>
      </c>
      <c r="G32" s="6" t="str">
        <f t="shared" si="0"/>
        <v>6</v>
      </c>
      <c r="H32" s="6">
        <f t="shared" si="9"/>
        <v>5</v>
      </c>
      <c r="I32" s="1"/>
      <c r="J32" s="1"/>
      <c r="K32" s="1" t="s">
        <v>81</v>
      </c>
      <c r="L32" s="1" t="s">
        <v>82</v>
      </c>
      <c r="M32" s="1"/>
      <c r="N32" s="15" t="s">
        <v>82</v>
      </c>
      <c r="O32" s="15"/>
      <c r="P32" s="15"/>
      <c r="Q32" s="15"/>
      <c r="R32" s="17"/>
      <c r="S32" s="18"/>
      <c r="T32" s="18"/>
      <c r="U32" s="18"/>
      <c r="V32" s="16"/>
      <c r="Y32" s="9">
        <f t="shared" si="1"/>
        <v>-24</v>
      </c>
    </row>
    <row r="33" spans="4:25" x14ac:dyDescent="0.55000000000000004">
      <c r="D33" s="6">
        <v>30</v>
      </c>
      <c r="E33" s="6"/>
      <c r="F33" s="6">
        <f t="shared" ref="F33" si="22">F28+1</f>
        <v>7</v>
      </c>
      <c r="G33" s="6" t="str">
        <f t="shared" si="0"/>
        <v>7</v>
      </c>
      <c r="H33" s="6">
        <f t="shared" ref="H33" si="23">H28</f>
        <v>1</v>
      </c>
      <c r="I33" s="1"/>
      <c r="J33" s="1"/>
      <c r="K33" s="1" t="s">
        <v>74</v>
      </c>
      <c r="L33" s="1" t="s">
        <v>106</v>
      </c>
      <c r="M33" s="1"/>
      <c r="N33" s="15" t="s">
        <v>106</v>
      </c>
      <c r="O33" s="15"/>
      <c r="P33" s="15"/>
      <c r="Q33" s="15"/>
      <c r="R33" s="19"/>
      <c r="S33" s="20"/>
      <c r="T33" s="20"/>
      <c r="U33" s="20"/>
      <c r="V33" s="16"/>
      <c r="Y33" s="9">
        <f t="shared" si="1"/>
        <v>-24</v>
      </c>
    </row>
    <row r="34" spans="4:25" x14ac:dyDescent="0.55000000000000004">
      <c r="D34" s="6">
        <v>31</v>
      </c>
      <c r="E34" s="6"/>
      <c r="F34" s="6">
        <f t="shared" ref="F34" si="24">F33</f>
        <v>7</v>
      </c>
      <c r="G34" s="6" t="str">
        <f t="shared" si="0"/>
        <v>7</v>
      </c>
      <c r="H34" s="6">
        <f t="shared" ref="H34" si="25">H33+1</f>
        <v>2</v>
      </c>
      <c r="I34" s="1"/>
      <c r="J34" s="1"/>
      <c r="K34" s="1" t="s">
        <v>75</v>
      </c>
      <c r="L34" s="1" t="s">
        <v>107</v>
      </c>
      <c r="M34" s="1"/>
      <c r="N34" s="15" t="s">
        <v>107</v>
      </c>
      <c r="O34" s="15"/>
      <c r="P34" s="15"/>
      <c r="Q34" s="15"/>
      <c r="R34" s="19"/>
      <c r="S34" s="20"/>
      <c r="T34" s="20"/>
      <c r="U34" s="20"/>
      <c r="V34" s="16"/>
      <c r="Y34" s="9">
        <f t="shared" si="1"/>
        <v>-24</v>
      </c>
    </row>
    <row r="35" spans="4:25" x14ac:dyDescent="0.55000000000000004">
      <c r="D35" s="6">
        <v>32</v>
      </c>
      <c r="E35" s="6"/>
      <c r="F35" s="6">
        <f t="shared" si="8"/>
        <v>7</v>
      </c>
      <c r="G35" s="6" t="str">
        <f t="shared" si="0"/>
        <v>7</v>
      </c>
      <c r="H35" s="6">
        <f t="shared" si="9"/>
        <v>3</v>
      </c>
      <c r="I35" s="1"/>
      <c r="J35" s="1"/>
      <c r="K35" s="1" t="s">
        <v>81</v>
      </c>
      <c r="L35" s="1" t="s">
        <v>82</v>
      </c>
      <c r="M35" s="1"/>
      <c r="N35" s="15" t="s">
        <v>82</v>
      </c>
      <c r="O35" s="15"/>
      <c r="P35" s="15"/>
      <c r="Q35" s="15"/>
      <c r="R35" s="15"/>
      <c r="S35" s="16"/>
      <c r="T35" s="16"/>
      <c r="U35" s="16"/>
      <c r="V35" s="16"/>
      <c r="Y35" s="9">
        <f t="shared" si="1"/>
        <v>-24</v>
      </c>
    </row>
    <row r="36" spans="4:25" x14ac:dyDescent="0.55000000000000004">
      <c r="D36" s="6">
        <v>33</v>
      </c>
      <c r="E36" s="6"/>
      <c r="F36" s="6">
        <f t="shared" si="8"/>
        <v>7</v>
      </c>
      <c r="G36" s="6" t="str">
        <f t="shared" si="0"/>
        <v>7</v>
      </c>
      <c r="H36" s="6">
        <f t="shared" si="9"/>
        <v>4</v>
      </c>
      <c r="I36" s="1"/>
      <c r="J36" s="1"/>
      <c r="K36" s="1" t="s">
        <v>81</v>
      </c>
      <c r="L36" s="1" t="s">
        <v>82</v>
      </c>
      <c r="M36" s="1"/>
      <c r="N36" s="15" t="s">
        <v>82</v>
      </c>
      <c r="O36" s="15"/>
      <c r="P36" s="15"/>
      <c r="Q36" s="15"/>
      <c r="R36" s="15"/>
      <c r="S36" s="16"/>
      <c r="T36" s="16"/>
      <c r="U36" s="16"/>
      <c r="V36" s="16"/>
      <c r="Y36" s="9">
        <f t="shared" si="1"/>
        <v>-24</v>
      </c>
    </row>
    <row r="37" spans="4:25" x14ac:dyDescent="0.55000000000000004">
      <c r="D37" s="6">
        <v>34</v>
      </c>
      <c r="E37" s="6"/>
      <c r="F37" s="6">
        <f t="shared" si="8"/>
        <v>7</v>
      </c>
      <c r="G37" s="6" t="str">
        <f t="shared" si="0"/>
        <v>7</v>
      </c>
      <c r="H37" s="6">
        <f t="shared" si="9"/>
        <v>5</v>
      </c>
      <c r="I37" s="1"/>
      <c r="J37" s="1"/>
      <c r="K37" s="1" t="s">
        <v>81</v>
      </c>
      <c r="L37" s="1" t="s">
        <v>82</v>
      </c>
      <c r="M37" s="1"/>
      <c r="N37" s="15" t="s">
        <v>82</v>
      </c>
      <c r="O37" s="15"/>
      <c r="P37" s="15"/>
      <c r="Q37" s="15"/>
      <c r="R37" s="15"/>
      <c r="S37" s="16"/>
      <c r="T37" s="16"/>
      <c r="U37" s="16"/>
      <c r="V37" s="16"/>
      <c r="Y37" s="9">
        <f t="shared" si="1"/>
        <v>-24</v>
      </c>
    </row>
    <row r="38" spans="4:25" x14ac:dyDescent="0.55000000000000004">
      <c r="D38" s="6">
        <v>35</v>
      </c>
      <c r="E38" s="6"/>
      <c r="F38" s="6">
        <f t="shared" ref="F38" si="26">F33+1</f>
        <v>8</v>
      </c>
      <c r="G38" s="6" t="str">
        <f t="shared" si="0"/>
        <v>8</v>
      </c>
      <c r="H38" s="6">
        <f t="shared" ref="H38" si="27">H33</f>
        <v>1</v>
      </c>
      <c r="I38" s="1"/>
      <c r="J38" s="1"/>
      <c r="K38" s="1" t="s">
        <v>68</v>
      </c>
      <c r="L38" s="1" t="s">
        <v>101</v>
      </c>
      <c r="M38" s="1"/>
      <c r="N38" s="1" t="s">
        <v>101</v>
      </c>
      <c r="O38" s="1"/>
      <c r="P38" s="1"/>
      <c r="Q38" s="1"/>
      <c r="R38" s="19"/>
      <c r="S38" s="20"/>
      <c r="T38" s="20"/>
      <c r="U38" s="20"/>
      <c r="V38" s="16"/>
      <c r="Y38" s="9">
        <f t="shared" si="1"/>
        <v>-24</v>
      </c>
    </row>
    <row r="39" spans="4:25" x14ac:dyDescent="0.55000000000000004">
      <c r="D39" s="6">
        <v>36</v>
      </c>
      <c r="E39" s="6"/>
      <c r="F39" s="6">
        <f t="shared" ref="F39" si="28">F38</f>
        <v>8</v>
      </c>
      <c r="G39" s="6" t="str">
        <f t="shared" si="0"/>
        <v>8</v>
      </c>
      <c r="H39" s="6">
        <f t="shared" ref="H39" si="29">H38+1</f>
        <v>2</v>
      </c>
      <c r="I39" s="1"/>
      <c r="J39" s="1"/>
      <c r="K39" s="1" t="s">
        <v>76</v>
      </c>
      <c r="L39" s="1" t="s">
        <v>108</v>
      </c>
      <c r="M39" s="1"/>
      <c r="N39" s="1" t="s">
        <v>108</v>
      </c>
      <c r="O39" s="1"/>
      <c r="P39" s="1"/>
      <c r="Q39" s="1"/>
      <c r="R39" s="19"/>
      <c r="S39" s="20"/>
      <c r="T39" s="20"/>
      <c r="U39" s="20"/>
      <c r="V39" s="16"/>
      <c r="Y39" s="9">
        <f t="shared" si="1"/>
        <v>-24</v>
      </c>
    </row>
    <row r="40" spans="4:25" x14ac:dyDescent="0.55000000000000004">
      <c r="D40" s="6">
        <v>37</v>
      </c>
      <c r="E40" s="6"/>
      <c r="F40" s="6">
        <f t="shared" si="8"/>
        <v>8</v>
      </c>
      <c r="G40" s="6" t="str">
        <f t="shared" si="0"/>
        <v>8</v>
      </c>
      <c r="H40" s="6">
        <f t="shared" si="9"/>
        <v>3</v>
      </c>
      <c r="I40" s="1"/>
      <c r="J40" s="1"/>
      <c r="K40" s="1" t="s">
        <v>77</v>
      </c>
      <c r="L40" s="1" t="s">
        <v>109</v>
      </c>
      <c r="M40" s="1"/>
      <c r="N40" s="1" t="s">
        <v>129</v>
      </c>
      <c r="O40" s="1"/>
      <c r="P40" s="1"/>
      <c r="Q40" s="1"/>
      <c r="R40" s="19"/>
      <c r="S40" s="20"/>
      <c r="T40" s="20"/>
      <c r="U40" s="20"/>
      <c r="V40" s="16"/>
      <c r="Y40" s="9">
        <f t="shared" si="1"/>
        <v>-24</v>
      </c>
    </row>
    <row r="41" spans="4:25" x14ac:dyDescent="0.55000000000000004">
      <c r="D41" s="6">
        <v>38</v>
      </c>
      <c r="E41" s="6"/>
      <c r="F41" s="6">
        <f t="shared" si="8"/>
        <v>8</v>
      </c>
      <c r="G41" s="6" t="str">
        <f t="shared" si="0"/>
        <v>8</v>
      </c>
      <c r="H41" s="6">
        <f t="shared" si="9"/>
        <v>4</v>
      </c>
      <c r="I41" s="1"/>
      <c r="J41" s="1"/>
      <c r="K41" s="1" t="s">
        <v>83</v>
      </c>
      <c r="L41" s="1" t="s">
        <v>110</v>
      </c>
      <c r="M41" s="1"/>
      <c r="N41" s="15" t="s">
        <v>130</v>
      </c>
      <c r="O41" s="15"/>
      <c r="P41" s="15"/>
      <c r="Q41" s="15"/>
      <c r="R41" s="15"/>
      <c r="S41" s="16"/>
      <c r="T41" s="16"/>
      <c r="U41" s="16"/>
      <c r="V41" s="16"/>
      <c r="Y41" s="9">
        <f t="shared" si="1"/>
        <v>-24</v>
      </c>
    </row>
    <row r="42" spans="4:25" x14ac:dyDescent="0.55000000000000004">
      <c r="D42" s="6">
        <v>39</v>
      </c>
      <c r="E42" s="6"/>
      <c r="F42" s="6">
        <f t="shared" si="8"/>
        <v>8</v>
      </c>
      <c r="G42" s="6" t="str">
        <f t="shared" si="0"/>
        <v>8</v>
      </c>
      <c r="H42" s="6">
        <f t="shared" si="9"/>
        <v>5</v>
      </c>
      <c r="I42" s="1"/>
      <c r="J42" s="1"/>
      <c r="K42" s="1" t="s">
        <v>95</v>
      </c>
      <c r="L42" s="1" t="s">
        <v>111</v>
      </c>
      <c r="M42" s="1"/>
      <c r="N42" s="15" t="s">
        <v>131</v>
      </c>
      <c r="O42" s="15"/>
      <c r="P42" s="15"/>
      <c r="Q42" s="15"/>
      <c r="R42" s="15"/>
      <c r="S42" s="16"/>
      <c r="T42" s="16"/>
      <c r="U42" s="16"/>
      <c r="V42" s="16"/>
      <c r="Y42" s="9">
        <f t="shared" si="1"/>
        <v>-24</v>
      </c>
    </row>
    <row r="43" spans="4:25" x14ac:dyDescent="0.55000000000000004">
      <c r="D43" s="6">
        <v>40</v>
      </c>
      <c r="E43" s="6"/>
      <c r="F43" s="6">
        <f t="shared" si="8"/>
        <v>8</v>
      </c>
      <c r="G43" s="6" t="str">
        <f t="shared" ref="G43" si="30">E43&amp;F43</f>
        <v>8</v>
      </c>
      <c r="H43" s="6">
        <f t="shared" si="9"/>
        <v>6</v>
      </c>
      <c r="I43" s="1"/>
      <c r="J43" s="1"/>
      <c r="K43" s="1" t="s">
        <v>96</v>
      </c>
      <c r="L43" s="1" t="s">
        <v>112</v>
      </c>
      <c r="M43" s="1"/>
      <c r="N43" s="15" t="s">
        <v>132</v>
      </c>
      <c r="O43" s="15"/>
      <c r="P43" s="15"/>
      <c r="Q43" s="15"/>
      <c r="R43" s="15"/>
      <c r="S43" s="16"/>
      <c r="T43" s="16"/>
      <c r="U43" s="16"/>
      <c r="V43" s="16"/>
      <c r="Y43" s="9">
        <f t="shared" si="1"/>
        <v>-24</v>
      </c>
    </row>
    <row r="44" spans="4:25" x14ac:dyDescent="0.55000000000000004">
      <c r="D44" s="6">
        <v>41</v>
      </c>
      <c r="E44" s="6"/>
      <c r="F44" s="6">
        <f>F38+1</f>
        <v>9</v>
      </c>
      <c r="G44" s="6" t="str">
        <f t="shared" si="0"/>
        <v>9</v>
      </c>
      <c r="H44" s="6">
        <f>H38</f>
        <v>1</v>
      </c>
      <c r="I44" s="1"/>
      <c r="J44" s="1"/>
      <c r="K44" s="1" t="s">
        <v>68</v>
      </c>
      <c r="L44" s="1" t="s">
        <v>101</v>
      </c>
      <c r="M44" s="1"/>
      <c r="N44" s="15" t="s">
        <v>101</v>
      </c>
      <c r="O44" s="15"/>
      <c r="P44" s="15"/>
      <c r="Q44" s="15"/>
      <c r="R44" s="15"/>
      <c r="S44" s="16"/>
      <c r="T44" s="16"/>
      <c r="U44" s="16"/>
      <c r="V44" s="16"/>
      <c r="Y44" s="9">
        <f t="shared" si="1"/>
        <v>-24</v>
      </c>
    </row>
    <row r="45" spans="4:25" x14ac:dyDescent="0.55000000000000004">
      <c r="D45" s="6">
        <v>42</v>
      </c>
      <c r="E45" s="6"/>
      <c r="F45" s="6">
        <f t="shared" ref="F45" si="31">F44</f>
        <v>9</v>
      </c>
      <c r="G45" s="6" t="str">
        <f t="shared" si="0"/>
        <v>9</v>
      </c>
      <c r="H45" s="6">
        <f t="shared" ref="H45" si="32">H44+1</f>
        <v>2</v>
      </c>
      <c r="I45" s="1"/>
      <c r="J45" s="1"/>
      <c r="K45" s="1" t="s">
        <v>76</v>
      </c>
      <c r="L45" s="1" t="s">
        <v>108</v>
      </c>
      <c r="M45" s="1"/>
      <c r="N45" s="15" t="s">
        <v>108</v>
      </c>
      <c r="O45" s="15"/>
      <c r="P45" s="15"/>
      <c r="Q45" s="15"/>
      <c r="R45" s="15"/>
      <c r="S45" s="16"/>
      <c r="T45" s="16"/>
      <c r="U45" s="16"/>
      <c r="V45" s="16"/>
      <c r="Y45" s="9">
        <f t="shared" si="1"/>
        <v>-24</v>
      </c>
    </row>
    <row r="46" spans="4:25" x14ac:dyDescent="0.55000000000000004">
      <c r="D46" s="6">
        <v>43</v>
      </c>
      <c r="E46" s="6"/>
      <c r="F46" s="6">
        <f t="shared" si="8"/>
        <v>9</v>
      </c>
      <c r="G46" s="6" t="str">
        <f t="shared" si="0"/>
        <v>9</v>
      </c>
      <c r="H46" s="6">
        <f t="shared" si="9"/>
        <v>3</v>
      </c>
      <c r="I46" s="1"/>
      <c r="J46" s="1"/>
      <c r="K46" s="1" t="s">
        <v>78</v>
      </c>
      <c r="L46" s="1" t="s">
        <v>113</v>
      </c>
      <c r="M46" s="1"/>
      <c r="N46" s="15" t="s">
        <v>113</v>
      </c>
      <c r="O46" s="15"/>
      <c r="P46" s="15"/>
      <c r="Q46" s="15"/>
      <c r="R46" s="15"/>
      <c r="S46" s="16"/>
      <c r="T46" s="16"/>
      <c r="U46" s="16"/>
      <c r="V46" s="16"/>
      <c r="Y46" s="9">
        <f t="shared" si="1"/>
        <v>-24</v>
      </c>
    </row>
    <row r="47" spans="4:25" x14ac:dyDescent="0.55000000000000004">
      <c r="D47" s="6">
        <v>44</v>
      </c>
      <c r="E47" s="6"/>
      <c r="F47" s="6">
        <f t="shared" si="8"/>
        <v>9</v>
      </c>
      <c r="G47" s="6" t="str">
        <f t="shared" si="0"/>
        <v>9</v>
      </c>
      <c r="H47" s="6">
        <f t="shared" si="9"/>
        <v>4</v>
      </c>
      <c r="I47" s="1"/>
      <c r="J47" s="1"/>
      <c r="K47" s="1" t="s">
        <v>79</v>
      </c>
      <c r="L47" s="1" t="s">
        <v>114</v>
      </c>
      <c r="M47" s="1"/>
      <c r="N47" s="15" t="s">
        <v>133</v>
      </c>
      <c r="O47" s="21"/>
      <c r="P47" s="15"/>
      <c r="Q47" s="15"/>
      <c r="R47" s="15"/>
      <c r="S47" s="16"/>
      <c r="T47" s="16"/>
      <c r="U47" s="16"/>
      <c r="V47" s="16"/>
      <c r="Y47" s="9">
        <f t="shared" si="1"/>
        <v>-24</v>
      </c>
    </row>
    <row r="48" spans="4:25" x14ac:dyDescent="0.55000000000000004">
      <c r="D48" s="6">
        <v>45</v>
      </c>
      <c r="E48" s="6"/>
      <c r="F48" s="6">
        <f t="shared" si="8"/>
        <v>9</v>
      </c>
      <c r="G48" s="6" t="str">
        <f t="shared" si="0"/>
        <v>9</v>
      </c>
      <c r="H48" s="6">
        <f t="shared" si="9"/>
        <v>5</v>
      </c>
      <c r="I48" s="1"/>
      <c r="J48" s="1"/>
      <c r="K48" s="1" t="s">
        <v>81</v>
      </c>
      <c r="L48" s="1" t="s">
        <v>82</v>
      </c>
      <c r="M48" s="1"/>
      <c r="N48" s="15" t="s">
        <v>82</v>
      </c>
      <c r="O48" s="15"/>
      <c r="P48" s="15"/>
      <c r="Q48" s="15"/>
      <c r="R48" s="15"/>
      <c r="S48" s="16"/>
      <c r="T48" s="16"/>
      <c r="U48" s="16"/>
      <c r="V48" s="16"/>
      <c r="Y48" s="9">
        <f t="shared" si="1"/>
        <v>-24</v>
      </c>
    </row>
    <row r="49" spans="4:25" x14ac:dyDescent="0.55000000000000004">
      <c r="D49" s="6">
        <v>46</v>
      </c>
      <c r="E49" s="6"/>
      <c r="F49" s="6">
        <f t="shared" ref="F49" si="33">F44+1</f>
        <v>10</v>
      </c>
      <c r="G49" s="6" t="str">
        <f t="shared" si="0"/>
        <v>10</v>
      </c>
      <c r="H49" s="6">
        <f t="shared" ref="H49" si="34">H44</f>
        <v>1</v>
      </c>
      <c r="I49" s="1"/>
      <c r="J49" s="1"/>
      <c r="K49" s="1" t="s">
        <v>68</v>
      </c>
      <c r="L49" s="1" t="s">
        <v>101</v>
      </c>
      <c r="M49" s="1"/>
      <c r="N49" s="15" t="s">
        <v>101</v>
      </c>
      <c r="O49" s="15"/>
      <c r="P49" s="15"/>
      <c r="Q49" s="15"/>
      <c r="R49" s="15"/>
      <c r="S49" s="16"/>
      <c r="T49" s="16"/>
      <c r="U49" s="16"/>
      <c r="V49" s="16"/>
      <c r="Y49" s="9">
        <f t="shared" si="1"/>
        <v>-24</v>
      </c>
    </row>
    <row r="50" spans="4:25" x14ac:dyDescent="0.55000000000000004">
      <c r="D50" s="6">
        <v>47</v>
      </c>
      <c r="E50" s="6"/>
      <c r="F50" s="6">
        <f t="shared" ref="F50" si="35">F49</f>
        <v>10</v>
      </c>
      <c r="G50" s="6" t="str">
        <f t="shared" si="0"/>
        <v>10</v>
      </c>
      <c r="H50" s="6">
        <f t="shared" ref="H50" si="36">H49+1</f>
        <v>2</v>
      </c>
      <c r="I50" s="1"/>
      <c r="J50" s="1"/>
      <c r="K50" s="1" t="s">
        <v>81</v>
      </c>
      <c r="L50" s="1" t="s">
        <v>82</v>
      </c>
      <c r="M50" s="1"/>
      <c r="N50" s="15" t="s">
        <v>82</v>
      </c>
      <c r="O50" s="15"/>
      <c r="P50" s="15"/>
      <c r="Q50" s="15"/>
      <c r="R50" s="15"/>
      <c r="S50" s="16"/>
      <c r="T50" s="16"/>
      <c r="U50" s="16"/>
      <c r="V50" s="16"/>
      <c r="Y50" s="9">
        <f t="shared" si="1"/>
        <v>-24</v>
      </c>
    </row>
    <row r="51" spans="4:25" x14ac:dyDescent="0.55000000000000004">
      <c r="D51" s="6">
        <v>48</v>
      </c>
      <c r="E51" s="6"/>
      <c r="F51" s="6">
        <f t="shared" si="8"/>
        <v>10</v>
      </c>
      <c r="G51" s="6" t="str">
        <f t="shared" si="0"/>
        <v>10</v>
      </c>
      <c r="H51" s="6">
        <f t="shared" si="9"/>
        <v>3</v>
      </c>
      <c r="I51" s="1"/>
      <c r="J51" s="1"/>
      <c r="K51" s="1" t="s">
        <v>81</v>
      </c>
      <c r="L51" s="1" t="s">
        <v>82</v>
      </c>
      <c r="M51" s="1"/>
      <c r="N51" s="15" t="s">
        <v>82</v>
      </c>
      <c r="O51" s="15"/>
      <c r="P51" s="15"/>
      <c r="Q51" s="15"/>
      <c r="R51" s="15"/>
      <c r="S51" s="16"/>
      <c r="T51" s="16"/>
      <c r="U51" s="16"/>
      <c r="V51" s="16"/>
      <c r="Y51" s="9">
        <f t="shared" si="1"/>
        <v>-24</v>
      </c>
    </row>
    <row r="52" spans="4:25" x14ac:dyDescent="0.55000000000000004">
      <c r="D52" s="6">
        <v>49</v>
      </c>
      <c r="E52" s="6"/>
      <c r="F52" s="6">
        <f t="shared" si="8"/>
        <v>10</v>
      </c>
      <c r="G52" s="6" t="str">
        <f t="shared" si="0"/>
        <v>10</v>
      </c>
      <c r="H52" s="6">
        <f t="shared" si="9"/>
        <v>4</v>
      </c>
      <c r="I52" s="1"/>
      <c r="J52" s="1"/>
      <c r="K52" s="1" t="s">
        <v>81</v>
      </c>
      <c r="L52" s="1" t="s">
        <v>82</v>
      </c>
      <c r="M52" s="1"/>
      <c r="N52" s="15" t="s">
        <v>82</v>
      </c>
      <c r="O52" s="15"/>
      <c r="P52" s="15"/>
      <c r="Q52" s="15"/>
      <c r="R52" s="15"/>
      <c r="S52" s="16"/>
      <c r="T52" s="16"/>
      <c r="U52" s="16"/>
      <c r="V52" s="16"/>
      <c r="Y52" s="9">
        <f t="shared" si="1"/>
        <v>-24</v>
      </c>
    </row>
    <row r="53" spans="4:25" x14ac:dyDescent="0.55000000000000004">
      <c r="D53" s="6">
        <v>50</v>
      </c>
      <c r="E53" s="6"/>
      <c r="F53" s="6">
        <f t="shared" si="8"/>
        <v>10</v>
      </c>
      <c r="G53" s="6" t="str">
        <f t="shared" si="0"/>
        <v>10</v>
      </c>
      <c r="H53" s="6">
        <f t="shared" si="9"/>
        <v>5</v>
      </c>
      <c r="I53" s="1"/>
      <c r="J53" s="1"/>
      <c r="K53" s="1" t="s">
        <v>81</v>
      </c>
      <c r="L53" s="1" t="s">
        <v>82</v>
      </c>
      <c r="M53" s="1"/>
      <c r="N53" s="15" t="s">
        <v>82</v>
      </c>
      <c r="O53" s="15"/>
      <c r="P53" s="15"/>
      <c r="Q53" s="15"/>
      <c r="R53" s="15"/>
      <c r="S53" s="16"/>
      <c r="T53" s="16"/>
      <c r="U53" s="16"/>
      <c r="V53" s="16"/>
      <c r="Y53" s="9">
        <f t="shared" si="1"/>
        <v>-24</v>
      </c>
    </row>
    <row r="54" spans="4:25" x14ac:dyDescent="0.55000000000000004">
      <c r="D54" s="6">
        <v>51</v>
      </c>
      <c r="E54" s="6"/>
      <c r="F54" s="6">
        <f t="shared" ref="F54" si="37">F49+1</f>
        <v>11</v>
      </c>
      <c r="G54" s="6" t="str">
        <f t="shared" si="0"/>
        <v>11</v>
      </c>
      <c r="H54" s="6">
        <f t="shared" ref="H54" si="38">H49</f>
        <v>1</v>
      </c>
      <c r="I54" s="1"/>
      <c r="J54" s="1"/>
      <c r="K54" s="1" t="s">
        <v>68</v>
      </c>
      <c r="L54" s="1" t="s">
        <v>101</v>
      </c>
      <c r="M54" s="1"/>
      <c r="N54" s="15" t="s">
        <v>101</v>
      </c>
      <c r="O54" s="15"/>
      <c r="P54" s="15"/>
      <c r="Q54" s="15"/>
      <c r="R54" s="15"/>
      <c r="S54" s="16"/>
      <c r="T54" s="16"/>
      <c r="U54" s="16"/>
      <c r="V54" s="16"/>
      <c r="Y54" s="9">
        <f t="shared" si="1"/>
        <v>-24</v>
      </c>
    </row>
    <row r="55" spans="4:25" x14ac:dyDescent="0.55000000000000004">
      <c r="D55" s="6">
        <v>52</v>
      </c>
      <c r="E55" s="6"/>
      <c r="F55" s="6">
        <f t="shared" ref="F55" si="39">F54</f>
        <v>11</v>
      </c>
      <c r="G55" s="6" t="str">
        <f t="shared" si="0"/>
        <v>11</v>
      </c>
      <c r="H55" s="6">
        <f t="shared" ref="H55" si="40">H54+1</f>
        <v>2</v>
      </c>
      <c r="I55" s="1"/>
      <c r="J55" s="1"/>
      <c r="K55" s="1" t="s">
        <v>80</v>
      </c>
      <c r="L55" s="1" t="s">
        <v>115</v>
      </c>
      <c r="M55" s="1"/>
      <c r="N55" s="15" t="s">
        <v>134</v>
      </c>
      <c r="O55" s="15"/>
      <c r="P55" s="15"/>
      <c r="Q55" s="15"/>
      <c r="R55" s="15"/>
      <c r="S55" s="16"/>
      <c r="T55" s="16"/>
      <c r="U55" s="16"/>
      <c r="V55" s="16"/>
      <c r="Y55" s="9">
        <f t="shared" si="1"/>
        <v>-24</v>
      </c>
    </row>
    <row r="56" spans="4:25" x14ac:dyDescent="0.55000000000000004">
      <c r="D56" s="6">
        <v>53</v>
      </c>
      <c r="E56" s="6"/>
      <c r="F56" s="6">
        <f t="shared" si="8"/>
        <v>11</v>
      </c>
      <c r="G56" s="6" t="str">
        <f t="shared" si="0"/>
        <v>11</v>
      </c>
      <c r="H56" s="6">
        <f t="shared" si="9"/>
        <v>3</v>
      </c>
      <c r="I56" s="1"/>
      <c r="J56" s="1"/>
      <c r="K56" s="1" t="s">
        <v>81</v>
      </c>
      <c r="L56" s="1" t="s">
        <v>82</v>
      </c>
      <c r="M56" s="1"/>
      <c r="N56" s="15" t="s">
        <v>82</v>
      </c>
      <c r="O56" s="15"/>
      <c r="P56" s="15"/>
      <c r="Q56" s="15"/>
      <c r="R56" s="15"/>
      <c r="S56" s="16"/>
      <c r="T56" s="16"/>
      <c r="U56" s="16"/>
      <c r="V56" s="16"/>
      <c r="Y56" s="9">
        <f t="shared" si="1"/>
        <v>-24</v>
      </c>
    </row>
    <row r="57" spans="4:25" x14ac:dyDescent="0.55000000000000004">
      <c r="D57" s="6">
        <v>54</v>
      </c>
      <c r="E57" s="6"/>
      <c r="F57" s="6">
        <f t="shared" si="8"/>
        <v>11</v>
      </c>
      <c r="G57" s="6" t="str">
        <f t="shared" si="0"/>
        <v>11</v>
      </c>
      <c r="H57" s="6">
        <f t="shared" si="9"/>
        <v>4</v>
      </c>
      <c r="I57" s="1"/>
      <c r="J57" s="1"/>
      <c r="K57" s="1" t="s">
        <v>81</v>
      </c>
      <c r="L57" s="1" t="s">
        <v>82</v>
      </c>
      <c r="M57" s="1"/>
      <c r="N57" s="15" t="s">
        <v>82</v>
      </c>
      <c r="O57" s="15"/>
      <c r="P57" s="15"/>
      <c r="Q57" s="15"/>
      <c r="R57" s="15"/>
      <c r="S57" s="16"/>
      <c r="T57" s="16"/>
      <c r="U57" s="16"/>
      <c r="V57" s="16"/>
      <c r="Y57" s="9">
        <f t="shared" si="1"/>
        <v>-24</v>
      </c>
    </row>
    <row r="58" spans="4:25" x14ac:dyDescent="0.55000000000000004">
      <c r="D58" s="6">
        <v>55</v>
      </c>
      <c r="E58" s="6"/>
      <c r="F58" s="6">
        <f t="shared" si="8"/>
        <v>11</v>
      </c>
      <c r="G58" s="6" t="str">
        <f t="shared" si="0"/>
        <v>11</v>
      </c>
      <c r="H58" s="6">
        <f t="shared" si="9"/>
        <v>5</v>
      </c>
      <c r="I58" s="1"/>
      <c r="J58" s="1"/>
      <c r="K58" s="1" t="s">
        <v>81</v>
      </c>
      <c r="L58" s="1" t="s">
        <v>82</v>
      </c>
      <c r="M58" s="1"/>
      <c r="N58" s="15" t="s">
        <v>82</v>
      </c>
      <c r="O58" s="15"/>
      <c r="P58" s="15"/>
      <c r="Q58" s="15"/>
      <c r="R58" s="15"/>
      <c r="S58" s="16"/>
      <c r="T58" s="16"/>
      <c r="U58" s="16"/>
      <c r="V58" s="16"/>
      <c r="Y58" s="9">
        <f t="shared" si="1"/>
        <v>-24</v>
      </c>
    </row>
    <row r="59" spans="4:25" x14ac:dyDescent="0.55000000000000004">
      <c r="D59" s="6">
        <v>56</v>
      </c>
      <c r="E59" s="6"/>
      <c r="F59" s="6">
        <f t="shared" ref="F59" si="41">F54+1</f>
        <v>12</v>
      </c>
      <c r="G59" s="6" t="str">
        <f t="shared" si="0"/>
        <v>12</v>
      </c>
      <c r="H59" s="6">
        <f t="shared" ref="H59" si="42">H54</f>
        <v>1</v>
      </c>
      <c r="I59" s="1"/>
      <c r="J59" s="1"/>
      <c r="K59" s="1" t="s">
        <v>68</v>
      </c>
      <c r="L59" s="1" t="s">
        <v>101</v>
      </c>
      <c r="M59" s="1"/>
      <c r="N59" s="15" t="s">
        <v>101</v>
      </c>
      <c r="O59" s="15"/>
      <c r="P59" s="15"/>
      <c r="Q59" s="15"/>
      <c r="R59" s="15"/>
      <c r="S59" s="16"/>
      <c r="T59" s="16"/>
      <c r="U59" s="16"/>
      <c r="V59" s="16"/>
      <c r="Y59" s="9">
        <f t="shared" si="1"/>
        <v>-24</v>
      </c>
    </row>
    <row r="60" spans="4:25" x14ac:dyDescent="0.55000000000000004">
      <c r="D60" s="6">
        <v>57</v>
      </c>
      <c r="E60" s="6"/>
      <c r="F60" s="6">
        <f t="shared" ref="F60" si="43">F59</f>
        <v>12</v>
      </c>
      <c r="G60" s="6" t="str">
        <f t="shared" si="0"/>
        <v>12</v>
      </c>
      <c r="H60" s="6">
        <f t="shared" ref="H60" si="44">H59+1</f>
        <v>2</v>
      </c>
      <c r="I60" s="1"/>
      <c r="J60" s="1"/>
      <c r="K60" s="1" t="s">
        <v>81</v>
      </c>
      <c r="L60" s="1" t="s">
        <v>82</v>
      </c>
      <c r="M60" s="1"/>
      <c r="N60" s="15" t="s">
        <v>82</v>
      </c>
      <c r="O60" s="15"/>
      <c r="P60" s="15"/>
      <c r="Q60" s="15"/>
      <c r="R60" s="15"/>
      <c r="S60" s="16"/>
      <c r="T60" s="16"/>
      <c r="U60" s="16"/>
      <c r="V60" s="16"/>
      <c r="Y60" s="9">
        <f t="shared" si="1"/>
        <v>-24</v>
      </c>
    </row>
    <row r="61" spans="4:25" x14ac:dyDescent="0.55000000000000004">
      <c r="D61" s="6">
        <v>58</v>
      </c>
      <c r="E61" s="6"/>
      <c r="F61" s="6">
        <f t="shared" si="8"/>
        <v>12</v>
      </c>
      <c r="G61" s="6" t="str">
        <f t="shared" si="0"/>
        <v>12</v>
      </c>
      <c r="H61" s="6">
        <f t="shared" si="9"/>
        <v>3</v>
      </c>
      <c r="I61" s="1"/>
      <c r="J61" s="1"/>
      <c r="K61" s="1" t="s">
        <v>81</v>
      </c>
      <c r="L61" s="1" t="s">
        <v>82</v>
      </c>
      <c r="M61" s="1"/>
      <c r="N61" s="15" t="s">
        <v>82</v>
      </c>
      <c r="O61" s="15"/>
      <c r="P61" s="15"/>
      <c r="Q61" s="15"/>
      <c r="R61" s="15"/>
      <c r="S61" s="16"/>
      <c r="T61" s="16"/>
      <c r="U61" s="16"/>
      <c r="V61" s="16"/>
      <c r="Y61" s="9">
        <f t="shared" si="1"/>
        <v>-24</v>
      </c>
    </row>
    <row r="62" spans="4:25" x14ac:dyDescent="0.55000000000000004">
      <c r="D62" s="6">
        <v>59</v>
      </c>
      <c r="E62" s="6"/>
      <c r="F62" s="6">
        <f t="shared" si="8"/>
        <v>12</v>
      </c>
      <c r="G62" s="6" t="str">
        <f t="shared" si="0"/>
        <v>12</v>
      </c>
      <c r="H62" s="6">
        <f t="shared" si="9"/>
        <v>4</v>
      </c>
      <c r="I62" s="1"/>
      <c r="J62" s="1"/>
      <c r="K62" s="1" t="s">
        <v>81</v>
      </c>
      <c r="L62" s="1" t="s">
        <v>82</v>
      </c>
      <c r="M62" s="1"/>
      <c r="N62" s="15" t="s">
        <v>82</v>
      </c>
      <c r="O62" s="15"/>
      <c r="P62" s="15"/>
      <c r="Q62" s="15"/>
      <c r="R62" s="15"/>
      <c r="S62" s="16"/>
      <c r="T62" s="16"/>
      <c r="U62" s="16"/>
      <c r="V62" s="16"/>
      <c r="Y62" s="9">
        <f t="shared" si="1"/>
        <v>-24</v>
      </c>
    </row>
    <row r="63" spans="4:25" x14ac:dyDescent="0.55000000000000004">
      <c r="D63" s="6">
        <v>60</v>
      </c>
      <c r="E63" s="6"/>
      <c r="F63" s="6">
        <f t="shared" si="8"/>
        <v>12</v>
      </c>
      <c r="G63" s="6" t="str">
        <f t="shared" si="0"/>
        <v>12</v>
      </c>
      <c r="H63" s="6">
        <f t="shared" si="9"/>
        <v>5</v>
      </c>
      <c r="I63" s="1"/>
      <c r="J63" s="1"/>
      <c r="K63" s="1" t="s">
        <v>81</v>
      </c>
      <c r="L63" s="1" t="s">
        <v>82</v>
      </c>
      <c r="M63" s="1"/>
      <c r="N63" s="15" t="s">
        <v>82</v>
      </c>
      <c r="O63" s="15"/>
      <c r="P63" s="15"/>
      <c r="Q63" s="15"/>
      <c r="R63" s="15"/>
      <c r="S63" s="16"/>
      <c r="T63" s="16"/>
      <c r="U63" s="16"/>
      <c r="V63" s="16"/>
      <c r="Y63" s="9">
        <f t="shared" si="1"/>
        <v>-24</v>
      </c>
    </row>
    <row r="64" spans="4:25" x14ac:dyDescent="0.55000000000000004">
      <c r="D64" s="6">
        <v>61</v>
      </c>
      <c r="E64" s="6"/>
      <c r="F64" s="6">
        <f t="shared" ref="F64:F94" si="45">F59+1</f>
        <v>13</v>
      </c>
      <c r="G64" s="6" t="str">
        <f t="shared" si="0"/>
        <v>13</v>
      </c>
      <c r="H64" s="6">
        <f t="shared" ref="H64" si="46">H59</f>
        <v>1</v>
      </c>
      <c r="I64" s="1"/>
      <c r="J64" s="1"/>
      <c r="K64" s="1" t="s">
        <v>68</v>
      </c>
      <c r="L64" s="1" t="s">
        <v>101</v>
      </c>
      <c r="M64" s="1"/>
      <c r="N64" s="15" t="s">
        <v>101</v>
      </c>
      <c r="O64" s="15"/>
      <c r="P64" s="15"/>
      <c r="Q64" s="15"/>
      <c r="R64" s="15"/>
      <c r="S64" s="16"/>
      <c r="T64" s="16"/>
      <c r="U64" s="16"/>
      <c r="V64" s="16"/>
      <c r="Y64" s="9">
        <f t="shared" si="1"/>
        <v>-24</v>
      </c>
    </row>
    <row r="65" spans="4:25" x14ac:dyDescent="0.55000000000000004">
      <c r="D65" s="6">
        <v>62</v>
      </c>
      <c r="E65" s="6"/>
      <c r="F65" s="6">
        <f t="shared" ref="F65:F95" si="47">F64</f>
        <v>13</v>
      </c>
      <c r="G65" s="6" t="str">
        <f t="shared" si="0"/>
        <v>13</v>
      </c>
      <c r="H65" s="6">
        <f t="shared" ref="H65" si="48">H64+1</f>
        <v>2</v>
      </c>
      <c r="I65" s="1"/>
      <c r="J65" s="1"/>
      <c r="K65" s="1" t="s">
        <v>81</v>
      </c>
      <c r="L65" s="1" t="s">
        <v>82</v>
      </c>
      <c r="M65" s="1"/>
      <c r="N65" s="15" t="s">
        <v>82</v>
      </c>
      <c r="O65" s="15"/>
      <c r="P65" s="15"/>
      <c r="Q65" s="15"/>
      <c r="R65" s="15"/>
      <c r="S65" s="16"/>
      <c r="T65" s="16"/>
      <c r="U65" s="16"/>
      <c r="V65" s="16"/>
      <c r="Y65" s="9">
        <f t="shared" si="1"/>
        <v>-24</v>
      </c>
    </row>
    <row r="66" spans="4:25" x14ac:dyDescent="0.55000000000000004">
      <c r="D66" s="6">
        <v>63</v>
      </c>
      <c r="E66" s="6"/>
      <c r="F66" s="6">
        <f t="shared" si="8"/>
        <v>13</v>
      </c>
      <c r="G66" s="6" t="str">
        <f t="shared" si="0"/>
        <v>13</v>
      </c>
      <c r="H66" s="6">
        <f t="shared" si="9"/>
        <v>3</v>
      </c>
      <c r="I66" s="1"/>
      <c r="J66" s="1"/>
      <c r="K66" s="1" t="s">
        <v>81</v>
      </c>
      <c r="L66" s="1" t="s">
        <v>82</v>
      </c>
      <c r="M66" s="1"/>
      <c r="N66" s="15" t="s">
        <v>82</v>
      </c>
      <c r="O66" s="15"/>
      <c r="P66" s="15"/>
      <c r="Q66" s="15"/>
      <c r="R66" s="15"/>
      <c r="S66" s="16"/>
      <c r="T66" s="16"/>
      <c r="U66" s="16"/>
      <c r="V66" s="16"/>
      <c r="Y66" s="9">
        <f t="shared" si="1"/>
        <v>-24</v>
      </c>
    </row>
    <row r="67" spans="4:25" x14ac:dyDescent="0.55000000000000004">
      <c r="D67" s="6">
        <v>64</v>
      </c>
      <c r="E67" s="6"/>
      <c r="F67" s="6">
        <f t="shared" si="8"/>
        <v>13</v>
      </c>
      <c r="G67" s="6" t="str">
        <f t="shared" si="0"/>
        <v>13</v>
      </c>
      <c r="H67" s="6">
        <f t="shared" si="9"/>
        <v>4</v>
      </c>
      <c r="I67" s="1"/>
      <c r="J67" s="1"/>
      <c r="K67" s="1" t="s">
        <v>81</v>
      </c>
      <c r="L67" s="1" t="s">
        <v>82</v>
      </c>
      <c r="M67" s="1"/>
      <c r="N67" s="15" t="s">
        <v>82</v>
      </c>
      <c r="O67" s="15"/>
      <c r="P67" s="15"/>
      <c r="Q67" s="15"/>
      <c r="R67" s="15"/>
      <c r="S67" s="16"/>
      <c r="T67" s="16"/>
      <c r="U67" s="16"/>
      <c r="V67" s="16"/>
      <c r="Y67" s="9">
        <f t="shared" si="1"/>
        <v>-24</v>
      </c>
    </row>
    <row r="68" spans="4:25" x14ac:dyDescent="0.55000000000000004">
      <c r="D68" s="6">
        <v>65</v>
      </c>
      <c r="E68" s="6"/>
      <c r="F68" s="6">
        <f t="shared" si="8"/>
        <v>13</v>
      </c>
      <c r="G68" s="6" t="str">
        <f t="shared" si="0"/>
        <v>13</v>
      </c>
      <c r="H68" s="6">
        <f t="shared" si="9"/>
        <v>5</v>
      </c>
      <c r="I68" s="1"/>
      <c r="J68" s="1"/>
      <c r="K68" s="1" t="s">
        <v>81</v>
      </c>
      <c r="L68" s="1" t="s">
        <v>82</v>
      </c>
      <c r="M68" s="1"/>
      <c r="N68" s="15" t="s">
        <v>82</v>
      </c>
      <c r="O68" s="15"/>
      <c r="P68" s="15"/>
      <c r="Q68" s="15"/>
      <c r="R68" s="15"/>
      <c r="S68" s="16"/>
      <c r="T68" s="16"/>
      <c r="U68" s="16"/>
      <c r="V68" s="16"/>
      <c r="Y68" s="9">
        <f t="shared" ref="Y68:Y99" si="49">LENB(M68)-$B$3</f>
        <v>-24</v>
      </c>
    </row>
    <row r="69" spans="4:25" x14ac:dyDescent="0.55000000000000004">
      <c r="D69" s="6">
        <v>66</v>
      </c>
      <c r="E69" s="6"/>
      <c r="F69" s="6">
        <f t="shared" si="45"/>
        <v>14</v>
      </c>
      <c r="G69" s="6" t="str">
        <f t="shared" ref="G69:G98" si="50">E69&amp;F69</f>
        <v>14</v>
      </c>
      <c r="H69" s="6">
        <f t="shared" ref="H69" si="51">H64</f>
        <v>1</v>
      </c>
      <c r="I69" s="1"/>
      <c r="J69" s="1"/>
      <c r="K69" s="1" t="s">
        <v>68</v>
      </c>
      <c r="L69" s="1" t="s">
        <v>101</v>
      </c>
      <c r="M69" s="1"/>
      <c r="N69" s="15" t="s">
        <v>101</v>
      </c>
      <c r="O69" s="15"/>
      <c r="P69" s="15"/>
      <c r="Q69" s="15"/>
      <c r="R69" s="15"/>
      <c r="S69" s="16"/>
      <c r="T69" s="16"/>
      <c r="U69" s="16"/>
      <c r="V69" s="16"/>
      <c r="Y69" s="9">
        <f t="shared" si="49"/>
        <v>-24</v>
      </c>
    </row>
    <row r="70" spans="4:25" x14ac:dyDescent="0.55000000000000004">
      <c r="D70" s="6">
        <v>67</v>
      </c>
      <c r="E70" s="6"/>
      <c r="F70" s="6">
        <f t="shared" si="47"/>
        <v>14</v>
      </c>
      <c r="G70" s="6" t="str">
        <f t="shared" si="50"/>
        <v>14</v>
      </c>
      <c r="H70" s="6">
        <f t="shared" ref="H70" si="52">H69+1</f>
        <v>2</v>
      </c>
      <c r="I70" s="1"/>
      <c r="J70" s="1"/>
      <c r="K70" s="1" t="s">
        <v>86</v>
      </c>
      <c r="L70" s="1" t="s">
        <v>116</v>
      </c>
      <c r="M70" s="1"/>
      <c r="N70" s="15" t="s">
        <v>135</v>
      </c>
      <c r="O70" s="15"/>
      <c r="P70" s="15"/>
      <c r="Q70" s="15"/>
      <c r="R70" s="15"/>
      <c r="S70" s="16"/>
      <c r="T70" s="16"/>
      <c r="U70" s="16"/>
      <c r="V70" s="16"/>
      <c r="Y70" s="9">
        <f t="shared" si="49"/>
        <v>-24</v>
      </c>
    </row>
    <row r="71" spans="4:25" x14ac:dyDescent="0.55000000000000004">
      <c r="D71" s="6">
        <v>68</v>
      </c>
      <c r="E71" s="6"/>
      <c r="F71" s="6">
        <f t="shared" si="8"/>
        <v>14</v>
      </c>
      <c r="G71" s="6" t="str">
        <f t="shared" si="50"/>
        <v>14</v>
      </c>
      <c r="H71" s="6">
        <f t="shared" si="9"/>
        <v>3</v>
      </c>
      <c r="I71" s="1"/>
      <c r="J71" s="1"/>
      <c r="K71" s="1" t="s">
        <v>84</v>
      </c>
      <c r="L71" s="1" t="s">
        <v>117</v>
      </c>
      <c r="M71" s="1"/>
      <c r="N71" s="15" t="s">
        <v>136</v>
      </c>
      <c r="O71" s="15"/>
      <c r="P71" s="15"/>
      <c r="Q71" s="15"/>
      <c r="R71" s="15"/>
      <c r="S71" s="16"/>
      <c r="T71" s="16"/>
      <c r="U71" s="16"/>
      <c r="V71" s="16"/>
      <c r="Y71" s="9">
        <f t="shared" si="49"/>
        <v>-24</v>
      </c>
    </row>
    <row r="72" spans="4:25" x14ac:dyDescent="0.55000000000000004">
      <c r="D72" s="6">
        <v>69</v>
      </c>
      <c r="E72" s="6"/>
      <c r="F72" s="6">
        <f t="shared" si="8"/>
        <v>14</v>
      </c>
      <c r="G72" s="6" t="str">
        <f t="shared" si="50"/>
        <v>14</v>
      </c>
      <c r="H72" s="6">
        <f t="shared" si="9"/>
        <v>4</v>
      </c>
      <c r="I72" s="1"/>
      <c r="J72" s="1"/>
      <c r="K72" s="1" t="s">
        <v>85</v>
      </c>
      <c r="L72" s="1" t="s">
        <v>115</v>
      </c>
      <c r="M72" s="1"/>
      <c r="N72" s="15" t="s">
        <v>134</v>
      </c>
      <c r="O72" s="15"/>
      <c r="P72" s="15"/>
      <c r="Q72" s="15"/>
      <c r="R72" s="15"/>
      <c r="S72" s="16"/>
      <c r="T72" s="16"/>
      <c r="U72" s="16"/>
      <c r="V72" s="16"/>
      <c r="Y72" s="9">
        <f t="shared" si="49"/>
        <v>-24</v>
      </c>
    </row>
    <row r="73" spans="4:25" x14ac:dyDescent="0.55000000000000004">
      <c r="D73" s="6">
        <v>70</v>
      </c>
      <c r="E73" s="6"/>
      <c r="F73" s="6">
        <f t="shared" si="8"/>
        <v>14</v>
      </c>
      <c r="G73" s="6" t="str">
        <f t="shared" si="50"/>
        <v>14</v>
      </c>
      <c r="H73" s="6">
        <f t="shared" si="9"/>
        <v>5</v>
      </c>
      <c r="I73" s="1"/>
      <c r="J73" s="1"/>
      <c r="K73" s="1" t="s">
        <v>81</v>
      </c>
      <c r="L73" s="1" t="s">
        <v>82</v>
      </c>
      <c r="M73" s="1"/>
      <c r="N73" s="15" t="s">
        <v>82</v>
      </c>
      <c r="O73" s="15"/>
      <c r="P73" s="15"/>
      <c r="Q73" s="15"/>
      <c r="R73" s="15"/>
      <c r="S73" s="16"/>
      <c r="T73" s="16"/>
      <c r="U73" s="16"/>
      <c r="V73" s="16"/>
      <c r="Y73" s="9">
        <f t="shared" si="49"/>
        <v>-24</v>
      </c>
    </row>
    <row r="74" spans="4:25" x14ac:dyDescent="0.55000000000000004">
      <c r="D74" s="6">
        <v>71</v>
      </c>
      <c r="E74" s="6"/>
      <c r="F74" s="6">
        <f t="shared" si="45"/>
        <v>15</v>
      </c>
      <c r="G74" s="6" t="str">
        <f t="shared" si="50"/>
        <v>15</v>
      </c>
      <c r="H74" s="6">
        <f t="shared" ref="H74" si="53">H69</f>
        <v>1</v>
      </c>
      <c r="I74" s="1"/>
      <c r="J74" s="1"/>
      <c r="K74" s="1" t="s">
        <v>68</v>
      </c>
      <c r="L74" s="1" t="s">
        <v>101</v>
      </c>
      <c r="M74" s="1"/>
      <c r="N74" s="15" t="s">
        <v>101</v>
      </c>
      <c r="O74" s="15"/>
      <c r="P74" s="15"/>
      <c r="Q74" s="15"/>
      <c r="R74" s="15"/>
      <c r="S74" s="16"/>
      <c r="T74" s="16"/>
      <c r="U74" s="16"/>
      <c r="V74" s="16"/>
      <c r="Y74" s="9">
        <f t="shared" si="49"/>
        <v>-24</v>
      </c>
    </row>
    <row r="75" spans="4:25" x14ac:dyDescent="0.55000000000000004">
      <c r="D75" s="6">
        <v>72</v>
      </c>
      <c r="E75" s="6"/>
      <c r="F75" s="6">
        <f t="shared" si="47"/>
        <v>15</v>
      </c>
      <c r="G75" s="6" t="str">
        <f t="shared" si="50"/>
        <v>15</v>
      </c>
      <c r="H75" s="6">
        <f t="shared" ref="H75" si="54">H74+1</f>
        <v>2</v>
      </c>
      <c r="I75" s="1"/>
      <c r="J75" s="1"/>
      <c r="K75" s="1" t="s">
        <v>87</v>
      </c>
      <c r="L75" s="1" t="s">
        <v>118</v>
      </c>
      <c r="M75" s="1"/>
      <c r="N75" s="15" t="s">
        <v>124</v>
      </c>
      <c r="O75" s="15"/>
      <c r="P75" s="15"/>
      <c r="Q75" s="15"/>
      <c r="R75" s="15"/>
      <c r="S75" s="16"/>
      <c r="T75" s="16"/>
      <c r="U75" s="16"/>
      <c r="V75" s="16"/>
      <c r="Y75" s="9">
        <f t="shared" si="49"/>
        <v>-24</v>
      </c>
    </row>
    <row r="76" spans="4:25" x14ac:dyDescent="0.55000000000000004">
      <c r="D76" s="6">
        <v>73</v>
      </c>
      <c r="E76" s="6"/>
      <c r="F76" s="6">
        <f t="shared" si="8"/>
        <v>15</v>
      </c>
      <c r="G76" s="6" t="str">
        <f t="shared" si="50"/>
        <v>15</v>
      </c>
      <c r="H76" s="6">
        <f t="shared" si="9"/>
        <v>3</v>
      </c>
      <c r="I76" s="1"/>
      <c r="J76" s="1"/>
      <c r="K76" s="1" t="s">
        <v>93</v>
      </c>
      <c r="L76" s="1" t="s">
        <v>82</v>
      </c>
      <c r="M76" s="1"/>
      <c r="N76" s="15" t="s">
        <v>82</v>
      </c>
      <c r="O76" s="15"/>
      <c r="P76" s="15"/>
      <c r="Q76" s="15"/>
      <c r="R76" s="15"/>
      <c r="S76" s="16"/>
      <c r="T76" s="16"/>
      <c r="U76" s="16"/>
      <c r="V76" s="16"/>
      <c r="Y76" s="9">
        <f t="shared" si="49"/>
        <v>-24</v>
      </c>
    </row>
    <row r="77" spans="4:25" x14ac:dyDescent="0.55000000000000004">
      <c r="D77" s="6">
        <v>74</v>
      </c>
      <c r="E77" s="6"/>
      <c r="F77" s="6">
        <f t="shared" si="8"/>
        <v>15</v>
      </c>
      <c r="G77" s="6" t="str">
        <f t="shared" si="50"/>
        <v>15</v>
      </c>
      <c r="H77" s="6">
        <f t="shared" si="9"/>
        <v>4</v>
      </c>
      <c r="I77" s="1"/>
      <c r="J77" s="1"/>
      <c r="K77" s="1" t="s">
        <v>93</v>
      </c>
      <c r="L77" s="1" t="s">
        <v>82</v>
      </c>
      <c r="M77" s="1"/>
      <c r="N77" s="15" t="s">
        <v>82</v>
      </c>
      <c r="O77" s="15"/>
      <c r="P77" s="15"/>
      <c r="Q77" s="15"/>
      <c r="R77" s="15"/>
      <c r="S77" s="16"/>
      <c r="T77" s="16"/>
      <c r="U77" s="16"/>
      <c r="V77" s="16"/>
      <c r="Y77" s="9">
        <f t="shared" si="49"/>
        <v>-24</v>
      </c>
    </row>
    <row r="78" spans="4:25" x14ac:dyDescent="0.55000000000000004">
      <c r="D78" s="6">
        <v>75</v>
      </c>
      <c r="E78" s="6"/>
      <c r="F78" s="6">
        <f t="shared" si="8"/>
        <v>15</v>
      </c>
      <c r="G78" s="6" t="str">
        <f t="shared" si="50"/>
        <v>15</v>
      </c>
      <c r="H78" s="6">
        <f t="shared" si="9"/>
        <v>5</v>
      </c>
      <c r="I78" s="1"/>
      <c r="J78" s="1"/>
      <c r="K78" s="1" t="s">
        <v>93</v>
      </c>
      <c r="L78" s="1" t="s">
        <v>82</v>
      </c>
      <c r="M78" s="1"/>
      <c r="N78" s="15" t="s">
        <v>82</v>
      </c>
      <c r="O78" s="15"/>
      <c r="P78" s="15"/>
      <c r="Q78" s="15"/>
      <c r="R78" s="15"/>
      <c r="S78" s="16"/>
      <c r="T78" s="16"/>
      <c r="U78" s="16"/>
      <c r="V78" s="16"/>
      <c r="Y78" s="9">
        <f t="shared" si="49"/>
        <v>-24</v>
      </c>
    </row>
    <row r="79" spans="4:25" x14ac:dyDescent="0.55000000000000004">
      <c r="D79" s="6">
        <v>76</v>
      </c>
      <c r="E79" s="6"/>
      <c r="F79" s="6">
        <f t="shared" si="45"/>
        <v>16</v>
      </c>
      <c r="G79" s="6" t="str">
        <f t="shared" si="50"/>
        <v>16</v>
      </c>
      <c r="H79" s="6">
        <f t="shared" ref="H79" si="55">H74</f>
        <v>1</v>
      </c>
      <c r="I79" s="1"/>
      <c r="J79" s="1"/>
      <c r="K79" s="1" t="s">
        <v>93</v>
      </c>
      <c r="L79" s="1" t="s">
        <v>82</v>
      </c>
      <c r="M79" s="1"/>
      <c r="N79" s="15" t="s">
        <v>82</v>
      </c>
      <c r="O79" s="15"/>
      <c r="P79" s="15"/>
      <c r="Q79" s="15"/>
      <c r="R79" s="15"/>
      <c r="S79" s="16"/>
      <c r="T79" s="16"/>
      <c r="U79" s="16"/>
      <c r="V79" s="16"/>
      <c r="Y79" s="9">
        <f t="shared" si="49"/>
        <v>-24</v>
      </c>
    </row>
    <row r="80" spans="4:25" x14ac:dyDescent="0.55000000000000004">
      <c r="D80" s="6">
        <v>77</v>
      </c>
      <c r="E80" s="6"/>
      <c r="F80" s="6">
        <f t="shared" si="47"/>
        <v>16</v>
      </c>
      <c r="G80" s="6" t="str">
        <f t="shared" si="50"/>
        <v>16</v>
      </c>
      <c r="H80" s="6">
        <f t="shared" ref="H80:H98" si="56">H79+1</f>
        <v>2</v>
      </c>
      <c r="I80" s="1"/>
      <c r="J80" s="1"/>
      <c r="K80" s="1" t="s">
        <v>93</v>
      </c>
      <c r="L80" s="1" t="s">
        <v>82</v>
      </c>
      <c r="M80" s="1"/>
      <c r="N80" s="15" t="s">
        <v>82</v>
      </c>
      <c r="O80" s="15"/>
      <c r="P80" s="15"/>
      <c r="Q80" s="15"/>
      <c r="R80" s="15"/>
      <c r="S80" s="16"/>
      <c r="T80" s="16"/>
      <c r="U80" s="16"/>
      <c r="V80" s="16"/>
      <c r="Y80" s="9">
        <f t="shared" si="49"/>
        <v>-24</v>
      </c>
    </row>
    <row r="81" spans="4:25" x14ac:dyDescent="0.55000000000000004">
      <c r="D81" s="6">
        <v>78</v>
      </c>
      <c r="E81" s="6"/>
      <c r="F81" s="6">
        <f t="shared" si="8"/>
        <v>16</v>
      </c>
      <c r="G81" s="6" t="str">
        <f t="shared" si="50"/>
        <v>16</v>
      </c>
      <c r="H81" s="6">
        <f t="shared" si="56"/>
        <v>3</v>
      </c>
      <c r="I81" s="1"/>
      <c r="J81" s="1"/>
      <c r="K81" s="1" t="s">
        <v>93</v>
      </c>
      <c r="L81" s="1" t="s">
        <v>82</v>
      </c>
      <c r="M81" s="1"/>
      <c r="N81" s="15" t="s">
        <v>82</v>
      </c>
      <c r="O81" s="15"/>
      <c r="P81" s="15"/>
      <c r="Q81" s="15"/>
      <c r="R81" s="15"/>
      <c r="S81" s="16"/>
      <c r="T81" s="16"/>
      <c r="U81" s="16"/>
      <c r="V81" s="16"/>
      <c r="Y81" s="9">
        <f t="shared" si="49"/>
        <v>-24</v>
      </c>
    </row>
    <row r="82" spans="4:25" x14ac:dyDescent="0.55000000000000004">
      <c r="D82" s="6">
        <v>79</v>
      </c>
      <c r="E82" s="6"/>
      <c r="F82" s="6">
        <f t="shared" si="8"/>
        <v>16</v>
      </c>
      <c r="G82" s="6" t="str">
        <f t="shared" si="50"/>
        <v>16</v>
      </c>
      <c r="H82" s="6">
        <f t="shared" si="56"/>
        <v>4</v>
      </c>
      <c r="I82" s="1"/>
      <c r="J82" s="1"/>
      <c r="K82" s="1" t="s">
        <v>93</v>
      </c>
      <c r="L82" s="1" t="s">
        <v>82</v>
      </c>
      <c r="M82" s="1"/>
      <c r="N82" s="15" t="s">
        <v>82</v>
      </c>
      <c r="O82" s="15"/>
      <c r="P82" s="15"/>
      <c r="Q82" s="15"/>
      <c r="R82" s="15"/>
      <c r="S82" s="16"/>
      <c r="T82" s="16"/>
      <c r="U82" s="16"/>
      <c r="V82" s="16"/>
      <c r="Y82" s="9">
        <f t="shared" si="49"/>
        <v>-24</v>
      </c>
    </row>
    <row r="83" spans="4:25" x14ac:dyDescent="0.55000000000000004">
      <c r="D83" s="6">
        <v>80</v>
      </c>
      <c r="E83" s="6"/>
      <c r="F83" s="6">
        <f t="shared" si="8"/>
        <v>16</v>
      </c>
      <c r="G83" s="6" t="str">
        <f t="shared" si="50"/>
        <v>16</v>
      </c>
      <c r="H83" s="6">
        <f t="shared" si="56"/>
        <v>5</v>
      </c>
      <c r="I83" s="1"/>
      <c r="J83" s="1"/>
      <c r="K83" s="1" t="s">
        <v>93</v>
      </c>
      <c r="L83" s="1" t="s">
        <v>82</v>
      </c>
      <c r="M83" s="1"/>
      <c r="N83" s="15" t="s">
        <v>82</v>
      </c>
      <c r="O83" s="15"/>
      <c r="P83" s="15"/>
      <c r="Q83" s="15"/>
      <c r="R83" s="15"/>
      <c r="S83" s="16"/>
      <c r="T83" s="16"/>
      <c r="U83" s="16"/>
      <c r="V83" s="16"/>
      <c r="Y83" s="9">
        <f t="shared" si="49"/>
        <v>-24</v>
      </c>
    </row>
    <row r="84" spans="4:25" x14ac:dyDescent="0.55000000000000004">
      <c r="D84" s="6">
        <v>81</v>
      </c>
      <c r="E84" s="6"/>
      <c r="F84" s="6">
        <f t="shared" si="45"/>
        <v>17</v>
      </c>
      <c r="G84" s="6" t="str">
        <f t="shared" si="50"/>
        <v>17</v>
      </c>
      <c r="H84" s="6">
        <f t="shared" ref="H84" si="57">H79</f>
        <v>1</v>
      </c>
      <c r="I84" s="1"/>
      <c r="J84" s="1"/>
      <c r="K84" s="1" t="s">
        <v>88</v>
      </c>
      <c r="L84" s="1" t="s">
        <v>101</v>
      </c>
      <c r="M84" s="1"/>
      <c r="N84" s="15" t="s">
        <v>101</v>
      </c>
      <c r="O84" s="15"/>
      <c r="P84" s="15"/>
      <c r="Q84" s="15"/>
      <c r="R84" s="15"/>
      <c r="S84" s="16"/>
      <c r="T84" s="16"/>
      <c r="U84" s="16"/>
      <c r="V84" s="16"/>
      <c r="Y84" s="9">
        <f t="shared" si="49"/>
        <v>-24</v>
      </c>
    </row>
    <row r="85" spans="4:25" x14ac:dyDescent="0.55000000000000004">
      <c r="D85" s="6">
        <v>82</v>
      </c>
      <c r="E85" s="6"/>
      <c r="F85" s="6">
        <f t="shared" si="47"/>
        <v>17</v>
      </c>
      <c r="G85" s="6" t="str">
        <f t="shared" si="50"/>
        <v>17</v>
      </c>
      <c r="H85" s="6">
        <f t="shared" ref="H85" si="58">H84+1</f>
        <v>2</v>
      </c>
      <c r="I85" s="1"/>
      <c r="J85" s="1"/>
      <c r="K85" s="1" t="s">
        <v>90</v>
      </c>
      <c r="L85" s="1" t="s">
        <v>119</v>
      </c>
      <c r="M85" s="1"/>
      <c r="N85" s="15" t="s">
        <v>119</v>
      </c>
      <c r="O85" s="15"/>
      <c r="P85" s="15"/>
      <c r="Q85" s="15"/>
      <c r="R85" s="15"/>
      <c r="S85" s="16"/>
      <c r="T85" s="16"/>
      <c r="U85" s="16"/>
      <c r="V85" s="16"/>
      <c r="Y85" s="9">
        <f t="shared" si="49"/>
        <v>-24</v>
      </c>
    </row>
    <row r="86" spans="4:25" x14ac:dyDescent="0.55000000000000004">
      <c r="D86" s="6">
        <v>83</v>
      </c>
      <c r="E86" s="6"/>
      <c r="F86" s="6">
        <f t="shared" si="8"/>
        <v>17</v>
      </c>
      <c r="G86" s="6" t="str">
        <f t="shared" si="50"/>
        <v>17</v>
      </c>
      <c r="H86" s="6">
        <f t="shared" si="56"/>
        <v>3</v>
      </c>
      <c r="I86" s="1"/>
      <c r="J86" s="1"/>
      <c r="K86" s="1" t="s">
        <v>92</v>
      </c>
      <c r="L86" s="1" t="s">
        <v>120</v>
      </c>
      <c r="M86" s="1"/>
      <c r="N86" s="15" t="s">
        <v>137</v>
      </c>
      <c r="O86" s="15"/>
      <c r="P86" s="15"/>
      <c r="Q86" s="15"/>
      <c r="R86" s="15"/>
      <c r="S86" s="16"/>
      <c r="T86" s="16"/>
      <c r="U86" s="16"/>
      <c r="V86" s="16"/>
      <c r="Y86" s="9">
        <f t="shared" si="49"/>
        <v>-24</v>
      </c>
    </row>
    <row r="87" spans="4:25" x14ac:dyDescent="0.55000000000000004">
      <c r="D87" s="6">
        <v>84</v>
      </c>
      <c r="E87" s="6"/>
      <c r="F87" s="6">
        <f t="shared" si="8"/>
        <v>17</v>
      </c>
      <c r="G87" s="6" t="str">
        <f t="shared" si="50"/>
        <v>17</v>
      </c>
      <c r="H87" s="6">
        <f t="shared" si="56"/>
        <v>4</v>
      </c>
      <c r="I87" s="1"/>
      <c r="J87" s="1"/>
      <c r="K87" s="1" t="s">
        <v>94</v>
      </c>
      <c r="L87" s="1" t="s">
        <v>121</v>
      </c>
      <c r="M87" s="1"/>
      <c r="N87" s="15" t="s">
        <v>138</v>
      </c>
      <c r="O87" s="15"/>
      <c r="P87" s="15"/>
      <c r="Q87" s="15"/>
      <c r="R87" s="15"/>
      <c r="S87" s="16"/>
      <c r="T87" s="16"/>
      <c r="U87" s="16"/>
      <c r="V87" s="16"/>
      <c r="Y87" s="9">
        <f t="shared" si="49"/>
        <v>-24</v>
      </c>
    </row>
    <row r="88" spans="4:25" x14ac:dyDescent="0.55000000000000004">
      <c r="D88" s="6">
        <v>85</v>
      </c>
      <c r="E88" s="6"/>
      <c r="F88" s="6">
        <f t="shared" si="8"/>
        <v>17</v>
      </c>
      <c r="G88" s="6" t="str">
        <f t="shared" si="50"/>
        <v>17</v>
      </c>
      <c r="H88" s="6">
        <f t="shared" si="56"/>
        <v>5</v>
      </c>
      <c r="I88" s="1"/>
      <c r="J88" s="1"/>
      <c r="K88" s="1" t="s">
        <v>93</v>
      </c>
      <c r="L88" s="1" t="s">
        <v>82</v>
      </c>
      <c r="M88" s="1"/>
      <c r="N88" s="15" t="s">
        <v>82</v>
      </c>
      <c r="O88" s="15"/>
      <c r="P88" s="15"/>
      <c r="Q88" s="15"/>
      <c r="R88" s="15"/>
      <c r="S88" s="16"/>
      <c r="T88" s="16"/>
      <c r="U88" s="16"/>
      <c r="V88" s="16"/>
      <c r="Y88" s="9">
        <f t="shared" si="49"/>
        <v>-24</v>
      </c>
    </row>
    <row r="89" spans="4:25" x14ac:dyDescent="0.55000000000000004">
      <c r="D89" s="6">
        <v>86</v>
      </c>
      <c r="E89" s="6"/>
      <c r="F89" s="6">
        <f t="shared" si="45"/>
        <v>18</v>
      </c>
      <c r="G89" s="6" t="str">
        <f t="shared" si="50"/>
        <v>18</v>
      </c>
      <c r="H89" s="6">
        <f t="shared" ref="H89" si="59">H84</f>
        <v>1</v>
      </c>
      <c r="I89" s="1"/>
      <c r="J89" s="1"/>
      <c r="K89" s="1" t="s">
        <v>68</v>
      </c>
      <c r="L89" s="1" t="s">
        <v>101</v>
      </c>
      <c r="M89" s="1"/>
      <c r="N89" s="15" t="s">
        <v>101</v>
      </c>
      <c r="O89" s="15"/>
      <c r="P89" s="15"/>
      <c r="Q89" s="15"/>
      <c r="R89" s="15"/>
      <c r="S89" s="16"/>
      <c r="T89" s="16"/>
      <c r="U89" s="16"/>
      <c r="V89" s="16"/>
      <c r="Y89" s="9">
        <f t="shared" si="49"/>
        <v>-24</v>
      </c>
    </row>
    <row r="90" spans="4:25" x14ac:dyDescent="0.55000000000000004">
      <c r="D90" s="6">
        <v>87</v>
      </c>
      <c r="E90" s="6"/>
      <c r="F90" s="6">
        <f t="shared" si="47"/>
        <v>18</v>
      </c>
      <c r="G90" s="6" t="str">
        <f t="shared" si="50"/>
        <v>18</v>
      </c>
      <c r="H90" s="6">
        <f t="shared" ref="H90" si="60">H89+1</f>
        <v>2</v>
      </c>
      <c r="I90" s="1"/>
      <c r="J90" s="1"/>
      <c r="K90" s="1" t="s">
        <v>89</v>
      </c>
      <c r="L90" s="1" t="s">
        <v>119</v>
      </c>
      <c r="M90" s="1"/>
      <c r="N90" s="15" t="s">
        <v>119</v>
      </c>
      <c r="O90" s="15"/>
      <c r="P90" s="15"/>
      <c r="Q90" s="15"/>
      <c r="R90" s="15"/>
      <c r="S90" s="16"/>
      <c r="T90" s="16"/>
      <c r="U90" s="16"/>
      <c r="V90" s="16"/>
      <c r="Y90" s="9">
        <f t="shared" si="49"/>
        <v>-24</v>
      </c>
    </row>
    <row r="91" spans="4:25" x14ac:dyDescent="0.55000000000000004">
      <c r="D91" s="6">
        <v>88</v>
      </c>
      <c r="E91" s="6"/>
      <c r="F91" s="6">
        <f t="shared" si="8"/>
        <v>18</v>
      </c>
      <c r="G91" s="6" t="str">
        <f t="shared" si="50"/>
        <v>18</v>
      </c>
      <c r="H91" s="6">
        <f t="shared" si="56"/>
        <v>3</v>
      </c>
      <c r="I91" s="1"/>
      <c r="J91" s="1"/>
      <c r="K91" s="1" t="s">
        <v>91</v>
      </c>
      <c r="L91" s="1" t="s">
        <v>120</v>
      </c>
      <c r="M91" s="1"/>
      <c r="N91" s="15" t="s">
        <v>137</v>
      </c>
      <c r="O91" s="15"/>
      <c r="P91" s="15"/>
      <c r="Q91" s="15"/>
      <c r="R91" s="15"/>
      <c r="S91" s="16"/>
      <c r="T91" s="16"/>
      <c r="U91" s="16"/>
      <c r="V91" s="16"/>
      <c r="Y91" s="9">
        <f t="shared" si="49"/>
        <v>-24</v>
      </c>
    </row>
    <row r="92" spans="4:25" x14ac:dyDescent="0.55000000000000004">
      <c r="D92" s="6">
        <v>89</v>
      </c>
      <c r="E92" s="6"/>
      <c r="F92" s="6">
        <f t="shared" si="8"/>
        <v>18</v>
      </c>
      <c r="G92" s="6" t="str">
        <f t="shared" si="50"/>
        <v>18</v>
      </c>
      <c r="H92" s="6">
        <f t="shared" si="56"/>
        <v>4</v>
      </c>
      <c r="I92" s="1"/>
      <c r="J92" s="1"/>
      <c r="K92" s="1" t="s">
        <v>93</v>
      </c>
      <c r="L92" s="1" t="s">
        <v>82</v>
      </c>
      <c r="M92" s="1"/>
      <c r="N92" s="15" t="s">
        <v>82</v>
      </c>
      <c r="O92" s="15"/>
      <c r="P92" s="15"/>
      <c r="Q92" s="15"/>
      <c r="R92" s="15"/>
      <c r="S92" s="16"/>
      <c r="T92" s="16"/>
      <c r="U92" s="16"/>
      <c r="V92" s="16"/>
      <c r="Y92" s="9">
        <f t="shared" si="49"/>
        <v>-24</v>
      </c>
    </row>
    <row r="93" spans="4:25" x14ac:dyDescent="0.55000000000000004">
      <c r="D93" s="6">
        <v>90</v>
      </c>
      <c r="E93" s="6"/>
      <c r="F93" s="6">
        <f t="shared" si="8"/>
        <v>18</v>
      </c>
      <c r="G93" s="6" t="str">
        <f t="shared" si="50"/>
        <v>18</v>
      </c>
      <c r="H93" s="6">
        <f t="shared" si="56"/>
        <v>5</v>
      </c>
      <c r="I93" s="1"/>
      <c r="J93" s="1"/>
      <c r="K93" s="1" t="s">
        <v>93</v>
      </c>
      <c r="L93" s="1" t="s">
        <v>82</v>
      </c>
      <c r="M93" s="1"/>
      <c r="N93" s="15" t="s">
        <v>82</v>
      </c>
      <c r="O93" s="15"/>
      <c r="P93" s="15"/>
      <c r="Q93" s="15"/>
      <c r="R93" s="15"/>
      <c r="S93" s="16"/>
      <c r="T93" s="16"/>
      <c r="U93" s="16"/>
      <c r="V93" s="16"/>
      <c r="Y93" s="9">
        <f t="shared" si="49"/>
        <v>-24</v>
      </c>
    </row>
    <row r="94" spans="4:25" x14ac:dyDescent="0.55000000000000004">
      <c r="D94" s="6">
        <v>91</v>
      </c>
      <c r="E94" s="6"/>
      <c r="F94" s="6">
        <f t="shared" si="45"/>
        <v>19</v>
      </c>
      <c r="G94" s="6" t="str">
        <f t="shared" si="50"/>
        <v>19</v>
      </c>
      <c r="H94" s="6">
        <f t="shared" ref="H94" si="61">H89</f>
        <v>1</v>
      </c>
      <c r="I94" s="1"/>
      <c r="J94" s="1"/>
      <c r="K94" s="1"/>
      <c r="L94" s="1"/>
      <c r="M94" s="1"/>
      <c r="N94" s="15"/>
      <c r="O94" s="15"/>
      <c r="P94" s="15"/>
      <c r="Q94" s="15"/>
      <c r="R94" s="15"/>
      <c r="S94" s="16"/>
      <c r="T94" s="16"/>
      <c r="U94" s="16"/>
      <c r="V94" s="16"/>
      <c r="Y94" s="9">
        <f t="shared" si="49"/>
        <v>-24</v>
      </c>
    </row>
    <row r="95" spans="4:25" x14ac:dyDescent="0.55000000000000004">
      <c r="D95" s="6">
        <v>92</v>
      </c>
      <c r="E95" s="6"/>
      <c r="F95" s="6">
        <f t="shared" si="47"/>
        <v>19</v>
      </c>
      <c r="G95" s="6" t="str">
        <f t="shared" si="50"/>
        <v>19</v>
      </c>
      <c r="H95" s="6">
        <f t="shared" ref="H95" si="62">H94+1</f>
        <v>2</v>
      </c>
      <c r="I95" s="1"/>
      <c r="J95" s="1"/>
      <c r="K95" s="1"/>
      <c r="L95" s="1"/>
      <c r="M95" s="1"/>
      <c r="N95" s="15"/>
      <c r="O95" s="15"/>
      <c r="P95" s="15"/>
      <c r="Q95" s="15"/>
      <c r="R95" s="15"/>
      <c r="S95" s="16"/>
      <c r="T95" s="16"/>
      <c r="U95" s="16"/>
      <c r="V95" s="16"/>
      <c r="Y95" s="9">
        <f t="shared" si="49"/>
        <v>-24</v>
      </c>
    </row>
    <row r="96" spans="4:25" x14ac:dyDescent="0.55000000000000004">
      <c r="D96" s="6">
        <v>93</v>
      </c>
      <c r="E96" s="6"/>
      <c r="F96" s="6">
        <f t="shared" si="8"/>
        <v>19</v>
      </c>
      <c r="G96" s="6" t="str">
        <f t="shared" si="50"/>
        <v>19</v>
      </c>
      <c r="H96" s="6">
        <f t="shared" si="56"/>
        <v>3</v>
      </c>
      <c r="I96" s="1"/>
      <c r="J96" s="1"/>
      <c r="K96" s="1"/>
      <c r="L96" s="1"/>
      <c r="M96" s="1"/>
      <c r="N96" s="15"/>
      <c r="O96" s="15"/>
      <c r="P96" s="15"/>
      <c r="Q96" s="15"/>
      <c r="R96" s="15"/>
      <c r="S96" s="16"/>
      <c r="T96" s="16"/>
      <c r="U96" s="16"/>
      <c r="V96" s="16"/>
      <c r="Y96" s="9">
        <f t="shared" si="49"/>
        <v>-24</v>
      </c>
    </row>
    <row r="97" spans="4:25" x14ac:dyDescent="0.55000000000000004">
      <c r="D97" s="6">
        <v>94</v>
      </c>
      <c r="E97" s="6"/>
      <c r="F97" s="6">
        <f t="shared" si="8"/>
        <v>19</v>
      </c>
      <c r="G97" s="6" t="str">
        <f t="shared" si="50"/>
        <v>19</v>
      </c>
      <c r="H97" s="6">
        <f t="shared" si="56"/>
        <v>4</v>
      </c>
      <c r="I97" s="1"/>
      <c r="J97" s="1"/>
      <c r="K97" s="1"/>
      <c r="L97" s="1"/>
      <c r="M97" s="1"/>
      <c r="N97" s="15"/>
      <c r="O97" s="15"/>
      <c r="P97" s="15"/>
      <c r="Q97" s="15"/>
      <c r="R97" s="15"/>
      <c r="S97" s="16"/>
      <c r="T97" s="16"/>
      <c r="U97" s="16"/>
      <c r="V97" s="16"/>
      <c r="Y97" s="9">
        <f t="shared" si="49"/>
        <v>-24</v>
      </c>
    </row>
    <row r="98" spans="4:25" x14ac:dyDescent="0.55000000000000004">
      <c r="D98" s="6">
        <v>95</v>
      </c>
      <c r="E98" s="6"/>
      <c r="F98" s="6">
        <f t="shared" si="8"/>
        <v>19</v>
      </c>
      <c r="G98" s="6" t="str">
        <f t="shared" si="50"/>
        <v>19</v>
      </c>
      <c r="H98" s="6">
        <f t="shared" si="56"/>
        <v>5</v>
      </c>
      <c r="I98" s="1"/>
      <c r="J98" s="1"/>
      <c r="K98" s="1"/>
      <c r="L98" s="1"/>
      <c r="M98" s="1"/>
      <c r="N98" s="15"/>
      <c r="O98" s="15"/>
      <c r="P98" s="15"/>
      <c r="Q98" s="15"/>
      <c r="R98" s="15"/>
      <c r="S98" s="16"/>
      <c r="T98" s="16"/>
      <c r="U98" s="16"/>
      <c r="V98" s="16"/>
      <c r="Y98" s="9">
        <f t="shared" si="49"/>
        <v>-24</v>
      </c>
    </row>
    <row r="99" spans="4:25" x14ac:dyDescent="0.55000000000000004">
      <c r="D99" s="7"/>
      <c r="E99" s="7"/>
      <c r="F99" s="7"/>
      <c r="G99" s="7"/>
      <c r="H99" s="7"/>
      <c r="I99" s="8"/>
      <c r="J99" s="8"/>
      <c r="K99" s="8"/>
      <c r="L99" s="8"/>
      <c r="M99" s="8"/>
      <c r="N99" s="22"/>
      <c r="O99" s="22"/>
      <c r="P99" s="22"/>
      <c r="Q99" s="22"/>
      <c r="R99" s="22"/>
      <c r="S99" s="23"/>
      <c r="T99" s="23"/>
      <c r="U99" s="23"/>
      <c r="V99" s="23"/>
      <c r="Y99" s="9">
        <f t="shared" si="49"/>
        <v>-24</v>
      </c>
    </row>
    <row r="101" spans="4:25" x14ac:dyDescent="0.55000000000000004">
      <c r="D101" s="9" t="s">
        <v>8</v>
      </c>
      <c r="I101" s="9" t="s">
        <v>7</v>
      </c>
    </row>
    <row r="102" spans="4:25" x14ac:dyDescent="0.55000000000000004">
      <c r="D102" s="9">
        <f>MAX(D$3:D$99)</f>
        <v>95</v>
      </c>
      <c r="I102" s="9">
        <f>MAX(I$3:I$99)</f>
        <v>0</v>
      </c>
    </row>
    <row r="103" spans="4:25" x14ac:dyDescent="0.55000000000000004">
      <c r="D103" s="9" t="s">
        <v>39</v>
      </c>
      <c r="G103" s="9" t="s">
        <v>13</v>
      </c>
      <c r="H103" s="9" t="s">
        <v>12</v>
      </c>
    </row>
    <row r="104" spans="4:25" x14ac:dyDescent="0.55000000000000004">
      <c r="D104" s="9">
        <f>ROW(D100)-ROW(D2)-1</f>
        <v>97</v>
      </c>
      <c r="G104" s="9">
        <f>COUNTIF(G$3:G$99,G103)</f>
        <v>0</v>
      </c>
      <c r="H104" s="24">
        <f>_xlfn.MAXIFS(H$3:H$99,$G$3:$G$99,H103)</f>
        <v>0</v>
      </c>
    </row>
    <row r="105" spans="4:25" x14ac:dyDescent="0.55000000000000004">
      <c r="G105" s="9" t="s">
        <v>11</v>
      </c>
      <c r="H105" s="9" t="s">
        <v>11</v>
      </c>
    </row>
    <row r="106" spans="4:25" x14ac:dyDescent="0.55000000000000004">
      <c r="G106" s="9">
        <f>COUNTIF(G$3:G$99,G105)</f>
        <v>0</v>
      </c>
      <c r="H106" s="24">
        <f>_xlfn.MAXIFS(H$3:H$99,$G$3:$G$99,H105)</f>
        <v>0</v>
      </c>
    </row>
  </sheetData>
  <autoFilter ref="D2:V98" xr:uid="{48D32264-F25D-40E9-9C76-26E43E79C8CC}"/>
  <phoneticPr fontId="1"/>
  <conditionalFormatting sqref="D3:V99">
    <cfRule type="expression" dxfId="2" priority="2">
      <formula>MOD(ROW(D3),2)=1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6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D13" sqref="D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59</v>
      </c>
      <c r="L1" t="s">
        <v>55</v>
      </c>
      <c r="N1" t="s">
        <v>56</v>
      </c>
      <c r="P1" t="s">
        <v>57</v>
      </c>
      <c r="R1" t="s">
        <v>58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5" customFormat="1" x14ac:dyDescent="0.55000000000000004">
      <c r="A2" s="5" t="s">
        <v>46</v>
      </c>
      <c r="G2" s="5" t="s">
        <v>51</v>
      </c>
      <c r="H2" s="5" t="s">
        <v>3</v>
      </c>
      <c r="I2" s="5" t="s">
        <v>38</v>
      </c>
      <c r="J2" s="5" t="s">
        <v>50</v>
      </c>
      <c r="L2" s="5" t="s">
        <v>30</v>
      </c>
      <c r="N2" s="5" t="s">
        <v>31</v>
      </c>
      <c r="P2" s="5" t="s">
        <v>41</v>
      </c>
      <c r="R2" s="5" t="s">
        <v>52</v>
      </c>
      <c r="Z2" s="5" t="s">
        <v>42</v>
      </c>
      <c r="AA2" s="5" t="s">
        <v>33</v>
      </c>
      <c r="AB2" s="5" t="s">
        <v>34</v>
      </c>
      <c r="AC2" s="5" t="s">
        <v>35</v>
      </c>
      <c r="AD2" s="5" t="s">
        <v>36</v>
      </c>
      <c r="AE2" s="5" t="s">
        <v>37</v>
      </c>
      <c r="AF2" s="5" t="s">
        <v>36</v>
      </c>
      <c r="AG2" s="5" t="s">
        <v>43</v>
      </c>
      <c r="AH2" s="5" t="s">
        <v>44</v>
      </c>
      <c r="AI2" s="5" t="s">
        <v>54</v>
      </c>
      <c r="AJ2" s="5" t="s">
        <v>44</v>
      </c>
      <c r="AK2" s="5" t="s">
        <v>48</v>
      </c>
      <c r="AL2" s="5" t="s">
        <v>49</v>
      </c>
      <c r="AM2" s="5" t="s">
        <v>45</v>
      </c>
    </row>
    <row r="3" spans="1:39" x14ac:dyDescent="0.55000000000000004">
      <c r="A3" t="s">
        <v>25</v>
      </c>
      <c r="B3" t="str" cm="1">
        <f t="array" aca="1" ref="B3" ca="1">CELL("filename")</f>
        <v>C:\tk\prj\hg-0025-0016\event\20260717_1514_言語確認\[表示文字一覧.xlsx]ユニット動作名</v>
      </c>
      <c r="F3">
        <v>1</v>
      </c>
      <c r="G3" t="str">
        <f>E3&amp;F3</f>
        <v>1</v>
      </c>
      <c r="H3">
        <f>COUNTIF(G$3:G3,G3)</f>
        <v>1</v>
      </c>
      <c r="J3" cm="1">
        <f t="array" ref="J3:J203">IFERROR(MATCH($G$3:$G$203&amp;$H$3:$H$203,info_index!$G$3:$G$99&amp;info_index!$H$3:$H$99,0),"")</f>
        <v>1</v>
      </c>
      <c r="K3" t="str" cm="1">
        <f t="array" aca="1" ref="K3:K203" ca="1">IF(LEN(_xlfn.ANCHORARRAY(J3)),INDEX(OFFSET(info_index!$K$3:$K$99,0,$B$23),MATCH($G$3:$G$203&amp;$H$3:$H$203,info_index!$G$3:$G$99&amp;info_index!$H$3:$H$99,0),1)&amp;"","")</f>
        <v>Standby Pos</v>
      </c>
      <c r="L3" t="str" cm="1">
        <f t="array" aca="1" ref="L3:L203" ca="1">IF(LEN(_xlfn.ANCHORARRAY($J3)),IF(LEN(_xlfn.ANCHORARRAY(K3)),_xlfn.ANCHORARRAY(K3),"unknown"),"")</f>
        <v>Standby Pos</v>
      </c>
      <c r="N3" t="str" cm="1">
        <f t="array" aca="1" ref="N3:N203" ca="1">IF(LEN(_xlfn.ANCHORARRAY(L3)),"【"&amp;G3:G203&amp;H3:H203&amp;"】 "&amp;_xlfn.ANCHORARRAY(L3),"")</f>
        <v>【11】 Standby Pos</v>
      </c>
      <c r="O3" t="str" cm="1">
        <f t="array" ref="O3:O203">IFERROR(INDEX(info_index!$N$3:$N$99,MATCH($G$3:$G$203&amp;$H$3:$H$203,info_index!$G$3:$G$99&amp;info_index!$H$3:$H$99,0),1)&amp;"","")</f>
        <v>Standby Pos</v>
      </c>
      <c r="P3" t="str" cm="1">
        <f t="array" ref="P3:P203">IF(LEN(_xlfn.ANCHORARRAY(J3)),IF(LEN(_xlfn.ANCHORARRAY(O3)),_xlfn.ANCHORARRAY(O3),"unknown"),"")</f>
        <v>Standby Pos</v>
      </c>
      <c r="Q3" t="str" cm="1">
        <f t="array" aca="1" ref="Q3:Q203" ca="1">IF(LEN(_xlfn.ANCHORARRAY(J3)),INDEX(OFFSET(info_index!$P$3:$P$99,0,$B$23),MATCH($G$3:$G$203&amp;$H$3:$H$203,info_index!$G$3:$G$99&amp;info_index!$H$3:$H$99,0),1)&amp;"","")</f>
        <v/>
      </c>
      <c r="R3" t="str" cm="1">
        <f t="array" aca="1" ref="R3:R203" ca="1">IF(LEN(_xlfn.ANCHORARRAY($J3)),IF(LEN(_xlfn.ANCHORARRAY(Q3)),_xlfn.ANCHORARRAY(Q3),"unknown"),"")</f>
        <v>unknown</v>
      </c>
      <c r="Z3" t="str" cm="1">
        <f t="array" aca="1" ref="Z3:Z203" ca="1">IF(LENB(_xlfn.ANCHORARRAY(L3)),IF(ROW($H$3)&lt;ROW($H3:$H203),CHAR(10),"")&amp;IF(1=H3:H203,IF(ROW($H$3)&lt;ROW($H3:$H203),CHAR(10),"")&amp;$B$7&amp;IF(LEN(G3:G203)=0,"名称未設定",G3:G203),""),"")</f>
        <v>//1</v>
      </c>
      <c r="AA3" t="str" cm="1">
        <f t="array" aca="1" ref="AA3:AA203" ca="1">IF(LEN(_xlfn.ANCHORARRAY(Z3)),_xlfn.ANCHORARRAY(Z3),"")&amp;IF(LEN(L3:L203),IF(H3:H203=1,CHAR(10)&amp;IF(ROW($H$3)&lt;ROW(H3:H203),"ELSIF ","IF ")&amp;$B$25&amp;" = "&amp;G3:G203&amp;" THEN",""),"")</f>
        <v>//1
IF strInfoType = 1 THEN</v>
      </c>
      <c r="AB3" t="str" cm="1">
        <f t="array" aca="1" ref="AB3:AB203" ca="1">IF(LEN(_xlfn.ANCHORARRAY(AA3)),_xlfn.ANCHORARRAY(AA3),"")&amp;IF(LEN(L3:L203),CHAR(10)&amp;CHAR(9)&amp;$B$7&amp;_xlfn.ANCHORARRAY(L3)&amp;CHAR(10)&amp;CHAR(9)&amp;IF(H3:H203=1,"IF ","ELSIF ")&amp;$B$26&amp;" = "&amp;H3:H203&amp;" THEN","")</f>
        <v>//1
IF strInfoType = 1 THEN
	//Standby Pos
	IF uiInfoIdx = 1 THEN</v>
      </c>
      <c r="AC3" t="str" cm="1">
        <f t="array" aca="1" ref="AC3:AC203" ca="1">IF(LEN(AB3:AB203),AB3:AB203,"")&amp;IF(LEN(L3:L203),CHAR(10)&amp;CHAR(9)&amp;CHAR(9)&amp;"IF "&amp;$B$27&amp;" = '"&amp;$L$2&amp;"' THEN","")</f>
        <v>//1
IF strInfoType = 1 THEN
	//Standby Pos
	IF uiInfoIdx = 1 THEN
		IF strInfoKey = 'name' THEN</v>
      </c>
      <c r="AD3" t="str" cm="1">
        <f t="array" aca="1" ref="AD3:AD203" ca="1">IF(LEN(AC3:AC203),AC3:AC203,"")&amp;IF(LEN(L3:L203),CHAR(10)&amp;CHAR(9)&amp;CHAR(9)&amp;CHAR(9)&amp;$B$28&amp;CHAR(9)&amp;$B$8&amp;" '"&amp;_xlfn.ANCHORARRAY(L3)&amp;"'"&amp;$B$9,"")</f>
        <v>//1
IF strInfoType = 1 THEN
	//Standby Pos
	IF uiInfoIdx = 1 THEN
		IF strInfoKey = 'name' THEN
			strRt	:= 'Standby Pos';</v>
      </c>
      <c r="AE3" t="str" cm="1">
        <f t="array" aca="1" ref="AE3:AE203" ca="1">IF(LEN(AD3:AD203),AD3:AD203,"")&amp;IF(LEN(N3:N203),CHAR(10)&amp;CHAR(9)&amp;CHAR(9)&amp;"ELSIF "&amp;$B$27&amp;" = '"&amp;N$2&amp;"' THEN","")</f>
        <v>//1
IF strInfoType = 1 THEN
	//Standby Pos
	IF uiInfoIdx = 1 THEN
		IF strInfoKey = 'name' THEN
			strRt	:= 'Standby Pos';
		ELSIF strInfoKey = 'index_name' THEN</v>
      </c>
      <c r="AF3" t="str" cm="1">
        <f t="array" aca="1" ref="AF3:AF203" ca="1">IF(LEN(AE3:AE203),AE3:AE203,"")&amp;IF(LEN(N3:N203),CHAR(10)&amp;CHAR(9)&amp;CHAR(9)&amp;CHAR(9)&amp;$B$28&amp;CHAR(9)&amp;$B$8&amp;" '"&amp;_xlfn.ANCHORARRAY(N3)&amp;"'"&amp;$B$9,"")</f>
        <v>//1
IF strInfoType = 1 THEN
	//Standby Pos
	IF uiInfoIdx = 1 THEN
		IF strInfoKey = 'name' THEN
			strRt	:= 'Standby Pos';
		ELSIF strInfoKey = 'index_name' THEN
			strRt	:= '【11】 Standby Pos';</v>
      </c>
      <c r="AG3" t="str" cm="1">
        <f t="array" aca="1" ref="AG3:AG203" ca="1">IF(LEN(AF3:AF203),AF3:AF203,"")&amp;IF(LEN(P3:P203),CHAR(10)&amp;CHAR(9)&amp;CHAR(9)&amp;"ELSIF "&amp;$B$27&amp;" = '"&amp;P$2&amp;"' THEN","")</f>
        <v>//1
IF strInfoType = 1 THEN
	//Standby Pos
	IF uiInfoIdx = 1 THEN
		IF strInfoKey = 'name' THEN
			strRt	:= 'Standby Pos';
		ELSIF strInfoKey = 'index_name' THEN
			strRt	:= '【11】 Standby Pos';
		ELSIF strInfoKey = 'model' THEN</v>
      </c>
      <c r="AH3" t="str" cm="1">
        <f t="array" aca="1" ref="AH3:AH203" ca="1">IF(LEN(AG3:AG203),AG3:AG203,"")&amp;IF(LEN(P3:P203),CHAR(10)&amp;CHAR(9)&amp;CHAR(9)&amp;CHAR(9)&amp;$B$28&amp;CHAR(9)&amp;$B$8&amp;" '"&amp;_xlfn.ANCHORARRAY(P3)&amp;"'"&amp;$B$9,"")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</v>
      </c>
      <c r="AI3" t="str" cm="1">
        <f t="array" aca="1" ref="AI3:AI203" ca="1">IF(LEN(AH3:AH203),AH3:AH203,"")&amp;IF(LEN(R3:R203),CHAR(10)&amp;CHAR(9)&amp;CHAR(9)&amp;"ELSIF "&amp;$B$27&amp;" = '"&amp;R$2&amp;"' THEN","")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</v>
      </c>
      <c r="AJ3" t="str" cm="1">
        <f t="array" aca="1" ref="AJ3:AJ203" ca="1">IF(LEN(AI3:AI203),AI3:AI203,"")&amp;IF(LEN(R3:R203),CHAR(10)&amp;CHAR(9)&amp;CHAR(9)&amp;CHAR(9)&amp;$B$28&amp;CHAR(9)&amp;$B$8&amp;" '"&amp;_xlfn.ANCHORARRAY(R3)&amp;"'"&amp;$B$9,"")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</v>
      </c>
      <c r="AK3" t="str" cm="1">
        <f t="array" aca="1" ref="AK3:AK203" ca="1">IF(LEN(AJ3:AJ203),AJ3:AJ203,"")&amp;IF(LEN(L3:L203),CHAR(10)&amp;CHAR(9)&amp;CHAR(9)&amp;"ELSE"&amp;CHAR(10)&amp;CHAR(9)&amp;CHAR(9)&amp;CHAR(9)&amp;$B$29&amp;CHAR(9)&amp;$B$8&amp;" 3"&amp;$B$9&amp;CHAR(10)&amp;CHAR(9)&amp;CHAR(9)&amp;"END_IF"&amp;$B$9,"")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</v>
      </c>
      <c r="AL3" t="str" cm="1">
        <f t="array" aca="1" ref="AL3:AL203" ca="1">IF(LEN(_xlfn.ANCHORARRAY(AK3)),_xlfn.ANCHORARRAY(AK3),"")&amp;IF(I3:I203="●",CHAR(10)&amp;CHAR(9)&amp;"ELSE"&amp;CHAR(10)&amp;CHAR(9)&amp;CHAR(9)&amp;$B$29&amp;CHAR(9)&amp;$B$8&amp;" 2"&amp;$B$9&amp;CHAR(10)&amp;CHAR(9)&amp;"END_IF"&amp;$B$9,"")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</v>
      </c>
      <c r="AM3" t="str" cm="1">
        <f t="array" aca="1" ref="AM3:AM203" ca="1">_xlfn.ANCHORARRAY(AL3)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8" si="0">E4&amp;F4</f>
        <v>1</v>
      </c>
      <c r="H4">
        <f>COUNTIF(G$3:G4,G4)</f>
        <v>2</v>
      </c>
      <c r="I4" t="str" cm="1">
        <f t="array" ref="I4:I203">IF($H$5:$H$204&lt;H4:H203,"●","")</f>
        <v/>
      </c>
      <c r="J4">
        <v>2</v>
      </c>
      <c r="K4" t="str">
        <f ca="1"/>
        <v>Reserved</v>
      </c>
      <c r="L4" t="str">
        <f ca="1"/>
        <v>Reserved</v>
      </c>
      <c r="N4" t="str">
        <f ca="1"/>
        <v>【12】 Reserved</v>
      </c>
      <c r="O4" t="str">
        <v>Reserved</v>
      </c>
      <c r="P4" t="str">
        <v>Reserved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//Reserved
	ELSIF uiInfoIdx = 2 THEN</v>
      </c>
      <c r="AC4" t="str">
        <f ca="1"/>
        <v xml:space="preserve">
	//Reserved
	ELSIF uiInfoIdx = 2 THEN
		IF strInfoKey = 'name' THEN</v>
      </c>
      <c r="AD4" t="str">
        <f ca="1"/>
        <v xml:space="preserve">
	//Reserved
	ELSIF uiInfoIdx = 2 THEN
		IF strInfoKey = 'name' THEN
			strRt	:= 'Reserved';</v>
      </c>
      <c r="AE4" t="str">
        <f ca="1"/>
        <v xml:space="preserve">
	//Reserved
	ELSIF uiInfoIdx = 2 THEN
		IF strInfoKey = 'name' THEN
			strRt	:= 'Reserved';
		ELSIF strInfoKey = 'index_name' THEN</v>
      </c>
      <c r="AF4" t="str">
        <f ca="1"/>
        <v xml:space="preserve">
	//Reserved
	ELSIF uiInfoIdx = 2 THEN
		IF strInfoKey = 'name' THEN
			strRt	:= 'Reserved';
		ELSIF strInfoKey = 'index_name' THEN
			strRt	:= '【12】 Reserved';</v>
      </c>
      <c r="AG4" t="str">
        <f ca="1"/>
        <v xml:space="preserve">
	//Reserved
	ELSIF uiInfoIdx = 2 THEN
		IF strInfoKey = 'name' THEN
			strRt	:= 'Reserved';
		ELSIF strInfoKey = 'index_name' THEN
			strRt	:= '【12】 Reserved';
		ELSIF strInfoKey = 'model' THEN</v>
      </c>
      <c r="AH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</v>
      </c>
      <c r="AI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</v>
      </c>
      <c r="AJ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</v>
      </c>
      <c r="AK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</v>
      </c>
      <c r="AL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</v>
      </c>
      <c r="AM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</v>
      </c>
    </row>
    <row r="5" spans="1:39" x14ac:dyDescent="0.55000000000000004">
      <c r="A5" t="s">
        <v>22</v>
      </c>
      <c r="B5" t="str">
        <f ca="1">"このスクリプトは "&amp;B3&amp;" によって生成されました。"</f>
        <v>このスクリプトは C:\tk\prj\hg-0025-0016\event\20260717_1514_言語確認\[表示文字一覧.xlsx]ユニット動作名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Reserved</v>
      </c>
      <c r="L5" t="str">
        <f ca="1"/>
        <v>Reserved</v>
      </c>
      <c r="N5" t="str">
        <f ca="1"/>
        <v>【13】 Reserved</v>
      </c>
      <c r="O5" t="str">
        <v>Reserved</v>
      </c>
      <c r="P5" t="str">
        <v>Reserved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//Reserved
	ELSIF uiInfoIdx = 3 THEN</v>
      </c>
      <c r="AC5" t="str">
        <f ca="1"/>
        <v xml:space="preserve">
	//Reserved
	ELSIF uiInfoIdx = 3 THEN
		IF strInfoKey = 'name' THEN</v>
      </c>
      <c r="AD5" t="str">
        <f ca="1"/>
        <v xml:space="preserve">
	//Reserved
	ELSIF uiInfoIdx = 3 THEN
		IF strInfoKey = 'name' THEN
			strRt	:= 'Reserved';</v>
      </c>
      <c r="AE5" t="str">
        <f ca="1"/>
        <v xml:space="preserve">
	//Reserved
	ELSIF uiInfoIdx = 3 THEN
		IF strInfoKey = 'name' THEN
			strRt	:= 'Reserved';
		ELSIF strInfoKey = 'index_name' THEN</v>
      </c>
      <c r="AF5" t="str">
        <f ca="1"/>
        <v xml:space="preserve">
	//Reserved
	ELSIF uiInfoIdx = 3 THEN
		IF strInfoKey = 'name' THEN
			strRt	:= 'Reserved';
		ELSIF strInfoKey = 'index_name' THEN
			strRt	:= '【13】 Reserved';</v>
      </c>
      <c r="AG5" t="str">
        <f ca="1"/>
        <v xml:space="preserve">
	//Reserved
	ELSIF uiInfoIdx = 3 THEN
		IF strInfoKey = 'name' THEN
			strRt	:= 'Reserved';
		ELSIF strInfoKey = 'index_name' THEN
			strRt	:= '【13】 Reserved';
		ELSIF strInfoKey = 'model' THEN</v>
      </c>
      <c r="AH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</v>
      </c>
      <c r="AI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</v>
      </c>
      <c r="AJ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</v>
      </c>
      <c r="AK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</v>
      </c>
      <c r="AL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</v>
      </c>
      <c r="AM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</v>
      </c>
    </row>
    <row r="6" spans="1:39" x14ac:dyDescent="0.55000000000000004">
      <c r="A6" t="s">
        <v>23</v>
      </c>
      <c r="B6" t="s">
        <v>24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Reserved</v>
      </c>
      <c r="L6" t="str">
        <f ca="1"/>
        <v>Reserved</v>
      </c>
      <c r="N6" t="str">
        <f ca="1"/>
        <v>【14】 Reserved</v>
      </c>
      <c r="O6" t="str">
        <v>Reserved</v>
      </c>
      <c r="P6" t="str">
        <v>Reserved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//Reserved
	ELSIF uiInfoIdx = 4 THEN</v>
      </c>
      <c r="AC6" t="str">
        <f ca="1"/>
        <v xml:space="preserve">
	//Reserved
	ELSIF uiInfoIdx = 4 THEN
		IF strInfoKey = 'name' THEN</v>
      </c>
      <c r="AD6" t="str">
        <f ca="1"/>
        <v xml:space="preserve">
	//Reserved
	ELSIF uiInfoIdx = 4 THEN
		IF strInfoKey = 'name' THEN
			strRt	:= 'Reserved';</v>
      </c>
      <c r="AE6" t="str">
        <f ca="1"/>
        <v xml:space="preserve">
	//Reserved
	ELSIF uiInfoIdx = 4 THEN
		IF strInfoKey = 'name' THEN
			strRt	:= 'Reserved';
		ELSIF strInfoKey = 'index_name' THEN</v>
      </c>
      <c r="AF6" t="str">
        <f ca="1"/>
        <v xml:space="preserve">
	//Reserved
	ELSIF uiInfoIdx = 4 THEN
		IF strInfoKey = 'name' THEN
			strRt	:= 'Reserved';
		ELSIF strInfoKey = 'index_name' THEN
			strRt	:= '【14】 Reserved';</v>
      </c>
      <c r="AG6" t="str">
        <f ca="1"/>
        <v xml:space="preserve">
	//Reserved
	ELSIF uiInfoIdx = 4 THEN
		IF strInfoKey = 'name' THEN
			strRt	:= 'Reserved';
		ELSIF strInfoKey = 'index_name' THEN
			strRt	:= '【14】 Reserved';
		ELSIF strInfoKey = 'model' THEN</v>
      </c>
      <c r="AH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</v>
      </c>
      <c r="AI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</v>
      </c>
      <c r="AJ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</v>
      </c>
      <c r="AK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</v>
      </c>
      <c r="AL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</v>
      </c>
      <c r="AM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</v>
      </c>
    </row>
    <row r="7" spans="1:39" x14ac:dyDescent="0.55000000000000004">
      <c r="A7" t="s">
        <v>16</v>
      </c>
      <c r="B7" t="s">
        <v>17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Reserved</v>
      </c>
      <c r="L7" t="str">
        <f ca="1"/>
        <v>Reserved</v>
      </c>
      <c r="N7" t="str">
        <f ca="1"/>
        <v>【15】 Reserved</v>
      </c>
      <c r="O7" t="str">
        <v>Reserved</v>
      </c>
      <c r="P7" t="str">
        <v>Reserved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//Reserved
	ELSIF uiInfoIdx = 5 THEN</v>
      </c>
      <c r="AC7" t="str">
        <f ca="1"/>
        <v xml:space="preserve">
	//Reserved
	ELSIF uiInfoIdx = 5 THEN
		IF strInfoKey = 'name' THEN</v>
      </c>
      <c r="AD7" t="str">
        <f ca="1"/>
        <v xml:space="preserve">
	//Reserved
	ELSIF uiInfoIdx = 5 THEN
		IF strInfoKey = 'name' THEN
			strRt	:= 'Reserved';</v>
      </c>
      <c r="AE7" t="str">
        <f ca="1"/>
        <v xml:space="preserve">
	//Reserved
	ELSIF uiInfoIdx = 5 THEN
		IF strInfoKey = 'name' THEN
			strRt	:= 'Reserved';
		ELSIF strInfoKey = 'index_name' THEN</v>
      </c>
      <c r="AF7" t="str">
        <f ca="1"/>
        <v xml:space="preserve">
	//Reserved
	ELSIF uiInfoIdx = 5 THEN
		IF strInfoKey = 'name' THEN
			strRt	:= 'Reserved';
		ELSIF strInfoKey = 'index_name' THEN
			strRt	:= '【15】 Reserved';</v>
      </c>
      <c r="AG7" t="str">
        <f ca="1"/>
        <v xml:space="preserve">
	//Reserved
	ELSIF uiInfoIdx = 5 THEN
		IF strInfoKey = 'name' THEN
			strRt	:= 'Reserved';
		ELSIF strInfoKey = 'index_name' THEN
			strRt	:= '【15】 Reserved';
		ELSIF strInfoKey = 'model' THEN</v>
      </c>
      <c r="AH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</v>
      </c>
      <c r="AI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</v>
      </c>
      <c r="AJ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</v>
      </c>
      <c r="AK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</v>
      </c>
      <c r="AL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</v>
      </c>
      <c r="AM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</v>
      </c>
    </row>
    <row r="8" spans="1:39" x14ac:dyDescent="0.55000000000000004">
      <c r="A8" t="s">
        <v>18</v>
      </c>
      <c r="B8" t="s">
        <v>19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Standby Pos</v>
      </c>
      <c r="L8" t="str">
        <f ca="1"/>
        <v>Standby Pos</v>
      </c>
      <c r="N8" t="str">
        <f ca="1"/>
        <v>【21】 Standby Pos</v>
      </c>
      <c r="O8" t="str">
        <v>Standby Pos</v>
      </c>
      <c r="P8" t="str">
        <v>Standby Pos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//Standby Pos
	IF uiInfoIdx = 1 THEN</v>
      </c>
      <c r="AC8" t="str">
        <f ca="1"/>
        <v xml:space="preserve">
//2
ELSIF strInfoType = 2 THEN
	//Standby Pos
	IF uiInfoIdx = 1 THEN
		IF strInfoKey = 'name' THEN</v>
      </c>
      <c r="AD8" t="str">
        <f ca="1"/>
        <v xml:space="preserve">
//2
ELSIF strInfoType = 2 THEN
	//Standby Pos
	IF uiInfoIdx = 1 THEN
		IF strInfoKey = 'name' THEN
			strRt	:= 'Standby Pos';</v>
      </c>
      <c r="AE8" t="str">
        <f ca="1"/>
        <v xml:space="preserve">
//2
ELSIF strInfoType = 2 THEN
	//Standby Pos
	IF uiInfoIdx = 1 THEN
		IF strInfoKey = 'name' THEN
			strRt	:= 'Standby Pos';
		ELSIF strInfoKey = 'index_name' THEN</v>
      </c>
      <c r="AF8" t="str">
        <f ca="1"/>
        <v xml:space="preserve">
//2
ELSIF strInfoType = 2 THEN
	//Standby Pos
	IF uiInfoIdx = 1 THEN
		IF strInfoKey = 'name' THEN
			strRt	:= 'Standby Pos';
		ELSIF strInfoKey = 'index_name' THEN
			strRt	:= '【21】 Standby Pos';</v>
      </c>
      <c r="AG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</v>
      </c>
      <c r="AH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</v>
      </c>
      <c r="AI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</v>
      </c>
      <c r="AJ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</v>
      </c>
      <c r="AK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</v>
      </c>
      <c r="AL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</v>
      </c>
      <c r="AM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</v>
      </c>
    </row>
    <row r="9" spans="1:39" x14ac:dyDescent="0.55000000000000004">
      <c r="A9" t="s">
        <v>20</v>
      </c>
      <c r="B9" t="s">
        <v>21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Reserved</v>
      </c>
      <c r="L9" t="str">
        <f ca="1"/>
        <v>Reserved</v>
      </c>
      <c r="N9" t="str">
        <f ca="1"/>
        <v>【22】 Reserved</v>
      </c>
      <c r="O9" t="str">
        <v>Reserved</v>
      </c>
      <c r="P9" t="str">
        <v>Reserved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//Reserved
	ELSIF uiInfoIdx = 2 THEN</v>
      </c>
      <c r="AC9" t="str">
        <f ca="1"/>
        <v xml:space="preserve">
	//Reserved
	ELSIF uiInfoIdx = 2 THEN
		IF strInfoKey = 'name' THEN</v>
      </c>
      <c r="AD9" t="str">
        <f ca="1"/>
        <v xml:space="preserve">
	//Reserved
	ELSIF uiInfoIdx = 2 THEN
		IF strInfoKey = 'name' THEN
			strRt	:= 'Reserved';</v>
      </c>
      <c r="AE9" t="str">
        <f ca="1"/>
        <v xml:space="preserve">
	//Reserved
	ELSIF uiInfoIdx = 2 THEN
		IF strInfoKey = 'name' THEN
			strRt	:= 'Reserved';
		ELSIF strInfoKey = 'index_name' THEN</v>
      </c>
      <c r="AF9" t="str">
        <f ca="1"/>
        <v xml:space="preserve">
	//Reserved
	ELSIF uiInfoIdx = 2 THEN
		IF strInfoKey = 'name' THEN
			strRt	:= 'Reserved';
		ELSIF strInfoKey = 'index_name' THEN
			strRt	:= '【22】 Reserved';</v>
      </c>
      <c r="AG9" t="str">
        <f ca="1"/>
        <v xml:space="preserve">
	//Reserved
	ELSIF uiInfoIdx = 2 THEN
		IF strInfoKey = 'name' THEN
			strRt	:= 'Reserved';
		ELSIF strInfoKey = 'index_name' THEN
			strRt	:= '【22】 Reserved';
		ELSIF strInfoKey = 'model' THEN</v>
      </c>
      <c r="AH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</v>
      </c>
      <c r="AI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</v>
      </c>
      <c r="AJ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</v>
      </c>
      <c r="AK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</v>
      </c>
      <c r="AL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</v>
      </c>
      <c r="AM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Reserved</v>
      </c>
      <c r="L10" t="str">
        <f ca="1"/>
        <v>Reserved</v>
      </c>
      <c r="N10" t="str">
        <f ca="1"/>
        <v>【23】 Reserved</v>
      </c>
      <c r="O10" t="str">
        <v>Reserved</v>
      </c>
      <c r="P10" t="str">
        <v>Reserved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//Reserved
	ELSIF uiInfoIdx = 3 THEN</v>
      </c>
      <c r="AC10" t="str">
        <f ca="1"/>
        <v xml:space="preserve">
	//Reserved
	ELSIF uiInfoIdx = 3 THEN
		IF strInfoKey = 'name' THEN</v>
      </c>
      <c r="AD10" t="str">
        <f ca="1"/>
        <v xml:space="preserve">
	//Reserved
	ELSIF uiInfoIdx = 3 THEN
		IF strInfoKey = 'name' THEN
			strRt	:= 'Reserved';</v>
      </c>
      <c r="AE10" t="str">
        <f ca="1"/>
        <v xml:space="preserve">
	//Reserved
	ELSIF uiInfoIdx = 3 THEN
		IF strInfoKey = 'name' THEN
			strRt	:= 'Reserved';
		ELSIF strInfoKey = 'index_name' THEN</v>
      </c>
      <c r="AF10" t="str">
        <f ca="1"/>
        <v xml:space="preserve">
	//Reserved
	ELSIF uiInfoIdx = 3 THEN
		IF strInfoKey = 'name' THEN
			strRt	:= 'Reserved';
		ELSIF strInfoKey = 'index_name' THEN
			strRt	:= '【23】 Reserved';</v>
      </c>
      <c r="AG10" t="str">
        <f ca="1"/>
        <v xml:space="preserve">
	//Reserved
	ELSIF uiInfoIdx = 3 THEN
		IF strInfoKey = 'name' THEN
			strRt	:= 'Reserved';
		ELSIF strInfoKey = 'index_name' THEN
			strRt	:= '【23】 Reserved';
		ELSIF strInfoKey = 'model' THEN</v>
      </c>
      <c r="AH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</v>
      </c>
      <c r="AI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</v>
      </c>
      <c r="AJ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</v>
      </c>
      <c r="AK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</v>
      </c>
      <c r="AL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</v>
      </c>
      <c r="AM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Reserved</v>
      </c>
      <c r="L11" t="str">
        <f ca="1"/>
        <v>Reserved</v>
      </c>
      <c r="N11" t="str">
        <f ca="1"/>
        <v>【24】 Reserved</v>
      </c>
      <c r="O11" t="str">
        <v>Reserved</v>
      </c>
      <c r="P11" t="str">
        <v>Reserved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//Reserved
	ELSIF uiInfoIdx = 4 THEN</v>
      </c>
      <c r="AC11" t="str">
        <f ca="1"/>
        <v xml:space="preserve">
	//Reserved
	ELSIF uiInfoIdx = 4 THEN
		IF strInfoKey = 'name' THEN</v>
      </c>
      <c r="AD11" t="str">
        <f ca="1"/>
        <v xml:space="preserve">
	//Reserved
	ELSIF uiInfoIdx = 4 THEN
		IF strInfoKey = 'name' THEN
			strRt	:= 'Reserved';</v>
      </c>
      <c r="AE11" t="str">
        <f ca="1"/>
        <v xml:space="preserve">
	//Reserved
	ELSIF uiInfoIdx = 4 THEN
		IF strInfoKey = 'name' THEN
			strRt	:= 'Reserved';
		ELSIF strInfoKey = 'index_name' THEN</v>
      </c>
      <c r="AF11" t="str">
        <f ca="1"/>
        <v xml:space="preserve">
	//Reserved
	ELSIF uiInfoIdx = 4 THEN
		IF strInfoKey = 'name' THEN
			strRt	:= 'Reserved';
		ELSIF strInfoKey = 'index_name' THEN
			strRt	:= '【24】 Reserved';</v>
      </c>
      <c r="AG11" t="str">
        <f ca="1"/>
        <v xml:space="preserve">
	//Reserved
	ELSIF uiInfoIdx = 4 THEN
		IF strInfoKey = 'name' THEN
			strRt	:= 'Reserved';
		ELSIF strInfoKey = 'index_name' THEN
			strRt	:= '【24】 Reserved';
		ELSIF strInfoKey = 'model' THEN</v>
      </c>
      <c r="AH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</v>
      </c>
      <c r="AI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</v>
      </c>
      <c r="AJ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</v>
      </c>
      <c r="AK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</v>
      </c>
      <c r="AL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</v>
      </c>
      <c r="AM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Reserved</v>
      </c>
      <c r="L12" t="str">
        <f ca="1"/>
        <v>Reserved</v>
      </c>
      <c r="N12" t="str">
        <f ca="1"/>
        <v>【25】 Reserved</v>
      </c>
      <c r="O12" t="str">
        <v>Reserved</v>
      </c>
      <c r="P12" t="str">
        <v>Reserved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//Reserved
	ELSIF uiInfoIdx = 5 THEN</v>
      </c>
      <c r="AC12" t="str">
        <f ca="1"/>
        <v xml:space="preserve">
	//Reserved
	ELSIF uiInfoIdx = 5 THEN
		IF strInfoKey = 'name' THEN</v>
      </c>
      <c r="AD12" t="str">
        <f ca="1"/>
        <v xml:space="preserve">
	//Reserved
	ELSIF uiInfoIdx = 5 THEN
		IF strInfoKey = 'name' THEN
			strRt	:= 'Reserved';</v>
      </c>
      <c r="AE12" t="str">
        <f ca="1"/>
        <v xml:space="preserve">
	//Reserved
	ELSIF uiInfoIdx = 5 THEN
		IF strInfoKey = 'name' THEN
			strRt	:= 'Reserved';
		ELSIF strInfoKey = 'index_name' THEN</v>
      </c>
      <c r="AF12" t="str">
        <f ca="1"/>
        <v xml:space="preserve">
	//Reserved
	ELSIF uiInfoIdx = 5 THEN
		IF strInfoKey = 'name' THEN
			strRt	:= 'Reserved';
		ELSIF strInfoKey = 'index_name' THEN
			strRt	:= '【25】 Reserved';</v>
      </c>
      <c r="AG12" t="str">
        <f ca="1"/>
        <v xml:space="preserve">
	//Reserved
	ELSIF uiInfoIdx = 5 THEN
		IF strInfoKey = 'name' THEN
			strRt	:= 'Reserved';
		ELSIF strInfoKey = 'index_name' THEN
			strRt	:= '【25】 Reserved';
		ELSIF strInfoKey = 'model' THEN</v>
      </c>
      <c r="AH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</v>
      </c>
      <c r="AI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</v>
      </c>
      <c r="AJ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</v>
      </c>
      <c r="AK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</v>
      </c>
      <c r="AL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</v>
      </c>
      <c r="AM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</v>
      </c>
    </row>
    <row r="13" spans="1:39" x14ac:dyDescent="0.55000000000000004">
      <c r="A13" t="s">
        <v>26</v>
      </c>
      <c r="B13" t="str">
        <f ca="1">$AM$206</f>
        <v>//このスクリプトは C:\tk\prj\hg-0025-0016\event\20260717_1514_言語確認\[表示文字一覧.xlsx]ユニット動作名 によって生成されました。
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Standby Pos</v>
      </c>
      <c r="L13" t="str">
        <f ca="1"/>
        <v>Standby Pos</v>
      </c>
      <c r="N13" t="str">
        <f ca="1"/>
        <v>【31】 Standby Pos</v>
      </c>
      <c r="O13" t="str">
        <v>Standby Pos</v>
      </c>
      <c r="P13" t="str">
        <v>Standby Pos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//Standby Pos
	IF uiInfoIdx = 1 THEN</v>
      </c>
      <c r="AC13" t="str">
        <f ca="1"/>
        <v xml:space="preserve">
//3
ELSIF strInfoType = 3 THEN
	//Standby Pos
	IF uiInfoIdx = 1 THEN
		IF strInfoKey = 'name' THEN</v>
      </c>
      <c r="AD13" t="str">
        <f ca="1"/>
        <v xml:space="preserve">
//3
ELSIF strInfoType = 3 THEN
	//Standby Pos
	IF uiInfoIdx = 1 THEN
		IF strInfoKey = 'name' THEN
			strRt	:= 'Standby Pos';</v>
      </c>
      <c r="AE13" t="str">
        <f ca="1"/>
        <v xml:space="preserve">
//3
ELSIF strInfoType = 3 THEN
	//Standby Pos
	IF uiInfoIdx = 1 THEN
		IF strInfoKey = 'name' THEN
			strRt	:= 'Standby Pos';
		ELSIF strInfoKey = 'index_name' THEN</v>
      </c>
      <c r="AF13" t="str">
        <f ca="1"/>
        <v xml:space="preserve">
//3
ELSIF strInfoType = 3 THEN
	//Standby Pos
	IF uiInfoIdx = 1 THEN
		IF strInfoKey = 'name' THEN
			strRt	:= 'Standby Pos';
		ELSIF strInfoKey = 'index_name' THEN
			strRt	:= '【31】 Standby Pos';</v>
      </c>
      <c r="AG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</v>
      </c>
      <c r="AH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</v>
      </c>
      <c r="AI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</v>
      </c>
      <c r="AJ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</v>
      </c>
      <c r="AK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</v>
      </c>
      <c r="AL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</v>
      </c>
      <c r="AM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</v>
      </c>
    </row>
    <row r="14" spans="1:39" x14ac:dyDescent="0.55000000000000004">
      <c r="A14" t="s">
        <v>60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Reserved</v>
      </c>
      <c r="L14" t="str">
        <f ca="1"/>
        <v>Reserved</v>
      </c>
      <c r="N14" t="str">
        <f ca="1"/>
        <v>【32】 Reserved</v>
      </c>
      <c r="O14" t="str">
        <v>Reserved</v>
      </c>
      <c r="P14" t="str">
        <v>Reserved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//Reserved
	ELSIF uiInfoIdx = 2 THEN</v>
      </c>
      <c r="AC14" t="str">
        <f ca="1"/>
        <v xml:space="preserve">
	//Reserved
	ELSIF uiInfoIdx = 2 THEN
		IF strInfoKey = 'name' THEN</v>
      </c>
      <c r="AD14" t="str">
        <f ca="1"/>
        <v xml:space="preserve">
	//Reserved
	ELSIF uiInfoIdx = 2 THEN
		IF strInfoKey = 'name' THEN
			strRt	:= 'Reserved';</v>
      </c>
      <c r="AE14" t="str">
        <f ca="1"/>
        <v xml:space="preserve">
	//Reserved
	ELSIF uiInfoIdx = 2 THEN
		IF strInfoKey = 'name' THEN
			strRt	:= 'Reserved';
		ELSIF strInfoKey = 'index_name' THEN</v>
      </c>
      <c r="AF14" t="str">
        <f ca="1"/>
        <v xml:space="preserve">
	//Reserved
	ELSIF uiInfoIdx = 2 THEN
		IF strInfoKey = 'name' THEN
			strRt	:= 'Reserved';
		ELSIF strInfoKey = 'index_name' THEN
			strRt	:= '【32】 Reserved';</v>
      </c>
      <c r="AG14" t="str">
        <f ca="1"/>
        <v xml:space="preserve">
	//Reserved
	ELSIF uiInfoIdx = 2 THEN
		IF strInfoKey = 'name' THEN
			strRt	:= 'Reserved';
		ELSIF strInfoKey = 'index_name' THEN
			strRt	:= '【32】 Reserved';
		ELSIF strInfoKey = 'model' THEN</v>
      </c>
      <c r="AH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</v>
      </c>
      <c r="AI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</v>
      </c>
      <c r="AJ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</v>
      </c>
      <c r="AK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</v>
      </c>
      <c r="AL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</v>
      </c>
      <c r="AM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Reserved</v>
      </c>
      <c r="L15" t="str">
        <f ca="1"/>
        <v>Reserved</v>
      </c>
      <c r="N15" t="str">
        <f ca="1"/>
        <v>【33】 Reserved</v>
      </c>
      <c r="O15" t="str">
        <v>Reserved</v>
      </c>
      <c r="P15" t="str">
        <v>Reserved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//Reserved
	ELSIF uiInfoIdx = 3 THEN</v>
      </c>
      <c r="AC15" t="str">
        <f ca="1"/>
        <v xml:space="preserve">
	//Reserved
	ELSIF uiInfoIdx = 3 THEN
		IF strInfoKey = 'name' THEN</v>
      </c>
      <c r="AD15" t="str">
        <f ca="1"/>
        <v xml:space="preserve">
	//Reserved
	ELSIF uiInfoIdx = 3 THEN
		IF strInfoKey = 'name' THEN
			strRt	:= 'Reserved';</v>
      </c>
      <c r="AE15" t="str">
        <f ca="1"/>
        <v xml:space="preserve">
	//Reserved
	ELSIF uiInfoIdx = 3 THEN
		IF strInfoKey = 'name' THEN
			strRt	:= 'Reserved';
		ELSIF strInfoKey = 'index_name' THEN</v>
      </c>
      <c r="AF15" t="str">
        <f ca="1"/>
        <v xml:space="preserve">
	//Reserved
	ELSIF uiInfoIdx = 3 THEN
		IF strInfoKey = 'name' THEN
			strRt	:= 'Reserved';
		ELSIF strInfoKey = 'index_name' THEN
			strRt	:= '【33】 Reserved';</v>
      </c>
      <c r="AG15" t="str">
        <f ca="1"/>
        <v xml:space="preserve">
	//Reserved
	ELSIF uiInfoIdx = 3 THEN
		IF strInfoKey = 'name' THEN
			strRt	:= 'Reserved';
		ELSIF strInfoKey = 'index_name' THEN
			strRt	:= '【33】 Reserved';
		ELSIF strInfoKey = 'model' THEN</v>
      </c>
      <c r="AH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</v>
      </c>
      <c r="AI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</v>
      </c>
      <c r="AJ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</v>
      </c>
      <c r="AK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</v>
      </c>
      <c r="AL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</v>
      </c>
      <c r="AM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Reserved</v>
      </c>
      <c r="L16" t="str">
        <f ca="1"/>
        <v>Reserved</v>
      </c>
      <c r="N16" t="str">
        <f ca="1"/>
        <v>【34】 Reserved</v>
      </c>
      <c r="O16" t="str">
        <v>Reserved</v>
      </c>
      <c r="P16" t="str">
        <v>Reserved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//Reserved
	ELSIF uiInfoIdx = 4 THEN</v>
      </c>
      <c r="AC16" t="str">
        <f ca="1"/>
        <v xml:space="preserve">
	//Reserved
	ELSIF uiInfoIdx = 4 THEN
		IF strInfoKey = 'name' THEN</v>
      </c>
      <c r="AD16" t="str">
        <f ca="1"/>
        <v xml:space="preserve">
	//Reserved
	ELSIF uiInfoIdx = 4 THEN
		IF strInfoKey = 'name' THEN
			strRt	:= 'Reserved';</v>
      </c>
      <c r="AE16" t="str">
        <f ca="1"/>
        <v xml:space="preserve">
	//Reserved
	ELSIF uiInfoIdx = 4 THEN
		IF strInfoKey = 'name' THEN
			strRt	:= 'Reserved';
		ELSIF strInfoKey = 'index_name' THEN</v>
      </c>
      <c r="AF16" t="str">
        <f ca="1"/>
        <v xml:space="preserve">
	//Reserved
	ELSIF uiInfoIdx = 4 THEN
		IF strInfoKey = 'name' THEN
			strRt	:= 'Reserved';
		ELSIF strInfoKey = 'index_name' THEN
			strRt	:= '【34】 Reserved';</v>
      </c>
      <c r="AG16" t="str">
        <f ca="1"/>
        <v xml:space="preserve">
	//Reserved
	ELSIF uiInfoIdx = 4 THEN
		IF strInfoKey = 'name' THEN
			strRt	:= 'Reserved';
		ELSIF strInfoKey = 'index_name' THEN
			strRt	:= '【34】 Reserved';
		ELSIF strInfoKey = 'model' THEN</v>
      </c>
      <c r="AH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</v>
      </c>
      <c r="AI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</v>
      </c>
      <c r="AJ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</v>
      </c>
      <c r="AK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</v>
      </c>
      <c r="AL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</v>
      </c>
      <c r="AM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Reserved</v>
      </c>
      <c r="L17" t="str">
        <f ca="1"/>
        <v>Reserved</v>
      </c>
      <c r="N17" t="str">
        <f ca="1"/>
        <v>【35】 Reserved</v>
      </c>
      <c r="O17" t="str">
        <v>Reserved</v>
      </c>
      <c r="P17" t="str">
        <v>Reserved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//Reserved
	ELSIF uiInfoIdx = 5 THEN</v>
      </c>
      <c r="AC17" t="str">
        <f ca="1"/>
        <v xml:space="preserve">
	//Reserved
	ELSIF uiInfoIdx = 5 THEN
		IF strInfoKey = 'name' THEN</v>
      </c>
      <c r="AD17" t="str">
        <f ca="1"/>
        <v xml:space="preserve">
	//Reserved
	ELSIF uiInfoIdx = 5 THEN
		IF strInfoKey = 'name' THEN
			strRt	:= 'Reserved';</v>
      </c>
      <c r="AE17" t="str">
        <f ca="1"/>
        <v xml:space="preserve">
	//Reserved
	ELSIF uiInfoIdx = 5 THEN
		IF strInfoKey = 'name' THEN
			strRt	:= 'Reserved';
		ELSIF strInfoKey = 'index_name' THEN</v>
      </c>
      <c r="AF17" t="str">
        <f ca="1"/>
        <v xml:space="preserve">
	//Reserved
	ELSIF uiInfoIdx = 5 THEN
		IF strInfoKey = 'name' THEN
			strRt	:= 'Reserved';
		ELSIF strInfoKey = 'index_name' THEN
			strRt	:= '【35】 Reserved';</v>
      </c>
      <c r="AG17" t="str">
        <f ca="1"/>
        <v xml:space="preserve">
	//Reserved
	ELSIF uiInfoIdx = 5 THEN
		IF strInfoKey = 'name' THEN
			strRt	:= 'Reserved';
		ELSIF strInfoKey = 'index_name' THEN
			strRt	:= '【35】 Reserved';
		ELSIF strInfoKey = 'model' THEN</v>
      </c>
      <c r="AH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</v>
      </c>
      <c r="AI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</v>
      </c>
      <c r="AJ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</v>
      </c>
      <c r="AK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</v>
      </c>
      <c r="AL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</v>
      </c>
      <c r="AM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Standby Pos</v>
      </c>
      <c r="L18" t="str">
        <f ca="1"/>
        <v>Standby Pos</v>
      </c>
      <c r="N18" t="str">
        <f ca="1"/>
        <v>【41】 Standby Pos</v>
      </c>
      <c r="O18" t="str">
        <v>Standby Pos</v>
      </c>
      <c r="P18" t="str">
        <v>Standby Pos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//Standby Pos
	IF uiInfoIdx = 1 THEN</v>
      </c>
      <c r="AC18" t="str">
        <f ca="1"/>
        <v xml:space="preserve">
//4
ELSIF strInfoType = 4 THEN
	//Standby Pos
	IF uiInfoIdx = 1 THEN
		IF strInfoKey = 'name' THEN</v>
      </c>
      <c r="AD18" t="str">
        <f ca="1"/>
        <v xml:space="preserve">
//4
ELSIF strInfoType = 4 THEN
	//Standby Pos
	IF uiInfoIdx = 1 THEN
		IF strInfoKey = 'name' THEN
			strRt	:= 'Standby Pos';</v>
      </c>
      <c r="AE18" t="str">
        <f ca="1"/>
        <v xml:space="preserve">
//4
ELSIF strInfoType = 4 THEN
	//Standby Pos
	IF uiInfoIdx = 1 THEN
		IF strInfoKey = 'name' THEN
			strRt	:= 'Standby Pos';
		ELSIF strInfoKey = 'index_name' THEN</v>
      </c>
      <c r="AF18" t="str">
        <f ca="1"/>
        <v xml:space="preserve">
//4
ELSIF strInfoType = 4 THEN
	//Standby Pos
	IF uiInfoIdx = 1 THEN
		IF strInfoKey = 'name' THEN
			strRt	:= 'Standby Pos';
		ELSIF strInfoKey = 'index_name' THEN
			strRt	:= '【41】 Standby Pos';</v>
      </c>
      <c r="AG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</v>
      </c>
      <c r="AH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</v>
      </c>
      <c r="AI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</v>
      </c>
      <c r="AJ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</v>
      </c>
      <c r="AK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</v>
      </c>
      <c r="AL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</v>
      </c>
      <c r="AM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Reserved</v>
      </c>
      <c r="L19" t="str">
        <f ca="1"/>
        <v>Reserved</v>
      </c>
      <c r="N19" t="str">
        <f ca="1"/>
        <v>【42】 Reserved</v>
      </c>
      <c r="O19" t="str">
        <v>Reserved</v>
      </c>
      <c r="P19" t="str">
        <v>Reserved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//Reserved
	ELSIF uiInfoIdx = 2 THEN</v>
      </c>
      <c r="AC19" t="str">
        <f ca="1"/>
        <v xml:space="preserve">
	//Reserved
	ELSIF uiInfoIdx = 2 THEN
		IF strInfoKey = 'name' THEN</v>
      </c>
      <c r="AD19" t="str">
        <f ca="1"/>
        <v xml:space="preserve">
	//Reserved
	ELSIF uiInfoIdx = 2 THEN
		IF strInfoKey = 'name' THEN
			strRt	:= 'Reserved';</v>
      </c>
      <c r="AE19" t="str">
        <f ca="1"/>
        <v xml:space="preserve">
	//Reserved
	ELSIF uiInfoIdx = 2 THEN
		IF strInfoKey = 'name' THEN
			strRt	:= 'Reserved';
		ELSIF strInfoKey = 'index_name' THEN</v>
      </c>
      <c r="AF19" t="str">
        <f ca="1"/>
        <v xml:space="preserve">
	//Reserved
	ELSIF uiInfoIdx = 2 THEN
		IF strInfoKey = 'name' THEN
			strRt	:= 'Reserved';
		ELSIF strInfoKey = 'index_name' THEN
			strRt	:= '【42】 Reserved';</v>
      </c>
      <c r="AG19" t="str">
        <f ca="1"/>
        <v xml:space="preserve">
	//Reserved
	ELSIF uiInfoIdx = 2 THEN
		IF strInfoKey = 'name' THEN
			strRt	:= 'Reserved';
		ELSIF strInfoKey = 'index_name' THEN
			strRt	:= '【42】 Reserved';
		ELSIF strInfoKey = 'model' THEN</v>
      </c>
      <c r="AH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</v>
      </c>
      <c r="AI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</v>
      </c>
      <c r="AJ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</v>
      </c>
      <c r="AK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</v>
      </c>
      <c r="AL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</v>
      </c>
      <c r="AM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Reserved</v>
      </c>
      <c r="L20" t="str">
        <f ca="1"/>
        <v>Reserved</v>
      </c>
      <c r="N20" t="str">
        <f ca="1"/>
        <v>【43】 Reserved</v>
      </c>
      <c r="O20" t="str">
        <v>Reserved</v>
      </c>
      <c r="P20" t="str">
        <v>Reserved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//Reserved
	ELSIF uiInfoIdx = 3 THEN</v>
      </c>
      <c r="AC20" t="str">
        <f ca="1"/>
        <v xml:space="preserve">
	//Reserved
	ELSIF uiInfoIdx = 3 THEN
		IF strInfoKey = 'name' THEN</v>
      </c>
      <c r="AD20" t="str">
        <f ca="1"/>
        <v xml:space="preserve">
	//Reserved
	ELSIF uiInfoIdx = 3 THEN
		IF strInfoKey = 'name' THEN
			strRt	:= 'Reserved';</v>
      </c>
      <c r="AE20" t="str">
        <f ca="1"/>
        <v xml:space="preserve">
	//Reserved
	ELSIF uiInfoIdx = 3 THEN
		IF strInfoKey = 'name' THEN
			strRt	:= 'Reserved';
		ELSIF strInfoKey = 'index_name' THEN</v>
      </c>
      <c r="AF20" t="str">
        <f ca="1"/>
        <v xml:space="preserve">
	//Reserved
	ELSIF uiInfoIdx = 3 THEN
		IF strInfoKey = 'name' THEN
			strRt	:= 'Reserved';
		ELSIF strInfoKey = 'index_name' THEN
			strRt	:= '【43】 Reserved';</v>
      </c>
      <c r="AG20" t="str">
        <f ca="1"/>
        <v xml:space="preserve">
	//Reserved
	ELSIF uiInfoIdx = 3 THEN
		IF strInfoKey = 'name' THEN
			strRt	:= 'Reserved';
		ELSIF strInfoKey = 'index_name' THEN
			strRt	:= '【43】 Reserved';
		ELSIF strInfoKey = 'model' THEN</v>
      </c>
      <c r="AH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</v>
      </c>
      <c r="AI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</v>
      </c>
      <c r="AJ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</v>
      </c>
      <c r="AK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</v>
      </c>
      <c r="AL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</v>
      </c>
      <c r="AM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Reserved</v>
      </c>
      <c r="L21" t="str">
        <f ca="1"/>
        <v>Reserved</v>
      </c>
      <c r="N21" t="str">
        <f ca="1"/>
        <v>【44】 Reserved</v>
      </c>
      <c r="O21" t="str">
        <v>Reserved</v>
      </c>
      <c r="P21" t="str">
        <v>Reserved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//Reserved
	ELSIF uiInfoIdx = 4 THEN</v>
      </c>
      <c r="AC21" t="str">
        <f ca="1"/>
        <v xml:space="preserve">
	//Reserved
	ELSIF uiInfoIdx = 4 THEN
		IF strInfoKey = 'name' THEN</v>
      </c>
      <c r="AD21" t="str">
        <f ca="1"/>
        <v xml:space="preserve">
	//Reserved
	ELSIF uiInfoIdx = 4 THEN
		IF strInfoKey = 'name' THEN
			strRt	:= 'Reserved';</v>
      </c>
      <c r="AE21" t="str">
        <f ca="1"/>
        <v xml:space="preserve">
	//Reserved
	ELSIF uiInfoIdx = 4 THEN
		IF strInfoKey = 'name' THEN
			strRt	:= 'Reserved';
		ELSIF strInfoKey = 'index_name' THEN</v>
      </c>
      <c r="AF21" t="str">
        <f ca="1"/>
        <v xml:space="preserve">
	//Reserved
	ELSIF uiInfoIdx = 4 THEN
		IF strInfoKey = 'name' THEN
			strRt	:= 'Reserved';
		ELSIF strInfoKey = 'index_name' THEN
			strRt	:= '【44】 Reserved';</v>
      </c>
      <c r="AG21" t="str">
        <f ca="1"/>
        <v xml:space="preserve">
	//Reserved
	ELSIF uiInfoIdx = 4 THEN
		IF strInfoKey = 'name' THEN
			strRt	:= 'Reserved';
		ELSIF strInfoKey = 'index_name' THEN
			strRt	:= '【44】 Reserved';
		ELSIF strInfoKey = 'model' THEN</v>
      </c>
      <c r="AH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</v>
      </c>
      <c r="AI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</v>
      </c>
      <c r="AJ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</v>
      </c>
      <c r="AK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</v>
      </c>
      <c r="AL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</v>
      </c>
      <c r="AM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Reserved</v>
      </c>
      <c r="L22" t="str">
        <f ca="1"/>
        <v>Reserved</v>
      </c>
      <c r="N22" t="str">
        <f ca="1"/>
        <v>【45】 Reserved</v>
      </c>
      <c r="O22" t="str">
        <v>Reserved</v>
      </c>
      <c r="P22" t="str">
        <v>Reserved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//Reserved
	ELSIF uiInfoIdx = 5 THEN</v>
      </c>
      <c r="AC22" t="str">
        <f ca="1"/>
        <v xml:space="preserve">
	//Reserved
	ELSIF uiInfoIdx = 5 THEN
		IF strInfoKey = 'name' THEN</v>
      </c>
      <c r="AD22" t="str">
        <f ca="1"/>
        <v xml:space="preserve">
	//Reserved
	ELSIF uiInfoIdx = 5 THEN
		IF strInfoKey = 'name' THEN
			strRt	:= 'Reserved';</v>
      </c>
      <c r="AE22" t="str">
        <f ca="1"/>
        <v xml:space="preserve">
	//Reserved
	ELSIF uiInfoIdx = 5 THEN
		IF strInfoKey = 'name' THEN
			strRt	:= 'Reserved';
		ELSIF strInfoKey = 'index_name' THEN</v>
      </c>
      <c r="AF22" t="str">
        <f ca="1"/>
        <v xml:space="preserve">
	//Reserved
	ELSIF uiInfoIdx = 5 THEN
		IF strInfoKey = 'name' THEN
			strRt	:= 'Reserved';
		ELSIF strInfoKey = 'index_name' THEN
			strRt	:= '【45】 Reserved';</v>
      </c>
      <c r="AG22" t="str">
        <f ca="1"/>
        <v xml:space="preserve">
	//Reserved
	ELSIF uiInfoIdx = 5 THEN
		IF strInfoKey = 'name' THEN
			strRt	:= 'Reserved';
		ELSIF strInfoKey = 'index_name' THEN
			strRt	:= '【45】 Reserved';
		ELSIF strInfoKey = 'model' THEN</v>
      </c>
      <c r="AH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</v>
      </c>
      <c r="AI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</v>
      </c>
      <c r="AJ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</v>
      </c>
      <c r="AK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</v>
      </c>
      <c r="AL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</v>
      </c>
      <c r="AM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</v>
      </c>
    </row>
    <row r="23" spans="1:39" x14ac:dyDescent="0.55000000000000004">
      <c r="A23" t="s">
        <v>40</v>
      </c>
      <c r="B23">
        <v>1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Standby Pos</v>
      </c>
      <c r="L23" t="str">
        <f ca="1"/>
        <v>Standby Pos</v>
      </c>
      <c r="N23" t="str">
        <f ca="1"/>
        <v>【51】 Standby Pos</v>
      </c>
      <c r="O23" t="str">
        <v>Standby Pos</v>
      </c>
      <c r="P23" t="str">
        <v>Standby Pos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//Standby Pos
	IF uiInfoIdx = 1 THEN</v>
      </c>
      <c r="AC23" t="str">
        <f ca="1"/>
        <v xml:space="preserve">
//5
ELSIF strInfoType = 5 THEN
	//Standby Pos
	IF uiInfoIdx = 1 THEN
		IF strInfoKey = 'name' THEN</v>
      </c>
      <c r="AD23" t="str">
        <f ca="1"/>
        <v xml:space="preserve">
//5
ELSIF strInfoType = 5 THEN
	//Standby Pos
	IF uiInfoIdx = 1 THEN
		IF strInfoKey = 'name' THEN
			strRt	:= 'Standby Pos';</v>
      </c>
      <c r="AE23" t="str">
        <f ca="1"/>
        <v xml:space="preserve">
//5
ELSIF strInfoType = 5 THEN
	//Standby Pos
	IF uiInfoIdx = 1 THEN
		IF strInfoKey = 'name' THEN
			strRt	:= 'Standby Pos';
		ELSIF strInfoKey = 'index_name' THEN</v>
      </c>
      <c r="AF23" t="str">
        <f ca="1"/>
        <v xml:space="preserve">
//5
ELSIF strInfoType = 5 THEN
	//Standby Pos
	IF uiInfoIdx = 1 THEN
		IF strInfoKey = 'name' THEN
			strRt	:= 'Standby Pos';
		ELSIF strInfoKey = 'index_name' THEN
			strRt	:= '【51】 Standby Pos';</v>
      </c>
      <c r="AG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</v>
      </c>
      <c r="AH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</v>
      </c>
      <c r="AI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</v>
      </c>
      <c r="AJ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</v>
      </c>
      <c r="AK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</v>
      </c>
      <c r="AL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</v>
      </c>
      <c r="AM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Inspect Stby Pos</v>
      </c>
      <c r="L24" t="str">
        <f ca="1"/>
        <v>Inspect Stby Pos</v>
      </c>
      <c r="N24" t="str">
        <f ca="1"/>
        <v>【52】 Inspect Stby Pos</v>
      </c>
      <c r="O24" t="str">
        <v>Inspection Standby Pos</v>
      </c>
      <c r="P24" t="str">
        <v>Inspection Standby Pos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//Inspect Stby Pos
	ELSIF uiInfoIdx = 2 THEN</v>
      </c>
      <c r="AC24" t="str">
        <f ca="1"/>
        <v xml:space="preserve">
	//Inspect Stby Pos
	ELSIF uiInfoIdx = 2 THEN
		IF strInfoKey = 'name' THEN</v>
      </c>
      <c r="AD24" t="str">
        <f ca="1"/>
        <v xml:space="preserve">
	//Inspect Stby Pos
	ELSIF uiInfoIdx = 2 THEN
		IF strInfoKey = 'name' THEN
			strRt	:= 'Inspect Stby Pos';</v>
      </c>
      <c r="AE24" t="str">
        <f ca="1"/>
        <v xml:space="preserve">
	//Inspect Stby Pos
	ELSIF uiInfoIdx = 2 THEN
		IF strInfoKey = 'name' THEN
			strRt	:= 'Inspect Stby Pos';
		ELSIF strInfoKey = 'index_name' THEN</v>
      </c>
      <c r="AF24" t="str">
        <f ca="1"/>
        <v xml:space="preserve">
	//Inspect Stby Pos
	ELSIF uiInfoIdx = 2 THEN
		IF strInfoKey = 'name' THEN
			strRt	:= 'Inspect Stby Pos';
		ELSIF strInfoKey = 'index_name' THEN
			strRt	:= '【52】 Inspect Stby Pos';</v>
      </c>
      <c r="AG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</v>
      </c>
      <c r="AH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</v>
      </c>
      <c r="AI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</v>
      </c>
      <c r="AJ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</v>
      </c>
      <c r="AK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</v>
      </c>
      <c r="AL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</v>
      </c>
      <c r="AM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</v>
      </c>
    </row>
    <row r="25" spans="1:39" x14ac:dyDescent="0.55000000000000004">
      <c r="A25" t="s">
        <v>32</v>
      </c>
      <c r="B25" t="s">
        <v>61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Recv/Dischg Pos</v>
      </c>
      <c r="L25" t="str">
        <f ca="1"/>
        <v>Recv/Dischg Pos</v>
      </c>
      <c r="N25" t="str">
        <f ca="1"/>
        <v>【53】 Recv/Dischg Pos</v>
      </c>
      <c r="O25" t="str">
        <v>Receive &amp; Discharge Pos</v>
      </c>
      <c r="P25" t="str">
        <v>Receive &amp; Discharge Pos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//Recv/Dischg Pos
	ELSIF uiInfoIdx = 3 THEN</v>
      </c>
      <c r="AC25" t="str">
        <f ca="1"/>
        <v xml:space="preserve">
	//Recv/Dischg Pos
	ELSIF uiInfoIdx = 3 THEN
		IF strInfoKey = 'name' THEN</v>
      </c>
      <c r="AD25" t="str">
        <f ca="1"/>
        <v xml:space="preserve">
	//Recv/Dischg Pos
	ELSIF uiInfoIdx = 3 THEN
		IF strInfoKey = 'name' THEN
			strRt	:= 'Recv/Dischg Pos';</v>
      </c>
      <c r="AE25" t="str">
        <f ca="1"/>
        <v xml:space="preserve">
	//Recv/Dischg Pos
	ELSIF uiInfoIdx = 3 THEN
		IF strInfoKey = 'name' THEN
			strRt	:= 'Recv/Dischg Pos';
		ELSIF strInfoKey = 'index_name' THEN</v>
      </c>
      <c r="AF25" t="str">
        <f ca="1"/>
        <v xml:space="preserve">
	//Recv/Dischg Pos
	ELSIF uiInfoIdx = 3 THEN
		IF strInfoKey = 'name' THEN
			strRt	:= 'Recv/Dischg Pos';
		ELSIF strInfoKey = 'index_name' THEN
			strRt	:= '【53】 Recv/Dischg Pos';</v>
      </c>
      <c r="AG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</v>
      </c>
      <c r="AH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</v>
      </c>
      <c r="AI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</v>
      </c>
      <c r="AJ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</v>
      </c>
      <c r="AK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</v>
      </c>
      <c r="AL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</v>
      </c>
      <c r="AM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</v>
      </c>
    </row>
    <row r="26" spans="1:39" x14ac:dyDescent="0.55000000000000004">
      <c r="A26" t="s">
        <v>28</v>
      </c>
      <c r="B26" t="s">
        <v>62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Recv/Transfer Pos</v>
      </c>
      <c r="L26" t="str">
        <f ca="1"/>
        <v>Recv/Transfer Pos</v>
      </c>
      <c r="N26" t="str">
        <f ca="1"/>
        <v>【54】 Recv/Transfer Pos</v>
      </c>
      <c r="O26" t="str">
        <v>Receive &amp; Transfer Pos</v>
      </c>
      <c r="P26" t="str">
        <v>Receive &amp; Transfer Pos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//Recv/Transfer Pos
	ELSIF uiInfoIdx = 4 THEN</v>
      </c>
      <c r="AC26" t="str">
        <f ca="1"/>
        <v xml:space="preserve">
	//Recv/Transfer Pos
	ELSIF uiInfoIdx = 4 THEN
		IF strInfoKey = 'name' THEN</v>
      </c>
      <c r="AD26" t="str">
        <f ca="1"/>
        <v xml:space="preserve">
	//Recv/Transfer Pos
	ELSIF uiInfoIdx = 4 THEN
		IF strInfoKey = 'name' THEN
			strRt	:= 'Recv/Transfer Pos';</v>
      </c>
      <c r="AE26" t="str">
        <f ca="1"/>
        <v xml:space="preserve">
	//Recv/Transfer Pos
	ELSIF uiInfoIdx = 4 THEN
		IF strInfoKey = 'name' THEN
			strRt	:= 'Recv/Transfer Pos';
		ELSIF strInfoKey = 'index_name' THEN</v>
      </c>
      <c r="AF26" t="str">
        <f ca="1"/>
        <v xml:space="preserve">
	//Recv/Transfer Pos
	ELSIF uiInfoIdx = 4 THEN
		IF strInfoKey = 'name' THEN
			strRt	:= 'Recv/Transfer Pos';
		ELSIF strInfoKey = 'index_name' THEN
			strRt	:= '【54】 Recv/Transfer Pos';</v>
      </c>
      <c r="AG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</v>
      </c>
      <c r="AH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</v>
      </c>
      <c r="AI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</v>
      </c>
      <c r="AJ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</v>
      </c>
      <c r="AK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</v>
      </c>
      <c r="AL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</v>
      </c>
      <c r="AM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</v>
      </c>
    </row>
    <row r="27" spans="1:39" x14ac:dyDescent="0.55000000000000004">
      <c r="A27" t="s">
        <v>29</v>
      </c>
      <c r="B27" t="s">
        <v>63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Reserved</v>
      </c>
      <c r="L27" t="str">
        <f ca="1"/>
        <v>Reserved</v>
      </c>
      <c r="N27" t="str">
        <f ca="1"/>
        <v>【55】 Reserved</v>
      </c>
      <c r="O27" t="str">
        <v>Reserved</v>
      </c>
      <c r="P27" t="str">
        <v>Reserved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//Reserved
	ELSIF uiInfoIdx = 5 THEN</v>
      </c>
      <c r="AC27" t="str">
        <f ca="1"/>
        <v xml:space="preserve">
	//Reserved
	ELSIF uiInfoIdx = 5 THEN
		IF strInfoKey = 'name' THEN</v>
      </c>
      <c r="AD27" t="str">
        <f ca="1"/>
        <v xml:space="preserve">
	//Reserved
	ELSIF uiInfoIdx = 5 THEN
		IF strInfoKey = 'name' THEN
			strRt	:= 'Reserved';</v>
      </c>
      <c r="AE27" t="str">
        <f ca="1"/>
        <v xml:space="preserve">
	//Reserved
	ELSIF uiInfoIdx = 5 THEN
		IF strInfoKey = 'name' THEN
			strRt	:= 'Reserved';
		ELSIF strInfoKey = 'index_name' THEN</v>
      </c>
      <c r="AF27" t="str">
        <f ca="1"/>
        <v xml:space="preserve">
	//Reserved
	ELSIF uiInfoIdx = 5 THEN
		IF strInfoKey = 'name' THEN
			strRt	:= 'Reserved';
		ELSIF strInfoKey = 'index_name' THEN
			strRt	:= '【55】 Reserved';</v>
      </c>
      <c r="AG27" t="str">
        <f ca="1"/>
        <v xml:space="preserve">
	//Reserved
	ELSIF uiInfoIdx = 5 THEN
		IF strInfoKey = 'name' THEN
			strRt	:= 'Reserved';
		ELSIF strInfoKey = 'index_name' THEN
			strRt	:= '【55】 Reserved';
		ELSIF strInfoKey = 'model' THEN</v>
      </c>
      <c r="AH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</v>
      </c>
      <c r="AI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</v>
      </c>
      <c r="AJ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</v>
      </c>
      <c r="AK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</v>
      </c>
      <c r="AL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</v>
      </c>
      <c r="AM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</v>
      </c>
    </row>
    <row r="28" spans="1:39" x14ac:dyDescent="0.55000000000000004">
      <c r="A28" t="s">
        <v>27</v>
      </c>
      <c r="B28" t="s">
        <v>66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Standby Pos</v>
      </c>
      <c r="L28" t="str">
        <f ca="1"/>
        <v>Standby Pos</v>
      </c>
      <c r="N28" t="str">
        <f ca="1"/>
        <v>【61】 Standby Pos</v>
      </c>
      <c r="O28" t="str">
        <v>Standby Pos</v>
      </c>
      <c r="P28" t="str">
        <v>Standby Pos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//Standby Pos
	IF uiInfoIdx = 1 THEN</v>
      </c>
      <c r="AC28" t="str">
        <f ca="1"/>
        <v xml:space="preserve">
//6
ELSIF strInfoType = 6 THEN
	//Standby Pos
	IF uiInfoIdx = 1 THEN
		IF strInfoKey = 'name' THEN</v>
      </c>
      <c r="AD28" t="str">
        <f ca="1"/>
        <v xml:space="preserve">
//6
ELSIF strInfoType = 6 THEN
	//Standby Pos
	IF uiInfoIdx = 1 THEN
		IF strInfoKey = 'name' THEN
			strRt	:= 'Standby Pos';</v>
      </c>
      <c r="AE28" t="str">
        <f ca="1"/>
        <v xml:space="preserve">
//6
ELSIF strInfoType = 6 THEN
	//Standby Pos
	IF uiInfoIdx = 1 THEN
		IF strInfoKey = 'name' THEN
			strRt	:= 'Standby Pos';
		ELSIF strInfoKey = 'index_name' THEN</v>
      </c>
      <c r="AF28" t="str">
        <f ca="1"/>
        <v xml:space="preserve">
//6
ELSIF strInfoType = 6 THEN
	//Standby Pos
	IF uiInfoIdx = 1 THEN
		IF strInfoKey = 'name' THEN
			strRt	:= 'Standby Pos';
		ELSIF strInfoKey = 'index_name' THEN
			strRt	:= '【61】 Standby Pos';</v>
      </c>
      <c r="AG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</v>
      </c>
      <c r="AH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</v>
      </c>
      <c r="AI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</v>
      </c>
      <c r="AJ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</v>
      </c>
      <c r="AK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</v>
      </c>
      <c r="AL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</v>
      </c>
      <c r="AM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</v>
      </c>
    </row>
    <row r="29" spans="1:39" x14ac:dyDescent="0.55000000000000004">
      <c r="A29" t="s">
        <v>47</v>
      </c>
      <c r="B29" t="s">
        <v>67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Measure Pos</v>
      </c>
      <c r="L29" t="str">
        <f ca="1"/>
        <v>Measure Pos</v>
      </c>
      <c r="N29" t="str">
        <f ca="1"/>
        <v>【62】 Measure Pos</v>
      </c>
      <c r="O29" t="str">
        <v>Measurement Pos</v>
      </c>
      <c r="P29" t="str">
        <v>Measurement Pos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//Measure Pos
	ELSIF uiInfoIdx = 2 THEN</v>
      </c>
      <c r="AC29" t="str">
        <f ca="1"/>
        <v xml:space="preserve">
	//Measure Pos
	ELSIF uiInfoIdx = 2 THEN
		IF strInfoKey = 'name' THEN</v>
      </c>
      <c r="AD29" t="str">
        <f ca="1"/>
        <v xml:space="preserve">
	//Measure Pos
	ELSIF uiInfoIdx = 2 THEN
		IF strInfoKey = 'name' THEN
			strRt	:= 'Measure Pos';</v>
      </c>
      <c r="AE29" t="str">
        <f ca="1"/>
        <v xml:space="preserve">
	//Measure Pos
	ELSIF uiInfoIdx = 2 THEN
		IF strInfoKey = 'name' THEN
			strRt	:= 'Measure Pos';
		ELSIF strInfoKey = 'index_name' THEN</v>
      </c>
      <c r="AF29" t="str">
        <f ca="1"/>
        <v xml:space="preserve">
	//Measure Pos
	ELSIF uiInfoIdx = 2 THEN
		IF strInfoKey = 'name' THEN
			strRt	:= 'Measure Pos';
		ELSIF strInfoKey = 'index_name' THEN
			strRt	:= '【62】 Measure Pos';</v>
      </c>
      <c r="AG29" t="str">
        <f ca="1"/>
        <v xml:space="preserve">
	//Measure Pos
	ELSIF uiInfoIdx = 2 THEN
		IF strInfoKey = 'name' THEN
			strRt	:= 'Measure Pos';
		ELSIF strInfoKey = 'index_name' THEN
			strRt	:= '【62】 Measure Pos';
		ELSIF strInfoKey = 'model' THEN</v>
      </c>
      <c r="AH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</v>
      </c>
      <c r="AI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</v>
      </c>
      <c r="AJ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</v>
      </c>
      <c r="AK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</v>
      </c>
      <c r="AL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</v>
      </c>
      <c r="AM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Reserved</v>
      </c>
      <c r="L30" t="str">
        <f ca="1"/>
        <v>Reserved</v>
      </c>
      <c r="N30" t="str">
        <f ca="1"/>
        <v>【63】 Reserved</v>
      </c>
      <c r="O30" t="str">
        <v>Reserved</v>
      </c>
      <c r="P30" t="str">
        <v>Reserved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//Reserved
	ELSIF uiInfoIdx = 3 THEN</v>
      </c>
      <c r="AC30" t="str">
        <f ca="1"/>
        <v xml:space="preserve">
	//Reserved
	ELSIF uiInfoIdx = 3 THEN
		IF strInfoKey = 'name' THEN</v>
      </c>
      <c r="AD30" t="str">
        <f ca="1"/>
        <v xml:space="preserve">
	//Reserved
	ELSIF uiInfoIdx = 3 THEN
		IF strInfoKey = 'name' THEN
			strRt	:= 'Reserved';</v>
      </c>
      <c r="AE30" t="str">
        <f ca="1"/>
        <v xml:space="preserve">
	//Reserved
	ELSIF uiInfoIdx = 3 THEN
		IF strInfoKey = 'name' THEN
			strRt	:= 'Reserved';
		ELSIF strInfoKey = 'index_name' THEN</v>
      </c>
      <c r="AF30" t="str">
        <f ca="1"/>
        <v xml:space="preserve">
	//Reserved
	ELSIF uiInfoIdx = 3 THEN
		IF strInfoKey = 'name' THEN
			strRt	:= 'Reserved';
		ELSIF strInfoKey = 'index_name' THEN
			strRt	:= '【63】 Reserved';</v>
      </c>
      <c r="AG30" t="str">
        <f ca="1"/>
        <v xml:space="preserve">
	//Reserved
	ELSIF uiInfoIdx = 3 THEN
		IF strInfoKey = 'name' THEN
			strRt	:= 'Reserved';
		ELSIF strInfoKey = 'index_name' THEN
			strRt	:= '【63】 Reserved';
		ELSIF strInfoKey = 'model' THEN</v>
      </c>
      <c r="AH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</v>
      </c>
      <c r="AI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</v>
      </c>
      <c r="AJ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</v>
      </c>
      <c r="AK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</v>
      </c>
      <c r="AL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</v>
      </c>
      <c r="AM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Reserved</v>
      </c>
      <c r="L31" t="str">
        <f ca="1"/>
        <v>Reserved</v>
      </c>
      <c r="N31" t="str">
        <f ca="1"/>
        <v>【64】 Reserved</v>
      </c>
      <c r="O31" t="str">
        <v>Reserved</v>
      </c>
      <c r="P31" t="str">
        <v>Reserved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//Reserved
	ELSIF uiInfoIdx = 4 THEN</v>
      </c>
      <c r="AC31" t="str">
        <f ca="1"/>
        <v xml:space="preserve">
	//Reserved
	ELSIF uiInfoIdx = 4 THEN
		IF strInfoKey = 'name' THEN</v>
      </c>
      <c r="AD31" t="str">
        <f ca="1"/>
        <v xml:space="preserve">
	//Reserved
	ELSIF uiInfoIdx = 4 THEN
		IF strInfoKey = 'name' THEN
			strRt	:= 'Reserved';</v>
      </c>
      <c r="AE31" t="str">
        <f ca="1"/>
        <v xml:space="preserve">
	//Reserved
	ELSIF uiInfoIdx = 4 THEN
		IF strInfoKey = 'name' THEN
			strRt	:= 'Reserved';
		ELSIF strInfoKey = 'index_name' THEN</v>
      </c>
      <c r="AF31" t="str">
        <f ca="1"/>
        <v xml:space="preserve">
	//Reserved
	ELSIF uiInfoIdx = 4 THEN
		IF strInfoKey = 'name' THEN
			strRt	:= 'Reserved';
		ELSIF strInfoKey = 'index_name' THEN
			strRt	:= '【64】 Reserved';</v>
      </c>
      <c r="AG31" t="str">
        <f ca="1"/>
        <v xml:space="preserve">
	//Reserved
	ELSIF uiInfoIdx = 4 THEN
		IF strInfoKey = 'name' THEN
			strRt	:= 'Reserved';
		ELSIF strInfoKey = 'index_name' THEN
			strRt	:= '【64】 Reserved';
		ELSIF strInfoKey = 'model' THEN</v>
      </c>
      <c r="AH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</v>
      </c>
      <c r="AI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</v>
      </c>
      <c r="AJ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</v>
      </c>
      <c r="AK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</v>
      </c>
      <c r="AL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</v>
      </c>
      <c r="AM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Reserved</v>
      </c>
      <c r="L32" t="str">
        <f ca="1"/>
        <v>Reserved</v>
      </c>
      <c r="N32" t="str">
        <f ca="1"/>
        <v>【65】 Reserved</v>
      </c>
      <c r="O32" t="str">
        <v>Reserved</v>
      </c>
      <c r="P32" t="str">
        <v>Reserved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//Reserved
	ELSIF uiInfoIdx = 5 THEN</v>
      </c>
      <c r="AC32" t="str">
        <f ca="1"/>
        <v xml:space="preserve">
	//Reserved
	ELSIF uiInfoIdx = 5 THEN
		IF strInfoKey = 'name' THEN</v>
      </c>
      <c r="AD32" t="str">
        <f ca="1"/>
        <v xml:space="preserve">
	//Reserved
	ELSIF uiInfoIdx = 5 THEN
		IF strInfoKey = 'name' THEN
			strRt	:= 'Reserved';</v>
      </c>
      <c r="AE32" t="str">
        <f ca="1"/>
        <v xml:space="preserve">
	//Reserved
	ELSIF uiInfoIdx = 5 THEN
		IF strInfoKey = 'name' THEN
			strRt	:= 'Reserved';
		ELSIF strInfoKey = 'index_name' THEN</v>
      </c>
      <c r="AF32" t="str">
        <f ca="1"/>
        <v xml:space="preserve">
	//Reserved
	ELSIF uiInfoIdx = 5 THEN
		IF strInfoKey = 'name' THEN
			strRt	:= 'Reserved';
		ELSIF strInfoKey = 'index_name' THEN
			strRt	:= '【65】 Reserved';</v>
      </c>
      <c r="AG32" t="str">
        <f ca="1"/>
        <v xml:space="preserve">
	//Reserved
	ELSIF uiInfoIdx = 5 THEN
		IF strInfoKey = 'name' THEN
			strRt	:= 'Reserved';
		ELSIF strInfoKey = 'index_name' THEN
			strRt	:= '【65】 Reserved';
		ELSIF strInfoKey = 'model' THEN</v>
      </c>
      <c r="AH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</v>
      </c>
      <c r="AI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</v>
      </c>
      <c r="AJ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</v>
      </c>
      <c r="AK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</v>
      </c>
      <c r="AL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</v>
      </c>
      <c r="AM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Open Pos</v>
      </c>
      <c r="L33" t="str">
        <f ca="1"/>
        <v>Open Pos</v>
      </c>
      <c r="N33" t="str">
        <f ca="1"/>
        <v>【71】 Open Pos</v>
      </c>
      <c r="O33" t="str">
        <v>Open Pos</v>
      </c>
      <c r="P33" t="str">
        <v>Open Pos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//Open Pos
	IF uiInfoIdx = 1 THEN</v>
      </c>
      <c r="AC33" t="str">
        <f ca="1"/>
        <v xml:space="preserve">
//7
ELSIF strInfoType = 7 THEN
	//Open Pos
	IF uiInfoIdx = 1 THEN
		IF strInfoKey = 'name' THEN</v>
      </c>
      <c r="AD33" t="str">
        <f ca="1"/>
        <v xml:space="preserve">
//7
ELSIF strInfoType = 7 THEN
	//Open Pos
	IF uiInfoIdx = 1 THEN
		IF strInfoKey = 'name' THEN
			strRt	:= 'Open Pos';</v>
      </c>
      <c r="AE33" t="str">
        <f ca="1"/>
        <v xml:space="preserve">
//7
ELSIF strInfoType = 7 THEN
	//Open Pos
	IF uiInfoIdx = 1 THEN
		IF strInfoKey = 'name' THEN
			strRt	:= 'Open Pos';
		ELSIF strInfoKey = 'index_name' THEN</v>
      </c>
      <c r="AF33" t="str">
        <f ca="1"/>
        <v xml:space="preserve">
//7
ELSIF strInfoType = 7 THEN
	//Open Pos
	IF uiInfoIdx = 1 THEN
		IF strInfoKey = 'name' THEN
			strRt	:= 'Open Pos';
		ELSIF strInfoKey = 'index_name' THEN
			strRt	:= '【71】 Open Pos';</v>
      </c>
      <c r="AG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</v>
      </c>
      <c r="AH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</v>
      </c>
      <c r="AI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</v>
      </c>
      <c r="AJ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</v>
      </c>
      <c r="AK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</v>
      </c>
      <c r="AL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</v>
      </c>
      <c r="AM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Close Pos</v>
      </c>
      <c r="L34" t="str">
        <f ca="1"/>
        <v>Close Pos</v>
      </c>
      <c r="N34" t="str">
        <f ca="1"/>
        <v>【72】 Close Pos</v>
      </c>
      <c r="O34" t="str">
        <v>Close Pos</v>
      </c>
      <c r="P34" t="str">
        <v>Close Pos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//Close Pos
	ELSIF uiInfoIdx = 2 THEN</v>
      </c>
      <c r="AC34" t="str">
        <f ca="1"/>
        <v xml:space="preserve">
	//Close Pos
	ELSIF uiInfoIdx = 2 THEN
		IF strInfoKey = 'name' THEN</v>
      </c>
      <c r="AD34" t="str">
        <f ca="1"/>
        <v xml:space="preserve">
	//Close Pos
	ELSIF uiInfoIdx = 2 THEN
		IF strInfoKey = 'name' THEN
			strRt	:= 'Close Pos';</v>
      </c>
      <c r="AE34" t="str">
        <f ca="1"/>
        <v xml:space="preserve">
	//Close Pos
	ELSIF uiInfoIdx = 2 THEN
		IF strInfoKey = 'name' THEN
			strRt	:= 'Close Pos';
		ELSIF strInfoKey = 'index_name' THEN</v>
      </c>
      <c r="AF34" t="str">
        <f ca="1"/>
        <v xml:space="preserve">
	//Close Pos
	ELSIF uiInfoIdx = 2 THEN
		IF strInfoKey = 'name' THEN
			strRt	:= 'Close Pos';
		ELSIF strInfoKey = 'index_name' THEN
			strRt	:= '【72】 Close Pos';</v>
      </c>
      <c r="AG34" t="str">
        <f ca="1"/>
        <v xml:space="preserve">
	//Close Pos
	ELSIF uiInfoIdx = 2 THEN
		IF strInfoKey = 'name' THEN
			strRt	:= 'Close Pos';
		ELSIF strInfoKey = 'index_name' THEN
			strRt	:= '【72】 Close Pos';
		ELSIF strInfoKey = 'model' THEN</v>
      </c>
      <c r="AH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</v>
      </c>
      <c r="AI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</v>
      </c>
      <c r="AJ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</v>
      </c>
      <c r="AK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</v>
      </c>
      <c r="AL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</v>
      </c>
      <c r="AM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Reserved</v>
      </c>
      <c r="L35" t="str">
        <f ca="1"/>
        <v>Reserved</v>
      </c>
      <c r="N35" t="str">
        <f ca="1"/>
        <v>【73】 Reserved</v>
      </c>
      <c r="O35" t="str">
        <v>Reserved</v>
      </c>
      <c r="P35" t="str">
        <v>Reserved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//Reserved
	ELSIF uiInfoIdx = 3 THEN</v>
      </c>
      <c r="AC35" t="str">
        <f ca="1"/>
        <v xml:space="preserve">
	//Reserved
	ELSIF uiInfoIdx = 3 THEN
		IF strInfoKey = 'name' THEN</v>
      </c>
      <c r="AD35" t="str">
        <f ca="1"/>
        <v xml:space="preserve">
	//Reserved
	ELSIF uiInfoIdx = 3 THEN
		IF strInfoKey = 'name' THEN
			strRt	:= 'Reserved';</v>
      </c>
      <c r="AE35" t="str">
        <f ca="1"/>
        <v xml:space="preserve">
	//Reserved
	ELSIF uiInfoIdx = 3 THEN
		IF strInfoKey = 'name' THEN
			strRt	:= 'Reserved';
		ELSIF strInfoKey = 'index_name' THEN</v>
      </c>
      <c r="AF35" t="str">
        <f ca="1"/>
        <v xml:space="preserve">
	//Reserved
	ELSIF uiInfoIdx = 3 THEN
		IF strInfoKey = 'name' THEN
			strRt	:= 'Reserved';
		ELSIF strInfoKey = 'index_name' THEN
			strRt	:= '【73】 Reserved';</v>
      </c>
      <c r="AG35" t="str">
        <f ca="1"/>
        <v xml:space="preserve">
	//Reserved
	ELSIF uiInfoIdx = 3 THEN
		IF strInfoKey = 'name' THEN
			strRt	:= 'Reserved';
		ELSIF strInfoKey = 'index_name' THEN
			strRt	:= '【73】 Reserved';
		ELSIF strInfoKey = 'model' THEN</v>
      </c>
      <c r="AH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</v>
      </c>
      <c r="AI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</v>
      </c>
      <c r="AJ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</v>
      </c>
      <c r="AK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</v>
      </c>
      <c r="AL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</v>
      </c>
      <c r="AM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Reserved</v>
      </c>
      <c r="L36" t="str">
        <f ca="1"/>
        <v>Reserved</v>
      </c>
      <c r="N36" t="str">
        <f ca="1"/>
        <v>【74】 Reserved</v>
      </c>
      <c r="O36" t="str">
        <v>Reserved</v>
      </c>
      <c r="P36" t="str">
        <v>Reserved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//Reserved
	ELSIF uiInfoIdx = 4 THEN</v>
      </c>
      <c r="AC36" t="str">
        <f ca="1"/>
        <v xml:space="preserve">
	//Reserved
	ELSIF uiInfoIdx = 4 THEN
		IF strInfoKey = 'name' THEN</v>
      </c>
      <c r="AD36" t="str">
        <f ca="1"/>
        <v xml:space="preserve">
	//Reserved
	ELSIF uiInfoIdx = 4 THEN
		IF strInfoKey = 'name' THEN
			strRt	:= 'Reserved';</v>
      </c>
      <c r="AE36" t="str">
        <f ca="1"/>
        <v xml:space="preserve">
	//Reserved
	ELSIF uiInfoIdx = 4 THEN
		IF strInfoKey = 'name' THEN
			strRt	:= 'Reserved';
		ELSIF strInfoKey = 'index_name' THEN</v>
      </c>
      <c r="AF36" t="str">
        <f ca="1"/>
        <v xml:space="preserve">
	//Reserved
	ELSIF uiInfoIdx = 4 THEN
		IF strInfoKey = 'name' THEN
			strRt	:= 'Reserved';
		ELSIF strInfoKey = 'index_name' THEN
			strRt	:= '【74】 Reserved';</v>
      </c>
      <c r="AG36" t="str">
        <f ca="1"/>
        <v xml:space="preserve">
	//Reserved
	ELSIF uiInfoIdx = 4 THEN
		IF strInfoKey = 'name' THEN
			strRt	:= 'Reserved';
		ELSIF strInfoKey = 'index_name' THEN
			strRt	:= '【74】 Reserved';
		ELSIF strInfoKey = 'model' THEN</v>
      </c>
      <c r="AH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</v>
      </c>
      <c r="AI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</v>
      </c>
      <c r="AJ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</v>
      </c>
      <c r="AK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</v>
      </c>
      <c r="AL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</v>
      </c>
      <c r="AM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Reserved</v>
      </c>
      <c r="L37" t="str">
        <f ca="1"/>
        <v>Reserved</v>
      </c>
      <c r="N37" t="str">
        <f ca="1"/>
        <v>【75】 Reserved</v>
      </c>
      <c r="O37" t="str">
        <v>Reserved</v>
      </c>
      <c r="P37" t="str">
        <v>Reserved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//Reserved
	ELSIF uiInfoIdx = 5 THEN</v>
      </c>
      <c r="AC37" t="str">
        <f ca="1"/>
        <v xml:space="preserve">
	//Reserved
	ELSIF uiInfoIdx = 5 THEN
		IF strInfoKey = 'name' THEN</v>
      </c>
      <c r="AD37" t="str">
        <f ca="1"/>
        <v xml:space="preserve">
	//Reserved
	ELSIF uiInfoIdx = 5 THEN
		IF strInfoKey = 'name' THEN
			strRt	:= 'Reserved';</v>
      </c>
      <c r="AE37" t="str">
        <f ca="1"/>
        <v xml:space="preserve">
	//Reserved
	ELSIF uiInfoIdx = 5 THEN
		IF strInfoKey = 'name' THEN
			strRt	:= 'Reserved';
		ELSIF strInfoKey = 'index_name' THEN</v>
      </c>
      <c r="AF37" t="str">
        <f ca="1"/>
        <v xml:space="preserve">
	//Reserved
	ELSIF uiInfoIdx = 5 THEN
		IF strInfoKey = 'name' THEN
			strRt	:= 'Reserved';
		ELSIF strInfoKey = 'index_name' THEN
			strRt	:= '【75】 Reserved';</v>
      </c>
      <c r="AG37" t="str">
        <f ca="1"/>
        <v xml:space="preserve">
	//Reserved
	ELSIF uiInfoIdx = 5 THEN
		IF strInfoKey = 'name' THEN
			strRt	:= 'Reserved';
		ELSIF strInfoKey = 'index_name' THEN
			strRt	:= '【75】 Reserved';
		ELSIF strInfoKey = 'model' THEN</v>
      </c>
      <c r="AH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</v>
      </c>
      <c r="AI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</v>
      </c>
      <c r="AJ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</v>
      </c>
      <c r="AK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</v>
      </c>
      <c r="AL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</v>
      </c>
      <c r="AM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Standby Pos</v>
      </c>
      <c r="L38" t="str">
        <f ca="1"/>
        <v>Standby Pos</v>
      </c>
      <c r="N38" t="str">
        <f ca="1"/>
        <v>【81】 Standby Pos</v>
      </c>
      <c r="O38" t="str">
        <v>Standby Pos</v>
      </c>
      <c r="P38" t="str">
        <v>Standby Pos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//Standby Pos
	IF uiInfoIdx = 1 THEN</v>
      </c>
      <c r="AC38" t="str">
        <f ca="1"/>
        <v xml:space="preserve">
//8
ELSIF strInfoType = 8 THEN
	//Standby Pos
	IF uiInfoIdx = 1 THEN
		IF strInfoKey = 'name' THEN</v>
      </c>
      <c r="AD38" t="str">
        <f ca="1"/>
        <v xml:space="preserve">
//8
ELSIF strInfoType = 8 THEN
	//Standby Pos
	IF uiInfoIdx = 1 THEN
		IF strInfoKey = 'name' THEN
			strRt	:= 'Standby Pos';</v>
      </c>
      <c r="AE38" t="str">
        <f ca="1"/>
        <v xml:space="preserve">
//8
ELSIF strInfoType = 8 THEN
	//Standby Pos
	IF uiInfoIdx = 1 THEN
		IF strInfoKey = 'name' THEN
			strRt	:= 'Standby Pos';
		ELSIF strInfoKey = 'index_name' THEN</v>
      </c>
      <c r="AF38" t="str">
        <f ca="1"/>
        <v xml:space="preserve">
//8
ELSIF strInfoType = 8 THEN
	//Standby Pos
	IF uiInfoIdx = 1 THEN
		IF strInfoKey = 'name' THEN
			strRt	:= 'Standby Pos';
		ELSIF strInfoKey = 'index_name' THEN
			strRt	:= '【81】 Standby Pos';</v>
      </c>
      <c r="AG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</v>
      </c>
      <c r="AH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</v>
      </c>
      <c r="AI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</v>
      </c>
      <c r="AJ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</v>
      </c>
      <c r="AK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</v>
      </c>
      <c r="AL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</v>
      </c>
      <c r="AM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Clamp Pos</v>
      </c>
      <c r="L39" t="str">
        <f ca="1"/>
        <v>Clamp Pos</v>
      </c>
      <c r="N39" t="str">
        <f ca="1"/>
        <v>【82】 Clamp Pos</v>
      </c>
      <c r="O39" t="str">
        <v>Clamp Pos</v>
      </c>
      <c r="P39" t="str">
        <v>Clamp Pos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//Clamp Pos
	ELSIF uiInfoIdx = 2 THEN</v>
      </c>
      <c r="AC39" t="str">
        <f ca="1"/>
        <v xml:space="preserve">
	//Clamp Pos
	ELSIF uiInfoIdx = 2 THEN
		IF strInfoKey = 'name' THEN</v>
      </c>
      <c r="AD39" t="str">
        <f ca="1"/>
        <v xml:space="preserve">
	//Clamp Pos
	ELSIF uiInfoIdx = 2 THEN
		IF strInfoKey = 'name' THEN
			strRt	:= 'Clamp Pos';</v>
      </c>
      <c r="AE39" t="str">
        <f ca="1"/>
        <v xml:space="preserve">
	//Clamp Pos
	ELSIF uiInfoIdx = 2 THEN
		IF strInfoKey = 'name' THEN
			strRt	:= 'Clamp Pos';
		ELSIF strInfoKey = 'index_name' THEN</v>
      </c>
      <c r="AF39" t="str">
        <f ca="1"/>
        <v xml:space="preserve">
	//Clamp Pos
	ELSIF uiInfoIdx = 2 THEN
		IF strInfoKey = 'name' THEN
			strRt	:= 'Clamp Pos';
		ELSIF strInfoKey = 'index_name' THEN
			strRt	:= '【82】 Clamp Pos';</v>
      </c>
      <c r="AG39" t="str">
        <f ca="1"/>
        <v xml:space="preserve">
	//Clamp Pos
	ELSIF uiInfoIdx = 2 THEN
		IF strInfoKey = 'name' THEN
			strRt	:= 'Clamp Pos';
		ELSIF strInfoKey = 'index_name' THEN
			strRt	:= '【82】 Clamp Pos';
		ELSIF strInfoKey = 'model' THEN</v>
      </c>
      <c r="AH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</v>
      </c>
      <c r="AI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</v>
      </c>
      <c r="AJ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</v>
      </c>
      <c r="AK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</v>
      </c>
      <c r="AL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</v>
      </c>
      <c r="AM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Weld Pos</v>
      </c>
      <c r="L40" t="str">
        <f ca="1"/>
        <v>Weld Pos</v>
      </c>
      <c r="N40" t="str">
        <f ca="1"/>
        <v>【83】 Weld Pos</v>
      </c>
      <c r="O40" t="str">
        <v>Welding Pos</v>
      </c>
      <c r="P40" t="str">
        <v>Welding Pos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//Weld Pos
	ELSIF uiInfoIdx = 3 THEN</v>
      </c>
      <c r="AC40" t="str">
        <f ca="1"/>
        <v xml:space="preserve">
	//Weld Pos
	ELSIF uiInfoIdx = 3 THEN
		IF strInfoKey = 'name' THEN</v>
      </c>
      <c r="AD40" t="str">
        <f ca="1"/>
        <v xml:space="preserve">
	//Weld Pos
	ELSIF uiInfoIdx = 3 THEN
		IF strInfoKey = 'name' THEN
			strRt	:= 'Weld Pos';</v>
      </c>
      <c r="AE40" t="str">
        <f ca="1"/>
        <v xml:space="preserve">
	//Weld Pos
	ELSIF uiInfoIdx = 3 THEN
		IF strInfoKey = 'name' THEN
			strRt	:= 'Weld Pos';
		ELSIF strInfoKey = 'index_name' THEN</v>
      </c>
      <c r="AF40" t="str">
        <f ca="1"/>
        <v xml:space="preserve">
	//Weld Pos
	ELSIF uiInfoIdx = 3 THEN
		IF strInfoKey = 'name' THEN
			strRt	:= 'Weld Pos';
		ELSIF strInfoKey = 'index_name' THEN
			strRt	:= '【83】 Weld Pos';</v>
      </c>
      <c r="AG40" t="str">
        <f ca="1"/>
        <v xml:space="preserve">
	//Weld Pos
	ELSIF uiInfoIdx = 3 THEN
		IF strInfoKey = 'name' THEN
			strRt	:= 'Weld Pos';
		ELSIF strInfoKey = 'index_name' THEN
			strRt	:= '【83】 Weld Pos';
		ELSIF strInfoKey = 'model' THEN</v>
      </c>
      <c r="AH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</v>
      </c>
      <c r="AI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</v>
      </c>
      <c r="AJ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</v>
      </c>
      <c r="AK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</v>
      </c>
      <c r="AL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</v>
      </c>
      <c r="AM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Braz Foil Weld Pos</v>
      </c>
      <c r="L41" t="str">
        <f ca="1"/>
        <v>Braz Foil Weld Pos</v>
      </c>
      <c r="N41" t="str">
        <f ca="1"/>
        <v>【84】 Braz Foil Weld Pos</v>
      </c>
      <c r="O41" t="str">
        <v>Brazing Foil Weld Pos</v>
      </c>
      <c r="P41" t="str">
        <v>Brazing Foil Weld Pos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//Braz Foil Weld Pos
	ELSIF uiInfoIdx = 4 THEN</v>
      </c>
      <c r="AC41" t="str">
        <f ca="1"/>
        <v xml:space="preserve">
	//Braz Foil Weld Pos
	ELSIF uiInfoIdx = 4 THEN
		IF strInfoKey = 'name' THEN</v>
      </c>
      <c r="AD41" t="str">
        <f ca="1"/>
        <v xml:space="preserve">
	//Braz Foil Weld Pos
	ELSIF uiInfoIdx = 4 THEN
		IF strInfoKey = 'name' THEN
			strRt	:= 'Braz Foil Weld Pos';</v>
      </c>
      <c r="AE41" t="str">
        <f ca="1"/>
        <v xml:space="preserve">
	//Braz Foil Weld Pos
	ELSIF uiInfoIdx = 4 THEN
		IF strInfoKey = 'name' THEN
			strRt	:= 'Braz Foil Weld Pos';
		ELSIF strInfoKey = 'index_name' THEN</v>
      </c>
      <c r="AF41" t="str">
        <f ca="1"/>
        <v xml:space="preserve">
	//Braz Foil Weld Pos
	ELSIF uiInfoIdx = 4 THEN
		IF strInfoKey = 'name' THEN
			strRt	:= 'Braz Foil Weld Pos';
		ELSIF strInfoKey = 'index_name' THEN
			strRt	:= '【84】 Braz Foil Weld Pos';</v>
      </c>
      <c r="AG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</v>
      </c>
      <c r="AH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</v>
      </c>
      <c r="AI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</v>
      </c>
      <c r="AJ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</v>
      </c>
      <c r="AK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</v>
      </c>
      <c r="AL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</v>
      </c>
      <c r="AM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/>
      </c>
      <c r="J42">
        <v>40</v>
      </c>
      <c r="K42" t="str">
        <f ca="1"/>
        <v>Weld Pos 2</v>
      </c>
      <c r="L42" t="str">
        <f ca="1"/>
        <v>Weld Pos 2</v>
      </c>
      <c r="N42" t="str">
        <f ca="1"/>
        <v>【85】 Weld Pos 2</v>
      </c>
      <c r="O42" t="str">
        <v>Welding Pos 2</v>
      </c>
      <c r="P42" t="str">
        <v>Welding Pos 2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//Weld Pos 2
	ELSIF uiInfoIdx = 5 THEN</v>
      </c>
      <c r="AC42" t="str">
        <f ca="1"/>
        <v xml:space="preserve">
	//Weld Pos 2
	ELSIF uiInfoIdx = 5 THEN
		IF strInfoKey = 'name' THEN</v>
      </c>
      <c r="AD42" t="str">
        <f ca="1"/>
        <v xml:space="preserve">
	//Weld Pos 2
	ELSIF uiInfoIdx = 5 THEN
		IF strInfoKey = 'name' THEN
			strRt	:= 'Weld Pos 2';</v>
      </c>
      <c r="AE42" t="str">
        <f ca="1"/>
        <v xml:space="preserve">
	//Weld Pos 2
	ELSIF uiInfoIdx = 5 THEN
		IF strInfoKey = 'name' THEN
			strRt	:= 'Weld Pos 2';
		ELSIF strInfoKey = 'index_name' THEN</v>
      </c>
      <c r="AF42" t="str">
        <f ca="1"/>
        <v xml:space="preserve">
	//Weld Pos 2
	ELSIF uiInfoIdx = 5 THEN
		IF strInfoKey = 'name' THEN
			strRt	:= 'Weld Pos 2';
		ELSIF strInfoKey = 'index_name' THEN
			strRt	:= '【85】 Weld Pos 2';</v>
      </c>
      <c r="AG42" t="str">
        <f ca="1"/>
        <v xml:space="preserve">
	//Weld Pos 2
	ELSIF uiInfoIdx = 5 THEN
		IF strInfoKey = 'name' THEN
			strRt	:= 'Weld Pos 2';
		ELSIF strInfoKey = 'index_name' THEN
			strRt	:= '【85】 Weld Pos 2';
		ELSIF strInfoKey = 'model' THEN</v>
      </c>
      <c r="AH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</v>
      </c>
      <c r="AI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</v>
      </c>
      <c r="AJ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</v>
      </c>
      <c r="AK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</v>
      </c>
      <c r="AL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</v>
      </c>
      <c r="AM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</v>
      </c>
    </row>
    <row r="43" spans="6:39" x14ac:dyDescent="0.55000000000000004">
      <c r="F43">
        <f t="shared" si="1"/>
        <v>8</v>
      </c>
      <c r="G43" t="str">
        <f t="shared" ref="G43" si="5">E43&amp;F43</f>
        <v>8</v>
      </c>
      <c r="H43">
        <f>COUNTIF(G$3:G43,G43)</f>
        <v>6</v>
      </c>
      <c r="I43" t="str">
        <v>●</v>
      </c>
      <c r="J43">
        <v>41</v>
      </c>
      <c r="K43" t="str">
        <f ca="1"/>
        <v>Weld Pos 3</v>
      </c>
      <c r="L43" t="str">
        <f ca="1"/>
        <v>Weld Pos 3</v>
      </c>
      <c r="N43" t="str">
        <f ca="1"/>
        <v>【86】 Weld Pos 3</v>
      </c>
      <c r="O43" t="str">
        <v>Welding Pos 3</v>
      </c>
      <c r="P43" t="str">
        <v>Welding Pos 3</v>
      </c>
      <c r="Q43" t="str">
        <f ca="1"/>
        <v/>
      </c>
      <c r="R43" t="str">
        <f ca="1"/>
        <v>unknown</v>
      </c>
      <c r="Z43" t="str">
        <f ca="1"/>
        <v xml:space="preserve">
</v>
      </c>
      <c r="AA43" t="str">
        <f ca="1"/>
        <v xml:space="preserve">
</v>
      </c>
      <c r="AB43" t="str">
        <f ca="1"/>
        <v xml:space="preserve">
	//Weld Pos 3
	ELSIF uiInfoIdx = 6 THEN</v>
      </c>
      <c r="AC43" t="str">
        <f ca="1"/>
        <v xml:space="preserve">
	//Weld Pos 3
	ELSIF uiInfoIdx = 6 THEN
		IF strInfoKey = 'name' THEN</v>
      </c>
      <c r="AD43" t="str">
        <f ca="1"/>
        <v xml:space="preserve">
	//Weld Pos 3
	ELSIF uiInfoIdx = 6 THEN
		IF strInfoKey = 'name' THEN
			strRt	:= 'Weld Pos 3';</v>
      </c>
      <c r="AE43" t="str">
        <f ca="1"/>
        <v xml:space="preserve">
	//Weld Pos 3
	ELSIF uiInfoIdx = 6 THEN
		IF strInfoKey = 'name' THEN
			strRt	:= 'Weld Pos 3';
		ELSIF strInfoKey = 'index_name' THEN</v>
      </c>
      <c r="AF43" t="str">
        <f ca="1"/>
        <v xml:space="preserve">
	//Weld Pos 3
	ELSIF uiInfoIdx = 6 THEN
		IF strInfoKey = 'name' THEN
			strRt	:= 'Weld Pos 3';
		ELSIF strInfoKey = 'index_name' THEN
			strRt	:= '【86】 Weld Pos 3';</v>
      </c>
      <c r="AG43" t="str">
        <f ca="1"/>
        <v xml:space="preserve">
	//Weld Pos 3
	ELSIF uiInfoIdx = 6 THEN
		IF strInfoKey = 'name' THEN
			strRt	:= 'Weld Pos 3';
		ELSIF strInfoKey = 'index_name' THEN
			strRt	:= '【86】 Weld Pos 3';
		ELSIF strInfoKey = 'model' THEN</v>
      </c>
      <c r="AH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</v>
      </c>
      <c r="AI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</v>
      </c>
      <c r="AJ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</v>
      </c>
      <c r="AK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</v>
      </c>
      <c r="AL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</v>
      </c>
      <c r="AM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</v>
      </c>
    </row>
    <row r="44" spans="6:39" x14ac:dyDescent="0.55000000000000004">
      <c r="F44">
        <f>F38+1</f>
        <v>9</v>
      </c>
      <c r="G44" t="str">
        <f t="shared" si="0"/>
        <v>9</v>
      </c>
      <c r="H44">
        <f>COUNTIF(G$3:G44,G44)</f>
        <v>1</v>
      </c>
      <c r="I44" t="str">
        <v/>
      </c>
      <c r="J44">
        <v>42</v>
      </c>
      <c r="K44" t="str">
        <f ca="1"/>
        <v>Standby Pos</v>
      </c>
      <c r="L44" t="str">
        <f ca="1"/>
        <v>Standby Pos</v>
      </c>
      <c r="N44" t="str">
        <f ca="1"/>
        <v>【91】 Standby Pos</v>
      </c>
      <c r="O44" t="str">
        <v>Standby Pos</v>
      </c>
      <c r="P44" t="str">
        <v>Standby Pos</v>
      </c>
      <c r="Q44" t="str">
        <f ca="1"/>
        <v/>
      </c>
      <c r="R44" t="str">
        <f ca="1"/>
        <v>unknown</v>
      </c>
      <c r="Z44" t="str">
        <f ca="1"/>
        <v xml:space="preserve">
//9</v>
      </c>
      <c r="AA44" t="str">
        <f ca="1"/>
        <v xml:space="preserve">
//9
ELSIF strInfoType = 9 THEN</v>
      </c>
      <c r="AB44" t="str">
        <f ca="1"/>
        <v xml:space="preserve">
//9
ELSIF strInfoType = 9 THEN
	//Standby Pos
	IF uiInfoIdx = 1 THEN</v>
      </c>
      <c r="AC44" t="str">
        <f ca="1"/>
        <v xml:space="preserve">
//9
ELSIF strInfoType = 9 THEN
	//Standby Pos
	IF uiInfoIdx = 1 THEN
		IF strInfoKey = 'name' THEN</v>
      </c>
      <c r="AD44" t="str">
        <f ca="1"/>
        <v xml:space="preserve">
//9
ELSIF strInfoType = 9 THEN
	//Standby Pos
	IF uiInfoIdx = 1 THEN
		IF strInfoKey = 'name' THEN
			strRt	:= 'Standby Pos';</v>
      </c>
      <c r="AE44" t="str">
        <f ca="1"/>
        <v xml:space="preserve">
//9
ELSIF strInfoType = 9 THEN
	//Standby Pos
	IF uiInfoIdx = 1 THEN
		IF strInfoKey = 'name' THEN
			strRt	:= 'Standby Pos';
		ELSIF strInfoKey = 'index_name' THEN</v>
      </c>
      <c r="AF44" t="str">
        <f ca="1"/>
        <v xml:space="preserve">
//9
ELSIF strInfoType = 9 THEN
	//Standby Pos
	IF uiInfoIdx = 1 THEN
		IF strInfoKey = 'name' THEN
			strRt	:= 'Standby Pos';
		ELSIF strInfoKey = 'index_name' THEN
			strRt	:= '【91】 Standby Pos';</v>
      </c>
      <c r="AG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</v>
      </c>
      <c r="AH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</v>
      </c>
      <c r="AI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</v>
      </c>
      <c r="AJ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</v>
      </c>
      <c r="AK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</v>
      </c>
      <c r="AL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</v>
      </c>
      <c r="AM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2</v>
      </c>
      <c r="I45" t="str">
        <v/>
      </c>
      <c r="J45">
        <v>43</v>
      </c>
      <c r="K45" t="str">
        <f ca="1"/>
        <v>Clamp Pos</v>
      </c>
      <c r="L45" t="str">
        <f ca="1"/>
        <v>Clamp Pos</v>
      </c>
      <c r="N45" t="str">
        <f ca="1"/>
        <v>【92】 Clamp Pos</v>
      </c>
      <c r="O45" t="str">
        <v>Clamp Pos</v>
      </c>
      <c r="P45" t="str">
        <v>Clamp Pos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//Clamp Pos
	ELSIF uiInfoIdx = 2 THEN</v>
      </c>
      <c r="AC45" t="str">
        <f ca="1"/>
        <v xml:space="preserve">
	//Clamp Pos
	ELSIF uiInfoIdx = 2 THEN
		IF strInfoKey = 'name' THEN</v>
      </c>
      <c r="AD45" t="str">
        <f ca="1"/>
        <v xml:space="preserve">
	//Clamp Pos
	ELSIF uiInfoIdx = 2 THEN
		IF strInfoKey = 'name' THEN
			strRt	:= 'Clamp Pos';</v>
      </c>
      <c r="AE45" t="str">
        <f ca="1"/>
        <v xml:space="preserve">
	//Clamp Pos
	ELSIF uiInfoIdx = 2 THEN
		IF strInfoKey = 'name' THEN
			strRt	:= 'Clamp Pos';
		ELSIF strInfoKey = 'index_name' THEN</v>
      </c>
      <c r="AF45" t="str">
        <f ca="1"/>
        <v xml:space="preserve">
	//Clamp Pos
	ELSIF uiInfoIdx = 2 THEN
		IF strInfoKey = 'name' THEN
			strRt	:= 'Clamp Pos';
		ELSIF strInfoKey = 'index_name' THEN
			strRt	:= '【92】 Clamp Pos';</v>
      </c>
      <c r="AG45" t="str">
        <f ca="1"/>
        <v xml:space="preserve">
	//Clamp Pos
	ELSIF uiInfoIdx = 2 THEN
		IF strInfoKey = 'name' THEN
			strRt	:= 'Clamp Pos';
		ELSIF strInfoKey = 'index_name' THEN
			strRt	:= '【92】 Clamp Pos';
		ELSIF strInfoKey = 'model' THEN</v>
      </c>
      <c r="AH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</v>
      </c>
      <c r="AI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</v>
      </c>
      <c r="AJ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</v>
      </c>
      <c r="AK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</v>
      </c>
      <c r="AL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</v>
      </c>
      <c r="AM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3</v>
      </c>
      <c r="I46" t="str">
        <v/>
      </c>
      <c r="J46">
        <v>44</v>
      </c>
      <c r="K46" t="str">
        <f ca="1"/>
        <v>Press-In Pos</v>
      </c>
      <c r="L46" t="str">
        <f ca="1"/>
        <v>Press-In Pos</v>
      </c>
      <c r="N46" t="str">
        <f ca="1"/>
        <v>【93】 Press-In Pos</v>
      </c>
      <c r="O46" t="str">
        <v>Press-In Pos</v>
      </c>
      <c r="P46" t="str">
        <v>Press-In Pos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//Press-In Pos
	ELSIF uiInfoIdx = 3 THEN</v>
      </c>
      <c r="AC46" t="str">
        <f ca="1"/>
        <v xml:space="preserve">
	//Press-In Pos
	ELSIF uiInfoIdx = 3 THEN
		IF strInfoKey = 'name' THEN</v>
      </c>
      <c r="AD46" t="str">
        <f ca="1"/>
        <v xml:space="preserve">
	//Press-In Pos
	ELSIF uiInfoIdx = 3 THEN
		IF strInfoKey = 'name' THEN
			strRt	:= 'Press-In Pos';</v>
      </c>
      <c r="AE46" t="str">
        <f ca="1"/>
        <v xml:space="preserve">
	//Press-In Pos
	ELSIF uiInfoIdx = 3 THEN
		IF strInfoKey = 'name' THEN
			strRt	:= 'Press-In Pos';
		ELSIF strInfoKey = 'index_name' THEN</v>
      </c>
      <c r="AF46" t="str">
        <f ca="1"/>
        <v xml:space="preserve">
	//Press-In Pos
	ELSIF uiInfoIdx = 3 THEN
		IF strInfoKey = 'name' THEN
			strRt	:= 'Press-In Pos';
		ELSIF strInfoKey = 'index_name' THEN
			strRt	:= '【93】 Press-In Pos';</v>
      </c>
      <c r="AG46" t="str">
        <f ca="1"/>
        <v xml:space="preserve">
	//Press-In Pos
	ELSIF uiInfoIdx = 3 THEN
		IF strInfoKey = 'name' THEN
			strRt	:= 'Press-In Pos';
		ELSIF strInfoKey = 'index_name' THEN
			strRt	:= '【93】 Press-In Pos';
		ELSIF strInfoKey = 'model' THEN</v>
      </c>
      <c r="AH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</v>
      </c>
      <c r="AI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</v>
      </c>
      <c r="AJ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</v>
      </c>
      <c r="AK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</v>
      </c>
      <c r="AL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</v>
      </c>
      <c r="AM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4</v>
      </c>
      <c r="I47" t="str">
        <v/>
      </c>
      <c r="J47">
        <v>45</v>
      </c>
      <c r="K47" t="str">
        <f ca="1"/>
        <v>Braz Foil Recv Pos</v>
      </c>
      <c r="L47" t="str">
        <f ca="1"/>
        <v>Braz Foil Recv Pos</v>
      </c>
      <c r="N47" t="str">
        <f ca="1"/>
        <v>【94】 Braz Foil Recv Pos</v>
      </c>
      <c r="O47" t="str">
        <v>Brazing Foil Receiving Pos</v>
      </c>
      <c r="P47" t="str">
        <v>Brazing Foil Receiving Pos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//Braz Foil Recv Pos
	ELSIF uiInfoIdx = 4 THEN</v>
      </c>
      <c r="AC47" t="str">
        <f ca="1"/>
        <v xml:space="preserve">
	//Braz Foil Recv Pos
	ELSIF uiInfoIdx = 4 THEN
		IF strInfoKey = 'name' THEN</v>
      </c>
      <c r="AD47" t="str">
        <f ca="1"/>
        <v xml:space="preserve">
	//Braz Foil Recv Pos
	ELSIF uiInfoIdx = 4 THEN
		IF strInfoKey = 'name' THEN
			strRt	:= 'Braz Foil Recv Pos';</v>
      </c>
      <c r="AE47" t="str">
        <f ca="1"/>
        <v xml:space="preserve">
	//Braz Foil Recv Pos
	ELSIF uiInfoIdx = 4 THEN
		IF strInfoKey = 'name' THEN
			strRt	:= 'Braz Foil Recv Pos';
		ELSIF strInfoKey = 'index_name' THEN</v>
      </c>
      <c r="AF47" t="str">
        <f ca="1"/>
        <v xml:space="preserve">
	//Braz Foil Recv Pos
	ELSIF uiInfoIdx = 4 THEN
		IF strInfoKey = 'name' THEN
			strRt	:= 'Braz Foil Recv Pos';
		ELSIF strInfoKey = 'index_name' THEN
			strRt	:= '【94】 Braz Foil Recv Pos';</v>
      </c>
      <c r="AG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</v>
      </c>
      <c r="AH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</v>
      </c>
      <c r="AI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</v>
      </c>
      <c r="AJ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</v>
      </c>
      <c r="AK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</v>
      </c>
      <c r="AL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</v>
      </c>
      <c r="AM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</v>
      </c>
    </row>
    <row r="48" spans="6:39" x14ac:dyDescent="0.55000000000000004">
      <c r="F48">
        <f t="shared" si="1"/>
        <v>9</v>
      </c>
      <c r="G48" t="str">
        <f t="shared" si="0"/>
        <v>9</v>
      </c>
      <c r="H48">
        <f>COUNTIF(G$3:G48,G48)</f>
        <v>5</v>
      </c>
      <c r="I48" t="str">
        <v>●</v>
      </c>
      <c r="J48">
        <v>46</v>
      </c>
      <c r="K48" t="str">
        <f ca="1"/>
        <v>Reserved</v>
      </c>
      <c r="L48" t="str">
        <f ca="1"/>
        <v>Reserved</v>
      </c>
      <c r="N48" t="str">
        <f ca="1"/>
        <v>【95】 Reserved</v>
      </c>
      <c r="O48" t="str">
        <v>Reserved</v>
      </c>
      <c r="P48" t="str">
        <v>Reserved</v>
      </c>
      <c r="Q48" t="str">
        <f ca="1"/>
        <v/>
      </c>
      <c r="R48" t="str">
        <f ca="1"/>
        <v>unknown</v>
      </c>
      <c r="Z48" t="str">
        <f ca="1"/>
        <v xml:space="preserve">
</v>
      </c>
      <c r="AA48" t="str">
        <f ca="1"/>
        <v xml:space="preserve">
</v>
      </c>
      <c r="AB48" t="str">
        <f ca="1"/>
        <v xml:space="preserve">
	//Reserved
	ELSIF uiInfoIdx = 5 THEN</v>
      </c>
      <c r="AC48" t="str">
        <f ca="1"/>
        <v xml:space="preserve">
	//Reserved
	ELSIF uiInfoIdx = 5 THEN
		IF strInfoKey = 'name' THEN</v>
      </c>
      <c r="AD48" t="str">
        <f ca="1"/>
        <v xml:space="preserve">
	//Reserved
	ELSIF uiInfoIdx = 5 THEN
		IF strInfoKey = 'name' THEN
			strRt	:= 'Reserved';</v>
      </c>
      <c r="AE48" t="str">
        <f ca="1"/>
        <v xml:space="preserve">
	//Reserved
	ELSIF uiInfoIdx = 5 THEN
		IF strInfoKey = 'name' THEN
			strRt	:= 'Reserved';
		ELSIF strInfoKey = 'index_name' THEN</v>
      </c>
      <c r="AF48" t="str">
        <f ca="1"/>
        <v xml:space="preserve">
	//Reserved
	ELSIF uiInfoIdx = 5 THEN
		IF strInfoKey = 'name' THEN
			strRt	:= 'Reserved';
		ELSIF strInfoKey = 'index_name' THEN
			strRt	:= '【95】 Reserved';</v>
      </c>
      <c r="AG48" t="str">
        <f ca="1"/>
        <v xml:space="preserve">
	//Reserved
	ELSIF uiInfoIdx = 5 THEN
		IF strInfoKey = 'name' THEN
			strRt	:= 'Reserved';
		ELSIF strInfoKey = 'index_name' THEN
			strRt	:= '【95】 Reserved';
		ELSIF strInfoKey = 'model' THEN</v>
      </c>
      <c r="AH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</v>
      </c>
      <c r="AI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</v>
      </c>
      <c r="AJ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</v>
      </c>
      <c r="AK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</v>
      </c>
      <c r="AL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</v>
      </c>
      <c r="AM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</v>
      </c>
    </row>
    <row r="49" spans="6:39" x14ac:dyDescent="0.55000000000000004">
      <c r="F49">
        <f t="shared" ref="F49" si="6">F44+1</f>
        <v>10</v>
      </c>
      <c r="G49" t="str">
        <f t="shared" si="0"/>
        <v>10</v>
      </c>
      <c r="H49">
        <f>COUNTIF(G$3:G49,G49)</f>
        <v>1</v>
      </c>
      <c r="I49" t="str">
        <v/>
      </c>
      <c r="J49">
        <v>47</v>
      </c>
      <c r="K49" t="str">
        <f ca="1"/>
        <v>Standby Pos</v>
      </c>
      <c r="L49" t="str">
        <f ca="1"/>
        <v>Standby Pos</v>
      </c>
      <c r="N49" t="str">
        <f ca="1"/>
        <v>【101】 Standby Pos</v>
      </c>
      <c r="O49" t="str">
        <v>Standby Pos</v>
      </c>
      <c r="P49" t="str">
        <v>Standby Pos</v>
      </c>
      <c r="Q49" t="str">
        <f ca="1"/>
        <v/>
      </c>
      <c r="R49" t="str">
        <f ca="1"/>
        <v>unknown</v>
      </c>
      <c r="Z49" t="str">
        <f ca="1"/>
        <v xml:space="preserve">
//10</v>
      </c>
      <c r="AA49" t="str">
        <f ca="1"/>
        <v xml:space="preserve">
//10
ELSIF strInfoType = 10 THEN</v>
      </c>
      <c r="AB49" t="str">
        <f ca="1"/>
        <v xml:space="preserve">
//10
ELSIF strInfoType = 10 THEN
	//Standby Pos
	IF uiInfoIdx = 1 THEN</v>
      </c>
      <c r="AC49" t="str">
        <f ca="1"/>
        <v xml:space="preserve">
//10
ELSIF strInfoType = 10 THEN
	//Standby Pos
	IF uiInfoIdx = 1 THEN
		IF strInfoKey = 'name' THEN</v>
      </c>
      <c r="AD49" t="str">
        <f ca="1"/>
        <v xml:space="preserve">
//10
ELSIF strInfoType = 10 THEN
	//Standby Pos
	IF uiInfoIdx = 1 THEN
		IF strInfoKey = 'name' THEN
			strRt	:= 'Standby Pos';</v>
      </c>
      <c r="AE49" t="str">
        <f ca="1"/>
        <v xml:space="preserve">
//10
ELSIF strInfoType = 10 THEN
	//Standby Pos
	IF uiInfoIdx = 1 THEN
		IF strInfoKey = 'name' THEN
			strRt	:= 'Standby Pos';
		ELSIF strInfoKey = 'index_name' THEN</v>
      </c>
      <c r="AF49" t="str">
        <f ca="1"/>
        <v xml:space="preserve">
//10
ELSIF strInfoType = 10 THEN
	//Standby Pos
	IF uiInfoIdx = 1 THEN
		IF strInfoKey = 'name' THEN
			strRt	:= 'Standby Pos';
		ELSIF strInfoKey = 'index_name' THEN
			strRt	:= '【101】 Standby Pos';</v>
      </c>
      <c r="AG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</v>
      </c>
      <c r="AH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</v>
      </c>
      <c r="AI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</v>
      </c>
      <c r="AJ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</v>
      </c>
      <c r="AK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</v>
      </c>
      <c r="AL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</v>
      </c>
      <c r="AM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2</v>
      </c>
      <c r="I50" t="str">
        <v/>
      </c>
      <c r="J50">
        <v>48</v>
      </c>
      <c r="K50" t="str">
        <f ca="1"/>
        <v>Reserved</v>
      </c>
      <c r="L50" t="str">
        <f ca="1"/>
        <v>Reserved</v>
      </c>
      <c r="N50" t="str">
        <f ca="1"/>
        <v>【102】 Reserved</v>
      </c>
      <c r="O50" t="str">
        <v>Reserved</v>
      </c>
      <c r="P50" t="str">
        <v>Reserved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//Reserved
	ELSIF uiInfoIdx = 2 THEN</v>
      </c>
      <c r="AC50" t="str">
        <f ca="1"/>
        <v xml:space="preserve">
	//Reserved
	ELSIF uiInfoIdx = 2 THEN
		IF strInfoKey = 'name' THEN</v>
      </c>
      <c r="AD50" t="str">
        <f ca="1"/>
        <v xml:space="preserve">
	//Reserved
	ELSIF uiInfoIdx = 2 THEN
		IF strInfoKey = 'name' THEN
			strRt	:= 'Reserved';</v>
      </c>
      <c r="AE50" t="str">
        <f ca="1"/>
        <v xml:space="preserve">
	//Reserved
	ELSIF uiInfoIdx = 2 THEN
		IF strInfoKey = 'name' THEN
			strRt	:= 'Reserved';
		ELSIF strInfoKey = 'index_name' THEN</v>
      </c>
      <c r="AF50" t="str">
        <f ca="1"/>
        <v xml:space="preserve">
	//Reserved
	ELSIF uiInfoIdx = 2 THEN
		IF strInfoKey = 'name' THEN
			strRt	:= 'Reserved';
		ELSIF strInfoKey = 'index_name' THEN
			strRt	:= '【102】 Reserved';</v>
      </c>
      <c r="AG50" t="str">
        <f ca="1"/>
        <v xml:space="preserve">
	//Reserved
	ELSIF uiInfoIdx = 2 THEN
		IF strInfoKey = 'name' THEN
			strRt	:= 'Reserved';
		ELSIF strInfoKey = 'index_name' THEN
			strRt	:= '【102】 Reserved';
		ELSIF strInfoKey = 'model' THEN</v>
      </c>
      <c r="AH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</v>
      </c>
      <c r="AI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</v>
      </c>
      <c r="AJ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</v>
      </c>
      <c r="AK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</v>
      </c>
      <c r="AL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</v>
      </c>
      <c r="AM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3</v>
      </c>
      <c r="I51" t="str">
        <v/>
      </c>
      <c r="J51">
        <v>49</v>
      </c>
      <c r="K51" t="str">
        <f ca="1"/>
        <v>Reserved</v>
      </c>
      <c r="L51" t="str">
        <f ca="1"/>
        <v>Reserved</v>
      </c>
      <c r="N51" t="str">
        <f ca="1"/>
        <v>【103】 Reserved</v>
      </c>
      <c r="O51" t="str">
        <v>Reserved</v>
      </c>
      <c r="P51" t="str">
        <v>Reserved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//Reserved
	ELSIF uiInfoIdx = 3 THEN</v>
      </c>
      <c r="AC51" t="str">
        <f ca="1"/>
        <v xml:space="preserve">
	//Reserved
	ELSIF uiInfoIdx = 3 THEN
		IF strInfoKey = 'name' THEN</v>
      </c>
      <c r="AD51" t="str">
        <f ca="1"/>
        <v xml:space="preserve">
	//Reserved
	ELSIF uiInfoIdx = 3 THEN
		IF strInfoKey = 'name' THEN
			strRt	:= 'Reserved';</v>
      </c>
      <c r="AE51" t="str">
        <f ca="1"/>
        <v xml:space="preserve">
	//Reserved
	ELSIF uiInfoIdx = 3 THEN
		IF strInfoKey = 'name' THEN
			strRt	:= 'Reserved';
		ELSIF strInfoKey = 'index_name' THEN</v>
      </c>
      <c r="AF51" t="str">
        <f ca="1"/>
        <v xml:space="preserve">
	//Reserved
	ELSIF uiInfoIdx = 3 THEN
		IF strInfoKey = 'name' THEN
			strRt	:= 'Reserved';
		ELSIF strInfoKey = 'index_name' THEN
			strRt	:= '【103】 Reserved';</v>
      </c>
      <c r="AG51" t="str">
        <f ca="1"/>
        <v xml:space="preserve">
	//Reserved
	ELSIF uiInfoIdx = 3 THEN
		IF strInfoKey = 'name' THEN
			strRt	:= 'Reserved';
		ELSIF strInfoKey = 'index_name' THEN
			strRt	:= '【103】 Reserved';
		ELSIF strInfoKey = 'model' THEN</v>
      </c>
      <c r="AH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</v>
      </c>
      <c r="AI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</v>
      </c>
      <c r="AJ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</v>
      </c>
      <c r="AK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</v>
      </c>
      <c r="AL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</v>
      </c>
      <c r="AM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4</v>
      </c>
      <c r="I52" t="str">
        <v/>
      </c>
      <c r="J52">
        <v>50</v>
      </c>
      <c r="K52" t="str">
        <f ca="1"/>
        <v>Reserved</v>
      </c>
      <c r="L52" t="str">
        <f ca="1"/>
        <v>Reserved</v>
      </c>
      <c r="N52" t="str">
        <f ca="1"/>
        <v>【104】 Reserved</v>
      </c>
      <c r="O52" t="str">
        <v>Reserved</v>
      </c>
      <c r="P52" t="str">
        <v>Reserved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//Reserved
	ELSIF uiInfoIdx = 4 THEN</v>
      </c>
      <c r="AC52" t="str">
        <f ca="1"/>
        <v xml:space="preserve">
	//Reserved
	ELSIF uiInfoIdx = 4 THEN
		IF strInfoKey = 'name' THEN</v>
      </c>
      <c r="AD52" t="str">
        <f ca="1"/>
        <v xml:space="preserve">
	//Reserved
	ELSIF uiInfoIdx = 4 THEN
		IF strInfoKey = 'name' THEN
			strRt	:= 'Reserved';</v>
      </c>
      <c r="AE52" t="str">
        <f ca="1"/>
        <v xml:space="preserve">
	//Reserved
	ELSIF uiInfoIdx = 4 THEN
		IF strInfoKey = 'name' THEN
			strRt	:= 'Reserved';
		ELSIF strInfoKey = 'index_name' THEN</v>
      </c>
      <c r="AF52" t="str">
        <f ca="1"/>
        <v xml:space="preserve">
	//Reserved
	ELSIF uiInfoIdx = 4 THEN
		IF strInfoKey = 'name' THEN
			strRt	:= 'Reserved';
		ELSIF strInfoKey = 'index_name' THEN
			strRt	:= '【104】 Reserved';</v>
      </c>
      <c r="AG52" t="str">
        <f ca="1"/>
        <v xml:space="preserve">
	//Reserved
	ELSIF uiInfoIdx = 4 THEN
		IF strInfoKey = 'name' THEN
			strRt	:= 'Reserved';
		ELSIF strInfoKey = 'index_name' THEN
			strRt	:= '【104】 Reserved';
		ELSIF strInfoKey = 'model' THEN</v>
      </c>
      <c r="AH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</v>
      </c>
      <c r="AI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</v>
      </c>
      <c r="AJ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</v>
      </c>
      <c r="AK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</v>
      </c>
      <c r="AL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</v>
      </c>
      <c r="AM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</v>
      </c>
    </row>
    <row r="53" spans="6:39" x14ac:dyDescent="0.55000000000000004">
      <c r="F53">
        <f t="shared" si="1"/>
        <v>10</v>
      </c>
      <c r="G53" t="str">
        <f t="shared" si="0"/>
        <v>10</v>
      </c>
      <c r="H53">
        <f>COUNTIF(G$3:G53,G53)</f>
        <v>5</v>
      </c>
      <c r="I53" t="str">
        <v>●</v>
      </c>
      <c r="J53">
        <v>51</v>
      </c>
      <c r="K53" t="str">
        <f ca="1"/>
        <v>Reserved</v>
      </c>
      <c r="L53" t="str">
        <f ca="1"/>
        <v>Reserved</v>
      </c>
      <c r="N53" t="str">
        <f ca="1"/>
        <v>【105】 Reserved</v>
      </c>
      <c r="O53" t="str">
        <v>Reserved</v>
      </c>
      <c r="P53" t="str">
        <v>Reserved</v>
      </c>
      <c r="Q53" t="str">
        <f ca="1"/>
        <v/>
      </c>
      <c r="R53" t="str">
        <f ca="1"/>
        <v>unknown</v>
      </c>
      <c r="Z53" t="str">
        <f ca="1"/>
        <v xml:space="preserve">
</v>
      </c>
      <c r="AA53" t="str">
        <f ca="1"/>
        <v xml:space="preserve">
</v>
      </c>
      <c r="AB53" t="str">
        <f ca="1"/>
        <v xml:space="preserve">
	//Reserved
	ELSIF uiInfoIdx = 5 THEN</v>
      </c>
      <c r="AC53" t="str">
        <f ca="1"/>
        <v xml:space="preserve">
	//Reserved
	ELSIF uiInfoIdx = 5 THEN
		IF strInfoKey = 'name' THEN</v>
      </c>
      <c r="AD53" t="str">
        <f ca="1"/>
        <v xml:space="preserve">
	//Reserved
	ELSIF uiInfoIdx = 5 THEN
		IF strInfoKey = 'name' THEN
			strRt	:= 'Reserved';</v>
      </c>
      <c r="AE53" t="str">
        <f ca="1"/>
        <v xml:space="preserve">
	//Reserved
	ELSIF uiInfoIdx = 5 THEN
		IF strInfoKey = 'name' THEN
			strRt	:= 'Reserved';
		ELSIF strInfoKey = 'index_name' THEN</v>
      </c>
      <c r="AF53" t="str">
        <f ca="1"/>
        <v xml:space="preserve">
	//Reserved
	ELSIF uiInfoIdx = 5 THEN
		IF strInfoKey = 'name' THEN
			strRt	:= 'Reserved';
		ELSIF strInfoKey = 'index_name' THEN
			strRt	:= '【105】 Reserved';</v>
      </c>
      <c r="AG53" t="str">
        <f ca="1"/>
        <v xml:space="preserve">
	//Reserved
	ELSIF uiInfoIdx = 5 THEN
		IF strInfoKey = 'name' THEN
			strRt	:= 'Reserved';
		ELSIF strInfoKey = 'index_name' THEN
			strRt	:= '【105】 Reserved';
		ELSIF strInfoKey = 'model' THEN</v>
      </c>
      <c r="AH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</v>
      </c>
      <c r="AI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</v>
      </c>
      <c r="AJ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</v>
      </c>
      <c r="AK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</v>
      </c>
      <c r="AL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</v>
      </c>
      <c r="AM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</v>
      </c>
    </row>
    <row r="54" spans="6:39" x14ac:dyDescent="0.55000000000000004">
      <c r="F54">
        <f t="shared" ref="F54" si="7">F49+1</f>
        <v>11</v>
      </c>
      <c r="G54" t="str">
        <f t="shared" si="0"/>
        <v>11</v>
      </c>
      <c r="H54">
        <f>COUNTIF(G$3:G54,G54)</f>
        <v>1</v>
      </c>
      <c r="I54" t="str">
        <v/>
      </c>
      <c r="J54">
        <v>52</v>
      </c>
      <c r="K54" t="str">
        <f ca="1"/>
        <v>Standby Pos</v>
      </c>
      <c r="L54" t="str">
        <f ca="1"/>
        <v>Standby Pos</v>
      </c>
      <c r="N54" t="str">
        <f ca="1"/>
        <v>【111】 Standby Pos</v>
      </c>
      <c r="O54" t="str">
        <v>Standby Pos</v>
      </c>
      <c r="P54" t="str">
        <v>Standby Pos</v>
      </c>
      <c r="Q54" t="str">
        <f ca="1"/>
        <v/>
      </c>
      <c r="R54" t="str">
        <f ca="1"/>
        <v>unknown</v>
      </c>
      <c r="Z54" t="str">
        <f ca="1"/>
        <v xml:space="preserve">
//11</v>
      </c>
      <c r="AA54" t="str">
        <f ca="1"/>
        <v xml:space="preserve">
//11
ELSIF strInfoType = 11 THEN</v>
      </c>
      <c r="AB54" t="str">
        <f ca="1"/>
        <v xml:space="preserve">
//11
ELSIF strInfoType = 11 THEN
	//Standby Pos
	IF uiInfoIdx = 1 THEN</v>
      </c>
      <c r="AC54" t="str">
        <f ca="1"/>
        <v xml:space="preserve">
//11
ELSIF strInfoType = 11 THEN
	//Standby Pos
	IF uiInfoIdx = 1 THEN
		IF strInfoKey = 'name' THEN</v>
      </c>
      <c r="AD54" t="str">
        <f ca="1"/>
        <v xml:space="preserve">
//11
ELSIF strInfoType = 11 THEN
	//Standby Pos
	IF uiInfoIdx = 1 THEN
		IF strInfoKey = 'name' THEN
			strRt	:= 'Standby Pos';</v>
      </c>
      <c r="AE54" t="str">
        <f ca="1"/>
        <v xml:space="preserve">
//11
ELSIF strInfoType = 11 THEN
	//Standby Pos
	IF uiInfoIdx = 1 THEN
		IF strInfoKey = 'name' THEN
			strRt	:= 'Standby Pos';
		ELSIF strInfoKey = 'index_name' THEN</v>
      </c>
      <c r="AF54" t="str">
        <f ca="1"/>
        <v xml:space="preserve">
//11
ELSIF strInfoType = 11 THEN
	//Standby Pos
	IF uiInfoIdx = 1 THEN
		IF strInfoKey = 'name' THEN
			strRt	:= 'Standby Pos';
		ELSIF strInfoKey = 'index_name' THEN
			strRt	:= '【111】 Standby Pos';</v>
      </c>
      <c r="AG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</v>
      </c>
      <c r="AH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</v>
      </c>
      <c r="AI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</v>
      </c>
      <c r="AJ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</v>
      </c>
      <c r="AK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</v>
      </c>
      <c r="AL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</v>
      </c>
      <c r="AM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2</v>
      </c>
      <c r="I55" t="str">
        <v/>
      </c>
      <c r="J55">
        <v>53</v>
      </c>
      <c r="K55" t="str">
        <f ca="1"/>
        <v>Align Pos</v>
      </c>
      <c r="L55" t="str">
        <f ca="1"/>
        <v>Align Pos</v>
      </c>
      <c r="N55" t="str">
        <f ca="1"/>
        <v>【112】 Align Pos</v>
      </c>
      <c r="O55" t="str">
        <v>Alignment Pos</v>
      </c>
      <c r="P55" t="str">
        <v>Alignment Pos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//Align Pos
	ELSIF uiInfoIdx = 2 THEN</v>
      </c>
      <c r="AC55" t="str">
        <f ca="1"/>
        <v xml:space="preserve">
	//Align Pos
	ELSIF uiInfoIdx = 2 THEN
		IF strInfoKey = 'name' THEN</v>
      </c>
      <c r="AD55" t="str">
        <f ca="1"/>
        <v xml:space="preserve">
	//Align Pos
	ELSIF uiInfoIdx = 2 THEN
		IF strInfoKey = 'name' THEN
			strRt	:= 'Align Pos';</v>
      </c>
      <c r="AE55" t="str">
        <f ca="1"/>
        <v xml:space="preserve">
	//Align Pos
	ELSIF uiInfoIdx = 2 THEN
		IF strInfoKey = 'name' THEN
			strRt	:= 'Align Pos';
		ELSIF strInfoKey = 'index_name' THEN</v>
      </c>
      <c r="AF55" t="str">
        <f ca="1"/>
        <v xml:space="preserve">
	//Align Pos
	ELSIF uiInfoIdx = 2 THEN
		IF strInfoKey = 'name' THEN
			strRt	:= 'Align Pos';
		ELSIF strInfoKey = 'index_name' THEN
			strRt	:= '【112】 Align Pos';</v>
      </c>
      <c r="AG55" t="str">
        <f ca="1"/>
        <v xml:space="preserve">
	//Align Pos
	ELSIF uiInfoIdx = 2 THEN
		IF strInfoKey = 'name' THEN
			strRt	:= 'Align Pos';
		ELSIF strInfoKey = 'index_name' THEN
			strRt	:= '【112】 Align Pos';
		ELSIF strInfoKey = 'model' THEN</v>
      </c>
      <c r="AH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</v>
      </c>
      <c r="AI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</v>
      </c>
      <c r="AJ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</v>
      </c>
      <c r="AK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</v>
      </c>
      <c r="AL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</v>
      </c>
      <c r="AM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3</v>
      </c>
      <c r="I56" t="str">
        <v/>
      </c>
      <c r="J56">
        <v>54</v>
      </c>
      <c r="K56" t="str">
        <f ca="1"/>
        <v>Reserved</v>
      </c>
      <c r="L56" t="str">
        <f ca="1"/>
        <v>Reserved</v>
      </c>
      <c r="N56" t="str">
        <f ca="1"/>
        <v>【113】 Reserved</v>
      </c>
      <c r="O56" t="str">
        <v>Reserved</v>
      </c>
      <c r="P56" t="str">
        <v>Reserved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//Reserved
	ELSIF uiInfoIdx = 3 THEN</v>
      </c>
      <c r="AC56" t="str">
        <f ca="1"/>
        <v xml:space="preserve">
	//Reserved
	ELSIF uiInfoIdx = 3 THEN
		IF strInfoKey = 'name' THEN</v>
      </c>
      <c r="AD56" t="str">
        <f ca="1"/>
        <v xml:space="preserve">
	//Reserved
	ELSIF uiInfoIdx = 3 THEN
		IF strInfoKey = 'name' THEN
			strRt	:= 'Reserved';</v>
      </c>
      <c r="AE56" t="str">
        <f ca="1"/>
        <v xml:space="preserve">
	//Reserved
	ELSIF uiInfoIdx = 3 THEN
		IF strInfoKey = 'name' THEN
			strRt	:= 'Reserved';
		ELSIF strInfoKey = 'index_name' THEN</v>
      </c>
      <c r="AF56" t="str">
        <f ca="1"/>
        <v xml:space="preserve">
	//Reserved
	ELSIF uiInfoIdx = 3 THEN
		IF strInfoKey = 'name' THEN
			strRt	:= 'Reserved';
		ELSIF strInfoKey = 'index_name' THEN
			strRt	:= '【113】 Reserved';</v>
      </c>
      <c r="AG56" t="str">
        <f ca="1"/>
        <v xml:space="preserve">
	//Reserved
	ELSIF uiInfoIdx = 3 THEN
		IF strInfoKey = 'name' THEN
			strRt	:= 'Reserved';
		ELSIF strInfoKey = 'index_name' THEN
			strRt	:= '【113】 Reserved';
		ELSIF strInfoKey = 'model' THEN</v>
      </c>
      <c r="AH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</v>
      </c>
      <c r="AI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</v>
      </c>
      <c r="AJ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</v>
      </c>
      <c r="AK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</v>
      </c>
      <c r="AL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</v>
      </c>
      <c r="AM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4</v>
      </c>
      <c r="I57" t="str">
        <v/>
      </c>
      <c r="J57">
        <v>55</v>
      </c>
      <c r="K57" t="str">
        <f ca="1"/>
        <v>Reserved</v>
      </c>
      <c r="L57" t="str">
        <f ca="1"/>
        <v>Reserved</v>
      </c>
      <c r="N57" t="str">
        <f ca="1"/>
        <v>【114】 Reserved</v>
      </c>
      <c r="O57" t="str">
        <v>Reserved</v>
      </c>
      <c r="P57" t="str">
        <v>Reserved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//Reserved
	ELSIF uiInfoIdx = 4 THEN</v>
      </c>
      <c r="AC57" t="str">
        <f ca="1"/>
        <v xml:space="preserve">
	//Reserved
	ELSIF uiInfoIdx = 4 THEN
		IF strInfoKey = 'name' THEN</v>
      </c>
      <c r="AD57" t="str">
        <f ca="1"/>
        <v xml:space="preserve">
	//Reserved
	ELSIF uiInfoIdx = 4 THEN
		IF strInfoKey = 'name' THEN
			strRt	:= 'Reserved';</v>
      </c>
      <c r="AE57" t="str">
        <f ca="1"/>
        <v xml:space="preserve">
	//Reserved
	ELSIF uiInfoIdx = 4 THEN
		IF strInfoKey = 'name' THEN
			strRt	:= 'Reserved';
		ELSIF strInfoKey = 'index_name' THEN</v>
      </c>
      <c r="AF57" t="str">
        <f ca="1"/>
        <v xml:space="preserve">
	//Reserved
	ELSIF uiInfoIdx = 4 THEN
		IF strInfoKey = 'name' THEN
			strRt	:= 'Reserved';
		ELSIF strInfoKey = 'index_name' THEN
			strRt	:= '【114】 Reserved';</v>
      </c>
      <c r="AG57" t="str">
        <f ca="1"/>
        <v xml:space="preserve">
	//Reserved
	ELSIF uiInfoIdx = 4 THEN
		IF strInfoKey = 'name' THEN
			strRt	:= 'Reserved';
		ELSIF strInfoKey = 'index_name' THEN
			strRt	:= '【114】 Reserved';
		ELSIF strInfoKey = 'model' THEN</v>
      </c>
      <c r="AH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</v>
      </c>
      <c r="AI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</v>
      </c>
      <c r="AJ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</v>
      </c>
      <c r="AK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</v>
      </c>
      <c r="AL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</v>
      </c>
      <c r="AM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</v>
      </c>
    </row>
    <row r="58" spans="6:39" x14ac:dyDescent="0.55000000000000004">
      <c r="F58">
        <f t="shared" si="1"/>
        <v>11</v>
      </c>
      <c r="G58" t="str">
        <f t="shared" si="0"/>
        <v>11</v>
      </c>
      <c r="H58">
        <f>COUNTIF(G$3:G58,G58)</f>
        <v>5</v>
      </c>
      <c r="I58" t="str">
        <v>●</v>
      </c>
      <c r="J58">
        <v>56</v>
      </c>
      <c r="K58" t="str">
        <f ca="1"/>
        <v>Reserved</v>
      </c>
      <c r="L58" t="str">
        <f ca="1"/>
        <v>Reserved</v>
      </c>
      <c r="N58" t="str">
        <f ca="1"/>
        <v>【115】 Reserved</v>
      </c>
      <c r="O58" t="str">
        <v>Reserved</v>
      </c>
      <c r="P58" t="str">
        <v>Reserved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//Reserved
	ELSIF uiInfoIdx = 5 THEN</v>
      </c>
      <c r="AC58" t="str">
        <f ca="1"/>
        <v xml:space="preserve">
	//Reserved
	ELSIF uiInfoIdx = 5 THEN
		IF strInfoKey = 'name' THEN</v>
      </c>
      <c r="AD58" t="str">
        <f ca="1"/>
        <v xml:space="preserve">
	//Reserved
	ELSIF uiInfoIdx = 5 THEN
		IF strInfoKey = 'name' THEN
			strRt	:= 'Reserved';</v>
      </c>
      <c r="AE58" t="str">
        <f ca="1"/>
        <v xml:space="preserve">
	//Reserved
	ELSIF uiInfoIdx = 5 THEN
		IF strInfoKey = 'name' THEN
			strRt	:= 'Reserved';
		ELSIF strInfoKey = 'index_name' THEN</v>
      </c>
      <c r="AF58" t="str">
        <f ca="1"/>
        <v xml:space="preserve">
	//Reserved
	ELSIF uiInfoIdx = 5 THEN
		IF strInfoKey = 'name' THEN
			strRt	:= 'Reserved';
		ELSIF strInfoKey = 'index_name' THEN
			strRt	:= '【115】 Reserved';</v>
      </c>
      <c r="AG58" t="str">
        <f ca="1"/>
        <v xml:space="preserve">
	//Reserved
	ELSIF uiInfoIdx = 5 THEN
		IF strInfoKey = 'name' THEN
			strRt	:= 'Reserved';
		ELSIF strInfoKey = 'index_name' THEN
			strRt	:= '【115】 Reserved';
		ELSIF strInfoKey = 'model' THEN</v>
      </c>
      <c r="AH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</v>
      </c>
      <c r="AI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</v>
      </c>
      <c r="AJ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</v>
      </c>
      <c r="AK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</v>
      </c>
      <c r="AL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</v>
      </c>
      <c r="AM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</v>
      </c>
    </row>
    <row r="59" spans="6:39" x14ac:dyDescent="0.55000000000000004">
      <c r="F59">
        <f t="shared" ref="F59" si="8">F54+1</f>
        <v>12</v>
      </c>
      <c r="G59" t="str">
        <f t="shared" si="0"/>
        <v>12</v>
      </c>
      <c r="H59">
        <f>COUNTIF(G$3:G59,G59)</f>
        <v>1</v>
      </c>
      <c r="I59" t="str">
        <v/>
      </c>
      <c r="J59">
        <v>57</v>
      </c>
      <c r="K59" t="str">
        <f ca="1"/>
        <v>Standby Pos</v>
      </c>
      <c r="L59" t="str">
        <f ca="1"/>
        <v>Standby Pos</v>
      </c>
      <c r="N59" t="str">
        <f ca="1"/>
        <v>【121】 Standby Pos</v>
      </c>
      <c r="O59" t="str">
        <v>Standby Pos</v>
      </c>
      <c r="P59" t="str">
        <v>Standby Pos</v>
      </c>
      <c r="Q59" t="str">
        <f ca="1"/>
        <v/>
      </c>
      <c r="R59" t="str">
        <f ca="1"/>
        <v>unknown</v>
      </c>
      <c r="Z59" t="str">
        <f ca="1"/>
        <v xml:space="preserve">
//12</v>
      </c>
      <c r="AA59" t="str">
        <f ca="1"/>
        <v xml:space="preserve">
//12
ELSIF strInfoType = 12 THEN</v>
      </c>
      <c r="AB59" t="str">
        <f ca="1"/>
        <v xml:space="preserve">
//12
ELSIF strInfoType = 12 THEN
	//Standby Pos
	IF uiInfoIdx = 1 THEN</v>
      </c>
      <c r="AC59" t="str">
        <f ca="1"/>
        <v xml:space="preserve">
//12
ELSIF strInfoType = 12 THEN
	//Standby Pos
	IF uiInfoIdx = 1 THEN
		IF strInfoKey = 'name' THEN</v>
      </c>
      <c r="AD59" t="str">
        <f ca="1"/>
        <v xml:space="preserve">
//12
ELSIF strInfoType = 12 THEN
	//Standby Pos
	IF uiInfoIdx = 1 THEN
		IF strInfoKey = 'name' THEN
			strRt	:= 'Standby Pos';</v>
      </c>
      <c r="AE59" t="str">
        <f ca="1"/>
        <v xml:space="preserve">
//12
ELSIF strInfoType = 12 THEN
	//Standby Pos
	IF uiInfoIdx = 1 THEN
		IF strInfoKey = 'name' THEN
			strRt	:= 'Standby Pos';
		ELSIF strInfoKey = 'index_name' THEN</v>
      </c>
      <c r="AF59" t="str">
        <f ca="1"/>
        <v xml:space="preserve">
//12
ELSIF strInfoType = 12 THEN
	//Standby Pos
	IF uiInfoIdx = 1 THEN
		IF strInfoKey = 'name' THEN
			strRt	:= 'Standby Pos';
		ELSIF strInfoKey = 'index_name' THEN
			strRt	:= '【121】 Standby Pos';</v>
      </c>
      <c r="AG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</v>
      </c>
      <c r="AH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</v>
      </c>
      <c r="AI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</v>
      </c>
      <c r="AJ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</v>
      </c>
      <c r="AK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</v>
      </c>
      <c r="AL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</v>
      </c>
      <c r="AM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2</v>
      </c>
      <c r="I60" t="str">
        <v/>
      </c>
      <c r="J60">
        <v>58</v>
      </c>
      <c r="K60" t="str">
        <f ca="1"/>
        <v>Reserved</v>
      </c>
      <c r="L60" t="str">
        <f ca="1"/>
        <v>Reserved</v>
      </c>
      <c r="N60" t="str">
        <f ca="1"/>
        <v>【122】 Reserved</v>
      </c>
      <c r="O60" t="str">
        <v>Reserved</v>
      </c>
      <c r="P60" t="str">
        <v>Reserved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//Reserved
	ELSIF uiInfoIdx = 2 THEN</v>
      </c>
      <c r="AC60" t="str">
        <f ca="1"/>
        <v xml:space="preserve">
	//Reserved
	ELSIF uiInfoIdx = 2 THEN
		IF strInfoKey = 'name' THEN</v>
      </c>
      <c r="AD60" t="str">
        <f ca="1"/>
        <v xml:space="preserve">
	//Reserved
	ELSIF uiInfoIdx = 2 THEN
		IF strInfoKey = 'name' THEN
			strRt	:= 'Reserved';</v>
      </c>
      <c r="AE60" t="str">
        <f ca="1"/>
        <v xml:space="preserve">
	//Reserved
	ELSIF uiInfoIdx = 2 THEN
		IF strInfoKey = 'name' THEN
			strRt	:= 'Reserved';
		ELSIF strInfoKey = 'index_name' THEN</v>
      </c>
      <c r="AF60" t="str">
        <f ca="1"/>
        <v xml:space="preserve">
	//Reserved
	ELSIF uiInfoIdx = 2 THEN
		IF strInfoKey = 'name' THEN
			strRt	:= 'Reserved';
		ELSIF strInfoKey = 'index_name' THEN
			strRt	:= '【122】 Reserved';</v>
      </c>
      <c r="AG60" t="str">
        <f ca="1"/>
        <v xml:space="preserve">
	//Reserved
	ELSIF uiInfoIdx = 2 THEN
		IF strInfoKey = 'name' THEN
			strRt	:= 'Reserved';
		ELSIF strInfoKey = 'index_name' THEN
			strRt	:= '【122】 Reserved';
		ELSIF strInfoKey = 'model' THEN</v>
      </c>
      <c r="AH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</v>
      </c>
      <c r="AI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</v>
      </c>
      <c r="AJ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</v>
      </c>
      <c r="AK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</v>
      </c>
      <c r="AL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</v>
      </c>
      <c r="AM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3</v>
      </c>
      <c r="I61" t="str">
        <v/>
      </c>
      <c r="J61">
        <v>59</v>
      </c>
      <c r="K61" t="str">
        <f ca="1"/>
        <v>Reserved</v>
      </c>
      <c r="L61" t="str">
        <f ca="1"/>
        <v>Reserved</v>
      </c>
      <c r="N61" t="str">
        <f ca="1"/>
        <v>【123】 Reserved</v>
      </c>
      <c r="O61" t="str">
        <v>Reserved</v>
      </c>
      <c r="P61" t="str">
        <v>Reserved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//Reserved
	ELSIF uiInfoIdx = 3 THEN</v>
      </c>
      <c r="AC61" t="str">
        <f ca="1"/>
        <v xml:space="preserve">
	//Reserved
	ELSIF uiInfoIdx = 3 THEN
		IF strInfoKey = 'name' THEN</v>
      </c>
      <c r="AD61" t="str">
        <f ca="1"/>
        <v xml:space="preserve">
	//Reserved
	ELSIF uiInfoIdx = 3 THEN
		IF strInfoKey = 'name' THEN
			strRt	:= 'Reserved';</v>
      </c>
      <c r="AE61" t="str">
        <f ca="1"/>
        <v xml:space="preserve">
	//Reserved
	ELSIF uiInfoIdx = 3 THEN
		IF strInfoKey = 'name' THEN
			strRt	:= 'Reserved';
		ELSIF strInfoKey = 'index_name' THEN</v>
      </c>
      <c r="AF61" t="str">
        <f ca="1"/>
        <v xml:space="preserve">
	//Reserved
	ELSIF uiInfoIdx = 3 THEN
		IF strInfoKey = 'name' THEN
			strRt	:= 'Reserved';
		ELSIF strInfoKey = 'index_name' THEN
			strRt	:= '【123】 Reserved';</v>
      </c>
      <c r="AG61" t="str">
        <f ca="1"/>
        <v xml:space="preserve">
	//Reserved
	ELSIF uiInfoIdx = 3 THEN
		IF strInfoKey = 'name' THEN
			strRt	:= 'Reserved';
		ELSIF strInfoKey = 'index_name' THEN
			strRt	:= '【123】 Reserved';
		ELSIF strInfoKey = 'model' THEN</v>
      </c>
      <c r="AH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</v>
      </c>
      <c r="AI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</v>
      </c>
      <c r="AJ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</v>
      </c>
      <c r="AK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</v>
      </c>
      <c r="AL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</v>
      </c>
      <c r="AM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4</v>
      </c>
      <c r="I62" t="str">
        <v/>
      </c>
      <c r="J62">
        <v>60</v>
      </c>
      <c r="K62" t="str">
        <f ca="1"/>
        <v>Reserved</v>
      </c>
      <c r="L62" t="str">
        <f ca="1"/>
        <v>Reserved</v>
      </c>
      <c r="N62" t="str">
        <f ca="1"/>
        <v>【124】 Reserved</v>
      </c>
      <c r="O62" t="str">
        <v>Reserved</v>
      </c>
      <c r="P62" t="str">
        <v>Reserved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//Reserved
	ELSIF uiInfoIdx = 4 THEN</v>
      </c>
      <c r="AC62" t="str">
        <f ca="1"/>
        <v xml:space="preserve">
	//Reserved
	ELSIF uiInfoIdx = 4 THEN
		IF strInfoKey = 'name' THEN</v>
      </c>
      <c r="AD62" t="str">
        <f ca="1"/>
        <v xml:space="preserve">
	//Reserved
	ELSIF uiInfoIdx = 4 THEN
		IF strInfoKey = 'name' THEN
			strRt	:= 'Reserved';</v>
      </c>
      <c r="AE62" t="str">
        <f ca="1"/>
        <v xml:space="preserve">
	//Reserved
	ELSIF uiInfoIdx = 4 THEN
		IF strInfoKey = 'name' THEN
			strRt	:= 'Reserved';
		ELSIF strInfoKey = 'index_name' THEN</v>
      </c>
      <c r="AF62" t="str">
        <f ca="1"/>
        <v xml:space="preserve">
	//Reserved
	ELSIF uiInfoIdx = 4 THEN
		IF strInfoKey = 'name' THEN
			strRt	:= 'Reserved';
		ELSIF strInfoKey = 'index_name' THEN
			strRt	:= '【124】 Reserved';</v>
      </c>
      <c r="AG62" t="str">
        <f ca="1"/>
        <v xml:space="preserve">
	//Reserved
	ELSIF uiInfoIdx = 4 THEN
		IF strInfoKey = 'name' THEN
			strRt	:= 'Reserved';
		ELSIF strInfoKey = 'index_name' THEN
			strRt	:= '【124】 Reserved';
		ELSIF strInfoKey = 'model' THEN</v>
      </c>
      <c r="AH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</v>
      </c>
      <c r="AI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</v>
      </c>
      <c r="AJ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</v>
      </c>
      <c r="AK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</v>
      </c>
      <c r="AL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</v>
      </c>
      <c r="AM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</v>
      </c>
    </row>
    <row r="63" spans="6:39" x14ac:dyDescent="0.55000000000000004">
      <c r="F63">
        <f t="shared" si="1"/>
        <v>12</v>
      </c>
      <c r="G63" t="str">
        <f t="shared" si="0"/>
        <v>12</v>
      </c>
      <c r="H63">
        <f>COUNTIF(G$3:G63,G63)</f>
        <v>5</v>
      </c>
      <c r="I63" t="str">
        <v>●</v>
      </c>
      <c r="J63">
        <v>61</v>
      </c>
      <c r="K63" t="str">
        <f ca="1"/>
        <v>Reserved</v>
      </c>
      <c r="L63" t="str">
        <f ca="1"/>
        <v>Reserved</v>
      </c>
      <c r="N63" t="str">
        <f ca="1"/>
        <v>【125】 Reserved</v>
      </c>
      <c r="O63" t="str">
        <v>Reserved</v>
      </c>
      <c r="P63" t="str">
        <v>Reserved</v>
      </c>
      <c r="Q63" t="str">
        <f ca="1"/>
        <v/>
      </c>
      <c r="R63" t="str">
        <f ca="1"/>
        <v>unknown</v>
      </c>
      <c r="Z63" t="str">
        <f ca="1"/>
        <v xml:space="preserve">
</v>
      </c>
      <c r="AA63" t="str">
        <f ca="1"/>
        <v xml:space="preserve">
</v>
      </c>
      <c r="AB63" t="str">
        <f ca="1"/>
        <v xml:space="preserve">
	//Reserved
	ELSIF uiInfoIdx = 5 THEN</v>
      </c>
      <c r="AC63" t="str">
        <f ca="1"/>
        <v xml:space="preserve">
	//Reserved
	ELSIF uiInfoIdx = 5 THEN
		IF strInfoKey = 'name' THEN</v>
      </c>
      <c r="AD63" t="str">
        <f ca="1"/>
        <v xml:space="preserve">
	//Reserved
	ELSIF uiInfoIdx = 5 THEN
		IF strInfoKey = 'name' THEN
			strRt	:= 'Reserved';</v>
      </c>
      <c r="AE63" t="str">
        <f ca="1"/>
        <v xml:space="preserve">
	//Reserved
	ELSIF uiInfoIdx = 5 THEN
		IF strInfoKey = 'name' THEN
			strRt	:= 'Reserved';
		ELSIF strInfoKey = 'index_name' THEN</v>
      </c>
      <c r="AF63" t="str">
        <f ca="1"/>
        <v xml:space="preserve">
	//Reserved
	ELSIF uiInfoIdx = 5 THEN
		IF strInfoKey = 'name' THEN
			strRt	:= 'Reserved';
		ELSIF strInfoKey = 'index_name' THEN
			strRt	:= '【125】 Reserved';</v>
      </c>
      <c r="AG63" t="str">
        <f ca="1"/>
        <v xml:space="preserve">
	//Reserved
	ELSIF uiInfoIdx = 5 THEN
		IF strInfoKey = 'name' THEN
			strRt	:= 'Reserved';
		ELSIF strInfoKey = 'index_name' THEN
			strRt	:= '【125】 Reserved';
		ELSIF strInfoKey = 'model' THEN</v>
      </c>
      <c r="AH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</v>
      </c>
      <c r="AI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</v>
      </c>
      <c r="AJ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</v>
      </c>
      <c r="AK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</v>
      </c>
      <c r="AL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</v>
      </c>
      <c r="AM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</v>
      </c>
    </row>
    <row r="64" spans="6:39" x14ac:dyDescent="0.55000000000000004">
      <c r="F64">
        <f t="shared" ref="F64" si="9">F59+1</f>
        <v>13</v>
      </c>
      <c r="G64" t="str">
        <f t="shared" si="0"/>
        <v>13</v>
      </c>
      <c r="H64">
        <f>COUNTIF(G$3:G64,G64)</f>
        <v>1</v>
      </c>
      <c r="I64" t="str">
        <v/>
      </c>
      <c r="J64">
        <v>62</v>
      </c>
      <c r="K64" t="str">
        <f ca="1"/>
        <v>Standby Pos</v>
      </c>
      <c r="L64" t="str">
        <f ca="1"/>
        <v>Standby Pos</v>
      </c>
      <c r="N64" t="str">
        <f ca="1"/>
        <v>【131】 Standby Pos</v>
      </c>
      <c r="O64" t="str">
        <v>Standby Pos</v>
      </c>
      <c r="P64" t="str">
        <v>Standby Pos</v>
      </c>
      <c r="Q64" t="str">
        <f ca="1"/>
        <v/>
      </c>
      <c r="R64" t="str">
        <f ca="1"/>
        <v>unknown</v>
      </c>
      <c r="Z64" t="str">
        <f ca="1"/>
        <v xml:space="preserve">
//13</v>
      </c>
      <c r="AA64" t="str">
        <f ca="1"/>
        <v xml:space="preserve">
//13
ELSIF strInfoType = 13 THEN</v>
      </c>
      <c r="AB64" t="str">
        <f ca="1"/>
        <v xml:space="preserve">
//13
ELSIF strInfoType = 13 THEN
	//Standby Pos
	IF uiInfoIdx = 1 THEN</v>
      </c>
      <c r="AC64" t="str">
        <f ca="1"/>
        <v xml:space="preserve">
//13
ELSIF strInfoType = 13 THEN
	//Standby Pos
	IF uiInfoIdx = 1 THEN
		IF strInfoKey = 'name' THEN</v>
      </c>
      <c r="AD64" t="str">
        <f ca="1"/>
        <v xml:space="preserve">
//13
ELSIF strInfoType = 13 THEN
	//Standby Pos
	IF uiInfoIdx = 1 THEN
		IF strInfoKey = 'name' THEN
			strRt	:= 'Standby Pos';</v>
      </c>
      <c r="AE64" t="str">
        <f ca="1"/>
        <v xml:space="preserve">
//13
ELSIF strInfoType = 13 THEN
	//Standby Pos
	IF uiInfoIdx = 1 THEN
		IF strInfoKey = 'name' THEN
			strRt	:= 'Standby Pos';
		ELSIF strInfoKey = 'index_name' THEN</v>
      </c>
      <c r="AF64" t="str">
        <f ca="1"/>
        <v xml:space="preserve">
//13
ELSIF strInfoType = 13 THEN
	//Standby Pos
	IF uiInfoIdx = 1 THEN
		IF strInfoKey = 'name' THEN
			strRt	:= 'Standby Pos';
		ELSIF strInfoKey = 'index_name' THEN
			strRt	:= '【131】 Standby Pos';</v>
      </c>
      <c r="AG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</v>
      </c>
      <c r="AH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</v>
      </c>
      <c r="AI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</v>
      </c>
      <c r="AJ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</v>
      </c>
      <c r="AK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</v>
      </c>
      <c r="AL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</v>
      </c>
      <c r="AM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2</v>
      </c>
      <c r="I65" t="str">
        <v/>
      </c>
      <c r="J65">
        <v>63</v>
      </c>
      <c r="K65" t="str">
        <f ca="1"/>
        <v>Reserved</v>
      </c>
      <c r="L65" t="str">
        <f ca="1"/>
        <v>Reserved</v>
      </c>
      <c r="N65" t="str">
        <f ca="1"/>
        <v>【132】 Reserved</v>
      </c>
      <c r="O65" t="str">
        <v>Reserved</v>
      </c>
      <c r="P65" t="str">
        <v>Reserved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//Reserved
	ELSIF uiInfoIdx = 2 THEN</v>
      </c>
      <c r="AC65" t="str">
        <f ca="1"/>
        <v xml:space="preserve">
	//Reserved
	ELSIF uiInfoIdx = 2 THEN
		IF strInfoKey = 'name' THEN</v>
      </c>
      <c r="AD65" t="str">
        <f ca="1"/>
        <v xml:space="preserve">
	//Reserved
	ELSIF uiInfoIdx = 2 THEN
		IF strInfoKey = 'name' THEN
			strRt	:= 'Reserved';</v>
      </c>
      <c r="AE65" t="str">
        <f ca="1"/>
        <v xml:space="preserve">
	//Reserved
	ELSIF uiInfoIdx = 2 THEN
		IF strInfoKey = 'name' THEN
			strRt	:= 'Reserved';
		ELSIF strInfoKey = 'index_name' THEN</v>
      </c>
      <c r="AF65" t="str">
        <f ca="1"/>
        <v xml:space="preserve">
	//Reserved
	ELSIF uiInfoIdx = 2 THEN
		IF strInfoKey = 'name' THEN
			strRt	:= 'Reserved';
		ELSIF strInfoKey = 'index_name' THEN
			strRt	:= '【132】 Reserved';</v>
      </c>
      <c r="AG65" t="str">
        <f ca="1"/>
        <v xml:space="preserve">
	//Reserved
	ELSIF uiInfoIdx = 2 THEN
		IF strInfoKey = 'name' THEN
			strRt	:= 'Reserved';
		ELSIF strInfoKey = 'index_name' THEN
			strRt	:= '【132】 Reserved';
		ELSIF strInfoKey = 'model' THEN</v>
      </c>
      <c r="AH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</v>
      </c>
      <c r="AI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</v>
      </c>
      <c r="AJ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</v>
      </c>
      <c r="AK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</v>
      </c>
      <c r="AL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</v>
      </c>
      <c r="AM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3</v>
      </c>
      <c r="I66" t="str">
        <v/>
      </c>
      <c r="J66">
        <v>64</v>
      </c>
      <c r="K66" t="str">
        <f ca="1"/>
        <v>Reserved</v>
      </c>
      <c r="L66" t="str">
        <f ca="1"/>
        <v>Reserved</v>
      </c>
      <c r="N66" t="str">
        <f ca="1"/>
        <v>【133】 Reserved</v>
      </c>
      <c r="O66" t="str">
        <v>Reserved</v>
      </c>
      <c r="P66" t="str">
        <v>Reserved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//Reserved
	ELSIF uiInfoIdx = 3 THEN</v>
      </c>
      <c r="AC66" t="str">
        <f ca="1"/>
        <v xml:space="preserve">
	//Reserved
	ELSIF uiInfoIdx = 3 THEN
		IF strInfoKey = 'name' THEN</v>
      </c>
      <c r="AD66" t="str">
        <f ca="1"/>
        <v xml:space="preserve">
	//Reserved
	ELSIF uiInfoIdx = 3 THEN
		IF strInfoKey = 'name' THEN
			strRt	:= 'Reserved';</v>
      </c>
      <c r="AE66" t="str">
        <f ca="1"/>
        <v xml:space="preserve">
	//Reserved
	ELSIF uiInfoIdx = 3 THEN
		IF strInfoKey = 'name' THEN
			strRt	:= 'Reserved';
		ELSIF strInfoKey = 'index_name' THEN</v>
      </c>
      <c r="AF66" t="str">
        <f ca="1"/>
        <v xml:space="preserve">
	//Reserved
	ELSIF uiInfoIdx = 3 THEN
		IF strInfoKey = 'name' THEN
			strRt	:= 'Reserved';
		ELSIF strInfoKey = 'index_name' THEN
			strRt	:= '【133】 Reserved';</v>
      </c>
      <c r="AG66" t="str">
        <f ca="1"/>
        <v xml:space="preserve">
	//Reserved
	ELSIF uiInfoIdx = 3 THEN
		IF strInfoKey = 'name' THEN
			strRt	:= 'Reserved';
		ELSIF strInfoKey = 'index_name' THEN
			strRt	:= '【133】 Reserved';
		ELSIF strInfoKey = 'model' THEN</v>
      </c>
      <c r="AH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</v>
      </c>
      <c r="AI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</v>
      </c>
      <c r="AJ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</v>
      </c>
      <c r="AK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</v>
      </c>
      <c r="AL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</v>
      </c>
      <c r="AM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4</v>
      </c>
      <c r="I67" t="str">
        <v/>
      </c>
      <c r="J67">
        <v>65</v>
      </c>
      <c r="K67" t="str">
        <f ca="1"/>
        <v>Reserved</v>
      </c>
      <c r="L67" t="str">
        <f ca="1"/>
        <v>Reserved</v>
      </c>
      <c r="N67" t="str">
        <f ca="1"/>
        <v>【134】 Reserved</v>
      </c>
      <c r="O67" t="str">
        <v>Reserved</v>
      </c>
      <c r="P67" t="str">
        <v>Reserved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//Reserved
	ELSIF uiInfoIdx = 4 THEN</v>
      </c>
      <c r="AC67" t="str">
        <f ca="1"/>
        <v xml:space="preserve">
	//Reserved
	ELSIF uiInfoIdx = 4 THEN
		IF strInfoKey = 'name' THEN</v>
      </c>
      <c r="AD67" t="str">
        <f ca="1"/>
        <v xml:space="preserve">
	//Reserved
	ELSIF uiInfoIdx = 4 THEN
		IF strInfoKey = 'name' THEN
			strRt	:= 'Reserved';</v>
      </c>
      <c r="AE67" t="str">
        <f ca="1"/>
        <v xml:space="preserve">
	//Reserved
	ELSIF uiInfoIdx = 4 THEN
		IF strInfoKey = 'name' THEN
			strRt	:= 'Reserved';
		ELSIF strInfoKey = 'index_name' THEN</v>
      </c>
      <c r="AF67" t="str">
        <f ca="1"/>
        <v xml:space="preserve">
	//Reserved
	ELSIF uiInfoIdx = 4 THEN
		IF strInfoKey = 'name' THEN
			strRt	:= 'Reserved';
		ELSIF strInfoKey = 'index_name' THEN
			strRt	:= '【134】 Reserved';</v>
      </c>
      <c r="AG67" t="str">
        <f ca="1"/>
        <v xml:space="preserve">
	//Reserved
	ELSIF uiInfoIdx = 4 THEN
		IF strInfoKey = 'name' THEN
			strRt	:= 'Reserved';
		ELSIF strInfoKey = 'index_name' THEN
			strRt	:= '【134】 Reserved';
		ELSIF strInfoKey = 'model' THEN</v>
      </c>
      <c r="AH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</v>
      </c>
      <c r="AI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</v>
      </c>
      <c r="AJ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</v>
      </c>
      <c r="AK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</v>
      </c>
      <c r="AL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</v>
      </c>
      <c r="AM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</v>
      </c>
    </row>
    <row r="68" spans="6:39" x14ac:dyDescent="0.55000000000000004">
      <c r="F68">
        <f t="shared" si="1"/>
        <v>13</v>
      </c>
      <c r="G68" t="str">
        <f t="shared" si="0"/>
        <v>13</v>
      </c>
      <c r="H68">
        <f>COUNTIF(G$3:G68,G68)</f>
        <v>5</v>
      </c>
      <c r="I68" t="str">
        <v>●</v>
      </c>
      <c r="J68">
        <v>66</v>
      </c>
      <c r="K68" t="str">
        <f ca="1"/>
        <v>Reserved</v>
      </c>
      <c r="L68" t="str">
        <f ca="1"/>
        <v>Reserved</v>
      </c>
      <c r="N68" t="str">
        <f ca="1"/>
        <v>【135】 Reserved</v>
      </c>
      <c r="O68" t="str">
        <v>Reserved</v>
      </c>
      <c r="P68" t="str">
        <v>Reserved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//Reserved
	ELSIF uiInfoIdx = 5 THEN</v>
      </c>
      <c r="AC68" t="str">
        <f ca="1"/>
        <v xml:space="preserve">
	//Reserved
	ELSIF uiInfoIdx = 5 THEN
		IF strInfoKey = 'name' THEN</v>
      </c>
      <c r="AD68" t="str">
        <f ca="1"/>
        <v xml:space="preserve">
	//Reserved
	ELSIF uiInfoIdx = 5 THEN
		IF strInfoKey = 'name' THEN
			strRt	:= 'Reserved';</v>
      </c>
      <c r="AE68" t="str">
        <f ca="1"/>
        <v xml:space="preserve">
	//Reserved
	ELSIF uiInfoIdx = 5 THEN
		IF strInfoKey = 'name' THEN
			strRt	:= 'Reserved';
		ELSIF strInfoKey = 'index_name' THEN</v>
      </c>
      <c r="AF68" t="str">
        <f ca="1"/>
        <v xml:space="preserve">
	//Reserved
	ELSIF uiInfoIdx = 5 THEN
		IF strInfoKey = 'name' THEN
			strRt	:= 'Reserved';
		ELSIF strInfoKey = 'index_name' THEN
			strRt	:= '【135】 Reserved';</v>
      </c>
      <c r="AG68" t="str">
        <f ca="1"/>
        <v xml:space="preserve">
	//Reserved
	ELSIF uiInfoIdx = 5 THEN
		IF strInfoKey = 'name' THEN
			strRt	:= 'Reserved';
		ELSIF strInfoKey = 'index_name' THEN
			strRt	:= '【135】 Reserved';
		ELSIF strInfoKey = 'model' THEN</v>
      </c>
      <c r="AH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</v>
      </c>
      <c r="AI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</v>
      </c>
      <c r="AJ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</v>
      </c>
      <c r="AK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</v>
      </c>
      <c r="AL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</v>
      </c>
      <c r="AM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</v>
      </c>
    </row>
    <row r="69" spans="6:39" x14ac:dyDescent="0.55000000000000004">
      <c r="F69">
        <f t="shared" ref="F69" si="10">F64+1</f>
        <v>14</v>
      </c>
      <c r="G69" t="str">
        <f t="shared" ref="G69" si="11">E69&amp;F69</f>
        <v>14</v>
      </c>
      <c r="H69">
        <f>COUNTIF(G$3:G69,G69)</f>
        <v>1</v>
      </c>
      <c r="I69" t="str">
        <v/>
      </c>
      <c r="J69">
        <v>67</v>
      </c>
      <c r="K69" t="str">
        <f ca="1"/>
        <v>Standby Pos</v>
      </c>
      <c r="L69" t="str">
        <f ca="1"/>
        <v>Standby Pos</v>
      </c>
      <c r="N69" t="str">
        <f ca="1"/>
        <v>【141】 Standby Pos</v>
      </c>
      <c r="O69" t="str">
        <v>Standby Pos</v>
      </c>
      <c r="P69" t="str">
        <v>Standby Pos</v>
      </c>
      <c r="Q69" t="str">
        <f ca="1"/>
        <v/>
      </c>
      <c r="R69" t="str">
        <f ca="1"/>
        <v>unknown</v>
      </c>
      <c r="Z69" t="str">
        <f ca="1"/>
        <v xml:space="preserve">
//14</v>
      </c>
      <c r="AA69" t="str">
        <f ca="1"/>
        <v xml:space="preserve">
//14
ELSIF strInfoType = 14 THEN</v>
      </c>
      <c r="AB69" t="str">
        <f ca="1"/>
        <v xml:space="preserve">
//14
ELSIF strInfoType = 14 THEN
	//Standby Pos
	IF uiInfoIdx = 1 THEN</v>
      </c>
      <c r="AC69" t="str">
        <f ca="1"/>
        <v xml:space="preserve">
//14
ELSIF strInfoType = 14 THEN
	//Standby Pos
	IF uiInfoIdx = 1 THEN
		IF strInfoKey = 'name' THEN</v>
      </c>
      <c r="AD69" t="str">
        <f ca="1"/>
        <v xml:space="preserve">
//14
ELSIF strInfoType = 14 THEN
	//Standby Pos
	IF uiInfoIdx = 1 THEN
		IF strInfoKey = 'name' THEN
			strRt	:= 'Standby Pos';</v>
      </c>
      <c r="AE69" t="str">
        <f ca="1"/>
        <v xml:space="preserve">
//14
ELSIF strInfoType = 14 THEN
	//Standby Pos
	IF uiInfoIdx = 1 THEN
		IF strInfoKey = 'name' THEN
			strRt	:= 'Standby Pos';
		ELSIF strInfoKey = 'index_name' THEN</v>
      </c>
      <c r="AF69" t="str">
        <f ca="1"/>
        <v xml:space="preserve">
//14
ELSIF strInfoType = 14 THEN
	//Standby Pos
	IF uiInfoIdx = 1 THEN
		IF strInfoKey = 'name' THEN
			strRt	:= 'Standby Pos';
		ELSIF strInfoKey = 'index_name' THEN
			strRt	:= '【141】 Standby Pos';</v>
      </c>
      <c r="AG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</v>
      </c>
      <c r="AH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</v>
      </c>
      <c r="AI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</v>
      </c>
      <c r="AJ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</v>
      </c>
      <c r="AK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</v>
      </c>
      <c r="AL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</v>
      </c>
      <c r="AM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</v>
      </c>
    </row>
    <row r="70" spans="6:39" x14ac:dyDescent="0.55000000000000004">
      <c r="F70">
        <f t="shared" ref="F70:F133" si="12">F69</f>
        <v>14</v>
      </c>
      <c r="G70" t="str">
        <f t="shared" ref="G70:G132" si="13">E70&amp;F70</f>
        <v>14</v>
      </c>
      <c r="H70">
        <f>COUNTIF(G$3:G70,G70)</f>
        <v>2</v>
      </c>
      <c r="I70" t="str">
        <v/>
      </c>
      <c r="J70">
        <v>68</v>
      </c>
      <c r="K70" t="str">
        <f ca="1"/>
        <v>Wind Pos</v>
      </c>
      <c r="L70" t="str">
        <f ca="1"/>
        <v>Wind Pos</v>
      </c>
      <c r="N70" t="str">
        <f ca="1"/>
        <v>【142】 Wind Pos</v>
      </c>
      <c r="O70" t="str">
        <v>Winding Pos</v>
      </c>
      <c r="P70" t="str">
        <v>Winding Pos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//Wind Pos
	ELSIF uiInfoIdx = 2 THEN</v>
      </c>
      <c r="AC70" t="str">
        <f ca="1"/>
        <v xml:space="preserve">
	//Wind Pos
	ELSIF uiInfoIdx = 2 THEN
		IF strInfoKey = 'name' THEN</v>
      </c>
      <c r="AD70" t="str">
        <f ca="1"/>
        <v xml:space="preserve">
	//Wind Pos
	ELSIF uiInfoIdx = 2 THEN
		IF strInfoKey = 'name' THEN
			strRt	:= 'Wind Pos';</v>
      </c>
      <c r="AE70" t="str">
        <f ca="1"/>
        <v xml:space="preserve">
	//Wind Pos
	ELSIF uiInfoIdx = 2 THEN
		IF strInfoKey = 'name' THEN
			strRt	:= 'Wind Pos';
		ELSIF strInfoKey = 'index_name' THEN</v>
      </c>
      <c r="AF70" t="str">
        <f ca="1"/>
        <v xml:space="preserve">
	//Wind Pos
	ELSIF uiInfoIdx = 2 THEN
		IF strInfoKey = 'name' THEN
			strRt	:= 'Wind Pos';
		ELSIF strInfoKey = 'index_name' THEN
			strRt	:= '【142】 Wind Pos';</v>
      </c>
      <c r="AG70" t="str">
        <f ca="1"/>
        <v xml:space="preserve">
	//Wind Pos
	ELSIF uiInfoIdx = 2 THEN
		IF strInfoKey = 'name' THEN
			strRt	:= 'Wind Pos';
		ELSIF strInfoKey = 'index_name' THEN
			strRt	:= '【142】 Wind Pos';
		ELSIF strInfoKey = 'model' THEN</v>
      </c>
      <c r="AH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</v>
      </c>
      <c r="AI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</v>
      </c>
      <c r="AJ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</v>
      </c>
      <c r="AK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</v>
      </c>
      <c r="AL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</v>
      </c>
      <c r="AM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3</v>
      </c>
      <c r="I71" t="str">
        <v/>
      </c>
      <c r="J71">
        <v>69</v>
      </c>
      <c r="K71" t="str">
        <f ca="1"/>
        <v>Seam Pos</v>
      </c>
      <c r="L71" t="str">
        <f ca="1"/>
        <v>Seam Pos</v>
      </c>
      <c r="N71" t="str">
        <f ca="1"/>
        <v>【143】 Seam Pos</v>
      </c>
      <c r="O71" t="str">
        <v>Seaming Pos</v>
      </c>
      <c r="P71" t="str">
        <v>Seaming Pos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//Seam Pos
	ELSIF uiInfoIdx = 3 THEN</v>
      </c>
      <c r="AC71" t="str">
        <f ca="1"/>
        <v xml:space="preserve">
	//Seam Pos
	ELSIF uiInfoIdx = 3 THEN
		IF strInfoKey = 'name' THEN</v>
      </c>
      <c r="AD71" t="str">
        <f ca="1"/>
        <v xml:space="preserve">
	//Seam Pos
	ELSIF uiInfoIdx = 3 THEN
		IF strInfoKey = 'name' THEN
			strRt	:= 'Seam Pos';</v>
      </c>
      <c r="AE71" t="str">
        <f ca="1"/>
        <v xml:space="preserve">
	//Seam Pos
	ELSIF uiInfoIdx = 3 THEN
		IF strInfoKey = 'name' THEN
			strRt	:= 'Seam Pos';
		ELSIF strInfoKey = 'index_name' THEN</v>
      </c>
      <c r="AF71" t="str">
        <f ca="1"/>
        <v xml:space="preserve">
	//Seam Pos
	ELSIF uiInfoIdx = 3 THEN
		IF strInfoKey = 'name' THEN
			strRt	:= 'Seam Pos';
		ELSIF strInfoKey = 'index_name' THEN
			strRt	:= '【143】 Seam Pos';</v>
      </c>
      <c r="AG71" t="str">
        <f ca="1"/>
        <v xml:space="preserve">
	//Seam Pos
	ELSIF uiInfoIdx = 3 THEN
		IF strInfoKey = 'name' THEN
			strRt	:= 'Seam Pos';
		ELSIF strInfoKey = 'index_name' THEN
			strRt	:= '【143】 Seam Pos';
		ELSIF strInfoKey = 'model' THEN</v>
      </c>
      <c r="AH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</v>
      </c>
      <c r="AI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</v>
      </c>
      <c r="AJ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</v>
      </c>
      <c r="AK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</v>
      </c>
      <c r="AL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</v>
      </c>
      <c r="AM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4</v>
      </c>
      <c r="I72" t="str">
        <v/>
      </c>
      <c r="J72">
        <v>70</v>
      </c>
      <c r="K72" t="str">
        <f ca="1"/>
        <v>Align Pos</v>
      </c>
      <c r="L72" t="str">
        <f ca="1"/>
        <v>Align Pos</v>
      </c>
      <c r="N72" t="str">
        <f ca="1"/>
        <v>【144】 Align Pos</v>
      </c>
      <c r="O72" t="str">
        <v>Alignment Pos</v>
      </c>
      <c r="P72" t="str">
        <v>Alignment Pos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//Align Pos
	ELSIF uiInfoIdx = 4 THEN</v>
      </c>
      <c r="AC72" t="str">
        <f ca="1"/>
        <v xml:space="preserve">
	//Align Pos
	ELSIF uiInfoIdx = 4 THEN
		IF strInfoKey = 'name' THEN</v>
      </c>
      <c r="AD72" t="str">
        <f ca="1"/>
        <v xml:space="preserve">
	//Align Pos
	ELSIF uiInfoIdx = 4 THEN
		IF strInfoKey = 'name' THEN
			strRt	:= 'Align Pos';</v>
      </c>
      <c r="AE72" t="str">
        <f ca="1"/>
        <v xml:space="preserve">
	//Align Pos
	ELSIF uiInfoIdx = 4 THEN
		IF strInfoKey = 'name' THEN
			strRt	:= 'Align Pos';
		ELSIF strInfoKey = 'index_name' THEN</v>
      </c>
      <c r="AF72" t="str">
        <f ca="1"/>
        <v xml:space="preserve">
	//Align Pos
	ELSIF uiInfoIdx = 4 THEN
		IF strInfoKey = 'name' THEN
			strRt	:= 'Align Pos';
		ELSIF strInfoKey = 'index_name' THEN
			strRt	:= '【144】 Align Pos';</v>
      </c>
      <c r="AG72" t="str">
        <f ca="1"/>
        <v xml:space="preserve">
	//Align Pos
	ELSIF uiInfoIdx = 4 THEN
		IF strInfoKey = 'name' THEN
			strRt	:= 'Align Pos';
		ELSIF strInfoKey = 'index_name' THEN
			strRt	:= '【144】 Align Pos';
		ELSIF strInfoKey = 'model' THEN</v>
      </c>
      <c r="AH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</v>
      </c>
      <c r="AI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</v>
      </c>
      <c r="AJ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</v>
      </c>
      <c r="AK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</v>
      </c>
      <c r="AL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</v>
      </c>
      <c r="AM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</v>
      </c>
    </row>
    <row r="73" spans="6:39" x14ac:dyDescent="0.55000000000000004">
      <c r="F73">
        <f t="shared" si="12"/>
        <v>14</v>
      </c>
      <c r="G73" t="str">
        <f t="shared" si="13"/>
        <v>14</v>
      </c>
      <c r="H73">
        <f>COUNTIF(G$3:G73,G73)</f>
        <v>5</v>
      </c>
      <c r="I73" t="str">
        <v>●</v>
      </c>
      <c r="J73">
        <v>71</v>
      </c>
      <c r="K73" t="str">
        <f ca="1"/>
        <v>Reserved</v>
      </c>
      <c r="L73" t="str">
        <f ca="1"/>
        <v>Reserved</v>
      </c>
      <c r="N73" t="str">
        <f ca="1"/>
        <v>【145】 Reserved</v>
      </c>
      <c r="O73" t="str">
        <v>Reserved</v>
      </c>
      <c r="P73" t="str">
        <v>Reserved</v>
      </c>
      <c r="Q73" t="str">
        <f ca="1"/>
        <v/>
      </c>
      <c r="R73" t="str">
        <f ca="1"/>
        <v>unknown</v>
      </c>
      <c r="Z73" t="str">
        <f ca="1"/>
        <v xml:space="preserve">
</v>
      </c>
      <c r="AA73" t="str">
        <f ca="1"/>
        <v xml:space="preserve">
</v>
      </c>
      <c r="AB73" t="str">
        <f ca="1"/>
        <v xml:space="preserve">
	//Reserved
	ELSIF uiInfoIdx = 5 THEN</v>
      </c>
      <c r="AC73" t="str">
        <f ca="1"/>
        <v xml:space="preserve">
	//Reserved
	ELSIF uiInfoIdx = 5 THEN
		IF strInfoKey = 'name' THEN</v>
      </c>
      <c r="AD73" t="str">
        <f ca="1"/>
        <v xml:space="preserve">
	//Reserved
	ELSIF uiInfoIdx = 5 THEN
		IF strInfoKey = 'name' THEN
			strRt	:= 'Reserved';</v>
      </c>
      <c r="AE73" t="str">
        <f ca="1"/>
        <v xml:space="preserve">
	//Reserved
	ELSIF uiInfoIdx = 5 THEN
		IF strInfoKey = 'name' THEN
			strRt	:= 'Reserved';
		ELSIF strInfoKey = 'index_name' THEN</v>
      </c>
      <c r="AF73" t="str">
        <f ca="1"/>
        <v xml:space="preserve">
	//Reserved
	ELSIF uiInfoIdx = 5 THEN
		IF strInfoKey = 'name' THEN
			strRt	:= 'Reserved';
		ELSIF strInfoKey = 'index_name' THEN
			strRt	:= '【145】 Reserved';</v>
      </c>
      <c r="AG73" t="str">
        <f ca="1"/>
        <v xml:space="preserve">
	//Reserved
	ELSIF uiInfoIdx = 5 THEN
		IF strInfoKey = 'name' THEN
			strRt	:= 'Reserved';
		ELSIF strInfoKey = 'index_name' THEN
			strRt	:= '【145】 Reserved';
		ELSIF strInfoKey = 'model' THEN</v>
      </c>
      <c r="AH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</v>
      </c>
      <c r="AI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</v>
      </c>
      <c r="AJ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</v>
      </c>
      <c r="AK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</v>
      </c>
      <c r="AL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</v>
      </c>
      <c r="AM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</v>
      </c>
    </row>
    <row r="74" spans="6:39" x14ac:dyDescent="0.55000000000000004">
      <c r="F74">
        <v>17</v>
      </c>
      <c r="G74" t="str">
        <f t="shared" si="13"/>
        <v>17</v>
      </c>
      <c r="H74">
        <f>COUNTIF(G$3:G74,G74)</f>
        <v>1</v>
      </c>
      <c r="I74" t="str">
        <v/>
      </c>
      <c r="J74">
        <v>82</v>
      </c>
      <c r="K74" t="str">
        <f ca="1"/>
        <v>Standby Pos</v>
      </c>
      <c r="L74" t="str">
        <f ca="1"/>
        <v>Standby Pos</v>
      </c>
      <c r="N74" t="str">
        <f ca="1"/>
        <v>【171】 Standby Pos</v>
      </c>
      <c r="O74" t="str">
        <v>Standby Pos</v>
      </c>
      <c r="P74" t="str">
        <v>Standby Pos</v>
      </c>
      <c r="Q74" t="str">
        <f ca="1"/>
        <v/>
      </c>
      <c r="R74" t="str">
        <f ca="1"/>
        <v>unknown</v>
      </c>
      <c r="Z74" t="str">
        <f ca="1"/>
        <v xml:space="preserve">
//17</v>
      </c>
      <c r="AA74" t="str">
        <f ca="1"/>
        <v xml:space="preserve">
//17
ELSIF strInfoType = 17 THEN</v>
      </c>
      <c r="AB74" t="str">
        <f ca="1"/>
        <v xml:space="preserve">
//17
ELSIF strInfoType = 17 THEN
	//Standby Pos
	IF uiInfoIdx = 1 THEN</v>
      </c>
      <c r="AC74" t="str">
        <f ca="1"/>
        <v xml:space="preserve">
//17
ELSIF strInfoType = 17 THEN
	//Standby Pos
	IF uiInfoIdx = 1 THEN
		IF strInfoKey = 'name' THEN</v>
      </c>
      <c r="AD74" t="str">
        <f ca="1"/>
        <v xml:space="preserve">
//17
ELSIF strInfoType = 17 THEN
	//Standby Pos
	IF uiInfoIdx = 1 THEN
		IF strInfoKey = 'name' THEN
			strRt	:= 'Standby Pos';</v>
      </c>
      <c r="AE74" t="str">
        <f ca="1"/>
        <v xml:space="preserve">
//17
ELSIF strInfoType = 17 THEN
	//Standby Pos
	IF uiInfoIdx = 1 THEN
		IF strInfoKey = 'name' THEN
			strRt	:= 'Standby Pos';
		ELSIF strInfoKey = 'index_name' THEN</v>
      </c>
      <c r="AF74" t="str">
        <f ca="1"/>
        <v xml:space="preserve">
//17
ELSIF strInfoType = 17 THEN
	//Standby Pos
	IF uiInfoIdx = 1 THEN
		IF strInfoKey = 'name' THEN
			strRt	:= 'Standby Pos';
		ELSIF strInfoKey = 'index_name' THEN
			strRt	:= '【171】 Standby Pos';</v>
      </c>
      <c r="AG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</v>
      </c>
      <c r="AH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</v>
      </c>
      <c r="AI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</v>
      </c>
      <c r="AJ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</v>
      </c>
      <c r="AK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</v>
      </c>
      <c r="AL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</v>
      </c>
      <c r="AM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2</v>
      </c>
      <c r="I75" t="str">
        <v/>
      </c>
      <c r="J75">
        <v>83</v>
      </c>
      <c r="K75" t="str">
        <f ca="1"/>
        <v>Pick Pos</v>
      </c>
      <c r="L75" t="str">
        <f ca="1"/>
        <v>Pick Pos</v>
      </c>
      <c r="N75" t="str">
        <f ca="1"/>
        <v>【172】 Pick Pos</v>
      </c>
      <c r="O75" t="str">
        <v>Pick Pos</v>
      </c>
      <c r="P75" t="str">
        <v>Pick Pos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//Pick Pos
	ELSIF uiInfoIdx = 2 THEN</v>
      </c>
      <c r="AC75" t="str">
        <f ca="1"/>
        <v xml:space="preserve">
	//Pick Pos
	ELSIF uiInfoIdx = 2 THEN
		IF strInfoKey = 'name' THEN</v>
      </c>
      <c r="AD75" t="str">
        <f ca="1"/>
        <v xml:space="preserve">
	//Pick Pos
	ELSIF uiInfoIdx = 2 THEN
		IF strInfoKey = 'name' THEN
			strRt	:= 'Pick Pos';</v>
      </c>
      <c r="AE75" t="str">
        <f ca="1"/>
        <v xml:space="preserve">
	//Pick Pos
	ELSIF uiInfoIdx = 2 THEN
		IF strInfoKey = 'name' THEN
			strRt	:= 'Pick Pos';
		ELSIF strInfoKey = 'index_name' THEN</v>
      </c>
      <c r="AF75" t="str">
        <f ca="1"/>
        <v xml:space="preserve">
	//Pick Pos
	ELSIF uiInfoIdx = 2 THEN
		IF strInfoKey = 'name' THEN
			strRt	:= 'Pick Pos';
		ELSIF strInfoKey = 'index_name' THEN
			strRt	:= '【172】 Pick Pos';</v>
      </c>
      <c r="AG75" t="str">
        <f ca="1"/>
        <v xml:space="preserve">
	//Pick Pos
	ELSIF uiInfoIdx = 2 THEN
		IF strInfoKey = 'name' THEN
			strRt	:= 'Pick Pos';
		ELSIF strInfoKey = 'index_name' THEN
			strRt	:= '【172】 Pick Pos';
		ELSIF strInfoKey = 'model' THEN</v>
      </c>
      <c r="AH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</v>
      </c>
      <c r="AI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</v>
      </c>
      <c r="AJ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</v>
      </c>
      <c r="AK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</v>
      </c>
      <c r="AL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</v>
      </c>
      <c r="AM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3</v>
      </c>
      <c r="I76" t="str">
        <v/>
      </c>
      <c r="J76">
        <v>84</v>
      </c>
      <c r="K76" t="str">
        <f ca="1"/>
        <v>Wind Assist Pos</v>
      </c>
      <c r="L76" t="str">
        <f ca="1"/>
        <v>Wind Assist Pos</v>
      </c>
      <c r="N76" t="str">
        <f ca="1"/>
        <v>【173】 Wind Assist Pos</v>
      </c>
      <c r="O76" t="str">
        <v>Winding Assist Pos</v>
      </c>
      <c r="P76" t="str">
        <v>Winding Assist Pos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//Wind Assist Pos
	ELSIF uiInfoIdx = 3 THEN</v>
      </c>
      <c r="AC76" t="str">
        <f ca="1"/>
        <v xml:space="preserve">
	//Wind Assist Pos
	ELSIF uiInfoIdx = 3 THEN
		IF strInfoKey = 'name' THEN</v>
      </c>
      <c r="AD76" t="str">
        <f ca="1"/>
        <v xml:space="preserve">
	//Wind Assist Pos
	ELSIF uiInfoIdx = 3 THEN
		IF strInfoKey = 'name' THEN
			strRt	:= 'Wind Assist Pos';</v>
      </c>
      <c r="AE76" t="str">
        <f ca="1"/>
        <v xml:space="preserve">
	//Wind Assist Pos
	ELSIF uiInfoIdx = 3 THEN
		IF strInfoKey = 'name' THEN
			strRt	:= 'Wind Assist Pos';
		ELSIF strInfoKey = 'index_name' THEN</v>
      </c>
      <c r="AF76" t="str">
        <f ca="1"/>
        <v xml:space="preserve">
	//Wind Assist Pos
	ELSIF uiInfoIdx = 3 THEN
		IF strInfoKey = 'name' THEN
			strRt	:= 'Wind Assist Pos';
		ELSIF strInfoKey = 'index_name' THEN
			strRt	:= '【173】 Wind Assist Pos';</v>
      </c>
      <c r="AG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</v>
      </c>
      <c r="AH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</v>
      </c>
      <c r="AI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</v>
      </c>
      <c r="AJ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</v>
      </c>
      <c r="AK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</v>
      </c>
      <c r="AL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</v>
      </c>
      <c r="AM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4</v>
      </c>
      <c r="I77" t="str">
        <v/>
      </c>
      <c r="J77">
        <v>85</v>
      </c>
      <c r="K77" t="str">
        <f ca="1"/>
        <v>Measure Retract Pos</v>
      </c>
      <c r="L77" t="str">
        <f ca="1"/>
        <v>Measure Retract Pos</v>
      </c>
      <c r="N77" t="str">
        <f ca="1"/>
        <v>【174】 Measure Retract Pos</v>
      </c>
      <c r="O77" t="str">
        <v>Measurement Retract Pos</v>
      </c>
      <c r="P77" t="str">
        <v>Measurement Retract Pos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//Measure Retract Pos
	ELSIF uiInfoIdx = 4 THEN</v>
      </c>
      <c r="AC77" t="str">
        <f ca="1"/>
        <v xml:space="preserve">
	//Measure Retract Pos
	ELSIF uiInfoIdx = 4 THEN
		IF strInfoKey = 'name' THEN</v>
      </c>
      <c r="AD77" t="str">
        <f ca="1"/>
        <v xml:space="preserve">
	//Measure Retract Pos
	ELSIF uiInfoIdx = 4 THEN
		IF strInfoKey = 'name' THEN
			strRt	:= 'Measure Retract Pos';</v>
      </c>
      <c r="AE77" t="str">
        <f ca="1"/>
        <v xml:space="preserve">
	//Measure Retract Pos
	ELSIF uiInfoIdx = 4 THEN
		IF strInfoKey = 'name' THEN
			strRt	:= 'Measure Retract Pos';
		ELSIF strInfoKey = 'index_name' THEN</v>
      </c>
      <c r="AF77" t="str">
        <f ca="1"/>
        <v xml:space="preserve">
	//Measure Retract Pos
	ELSIF uiInfoIdx = 4 THEN
		IF strInfoKey = 'name' THEN
			strRt	:= 'Measure Retract Pos';
		ELSIF strInfoKey = 'index_name' THEN
			strRt	:= '【174】 Measure Retract Pos';</v>
      </c>
      <c r="AG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</v>
      </c>
      <c r="AH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</v>
      </c>
      <c r="AI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</v>
      </c>
      <c r="AJ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</v>
      </c>
      <c r="AK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</v>
      </c>
      <c r="AL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</v>
      </c>
      <c r="AM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</v>
      </c>
    </row>
    <row r="78" spans="6:39" x14ac:dyDescent="0.55000000000000004">
      <c r="F78">
        <f t="shared" si="12"/>
        <v>17</v>
      </c>
      <c r="G78" t="str">
        <f t="shared" si="13"/>
        <v>17</v>
      </c>
      <c r="H78">
        <f>COUNTIF(G$3:G78,G78)</f>
        <v>5</v>
      </c>
      <c r="I78" t="str">
        <v>●</v>
      </c>
      <c r="J78">
        <v>86</v>
      </c>
      <c r="K78" t="str">
        <f ca="1"/>
        <v>Reserved</v>
      </c>
      <c r="L78" t="str">
        <f ca="1"/>
        <v>Reserved</v>
      </c>
      <c r="N78" t="str">
        <f ca="1"/>
        <v>【175】 Reserved</v>
      </c>
      <c r="O78" t="str">
        <v>Reserved</v>
      </c>
      <c r="P78" t="str">
        <v>Reserved</v>
      </c>
      <c r="Q78" t="str">
        <f ca="1"/>
        <v/>
      </c>
      <c r="R78" t="str">
        <f ca="1"/>
        <v>unknown</v>
      </c>
      <c r="Z78" t="str">
        <f ca="1"/>
        <v xml:space="preserve">
</v>
      </c>
      <c r="AA78" t="str">
        <f ca="1"/>
        <v xml:space="preserve">
</v>
      </c>
      <c r="AB78" t="str">
        <f ca="1"/>
        <v xml:space="preserve">
	//Reserved
	ELSIF uiInfoIdx = 5 THEN</v>
      </c>
      <c r="AC78" t="str">
        <f ca="1"/>
        <v xml:space="preserve">
	//Reserved
	ELSIF uiInfoIdx = 5 THEN
		IF strInfoKey = 'name' THEN</v>
      </c>
      <c r="AD78" t="str">
        <f ca="1"/>
        <v xml:space="preserve">
	//Reserved
	ELSIF uiInfoIdx = 5 THEN
		IF strInfoKey = 'name' THEN
			strRt	:= 'Reserved';</v>
      </c>
      <c r="AE78" t="str">
        <f ca="1"/>
        <v xml:space="preserve">
	//Reserved
	ELSIF uiInfoIdx = 5 THEN
		IF strInfoKey = 'name' THEN
			strRt	:= 'Reserved';
		ELSIF strInfoKey = 'index_name' THEN</v>
      </c>
      <c r="AF78" t="str">
        <f ca="1"/>
        <v xml:space="preserve">
	//Reserved
	ELSIF uiInfoIdx = 5 THEN
		IF strInfoKey = 'name' THEN
			strRt	:= 'Reserved';
		ELSIF strInfoKey = 'index_name' THEN
			strRt	:= '【175】 Reserved';</v>
      </c>
      <c r="AG78" t="str">
        <f ca="1"/>
        <v xml:space="preserve">
	//Reserved
	ELSIF uiInfoIdx = 5 THEN
		IF strInfoKey = 'name' THEN
			strRt	:= 'Reserved';
		ELSIF strInfoKey = 'index_name' THEN
			strRt	:= '【175】 Reserved';
		ELSIF strInfoKey = 'model' THEN</v>
      </c>
      <c r="AH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</v>
      </c>
      <c r="AI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</v>
      </c>
      <c r="AJ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</v>
      </c>
      <c r="AK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</v>
      </c>
      <c r="AL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</v>
      </c>
      <c r="AM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</v>
      </c>
    </row>
    <row r="79" spans="6:39" x14ac:dyDescent="0.55000000000000004">
      <c r="F79">
        <v>18</v>
      </c>
      <c r="G79" t="str">
        <f t="shared" si="13"/>
        <v>18</v>
      </c>
      <c r="H79">
        <f>COUNTIF(G$3:G79,G79)</f>
        <v>1</v>
      </c>
      <c r="I79" t="str">
        <v/>
      </c>
      <c r="J79">
        <v>87</v>
      </c>
      <c r="K79" t="str">
        <f ca="1"/>
        <v>Standby Pos</v>
      </c>
      <c r="L79" t="str">
        <f ca="1"/>
        <v>Standby Pos</v>
      </c>
      <c r="N79" t="str">
        <f ca="1"/>
        <v>【181】 Standby Pos</v>
      </c>
      <c r="O79" t="str">
        <v>Standby Pos</v>
      </c>
      <c r="P79" t="str">
        <v>Standby Pos</v>
      </c>
      <c r="Q79" t="str">
        <f ca="1"/>
        <v/>
      </c>
      <c r="R79" t="str">
        <f ca="1"/>
        <v>unknown</v>
      </c>
      <c r="Z79" t="str">
        <f ca="1"/>
        <v xml:space="preserve">
//18</v>
      </c>
      <c r="AA79" t="str">
        <f ca="1"/>
        <v xml:space="preserve">
//18
ELSIF strInfoType = 18 THEN</v>
      </c>
      <c r="AB79" t="str">
        <f ca="1"/>
        <v xml:space="preserve">
//18
ELSIF strInfoType = 18 THEN
	//Standby Pos
	IF uiInfoIdx = 1 THEN</v>
      </c>
      <c r="AC79" t="str">
        <f ca="1"/>
        <v xml:space="preserve">
//18
ELSIF strInfoType = 18 THEN
	//Standby Pos
	IF uiInfoIdx = 1 THEN
		IF strInfoKey = 'name' THEN</v>
      </c>
      <c r="AD79" t="str">
        <f ca="1"/>
        <v xml:space="preserve">
//18
ELSIF strInfoType = 18 THEN
	//Standby Pos
	IF uiInfoIdx = 1 THEN
		IF strInfoKey = 'name' THEN
			strRt	:= 'Standby Pos';</v>
      </c>
      <c r="AE79" t="str">
        <f ca="1"/>
        <v xml:space="preserve">
//18
ELSIF strInfoType = 18 THEN
	//Standby Pos
	IF uiInfoIdx = 1 THEN
		IF strInfoKey = 'name' THEN
			strRt	:= 'Standby Pos';
		ELSIF strInfoKey = 'index_name' THEN</v>
      </c>
      <c r="AF79" t="str">
        <f ca="1"/>
        <v xml:space="preserve">
//18
ELSIF strInfoType = 18 THEN
	//Standby Pos
	IF uiInfoIdx = 1 THEN
		IF strInfoKey = 'name' THEN
			strRt	:= 'Standby Pos';
		ELSIF strInfoKey = 'index_name' THEN
			strRt	:= '【181】 Standby Pos';</v>
      </c>
      <c r="AG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</v>
      </c>
      <c r="AH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</v>
      </c>
      <c r="AI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</v>
      </c>
      <c r="AJ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</v>
      </c>
      <c r="AK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</v>
      </c>
      <c r="AL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</v>
      </c>
      <c r="AM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2</v>
      </c>
      <c r="I80" t="str">
        <v/>
      </c>
      <c r="J80">
        <v>88</v>
      </c>
      <c r="K80" t="str">
        <f ca="1"/>
        <v>Pick Pos</v>
      </c>
      <c r="L80" t="str">
        <f ca="1"/>
        <v>Pick Pos</v>
      </c>
      <c r="N80" t="str">
        <f ca="1"/>
        <v>【182】 Pick Pos</v>
      </c>
      <c r="O80" t="str">
        <v>Pick Pos</v>
      </c>
      <c r="P80" t="str">
        <v>Pick Pos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//Pick Pos
	ELSIF uiInfoIdx = 2 THEN</v>
      </c>
      <c r="AC80" t="str">
        <f ca="1"/>
        <v xml:space="preserve">
	//Pick Pos
	ELSIF uiInfoIdx = 2 THEN
		IF strInfoKey = 'name' THEN</v>
      </c>
      <c r="AD80" t="str">
        <f ca="1"/>
        <v xml:space="preserve">
	//Pick Pos
	ELSIF uiInfoIdx = 2 THEN
		IF strInfoKey = 'name' THEN
			strRt	:= 'Pick Pos';</v>
      </c>
      <c r="AE80" t="str">
        <f ca="1"/>
        <v xml:space="preserve">
	//Pick Pos
	ELSIF uiInfoIdx = 2 THEN
		IF strInfoKey = 'name' THEN
			strRt	:= 'Pick Pos';
		ELSIF strInfoKey = 'index_name' THEN</v>
      </c>
      <c r="AF80" t="str">
        <f ca="1"/>
        <v xml:space="preserve">
	//Pick Pos
	ELSIF uiInfoIdx = 2 THEN
		IF strInfoKey = 'name' THEN
			strRt	:= 'Pick Pos';
		ELSIF strInfoKey = 'index_name' THEN
			strRt	:= '【182】 Pick Pos';</v>
      </c>
      <c r="AG80" t="str">
        <f ca="1"/>
        <v xml:space="preserve">
	//Pick Pos
	ELSIF uiInfoIdx = 2 THEN
		IF strInfoKey = 'name' THEN
			strRt	:= 'Pick Pos';
		ELSIF strInfoKey = 'index_name' THEN
			strRt	:= '【182】 Pick Pos';
		ELSIF strInfoKey = 'model' THEN</v>
      </c>
      <c r="AH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</v>
      </c>
      <c r="AI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</v>
      </c>
      <c r="AJ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</v>
      </c>
      <c r="AK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</v>
      </c>
      <c r="AL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</v>
      </c>
      <c r="AM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3</v>
      </c>
      <c r="I81" t="str">
        <v/>
      </c>
      <c r="J81">
        <v>89</v>
      </c>
      <c r="K81" t="str">
        <f ca="1"/>
        <v>Wind Assist Pos</v>
      </c>
      <c r="L81" t="str">
        <f ca="1"/>
        <v>Wind Assist Pos</v>
      </c>
      <c r="N81" t="str">
        <f ca="1"/>
        <v>【183】 Wind Assist Pos</v>
      </c>
      <c r="O81" t="str">
        <v>Winding Assist Pos</v>
      </c>
      <c r="P81" t="str">
        <v>Winding Assist Pos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//Wind Assist Pos
	ELSIF uiInfoIdx = 3 THEN</v>
      </c>
      <c r="AC81" t="str">
        <f ca="1"/>
        <v xml:space="preserve">
	//Wind Assist Pos
	ELSIF uiInfoIdx = 3 THEN
		IF strInfoKey = 'name' THEN</v>
      </c>
      <c r="AD81" t="str">
        <f ca="1"/>
        <v xml:space="preserve">
	//Wind Assist Pos
	ELSIF uiInfoIdx = 3 THEN
		IF strInfoKey = 'name' THEN
			strRt	:= 'Wind Assist Pos';</v>
      </c>
      <c r="AE81" t="str">
        <f ca="1"/>
        <v xml:space="preserve">
	//Wind Assist Pos
	ELSIF uiInfoIdx = 3 THEN
		IF strInfoKey = 'name' THEN
			strRt	:= 'Wind Assist Pos';
		ELSIF strInfoKey = 'index_name' THEN</v>
      </c>
      <c r="AF81" t="str">
        <f ca="1"/>
        <v xml:space="preserve">
	//Wind Assist Pos
	ELSIF uiInfoIdx = 3 THEN
		IF strInfoKey = 'name' THEN
			strRt	:= 'Wind Assist Pos';
		ELSIF strInfoKey = 'index_name' THEN
			strRt	:= '【183】 Wind Assist Pos';</v>
      </c>
      <c r="AG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</v>
      </c>
      <c r="AH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</v>
      </c>
      <c r="AI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</v>
      </c>
      <c r="AJ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</v>
      </c>
      <c r="AK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</v>
      </c>
      <c r="AL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</v>
      </c>
      <c r="AM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4</v>
      </c>
      <c r="I82" t="str">
        <v/>
      </c>
      <c r="J82">
        <v>90</v>
      </c>
      <c r="K82" t="str">
        <f ca="1"/>
        <v>Reserved</v>
      </c>
      <c r="L82" t="str">
        <f ca="1"/>
        <v>Reserved</v>
      </c>
      <c r="N82" t="str">
        <f ca="1"/>
        <v>【184】 Reserved</v>
      </c>
      <c r="O82" t="str">
        <v>Reserved</v>
      </c>
      <c r="P82" t="str">
        <v>Reserved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//Reserved
	ELSIF uiInfoIdx = 4 THEN</v>
      </c>
      <c r="AC82" t="str">
        <f ca="1"/>
        <v xml:space="preserve">
	//Reserved
	ELSIF uiInfoIdx = 4 THEN
		IF strInfoKey = 'name' THEN</v>
      </c>
      <c r="AD82" t="str">
        <f ca="1"/>
        <v xml:space="preserve">
	//Reserved
	ELSIF uiInfoIdx = 4 THEN
		IF strInfoKey = 'name' THEN
			strRt	:= 'Reserved';</v>
      </c>
      <c r="AE82" t="str">
        <f ca="1"/>
        <v xml:space="preserve">
	//Reserved
	ELSIF uiInfoIdx = 4 THEN
		IF strInfoKey = 'name' THEN
			strRt	:= 'Reserved';
		ELSIF strInfoKey = 'index_name' THEN</v>
      </c>
      <c r="AF82" t="str">
        <f ca="1"/>
        <v xml:space="preserve">
	//Reserved
	ELSIF uiInfoIdx = 4 THEN
		IF strInfoKey = 'name' THEN
			strRt	:= 'Reserved';
		ELSIF strInfoKey = 'index_name' THEN
			strRt	:= '【184】 Reserved';</v>
      </c>
      <c r="AG82" t="str">
        <f ca="1"/>
        <v xml:space="preserve">
	//Reserved
	ELSIF uiInfoIdx = 4 THEN
		IF strInfoKey = 'name' THEN
			strRt	:= 'Reserved';
		ELSIF strInfoKey = 'index_name' THEN
			strRt	:= '【184】 Reserved';
		ELSIF strInfoKey = 'model' THEN</v>
      </c>
      <c r="AH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</v>
      </c>
      <c r="AI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</v>
      </c>
      <c r="AJ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</v>
      </c>
      <c r="AK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</v>
      </c>
      <c r="AL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</v>
      </c>
      <c r="AM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5</v>
      </c>
      <c r="I83" t="str">
        <v/>
      </c>
      <c r="J83">
        <v>91</v>
      </c>
      <c r="K83" t="str">
        <f ca="1"/>
        <v>Reserved</v>
      </c>
      <c r="L83" t="str">
        <f ca="1"/>
        <v>Reserved</v>
      </c>
      <c r="N83" t="str">
        <f ca="1"/>
        <v>【185】 Reserved</v>
      </c>
      <c r="O83" t="str">
        <v>Reserved</v>
      </c>
      <c r="P83" t="str">
        <v>Reserved</v>
      </c>
      <c r="Q83" t="str">
        <f ca="1"/>
        <v/>
      </c>
      <c r="R83" t="str">
        <f ca="1"/>
        <v>unknown</v>
      </c>
      <c r="Z83" t="str">
        <f ca="1"/>
        <v xml:space="preserve">
</v>
      </c>
      <c r="AA83" t="str">
        <f ca="1"/>
        <v xml:space="preserve">
</v>
      </c>
      <c r="AB83" t="str">
        <f ca="1"/>
        <v xml:space="preserve">
	//Reserved
	ELSIF uiInfoIdx = 5 THEN</v>
      </c>
      <c r="AC83" t="str">
        <f ca="1"/>
        <v xml:space="preserve">
	//Reserved
	ELSIF uiInfoIdx = 5 THEN
		IF strInfoKey = 'name' THEN</v>
      </c>
      <c r="AD83" t="str">
        <f ca="1"/>
        <v xml:space="preserve">
	//Reserved
	ELSIF uiInfoIdx = 5 THEN
		IF strInfoKey = 'name' THEN
			strRt	:= 'Reserved';</v>
      </c>
      <c r="AE83" t="str">
        <f ca="1"/>
        <v xml:space="preserve">
	//Reserved
	ELSIF uiInfoIdx = 5 THEN
		IF strInfoKey = 'name' THEN
			strRt	:= 'Reserved';
		ELSIF strInfoKey = 'index_name' THEN</v>
      </c>
      <c r="AF83" t="str">
        <f ca="1"/>
        <v xml:space="preserve">
	//Reserved
	ELSIF uiInfoIdx = 5 THEN
		IF strInfoKey = 'name' THEN
			strRt	:= 'Reserved';
		ELSIF strInfoKey = 'index_name' THEN
			strRt	:= '【185】 Reserved';</v>
      </c>
      <c r="AG83" t="str">
        <f ca="1"/>
        <v xml:space="preserve">
	//Reserved
	ELSIF uiInfoIdx = 5 THEN
		IF strInfoKey = 'name' THEN
			strRt	:= 'Reserved';
		ELSIF strInfoKey = 'index_name' THEN
			strRt	:= '【185】 Reserved';
		ELSIF strInfoKey = 'model' THEN</v>
      </c>
      <c r="AH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</v>
      </c>
      <c r="AI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</v>
      </c>
      <c r="AJ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</v>
      </c>
      <c r="AK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</v>
      </c>
      <c r="AL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</v>
      </c>
      <c r="AM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</v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6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7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8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9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10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11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12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13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14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15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16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17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18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19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20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21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22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23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24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25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26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27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28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29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30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31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32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33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34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35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36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37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38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39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40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41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42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43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44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45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46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47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48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49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50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51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52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53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si="13"/>
        <v>18</v>
      </c>
      <c r="H132">
        <f>COUNTIF(G$3:G132,G132)</f>
        <v>54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si="12"/>
        <v>18</v>
      </c>
      <c r="G133" t="str">
        <f t="shared" ref="G133:G196" si="14">E133&amp;F133</f>
        <v>18</v>
      </c>
      <c r="H133">
        <f>COUNTIF(G$3:G133,G133)</f>
        <v>55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ref="F134:F197" si="15">F133</f>
        <v>18</v>
      </c>
      <c r="G134" t="str">
        <f t="shared" si="14"/>
        <v>18</v>
      </c>
      <c r="H134">
        <f>COUNTIF(G$3:G134,G134)</f>
        <v>56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57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58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59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60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61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62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63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64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65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66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67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68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69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70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71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72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73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74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75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76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77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78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79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80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81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82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83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84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85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86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87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88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89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90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91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92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93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94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95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96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97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98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99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100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101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102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103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104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105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106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107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108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109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110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111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112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113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114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115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116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117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si="14"/>
        <v>18</v>
      </c>
      <c r="H196">
        <f>COUNTIF(G$3:G196,G196)</f>
        <v>118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si="15"/>
        <v>18</v>
      </c>
      <c r="G197" t="str">
        <f t="shared" ref="G197:G203" si="16">E197&amp;F197</f>
        <v>18</v>
      </c>
      <c r="H197">
        <f>COUNTIF(G$3:G197,G197)</f>
        <v>119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ref="F198:F203" si="17">F197</f>
        <v>18</v>
      </c>
      <c r="G198" t="str">
        <f t="shared" si="16"/>
        <v>18</v>
      </c>
      <c r="H198">
        <f>COUNTIF(G$3:G198,G198)</f>
        <v>120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121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122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123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124</v>
      </c>
      <c r="I202" t="str">
        <v/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/>
      </c>
      <c r="AM202" t="str">
        <f ca="1"/>
        <v/>
      </c>
    </row>
    <row r="203" spans="6:39" x14ac:dyDescent="0.55000000000000004">
      <c r="F203">
        <f t="shared" si="17"/>
        <v>18</v>
      </c>
      <c r="G203" t="str">
        <f t="shared" si="16"/>
        <v>18</v>
      </c>
      <c r="H203">
        <f>COUNTIF(G$3:G203,G203)</f>
        <v>125</v>
      </c>
      <c r="I203" t="str">
        <v>●</v>
      </c>
      <c r="J203" t="str">
        <v/>
      </c>
      <c r="K203" t="str">
        <f ca="1"/>
        <v/>
      </c>
      <c r="L203" t="str">
        <f ca="1"/>
        <v/>
      </c>
      <c r="N203" t="str">
        <f ca="1"/>
        <v/>
      </c>
      <c r="O203" t="str">
        <v/>
      </c>
      <c r="P203" t="str">
        <v/>
      </c>
      <c r="Q203" t="str">
        <f ca="1"/>
        <v/>
      </c>
      <c r="R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/>
      </c>
      <c r="AK203" t="str">
        <f ca="1"/>
        <v/>
      </c>
      <c r="AL203" t="str">
        <f ca="1"/>
        <v xml:space="preserve">
	ELSE
		uiErrCode	:= 2;
	END_IF;</v>
      </c>
      <c r="AM203" t="str">
        <f ca="1"/>
        <v xml:space="preserve">
	ELSE
		uiErrCode	:= 2;
	END_IF;</v>
      </c>
    </row>
    <row r="206" spans="6:39" x14ac:dyDescent="0.55000000000000004">
      <c r="AM206" t="str">
        <f ca="1">IF(LENB($B$5),$B$7&amp;$B$5,"")&amp;CHAR(10)&amp;_xlfn.CONCAT(AM$3:AM$203)&amp;CHAR(10)&amp;"ELSE"&amp;CHAR(10)&amp;CHAR(9)&amp;$B$29&amp;CHAR(9)&amp;$B$8&amp;" 1"&amp;$B$9&amp;CHAR(10)&amp;"END_IF;"&amp;IF(LENB($B$6),CHAR(10)&amp;$B$7&amp;$B$6,"")</f>
        <v>//このスクリプトは C:\tk\prj\hg-0025-0016\event\20260717_1514_言語確認\[表示文字一覧.xlsx]ユニット動作名 によって生成されました。
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2026-07-24T09:02:54Z</dcterms:modified>
</cp:coreProperties>
</file>