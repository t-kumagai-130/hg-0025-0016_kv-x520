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99C42BB7-CDAF-441E-BD89-EE65B9E88837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info_index!$A$1:$P$50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3" l="1"/>
  <c r="AI1" i="3"/>
  <c r="AG1" i="3"/>
  <c r="AE1" i="3"/>
  <c r="AC1" i="3"/>
  <c r="AA1" i="3"/>
  <c r="E64" i="3" l="1"/>
  <c r="E44" i="3"/>
  <c r="E45" i="3" s="1"/>
  <c r="B3" i="3" a="1"/>
  <c r="B3" i="3" s="1"/>
  <c r="B5" i="3" s="1"/>
  <c r="E4" i="3"/>
  <c r="E5" i="3" s="1"/>
  <c r="F3" i="3"/>
  <c r="A56" i="1"/>
  <c r="C58" i="1"/>
  <c r="C56" i="1"/>
  <c r="B58" i="1"/>
  <c r="B56" i="1"/>
  <c r="D54" i="1"/>
  <c r="A54" i="1"/>
  <c r="F4" i="3" l="1"/>
  <c r="E46" i="3"/>
  <c r="E65" i="3"/>
  <c r="F5" i="3"/>
  <c r="E6" i="3"/>
  <c r="E66" i="3" l="1"/>
  <c r="E47" i="3"/>
  <c r="F6" i="3"/>
  <c r="E7" i="3"/>
  <c r="F7" i="3" l="1"/>
  <c r="E8" i="3"/>
  <c r="E48" i="3"/>
  <c r="E67" i="3"/>
  <c r="E49" i="3" l="1"/>
  <c r="E9" i="3"/>
  <c r="F8" i="3"/>
  <c r="E68" i="3"/>
  <c r="F9" i="3" l="1"/>
  <c r="E10" i="3"/>
  <c r="E50" i="3"/>
  <c r="E69" i="3"/>
  <c r="E70" i="3" l="1"/>
  <c r="E51" i="3"/>
  <c r="E11" i="3"/>
  <c r="F10" i="3"/>
  <c r="F11" i="3" l="1"/>
  <c r="E12" i="3"/>
  <c r="E52" i="3"/>
  <c r="E71" i="3"/>
  <c r="E72" i="3" l="1"/>
  <c r="E53" i="3"/>
  <c r="E13" i="3"/>
  <c r="F12" i="3"/>
  <c r="E14" i="3" l="1"/>
  <c r="F13" i="3"/>
  <c r="E54" i="3"/>
  <c r="E73" i="3"/>
  <c r="E55" i="3" l="1"/>
  <c r="E74" i="3"/>
  <c r="F14" i="3"/>
  <c r="E15" i="3"/>
  <c r="E75" i="3" l="1"/>
  <c r="E16" i="3"/>
  <c r="F15" i="3"/>
  <c r="E56" i="3"/>
  <c r="F16" i="3" l="1"/>
  <c r="E17" i="3"/>
  <c r="E57" i="3"/>
  <c r="E76" i="3"/>
  <c r="E77" i="3" l="1"/>
  <c r="E18" i="3"/>
  <c r="F17" i="3"/>
  <c r="E58" i="3"/>
  <c r="E19" i="3" l="1"/>
  <c r="F18" i="3"/>
  <c r="E59" i="3"/>
  <c r="E78" i="3"/>
  <c r="E60" i="3" l="1"/>
  <c r="E79" i="3"/>
  <c r="F19" i="3"/>
  <c r="E20" i="3"/>
  <c r="E21" i="3" l="1"/>
  <c r="F20" i="3"/>
  <c r="E80" i="3"/>
  <c r="E61" i="3"/>
  <c r="E62" i="3" l="1"/>
  <c r="E81" i="3"/>
  <c r="F21" i="3"/>
  <c r="E22" i="3"/>
  <c r="E82" i="3" l="1"/>
  <c r="F22" i="3"/>
  <c r="E23" i="3"/>
  <c r="E83" i="3" l="1"/>
  <c r="E24" i="3"/>
  <c r="F23" i="3"/>
  <c r="F24" i="3" l="1"/>
  <c r="E25" i="3"/>
  <c r="E84" i="3"/>
  <c r="E85" i="3" l="1"/>
  <c r="E26" i="3"/>
  <c r="F25" i="3"/>
  <c r="F26" i="3" l="1"/>
  <c r="E27" i="3"/>
  <c r="E86" i="3"/>
  <c r="E87" i="3" l="1"/>
  <c r="E28" i="3"/>
  <c r="F27" i="3"/>
  <c r="E29" i="3" l="1"/>
  <c r="F28" i="3"/>
  <c r="E88" i="3"/>
  <c r="E89" i="3" l="1"/>
  <c r="F29" i="3"/>
  <c r="E30" i="3"/>
  <c r="E31" i="3" l="1"/>
  <c r="F30" i="3"/>
  <c r="E90" i="3"/>
  <c r="E91" i="3" l="1"/>
  <c r="E32" i="3"/>
  <c r="F31" i="3"/>
  <c r="E33" i="3" l="1"/>
  <c r="F32" i="3"/>
  <c r="E92" i="3"/>
  <c r="E93" i="3" l="1"/>
  <c r="E34" i="3"/>
  <c r="F33" i="3"/>
  <c r="F34" i="3" l="1"/>
  <c r="E35" i="3"/>
  <c r="E94" i="3"/>
  <c r="E95" i="3" l="1"/>
  <c r="F35" i="3"/>
  <c r="E36" i="3"/>
  <c r="E37" i="3" l="1"/>
  <c r="F36" i="3"/>
  <c r="E96" i="3"/>
  <c r="E97" i="3" l="1"/>
  <c r="F37" i="3"/>
  <c r="E38" i="3"/>
  <c r="E39" i="3" l="1"/>
  <c r="F38" i="3"/>
  <c r="E98" i="3"/>
  <c r="E99" i="3" l="1"/>
  <c r="E40" i="3"/>
  <c r="F39" i="3"/>
  <c r="F40" i="3" l="1"/>
  <c r="E41" i="3"/>
  <c r="E100" i="3"/>
  <c r="E42" i="3" l="1"/>
  <c r="F98" i="3" s="1"/>
  <c r="F41" i="3"/>
  <c r="E101" i="3"/>
  <c r="F100" i="3" l="1"/>
  <c r="F92" i="3"/>
  <c r="F94" i="3"/>
  <c r="F96" i="3"/>
  <c r="E102" i="3"/>
  <c r="F101" i="3"/>
  <c r="F42" i="3"/>
  <c r="F44" i="3"/>
  <c r="F45" i="3"/>
  <c r="F43" i="3"/>
  <c r="F46" i="3"/>
  <c r="F47" i="3"/>
  <c r="F48" i="3"/>
  <c r="F49" i="3"/>
  <c r="F50" i="3"/>
  <c r="F52" i="3"/>
  <c r="F54" i="3"/>
  <c r="F51" i="3"/>
  <c r="F53" i="3"/>
  <c r="F72" i="3"/>
  <c r="F77" i="3"/>
  <c r="F75" i="3"/>
  <c r="F56" i="3"/>
  <c r="F55" i="3"/>
  <c r="F76" i="3"/>
  <c r="F80" i="3"/>
  <c r="F57" i="3"/>
  <c r="F58" i="3"/>
  <c r="F78" i="3"/>
  <c r="F81" i="3"/>
  <c r="F61" i="3"/>
  <c r="F59" i="3"/>
  <c r="F60" i="3"/>
  <c r="F71" i="3"/>
  <c r="F79" i="3"/>
  <c r="F63" i="3"/>
  <c r="F66" i="3"/>
  <c r="F67" i="3"/>
  <c r="F73" i="3"/>
  <c r="F65" i="3"/>
  <c r="F68" i="3"/>
  <c r="F70" i="3"/>
  <c r="F74" i="3"/>
  <c r="F82" i="3"/>
  <c r="F69" i="3"/>
  <c r="F64" i="3"/>
  <c r="F62" i="3"/>
  <c r="F86" i="3"/>
  <c r="F83" i="3"/>
  <c r="F84" i="3"/>
  <c r="F85" i="3"/>
  <c r="F87" i="3"/>
  <c r="F88" i="3"/>
  <c r="F89" i="3"/>
  <c r="F90" i="3"/>
  <c r="F95" i="3"/>
  <c r="F91" i="3"/>
  <c r="F93" i="3"/>
  <c r="F99" i="3"/>
  <c r="F97" i="3"/>
  <c r="F102" i="3" l="1"/>
  <c r="E103" i="3"/>
  <c r="F103" i="3" l="1"/>
  <c r="E104" i="3"/>
  <c r="F104" i="3" l="1"/>
  <c r="E105" i="3"/>
  <c r="E106" i="3" l="1"/>
  <c r="F105" i="3"/>
  <c r="E107" i="3" l="1"/>
  <c r="F106" i="3"/>
  <c r="F107" i="3" l="1"/>
  <c r="E108" i="3"/>
  <c r="E109" i="3" l="1"/>
  <c r="F108" i="3"/>
  <c r="E110" i="3" l="1"/>
  <c r="F109" i="3"/>
  <c r="F110" i="3" l="1"/>
  <c r="E111" i="3"/>
  <c r="F111" i="3" l="1"/>
  <c r="E112" i="3"/>
  <c r="F112" i="3" l="1"/>
  <c r="E113" i="3"/>
  <c r="E114" i="3" l="1"/>
  <c r="F113" i="3"/>
  <c r="E115" i="3" l="1"/>
  <c r="F114" i="3"/>
  <c r="F115" i="3" l="1"/>
  <c r="E116" i="3"/>
  <c r="E117" i="3" l="1"/>
  <c r="F116" i="3"/>
  <c r="E118" i="3" l="1"/>
  <c r="F117" i="3"/>
  <c r="F118" i="3" l="1"/>
  <c r="E119" i="3"/>
  <c r="F119" i="3" l="1"/>
  <c r="E120" i="3"/>
  <c r="F120" i="3" l="1"/>
  <c r="E121" i="3"/>
  <c r="E122" i="3" l="1"/>
  <c r="F121" i="3"/>
  <c r="E123" i="3" l="1"/>
  <c r="F122" i="3"/>
  <c r="F123" i="3" l="1"/>
  <c r="E124" i="3"/>
  <c r="E125" i="3" l="1"/>
  <c r="F124" i="3"/>
  <c r="E126" i="3" l="1"/>
  <c r="F125" i="3"/>
  <c r="F126" i="3" l="1"/>
  <c r="E127" i="3"/>
  <c r="F127" i="3" l="1"/>
  <c r="E128" i="3"/>
  <c r="F128" i="3" l="1"/>
  <c r="E129" i="3"/>
  <c r="E130" i="3" l="1"/>
  <c r="F129" i="3"/>
  <c r="E131" i="3" l="1"/>
  <c r="F130" i="3"/>
  <c r="F131" i="3" l="1"/>
  <c r="E132" i="3"/>
  <c r="E133" i="3" l="1"/>
  <c r="F132" i="3"/>
  <c r="E134" i="3" l="1"/>
  <c r="F133" i="3"/>
  <c r="F134" i="3" l="1"/>
  <c r="E135" i="3"/>
  <c r="F135" i="3" l="1"/>
  <c r="E136" i="3"/>
  <c r="F136" i="3" l="1"/>
  <c r="E137" i="3"/>
  <c r="E138" i="3" l="1"/>
  <c r="F137" i="3"/>
  <c r="E139" i="3" l="1"/>
  <c r="F138" i="3"/>
  <c r="F139" i="3" l="1"/>
  <c r="E140" i="3"/>
  <c r="E141" i="3" l="1"/>
  <c r="F140" i="3"/>
  <c r="E142" i="3" l="1"/>
  <c r="F141" i="3"/>
  <c r="F142" i="3" l="1"/>
  <c r="E143" i="3"/>
  <c r="F143" i="3" l="1"/>
  <c r="E144" i="3"/>
  <c r="F144" i="3" l="1"/>
  <c r="E145" i="3"/>
  <c r="E146" i="3" l="1"/>
  <c r="F145" i="3"/>
  <c r="E147" i="3" l="1"/>
  <c r="F146" i="3"/>
  <c r="F147" i="3" l="1"/>
  <c r="E148" i="3"/>
  <c r="E149" i="3" l="1"/>
  <c r="F148" i="3"/>
  <c r="E150" i="3" l="1"/>
  <c r="F149" i="3"/>
  <c r="F150" i="3" l="1"/>
  <c r="E151" i="3"/>
  <c r="F151" i="3" l="1"/>
  <c r="E152" i="3"/>
  <c r="F152" i="3" l="1"/>
  <c r="E153" i="3"/>
  <c r="E154" i="3" l="1"/>
  <c r="F153" i="3"/>
  <c r="E155" i="3" l="1"/>
  <c r="F154" i="3"/>
  <c r="F155" i="3" l="1"/>
  <c r="E156" i="3"/>
  <c r="E157" i="3" l="1"/>
  <c r="F156" i="3"/>
  <c r="E158" i="3" l="1"/>
  <c r="F157" i="3"/>
  <c r="F158" i="3" l="1"/>
  <c r="E159" i="3"/>
  <c r="F159" i="3" l="1"/>
  <c r="E160" i="3"/>
  <c r="F160" i="3" l="1"/>
  <c r="E161" i="3"/>
  <c r="E162" i="3" l="1"/>
  <c r="F161" i="3"/>
  <c r="E163" i="3" l="1"/>
  <c r="F162" i="3"/>
  <c r="F163" i="3" l="1"/>
  <c r="E164" i="3"/>
  <c r="E165" i="3" l="1"/>
  <c r="F164" i="3"/>
  <c r="E166" i="3" l="1"/>
  <c r="F165" i="3"/>
  <c r="F166" i="3" l="1"/>
  <c r="E167" i="3"/>
  <c r="F167" i="3" l="1"/>
  <c r="E168" i="3"/>
  <c r="F168" i="3" l="1"/>
  <c r="E169" i="3"/>
  <c r="E170" i="3" l="1"/>
  <c r="F169" i="3"/>
  <c r="E171" i="3" l="1"/>
  <c r="F170" i="3"/>
  <c r="F171" i="3" l="1"/>
  <c r="E172" i="3"/>
  <c r="E173" i="3" l="1"/>
  <c r="F172" i="3"/>
  <c r="E174" i="3" l="1"/>
  <c r="F173" i="3"/>
  <c r="F174" i="3" l="1"/>
  <c r="E175" i="3"/>
  <c r="F175" i="3" l="1"/>
  <c r="E176" i="3"/>
  <c r="F176" i="3" l="1"/>
  <c r="E177" i="3"/>
  <c r="E178" i="3" l="1"/>
  <c r="F177" i="3"/>
  <c r="E179" i="3" l="1"/>
  <c r="F178" i="3"/>
  <c r="F179" i="3" l="1"/>
  <c r="E180" i="3"/>
  <c r="E181" i="3" l="1"/>
  <c r="F180" i="3"/>
  <c r="E182" i="3" l="1"/>
  <c r="F181" i="3"/>
  <c r="F182" i="3" l="1"/>
  <c r="E183" i="3"/>
  <c r="F183" i="3" l="1"/>
  <c r="E184" i="3"/>
  <c r="F184" i="3" l="1"/>
  <c r="E185" i="3"/>
  <c r="E186" i="3" l="1"/>
  <c r="F185" i="3"/>
  <c r="E187" i="3" l="1"/>
  <c r="F186" i="3"/>
  <c r="F187" i="3" l="1"/>
  <c r="E188" i="3"/>
  <c r="E189" i="3" l="1"/>
  <c r="F188" i="3"/>
  <c r="F189" i="3" l="1"/>
  <c r="E190" i="3"/>
  <c r="F190" i="3" l="1"/>
  <c r="E191" i="3"/>
  <c r="E192" i="3" l="1"/>
  <c r="F191" i="3"/>
  <c r="F192" i="3" l="1"/>
  <c r="E193" i="3"/>
  <c r="E194" i="3" l="1"/>
  <c r="F193" i="3"/>
  <c r="E195" i="3" l="1"/>
  <c r="F194" i="3"/>
  <c r="F195" i="3" l="1"/>
  <c r="E196" i="3"/>
  <c r="E197" i="3" l="1"/>
  <c r="F196" i="3"/>
  <c r="F197" i="3" l="1"/>
  <c r="E198" i="3"/>
  <c r="F198" i="3" l="1"/>
  <c r="E199" i="3"/>
  <c r="E200" i="3" l="1"/>
  <c r="F199" i="3"/>
  <c r="F200" i="3" l="1"/>
  <c r="E201" i="3"/>
  <c r="E202" i="3" l="1"/>
  <c r="F201" i="3"/>
  <c r="F202" i="3" l="1"/>
  <c r="H3" i="3" s="1" a="1"/>
  <c r="H3" i="3" s="1"/>
  <c r="O3" i="3" s="1" a="1"/>
  <c r="O3" i="3" s="1"/>
  <c r="P3" i="3" s="1" a="1"/>
  <c r="P3" i="3" s="1"/>
  <c r="I3" i="3" l="1" a="1"/>
  <c r="I3" i="3" s="1"/>
  <c r="M3" i="3" a="1"/>
  <c r="M3" i="3" s="1"/>
  <c r="N3" i="3" s="1" a="1"/>
  <c r="N3" i="3" s="1"/>
  <c r="G4" i="3" a="1"/>
  <c r="G4" i="3" s="1"/>
  <c r="J3" i="3" l="1" a="1"/>
  <c r="J3" i="3" s="1"/>
  <c r="X3" i="3" l="1" a="1"/>
  <c r="X3" i="3" s="1"/>
  <c r="Y3" i="3" s="1" a="1"/>
  <c r="Y3" i="3" s="1"/>
  <c r="L3" i="3" a="1"/>
  <c r="L3" i="3" s="1"/>
  <c r="Z3" i="3" l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l="1" a="1"/>
  <c r="AJ3" i="3" s="1"/>
  <c r="AK3" i="3" l="1" a="1"/>
  <c r="AK3" i="3" s="1"/>
  <c r="AK205" i="3" s="1"/>
  <c r="B1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<sst xmlns="http://schemas.openxmlformats.org/spreadsheetml/2006/main" count="446" uniqueCount="257">
  <si>
    <t>RCA2-GS3NA-I-10-2-50-A6-M-K1</t>
  </si>
  <si>
    <t>RCP6-SA7R-WA-56P-16-400-P5-S-B-MR</t>
  </si>
  <si>
    <t>IAI</t>
    <phoneticPr fontId="1"/>
  </si>
  <si>
    <t>メーカー</t>
    <phoneticPr fontId="1"/>
  </si>
  <si>
    <t>SMC</t>
    <phoneticPr fontId="1"/>
  </si>
  <si>
    <t>数量</t>
    <rPh sb="0" eb="2">
      <t>スウリョウ</t>
    </rPh>
    <phoneticPr fontId="1"/>
  </si>
  <si>
    <t>GT2-P12K</t>
  </si>
  <si>
    <t>名称</t>
    <rPh sb="0" eb="2">
      <t>メイショウ</t>
    </rPh>
    <phoneticPr fontId="1"/>
  </si>
  <si>
    <t>ペンシル型 高精度 センサヘッド</t>
  </si>
  <si>
    <t>アンプユニット</t>
    <phoneticPr fontId="1"/>
  </si>
  <si>
    <t>型式</t>
    <rPh sb="0" eb="2">
      <t>カタシキ</t>
    </rPh>
    <phoneticPr fontId="1"/>
  </si>
  <si>
    <t>ロボシリンダー</t>
    <phoneticPr fontId="1"/>
  </si>
  <si>
    <t>オリエンタル</t>
    <phoneticPr fontId="1"/>
  </si>
  <si>
    <t>モーター+回路　単相／三相200V　EtherNet/IP　可動７ｍ</t>
  </si>
  <si>
    <t>AZM46AC-HP9+AZD-CEP+CC070VZR</t>
    <phoneticPr fontId="1"/>
  </si>
  <si>
    <t>直交ロボット</t>
    <rPh sb="0" eb="2">
      <t>チョッコウ</t>
    </rPh>
    <phoneticPr fontId="1"/>
  </si>
  <si>
    <t>FS-N41N</t>
  </si>
  <si>
    <t>デジタルファイバアンプ</t>
    <phoneticPr fontId="1"/>
  </si>
  <si>
    <t>FU-54TZ</t>
  </si>
  <si>
    <t>ファイバセンサ　フラット金具</t>
  </si>
  <si>
    <t>5TK20GN-CW2J+5GN180K</t>
  </si>
  <si>
    <t>トルクモーター TMシリーズ</t>
  </si>
  <si>
    <t>EV-112M</t>
  </si>
  <si>
    <t>近接センサー</t>
    <rPh sb="0" eb="2">
      <t>キンセツ</t>
    </rPh>
    <phoneticPr fontId="1"/>
  </si>
  <si>
    <t>CMOSレーザセンサ</t>
    <phoneticPr fontId="1"/>
  </si>
  <si>
    <t>LR-XH100</t>
  </si>
  <si>
    <t>CMOSレーザセンサ アンプ分離型 アンプユニット ケーブルタイプ</t>
  </si>
  <si>
    <t>LR-XN11N</t>
  </si>
  <si>
    <t>RCP6-SA4R-WA-35P-16-150-P5-X07-MR-NM</t>
  </si>
  <si>
    <t>エレシリンダー</t>
    <phoneticPr fontId="1"/>
  </si>
  <si>
    <t>EC-S4HR-200-7-ML-TMD2</t>
  </si>
  <si>
    <t>SV3-B075AK</t>
  </si>
  <si>
    <t>サーボモータ</t>
    <phoneticPr fontId="1"/>
  </si>
  <si>
    <t>SV3-M040AK</t>
  </si>
  <si>
    <t>在庫品</t>
    <rPh sb="0" eb="3">
      <t>ザイコヒン</t>
    </rPh>
    <phoneticPr fontId="1"/>
  </si>
  <si>
    <t>LR-ZB250AN</t>
  </si>
  <si>
    <t>アンプ内蔵CMOSレーザセンサ角型 反射型 ケーブルタイプ 250mm</t>
    <rPh sb="3" eb="5">
      <t>ナイゾウ</t>
    </rPh>
    <phoneticPr fontId="1"/>
  </si>
  <si>
    <t>溶接機</t>
    <rPh sb="0" eb="3">
      <t>ヨウセツキ</t>
    </rPh>
    <phoneticPr fontId="1"/>
  </si>
  <si>
    <t>平板リールユニット</t>
    <rPh sb="0" eb="2">
      <t>ヒライタ</t>
    </rPh>
    <phoneticPr fontId="1"/>
  </si>
  <si>
    <t>波板リールユニット</t>
    <rPh sb="0" eb="2">
      <t>ナミイタ</t>
    </rPh>
    <phoneticPr fontId="1"/>
  </si>
  <si>
    <t>コーターユニット（Tロール部）</t>
    <rPh sb="13" eb="14">
      <t>ブ</t>
    </rPh>
    <phoneticPr fontId="1"/>
  </si>
  <si>
    <t>コーターユニット（X・Zロール部）</t>
    <rPh sb="15" eb="16">
      <t>ブ</t>
    </rPh>
    <phoneticPr fontId="1"/>
  </si>
  <si>
    <t>M425-402+4GN9K</t>
    <phoneticPr fontId="1"/>
  </si>
  <si>
    <t>モーター+ギアヘッド</t>
    <phoneticPr fontId="1"/>
  </si>
  <si>
    <t>コガネイ</t>
    <phoneticPr fontId="1"/>
  </si>
  <si>
    <t>CDAS16×10-B-R</t>
    <phoneticPr fontId="1"/>
  </si>
  <si>
    <t>US540-402</t>
  </si>
  <si>
    <t>スピードコントロールモーター</t>
    <phoneticPr fontId="1"/>
  </si>
  <si>
    <t>マイクロ電磁クラッチ</t>
  </si>
  <si>
    <t>小倉クラッチ</t>
    <rPh sb="0" eb="2">
      <t>オグラ</t>
    </rPh>
    <phoneticPr fontId="1"/>
  </si>
  <si>
    <t>AMC40</t>
    <phoneticPr fontId="1"/>
  </si>
  <si>
    <t>CDM2RA20-25Z-M9BWV</t>
  </si>
  <si>
    <t>オムロン</t>
    <phoneticPr fontId="1"/>
  </si>
  <si>
    <t>フォトマイクロセンサー</t>
    <phoneticPr fontId="1"/>
  </si>
  <si>
    <r>
      <rPr>
        <sz val="10"/>
        <color rgb="FF333333"/>
        <rFont val="ＭＳ ゴシック"/>
        <family val="3"/>
        <charset val="128"/>
      </rPr>
      <t>ジグシリンダ</t>
    </r>
    <r>
      <rPr>
        <sz val="10"/>
        <color rgb="FF333333"/>
        <rFont val="Arial"/>
        <family val="2"/>
      </rPr>
      <t>C</t>
    </r>
    <r>
      <rPr>
        <sz val="10"/>
        <color rgb="FF333333"/>
        <rFont val="ＭＳ ゴシック"/>
        <family val="3"/>
        <charset val="128"/>
      </rPr>
      <t>シリーズ</t>
    </r>
    <r>
      <rPr>
        <sz val="10"/>
        <color rgb="FF333333"/>
        <rFont val="ＭＳ Ｐゴシック"/>
        <family val="3"/>
        <charset val="128"/>
      </rPr>
      <t>　オートスイッチ２個</t>
    </r>
    <rPh sb="20" eb="21">
      <t>コ</t>
    </rPh>
    <phoneticPr fontId="1"/>
  </si>
  <si>
    <t>エアシリンダ　オートスイッチ２個</t>
    <rPh sb="15" eb="16">
      <t>コ</t>
    </rPh>
    <phoneticPr fontId="1"/>
  </si>
  <si>
    <t>溶接機ハンド内　EESX　911RM12D(生産終了品)</t>
    <rPh sb="0" eb="2">
      <t>ヨウセツ</t>
    </rPh>
    <rPh sb="2" eb="3">
      <t>キ</t>
    </rPh>
    <rPh sb="6" eb="7">
      <t>ナイ</t>
    </rPh>
    <rPh sb="22" eb="26">
      <t>セイサンシュウリョウ</t>
    </rPh>
    <rPh sb="26" eb="27">
      <t>ヒン</t>
    </rPh>
    <phoneticPr fontId="1"/>
  </si>
  <si>
    <t>1台追加の可能性あり</t>
    <rPh sb="1" eb="2">
      <t>ダイ</t>
    </rPh>
    <rPh sb="2" eb="4">
      <t>ツイカ</t>
    </rPh>
    <rPh sb="5" eb="8">
      <t>カノウセイ</t>
    </rPh>
    <phoneticPr fontId="1"/>
  </si>
  <si>
    <t>DL-EP1</t>
    <phoneticPr fontId="1"/>
  </si>
  <si>
    <t>EtherNet/IP対応通信ﾕﾆｯﾄ</t>
  </si>
  <si>
    <t>GT2-71N（+GT2-CHP5M　ケーブル）</t>
    <phoneticPr fontId="1"/>
  </si>
  <si>
    <t>CDQ2A63-200DCZ-M9BVZ</t>
  </si>
  <si>
    <t>薄形シリンダ ロングストロークタイプ 複動・片ロッド CQ2シリーズ</t>
  </si>
  <si>
    <t>CDJ2D16-45Z-W-M9BWZ-B</t>
  </si>
  <si>
    <t>エアシリンダ 標準形 複動・片ロッド CJ2シリーズ</t>
  </si>
  <si>
    <t>MHF2-16D1-M9BL-X83C1</t>
  </si>
  <si>
    <t>薄型エアチャック</t>
    <rPh sb="0" eb="2">
      <t>ウスガタ</t>
    </rPh>
    <phoneticPr fontId="1"/>
  </si>
  <si>
    <t>MXQ20-50A-M9BZ</t>
  </si>
  <si>
    <t>エアスライドテーブル</t>
    <phoneticPr fontId="1"/>
  </si>
  <si>
    <t>CDQ2B25-20DZ-M9BVM</t>
  </si>
  <si>
    <t>薄型シリンダ</t>
    <rPh sb="0" eb="2">
      <t>ウスガタ</t>
    </rPh>
    <phoneticPr fontId="1"/>
  </si>
  <si>
    <t>CDQSKB16-10DM-M9NWVZ</t>
  </si>
  <si>
    <t>薄形シリンダ コンパクトタイプ 標準形 複動 片ロッド CQSシリーズ</t>
  </si>
  <si>
    <t>CDQ2D25-20DMZ-M9BM</t>
  </si>
  <si>
    <t>CDQ2B25-10DMZ-L-A93M</t>
  </si>
  <si>
    <t>CD55B32-105-M9BZ</t>
  </si>
  <si>
    <t>CDQ2B40M-15DMZ-M9BZ</t>
  </si>
  <si>
    <t>CXSJM10P-10-M9BL</t>
  </si>
  <si>
    <t>デュアルロッドシリンダ コンパクトタイプ CXSJシリーズ</t>
  </si>
  <si>
    <t>移植</t>
    <rPh sb="0" eb="2">
      <t>イショク</t>
    </rPh>
    <phoneticPr fontId="1"/>
  </si>
  <si>
    <t>KITASHIBA</t>
    <phoneticPr fontId="1"/>
  </si>
  <si>
    <t>富士電機</t>
    <rPh sb="0" eb="4">
      <t>フジデンキ</t>
    </rPh>
    <phoneticPr fontId="1"/>
  </si>
  <si>
    <t>形式　IME200S/型番　SKD-DCKLK8</t>
    <rPh sb="0" eb="2">
      <t>ケイシキ</t>
    </rPh>
    <rPh sb="11" eb="13">
      <t>カタバン</t>
    </rPh>
    <phoneticPr fontId="1"/>
  </si>
  <si>
    <t>MBC6075A</t>
    <phoneticPr fontId="1"/>
  </si>
  <si>
    <t>モーター</t>
    <phoneticPr fontId="1"/>
  </si>
  <si>
    <t>MDG-M2T100N</t>
  </si>
  <si>
    <t>ポンプ</t>
    <phoneticPr fontId="1"/>
  </si>
  <si>
    <t>支給</t>
    <rPh sb="0" eb="2">
      <t>シキュウ</t>
    </rPh>
    <phoneticPr fontId="1"/>
  </si>
  <si>
    <t>Iwaki</t>
    <phoneticPr fontId="1"/>
  </si>
  <si>
    <t>波板送り</t>
    <rPh sb="0" eb="2">
      <t>ナミイタ</t>
    </rPh>
    <rPh sb="2" eb="3">
      <t>オク</t>
    </rPh>
    <phoneticPr fontId="1"/>
  </si>
  <si>
    <t>排出測定</t>
    <rPh sb="0" eb="2">
      <t>ハイシュツ</t>
    </rPh>
    <rPh sb="2" eb="4">
      <t>ソクテイ</t>
    </rPh>
    <phoneticPr fontId="1"/>
  </si>
  <si>
    <t>箔ロウ供給</t>
  </si>
  <si>
    <t>箔ロウ供給</t>
    <rPh sb="0" eb="1">
      <t>ハク</t>
    </rPh>
    <rPh sb="3" eb="5">
      <t>キョウキュウ</t>
    </rPh>
    <phoneticPr fontId="1"/>
  </si>
  <si>
    <t>平板クランプ</t>
    <rPh sb="0" eb="2">
      <t>ヒライタ</t>
    </rPh>
    <phoneticPr fontId="1"/>
  </si>
  <si>
    <t>ワーク排出/周長測定</t>
    <rPh sb="3" eb="5">
      <t>ハイシュツ</t>
    </rPh>
    <rPh sb="6" eb="8">
      <t>シュウチョウ</t>
    </rPh>
    <rPh sb="8" eb="10">
      <t>ソクテイ</t>
    </rPh>
    <phoneticPr fontId="1"/>
  </si>
  <si>
    <t>平板カッター</t>
    <rPh sb="0" eb="2">
      <t>ヒライタ</t>
    </rPh>
    <phoneticPr fontId="1"/>
  </si>
  <si>
    <t>波板カット</t>
  </si>
  <si>
    <t>波板カット</t>
    <rPh sb="0" eb="2">
      <t>ナミイタ</t>
    </rPh>
    <phoneticPr fontId="1"/>
  </si>
  <si>
    <t>平板供給</t>
    <rPh sb="0" eb="2">
      <t>ヒライタ</t>
    </rPh>
    <rPh sb="2" eb="4">
      <t>キョウキュウ</t>
    </rPh>
    <phoneticPr fontId="1"/>
  </si>
  <si>
    <t>ベース</t>
    <phoneticPr fontId="1"/>
  </si>
  <si>
    <t>波板供給</t>
    <rPh sb="0" eb="2">
      <t>ナミイタ</t>
    </rPh>
    <rPh sb="2" eb="4">
      <t>キョウキュウ</t>
    </rPh>
    <phoneticPr fontId="1"/>
  </si>
  <si>
    <t>トーチ部</t>
    <rPh sb="3" eb="4">
      <t>ブ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</si>
  <si>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</si>
  <si>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</si>
  <si>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</si>
  <si>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</si>
  <si>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ICSB2-YSA2M-WA-20AQ-20AQBNM-T4-5L-SC/ISB【ISPB】-SXM-WA-60-8-②-T4-⑧-③</t>
    <phoneticPr fontId="1"/>
  </si>
  <si>
    <t>ICSB2-YSA2M-WA-20AQ-20AQBNM-T4-5L-SC/ISB【ISPB】-SXM-WA-60-4-④-T4-⑧-⑤</t>
    <phoneticPr fontId="1"/>
  </si>
  <si>
    <t>波板在荷センサ(候補1)</t>
    <rPh sb="0" eb="2">
      <t>ナミイタ</t>
    </rPh>
    <rPh sb="2" eb="4">
      <t>ザイカ</t>
    </rPh>
    <rPh sb="8" eb="10">
      <t>コウホ</t>
    </rPh>
    <phoneticPr fontId="1"/>
  </si>
  <si>
    <t>波板在荷センサ(候補2)</t>
    <rPh sb="0" eb="2">
      <t>ナミイタ</t>
    </rPh>
    <rPh sb="2" eb="4">
      <t>ザイカ</t>
    </rPh>
    <rPh sb="8" eb="10">
      <t>コウホ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</si>
  <si>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</si>
  <si>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</si>
  <si>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</si>
  <si>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</si>
  <si>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</si>
  <si>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cylinder</t>
    <phoneticPr fontId="1"/>
  </si>
  <si>
    <t>axis</t>
  </si>
  <si>
    <t>axis</t>
    <phoneticPr fontId="1"/>
  </si>
  <si>
    <t>段取り替え部品</t>
    <rPh sb="0" eb="2">
      <t>ダンド</t>
    </rPh>
    <rPh sb="3" eb="4">
      <t>ガ</t>
    </rPh>
    <rPh sb="5" eb="7">
      <t>ブヒン</t>
    </rPh>
    <phoneticPr fontId="1"/>
  </si>
  <si>
    <t>sense</t>
    <phoneticPr fontId="1"/>
  </si>
  <si>
    <t>type index</t>
    <phoneticPr fontId="1"/>
  </si>
  <si>
    <t>平板下側補助プレート逃がし</t>
    <rPh sb="0" eb="2">
      <t>ヒライタ</t>
    </rPh>
    <rPh sb="2" eb="4">
      <t>シタガワ</t>
    </rPh>
    <rPh sb="4" eb="6">
      <t>ホジョ</t>
    </rPh>
    <rPh sb="10" eb="11">
      <t>ニ</t>
    </rPh>
    <phoneticPr fontId="1"/>
  </si>
  <si>
    <t>箔ロウカット</t>
    <rPh sb="0" eb="1">
      <t>ハク</t>
    </rPh>
    <phoneticPr fontId="1"/>
  </si>
  <si>
    <t>EC</t>
    <phoneticPr fontId="1"/>
  </si>
  <si>
    <t>axis</t>
    <phoneticPr fontId="1"/>
  </si>
  <si>
    <t>箔ロウ送り軸</t>
    <rPh sb="0" eb="1">
      <t>ハク</t>
    </rPh>
    <rPh sb="3" eb="4">
      <t>オク</t>
    </rPh>
    <rPh sb="5" eb="6">
      <t>ジク</t>
    </rPh>
    <phoneticPr fontId="1"/>
  </si>
  <si>
    <t>平板送り軸</t>
    <rPh sb="0" eb="2">
      <t>ヒライタ</t>
    </rPh>
    <rPh sb="2" eb="3">
      <t>オク</t>
    </rPh>
    <rPh sb="4" eb="5">
      <t>ジク</t>
    </rPh>
    <phoneticPr fontId="1"/>
  </si>
  <si>
    <t>巻取り主軸</t>
    <rPh sb="0" eb="2">
      <t>マキト</t>
    </rPh>
    <rPh sb="3" eb="5">
      <t>シュジク</t>
    </rPh>
    <phoneticPr fontId="1"/>
  </si>
  <si>
    <t>ワーク幅調整軸</t>
    <rPh sb="3" eb="4">
      <t>ハバ</t>
    </rPh>
    <rPh sb="4" eb="6">
      <t>チョウセイ</t>
    </rPh>
    <rPh sb="6" eb="7">
      <t>ジク</t>
    </rPh>
    <phoneticPr fontId="1"/>
  </si>
  <si>
    <t>Tロール回転軸</t>
    <phoneticPr fontId="1"/>
  </si>
  <si>
    <t>ワーク排出前後軸</t>
    <rPh sb="3" eb="5">
      <t>ハイシュツ</t>
    </rPh>
    <rPh sb="5" eb="7">
      <t>ゼンゴ</t>
    </rPh>
    <rPh sb="7" eb="8">
      <t>ジク</t>
    </rPh>
    <phoneticPr fontId="1"/>
  </si>
  <si>
    <t>ワーク(排出)チャック軸</t>
    <rPh sb="4" eb="6">
      <t>ハイシュツ</t>
    </rPh>
    <rPh sb="11" eb="12">
      <t>ジク</t>
    </rPh>
    <phoneticPr fontId="1"/>
  </si>
  <si>
    <t>ワーク排出上下軸</t>
  </si>
  <si>
    <t>周長測定子上下軸</t>
    <rPh sb="0" eb="2">
      <t>シュウチョウ</t>
    </rPh>
    <rPh sb="2" eb="4">
      <t>ソクテイ</t>
    </rPh>
    <rPh sb="4" eb="5">
      <t>コ</t>
    </rPh>
    <rPh sb="5" eb="7">
      <t>ジョウゲ</t>
    </rPh>
    <rPh sb="7" eb="8">
      <t>ジク</t>
    </rPh>
    <phoneticPr fontId="1"/>
  </si>
  <si>
    <t>Y軸：溶接トーチ前後</t>
    <rPh sb="1" eb="2">
      <t>ジク</t>
    </rPh>
    <rPh sb="3" eb="5">
      <t>ヨウセツ</t>
    </rPh>
    <rPh sb="8" eb="10">
      <t>ゼンゴ</t>
    </rPh>
    <phoneticPr fontId="1"/>
  </si>
  <si>
    <t>Z軸：溶接トーチ上下</t>
    <rPh sb="1" eb="2">
      <t>ジク</t>
    </rPh>
    <rPh sb="3" eb="5">
      <t>ヨウセツ</t>
    </rPh>
    <rPh sb="8" eb="10">
      <t>ジョウゲ</t>
    </rPh>
    <phoneticPr fontId="1"/>
  </si>
  <si>
    <t>バインダー供給ポンプモータ</t>
    <phoneticPr fontId="1"/>
  </si>
  <si>
    <t>箔ロウリール軸</t>
    <phoneticPr fontId="1"/>
  </si>
  <si>
    <t>波板リールモータ</t>
    <phoneticPr fontId="1"/>
  </si>
  <si>
    <t>平板リールモータ</t>
    <phoneticPr fontId="1"/>
  </si>
  <si>
    <t>ロータユニットXロール回転軸</t>
  </si>
  <si>
    <t>M540-402</t>
    <phoneticPr fontId="1"/>
  </si>
  <si>
    <t>平板カット刃押出し</t>
    <rPh sb="0" eb="2">
      <t>ヒライタ</t>
    </rPh>
    <rPh sb="5" eb="6">
      <t>ハ</t>
    </rPh>
    <rPh sb="6" eb="8">
      <t>オシダ</t>
    </rPh>
    <phoneticPr fontId="1"/>
  </si>
  <si>
    <t>波板カット刃押出し</t>
    <rPh sb="0" eb="2">
      <t>ナミイタ</t>
    </rPh>
    <rPh sb="5" eb="6">
      <t>ハ</t>
    </rPh>
    <rPh sb="6" eb="8">
      <t>オシダ</t>
    </rPh>
    <phoneticPr fontId="1"/>
  </si>
  <si>
    <t>平板フラップ開閉</t>
  </si>
  <si>
    <t>巻取り軸芯前後</t>
  </si>
  <si>
    <t>平板カット刃開閉</t>
  </si>
  <si>
    <t>波板カット刃開閉</t>
  </si>
  <si>
    <t>平板押え上下①</t>
  </si>
  <si>
    <t>波板押え</t>
    <rPh sb="0" eb="2">
      <t>ナミイタ</t>
    </rPh>
    <rPh sb="2" eb="3">
      <t>オサ</t>
    </rPh>
    <phoneticPr fontId="1"/>
  </si>
  <si>
    <t>箔ロウ押え上下</t>
  </si>
  <si>
    <t>波板カット補助L</t>
    <phoneticPr fontId="1"/>
  </si>
  <si>
    <t>平板チャック開閉</t>
  </si>
  <si>
    <t>平板チャック(ハンド)前後</t>
    <rPh sb="0" eb="2">
      <t>ヒライタ</t>
    </rPh>
    <rPh sb="11" eb="13">
      <t>ゼンゴ</t>
    </rPh>
    <phoneticPr fontId="1"/>
  </si>
  <si>
    <t>機器名(EN)</t>
    <rPh sb="0" eb="2">
      <t>キキ</t>
    </rPh>
    <rPh sb="2" eb="3">
      <t>メイ</t>
    </rPh>
    <phoneticPr fontId="1"/>
  </si>
  <si>
    <t>Foil wax reel shaft</t>
  </si>
  <si>
    <t>Flat sheet feed shaft</t>
  </si>
  <si>
    <t>Foil wax feed shaft</t>
  </si>
  <si>
    <t>Corrugated sheet feed</t>
  </si>
  <si>
    <t>Workpiece discharge up/down shaft</t>
  </si>
  <si>
    <t>Circumference measuring probe up/down shaft</t>
  </si>
  <si>
    <t>Workpiece (discharge) chuck shaft</t>
  </si>
  <si>
    <t>Y-axis: Welding torch forward/backward</t>
  </si>
  <si>
    <t>Z-axis: Welding torch up/down</t>
  </si>
  <si>
    <t>Binder supply pump motor</t>
  </si>
  <si>
    <t>Corrugated sheet reel motor</t>
  </si>
  <si>
    <t>Flat sheet reel motor</t>
  </si>
  <si>
    <t>Winding main shaft</t>
  </si>
  <si>
    <t>Workpiece width adjustment shaft</t>
  </si>
  <si>
    <t>T-roll rotation shaft</t>
  </si>
  <si>
    <t>Rotor unit X-roll rotation shaft</t>
  </si>
  <si>
    <t>Winding shaft center forward/backward</t>
  </si>
  <si>
    <t>Flat sheet lower auxiliary plate release</t>
  </si>
  <si>
    <t>Flat sheet chuck (hand) forward/backward</t>
  </si>
  <si>
    <t>Flat sheet chuck open/close</t>
  </si>
  <si>
    <t>Flat sheet clamp up/down ①</t>
  </si>
  <si>
    <t>Foil wax clamp up/down</t>
  </si>
  <si>
    <t>Foil wax cut</t>
  </si>
  <si>
    <t>Corrugated sheet clamp</t>
  </si>
  <si>
    <t>Flat sheet cutter blade push-out</t>
  </si>
  <si>
    <t>Flat sheet cutter blade open/close</t>
  </si>
  <si>
    <t>Corrugated sheet cutter blade push-out</t>
  </si>
  <si>
    <t>Corrugated sheet cutter blade open/close</t>
  </si>
  <si>
    <t>Corrugated sheet cutter auxiliary L</t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</si>
  <si>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</si>
  <si>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</si>
  <si>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</si>
  <si>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</si>
  <si>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</si>
  <si>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</si>
  <si>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</si>
  <si>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</si>
  <si>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</si>
  <si>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</si>
  <si>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</si>
  <si>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</si>
  <si>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</si>
  <si>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</si>
  <si>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</si>
  <si>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</si>
  <si>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</si>
  <si>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</si>
  <si>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</si>
  <si>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</si>
  <si>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</si>
  <si>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</si>
  <si>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</si>
  <si>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</si>
  <si>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</si>
  <si>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</si>
  <si>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</si>
  <si>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Workpiece discharge front and rear axis</t>
  </si>
  <si>
    <t>else3</t>
  </si>
  <si>
    <t>rt</t>
  </si>
  <si>
    <t>CDAS16×10-B-R</t>
  </si>
  <si>
    <t>Tロール糊付け①</t>
    <rPh sb="4" eb="6">
      <t>ノリヅ</t>
    </rPh>
    <phoneticPr fontId="1"/>
  </si>
  <si>
    <t>Tロール糊付け②</t>
    <rPh sb="4" eb="6">
      <t>ノリヅ</t>
    </rPh>
    <phoneticPr fontId="1"/>
  </si>
  <si>
    <t>Xロール糊付け①</t>
  </si>
  <si>
    <t>Xロール糊付け②</t>
  </si>
  <si>
    <t>不明</t>
    <rPh sb="0" eb="2">
      <t>フメイ</t>
    </rPh>
    <phoneticPr fontId="1"/>
  </si>
  <si>
    <t>Xロール平板押付</t>
    <rPh sb="4" eb="6">
      <t>ヒライタ</t>
    </rPh>
    <rPh sb="6" eb="8">
      <t>オシツケ</t>
    </rPh>
    <phoneticPr fontId="1"/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</si>
  <si>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</si>
  <si>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</si>
  <si>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</si>
  <si>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</si>
  <si>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</si>
  <si>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</si>
  <si>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</si>
  <si>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</si>
  <si>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</si>
  <si>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OrientalMotor</t>
  </si>
  <si>
    <t>OrientalMotor</t>
    <phoneticPr fontId="1"/>
  </si>
  <si>
    <t>KEYENCE</t>
  </si>
  <si>
    <t>KEYENCE</t>
    <phoneticPr fontId="1"/>
  </si>
  <si>
    <t>IAI</t>
  </si>
  <si>
    <t>SMC</t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</si>
  <si>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</si>
  <si>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</si>
  <si>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</si>
  <si>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</si>
  <si>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</si>
  <si>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</si>
  <si>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</si>
  <si>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</si>
  <si>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</si>
  <si>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</si>
  <si>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</si>
  <si>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</si>
  <si>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T-roll gluing ①</t>
  </si>
  <si>
    <t>T-roll gluing ②</t>
  </si>
  <si>
    <t>X-roll gluing ①</t>
  </si>
  <si>
    <t>X-roll gluing ②</t>
  </si>
  <si>
    <t>X-roll flat plate pressing</t>
  </si>
  <si>
    <t>strRt</t>
  </si>
  <si>
    <t>uiErrCode</t>
  </si>
  <si>
    <t>波板カット補助</t>
    <rPh sb="0" eb="2">
      <t>ナミイタ</t>
    </rPh>
    <rPh sb="5" eb="7">
      <t>ホジョ</t>
    </rPh>
    <phoneticPr fontId="1"/>
  </si>
  <si>
    <t>Corrugated sheet cutter auxiliary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</si>
</sst>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1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0"/>
      <color rgb="FF333333"/>
      <name val="Arial"/>
      <family val="2"/>
    </font>
    <font>
      <sz val="10"/>
      <color rgb="FF333333"/>
      <name val="ＭＳ ゴシック"/>
      <family val="3"/>
      <charset val="128"/>
    </font>
    <font>
      <sz val="10"/>
      <color rgb="FF333333"/>
      <name val="Arial"/>
      <family val="3"/>
      <charset val="128"/>
    </font>
    <font>
      <sz val="10"/>
      <color rgb="FF333333"/>
      <name val="ＭＳ Ｐゴシック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1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7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8" fillId="0" borderId="5" xfId="0" applyFont="1" applyBorder="1">
      <alignment vertical="center"/>
    </xf>
    <xf numFmtId="0" fontId="9" fillId="0" borderId="5" xfId="0" applyFont="1" applyBorder="1" applyAlignment="1">
      <alignment horizontal="right" vertical="center"/>
    </xf>
    <xf numFmtId="0" fontId="10" fillId="0" borderId="5" xfId="0" applyFont="1" applyBorder="1">
      <alignment vertical="center"/>
    </xf>
    <xf numFmtId="0" fontId="10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12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11" fillId="3" borderId="10" xfId="0" applyFont="1" applyFill="1" applyBorder="1">
      <alignment vertical="center"/>
    </xf>
    <xf numFmtId="0" fontId="11" fillId="3" borderId="11" xfId="0" applyFont="1" applyFill="1" applyBorder="1">
      <alignment vertical="center"/>
    </xf>
    <xf numFmtId="0" fontId="11" fillId="3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9" fillId="0" borderId="6" xfId="0" applyFont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0" fontId="8" fillId="0" borderId="6" xfId="0" applyFont="1" applyBorder="1">
      <alignment vertical="center"/>
    </xf>
    <xf numFmtId="176" fontId="0" fillId="0" borderId="0" xfId="0" applyNumberFormat="1">
      <alignment vertical="center"/>
    </xf>
    <xf numFmtId="0" fontId="10" fillId="0" borderId="4" xfId="0" applyFont="1" applyBorder="1">
      <alignment vertical="center"/>
    </xf>
    <xf numFmtId="0" fontId="12" fillId="0" borderId="1" xfId="0" applyFont="1" applyBorder="1">
      <alignment vertical="center"/>
    </xf>
    <xf numFmtId="0" fontId="12" fillId="0" borderId="2" xfId="0" applyFont="1" applyBorder="1">
      <alignment vertical="center"/>
    </xf>
    <xf numFmtId="0" fontId="12" fillId="0" borderId="3" xfId="0" applyFont="1" applyBorder="1">
      <alignment vertical="center"/>
    </xf>
    <xf numFmtId="0" fontId="11" fillId="0" borderId="0" xfId="0" applyFont="1" applyAlignment="1">
      <alignment vertical="center" shrinkToFit="1"/>
    </xf>
  </cellXfs>
  <cellStyles count="1">
    <cellStyle name="標準" xfId="0" builtinId="0"/>
  </cellStyles>
  <dxfs count="2"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54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50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dimension ref="A1:P78"/>
  <sheetViews>
    <sheetView tabSelected="1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H19" sqref="H19"/>
    </sheetView>
  </sheetViews>
  <sheetFormatPr defaultRowHeight="18" x14ac:dyDescent="0.55000000000000004"/>
  <cols>
    <col min="3" max="3" width="9.1640625" bestFit="1" customWidth="1"/>
    <col min="5" max="5" width="20" bestFit="1" customWidth="1"/>
    <col min="6" max="7" width="31.4140625" customWidth="1"/>
    <col min="8" max="8" width="81" bestFit="1" customWidth="1"/>
    <col min="9" max="9" width="71.08203125" customWidth="1"/>
    <col min="10" max="11" width="13.08203125" customWidth="1"/>
    <col min="12" max="15" width="18.33203125" customWidth="1"/>
    <col min="16" max="16" width="3.58203125" customWidth="1"/>
  </cols>
  <sheetData>
    <row r="1" spans="1:16" s="4" customFormat="1" x14ac:dyDescent="0.55000000000000004">
      <c r="A1" s="21" t="s">
        <v>102</v>
      </c>
      <c r="B1" s="21" t="s">
        <v>113</v>
      </c>
      <c r="C1" s="21" t="s">
        <v>120</v>
      </c>
      <c r="D1" s="22" t="s">
        <v>103</v>
      </c>
      <c r="E1" s="22" t="s">
        <v>104</v>
      </c>
      <c r="F1" s="22" t="s">
        <v>105</v>
      </c>
      <c r="G1" s="22" t="s">
        <v>154</v>
      </c>
      <c r="H1" s="22" t="s">
        <v>10</v>
      </c>
      <c r="I1" s="22" t="s">
        <v>7</v>
      </c>
      <c r="J1" s="22" t="s">
        <v>3</v>
      </c>
      <c r="K1" s="22" t="s">
        <v>229</v>
      </c>
      <c r="L1" s="22" t="s">
        <v>5</v>
      </c>
      <c r="M1" s="23" t="s">
        <v>112</v>
      </c>
      <c r="N1" s="23" t="s">
        <v>247</v>
      </c>
      <c r="O1" s="23" t="s">
        <v>246</v>
      </c>
      <c r="P1" s="23"/>
    </row>
    <row r="2" spans="1:16" x14ac:dyDescent="0.55000000000000004">
      <c r="A2" s="30">
        <v>38</v>
      </c>
      <c r="B2" s="5" t="s">
        <v>117</v>
      </c>
      <c r="C2" s="5">
        <v>1</v>
      </c>
      <c r="D2" s="31">
        <v>7</v>
      </c>
      <c r="E2" s="31" t="s">
        <v>91</v>
      </c>
      <c r="F2" s="31" t="s">
        <v>137</v>
      </c>
      <c r="G2" s="31" t="s">
        <v>155</v>
      </c>
      <c r="H2" s="31" t="s">
        <v>20</v>
      </c>
      <c r="I2" s="31" t="s">
        <v>21</v>
      </c>
      <c r="J2" s="31" t="s">
        <v>231</v>
      </c>
      <c r="K2" s="31" t="s">
        <v>230</v>
      </c>
      <c r="L2" s="31">
        <v>1</v>
      </c>
      <c r="M2" s="32"/>
      <c r="N2" s="32"/>
      <c r="O2" s="32"/>
      <c r="P2" s="6"/>
    </row>
    <row r="3" spans="1:16" x14ac:dyDescent="0.55000000000000004">
      <c r="A3" s="7">
        <v>35</v>
      </c>
      <c r="B3" s="7" t="s">
        <v>117</v>
      </c>
      <c r="C3" s="7">
        <v>2</v>
      </c>
      <c r="D3" s="12">
        <v>6</v>
      </c>
      <c r="E3" s="12" t="s">
        <v>98</v>
      </c>
      <c r="F3" s="12" t="s">
        <v>126</v>
      </c>
      <c r="G3" s="12" t="s">
        <v>156</v>
      </c>
      <c r="H3" s="12" t="s">
        <v>14</v>
      </c>
      <c r="I3" s="12" t="s">
        <v>13</v>
      </c>
      <c r="J3" s="17" t="s">
        <v>231</v>
      </c>
      <c r="K3" s="12" t="s">
        <v>230</v>
      </c>
      <c r="L3" s="12">
        <v>1</v>
      </c>
      <c r="M3" s="27"/>
      <c r="N3" s="27"/>
      <c r="O3" s="27"/>
      <c r="P3" s="10"/>
    </row>
    <row r="4" spans="1:16" x14ac:dyDescent="0.55000000000000004">
      <c r="A4" s="7">
        <v>37</v>
      </c>
      <c r="B4" s="7" t="s">
        <v>117</v>
      </c>
      <c r="C4" s="7">
        <v>3</v>
      </c>
      <c r="D4" s="12">
        <v>7</v>
      </c>
      <c r="E4" s="12" t="s">
        <v>92</v>
      </c>
      <c r="F4" s="12" t="s">
        <v>125</v>
      </c>
      <c r="G4" s="12" t="s">
        <v>157</v>
      </c>
      <c r="H4" s="12" t="s">
        <v>14</v>
      </c>
      <c r="I4" s="12" t="s">
        <v>13</v>
      </c>
      <c r="J4" s="17" t="s">
        <v>231</v>
      </c>
      <c r="K4" s="12" t="s">
        <v>230</v>
      </c>
      <c r="L4" s="12">
        <v>1</v>
      </c>
      <c r="M4" s="27"/>
      <c r="N4" s="27"/>
      <c r="O4" s="27"/>
      <c r="P4" s="10"/>
    </row>
    <row r="5" spans="1:16" x14ac:dyDescent="0.55000000000000004">
      <c r="A5" s="7">
        <v>36</v>
      </c>
      <c r="B5" s="7" t="s">
        <v>117</v>
      </c>
      <c r="C5" s="7">
        <v>4</v>
      </c>
      <c r="D5" s="12">
        <v>8</v>
      </c>
      <c r="E5" s="12" t="s">
        <v>100</v>
      </c>
      <c r="F5" s="12" t="s">
        <v>89</v>
      </c>
      <c r="G5" s="12" t="s">
        <v>158</v>
      </c>
      <c r="H5" s="12" t="s">
        <v>14</v>
      </c>
      <c r="I5" s="12" t="s">
        <v>13</v>
      </c>
      <c r="J5" s="17" t="s">
        <v>231</v>
      </c>
      <c r="K5" s="12" t="s">
        <v>230</v>
      </c>
      <c r="L5" s="12">
        <v>1</v>
      </c>
      <c r="M5" s="27"/>
      <c r="N5" s="27"/>
      <c r="O5" s="27"/>
      <c r="P5" s="10"/>
    </row>
    <row r="6" spans="1:16" x14ac:dyDescent="0.55000000000000004">
      <c r="A6" s="7">
        <v>19</v>
      </c>
      <c r="B6" s="7" t="s">
        <v>117</v>
      </c>
      <c r="C6" s="7">
        <v>5</v>
      </c>
      <c r="D6" s="8">
        <v>3</v>
      </c>
      <c r="E6" s="8" t="s">
        <v>94</v>
      </c>
      <c r="F6" s="8" t="s">
        <v>132</v>
      </c>
      <c r="G6" s="8" t="s">
        <v>159</v>
      </c>
      <c r="H6" s="8" t="s">
        <v>1</v>
      </c>
      <c r="I6" s="8" t="s">
        <v>11</v>
      </c>
      <c r="J6" s="8" t="s">
        <v>2</v>
      </c>
      <c r="K6" s="8" t="s">
        <v>234</v>
      </c>
      <c r="L6" s="8">
        <v>1</v>
      </c>
      <c r="M6" s="10"/>
      <c r="N6" s="10"/>
      <c r="O6" s="10"/>
      <c r="P6" s="10"/>
    </row>
    <row r="7" spans="1:16" x14ac:dyDescent="0.55000000000000004">
      <c r="A7" s="7">
        <v>18</v>
      </c>
      <c r="B7" s="7" t="s">
        <v>117</v>
      </c>
      <c r="C7" s="7">
        <v>6</v>
      </c>
      <c r="D7" s="8">
        <v>3</v>
      </c>
      <c r="E7" s="8" t="s">
        <v>94</v>
      </c>
      <c r="F7" s="8" t="s">
        <v>133</v>
      </c>
      <c r="G7" s="8" t="s">
        <v>160</v>
      </c>
      <c r="H7" s="8" t="s">
        <v>0</v>
      </c>
      <c r="I7" s="8" t="s">
        <v>11</v>
      </c>
      <c r="J7" s="8" t="s">
        <v>2</v>
      </c>
      <c r="K7" s="8" t="s">
        <v>234</v>
      </c>
      <c r="L7" s="8">
        <v>1</v>
      </c>
      <c r="M7" s="10"/>
      <c r="N7" s="10"/>
      <c r="O7" s="10"/>
      <c r="P7" s="10"/>
    </row>
    <row r="8" spans="1:16" x14ac:dyDescent="0.55000000000000004">
      <c r="A8" s="7">
        <v>20</v>
      </c>
      <c r="B8" s="7" t="s">
        <v>117</v>
      </c>
      <c r="C8" s="7">
        <v>7</v>
      </c>
      <c r="D8" s="8">
        <v>1</v>
      </c>
      <c r="E8" s="8" t="s">
        <v>99</v>
      </c>
      <c r="F8" s="8" t="s">
        <v>131</v>
      </c>
      <c r="G8" s="8" t="s">
        <v>161</v>
      </c>
      <c r="H8" s="8" t="s">
        <v>28</v>
      </c>
      <c r="I8" s="8" t="s">
        <v>11</v>
      </c>
      <c r="J8" s="8" t="s">
        <v>2</v>
      </c>
      <c r="K8" s="8" t="s">
        <v>234</v>
      </c>
      <c r="L8" s="8">
        <v>1</v>
      </c>
      <c r="M8" s="10"/>
      <c r="N8" s="10"/>
      <c r="O8" s="10"/>
      <c r="P8" s="10"/>
    </row>
    <row r="9" spans="1:16" x14ac:dyDescent="0.55000000000000004">
      <c r="A9" s="7">
        <v>22</v>
      </c>
      <c r="B9" s="7" t="s">
        <v>117</v>
      </c>
      <c r="C9" s="7">
        <v>8</v>
      </c>
      <c r="D9" s="8">
        <v>10</v>
      </c>
      <c r="E9" s="8" t="s">
        <v>101</v>
      </c>
      <c r="F9" s="8" t="s">
        <v>134</v>
      </c>
      <c r="G9" s="8" t="s">
        <v>162</v>
      </c>
      <c r="H9" s="8" t="s">
        <v>106</v>
      </c>
      <c r="I9" s="8" t="s">
        <v>15</v>
      </c>
      <c r="J9" s="8" t="s">
        <v>2</v>
      </c>
      <c r="K9" s="8" t="s">
        <v>234</v>
      </c>
      <c r="L9" s="8">
        <v>1</v>
      </c>
      <c r="M9" s="10"/>
      <c r="N9" s="10"/>
      <c r="O9" s="10"/>
      <c r="P9" s="10"/>
    </row>
    <row r="10" spans="1:16" x14ac:dyDescent="0.55000000000000004">
      <c r="A10" s="7">
        <v>23</v>
      </c>
      <c r="B10" s="7" t="s">
        <v>117</v>
      </c>
      <c r="C10" s="7">
        <v>9</v>
      </c>
      <c r="D10" s="8">
        <v>10</v>
      </c>
      <c r="E10" s="8" t="s">
        <v>101</v>
      </c>
      <c r="F10" s="8" t="s">
        <v>135</v>
      </c>
      <c r="G10" s="8" t="s">
        <v>163</v>
      </c>
      <c r="H10" s="8" t="s">
        <v>107</v>
      </c>
      <c r="I10" s="8" t="s">
        <v>15</v>
      </c>
      <c r="J10" s="8" t="s">
        <v>2</v>
      </c>
      <c r="K10" s="8" t="s">
        <v>234</v>
      </c>
      <c r="L10" s="8">
        <v>1</v>
      </c>
      <c r="M10" s="10"/>
      <c r="N10" s="10"/>
      <c r="O10" s="10"/>
      <c r="P10" s="10"/>
    </row>
    <row r="11" spans="1:16" x14ac:dyDescent="0.55000000000000004">
      <c r="A11" s="7">
        <v>42</v>
      </c>
      <c r="B11" s="7" t="s">
        <v>116</v>
      </c>
      <c r="C11" s="7">
        <v>10</v>
      </c>
      <c r="D11" s="8"/>
      <c r="E11" s="8"/>
      <c r="F11" s="8" t="s">
        <v>136</v>
      </c>
      <c r="G11" s="8" t="s">
        <v>164</v>
      </c>
      <c r="H11" s="8"/>
      <c r="I11" s="8"/>
      <c r="J11" s="8"/>
      <c r="K11" s="8"/>
      <c r="L11" s="8"/>
      <c r="M11" s="10"/>
      <c r="N11" s="10"/>
      <c r="O11" s="10"/>
      <c r="P11" s="10"/>
    </row>
    <row r="12" spans="1:16" x14ac:dyDescent="0.55000000000000004">
      <c r="A12" s="7">
        <v>43</v>
      </c>
      <c r="B12" s="7" t="s">
        <v>116</v>
      </c>
      <c r="C12" s="7">
        <v>11</v>
      </c>
      <c r="D12" s="8"/>
      <c r="E12" s="8"/>
      <c r="F12" s="8" t="s">
        <v>138</v>
      </c>
      <c r="G12" s="8" t="s">
        <v>165</v>
      </c>
      <c r="H12" s="8"/>
      <c r="I12" s="8"/>
      <c r="J12" s="8"/>
      <c r="K12" s="8"/>
      <c r="L12" s="8"/>
      <c r="M12" s="10"/>
      <c r="N12" s="10"/>
      <c r="O12" s="10"/>
      <c r="P12" s="10"/>
    </row>
    <row r="13" spans="1:16" x14ac:dyDescent="0.55000000000000004">
      <c r="A13" s="7">
        <v>44</v>
      </c>
      <c r="B13" s="7" t="s">
        <v>116</v>
      </c>
      <c r="C13" s="7">
        <v>12</v>
      </c>
      <c r="D13" s="8"/>
      <c r="E13" s="8"/>
      <c r="F13" s="8" t="s">
        <v>139</v>
      </c>
      <c r="G13" s="8" t="s">
        <v>166</v>
      </c>
      <c r="H13" s="8"/>
      <c r="I13" s="8"/>
      <c r="J13" s="8"/>
      <c r="K13" s="8"/>
      <c r="L13" s="8"/>
      <c r="M13" s="10"/>
      <c r="N13" s="10"/>
      <c r="O13" s="10"/>
      <c r="P13" s="10"/>
    </row>
    <row r="14" spans="1:16" x14ac:dyDescent="0.55000000000000004">
      <c r="A14" s="7">
        <v>32</v>
      </c>
      <c r="B14" s="7" t="s">
        <v>117</v>
      </c>
      <c r="C14" s="7">
        <v>13</v>
      </c>
      <c r="D14" s="8">
        <v>1</v>
      </c>
      <c r="E14" s="8" t="s">
        <v>99</v>
      </c>
      <c r="F14" s="8" t="s">
        <v>127</v>
      </c>
      <c r="G14" s="8" t="s">
        <v>167</v>
      </c>
      <c r="H14" s="8" t="s">
        <v>31</v>
      </c>
      <c r="I14" s="8" t="s">
        <v>32</v>
      </c>
      <c r="J14" s="8" t="s">
        <v>233</v>
      </c>
      <c r="K14" s="8" t="s">
        <v>232</v>
      </c>
      <c r="L14" s="8">
        <v>1</v>
      </c>
      <c r="M14" s="10"/>
      <c r="N14" s="10"/>
      <c r="O14" s="10"/>
      <c r="P14" s="10"/>
    </row>
    <row r="15" spans="1:16" x14ac:dyDescent="0.55000000000000004">
      <c r="A15" s="7">
        <v>33</v>
      </c>
      <c r="B15" s="7" t="s">
        <v>117</v>
      </c>
      <c r="C15" s="7">
        <v>14</v>
      </c>
      <c r="D15" s="8">
        <v>1</v>
      </c>
      <c r="E15" s="8" t="s">
        <v>99</v>
      </c>
      <c r="F15" s="8" t="s">
        <v>128</v>
      </c>
      <c r="G15" s="8" t="s">
        <v>168</v>
      </c>
      <c r="H15" s="8" t="s">
        <v>33</v>
      </c>
      <c r="I15" s="8" t="s">
        <v>32</v>
      </c>
      <c r="J15" s="8" t="s">
        <v>233</v>
      </c>
      <c r="K15" s="8" t="s">
        <v>232</v>
      </c>
      <c r="L15" s="8">
        <v>1</v>
      </c>
      <c r="M15" s="10"/>
      <c r="N15" s="10"/>
      <c r="O15" s="10"/>
      <c r="P15" s="10"/>
    </row>
    <row r="16" spans="1:16" x14ac:dyDescent="0.55000000000000004">
      <c r="A16" s="7">
        <v>41</v>
      </c>
      <c r="B16" s="7" t="s">
        <v>124</v>
      </c>
      <c r="C16" s="7">
        <v>15</v>
      </c>
      <c r="D16" s="8"/>
      <c r="E16" s="8"/>
      <c r="F16" s="8" t="s">
        <v>129</v>
      </c>
      <c r="G16" s="8" t="s">
        <v>169</v>
      </c>
      <c r="H16" s="8" t="s">
        <v>141</v>
      </c>
      <c r="I16" s="8"/>
      <c r="J16" s="8"/>
      <c r="K16" s="8"/>
      <c r="L16" s="8"/>
      <c r="M16" s="10"/>
      <c r="N16" s="10"/>
      <c r="O16" s="10"/>
      <c r="P16" s="10"/>
    </row>
    <row r="17" spans="1:16" x14ac:dyDescent="0.55000000000000004">
      <c r="A17" s="7">
        <v>45</v>
      </c>
      <c r="B17" s="7" t="s">
        <v>124</v>
      </c>
      <c r="C17" s="7">
        <v>16</v>
      </c>
      <c r="D17" s="8"/>
      <c r="E17" s="8"/>
      <c r="F17" s="8" t="s">
        <v>140</v>
      </c>
      <c r="G17" s="8" t="s">
        <v>170</v>
      </c>
      <c r="H17" s="8" t="s">
        <v>141</v>
      </c>
      <c r="I17" s="8"/>
      <c r="J17" s="8"/>
      <c r="K17" s="8"/>
      <c r="L17" s="8"/>
      <c r="M17" s="10"/>
      <c r="N17" s="10"/>
      <c r="O17" s="10"/>
      <c r="P17" s="10"/>
    </row>
    <row r="18" spans="1:16" x14ac:dyDescent="0.55000000000000004">
      <c r="A18" s="7">
        <v>1</v>
      </c>
      <c r="B18" s="7" t="s">
        <v>115</v>
      </c>
      <c r="C18" s="7">
        <v>1</v>
      </c>
      <c r="D18" s="8">
        <v>1</v>
      </c>
      <c r="E18" s="8" t="s">
        <v>99</v>
      </c>
      <c r="F18" s="8" t="s">
        <v>145</v>
      </c>
      <c r="G18" s="8" t="s">
        <v>171</v>
      </c>
      <c r="H18" s="8" t="s">
        <v>61</v>
      </c>
      <c r="I18" s="8" t="s">
        <v>62</v>
      </c>
      <c r="J18" s="8" t="s">
        <v>4</v>
      </c>
      <c r="K18" s="8" t="s">
        <v>235</v>
      </c>
      <c r="L18" s="8">
        <v>1</v>
      </c>
      <c r="M18" s="10"/>
      <c r="N18" s="10">
        <v>0</v>
      </c>
      <c r="O18" s="10">
        <v>0</v>
      </c>
      <c r="P18" s="10"/>
    </row>
    <row r="19" spans="1:16" x14ac:dyDescent="0.55000000000000004">
      <c r="A19" s="7">
        <v>46</v>
      </c>
      <c r="B19" s="7" t="s">
        <v>114</v>
      </c>
      <c r="C19" s="7">
        <v>2</v>
      </c>
      <c r="D19" s="8"/>
      <c r="E19" s="8"/>
      <c r="F19" s="8" t="s">
        <v>215</v>
      </c>
      <c r="G19" s="8" t="s">
        <v>248</v>
      </c>
      <c r="H19" s="8" t="s">
        <v>214</v>
      </c>
      <c r="I19" s="8"/>
      <c r="J19" s="8"/>
      <c r="K19" s="8"/>
      <c r="L19" s="8"/>
      <c r="M19" s="10"/>
      <c r="N19" s="10">
        <v>0</v>
      </c>
      <c r="O19" s="10">
        <v>5</v>
      </c>
      <c r="P19" s="10"/>
    </row>
    <row r="20" spans="1:16" x14ac:dyDescent="0.55000000000000004">
      <c r="A20" s="7">
        <v>47</v>
      </c>
      <c r="B20" s="7" t="s">
        <v>114</v>
      </c>
      <c r="C20" s="7">
        <v>3</v>
      </c>
      <c r="D20" s="8"/>
      <c r="E20" s="8"/>
      <c r="F20" s="8" t="s">
        <v>216</v>
      </c>
      <c r="G20" s="8" t="s">
        <v>249</v>
      </c>
      <c r="H20" s="8" t="s">
        <v>214</v>
      </c>
      <c r="I20" s="8"/>
      <c r="J20" s="8"/>
      <c r="K20" s="8"/>
      <c r="L20" s="8"/>
      <c r="M20" s="10"/>
      <c r="N20" s="10">
        <v>0</v>
      </c>
      <c r="O20" s="10">
        <v>6</v>
      </c>
      <c r="P20" s="10"/>
    </row>
    <row r="21" spans="1:16" x14ac:dyDescent="0.55000000000000004">
      <c r="A21" s="7">
        <v>2</v>
      </c>
      <c r="B21" s="7" t="s">
        <v>115</v>
      </c>
      <c r="C21" s="7">
        <v>4</v>
      </c>
      <c r="D21" s="8">
        <v>2</v>
      </c>
      <c r="E21" s="8" t="s">
        <v>144</v>
      </c>
      <c r="F21" s="8" t="s">
        <v>121</v>
      </c>
      <c r="G21" s="8" t="s">
        <v>172</v>
      </c>
      <c r="H21" s="8" t="s">
        <v>63</v>
      </c>
      <c r="I21" s="9" t="s">
        <v>64</v>
      </c>
      <c r="J21" s="8" t="s">
        <v>4</v>
      </c>
      <c r="K21" s="8" t="s">
        <v>235</v>
      </c>
      <c r="L21" s="8">
        <v>1</v>
      </c>
      <c r="M21" s="10"/>
      <c r="N21" s="10">
        <v>0</v>
      </c>
      <c r="O21" s="10">
        <v>7</v>
      </c>
      <c r="P21" s="10"/>
    </row>
    <row r="22" spans="1:16" x14ac:dyDescent="0.55000000000000004">
      <c r="A22" s="7">
        <v>4</v>
      </c>
      <c r="B22" s="7" t="s">
        <v>115</v>
      </c>
      <c r="C22" s="7">
        <v>5</v>
      </c>
      <c r="D22" s="8">
        <v>5</v>
      </c>
      <c r="E22" s="8" t="s">
        <v>93</v>
      </c>
      <c r="F22" s="8" t="s">
        <v>153</v>
      </c>
      <c r="G22" s="8" t="s">
        <v>173</v>
      </c>
      <c r="H22" s="8" t="s">
        <v>67</v>
      </c>
      <c r="I22" s="8" t="s">
        <v>68</v>
      </c>
      <c r="J22" s="8" t="s">
        <v>4</v>
      </c>
      <c r="K22" s="8" t="s">
        <v>235</v>
      </c>
      <c r="L22" s="8">
        <v>1</v>
      </c>
      <c r="M22" s="10"/>
      <c r="N22" s="10">
        <v>0</v>
      </c>
      <c r="O22" s="10">
        <v>1</v>
      </c>
      <c r="P22" s="10"/>
    </row>
    <row r="23" spans="1:16" x14ac:dyDescent="0.55000000000000004">
      <c r="A23" s="7">
        <v>3</v>
      </c>
      <c r="B23" s="7" t="s">
        <v>115</v>
      </c>
      <c r="C23" s="7">
        <v>6</v>
      </c>
      <c r="D23" s="8">
        <v>5</v>
      </c>
      <c r="E23" s="8" t="s">
        <v>93</v>
      </c>
      <c r="F23" s="8" t="s">
        <v>152</v>
      </c>
      <c r="G23" s="8" t="s">
        <v>174</v>
      </c>
      <c r="H23" s="8" t="s">
        <v>65</v>
      </c>
      <c r="I23" s="8" t="s">
        <v>66</v>
      </c>
      <c r="J23" s="8" t="s">
        <v>4</v>
      </c>
      <c r="K23" s="8" t="s">
        <v>235</v>
      </c>
      <c r="L23" s="8">
        <v>1</v>
      </c>
      <c r="M23" s="10"/>
      <c r="N23" s="10">
        <v>0</v>
      </c>
      <c r="O23" s="10">
        <v>8</v>
      </c>
      <c r="P23" s="10"/>
    </row>
    <row r="24" spans="1:16" x14ac:dyDescent="0.55000000000000004">
      <c r="A24" s="7">
        <v>8</v>
      </c>
      <c r="B24" s="7" t="s">
        <v>115</v>
      </c>
      <c r="C24" s="7">
        <v>7</v>
      </c>
      <c r="D24" s="8">
        <v>6</v>
      </c>
      <c r="E24" s="8" t="s">
        <v>98</v>
      </c>
      <c r="F24" s="8" t="s">
        <v>148</v>
      </c>
      <c r="G24" s="8" t="s">
        <v>175</v>
      </c>
      <c r="H24" s="8" t="s">
        <v>69</v>
      </c>
      <c r="I24" s="8" t="s">
        <v>70</v>
      </c>
      <c r="J24" s="8" t="s">
        <v>4</v>
      </c>
      <c r="K24" s="8" t="s">
        <v>235</v>
      </c>
      <c r="L24" s="11">
        <v>1</v>
      </c>
      <c r="M24" s="24"/>
      <c r="N24" s="24">
        <v>0</v>
      </c>
      <c r="O24" s="24">
        <v>9</v>
      </c>
      <c r="P24" s="10"/>
    </row>
    <row r="25" spans="1:16" x14ac:dyDescent="0.55000000000000004">
      <c r="A25" s="7">
        <v>7</v>
      </c>
      <c r="B25" s="7" t="s">
        <v>115</v>
      </c>
      <c r="C25" s="7">
        <v>8</v>
      </c>
      <c r="D25" s="8">
        <v>7</v>
      </c>
      <c r="E25" s="8" t="s">
        <v>92</v>
      </c>
      <c r="F25" s="8" t="s">
        <v>150</v>
      </c>
      <c r="G25" s="8" t="s">
        <v>176</v>
      </c>
      <c r="H25" s="8" t="s">
        <v>73</v>
      </c>
      <c r="I25" s="8" t="s">
        <v>70</v>
      </c>
      <c r="J25" s="8" t="s">
        <v>4</v>
      </c>
      <c r="K25" s="8" t="s">
        <v>235</v>
      </c>
      <c r="L25" s="11">
        <v>1</v>
      </c>
      <c r="M25" s="24"/>
      <c r="N25" s="24">
        <v>0</v>
      </c>
      <c r="O25" s="24">
        <v>10</v>
      </c>
      <c r="P25" s="10"/>
    </row>
    <row r="26" spans="1:16" x14ac:dyDescent="0.55000000000000004">
      <c r="A26" s="7">
        <v>6</v>
      </c>
      <c r="B26" s="7" t="s">
        <v>115</v>
      </c>
      <c r="C26" s="7">
        <v>9</v>
      </c>
      <c r="D26" s="8">
        <v>7</v>
      </c>
      <c r="E26" s="8" t="s">
        <v>92</v>
      </c>
      <c r="F26" s="8" t="s">
        <v>122</v>
      </c>
      <c r="G26" s="8" t="s">
        <v>177</v>
      </c>
      <c r="H26" s="8" t="s">
        <v>71</v>
      </c>
      <c r="I26" s="8" t="s">
        <v>72</v>
      </c>
      <c r="J26" s="8" t="s">
        <v>4</v>
      </c>
      <c r="K26" s="8" t="s">
        <v>235</v>
      </c>
      <c r="L26" s="11">
        <v>1</v>
      </c>
      <c r="M26" s="24"/>
      <c r="N26" s="24">
        <v>0</v>
      </c>
      <c r="O26" s="24">
        <v>11</v>
      </c>
      <c r="P26" s="10"/>
    </row>
    <row r="27" spans="1:16" x14ac:dyDescent="0.55000000000000004">
      <c r="A27" s="7">
        <v>5</v>
      </c>
      <c r="B27" s="7" t="s">
        <v>115</v>
      </c>
      <c r="C27" s="7">
        <v>10</v>
      </c>
      <c r="D27" s="8">
        <v>8</v>
      </c>
      <c r="E27" s="8" t="s">
        <v>100</v>
      </c>
      <c r="F27" s="8" t="s">
        <v>149</v>
      </c>
      <c r="G27" s="8" t="s">
        <v>178</v>
      </c>
      <c r="H27" s="8" t="s">
        <v>69</v>
      </c>
      <c r="I27" s="8" t="s">
        <v>70</v>
      </c>
      <c r="J27" s="8" t="s">
        <v>4</v>
      </c>
      <c r="K27" s="8" t="s">
        <v>235</v>
      </c>
      <c r="L27" s="11">
        <v>1</v>
      </c>
      <c r="M27" s="24"/>
      <c r="N27" s="24">
        <v>0</v>
      </c>
      <c r="O27" s="24">
        <v>12</v>
      </c>
      <c r="P27" s="10"/>
    </row>
    <row r="28" spans="1:16" x14ac:dyDescent="0.55000000000000004">
      <c r="A28" s="7">
        <v>10</v>
      </c>
      <c r="B28" s="7" t="s">
        <v>115</v>
      </c>
      <c r="C28" s="7">
        <v>11</v>
      </c>
      <c r="D28" s="12">
        <v>9</v>
      </c>
      <c r="E28" s="12" t="s">
        <v>95</v>
      </c>
      <c r="F28" s="12" t="s">
        <v>142</v>
      </c>
      <c r="G28" s="12" t="s">
        <v>179</v>
      </c>
      <c r="H28" s="12" t="s">
        <v>75</v>
      </c>
      <c r="I28" s="12" t="s">
        <v>70</v>
      </c>
      <c r="J28" s="12" t="s">
        <v>4</v>
      </c>
      <c r="K28" s="12" t="s">
        <v>235</v>
      </c>
      <c r="L28" s="13">
        <v>1</v>
      </c>
      <c r="M28" s="25"/>
      <c r="N28" s="25">
        <v>0</v>
      </c>
      <c r="O28" s="25">
        <v>2</v>
      </c>
      <c r="P28" s="10"/>
    </row>
    <row r="29" spans="1:16" x14ac:dyDescent="0.55000000000000004">
      <c r="A29" s="7">
        <v>9</v>
      </c>
      <c r="B29" s="7" t="s">
        <v>115</v>
      </c>
      <c r="C29" s="7">
        <v>12</v>
      </c>
      <c r="D29" s="8">
        <v>9</v>
      </c>
      <c r="E29" s="8" t="s">
        <v>95</v>
      </c>
      <c r="F29" s="8" t="s">
        <v>146</v>
      </c>
      <c r="G29" s="8" t="s">
        <v>180</v>
      </c>
      <c r="H29" s="8" t="s">
        <v>74</v>
      </c>
      <c r="I29" s="8" t="s">
        <v>70</v>
      </c>
      <c r="J29" s="8" t="s">
        <v>4</v>
      </c>
      <c r="K29" s="8" t="s">
        <v>235</v>
      </c>
      <c r="L29" s="11">
        <v>1</v>
      </c>
      <c r="M29" s="24"/>
      <c r="N29" s="24">
        <v>0</v>
      </c>
      <c r="O29" s="24">
        <v>13</v>
      </c>
      <c r="P29" s="10"/>
    </row>
    <row r="30" spans="1:16" x14ac:dyDescent="0.55000000000000004">
      <c r="A30" s="7">
        <v>11</v>
      </c>
      <c r="B30" s="7" t="s">
        <v>115</v>
      </c>
      <c r="C30" s="7">
        <v>13</v>
      </c>
      <c r="D30" s="12">
        <v>11</v>
      </c>
      <c r="E30" s="12" t="s">
        <v>97</v>
      </c>
      <c r="F30" s="12" t="s">
        <v>143</v>
      </c>
      <c r="G30" s="12" t="s">
        <v>181</v>
      </c>
      <c r="H30" s="12" t="s">
        <v>75</v>
      </c>
      <c r="I30" s="12" t="s">
        <v>70</v>
      </c>
      <c r="J30" s="12" t="s">
        <v>4</v>
      </c>
      <c r="K30" s="12" t="s">
        <v>235</v>
      </c>
      <c r="L30" s="13">
        <v>1</v>
      </c>
      <c r="M30" s="25"/>
      <c r="N30" s="25">
        <v>0</v>
      </c>
      <c r="O30" s="25">
        <v>3</v>
      </c>
      <c r="P30" s="10"/>
    </row>
    <row r="31" spans="1:16" x14ac:dyDescent="0.55000000000000004">
      <c r="A31" s="7">
        <v>13</v>
      </c>
      <c r="B31" s="7" t="s">
        <v>115</v>
      </c>
      <c r="C31" s="7">
        <v>14</v>
      </c>
      <c r="D31" s="8">
        <v>11</v>
      </c>
      <c r="E31" s="8" t="s">
        <v>97</v>
      </c>
      <c r="F31" s="8" t="s">
        <v>147</v>
      </c>
      <c r="G31" s="8" t="s">
        <v>182</v>
      </c>
      <c r="H31" s="8" t="s">
        <v>76</v>
      </c>
      <c r="I31" s="8" t="s">
        <v>70</v>
      </c>
      <c r="J31" s="8" t="s">
        <v>4</v>
      </c>
      <c r="K31" s="8" t="s">
        <v>235</v>
      </c>
      <c r="L31" s="11">
        <v>1</v>
      </c>
      <c r="M31" s="24"/>
      <c r="N31" s="24">
        <v>0</v>
      </c>
      <c r="O31" s="24">
        <v>4</v>
      </c>
      <c r="P31" s="10"/>
    </row>
    <row r="32" spans="1:16" x14ac:dyDescent="0.55000000000000004">
      <c r="A32" s="7">
        <v>14</v>
      </c>
      <c r="B32" s="7" t="s">
        <v>115</v>
      </c>
      <c r="C32" s="7">
        <v>15</v>
      </c>
      <c r="D32" s="12">
        <v>11</v>
      </c>
      <c r="E32" s="12" t="s">
        <v>96</v>
      </c>
      <c r="F32" s="12" t="s">
        <v>255</v>
      </c>
      <c r="G32" s="12" t="s">
        <v>256</v>
      </c>
      <c r="H32" s="12" t="s">
        <v>77</v>
      </c>
      <c r="I32" s="12" t="s">
        <v>78</v>
      </c>
      <c r="J32" s="12" t="s">
        <v>4</v>
      </c>
      <c r="K32" s="12" t="s">
        <v>235</v>
      </c>
      <c r="L32" s="13">
        <v>1</v>
      </c>
      <c r="M32" s="25"/>
      <c r="N32" s="25">
        <v>0</v>
      </c>
      <c r="O32" s="25">
        <v>14</v>
      </c>
      <c r="P32" s="10"/>
    </row>
    <row r="33" spans="1:16" x14ac:dyDescent="0.55000000000000004">
      <c r="A33" s="7">
        <v>15</v>
      </c>
      <c r="B33" s="7" t="s">
        <v>115</v>
      </c>
      <c r="C33" s="7">
        <v>16</v>
      </c>
      <c r="D33" s="12">
        <v>11</v>
      </c>
      <c r="E33" s="12" t="s">
        <v>96</v>
      </c>
      <c r="F33" s="12" t="s">
        <v>151</v>
      </c>
      <c r="G33" s="12" t="s">
        <v>183</v>
      </c>
      <c r="H33" s="12" t="s">
        <v>77</v>
      </c>
      <c r="I33" s="12" t="s">
        <v>78</v>
      </c>
      <c r="J33" s="12" t="s">
        <v>4</v>
      </c>
      <c r="K33" s="12" t="s">
        <v>235</v>
      </c>
      <c r="L33" s="13">
        <v>1</v>
      </c>
      <c r="M33" s="25"/>
      <c r="N33" s="25">
        <v>0</v>
      </c>
      <c r="O33" s="25">
        <v>15</v>
      </c>
      <c r="P33" s="10"/>
    </row>
    <row r="34" spans="1:16" x14ac:dyDescent="0.55000000000000004">
      <c r="A34" s="7">
        <v>48</v>
      </c>
      <c r="B34" s="7" t="s">
        <v>114</v>
      </c>
      <c r="C34" s="7">
        <v>17</v>
      </c>
      <c r="D34" s="8"/>
      <c r="E34" s="8"/>
      <c r="F34" s="8" t="s">
        <v>217</v>
      </c>
      <c r="G34" s="8" t="s">
        <v>250</v>
      </c>
      <c r="H34" s="8" t="s">
        <v>51</v>
      </c>
      <c r="I34" s="8"/>
      <c r="J34" s="8"/>
      <c r="K34" s="8"/>
      <c r="L34" s="8"/>
      <c r="M34" s="10"/>
      <c r="N34" s="10">
        <v>1</v>
      </c>
      <c r="O34" s="10">
        <v>0</v>
      </c>
      <c r="P34" s="10"/>
    </row>
    <row r="35" spans="1:16" x14ac:dyDescent="0.55000000000000004">
      <c r="A35" s="7">
        <v>49</v>
      </c>
      <c r="B35" s="7" t="s">
        <v>114</v>
      </c>
      <c r="C35" s="7">
        <v>18</v>
      </c>
      <c r="D35" s="8"/>
      <c r="E35" s="8"/>
      <c r="F35" s="8" t="s">
        <v>218</v>
      </c>
      <c r="G35" s="8" t="s">
        <v>251</v>
      </c>
      <c r="H35" s="8" t="s">
        <v>51</v>
      </c>
      <c r="I35" s="8"/>
      <c r="J35" s="8"/>
      <c r="K35" s="8"/>
      <c r="L35" s="8"/>
      <c r="M35" s="10"/>
      <c r="N35" s="10">
        <v>1</v>
      </c>
      <c r="O35" s="10">
        <v>1</v>
      </c>
      <c r="P35" s="10"/>
    </row>
    <row r="36" spans="1:16" x14ac:dyDescent="0.55000000000000004">
      <c r="A36" s="7">
        <v>50</v>
      </c>
      <c r="B36" s="7" t="s">
        <v>114</v>
      </c>
      <c r="C36" s="7">
        <v>19</v>
      </c>
      <c r="D36" s="8"/>
      <c r="E36" s="8"/>
      <c r="F36" s="8" t="s">
        <v>220</v>
      </c>
      <c r="G36" s="8" t="s">
        <v>252</v>
      </c>
      <c r="H36" s="8" t="s">
        <v>219</v>
      </c>
      <c r="I36" s="8"/>
      <c r="J36" s="8"/>
      <c r="K36" s="8"/>
      <c r="L36" s="8"/>
      <c r="M36" s="10"/>
      <c r="N36" s="10">
        <v>1</v>
      </c>
      <c r="O36" s="10">
        <v>2</v>
      </c>
      <c r="P36" s="10"/>
    </row>
    <row r="37" spans="1:16" x14ac:dyDescent="0.55000000000000004">
      <c r="A37" s="29">
        <v>12</v>
      </c>
      <c r="B37" s="29" t="s">
        <v>115</v>
      </c>
      <c r="C37" s="29"/>
      <c r="D37" s="14">
        <v>11</v>
      </c>
      <c r="E37" s="14" t="s">
        <v>97</v>
      </c>
      <c r="F37" s="14"/>
      <c r="G37" s="14"/>
      <c r="H37" s="14" t="s">
        <v>75</v>
      </c>
      <c r="I37" s="14" t="s">
        <v>70</v>
      </c>
      <c r="J37" s="14" t="s">
        <v>4</v>
      </c>
      <c r="K37" s="14" t="s">
        <v>235</v>
      </c>
      <c r="L37" s="15">
        <v>1</v>
      </c>
      <c r="M37" s="26" t="s">
        <v>118</v>
      </c>
      <c r="N37" s="26"/>
      <c r="O37" s="26"/>
      <c r="P37" s="10"/>
    </row>
    <row r="38" spans="1:16" x14ac:dyDescent="0.55000000000000004">
      <c r="A38" s="29">
        <v>16</v>
      </c>
      <c r="B38" s="29" t="s">
        <v>115</v>
      </c>
      <c r="C38" s="29"/>
      <c r="D38" s="14">
        <v>11</v>
      </c>
      <c r="E38" s="14" t="s">
        <v>96</v>
      </c>
      <c r="F38" s="14"/>
      <c r="G38" s="14"/>
      <c r="H38" s="14" t="s">
        <v>77</v>
      </c>
      <c r="I38" s="14" t="s">
        <v>78</v>
      </c>
      <c r="J38" s="14" t="s">
        <v>4</v>
      </c>
      <c r="K38" s="14" t="s">
        <v>235</v>
      </c>
      <c r="L38" s="15">
        <v>1</v>
      </c>
      <c r="M38" s="26" t="s">
        <v>118</v>
      </c>
      <c r="N38" s="26"/>
      <c r="O38" s="26"/>
      <c r="P38" s="10"/>
    </row>
    <row r="39" spans="1:16" x14ac:dyDescent="0.55000000000000004">
      <c r="A39" s="29">
        <v>17</v>
      </c>
      <c r="B39" s="29" t="s">
        <v>115</v>
      </c>
      <c r="C39" s="29"/>
      <c r="D39" s="14">
        <v>11</v>
      </c>
      <c r="E39" s="14" t="s">
        <v>96</v>
      </c>
      <c r="F39" s="14"/>
      <c r="G39" s="14"/>
      <c r="H39" s="14" t="s">
        <v>77</v>
      </c>
      <c r="I39" s="14" t="s">
        <v>78</v>
      </c>
      <c r="J39" s="14" t="s">
        <v>4</v>
      </c>
      <c r="K39" s="14" t="s">
        <v>235</v>
      </c>
      <c r="L39" s="15">
        <v>1</v>
      </c>
      <c r="M39" s="26" t="s">
        <v>118</v>
      </c>
      <c r="N39" s="26"/>
      <c r="O39" s="26"/>
      <c r="P39" s="10"/>
    </row>
    <row r="40" spans="1:16" x14ac:dyDescent="0.55000000000000004">
      <c r="A40" s="7">
        <v>21</v>
      </c>
      <c r="B40" s="7" t="s">
        <v>123</v>
      </c>
      <c r="C40" s="7">
        <v>1</v>
      </c>
      <c r="D40" s="8">
        <v>1</v>
      </c>
      <c r="E40" s="8" t="s">
        <v>99</v>
      </c>
      <c r="F40" s="8" t="s">
        <v>130</v>
      </c>
      <c r="G40" s="8" t="s">
        <v>211</v>
      </c>
      <c r="H40" s="8" t="s">
        <v>30</v>
      </c>
      <c r="I40" s="8" t="s">
        <v>29</v>
      </c>
      <c r="J40" s="8" t="s">
        <v>2</v>
      </c>
      <c r="K40" s="8" t="s">
        <v>234</v>
      </c>
      <c r="L40" s="8">
        <v>1</v>
      </c>
      <c r="M40" s="10"/>
      <c r="N40" s="10"/>
      <c r="O40" s="10"/>
      <c r="P40" s="10"/>
    </row>
    <row r="41" spans="1:16" x14ac:dyDescent="0.55000000000000004">
      <c r="A41" s="7">
        <v>24</v>
      </c>
      <c r="B41" s="7" t="s">
        <v>119</v>
      </c>
      <c r="C41" s="7"/>
      <c r="D41" s="8">
        <v>3</v>
      </c>
      <c r="E41" s="8" t="s">
        <v>94</v>
      </c>
      <c r="F41" s="8" t="s">
        <v>90</v>
      </c>
      <c r="G41" s="8"/>
      <c r="H41" s="8" t="s">
        <v>6</v>
      </c>
      <c r="I41" s="8" t="s">
        <v>8</v>
      </c>
      <c r="J41" s="8" t="s">
        <v>233</v>
      </c>
      <c r="K41" s="8" t="s">
        <v>232</v>
      </c>
      <c r="L41" s="8">
        <v>1</v>
      </c>
      <c r="M41" s="10"/>
      <c r="N41" s="10"/>
      <c r="O41" s="10"/>
      <c r="P41" s="10"/>
    </row>
    <row r="42" spans="1:16" x14ac:dyDescent="0.55000000000000004">
      <c r="A42" s="7">
        <v>25</v>
      </c>
      <c r="B42" s="7" t="s">
        <v>119</v>
      </c>
      <c r="C42" s="7"/>
      <c r="D42" s="8">
        <v>3</v>
      </c>
      <c r="E42" s="8" t="s">
        <v>94</v>
      </c>
      <c r="F42" s="8" t="s">
        <v>90</v>
      </c>
      <c r="G42" s="8"/>
      <c r="H42" s="8" t="s">
        <v>60</v>
      </c>
      <c r="I42" s="8" t="s">
        <v>9</v>
      </c>
      <c r="J42" s="8" t="s">
        <v>233</v>
      </c>
      <c r="K42" s="8" t="s">
        <v>232</v>
      </c>
      <c r="L42" s="8">
        <v>1</v>
      </c>
      <c r="M42" s="10"/>
      <c r="N42" s="10"/>
      <c r="O42" s="10"/>
      <c r="P42" s="10"/>
    </row>
    <row r="43" spans="1:16" x14ac:dyDescent="0.55000000000000004">
      <c r="A43" s="7">
        <v>29</v>
      </c>
      <c r="B43" s="7" t="s">
        <v>119</v>
      </c>
      <c r="C43" s="7"/>
      <c r="D43" s="8">
        <v>7</v>
      </c>
      <c r="E43" s="8" t="s">
        <v>92</v>
      </c>
      <c r="F43" s="8"/>
      <c r="G43" s="8"/>
      <c r="H43" s="8" t="s">
        <v>22</v>
      </c>
      <c r="I43" s="8" t="s">
        <v>23</v>
      </c>
      <c r="J43" s="8" t="s">
        <v>233</v>
      </c>
      <c r="K43" s="8" t="s">
        <v>232</v>
      </c>
      <c r="L43" s="8">
        <v>3</v>
      </c>
      <c r="M43" s="10"/>
      <c r="N43" s="10"/>
      <c r="O43" s="10"/>
      <c r="P43" s="10"/>
    </row>
    <row r="44" spans="1:16" x14ac:dyDescent="0.55000000000000004">
      <c r="A44" s="7">
        <v>30</v>
      </c>
      <c r="B44" s="7" t="s">
        <v>119</v>
      </c>
      <c r="C44" s="7"/>
      <c r="D44" s="8">
        <v>1</v>
      </c>
      <c r="E44" s="8" t="s">
        <v>99</v>
      </c>
      <c r="F44" s="8" t="s">
        <v>108</v>
      </c>
      <c r="G44" s="8"/>
      <c r="H44" s="8" t="s">
        <v>25</v>
      </c>
      <c r="I44" s="8" t="s">
        <v>24</v>
      </c>
      <c r="J44" s="8" t="s">
        <v>233</v>
      </c>
      <c r="K44" s="8" t="s">
        <v>232</v>
      </c>
      <c r="L44" s="8">
        <v>1</v>
      </c>
      <c r="M44" s="10" t="s">
        <v>57</v>
      </c>
      <c r="N44" s="10"/>
      <c r="O44" s="10"/>
      <c r="P44" s="10"/>
    </row>
    <row r="45" spans="1:16" x14ac:dyDescent="0.55000000000000004">
      <c r="A45" s="7">
        <v>34</v>
      </c>
      <c r="B45" s="7" t="s">
        <v>119</v>
      </c>
      <c r="C45" s="7"/>
      <c r="D45" s="8">
        <v>1</v>
      </c>
      <c r="E45" s="8" t="s">
        <v>99</v>
      </c>
      <c r="F45" s="8" t="s">
        <v>109</v>
      </c>
      <c r="G45" s="8"/>
      <c r="H45" s="8" t="s">
        <v>35</v>
      </c>
      <c r="I45" s="16" t="s">
        <v>36</v>
      </c>
      <c r="J45" s="8" t="s">
        <v>233</v>
      </c>
      <c r="K45" s="8" t="s">
        <v>232</v>
      </c>
      <c r="L45" s="8">
        <v>1</v>
      </c>
      <c r="M45" s="10" t="s">
        <v>34</v>
      </c>
      <c r="N45" s="10"/>
      <c r="O45" s="10"/>
      <c r="P45" s="10"/>
    </row>
    <row r="46" spans="1:16" x14ac:dyDescent="0.55000000000000004">
      <c r="A46" s="7">
        <v>26</v>
      </c>
      <c r="B46" s="7"/>
      <c r="C46" s="7"/>
      <c r="D46" s="8">
        <v>1</v>
      </c>
      <c r="E46" s="8" t="s">
        <v>99</v>
      </c>
      <c r="F46" s="8"/>
      <c r="G46" s="8"/>
      <c r="H46" s="8" t="s">
        <v>58</v>
      </c>
      <c r="I46" s="8" t="s">
        <v>59</v>
      </c>
      <c r="J46" s="8" t="s">
        <v>233</v>
      </c>
      <c r="K46" s="8" t="s">
        <v>232</v>
      </c>
      <c r="L46" s="8">
        <v>1</v>
      </c>
      <c r="M46" s="10"/>
      <c r="N46" s="10"/>
      <c r="O46" s="10"/>
      <c r="P46" s="10"/>
    </row>
    <row r="47" spans="1:16" x14ac:dyDescent="0.55000000000000004">
      <c r="A47" s="7">
        <v>27</v>
      </c>
      <c r="B47" s="7"/>
      <c r="C47" s="7"/>
      <c r="D47" s="8">
        <v>5</v>
      </c>
      <c r="E47" s="8" t="s">
        <v>93</v>
      </c>
      <c r="F47" s="8"/>
      <c r="G47" s="8"/>
      <c r="H47" s="8" t="s">
        <v>18</v>
      </c>
      <c r="I47" s="8" t="s">
        <v>19</v>
      </c>
      <c r="J47" s="8" t="s">
        <v>233</v>
      </c>
      <c r="K47" s="8" t="s">
        <v>232</v>
      </c>
      <c r="L47" s="8">
        <v>1</v>
      </c>
      <c r="M47" s="10"/>
      <c r="N47" s="10"/>
      <c r="O47" s="10"/>
      <c r="P47" s="10"/>
    </row>
    <row r="48" spans="1:16" x14ac:dyDescent="0.55000000000000004">
      <c r="A48" s="7">
        <v>28</v>
      </c>
      <c r="B48" s="7"/>
      <c r="C48" s="7"/>
      <c r="D48" s="8">
        <v>5</v>
      </c>
      <c r="E48" s="8" t="s">
        <v>93</v>
      </c>
      <c r="F48" s="8"/>
      <c r="G48" s="8"/>
      <c r="H48" s="8" t="s">
        <v>16</v>
      </c>
      <c r="I48" s="8" t="s">
        <v>17</v>
      </c>
      <c r="J48" s="8" t="s">
        <v>233</v>
      </c>
      <c r="K48" s="8" t="s">
        <v>232</v>
      </c>
      <c r="L48" s="8">
        <v>1</v>
      </c>
      <c r="M48" s="10"/>
      <c r="N48" s="10"/>
      <c r="O48" s="10"/>
      <c r="P48" s="10"/>
    </row>
    <row r="49" spans="1:16" x14ac:dyDescent="0.55000000000000004">
      <c r="A49" s="7">
        <v>31</v>
      </c>
      <c r="B49" s="7"/>
      <c r="C49" s="7"/>
      <c r="D49" s="8">
        <v>3</v>
      </c>
      <c r="E49" s="8" t="s">
        <v>94</v>
      </c>
      <c r="F49" s="8"/>
      <c r="G49" s="8"/>
      <c r="H49" s="8" t="s">
        <v>27</v>
      </c>
      <c r="I49" s="8" t="s">
        <v>26</v>
      </c>
      <c r="J49" s="8" t="s">
        <v>233</v>
      </c>
      <c r="K49" s="8" t="s">
        <v>232</v>
      </c>
      <c r="L49" s="8">
        <v>1</v>
      </c>
      <c r="M49" s="10" t="s">
        <v>57</v>
      </c>
      <c r="N49" s="10"/>
      <c r="O49" s="10"/>
      <c r="P49" s="10"/>
    </row>
    <row r="50" spans="1:16" x14ac:dyDescent="0.55000000000000004">
      <c r="A50" s="7">
        <v>39</v>
      </c>
      <c r="B50" s="7"/>
      <c r="C50" s="7"/>
      <c r="D50" s="8">
        <v>7</v>
      </c>
      <c r="E50" s="8" t="s">
        <v>92</v>
      </c>
      <c r="F50" s="8"/>
      <c r="G50" s="8"/>
      <c r="H50" s="8" t="s">
        <v>27</v>
      </c>
      <c r="I50" s="8" t="s">
        <v>26</v>
      </c>
      <c r="J50" s="8" t="s">
        <v>233</v>
      </c>
      <c r="K50" s="8" t="s">
        <v>232</v>
      </c>
      <c r="L50" s="8">
        <v>1</v>
      </c>
      <c r="M50" s="10"/>
      <c r="N50" s="10"/>
      <c r="O50" s="10"/>
      <c r="P50" s="10"/>
    </row>
    <row r="51" spans="1:16" x14ac:dyDescent="0.55000000000000004">
      <c r="A51" s="18"/>
      <c r="B51" s="18"/>
      <c r="C51" s="18"/>
      <c r="D51" s="19"/>
      <c r="E51" s="19"/>
      <c r="F51" s="19"/>
      <c r="G51" s="19"/>
      <c r="H51" s="19"/>
      <c r="I51" s="19"/>
      <c r="J51" s="19"/>
      <c r="K51" s="19"/>
      <c r="L51" s="19"/>
      <c r="M51" s="20"/>
      <c r="N51" s="20"/>
      <c r="O51" s="20"/>
      <c r="P51" s="20"/>
    </row>
    <row r="53" spans="1:16" x14ac:dyDescent="0.55000000000000004">
      <c r="A53" t="s">
        <v>111</v>
      </c>
      <c r="D53" t="s">
        <v>110</v>
      </c>
    </row>
    <row r="54" spans="1:16" x14ac:dyDescent="0.55000000000000004">
      <c r="A54">
        <f>MAX(A$2:A$51)</f>
        <v>50</v>
      </c>
      <c r="D54">
        <f>MAX(D$2:D$51)</f>
        <v>11</v>
      </c>
    </row>
    <row r="55" spans="1:16" x14ac:dyDescent="0.55000000000000004">
      <c r="A55" t="s">
        <v>207</v>
      </c>
      <c r="B55" t="s">
        <v>117</v>
      </c>
      <c r="C55" t="s">
        <v>116</v>
      </c>
    </row>
    <row r="56" spans="1:16" x14ac:dyDescent="0.55000000000000004">
      <c r="A56">
        <f>ROW(A52)-ROW(A1)-1</f>
        <v>50</v>
      </c>
      <c r="B56">
        <f>COUNTIF(B$2:B$51,B55)</f>
        <v>16</v>
      </c>
      <c r="C56" s="28">
        <f>_xlfn.MAXIFS(C$2:C$51,$B$2:$B$51,C55)</f>
        <v>16</v>
      </c>
    </row>
    <row r="57" spans="1:16" x14ac:dyDescent="0.55000000000000004">
      <c r="B57" t="s">
        <v>114</v>
      </c>
      <c r="C57" t="s">
        <v>114</v>
      </c>
    </row>
    <row r="58" spans="1:16" x14ac:dyDescent="0.55000000000000004">
      <c r="B58">
        <f>COUNTIF(B$2:B$51,B57)</f>
        <v>22</v>
      </c>
      <c r="C58" s="28">
        <f>_xlfn.MAXIFS(C$2:C$51,$B$2:$B$51,C57)</f>
        <v>19</v>
      </c>
    </row>
    <row r="61" spans="1:16" x14ac:dyDescent="0.55000000000000004">
      <c r="H61" s="2" t="s">
        <v>37</v>
      </c>
      <c r="L61">
        <v>1</v>
      </c>
      <c r="P61" t="s">
        <v>79</v>
      </c>
    </row>
    <row r="62" spans="1:16" x14ac:dyDescent="0.55000000000000004">
      <c r="H62" t="s">
        <v>56</v>
      </c>
      <c r="I62" t="s">
        <v>53</v>
      </c>
      <c r="J62" t="s">
        <v>52</v>
      </c>
      <c r="L62">
        <v>1</v>
      </c>
      <c r="P62" t="s">
        <v>79</v>
      </c>
    </row>
    <row r="64" spans="1:16" x14ac:dyDescent="0.55000000000000004">
      <c r="H64" s="2" t="s">
        <v>38</v>
      </c>
    </row>
    <row r="65" spans="8:16" x14ac:dyDescent="0.55000000000000004">
      <c r="H65" t="s">
        <v>82</v>
      </c>
      <c r="I65" t="s">
        <v>84</v>
      </c>
      <c r="J65" t="s">
        <v>80</v>
      </c>
      <c r="L65">
        <v>1</v>
      </c>
      <c r="P65" t="s">
        <v>79</v>
      </c>
    </row>
    <row r="67" spans="8:16" x14ac:dyDescent="0.55000000000000004">
      <c r="H67" s="2" t="s">
        <v>39</v>
      </c>
    </row>
    <row r="68" spans="8:16" x14ac:dyDescent="0.55000000000000004">
      <c r="H68" t="s">
        <v>83</v>
      </c>
      <c r="I68" t="s">
        <v>84</v>
      </c>
      <c r="J68" t="s">
        <v>81</v>
      </c>
      <c r="L68">
        <v>1</v>
      </c>
      <c r="P68" t="s">
        <v>79</v>
      </c>
    </row>
    <row r="70" spans="8:16" x14ac:dyDescent="0.55000000000000004">
      <c r="H70" s="2" t="s">
        <v>40</v>
      </c>
    </row>
    <row r="71" spans="8:16" x14ac:dyDescent="0.55000000000000004">
      <c r="H71" t="s">
        <v>42</v>
      </c>
      <c r="I71" t="s">
        <v>43</v>
      </c>
      <c r="J71" t="s">
        <v>12</v>
      </c>
      <c r="L71">
        <v>1</v>
      </c>
      <c r="P71" t="s">
        <v>87</v>
      </c>
    </row>
    <row r="72" spans="8:16" x14ac:dyDescent="0.55000000000000004">
      <c r="H72" t="s">
        <v>45</v>
      </c>
      <c r="I72" s="1" t="s">
        <v>54</v>
      </c>
      <c r="J72" t="s">
        <v>44</v>
      </c>
      <c r="L72">
        <v>2</v>
      </c>
      <c r="P72" t="s">
        <v>87</v>
      </c>
    </row>
    <row r="74" spans="8:16" x14ac:dyDescent="0.55000000000000004">
      <c r="H74" s="2" t="s">
        <v>41</v>
      </c>
    </row>
    <row r="75" spans="8:16" x14ac:dyDescent="0.55000000000000004">
      <c r="H75" t="s">
        <v>46</v>
      </c>
      <c r="I75" t="s">
        <v>47</v>
      </c>
      <c r="J75" t="s">
        <v>12</v>
      </c>
      <c r="L75">
        <v>1</v>
      </c>
      <c r="P75" t="s">
        <v>87</v>
      </c>
    </row>
    <row r="76" spans="8:16" x14ac:dyDescent="0.55000000000000004">
      <c r="H76" t="s">
        <v>50</v>
      </c>
      <c r="I76" s="3" t="s">
        <v>48</v>
      </c>
      <c r="J76" t="s">
        <v>49</v>
      </c>
      <c r="L76">
        <v>1</v>
      </c>
      <c r="P76" t="s">
        <v>87</v>
      </c>
    </row>
    <row r="77" spans="8:16" x14ac:dyDescent="0.55000000000000004">
      <c r="H77" t="s">
        <v>51</v>
      </c>
      <c r="I77" t="s">
        <v>55</v>
      </c>
      <c r="J77" t="s">
        <v>4</v>
      </c>
      <c r="L77">
        <v>2</v>
      </c>
      <c r="P77" t="s">
        <v>87</v>
      </c>
    </row>
    <row r="78" spans="8:16" x14ac:dyDescent="0.55000000000000004">
      <c r="H78" t="s">
        <v>85</v>
      </c>
      <c r="I78" t="s">
        <v>86</v>
      </c>
      <c r="J78" t="s">
        <v>88</v>
      </c>
      <c r="L78">
        <v>1</v>
      </c>
      <c r="P78" t="s">
        <v>87</v>
      </c>
    </row>
  </sheetData>
  <autoFilter ref="A1:P50" xr:uid="{48D32264-F25D-40E9-9C76-26E43E79C8CC}">
    <sortState xmlns:xlrd2="http://schemas.microsoft.com/office/spreadsheetml/2017/richdata2" ref="A2:P50">
      <sortCondition ref="B1:B50"/>
    </sortState>
  </autoFilter>
  <phoneticPr fontId="1"/>
  <conditionalFormatting sqref="A2:P51">
    <cfRule type="expression" dxfId="1" priority="1">
      <formula>MOD(ROW(A2),2)=1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dimension ref="A1:AK205"/>
  <sheetViews>
    <sheetView workbookViewId="0">
      <pane xSplit="6" ySplit="2" topLeftCell="G3" activePane="bottomRight" state="frozen"/>
      <selection activeCell="I12" sqref="I12"/>
      <selection pane="topRight" activeCell="I12" sqref="I12"/>
      <selection pane="bottomLeft" activeCell="I12" sqref="I12"/>
      <selection pane="bottomRight" activeCell="J8" sqref="J8"/>
    </sheetView>
  </sheetViews>
  <sheetFormatPr defaultRowHeight="18" x14ac:dyDescent="0.55000000000000004"/>
  <cols>
    <col min="1" max="1" width="12.33203125" bestFit="1" customWidth="1"/>
    <col min="4" max="4" width="3.58203125" customWidth="1"/>
    <col min="10" max="10" width="27.33203125" bestFit="1" customWidth="1"/>
    <col min="11" max="11" width="5.58203125" customWidth="1"/>
    <col min="12" max="12" width="8.58203125" customWidth="1"/>
    <col min="13" max="13" width="5.58203125" customWidth="1"/>
    <col min="14" max="14" width="8.58203125" customWidth="1"/>
    <col min="15" max="15" width="5.58203125" customWidth="1"/>
    <col min="16" max="24" width="8.58203125" customWidth="1"/>
    <col min="38" max="38" width="3.58203125" customWidth="1"/>
  </cols>
  <sheetData>
    <row r="1" spans="1:37" x14ac:dyDescent="0.55000000000000004">
      <c r="F1" t="s">
        <v>241</v>
      </c>
      <c r="J1" t="s">
        <v>237</v>
      </c>
      <c r="L1" t="s">
        <v>238</v>
      </c>
      <c r="N1" t="s">
        <v>239</v>
      </c>
      <c r="P1" t="s">
        <v>240</v>
      </c>
      <c r="AA1" t="str">
        <f>IF(LEN(J1),J2&amp;CHAR(9)&amp;":"&amp;J1,"")</f>
        <v>name	:装置内で使用される名称</v>
      </c>
      <c r="AC1" t="str">
        <f>IF(LEN(AA1),AA1,"")&amp;IF(LEN(L1),CHAR(10)&amp;L2&amp;CHAR(9)&amp;":"&amp;L1,"")</f>
        <v>name	:装置内で使用される名称
index_name	:装置内の連番＋名称</v>
      </c>
      <c r="AE1" t="str">
        <f>IF(LEN(AC1),AC1,"")&amp;IF(LEN(N1),CHAR(10)&amp;N2&amp;CHAR(9)&amp;":"&amp;N1,"")</f>
        <v>name	:装置内で使用される名称
index_name	:装置内の連番＋名称
model	:使用される機器の型番</v>
      </c>
      <c r="AG1" t="str">
        <f>IF(LEN(AE1),AE1,"")&amp;IF(LEN(P1),CHAR(10)&amp;P2&amp;CHAR(9)&amp;":"&amp;P1,"")</f>
        <v>name	:装置内で使用される名称
index_name	:装置内の連番＋名称
model	:使用される機器の型番
mf	:使用される機器のメーカー</v>
      </c>
      <c r="AI1" t="str">
        <f>AG1</f>
        <v>name	:装置内で使用される名称
index_name	:装置内の連番＋名称
model	:使用される機器の型番
mf	:使用される機器のメーカー</v>
      </c>
    </row>
    <row r="2" spans="1:37" s="33" customFormat="1" x14ac:dyDescent="0.55000000000000004">
      <c r="A2" s="33" t="s">
        <v>222</v>
      </c>
      <c r="E2" s="33" t="s">
        <v>227</v>
      </c>
      <c r="F2" s="33" t="s">
        <v>102</v>
      </c>
      <c r="G2" s="33" t="s">
        <v>206</v>
      </c>
      <c r="H2" s="33" t="s">
        <v>226</v>
      </c>
      <c r="J2" s="33" t="s">
        <v>198</v>
      </c>
      <c r="L2" s="33" t="s">
        <v>199</v>
      </c>
      <c r="N2" s="33" t="s">
        <v>209</v>
      </c>
      <c r="P2" s="33" t="s">
        <v>228</v>
      </c>
      <c r="X2" s="33" t="s">
        <v>210</v>
      </c>
      <c r="Y2" s="33" t="s">
        <v>201</v>
      </c>
      <c r="Z2" s="33" t="s">
        <v>202</v>
      </c>
      <c r="AA2" s="33" t="s">
        <v>203</v>
      </c>
      <c r="AB2" s="33" t="s">
        <v>204</v>
      </c>
      <c r="AC2" s="33" t="s">
        <v>205</v>
      </c>
      <c r="AD2" s="33" t="s">
        <v>204</v>
      </c>
      <c r="AE2" s="33" t="s">
        <v>212</v>
      </c>
      <c r="AF2" s="33" t="s">
        <v>213</v>
      </c>
      <c r="AG2" s="33" t="s">
        <v>236</v>
      </c>
      <c r="AH2" s="33" t="s">
        <v>213</v>
      </c>
      <c r="AI2" s="33" t="s">
        <v>224</v>
      </c>
      <c r="AJ2" s="33" t="s">
        <v>225</v>
      </c>
      <c r="AK2" s="33" t="s">
        <v>221</v>
      </c>
    </row>
    <row r="3" spans="1:37" x14ac:dyDescent="0.55000000000000004">
      <c r="A3" t="s">
        <v>193</v>
      </c>
      <c r="B3" t="str" cm="1">
        <f t="array" aca="1" ref="B3" ca="1">CELL("filename")</f>
        <v>C:\tk\prj\hg-0025-0016\git\kv-x520\doc\[kv_script_conv_TP1_popup.xlsx]content</v>
      </c>
      <c r="E3" t="s">
        <v>117</v>
      </c>
      <c r="F3">
        <f>COUNTIF(E$3:E3,E3)</f>
        <v>1</v>
      </c>
      <c r="H3" cm="1">
        <f t="array" ref="H3:H202">IFERROR(MATCH($E$3:$E$202&amp;$F$3:$F$202,info_index!$B$2:$B$51&amp;info_index!$C$2:$C$51,0),"")</f>
        <v>1</v>
      </c>
      <c r="I3" t="str" cm="1">
        <f t="array" aca="1" ref="I3:I202" ca="1">IF(LEN(_xlfn.ANCHORARRAY(H3)),INDEX(OFFSET(info_index!$F$2:$F$51,0,$B$23),MATCH($E$3:$E$202&amp;$F$3:$F$202,info_index!$B$2:$B$51&amp;info_index!$C$2:$C$51,0)&amp;"",1),"")</f>
        <v>Foil wax reel shaft</v>
      </c>
      <c r="J3" t="str" cm="1">
        <f t="array" aca="1" ref="J3:J202" ca="1">IF(LEN(_xlfn.ANCHORARRAY($H3)),IF(LEN(_xlfn.ANCHORARRAY(I3)),_xlfn.ANCHORARRAY(I3),"unknown"),"")</f>
        <v>Foil wax reel shaft</v>
      </c>
      <c r="L3" t="str" cm="1">
        <f t="array" aca="1" ref="L3:L202" ca="1">IF(LEN(_xlfn.ANCHORARRAY(J3)),"【"&amp;E3:E202&amp;F3:F202&amp;"】 "&amp;_xlfn.ANCHORARRAY(J3),"")</f>
        <v>【axis1】 Foil wax reel shaft</v>
      </c>
      <c r="M3" t="str" cm="1">
        <f t="array" ref="M3:M202">IFERROR(INDEX(info_index!$H$2:$H$51,MATCH($E$3:$E$202&amp;$F$3:$F$202,info_index!$B$2:$B$51&amp;info_index!$C$2:$C$51,0),1)&amp;"","")</f>
        <v>5TK20GN-CW2J+5GN180K</v>
      </c>
      <c r="N3" t="str" cm="1">
        <f t="array" ref="N3:N202">IF(LEN(_xlfn.ANCHORARRAY(H3)),IF(LEN(_xlfn.ANCHORARRAY(M3)),_xlfn.ANCHORARRAY(M3),"unknown"),"")</f>
        <v>5TK20GN-CW2J+5GN180K</v>
      </c>
      <c r="O3" t="str" cm="1">
        <f t="array" aca="1" ref="O3:O202" ca="1">IF(LEN(_xlfn.ANCHORARRAY(H3)),INDEX(OFFSET(info_index!$J$2:$J$51,0,$B$23),MATCH($E$3:$E$202&amp;$F$3:$F$202,info_index!$B$2:$B$51&amp;info_index!$C$2:$C$51,0),1)&amp;"","")</f>
        <v>OrientalMotor</v>
      </c>
      <c r="P3" t="str" cm="1">
        <f t="array" aca="1" ref="P3:P202" ca="1">IF(LEN(_xlfn.ANCHORARRAY($H3)),IF(LEN(_xlfn.ANCHORARRAY(O3)),_xlfn.ANCHORARRAY(O3),"unknown"),"")</f>
        <v>OrientalMotor</v>
      </c>
      <c r="X3" t="str" cm="1">
        <f t="array" aca="1" ref="X3:X202" ca="1">IF(LENB(_xlfn.ANCHORARRAY(J3)),IF(ROW($F$3)&lt;ROW($F3:$F202),CHAR(10),"")&amp;IF(1=F3:F202,IF(ROW($F$3)&lt;ROW($F3:$F202),CHAR(10),"")&amp;$B$7&amp;IF(LEN(E3:E202)=0,"名称未設定",E3:E202),""),"")</f>
        <v>//axis</v>
      </c>
      <c r="Y3" t="str" cm="1">
        <f t="array" aca="1" ref="Y3:Y202" ca="1">IF(LEN(_xlfn.ANCHORARRAY(X3)),_xlfn.ANCHORARRAY(X3),"")&amp;IF(LEN(J3:J202),IF(F3:F202=1,CHAR(10)&amp;IF(ROW($F$3)&lt;ROW(F3:F202),"ELSIF ","IF ")&amp;$B$25&amp;" = '"&amp;E3:E202&amp;"' THEN",""),"")</f>
        <v>//axis
IF strInfoType = 'axis' THEN</v>
      </c>
      <c r="Z3" t="str" cm="1">
        <f t="array" aca="1" ref="Z3:Z202" ca="1">IF(LEN(_xlfn.ANCHORARRAY(Y3)),_xlfn.ANCHORARRAY(Y3),"")&amp;IF(LEN(J3:J202),CHAR(10)&amp;CHAR(9)&amp;$B$7&amp;_xlfn.ANCHORARRAY(J3)&amp;CHAR(10)&amp;CHAR(9)&amp;IF(F3:F202=1,"IF ","ELSIF ")&amp;$B$26&amp;" = "&amp;F3:F202&amp;" THEN","")</f>
        <v>//axis
IF strInfoType = 'axis' THEN
	//Foil wax reel shaft
	IF uiInfoIdx = 1 THEN</v>
      </c>
      <c r="AA3" t="str" cm="1">
        <f t="array" aca="1" ref="AA3:AA202" ca="1">IF(LEN(Z3:Z202),Z3:Z202,"")&amp;IF(LEN(J3:J202),CHAR(10)&amp;CHAR(9)&amp;CHAR(9)&amp;"IF "&amp;$B$27&amp;" = '"&amp;$J$2&amp;"' THEN","")</f>
        <v>//axis
IF strInfoType = 'axis' THEN
	//Foil wax reel shaft
	IF uiInfoIdx = 1 THEN
		IF strInfoKey = 'name' THEN</v>
      </c>
      <c r="AB3" t="str" cm="1">
        <f t="array" aca="1" ref="AB3:AB202" ca="1">IF(LEN(AA3:AA202),AA3:AA202,"")&amp;IF(LEN(J3:J202),CHAR(10)&amp;CHAR(9)&amp;CHAR(9)&amp;CHAR(9)&amp;$B$28&amp;CHAR(9)&amp;$B$8&amp;" '"&amp;_xlfn.ANCHORARRAY(J3)&amp;"'"&amp;$B$9,"")</f>
        <v>//axis
IF strInfoType = 'axis' THEN
	//Foil wax reel shaft
	IF uiInfoIdx = 1 THEN
		IF strInfoKey = 'name' THEN
			strRt	:= 'Foil wax reel shaft';</v>
      </c>
      <c r="AC3" t="str" cm="1">
        <f t="array" aca="1" ref="AC3:AC202" ca="1">IF(LEN(AB3:AB202),AB3:AB202,"")&amp;IF(LEN(L3:L202),CHAR(10)&amp;CHAR(9)&amp;CHAR(9)&amp;"ELSIF "&amp;$B$27&amp;" = '"&amp;L$2&amp;"' THEN","")</f>
        <v>//axis
IF strInfoType = 'axis' THEN
	//Foil wax reel shaft
	IF uiInfoIdx = 1 THEN
		IF strInfoKey = 'name' THEN
			strRt	:= 'Foil wax reel shaft';
		ELSIF strInfoKey = 'index_name'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//axis
IF strInfoType = 'axis' THEN
	//Foil wax reel shaft
	IF uiInfoIdx = 1 THEN
		IF strInfoKey = 'name' THEN
			strRt	:= 'Foil wax reel shaft';
		ELSIF strInfoKey = 'index_name' THEN
			strRt	:= '【axis1】 Foil wax reel shaft';</v>
      </c>
      <c r="AE3" t="str" cm="1">
        <f t="array" aca="1" ref="AE3:AE202" ca="1">IF(LEN(AD3:AD202),AD3:AD202,"")&amp;IF(LEN(N3:N202),CHAR(10)&amp;CHAR(9)&amp;CHAR(9)&amp;"ELSIF "&amp;$B$27&amp;" = '"&amp;N$2&amp;"' THEN","")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</v>
      </c>
      <c r="AG3" t="str" cm="1">
        <f t="array" aca="1" ref="AG3:AG202" ca="1">IF(LEN(AF3:AF202),AF3:AF202,"")&amp;IF(LEN(P3:P202),CHAR(10)&amp;CHAR(9)&amp;CHAR(9)&amp;"ELSIF "&amp;$B$27&amp;" = '"&amp;P$2&amp;"' THEN","")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</v>
      </c>
      <c r="AI3" t="str" cm="1">
        <f t="array" aca="1" ref="AI3:AI202" ca="1">IF(LEN(AH3:AH202),AH3:AH202,"")&amp;IF(LEN(J3:J202),CHAR(10)&amp;CHAR(9)&amp;CHAR(9)&amp;"ELSE"&amp;CHAR(10)&amp;CHAR(9)&amp;CHAR(9)&amp;CHAR(9)&amp;$B$29&amp;CHAR(9)&amp;$B$8&amp;" 3"&amp;$B$9&amp;CHAR(10)&amp;CHAR(9)&amp;CHAR(9)&amp;"END_IF"&amp;$B$9,"")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</v>
      </c>
      <c r="AJ3" t="str" cm="1">
        <f t="array" aca="1" ref="AJ3:AJ202" ca="1">IF(LEN(_xlfn.ANCHORARRAY(AI3)),_xlfn.ANCHORARRAY(AI3),"")&amp;IF(G3:G202="●",CHAR(10)&amp;CHAR(9)&amp;"ELSE"&amp;CHAR(10)&amp;CHAR(9)&amp;CHAR(9)&amp;$B$29&amp;CHAR(9)&amp;$B$8&amp;" 2"&amp;$B$9&amp;CHAR(10)&amp;CHAR(9)&amp;"END_IF"&amp;$B$9,"")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</v>
      </c>
      <c r="AK3" t="str" cm="1">
        <f t="array" aca="1" ref="AK3:AK202" ca="1">_xlfn.ANCHORARRAY(AJ3)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</v>
      </c>
    </row>
    <row r="4" spans="1:37" x14ac:dyDescent="0.55000000000000004">
      <c r="E4" t="str">
        <f>E3</f>
        <v>axis</v>
      </c>
      <c r="F4">
        <f>COUNTIF(E$3:E4,E4)</f>
        <v>2</v>
      </c>
      <c r="G4" t="str" cm="1">
        <f t="array" ref="G4:G202">IF($F$5:$F$203&lt;F4:F202,"●","")</f>
        <v/>
      </c>
      <c r="H4">
        <v>2</v>
      </c>
      <c r="I4" t="str">
        <f ca="1"/>
        <v>Flat sheet feed shaft</v>
      </c>
      <c r="J4" t="str">
        <f ca="1"/>
        <v>Flat sheet feed shaft</v>
      </c>
      <c r="L4" t="str">
        <f ca="1"/>
        <v>【axis2】 Flat sheet feed shaft</v>
      </c>
      <c r="M4" t="str">
        <v>AZM46AC-HP9+AZD-CEP+CC070VZR</v>
      </c>
      <c r="N4" t="str">
        <v>AZM46AC-HP9+AZD-CEP+CC070VZR</v>
      </c>
      <c r="O4" t="str">
        <f ca="1"/>
        <v>OrientalMotor</v>
      </c>
      <c r="P4" t="str">
        <f ca="1"/>
        <v>OrientalMotor</v>
      </c>
      <c r="X4" t="str">
        <f ca="1"/>
        <v xml:space="preserve">
</v>
      </c>
      <c r="Y4" t="str">
        <f ca="1"/>
        <v xml:space="preserve">
</v>
      </c>
      <c r="Z4" t="str">
        <f ca="1"/>
        <v xml:space="preserve">
	//Flat sheet feed shaft
	ELSIF uiInfoIdx = 2 THEN</v>
      </c>
      <c r="AA4" t="str">
        <f ca="1"/>
        <v xml:space="preserve">
	//Flat sheet feed shaft
	ELSIF uiInfoIdx = 2 THEN
		IF strInfoKey = 'name' THEN</v>
      </c>
      <c r="AB4" t="str">
        <f ca="1"/>
        <v xml:space="preserve">
	//Flat sheet feed shaft
	ELSIF uiInfoIdx = 2 THEN
		IF strInfoKey = 'name' THEN
			strRt	:= 'Flat sheet feed shaft';</v>
      </c>
      <c r="AC4" t="str">
        <f ca="1"/>
        <v xml:space="preserve">
	//Flat sheet feed shaft
	ELSIF uiInfoIdx = 2 THEN
		IF strInfoKey = 'name' THEN
			strRt	:= 'Flat sheet feed shaft';
		ELSIF strInfoKey = 'index_name' THEN</v>
      </c>
      <c r="AD4" t="str">
        <f ca="1"/>
        <v xml:space="preserve">
	//Flat sheet feed shaft
	ELSIF uiInfoIdx = 2 THEN
		IF strInfoKey = 'name' THEN
			strRt	:= 'Flat sheet feed shaft';
		ELSIF strInfoKey = 'index_name' THEN
			strRt	:= '【axis2】 Flat sheet feed shaft';</v>
      </c>
      <c r="AE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</v>
      </c>
      <c r="AF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</v>
      </c>
      <c r="AG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</v>
      </c>
      <c r="AH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</v>
      </c>
      <c r="AI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</v>
      </c>
      <c r="AJ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</v>
      </c>
      <c r="AK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</v>
      </c>
    </row>
    <row r="5" spans="1:37" x14ac:dyDescent="0.55000000000000004">
      <c r="A5" t="s">
        <v>190</v>
      </c>
      <c r="B5" t="str">
        <f ca="1">"このスクリプトは "&amp;B3&amp;" によって生成されました。"</f>
        <v>このスクリプトは C:\tk\prj\hg-0025-0016\git\kv-x520\doc\[kv_script_conv_TP1_popup.xlsx]content によって生成されました。</v>
      </c>
      <c r="E5" t="str">
        <f t="shared" ref="E5:E68" si="0">E4</f>
        <v>axis</v>
      </c>
      <c r="F5">
        <f>COUNTIF(E$3:E5,E5)</f>
        <v>3</v>
      </c>
      <c r="G5" t="str">
        <v/>
      </c>
      <c r="H5">
        <v>3</v>
      </c>
      <c r="I5" t="str">
        <f ca="1"/>
        <v>Foil wax feed shaft</v>
      </c>
      <c r="J5" t="str">
        <f ca="1"/>
        <v>Foil wax feed shaft</v>
      </c>
      <c r="L5" t="str">
        <f ca="1"/>
        <v>【axis3】 Foil wax feed shaft</v>
      </c>
      <c r="M5" t="str">
        <v>AZM46AC-HP9+AZD-CEP+CC070VZR</v>
      </c>
      <c r="N5" t="str">
        <v>AZM46AC-HP9+AZD-CEP+CC070VZR</v>
      </c>
      <c r="O5" t="str">
        <f ca="1"/>
        <v>OrientalMotor</v>
      </c>
      <c r="P5" t="str">
        <f ca="1"/>
        <v>OrientalMotor</v>
      </c>
      <c r="X5" t="str">
        <f ca="1"/>
        <v xml:space="preserve">
</v>
      </c>
      <c r="Y5" t="str">
        <f ca="1"/>
        <v xml:space="preserve">
</v>
      </c>
      <c r="Z5" t="str">
        <f ca="1"/>
        <v xml:space="preserve">
	//Foil wax feed shaft
	ELSIF uiInfoIdx = 3 THEN</v>
      </c>
      <c r="AA5" t="str">
        <f ca="1"/>
        <v xml:space="preserve">
	//Foil wax feed shaft
	ELSIF uiInfoIdx = 3 THEN
		IF strInfoKey = 'name' THEN</v>
      </c>
      <c r="AB5" t="str">
        <f ca="1"/>
        <v xml:space="preserve">
	//Foil wax feed shaft
	ELSIF uiInfoIdx = 3 THEN
		IF strInfoKey = 'name' THEN
			strRt	:= 'Foil wax feed shaft';</v>
      </c>
      <c r="AC5" t="str">
        <f ca="1"/>
        <v xml:space="preserve">
	//Foil wax feed shaft
	ELSIF uiInfoIdx = 3 THEN
		IF strInfoKey = 'name' THEN
			strRt	:= 'Foil wax feed shaft';
		ELSIF strInfoKey = 'index_name' THEN</v>
      </c>
      <c r="AD5" t="str">
        <f ca="1"/>
        <v xml:space="preserve">
	//Foil wax feed shaft
	ELSIF uiInfoIdx = 3 THEN
		IF strInfoKey = 'name' THEN
			strRt	:= 'Foil wax feed shaft';
		ELSIF strInfoKey = 'index_name' THEN
			strRt	:= '【axis3】 Foil wax feed shaft';</v>
      </c>
      <c r="AE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</v>
      </c>
      <c r="AF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</v>
      </c>
      <c r="AG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</v>
      </c>
      <c r="AH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</v>
      </c>
      <c r="AI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</v>
      </c>
      <c r="AJ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</v>
      </c>
      <c r="AK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</v>
      </c>
    </row>
    <row r="6" spans="1:37" x14ac:dyDescent="0.55000000000000004">
      <c r="A6" t="s">
        <v>191</v>
      </c>
      <c r="B6" t="s">
        <v>192</v>
      </c>
      <c r="E6" t="str">
        <f t="shared" si="0"/>
        <v>axis</v>
      </c>
      <c r="F6">
        <f>COUNTIF(E$3:E6,E6)</f>
        <v>4</v>
      </c>
      <c r="G6" t="str">
        <v/>
      </c>
      <c r="H6">
        <v>4</v>
      </c>
      <c r="I6" t="str">
        <f ca="1"/>
        <v>Corrugated sheet feed</v>
      </c>
      <c r="J6" t="str">
        <f ca="1"/>
        <v>Corrugated sheet feed</v>
      </c>
      <c r="L6" t="str">
        <f ca="1"/>
        <v>【axis4】 Corrugated sheet feed</v>
      </c>
      <c r="M6" t="str">
        <v>AZM46AC-HP9+AZD-CEP+CC070VZR</v>
      </c>
      <c r="N6" t="str">
        <v>AZM46AC-HP9+AZD-CEP+CC070VZR</v>
      </c>
      <c r="O6" t="str">
        <f ca="1"/>
        <v>OrientalMotor</v>
      </c>
      <c r="P6" t="str">
        <f ca="1"/>
        <v>OrientalMotor</v>
      </c>
      <c r="X6" t="str">
        <f ca="1"/>
        <v xml:space="preserve">
</v>
      </c>
      <c r="Y6" t="str">
        <f ca="1"/>
        <v xml:space="preserve">
</v>
      </c>
      <c r="Z6" t="str">
        <f ca="1"/>
        <v xml:space="preserve">
	//Corrugated sheet feed
	ELSIF uiInfoIdx = 4 THEN</v>
      </c>
      <c r="AA6" t="str">
        <f ca="1"/>
        <v xml:space="preserve">
	//Corrugated sheet feed
	ELSIF uiInfoIdx = 4 THEN
		IF strInfoKey = 'name' THEN</v>
      </c>
      <c r="AB6" t="str">
        <f ca="1"/>
        <v xml:space="preserve">
	//Corrugated sheet feed
	ELSIF uiInfoIdx = 4 THEN
		IF strInfoKey = 'name' THEN
			strRt	:= 'Corrugated sheet feed';</v>
      </c>
      <c r="AC6" t="str">
        <f ca="1"/>
        <v xml:space="preserve">
	//Corrugated sheet feed
	ELSIF uiInfoIdx = 4 THEN
		IF strInfoKey = 'name' THEN
			strRt	:= 'Corrugated sheet feed';
		ELSIF strInfoKey = 'index_name' THEN</v>
      </c>
      <c r="AD6" t="str">
        <f ca="1"/>
        <v xml:space="preserve">
	//Corrugated sheet feed
	ELSIF uiInfoIdx = 4 THEN
		IF strInfoKey = 'name' THEN
			strRt	:= 'Corrugated sheet feed';
		ELSIF strInfoKey = 'index_name' THEN
			strRt	:= '【axis4】 Corrugated sheet feed';</v>
      </c>
      <c r="AE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</v>
      </c>
      <c r="AF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</v>
      </c>
      <c r="AG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</v>
      </c>
      <c r="AH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</v>
      </c>
      <c r="AI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</v>
      </c>
      <c r="AJ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</v>
      </c>
      <c r="AK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</v>
      </c>
    </row>
    <row r="7" spans="1:37" x14ac:dyDescent="0.55000000000000004">
      <c r="A7" t="s">
        <v>184</v>
      </c>
      <c r="B7" t="s">
        <v>185</v>
      </c>
      <c r="E7" t="str">
        <f t="shared" si="0"/>
        <v>axis</v>
      </c>
      <c r="F7">
        <f>COUNTIF(E$3:E7,E7)</f>
        <v>5</v>
      </c>
      <c r="G7" t="str">
        <v/>
      </c>
      <c r="H7">
        <v>5</v>
      </c>
      <c r="I7" t="str">
        <f ca="1"/>
        <v>Workpiece discharge up/down shaft</v>
      </c>
      <c r="J7" t="str">
        <f ca="1"/>
        <v>Workpiece discharge up/down shaft</v>
      </c>
      <c r="L7" t="str">
        <f ca="1"/>
        <v>【axis5】 Workpiece discharge up/down shaft</v>
      </c>
      <c r="M7" t="str">
        <v>RCP6-SA7R-WA-56P-16-400-P5-S-B-MR</v>
      </c>
      <c r="N7" t="str">
        <v>RCP6-SA7R-WA-56P-16-400-P5-S-B-MR</v>
      </c>
      <c r="O7" t="str">
        <f ca="1"/>
        <v>IAI</v>
      </c>
      <c r="P7" t="str">
        <f ca="1"/>
        <v>IAI</v>
      </c>
      <c r="X7" t="str">
        <f ca="1"/>
        <v xml:space="preserve">
</v>
      </c>
      <c r="Y7" t="str">
        <f ca="1"/>
        <v xml:space="preserve">
</v>
      </c>
      <c r="Z7" t="str">
        <f ca="1"/>
        <v xml:space="preserve">
	//Workpiece discharge up/down shaft
	ELSIF uiInfoIdx = 5 THEN</v>
      </c>
      <c r="AA7" t="str">
        <f ca="1"/>
        <v xml:space="preserve">
	//Workpiece discharge up/down shaft
	ELSIF uiInfoIdx = 5 THEN
		IF strInfoKey = 'name' THEN</v>
      </c>
      <c r="AB7" t="str">
        <f ca="1"/>
        <v xml:space="preserve">
	//Workpiece discharge up/down shaft
	ELSIF uiInfoIdx = 5 THEN
		IF strInfoKey = 'name' THEN
			strRt	:= 'Workpiece discharge up/down shaft';</v>
      </c>
      <c r="AC7" t="str">
        <f ca="1"/>
        <v xml:space="preserve">
	//Workpiece discharge up/down shaft
	ELSIF uiInfoIdx = 5 THEN
		IF strInfoKey = 'name' THEN
			strRt	:= 'Workpiece discharge up/down shaft';
		ELSIF strInfoKey = 'index_name' THEN</v>
      </c>
      <c r="AD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</v>
      </c>
      <c r="AE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</v>
      </c>
      <c r="AF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</v>
      </c>
      <c r="AG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</v>
      </c>
      <c r="AH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</v>
      </c>
      <c r="AI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</v>
      </c>
      <c r="AJ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</v>
      </c>
      <c r="AK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</v>
      </c>
    </row>
    <row r="8" spans="1:37" x14ac:dyDescent="0.55000000000000004">
      <c r="A8" t="s">
        <v>186</v>
      </c>
      <c r="B8" t="s">
        <v>187</v>
      </c>
      <c r="E8" t="str">
        <f t="shared" si="0"/>
        <v>axis</v>
      </c>
      <c r="F8">
        <f>COUNTIF(E$3:E8,E8)</f>
        <v>6</v>
      </c>
      <c r="G8" t="str">
        <v/>
      </c>
      <c r="H8">
        <v>6</v>
      </c>
      <c r="I8" t="str">
        <f ca="1"/>
        <v>Circumference measuring probe up/down shaft</v>
      </c>
      <c r="J8" t="str">
        <f ca="1"/>
        <v>Circumference measuring probe up/down shaft</v>
      </c>
      <c r="L8" t="str">
        <f ca="1"/>
        <v>【axis6】 Circumference measuring probe up/down shaft</v>
      </c>
      <c r="M8" t="str">
        <v>RCA2-GS3NA-I-10-2-50-A6-M-K1</v>
      </c>
      <c r="N8" t="str">
        <v>RCA2-GS3NA-I-10-2-50-A6-M-K1</v>
      </c>
      <c r="O8" t="str">
        <f ca="1"/>
        <v>IAI</v>
      </c>
      <c r="P8" t="str">
        <f ca="1"/>
        <v>IAI</v>
      </c>
      <c r="X8" t="str">
        <f ca="1"/>
        <v xml:space="preserve">
</v>
      </c>
      <c r="Y8" t="str">
        <f ca="1"/>
        <v xml:space="preserve">
</v>
      </c>
      <c r="Z8" t="str">
        <f ca="1"/>
        <v xml:space="preserve">
	//Circumference measuring probe up/down shaft
	ELSIF uiInfoIdx = 6 THEN</v>
      </c>
      <c r="AA8" t="str">
        <f ca="1"/>
        <v xml:space="preserve">
	//Circumference measuring probe up/down shaft
	ELSIF uiInfoIdx = 6 THEN
		IF strInfoKey = 'name' THEN</v>
      </c>
      <c r="AB8" t="str">
        <f ca="1"/>
        <v xml:space="preserve">
	//Circumference measuring probe up/down shaft
	ELSIF uiInfoIdx = 6 THEN
		IF strInfoKey = 'name' THEN
			strRt	:= 'Circumference measuring probe up/down shaft';</v>
      </c>
      <c r="AC8" t="str">
        <f ca="1"/>
        <v xml:space="preserve">
	//Circumference measuring probe up/down shaft
	ELSIF uiInfoIdx = 6 THEN
		IF strInfoKey = 'name' THEN
			strRt	:= 'Circumference measuring probe up/down shaft';
		ELSIF strInfoKey = 'index_name' THEN</v>
      </c>
      <c r="AD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</v>
      </c>
      <c r="AE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</v>
      </c>
      <c r="AF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</v>
      </c>
      <c r="AG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</v>
      </c>
      <c r="AH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</v>
      </c>
      <c r="AI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</v>
      </c>
      <c r="AJ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</v>
      </c>
      <c r="AK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</v>
      </c>
    </row>
    <row r="9" spans="1:37" x14ac:dyDescent="0.55000000000000004">
      <c r="A9" t="s">
        <v>188</v>
      </c>
      <c r="B9" t="s">
        <v>189</v>
      </c>
      <c r="E9" t="str">
        <f t="shared" si="0"/>
        <v>axis</v>
      </c>
      <c r="F9">
        <f>COUNTIF(E$3:E9,E9)</f>
        <v>7</v>
      </c>
      <c r="G9" t="str">
        <v/>
      </c>
      <c r="H9">
        <v>7</v>
      </c>
      <c r="I9" t="str">
        <f ca="1"/>
        <v>Workpiece (discharge) chuck shaft</v>
      </c>
      <c r="J9" t="str">
        <f ca="1"/>
        <v>Workpiece (discharge) chuck shaft</v>
      </c>
      <c r="L9" t="str">
        <f ca="1"/>
        <v>【axis7】 Workpiece (discharge) chuck shaft</v>
      </c>
      <c r="M9" t="str">
        <v>RCP6-SA4R-WA-35P-16-150-P5-X07-MR-NM</v>
      </c>
      <c r="N9" t="str">
        <v>RCP6-SA4R-WA-35P-16-150-P5-X07-MR-NM</v>
      </c>
      <c r="O9" t="str">
        <f ca="1"/>
        <v>IAI</v>
      </c>
      <c r="P9" t="str">
        <f ca="1"/>
        <v>IAI</v>
      </c>
      <c r="X9" t="str">
        <f ca="1"/>
        <v xml:space="preserve">
</v>
      </c>
      <c r="Y9" t="str">
        <f ca="1"/>
        <v xml:space="preserve">
</v>
      </c>
      <c r="Z9" t="str">
        <f ca="1"/>
        <v xml:space="preserve">
	//Workpiece (discharge) chuck shaft
	ELSIF uiInfoIdx = 7 THEN</v>
      </c>
      <c r="AA9" t="str">
        <f ca="1"/>
        <v xml:space="preserve">
	//Workpiece (discharge) chuck shaft
	ELSIF uiInfoIdx = 7 THEN
		IF strInfoKey = 'name' THEN</v>
      </c>
      <c r="AB9" t="str">
        <f ca="1"/>
        <v xml:space="preserve">
	//Workpiece (discharge) chuck shaft
	ELSIF uiInfoIdx = 7 THEN
		IF strInfoKey = 'name' THEN
			strRt	:= 'Workpiece (discharge) chuck shaft';</v>
      </c>
      <c r="AC9" t="str">
        <f ca="1"/>
        <v xml:space="preserve">
	//Workpiece (discharge) chuck shaft
	ELSIF uiInfoIdx = 7 THEN
		IF strInfoKey = 'name' THEN
			strRt	:= 'Workpiece (discharge) chuck shaft';
		ELSIF strInfoKey = 'index_name' THEN</v>
      </c>
      <c r="AD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</v>
      </c>
      <c r="AE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</v>
      </c>
      <c r="AF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</v>
      </c>
      <c r="AG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</v>
      </c>
      <c r="AH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</v>
      </c>
      <c r="AI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</v>
      </c>
      <c r="AJ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</v>
      </c>
      <c r="AK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</v>
      </c>
    </row>
    <row r="10" spans="1:37" x14ac:dyDescent="0.55000000000000004">
      <c r="E10" t="str">
        <f t="shared" si="0"/>
        <v>axis</v>
      </c>
      <c r="F10">
        <f>COUNTIF(E$3:E10,E10)</f>
        <v>8</v>
      </c>
      <c r="G10" t="str">
        <v/>
      </c>
      <c r="H10">
        <v>8</v>
      </c>
      <c r="I10" t="str">
        <f ca="1"/>
        <v>Y-axis: Welding torch forward/backward</v>
      </c>
      <c r="J10" t="str">
        <f ca="1"/>
        <v>Y-axis: Welding torch forward/backward</v>
      </c>
      <c r="L10" t="str">
        <f ca="1"/>
        <v>【axis8】 Y-axis: Welding torch forward/backward</v>
      </c>
      <c r="M10" t="str">
        <v>ICSB2-YSA2M-WA-20AQ-20AQBNM-T4-5L-SC/ISB【ISPB】-SXM-WA-60-8-②-T4-⑧-③</v>
      </c>
      <c r="N10" t="str">
        <v>ICSB2-YSA2M-WA-20AQ-20AQBNM-T4-5L-SC/ISB【ISPB】-SXM-WA-60-8-②-T4-⑧-③</v>
      </c>
      <c r="O10" t="str">
        <f ca="1"/>
        <v>IAI</v>
      </c>
      <c r="P10" t="str">
        <f ca="1"/>
        <v>IAI</v>
      </c>
      <c r="X10" t="str">
        <f ca="1"/>
        <v xml:space="preserve">
</v>
      </c>
      <c r="Y10" t="str">
        <f ca="1"/>
        <v xml:space="preserve">
</v>
      </c>
      <c r="Z10" t="str">
        <f ca="1"/>
        <v xml:space="preserve">
	//Y-axis: Welding torch forward/backward
	ELSIF uiInfoIdx = 8 THEN</v>
      </c>
      <c r="AA10" t="str">
        <f ca="1"/>
        <v xml:space="preserve">
	//Y-axis: Welding torch forward/backward
	ELSIF uiInfoIdx = 8 THEN
		IF strInfoKey = 'name' THEN</v>
      </c>
      <c r="AB10" t="str">
        <f ca="1"/>
        <v xml:space="preserve">
	//Y-axis: Welding torch forward/backward
	ELSIF uiInfoIdx = 8 THEN
		IF strInfoKey = 'name' THEN
			strRt	:= 'Y-axis: Welding torch forward/backward';</v>
      </c>
      <c r="AC10" t="str">
        <f ca="1"/>
        <v xml:space="preserve">
	//Y-axis: Welding torch forward/backward
	ELSIF uiInfoIdx = 8 THEN
		IF strInfoKey = 'name' THEN
			strRt	:= 'Y-axis: Welding torch forward/backward';
		ELSIF strInfoKey = 'index_name' THEN</v>
      </c>
      <c r="AD10" t="str">
        <f ca="1"/>
        <v xml:space="preserve">
	//Y-axis: Welding torch forward/backward
	ELSIF uiInfoIdx = 8 THEN
		IF strInfoKey = 'name' THEN
			strRt	:= 'Y-axis: Welding torch forward/backward';
		ELSIF strInfoKey = 'index_name' THEN
			strRt	:= '【axis8】 Y-axis: Welding torch forward/backward';</v>
      </c>
      <c r="AE10" t="str">
        <f ca="1"/>
        <v xml:space="preserve">
	//Y-axis: Welding torch forward/backward
	ELSIF uiInfoIdx = 8 THEN
		IF strInfoKey = 'name' THEN
			strRt	:= 'Y-axis: Welding torch forward/backward';
		ELSIF strInfoKey = 'index_name' THEN
			strRt	:= '【axis8】 Y-axis: Welding torch forward/backward';
		ELSIF strInfoKey = 'model' THEN</v>
      </c>
      <c r="AF10" t="str">
        <f ca="1"/>
        <v xml:space="preserve">
	//Y-axis: Welding torch forward/backward
	ELSIF uiInfoIdx = 8 THEN
		IF strInfoKey = 'name' THEN
			strRt	:= 'Y-axis: Welding torch forward/backward';
		ELSIF strInfoKey = 'index_name' THEN
			strRt	:= '【axis8】 Y-axis: Welding torch forward/backward';
		ELSIF strInfoKey = 'model' THEN
			strRt	:= 'ICSB2-YSA2M-WA-20AQ-20AQBNM-T4-5L-SC/ISB【ISPB】-SXM-WA-60-8-②-T4-⑧-③';</v>
      </c>
      <c r="AG10" t="str">
        <f ca="1"/>
        <v xml:space="preserve">
	//Y-axis: Welding torch forward/backward
	ELSIF uiInfoIdx = 8 THEN
		IF strInfoKey = 'name' THEN
			strRt	:= 'Y-axis: Welding torch forward/backward';
		ELSIF strInfoKey = 'index_name' THEN
			strRt	:= '【axis8】 Y-axis: Welding torch forward/backward';
		ELSIF strInfoKey = 'model' THEN
			strRt	:= 'ICSB2-YSA2M-WA-20AQ-20AQBNM-T4-5L-SC/ISB【ISPB】-SXM-WA-60-8-②-T4-⑧-③';
		ELSIF strInfoKey = 'mf' THEN</v>
      </c>
      <c r="AH10" t="str">
        <f ca="1"/>
        <v xml:space="preserve">
	//Y-axis: Welding torch forward/backward
	ELSIF uiInfoIdx = 8 THEN
		IF strInfoKey = 'name' THEN
			strRt	:= 'Y-axis: Welding torch forward/backward';
		ELSIF strInfoKey = 'index_name' THEN
			strRt	:= '【axis8】 Y-axis: Welding torch forward/backward';
		ELSIF strInfoKey = 'model' THEN
			strRt	:= 'ICSB2-YSA2M-WA-20AQ-20AQBNM-T4-5L-SC/ISB【ISPB】-SXM-WA-60-8-②-T4-⑧-③';
		ELSIF strInfoKey = 'mf' THEN
			strRt	:= 'IAI';</v>
      </c>
      <c r="AI10" t="str">
        <f ca="1"/>
        <v xml:space="preserve">
	//Y-axis: Welding torch forward/backward
	ELSIF uiInfoIdx = 8 THEN
		IF strInfoKey = 'name' THEN
			strRt	:= 'Y-axis: Welding torch forward/backward';
		ELSIF strInfoKey = 'index_name' THEN
			strRt	:= '【axis8】 Y-axis: Welding torch forward/backward';
		ELSIF strInfoKey = 'model' THEN
			strRt	:= 'ICSB2-YSA2M-WA-20AQ-20AQBNM-T4-5L-SC/ISB【ISPB】-SXM-WA-60-8-②-T4-⑧-③';
		ELSIF strInfoKey = 'mf' THEN
			strRt	:= 'IAI';
		ELSE
			uiErrCode	:= 3;
		END_IF;</v>
      </c>
      <c r="AJ10" t="str">
        <f ca="1"/>
        <v xml:space="preserve">
	//Y-axis: Welding torch forward/backward
	ELSIF uiInfoIdx = 8 THEN
		IF strInfoKey = 'name' THEN
			strRt	:= 'Y-axis: Welding torch forward/backward';
		ELSIF strInfoKey = 'index_name' THEN
			strRt	:= '【axis8】 Y-axis: Welding torch forward/backward';
		ELSIF strInfoKey = 'model' THEN
			strRt	:= 'ICSB2-YSA2M-WA-20AQ-20AQBNM-T4-5L-SC/ISB【ISPB】-SXM-WA-60-8-②-T4-⑧-③';
		ELSIF strInfoKey = 'mf' THEN
			strRt	:= 'IAI';
		ELSE
			uiErrCode	:= 3;
		END_IF;</v>
      </c>
      <c r="AK10" t="str">
        <f ca="1"/>
        <v xml:space="preserve">
	//Y-axis: Welding torch forward/backward
	ELSIF uiInfoIdx = 8 THEN
		IF strInfoKey = 'name' THEN
			strRt	:= 'Y-axis: Welding torch forward/backward';
		ELSIF strInfoKey = 'index_name' THEN
			strRt	:= '【axis8】 Y-axis: Welding torch forward/backward';
		ELSIF strInfoKey = 'model' THEN
			strRt	:= 'ICSB2-YSA2M-WA-20AQ-20AQBNM-T4-5L-SC/ISB【ISPB】-SXM-WA-60-8-②-T4-⑧-③';
		ELSIF strInfoKey = 'mf' THEN
			strRt	:= 'IAI';
		ELSE
			uiErrCode	:= 3;
		END_IF;</v>
      </c>
    </row>
    <row r="11" spans="1:37" x14ac:dyDescent="0.55000000000000004">
      <c r="E11" t="str">
        <f t="shared" si="0"/>
        <v>axis</v>
      </c>
      <c r="F11">
        <f>COUNTIF(E$3:E11,E11)</f>
        <v>9</v>
      </c>
      <c r="G11" t="str">
        <v/>
      </c>
      <c r="H11">
        <v>9</v>
      </c>
      <c r="I11" t="str">
        <f ca="1"/>
        <v>Z-axis: Welding torch up/down</v>
      </c>
      <c r="J11" t="str">
        <f ca="1"/>
        <v>Z-axis: Welding torch up/down</v>
      </c>
      <c r="L11" t="str">
        <f ca="1"/>
        <v>【axis9】 Z-axis: Welding torch up/down</v>
      </c>
      <c r="M11" t="str">
        <v>ICSB2-YSA2M-WA-20AQ-20AQBNM-T4-5L-SC/ISB【ISPB】-SXM-WA-60-4-④-T4-⑧-⑤</v>
      </c>
      <c r="N11" t="str">
        <v>ICSB2-YSA2M-WA-20AQ-20AQBNM-T4-5L-SC/ISB【ISPB】-SXM-WA-60-4-④-T4-⑧-⑤</v>
      </c>
      <c r="O11" t="str">
        <f ca="1"/>
        <v>IAI</v>
      </c>
      <c r="P11" t="str">
        <f ca="1"/>
        <v>IAI</v>
      </c>
      <c r="X11" t="str">
        <f ca="1"/>
        <v xml:space="preserve">
</v>
      </c>
      <c r="Y11" t="str">
        <f ca="1"/>
        <v xml:space="preserve">
</v>
      </c>
      <c r="Z11" t="str">
        <f ca="1"/>
        <v xml:space="preserve">
	//Z-axis: Welding torch up/down
	ELSIF uiInfoIdx = 9 THEN</v>
      </c>
      <c r="AA11" t="str">
        <f ca="1"/>
        <v xml:space="preserve">
	//Z-axis: Welding torch up/down
	ELSIF uiInfoIdx = 9 THEN
		IF strInfoKey = 'name' THEN</v>
      </c>
      <c r="AB11" t="str">
        <f ca="1"/>
        <v xml:space="preserve">
	//Z-axis: Welding torch up/down
	ELSIF uiInfoIdx = 9 THEN
		IF strInfoKey = 'name' THEN
			strRt	:= 'Z-axis: Welding torch up/down';</v>
      </c>
      <c r="AC11" t="str">
        <f ca="1"/>
        <v xml:space="preserve">
	//Z-axis: Welding torch up/down
	ELSIF uiInfoIdx = 9 THEN
		IF strInfoKey = 'name' THEN
			strRt	:= 'Z-axis: Welding torch up/down';
		ELSIF strInfoKey = 'index_name' THEN</v>
      </c>
      <c r="AD11" t="str">
        <f ca="1"/>
        <v xml:space="preserve">
	//Z-axis: Welding torch up/down
	ELSIF uiInfoIdx = 9 THEN
		IF strInfoKey = 'name' THEN
			strRt	:= 'Z-axis: Welding torch up/down';
		ELSIF strInfoKey = 'index_name' THEN
			strRt	:= '【axis9】 Z-axis: Welding torch up/down';</v>
      </c>
      <c r="AE11" t="str">
        <f ca="1"/>
        <v xml:space="preserve">
	//Z-axis: Welding torch up/down
	ELSIF uiInfoIdx = 9 THEN
		IF strInfoKey = 'name' THEN
			strRt	:= 'Z-axis: Welding torch up/down';
		ELSIF strInfoKey = 'index_name' THEN
			strRt	:= '【axis9】 Z-axis: Welding torch up/down';
		ELSIF strInfoKey = 'model' THEN</v>
      </c>
      <c r="AF11" t="str">
        <f ca="1"/>
        <v xml:space="preserve">
	//Z-axis: Welding torch up/down
	ELSIF uiInfoIdx = 9 THEN
		IF strInfoKey = 'name' THEN
			strRt	:= 'Z-axis: Welding torch up/down';
		ELSIF strInfoKey = 'index_name' THEN
			strRt	:= '【axis9】 Z-axis: Welding torch up/down';
		ELSIF strInfoKey = 'model' THEN
			strRt	:= 'ICSB2-YSA2M-WA-20AQ-20AQBNM-T4-5L-SC/ISB【ISPB】-SXM-WA-60-4-④-T4-⑧-⑤';</v>
      </c>
      <c r="AG11" t="str">
        <f ca="1"/>
        <v xml:space="preserve">
	//Z-axis: Welding torch up/down
	ELSIF uiInfoIdx = 9 THEN
		IF strInfoKey = 'name' THEN
			strRt	:= 'Z-axis: Welding torch up/down';
		ELSIF strInfoKey = 'index_name' THEN
			strRt	:= '【axis9】 Z-axis: Welding torch up/down';
		ELSIF strInfoKey = 'model' THEN
			strRt	:= 'ICSB2-YSA2M-WA-20AQ-20AQBNM-T4-5L-SC/ISB【ISPB】-SXM-WA-60-4-④-T4-⑧-⑤';
		ELSIF strInfoKey = 'mf' THEN</v>
      </c>
      <c r="AH11" t="str">
        <f ca="1"/>
        <v xml:space="preserve">
	//Z-axis: Welding torch up/down
	ELSIF uiInfoIdx = 9 THEN
		IF strInfoKey = 'name' THEN
			strRt	:= 'Z-axis: Welding torch up/down';
		ELSIF strInfoKey = 'index_name' THEN
			strRt	:= '【axis9】 Z-axis: Welding torch up/down';
		ELSIF strInfoKey = 'model' THEN
			strRt	:= 'ICSB2-YSA2M-WA-20AQ-20AQBNM-T4-5L-SC/ISB【ISPB】-SXM-WA-60-4-④-T4-⑧-⑤';
		ELSIF strInfoKey = 'mf' THEN
			strRt	:= 'IAI';</v>
      </c>
      <c r="AI11" t="str">
        <f ca="1"/>
        <v xml:space="preserve">
	//Z-axis: Welding torch up/down
	ELSIF uiInfoIdx = 9 THEN
		IF strInfoKey = 'name' THEN
			strRt	:= 'Z-axis: Welding torch up/down';
		ELSIF strInfoKey = 'index_name' THEN
			strRt	:= '【axis9】 Z-axis: Welding torch up/down';
		ELSIF strInfoKey = 'model' THEN
			strRt	:= 'ICSB2-YSA2M-WA-20AQ-20AQBNM-T4-5L-SC/ISB【ISPB】-SXM-WA-60-4-④-T4-⑧-⑤';
		ELSIF strInfoKey = 'mf' THEN
			strRt	:= 'IAI';
		ELSE
			uiErrCode	:= 3;
		END_IF;</v>
      </c>
      <c r="AJ11" t="str">
        <f ca="1"/>
        <v xml:space="preserve">
	//Z-axis: Welding torch up/down
	ELSIF uiInfoIdx = 9 THEN
		IF strInfoKey = 'name' THEN
			strRt	:= 'Z-axis: Welding torch up/down';
		ELSIF strInfoKey = 'index_name' THEN
			strRt	:= '【axis9】 Z-axis: Welding torch up/down';
		ELSIF strInfoKey = 'model' THEN
			strRt	:= 'ICSB2-YSA2M-WA-20AQ-20AQBNM-T4-5L-SC/ISB【ISPB】-SXM-WA-60-4-④-T4-⑧-⑤';
		ELSIF strInfoKey = 'mf' THEN
			strRt	:= 'IAI';
		ELSE
			uiErrCode	:= 3;
		END_IF;</v>
      </c>
      <c r="AK11" t="str">
        <f ca="1"/>
        <v xml:space="preserve">
	//Z-axis: Welding torch up/down
	ELSIF uiInfoIdx = 9 THEN
		IF strInfoKey = 'name' THEN
			strRt	:= 'Z-axis: Welding torch up/down';
		ELSIF strInfoKey = 'index_name' THEN
			strRt	:= '【axis9】 Z-axis: Welding torch up/down';
		ELSIF strInfoKey = 'model' THEN
			strRt	:= 'ICSB2-YSA2M-WA-20AQ-20AQBNM-T4-5L-SC/ISB【ISPB】-SXM-WA-60-4-④-T4-⑧-⑤';
		ELSIF strInfoKey = 'mf' THEN
			strRt	:= 'IAI';
		ELSE
			uiErrCode	:= 3;
		END_IF;</v>
      </c>
    </row>
    <row r="12" spans="1:37" x14ac:dyDescent="0.55000000000000004">
      <c r="E12" t="str">
        <f t="shared" si="0"/>
        <v>axis</v>
      </c>
      <c r="F12">
        <f>COUNTIF(E$3:E12,E12)</f>
        <v>10</v>
      </c>
      <c r="G12" t="str">
        <v/>
      </c>
      <c r="H12">
        <v>10</v>
      </c>
      <c r="I12" t="str">
        <f ca="1"/>
        <v>Binder supply pump motor</v>
      </c>
      <c r="J12" t="str">
        <f ca="1"/>
        <v>Binder supply pump motor</v>
      </c>
      <c r="L12" t="str">
        <f ca="1"/>
        <v>【axis10】 Binder supply pump motor</v>
      </c>
      <c r="M12" t="str">
        <v/>
      </c>
      <c r="N12" t="str">
        <v>unknown</v>
      </c>
      <c r="O12" t="str">
        <f ca="1"/>
        <v/>
      </c>
      <c r="P12" t="str">
        <f ca="1"/>
        <v>unknown</v>
      </c>
      <c r="X12" t="str">
        <f ca="1"/>
        <v xml:space="preserve">
</v>
      </c>
      <c r="Y12" t="str">
        <f ca="1"/>
        <v xml:space="preserve">
</v>
      </c>
      <c r="Z12" t="str">
        <f ca="1"/>
        <v xml:space="preserve">
	//Binder supply pump motor
	ELSIF uiInfoIdx = 10 THEN</v>
      </c>
      <c r="AA12" t="str">
        <f ca="1"/>
        <v xml:space="preserve">
	//Binder supply pump motor
	ELSIF uiInfoIdx = 10 THEN
		IF strInfoKey = 'name' THEN</v>
      </c>
      <c r="AB12" t="str">
        <f ca="1"/>
        <v xml:space="preserve">
	//Binder supply pump motor
	ELSIF uiInfoIdx = 10 THEN
		IF strInfoKey = 'name' THEN
			strRt	:= 'Binder supply pump motor';</v>
      </c>
      <c r="AC12" t="str">
        <f ca="1"/>
        <v xml:space="preserve">
	//Binder supply pump motor
	ELSIF uiInfoIdx = 10 THEN
		IF strInfoKey = 'name' THEN
			strRt	:= 'Binder supply pump motor';
		ELSIF strInfoKey = 'index_name' THEN</v>
      </c>
      <c r="AD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</v>
      </c>
      <c r="AE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</v>
      </c>
      <c r="AF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</v>
      </c>
      <c r="AG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</v>
      </c>
      <c r="AH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</v>
      </c>
      <c r="AI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</v>
      </c>
      <c r="AJ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</v>
      </c>
      <c r="AK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</v>
      </c>
    </row>
    <row r="13" spans="1:37" x14ac:dyDescent="0.55000000000000004">
      <c r="A13" t="s">
        <v>194</v>
      </c>
      <c r="B13" t="str">
        <f ca="1">$AK$205</f>
        <v>//このスクリプトは C:\tk\prj\hg-0025-0016\git\kv-x520\doc\[kv_script_conv_TP1_popup.xlsx]content によって生成されました。
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
	//Y-axis: Welding torch forward/backward
	ELSIF uiInfoIdx = 8 THEN
		IF strInfoKey = 'name' THEN
			strRt	:= 'Y-axis: Welding torch forward/backward';
		ELSIF strInfoKey = 'index_name' THEN
			strRt	:= '【axis8】 Y-axis: Welding torch forward/backward';
		ELSIF strInfoKey = 'model' THEN
			strRt	:= 'ICSB2-YSA2M-WA-20AQ-20AQBNM-T4-5L-SC/ISB【ISPB】-SXM-WA-60-8-②-T4-⑧-③';
		ELSIF strInfoKey = 'mf' THEN
			strRt	:= 'IAI';
		ELSE
			uiErrCode	:= 3;
		END_IF;
	//Z-axis: Welding torch up/down
	ELSIF uiInfoIdx = 9 THEN
		IF strInfoKey = 'name' THEN
			strRt	:= 'Z-axis: Welding torch up/down';
		ELSIF strInfoKey = 'index_name' THEN
			strRt	:= '【axis9】 Z-axis: Welding torch up/down';
		ELSIF strInfoKey = 'model' THEN
			strRt	:= 'ICSB2-YSA2M-WA-20AQ-20AQBNM-T4-5L-SC/ISB【ISPB】-SXM-WA-60-4-④-T4-⑧-⑤';
		ELSIF strInfoKey = 'mf' THEN
			strRt	:= 'IAI';
		ELSE
			uiErrCode	:= 3;
		END_IF;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
		ELSE
			uiErrCode	:= 3;
		END_IF;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
		ELSE
			uiErrCode	:= 3;
		END_IF;
	ELSE
		uiErrCode	:= 2;
	END_IF;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
	ELSE
		uiErrCode	:= 2;
	END_IF;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
	//T-roll gluing ①
	ELSIF uiInfoIdx = 2 THEN
		IF strInfoKey = 'name' THEN
			strRt	:= 'T-roll gluing ①';
		ELSIF strInfoKey = 'index_name' THEN
			strRt	:= '【cylinder2】 T-roll gluing ①';
		ELSIF strInfoKey = 'model' THEN
			strRt	:= 'CDAS16×10-B-R';
		ELSIF strInfoKey = 'mf' THEN
			strRt	:= 'unknown';
		ELSE
			uiErrCode	:= 3;
		END_IF;
	//T-roll gluing ②
	ELSIF uiInfoIdx = 3 THEN
		IF strInfoKey = 'name' THEN
			strRt	:= 'T-roll gluing ②';
		ELSIF strInfoKey = 'index_name' THEN
			strRt	:= '【cylinder3】 T-roll gluing ②';
		ELSIF strInfoKey = 'model' THEN
			strRt	:= 'CDAS16×10-B-R';
		ELSIF strInfoKey = 'mf' THEN
			strRt	:= 'unknown';
		ELSE
			uiErrCode	:= 3;
		END_IF;
	//Flat sheet lower auxiliary plate release
	ELSIF uiInfoIdx = 4 THEN
		IF strInfoKey = 'name' THEN
			strRt	:= 'Flat sheet lower auxiliary plate release';
		ELSIF strInfoKey = 'index_name' THEN
			strRt	:= '【cylinder4】 Flat sheet lower auxiliary plate release';
		ELSIF strInfoKey = 'model' THEN
			strRt	:= 'CDJ2D16-45Z-W-M9BWZ-B';
		ELSIF strInfoKey = 'mf' THEN
			strRt	:= 'SMC';
		ELSE
			uiErrCode	:= 3;
		END_IF;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
	ELSE
		uiErrCode	:= 2;
	END_IF;
ELSE
	uiErrCode	:= 1;
END_IF;
//-----ここまで生成script-----</v>
      </c>
      <c r="E13" t="str">
        <f t="shared" si="0"/>
        <v>axis</v>
      </c>
      <c r="F13">
        <f>COUNTIF(E$3:E13,E13)</f>
        <v>11</v>
      </c>
      <c r="G13" t="str">
        <v/>
      </c>
      <c r="H13">
        <v>11</v>
      </c>
      <c r="I13" t="str">
        <f ca="1"/>
        <v>Corrugated sheet reel motor</v>
      </c>
      <c r="J13" t="str">
        <f ca="1"/>
        <v>Corrugated sheet reel motor</v>
      </c>
      <c r="L13" t="str">
        <f ca="1"/>
        <v>【axis11】 Corrugated sheet reel motor</v>
      </c>
      <c r="M13" t="str">
        <v/>
      </c>
      <c r="N13" t="str">
        <v>unknown</v>
      </c>
      <c r="O13" t="str">
        <f ca="1"/>
        <v/>
      </c>
      <c r="P13" t="str">
        <f ca="1"/>
        <v>unknown</v>
      </c>
      <c r="X13" t="str">
        <f ca="1"/>
        <v xml:space="preserve">
</v>
      </c>
      <c r="Y13" t="str">
        <f ca="1"/>
        <v xml:space="preserve">
</v>
      </c>
      <c r="Z13" t="str">
        <f ca="1"/>
        <v xml:space="preserve">
	//Corrugated sheet reel motor
	ELSIF uiInfoIdx = 11 THEN</v>
      </c>
      <c r="AA13" t="str">
        <f ca="1"/>
        <v xml:space="preserve">
	//Corrugated sheet reel motor
	ELSIF uiInfoIdx = 11 THEN
		IF strInfoKey = 'name' THEN</v>
      </c>
      <c r="AB13" t="str">
        <f ca="1"/>
        <v xml:space="preserve">
	//Corrugated sheet reel motor
	ELSIF uiInfoIdx = 11 THEN
		IF strInfoKey = 'name' THEN
			strRt	:= 'Corrugated sheet reel motor';</v>
      </c>
      <c r="AC13" t="str">
        <f ca="1"/>
        <v xml:space="preserve">
	//Corrugated sheet reel motor
	ELSIF uiInfoIdx = 11 THEN
		IF strInfoKey = 'name' THEN
			strRt	:= 'Corrugated sheet reel motor';
		ELSIF strInfoKey = 'index_name' THEN</v>
      </c>
      <c r="AD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</v>
      </c>
      <c r="AE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</v>
      </c>
      <c r="AF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</v>
      </c>
      <c r="AG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</v>
      </c>
      <c r="AH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</v>
      </c>
      <c r="AI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</v>
      </c>
      <c r="AJ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</v>
      </c>
      <c r="AK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</v>
      </c>
    </row>
    <row r="14" spans="1:37" x14ac:dyDescent="0.55000000000000004">
      <c r="A14" t="s">
        <v>242</v>
      </c>
      <c r="B14" t="str">
        <f>IF(LEN(AI1),"●"&amp;B27&amp;CHAR(10)&amp;AI1,"")</f>
        <v>●strInfoKey
name	:装置内で使用される名称
index_name	:装置内の連番＋名称
model	:使用される機器の型番
mf	:使用される機器のメーカー</v>
      </c>
      <c r="E14" t="str">
        <f t="shared" si="0"/>
        <v>axis</v>
      </c>
      <c r="F14">
        <f>COUNTIF(E$3:E14,E14)</f>
        <v>12</v>
      </c>
      <c r="G14" t="str">
        <v/>
      </c>
      <c r="H14">
        <v>12</v>
      </c>
      <c r="I14" t="str">
        <f ca="1"/>
        <v>Flat sheet reel motor</v>
      </c>
      <c r="J14" t="str">
        <f ca="1"/>
        <v>Flat sheet reel motor</v>
      </c>
      <c r="L14" t="str">
        <f ca="1"/>
        <v>【axis12】 Flat sheet reel motor</v>
      </c>
      <c r="M14" t="str">
        <v/>
      </c>
      <c r="N14" t="str">
        <v>unknown</v>
      </c>
      <c r="O14" t="str">
        <f ca="1"/>
        <v/>
      </c>
      <c r="P14" t="str">
        <f ca="1"/>
        <v>unknown</v>
      </c>
      <c r="X14" t="str">
        <f ca="1"/>
        <v xml:space="preserve">
</v>
      </c>
      <c r="Y14" t="str">
        <f ca="1"/>
        <v xml:space="preserve">
</v>
      </c>
      <c r="Z14" t="str">
        <f ca="1"/>
        <v xml:space="preserve">
	//Flat sheet reel motor
	ELSIF uiInfoIdx = 12 THEN</v>
      </c>
      <c r="AA14" t="str">
        <f ca="1"/>
        <v xml:space="preserve">
	//Flat sheet reel motor
	ELSIF uiInfoIdx = 12 THEN
		IF strInfoKey = 'name' THEN</v>
      </c>
      <c r="AB14" t="str">
        <f ca="1"/>
        <v xml:space="preserve">
	//Flat sheet reel motor
	ELSIF uiInfoIdx = 12 THEN
		IF strInfoKey = 'name' THEN
			strRt	:= 'Flat sheet reel motor';</v>
      </c>
      <c r="AC14" t="str">
        <f ca="1"/>
        <v xml:space="preserve">
	//Flat sheet reel motor
	ELSIF uiInfoIdx = 12 THEN
		IF strInfoKey = 'name' THEN
			strRt	:= 'Flat sheet reel motor';
		ELSIF strInfoKey = 'index_name' THEN</v>
      </c>
      <c r="AD14" t="str">
        <f ca="1"/>
        <v xml:space="preserve">
	//Flat sheet reel motor
	ELSIF uiInfoIdx = 12 THEN
		IF strInfoKey = 'name' THEN
			strRt	:= 'Flat sheet reel motor';
		ELSIF strInfoKey = 'index_name' THEN
			strRt	:= '【axis12】 Flat sheet reel motor';</v>
      </c>
      <c r="AE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</v>
      </c>
      <c r="AF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</v>
      </c>
      <c r="AG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</v>
      </c>
      <c r="AH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</v>
      </c>
      <c r="AI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</v>
      </c>
      <c r="AJ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</v>
      </c>
      <c r="AK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</v>
      </c>
    </row>
    <row r="15" spans="1:37" x14ac:dyDescent="0.55000000000000004">
      <c r="E15" t="str">
        <f t="shared" si="0"/>
        <v>axis</v>
      </c>
      <c r="F15">
        <f>COUNTIF(E$3:E15,E15)</f>
        <v>13</v>
      </c>
      <c r="G15" t="str">
        <v/>
      </c>
      <c r="H15">
        <v>13</v>
      </c>
      <c r="I15" t="str">
        <f ca="1"/>
        <v>Winding main shaft</v>
      </c>
      <c r="J15" t="str">
        <f ca="1"/>
        <v>Winding main shaft</v>
      </c>
      <c r="L15" t="str">
        <f ca="1"/>
        <v>【axis13】 Winding main shaft</v>
      </c>
      <c r="M15" t="str">
        <v>SV3-B075AK</v>
      </c>
      <c r="N15" t="str">
        <v>SV3-B075AK</v>
      </c>
      <c r="O15" t="str">
        <f ca="1"/>
        <v>KEYENCE</v>
      </c>
      <c r="P15" t="str">
        <f ca="1"/>
        <v>KEYENCE</v>
      </c>
      <c r="X15" t="str">
        <f ca="1"/>
        <v xml:space="preserve">
</v>
      </c>
      <c r="Y15" t="str">
        <f ca="1"/>
        <v xml:space="preserve">
</v>
      </c>
      <c r="Z15" t="str">
        <f ca="1"/>
        <v xml:space="preserve">
	//Winding main shaft
	ELSIF uiInfoIdx = 13 THEN</v>
      </c>
      <c r="AA15" t="str">
        <f ca="1"/>
        <v xml:space="preserve">
	//Winding main shaft
	ELSIF uiInfoIdx = 13 THEN
		IF strInfoKey = 'name' THEN</v>
      </c>
      <c r="AB15" t="str">
        <f ca="1"/>
        <v xml:space="preserve">
	//Winding main shaft
	ELSIF uiInfoIdx = 13 THEN
		IF strInfoKey = 'name' THEN
			strRt	:= 'Winding main shaft';</v>
      </c>
      <c r="AC15" t="str">
        <f ca="1"/>
        <v xml:space="preserve">
	//Winding main shaft
	ELSIF uiInfoIdx = 13 THEN
		IF strInfoKey = 'name' THEN
			strRt	:= 'Winding main shaft';
		ELSIF strInfoKey = 'index_name' THEN</v>
      </c>
      <c r="AD15" t="str">
        <f ca="1"/>
        <v xml:space="preserve">
	//Winding main shaft
	ELSIF uiInfoIdx = 13 THEN
		IF strInfoKey = 'name' THEN
			strRt	:= 'Winding main shaft';
		ELSIF strInfoKey = 'index_name' THEN
			strRt	:= '【axis13】 Winding main shaft';</v>
      </c>
      <c r="AE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</v>
      </c>
      <c r="AF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</v>
      </c>
      <c r="AG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</v>
      </c>
      <c r="AH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</v>
      </c>
      <c r="AI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</v>
      </c>
      <c r="AJ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</v>
      </c>
      <c r="AK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</v>
      </c>
    </row>
    <row r="16" spans="1:37" x14ac:dyDescent="0.55000000000000004">
      <c r="E16" t="str">
        <f t="shared" si="0"/>
        <v>axis</v>
      </c>
      <c r="F16">
        <f>COUNTIF(E$3:E16,E16)</f>
        <v>14</v>
      </c>
      <c r="G16" t="str">
        <v/>
      </c>
      <c r="H16">
        <v>14</v>
      </c>
      <c r="I16" t="str">
        <f ca="1"/>
        <v>Workpiece width adjustment shaft</v>
      </c>
      <c r="J16" t="str">
        <f ca="1"/>
        <v>Workpiece width adjustment shaft</v>
      </c>
      <c r="L16" t="str">
        <f ca="1"/>
        <v>【axis14】 Workpiece width adjustment shaft</v>
      </c>
      <c r="M16" t="str">
        <v>SV3-M040AK</v>
      </c>
      <c r="N16" t="str">
        <v>SV3-M040AK</v>
      </c>
      <c r="O16" t="str">
        <f ca="1"/>
        <v>KEYENCE</v>
      </c>
      <c r="P16" t="str">
        <f ca="1"/>
        <v>KEYENCE</v>
      </c>
      <c r="X16" t="str">
        <f ca="1"/>
        <v xml:space="preserve">
</v>
      </c>
      <c r="Y16" t="str">
        <f ca="1"/>
        <v xml:space="preserve">
</v>
      </c>
      <c r="Z16" t="str">
        <f ca="1"/>
        <v xml:space="preserve">
	//Workpiece width adjustment shaft
	ELSIF uiInfoIdx = 14 THEN</v>
      </c>
      <c r="AA16" t="str">
        <f ca="1"/>
        <v xml:space="preserve">
	//Workpiece width adjustment shaft
	ELSIF uiInfoIdx = 14 THEN
		IF strInfoKey = 'name' THEN</v>
      </c>
      <c r="AB16" t="str">
        <f ca="1"/>
        <v xml:space="preserve">
	//Workpiece width adjustment shaft
	ELSIF uiInfoIdx = 14 THEN
		IF strInfoKey = 'name' THEN
			strRt	:= 'Workpiece width adjustment shaft';</v>
      </c>
      <c r="AC16" t="str">
        <f ca="1"/>
        <v xml:space="preserve">
	//Workpiece width adjustment shaft
	ELSIF uiInfoIdx = 14 THEN
		IF strInfoKey = 'name' THEN
			strRt	:= 'Workpiece width adjustment shaft';
		ELSIF strInfoKey = 'index_name' THEN</v>
      </c>
      <c r="AD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</v>
      </c>
      <c r="AE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</v>
      </c>
      <c r="AF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</v>
      </c>
      <c r="AG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</v>
      </c>
      <c r="AH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</v>
      </c>
      <c r="AI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</v>
      </c>
      <c r="AJ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</v>
      </c>
      <c r="AK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</v>
      </c>
    </row>
    <row r="17" spans="1:37" x14ac:dyDescent="0.55000000000000004">
      <c r="E17" t="str">
        <f t="shared" si="0"/>
        <v>axis</v>
      </c>
      <c r="F17">
        <f>COUNTIF(E$3:E17,E17)</f>
        <v>15</v>
      </c>
      <c r="G17" t="str">
        <v/>
      </c>
      <c r="H17">
        <v>15</v>
      </c>
      <c r="I17" t="str">
        <f ca="1"/>
        <v>T-roll rotation shaft</v>
      </c>
      <c r="J17" t="str">
        <f ca="1"/>
        <v>T-roll rotation shaft</v>
      </c>
      <c r="L17" t="str">
        <f ca="1"/>
        <v>【axis15】 T-roll rotation shaft</v>
      </c>
      <c r="M17" t="str">
        <v>M540-402</v>
      </c>
      <c r="N17" t="str">
        <v>M540-402</v>
      </c>
      <c r="O17" t="str">
        <f ca="1"/>
        <v/>
      </c>
      <c r="P17" t="str">
        <f ca="1"/>
        <v>unknown</v>
      </c>
      <c r="X17" t="str">
        <f ca="1"/>
        <v xml:space="preserve">
</v>
      </c>
      <c r="Y17" t="str">
        <f ca="1"/>
        <v xml:space="preserve">
</v>
      </c>
      <c r="Z17" t="str">
        <f ca="1"/>
        <v xml:space="preserve">
	//T-roll rotation shaft
	ELSIF uiInfoIdx = 15 THEN</v>
      </c>
      <c r="AA17" t="str">
        <f ca="1"/>
        <v xml:space="preserve">
	//T-roll rotation shaft
	ELSIF uiInfoIdx = 15 THEN
		IF strInfoKey = 'name' THEN</v>
      </c>
      <c r="AB17" t="str">
        <f ca="1"/>
        <v xml:space="preserve">
	//T-roll rotation shaft
	ELSIF uiInfoIdx = 15 THEN
		IF strInfoKey = 'name' THEN
			strRt	:= 'T-roll rotation shaft';</v>
      </c>
      <c r="AC17" t="str">
        <f ca="1"/>
        <v xml:space="preserve">
	//T-roll rotation shaft
	ELSIF uiInfoIdx = 15 THEN
		IF strInfoKey = 'name' THEN
			strRt	:= 'T-roll rotation shaft';
		ELSIF strInfoKey = 'index_name' THEN</v>
      </c>
      <c r="AD17" t="str">
        <f ca="1"/>
        <v xml:space="preserve">
	//T-roll rotation shaft
	ELSIF uiInfoIdx = 15 THEN
		IF strInfoKey = 'name' THEN
			strRt	:= 'T-roll rotation shaft';
		ELSIF strInfoKey = 'index_name' THEN
			strRt	:= '【axis15】 T-roll rotation shaft';</v>
      </c>
      <c r="AE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</v>
      </c>
      <c r="AF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</v>
      </c>
      <c r="AG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</v>
      </c>
      <c r="AH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</v>
      </c>
      <c r="AI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
		ELSE
			uiErrCode	:= 3;
		END_IF;</v>
      </c>
      <c r="AJ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
		ELSE
			uiErrCode	:= 3;
		END_IF;</v>
      </c>
      <c r="AK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
		ELSE
			uiErrCode	:= 3;
		END_IF;</v>
      </c>
    </row>
    <row r="18" spans="1:37" x14ac:dyDescent="0.55000000000000004">
      <c r="E18" t="str">
        <f t="shared" si="0"/>
        <v>axis</v>
      </c>
      <c r="F18">
        <f>COUNTIF(E$3:E18,E18)</f>
        <v>16</v>
      </c>
      <c r="G18" t="str">
        <v/>
      </c>
      <c r="H18">
        <v>16</v>
      </c>
      <c r="I18" t="str">
        <f ca="1"/>
        <v>Rotor unit X-roll rotation shaft</v>
      </c>
      <c r="J18" t="str">
        <f ca="1"/>
        <v>Rotor unit X-roll rotation shaft</v>
      </c>
      <c r="L18" t="str">
        <f ca="1"/>
        <v>【axis16】 Rotor unit X-roll rotation shaft</v>
      </c>
      <c r="M18" t="str">
        <v>M540-402</v>
      </c>
      <c r="N18" t="str">
        <v>M540-402</v>
      </c>
      <c r="O18" t="str">
        <f ca="1"/>
        <v/>
      </c>
      <c r="P18" t="str">
        <f ca="1"/>
        <v>unknown</v>
      </c>
      <c r="X18" t="str">
        <f ca="1"/>
        <v xml:space="preserve">
</v>
      </c>
      <c r="Y18" t="str">
        <f ca="1"/>
        <v xml:space="preserve">
</v>
      </c>
      <c r="Z18" t="str">
        <f ca="1"/>
        <v xml:space="preserve">
	//Rotor unit X-roll rotation shaft
	ELSIF uiInfoIdx = 16 THEN</v>
      </c>
      <c r="AA18" t="str">
        <f ca="1"/>
        <v xml:space="preserve">
	//Rotor unit X-roll rotation shaft
	ELSIF uiInfoIdx = 16 THEN
		IF strInfoKey = 'name' THEN</v>
      </c>
      <c r="AB18" t="str">
        <f ca="1"/>
        <v xml:space="preserve">
	//Rotor unit X-roll rotation shaft
	ELSIF uiInfoIdx = 16 THEN
		IF strInfoKey = 'name' THEN
			strRt	:= 'Rotor unit X-roll rotation shaft';</v>
      </c>
      <c r="AC18" t="str">
        <f ca="1"/>
        <v xml:space="preserve">
	//Rotor unit X-roll rotation shaft
	ELSIF uiInfoIdx = 16 THEN
		IF strInfoKey = 'name' THEN
			strRt	:= 'Rotor unit X-roll rotation shaft';
		ELSIF strInfoKey = 'index_name' THEN</v>
      </c>
      <c r="AD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</v>
      </c>
      <c r="AE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</v>
      </c>
      <c r="AF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</v>
      </c>
      <c r="AG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</v>
      </c>
      <c r="AH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</v>
      </c>
      <c r="AI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
		ELSE
			uiErrCode	:= 3;
		END_IF;</v>
      </c>
      <c r="AJ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
		ELSE
			uiErrCode	:= 3;
		END_IF;</v>
      </c>
      <c r="AK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
		ELSE
			uiErrCode	:= 3;
		END_IF;</v>
      </c>
    </row>
    <row r="19" spans="1:37" x14ac:dyDescent="0.55000000000000004">
      <c r="E19" t="str">
        <f t="shared" si="0"/>
        <v>axis</v>
      </c>
      <c r="F19">
        <f>COUNTIF(E$3:E19,E19)</f>
        <v>17</v>
      </c>
      <c r="G19" t="str">
        <v/>
      </c>
      <c r="H19" t="str">
        <v/>
      </c>
      <c r="I19" t="str">
        <f ca="1"/>
        <v/>
      </c>
      <c r="J19" t="str">
        <f ca="1"/>
        <v/>
      </c>
      <c r="L19" t="str">
        <f ca="1"/>
        <v/>
      </c>
      <c r="M19" t="str">
        <v/>
      </c>
      <c r="N19" t="str">
        <v/>
      </c>
      <c r="O19" t="str">
        <f ca="1"/>
        <v/>
      </c>
      <c r="P19" t="str">
        <f ca="1"/>
        <v/>
      </c>
      <c r="X19" t="str">
        <f ca="1"/>
        <v/>
      </c>
      <c r="Y19" t="str">
        <f ca="1"/>
        <v/>
      </c>
      <c r="Z19" t="str">
        <f ca="1"/>
        <v/>
      </c>
      <c r="AA19" t="str">
        <f ca="1"/>
        <v/>
      </c>
      <c r="AB19" t="str">
        <f ca="1"/>
        <v/>
      </c>
      <c r="AC19" t="str">
        <f ca="1"/>
        <v/>
      </c>
      <c r="AD19" t="str">
        <f ca="1"/>
        <v/>
      </c>
      <c r="AE19" t="str">
        <f ca="1"/>
        <v/>
      </c>
      <c r="AF19" t="str">
        <f ca="1"/>
        <v/>
      </c>
      <c r="AG19" t="str">
        <f ca="1"/>
        <v/>
      </c>
      <c r="AH19" t="str">
        <f ca="1"/>
        <v/>
      </c>
      <c r="AI19" t="str">
        <f ca="1"/>
        <v/>
      </c>
      <c r="AJ19" t="str">
        <f ca="1"/>
        <v/>
      </c>
      <c r="AK19" t="str">
        <f ca="1"/>
        <v/>
      </c>
    </row>
    <row r="20" spans="1:37" x14ac:dyDescent="0.55000000000000004">
      <c r="E20" t="str">
        <f t="shared" si="0"/>
        <v>axis</v>
      </c>
      <c r="F20">
        <f>COUNTIF(E$3:E20,E20)</f>
        <v>18</v>
      </c>
      <c r="G20" t="str">
        <v/>
      </c>
      <c r="H20" t="str">
        <v/>
      </c>
      <c r="I20" t="str">
        <f ca="1"/>
        <v/>
      </c>
      <c r="J20" t="str">
        <f ca="1"/>
        <v/>
      </c>
      <c r="L20" t="str">
        <f ca="1"/>
        <v/>
      </c>
      <c r="M20" t="str">
        <v/>
      </c>
      <c r="N20" t="str">
        <v/>
      </c>
      <c r="O20" t="str">
        <f ca="1"/>
        <v/>
      </c>
      <c r="P20" t="str">
        <f ca="1"/>
        <v/>
      </c>
      <c r="X20" t="str">
        <f ca="1"/>
        <v/>
      </c>
      <c r="Y20" t="str">
        <f ca="1"/>
        <v/>
      </c>
      <c r="Z20" t="str">
        <f ca="1"/>
        <v/>
      </c>
      <c r="AA20" t="str">
        <f ca="1"/>
        <v/>
      </c>
      <c r="AB20" t="str">
        <f ca="1"/>
        <v/>
      </c>
      <c r="AC20" t="str">
        <f ca="1"/>
        <v/>
      </c>
      <c r="AD20" t="str">
        <f ca="1"/>
        <v/>
      </c>
      <c r="AE20" t="str">
        <f ca="1"/>
        <v/>
      </c>
      <c r="AF20" t="str">
        <f ca="1"/>
        <v/>
      </c>
      <c r="AG20" t="str">
        <f ca="1"/>
        <v/>
      </c>
      <c r="AH20" t="str">
        <f ca="1"/>
        <v/>
      </c>
      <c r="AI20" t="str">
        <f ca="1"/>
        <v/>
      </c>
      <c r="AJ20" t="str">
        <f ca="1"/>
        <v/>
      </c>
      <c r="AK20" t="str">
        <f ca="1"/>
        <v/>
      </c>
    </row>
    <row r="21" spans="1:37" x14ac:dyDescent="0.55000000000000004">
      <c r="E21" t="str">
        <f t="shared" si="0"/>
        <v>axis</v>
      </c>
      <c r="F21">
        <f>COUNTIF(E$3:E21,E21)</f>
        <v>19</v>
      </c>
      <c r="G21" t="str">
        <v/>
      </c>
      <c r="H21" t="str">
        <v/>
      </c>
      <c r="I21" t="str">
        <f ca="1"/>
        <v/>
      </c>
      <c r="J21" t="str">
        <f ca="1"/>
        <v/>
      </c>
      <c r="L21" t="str">
        <f ca="1"/>
        <v/>
      </c>
      <c r="M21" t="str">
        <v/>
      </c>
      <c r="N21" t="str">
        <v/>
      </c>
      <c r="O21" t="str">
        <f ca="1"/>
        <v/>
      </c>
      <c r="P21" t="str">
        <f ca="1"/>
        <v/>
      </c>
      <c r="X21" t="str">
        <f ca="1"/>
        <v/>
      </c>
      <c r="Y21" t="str">
        <f ca="1"/>
        <v/>
      </c>
      <c r="Z21" t="str">
        <f ca="1"/>
        <v/>
      </c>
      <c r="AA21" t="str">
        <f ca="1"/>
        <v/>
      </c>
      <c r="AB21" t="str">
        <f ca="1"/>
        <v/>
      </c>
      <c r="AC21" t="str">
        <f ca="1"/>
        <v/>
      </c>
      <c r="AD21" t="str">
        <f ca="1"/>
        <v/>
      </c>
      <c r="AE21" t="str">
        <f ca="1"/>
        <v/>
      </c>
      <c r="AF21" t="str">
        <f ca="1"/>
        <v/>
      </c>
      <c r="AG21" t="str">
        <f ca="1"/>
        <v/>
      </c>
      <c r="AH21" t="str">
        <f ca="1"/>
        <v/>
      </c>
      <c r="AI21" t="str">
        <f ca="1"/>
        <v/>
      </c>
      <c r="AJ21" t="str">
        <f ca="1"/>
        <v/>
      </c>
      <c r="AK21" t="str">
        <f ca="1"/>
        <v/>
      </c>
    </row>
    <row r="22" spans="1:37" x14ac:dyDescent="0.55000000000000004">
      <c r="E22" t="str">
        <f t="shared" si="0"/>
        <v>axis</v>
      </c>
      <c r="F22">
        <f>COUNTIF(E$3:E22,E22)</f>
        <v>20</v>
      </c>
      <c r="G22" t="str">
        <v/>
      </c>
      <c r="H22" t="str">
        <v/>
      </c>
      <c r="I22" t="str">
        <f ca="1"/>
        <v/>
      </c>
      <c r="J22" t="str">
        <f ca="1"/>
        <v/>
      </c>
      <c r="L22" t="str">
        <f ca="1"/>
        <v/>
      </c>
      <c r="M22" t="str">
        <v/>
      </c>
      <c r="N22" t="str">
        <v/>
      </c>
      <c r="O22" t="str">
        <f ca="1"/>
        <v/>
      </c>
      <c r="P22" t="str">
        <f ca="1"/>
        <v/>
      </c>
      <c r="X22" t="str">
        <f ca="1"/>
        <v/>
      </c>
      <c r="Y22" t="str">
        <f ca="1"/>
        <v/>
      </c>
      <c r="Z22" t="str">
        <f ca="1"/>
        <v/>
      </c>
      <c r="AA22" t="str">
        <f ca="1"/>
        <v/>
      </c>
      <c r="AB22" t="str">
        <f ca="1"/>
        <v/>
      </c>
      <c r="AC22" t="str">
        <f ca="1"/>
        <v/>
      </c>
      <c r="AD22" t="str">
        <f ca="1"/>
        <v/>
      </c>
      <c r="AE22" t="str">
        <f ca="1"/>
        <v/>
      </c>
      <c r="AF22" t="str">
        <f ca="1"/>
        <v/>
      </c>
      <c r="AG22" t="str">
        <f ca="1"/>
        <v/>
      </c>
      <c r="AH22" t="str">
        <f ca="1"/>
        <v/>
      </c>
      <c r="AI22" t="str">
        <f ca="1"/>
        <v/>
      </c>
      <c r="AJ22" t="str">
        <f ca="1"/>
        <v/>
      </c>
      <c r="AK22" t="str">
        <f ca="1"/>
        <v/>
      </c>
    </row>
    <row r="23" spans="1:37" x14ac:dyDescent="0.55000000000000004">
      <c r="A23" t="s">
        <v>208</v>
      </c>
      <c r="B23">
        <v>1</v>
      </c>
      <c r="E23" t="str">
        <f t="shared" si="0"/>
        <v>axis</v>
      </c>
      <c r="F23">
        <f>COUNTIF(E$3:E23,E23)</f>
        <v>21</v>
      </c>
      <c r="G23" t="str">
        <v/>
      </c>
      <c r="H23" t="str">
        <v/>
      </c>
      <c r="I23" t="str">
        <f ca="1"/>
        <v/>
      </c>
      <c r="J23" t="str">
        <f ca="1"/>
        <v/>
      </c>
      <c r="L23" t="str">
        <f ca="1"/>
        <v/>
      </c>
      <c r="M23" t="str">
        <v/>
      </c>
      <c r="N23" t="str">
        <v/>
      </c>
      <c r="O23" t="str">
        <f ca="1"/>
        <v/>
      </c>
      <c r="P23" t="str">
        <f ca="1"/>
        <v/>
      </c>
      <c r="X23" t="str">
        <f ca="1"/>
        <v/>
      </c>
      <c r="Y23" t="str">
        <f ca="1"/>
        <v/>
      </c>
      <c r="Z23" t="str">
        <f ca="1"/>
        <v/>
      </c>
      <c r="AA23" t="str">
        <f ca="1"/>
        <v/>
      </c>
      <c r="AB23" t="str">
        <f ca="1"/>
        <v/>
      </c>
      <c r="AC23" t="str">
        <f ca="1"/>
        <v/>
      </c>
      <c r="AD23" t="str">
        <f ca="1"/>
        <v/>
      </c>
      <c r="AE23" t="str">
        <f ca="1"/>
        <v/>
      </c>
      <c r="AF23" t="str">
        <f ca="1"/>
        <v/>
      </c>
      <c r="AG23" t="str">
        <f ca="1"/>
        <v/>
      </c>
      <c r="AH23" t="str">
        <f ca="1"/>
        <v/>
      </c>
      <c r="AI23" t="str">
        <f ca="1"/>
        <v/>
      </c>
      <c r="AJ23" t="str">
        <f ca="1"/>
        <v/>
      </c>
      <c r="AK23" t="str">
        <f ca="1"/>
        <v/>
      </c>
    </row>
    <row r="24" spans="1:37" x14ac:dyDescent="0.55000000000000004">
      <c r="E24" t="str">
        <f t="shared" si="0"/>
        <v>axis</v>
      </c>
      <c r="F24">
        <f>COUNTIF(E$3:E24,E24)</f>
        <v>22</v>
      </c>
      <c r="G24" t="str">
        <v/>
      </c>
      <c r="H24" t="str">
        <v/>
      </c>
      <c r="I24" t="str">
        <f ca="1"/>
        <v/>
      </c>
      <c r="J24" t="str">
        <f ca="1"/>
        <v/>
      </c>
      <c r="L24" t="str">
        <f ca="1"/>
        <v/>
      </c>
      <c r="M24" t="str">
        <v/>
      </c>
      <c r="N24" t="str">
        <v/>
      </c>
      <c r="O24" t="str">
        <f ca="1"/>
        <v/>
      </c>
      <c r="P24" t="str">
        <f ca="1"/>
        <v/>
      </c>
      <c r="X24" t="str">
        <f ca="1"/>
        <v/>
      </c>
      <c r="Y24" t="str">
        <f ca="1"/>
        <v/>
      </c>
      <c r="Z24" t="str">
        <f ca="1"/>
        <v/>
      </c>
      <c r="AA24" t="str">
        <f ca="1"/>
        <v/>
      </c>
      <c r="AB24" t="str">
        <f ca="1"/>
        <v/>
      </c>
      <c r="AC24" t="str">
        <f ca="1"/>
        <v/>
      </c>
      <c r="AD24" t="str">
        <f ca="1"/>
        <v/>
      </c>
      <c r="AE24" t="str">
        <f ca="1"/>
        <v/>
      </c>
      <c r="AF24" t="str">
        <f ca="1"/>
        <v/>
      </c>
      <c r="AG24" t="str">
        <f ca="1"/>
        <v/>
      </c>
      <c r="AH24" t="str">
        <f ca="1"/>
        <v/>
      </c>
      <c r="AI24" t="str">
        <f ca="1"/>
        <v/>
      </c>
      <c r="AJ24" t="str">
        <f ca="1"/>
        <v/>
      </c>
      <c r="AK24" t="str">
        <f ca="1"/>
        <v/>
      </c>
    </row>
    <row r="25" spans="1:37" x14ac:dyDescent="0.55000000000000004">
      <c r="A25" t="s">
        <v>200</v>
      </c>
      <c r="B25" t="s">
        <v>243</v>
      </c>
      <c r="E25" t="str">
        <f t="shared" si="0"/>
        <v>axis</v>
      </c>
      <c r="F25">
        <f>COUNTIF(E$3:E25,E25)</f>
        <v>23</v>
      </c>
      <c r="G25" t="str">
        <v/>
      </c>
      <c r="H25" t="str">
        <v/>
      </c>
      <c r="I25" t="str">
        <f ca="1"/>
        <v/>
      </c>
      <c r="J25" t="str">
        <f ca="1"/>
        <v/>
      </c>
      <c r="L25" t="str">
        <f ca="1"/>
        <v/>
      </c>
      <c r="M25" t="str">
        <v/>
      </c>
      <c r="N25" t="str">
        <v/>
      </c>
      <c r="O25" t="str">
        <f ca="1"/>
        <v/>
      </c>
      <c r="P25" t="str">
        <f ca="1"/>
        <v/>
      </c>
      <c r="X25" t="str">
        <f ca="1"/>
        <v/>
      </c>
      <c r="Y25" t="str">
        <f ca="1"/>
        <v/>
      </c>
      <c r="Z25" t="str">
        <f ca="1"/>
        <v/>
      </c>
      <c r="AA25" t="str">
        <f ca="1"/>
        <v/>
      </c>
      <c r="AB25" t="str">
        <f ca="1"/>
        <v/>
      </c>
      <c r="AC25" t="str">
        <f ca="1"/>
        <v/>
      </c>
      <c r="AD25" t="str">
        <f ca="1"/>
        <v/>
      </c>
      <c r="AE25" t="str">
        <f ca="1"/>
        <v/>
      </c>
      <c r="AF25" t="str">
        <f ca="1"/>
        <v/>
      </c>
      <c r="AG25" t="str">
        <f ca="1"/>
        <v/>
      </c>
      <c r="AH25" t="str">
        <f ca="1"/>
        <v/>
      </c>
      <c r="AI25" t="str">
        <f ca="1"/>
        <v/>
      </c>
      <c r="AJ25" t="str">
        <f ca="1"/>
        <v/>
      </c>
      <c r="AK25" t="str">
        <f ca="1"/>
        <v/>
      </c>
    </row>
    <row r="26" spans="1:37" x14ac:dyDescent="0.55000000000000004">
      <c r="A26" t="s">
        <v>196</v>
      </c>
      <c r="B26" t="s">
        <v>244</v>
      </c>
      <c r="E26" t="str">
        <f t="shared" si="0"/>
        <v>axis</v>
      </c>
      <c r="F26">
        <f>COUNTIF(E$3:E26,E26)</f>
        <v>24</v>
      </c>
      <c r="G26" t="str">
        <v/>
      </c>
      <c r="H26" t="str">
        <v/>
      </c>
      <c r="I26" t="str">
        <f ca="1"/>
        <v/>
      </c>
      <c r="J26" t="str">
        <f ca="1"/>
        <v/>
      </c>
      <c r="L26" t="str">
        <f ca="1"/>
        <v/>
      </c>
      <c r="M26" t="str">
        <v/>
      </c>
      <c r="N26" t="str">
        <v/>
      </c>
      <c r="O26" t="str">
        <f ca="1"/>
        <v/>
      </c>
      <c r="P26" t="str">
        <f ca="1"/>
        <v/>
      </c>
      <c r="X26" t="str">
        <f ca="1"/>
        <v/>
      </c>
      <c r="Y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J26" t="str">
        <f ca="1"/>
        <v/>
      </c>
      <c r="AK26" t="str">
        <f ca="1"/>
        <v/>
      </c>
    </row>
    <row r="27" spans="1:37" x14ac:dyDescent="0.55000000000000004">
      <c r="A27" t="s">
        <v>197</v>
      </c>
      <c r="B27" t="s">
        <v>245</v>
      </c>
      <c r="E27" t="str">
        <f t="shared" si="0"/>
        <v>axis</v>
      </c>
      <c r="F27">
        <f>COUNTIF(E$3:E27,E27)</f>
        <v>25</v>
      </c>
      <c r="G27" t="str">
        <v/>
      </c>
      <c r="H27" t="str">
        <v/>
      </c>
      <c r="I27" t="str">
        <f ca="1"/>
        <v/>
      </c>
      <c r="J27" t="str">
        <f ca="1"/>
        <v/>
      </c>
      <c r="L27" t="str">
        <f ca="1"/>
        <v/>
      </c>
      <c r="M27" t="str">
        <v/>
      </c>
      <c r="N27" t="str">
        <v/>
      </c>
      <c r="O27" t="str">
        <f ca="1"/>
        <v/>
      </c>
      <c r="P27" t="str">
        <f ca="1"/>
        <v/>
      </c>
      <c r="X27" t="str">
        <f ca="1"/>
        <v/>
      </c>
      <c r="Y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</row>
    <row r="28" spans="1:37" x14ac:dyDescent="0.55000000000000004">
      <c r="A28" t="s">
        <v>195</v>
      </c>
      <c r="B28" t="s">
        <v>253</v>
      </c>
      <c r="E28" t="str">
        <f t="shared" si="0"/>
        <v>axis</v>
      </c>
      <c r="F28">
        <f>COUNTIF(E$3:E28,E28)</f>
        <v>26</v>
      </c>
      <c r="G28" t="str">
        <v/>
      </c>
      <c r="H28" t="str">
        <v/>
      </c>
      <c r="I28" t="str">
        <f ca="1"/>
        <v/>
      </c>
      <c r="J28" t="str">
        <f ca="1"/>
        <v/>
      </c>
      <c r="L28" t="str">
        <f ca="1"/>
        <v/>
      </c>
      <c r="M28" t="str">
        <v/>
      </c>
      <c r="N28" t="str">
        <v/>
      </c>
      <c r="O28" t="str">
        <f ca="1"/>
        <v/>
      </c>
      <c r="P28" t="str">
        <f ca="1"/>
        <v/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</row>
    <row r="29" spans="1:37" x14ac:dyDescent="0.55000000000000004">
      <c r="A29" t="s">
        <v>223</v>
      </c>
      <c r="B29" t="s">
        <v>254</v>
      </c>
      <c r="E29" t="str">
        <f t="shared" si="0"/>
        <v>axis</v>
      </c>
      <c r="F29">
        <f>COUNTIF(E$3:E29,E29)</f>
        <v>27</v>
      </c>
      <c r="G29" t="str">
        <v/>
      </c>
      <c r="H29" t="str">
        <v/>
      </c>
      <c r="I29" t="str">
        <f ca="1"/>
        <v/>
      </c>
      <c r="J29" t="str">
        <f ca="1"/>
        <v/>
      </c>
      <c r="L29" t="str">
        <f ca="1"/>
        <v/>
      </c>
      <c r="M29" t="str">
        <v/>
      </c>
      <c r="N29" t="str">
        <v/>
      </c>
      <c r="O29" t="str">
        <f ca="1"/>
        <v/>
      </c>
      <c r="P29" t="str">
        <f ca="1"/>
        <v/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</row>
    <row r="30" spans="1:37" x14ac:dyDescent="0.55000000000000004">
      <c r="E30" t="str">
        <f t="shared" si="0"/>
        <v>axis</v>
      </c>
      <c r="F30">
        <f>COUNTIF(E$3:E30,E30)</f>
        <v>28</v>
      </c>
      <c r="G30" t="str">
        <v/>
      </c>
      <c r="H30" t="str">
        <v/>
      </c>
      <c r="I30" t="str">
        <f ca="1"/>
        <v/>
      </c>
      <c r="J30" t="str">
        <f ca="1"/>
        <v/>
      </c>
      <c r="L30" t="str">
        <f ca="1"/>
        <v/>
      </c>
      <c r="M30" t="str">
        <v/>
      </c>
      <c r="N30" t="str">
        <v/>
      </c>
      <c r="O30" t="str">
        <f ca="1"/>
        <v/>
      </c>
      <c r="P30" t="str">
        <f ca="1"/>
        <v/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</row>
    <row r="31" spans="1:37" x14ac:dyDescent="0.55000000000000004">
      <c r="E31" t="str">
        <f t="shared" si="0"/>
        <v>axis</v>
      </c>
      <c r="F31">
        <f>COUNTIF(E$3:E31,E31)</f>
        <v>29</v>
      </c>
      <c r="G31" t="str">
        <v/>
      </c>
      <c r="H31" t="str">
        <v/>
      </c>
      <c r="I31" t="str">
        <f ca="1"/>
        <v/>
      </c>
      <c r="J31" t="str">
        <f ca="1"/>
        <v/>
      </c>
      <c r="L31" t="str">
        <f ca="1"/>
        <v/>
      </c>
      <c r="M31" t="str">
        <v/>
      </c>
      <c r="N31" t="str">
        <v/>
      </c>
      <c r="O31" t="str">
        <f ca="1"/>
        <v/>
      </c>
      <c r="P31" t="str">
        <f ca="1"/>
        <v/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</row>
    <row r="32" spans="1:37" x14ac:dyDescent="0.55000000000000004">
      <c r="E32" t="str">
        <f t="shared" si="0"/>
        <v>axis</v>
      </c>
      <c r="F32">
        <f>COUNTIF(E$3:E32,E32)</f>
        <v>30</v>
      </c>
      <c r="G32" t="str">
        <v/>
      </c>
      <c r="H32" t="str">
        <v/>
      </c>
      <c r="I32" t="str">
        <f ca="1"/>
        <v/>
      </c>
      <c r="J32" t="str">
        <f ca="1"/>
        <v/>
      </c>
      <c r="L32" t="str">
        <f ca="1"/>
        <v/>
      </c>
      <c r="M32" t="str">
        <v/>
      </c>
      <c r="N32" t="str">
        <v/>
      </c>
      <c r="O32" t="str">
        <f ca="1"/>
        <v/>
      </c>
      <c r="P32" t="str">
        <f ca="1"/>
        <v/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</row>
    <row r="33" spans="5:37" x14ac:dyDescent="0.55000000000000004">
      <c r="E33" t="str">
        <f t="shared" si="0"/>
        <v>axis</v>
      </c>
      <c r="F33">
        <f>COUNTIF(E$3:E33,E33)</f>
        <v>31</v>
      </c>
      <c r="G33" t="str">
        <v/>
      </c>
      <c r="H33" t="str">
        <v/>
      </c>
      <c r="I33" t="str">
        <f ca="1"/>
        <v/>
      </c>
      <c r="J33" t="str">
        <f ca="1"/>
        <v/>
      </c>
      <c r="L33" t="str">
        <f ca="1"/>
        <v/>
      </c>
      <c r="M33" t="str">
        <v/>
      </c>
      <c r="N33" t="str">
        <v/>
      </c>
      <c r="O33" t="str">
        <f ca="1"/>
        <v/>
      </c>
      <c r="P33" t="str">
        <f ca="1"/>
        <v/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f ca="1"/>
        <v/>
      </c>
      <c r="AC33" t="str">
        <f ca="1"/>
        <v/>
      </c>
      <c r="AD33" t="str">
        <f ca="1"/>
        <v/>
      </c>
      <c r="AE33" t="str">
        <f ca="1"/>
        <v/>
      </c>
      <c r="AF33" t="str">
        <f ca="1"/>
        <v/>
      </c>
      <c r="AG33" t="str">
        <f ca="1"/>
        <v/>
      </c>
      <c r="AH33" t="str">
        <f ca="1"/>
        <v/>
      </c>
      <c r="AI33" t="str">
        <f ca="1"/>
        <v/>
      </c>
      <c r="AJ33" t="str">
        <f ca="1"/>
        <v/>
      </c>
      <c r="AK33" t="str">
        <f ca="1"/>
        <v/>
      </c>
    </row>
    <row r="34" spans="5:37" x14ac:dyDescent="0.55000000000000004">
      <c r="E34" t="str">
        <f t="shared" si="0"/>
        <v>axis</v>
      </c>
      <c r="F34">
        <f>COUNTIF(E$3:E34,E34)</f>
        <v>32</v>
      </c>
      <c r="G34" t="str">
        <v/>
      </c>
      <c r="H34" t="str">
        <v/>
      </c>
      <c r="I34" t="str">
        <f ca="1"/>
        <v/>
      </c>
      <c r="J34" t="str">
        <f ca="1"/>
        <v/>
      </c>
      <c r="L34" t="str">
        <f ca="1"/>
        <v/>
      </c>
      <c r="M34" t="str">
        <v/>
      </c>
      <c r="N34" t="str">
        <v/>
      </c>
      <c r="O34" t="str">
        <f ca="1"/>
        <v/>
      </c>
      <c r="P34" t="str">
        <f ca="1"/>
        <v/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f ca="1"/>
        <v/>
      </c>
      <c r="AC34" t="str">
        <f ca="1"/>
        <v/>
      </c>
      <c r="AD34" t="str">
        <f ca="1"/>
        <v/>
      </c>
      <c r="AE34" t="str">
        <f ca="1"/>
        <v/>
      </c>
      <c r="AF34" t="str">
        <f ca="1"/>
        <v/>
      </c>
      <c r="AG34" t="str">
        <f ca="1"/>
        <v/>
      </c>
      <c r="AH34" t="str">
        <f ca="1"/>
        <v/>
      </c>
      <c r="AI34" t="str">
        <f ca="1"/>
        <v/>
      </c>
      <c r="AJ34" t="str">
        <f ca="1"/>
        <v/>
      </c>
      <c r="AK34" t="str">
        <f ca="1"/>
        <v/>
      </c>
    </row>
    <row r="35" spans="5:37" x14ac:dyDescent="0.55000000000000004">
      <c r="E35" t="str">
        <f t="shared" si="0"/>
        <v>axis</v>
      </c>
      <c r="F35">
        <f>COUNTIF(E$3:E35,E35)</f>
        <v>33</v>
      </c>
      <c r="G35" t="str">
        <v/>
      </c>
      <c r="H35" t="str">
        <v/>
      </c>
      <c r="I35" t="str">
        <f ca="1"/>
        <v/>
      </c>
      <c r="J35" t="str">
        <f ca="1"/>
        <v/>
      </c>
      <c r="L35" t="str">
        <f ca="1"/>
        <v/>
      </c>
      <c r="M35" t="str">
        <v/>
      </c>
      <c r="N35" t="str">
        <v/>
      </c>
      <c r="O35" t="str">
        <f ca="1"/>
        <v/>
      </c>
      <c r="P35" t="str">
        <f ca="1"/>
        <v/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f ca="1"/>
        <v/>
      </c>
      <c r="AC35" t="str">
        <f ca="1"/>
        <v/>
      </c>
      <c r="AD35" t="str">
        <f ca="1"/>
        <v/>
      </c>
      <c r="AE35" t="str">
        <f ca="1"/>
        <v/>
      </c>
      <c r="AF35" t="str">
        <f ca="1"/>
        <v/>
      </c>
      <c r="AG35" t="str">
        <f ca="1"/>
        <v/>
      </c>
      <c r="AH35" t="str">
        <f ca="1"/>
        <v/>
      </c>
      <c r="AI35" t="str">
        <f ca="1"/>
        <v/>
      </c>
      <c r="AJ35" t="str">
        <f ca="1"/>
        <v/>
      </c>
      <c r="AK35" t="str">
        <f ca="1"/>
        <v/>
      </c>
    </row>
    <row r="36" spans="5:37" x14ac:dyDescent="0.55000000000000004">
      <c r="E36" t="str">
        <f t="shared" si="0"/>
        <v>axis</v>
      </c>
      <c r="F36">
        <f>COUNTIF(E$3:E36,E36)</f>
        <v>34</v>
      </c>
      <c r="G36" t="str">
        <v/>
      </c>
      <c r="H36" t="str">
        <v/>
      </c>
      <c r="I36" t="str">
        <f ca="1"/>
        <v/>
      </c>
      <c r="J36" t="str">
        <f ca="1"/>
        <v/>
      </c>
      <c r="L36" t="str">
        <f ca="1"/>
        <v/>
      </c>
      <c r="M36" t="str">
        <v/>
      </c>
      <c r="N36" t="str">
        <v/>
      </c>
      <c r="O36" t="str">
        <f ca="1"/>
        <v/>
      </c>
      <c r="P36" t="str">
        <f ca="1"/>
        <v/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f ca="1"/>
        <v/>
      </c>
      <c r="AC36" t="str">
        <f ca="1"/>
        <v/>
      </c>
      <c r="AD36" t="str">
        <f ca="1"/>
        <v/>
      </c>
      <c r="AE36" t="str">
        <f ca="1"/>
        <v/>
      </c>
      <c r="AF36" t="str">
        <f ca="1"/>
        <v/>
      </c>
      <c r="AG36" t="str">
        <f ca="1"/>
        <v/>
      </c>
      <c r="AH36" t="str">
        <f ca="1"/>
        <v/>
      </c>
      <c r="AI36" t="str">
        <f ca="1"/>
        <v/>
      </c>
      <c r="AJ36" t="str">
        <f ca="1"/>
        <v/>
      </c>
      <c r="AK36" t="str">
        <f ca="1"/>
        <v/>
      </c>
    </row>
    <row r="37" spans="5:37" x14ac:dyDescent="0.55000000000000004">
      <c r="E37" t="str">
        <f t="shared" si="0"/>
        <v>axis</v>
      </c>
      <c r="F37">
        <f>COUNTIF(E$3:E37,E37)</f>
        <v>35</v>
      </c>
      <c r="G37" t="str">
        <v/>
      </c>
      <c r="H37" t="str">
        <v/>
      </c>
      <c r="I37" t="str">
        <f ca="1"/>
        <v/>
      </c>
      <c r="J37" t="str">
        <f ca="1"/>
        <v/>
      </c>
      <c r="L37" t="str">
        <f ca="1"/>
        <v/>
      </c>
      <c r="M37" t="str">
        <v/>
      </c>
      <c r="N37" t="str">
        <v/>
      </c>
      <c r="O37" t="str">
        <f ca="1"/>
        <v/>
      </c>
      <c r="P37" t="str">
        <f ca="1"/>
        <v/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f ca="1"/>
        <v/>
      </c>
      <c r="AC37" t="str">
        <f ca="1"/>
        <v/>
      </c>
      <c r="AD37" t="str">
        <f ca="1"/>
        <v/>
      </c>
      <c r="AE37" t="str">
        <f ca="1"/>
        <v/>
      </c>
      <c r="AF37" t="str">
        <f ca="1"/>
        <v/>
      </c>
      <c r="AG37" t="str">
        <f ca="1"/>
        <v/>
      </c>
      <c r="AH37" t="str">
        <f ca="1"/>
        <v/>
      </c>
      <c r="AI37" t="str">
        <f ca="1"/>
        <v/>
      </c>
      <c r="AJ37" t="str">
        <f ca="1"/>
        <v/>
      </c>
      <c r="AK37" t="str">
        <f ca="1"/>
        <v/>
      </c>
    </row>
    <row r="38" spans="5:37" x14ac:dyDescent="0.55000000000000004">
      <c r="E38" t="str">
        <f t="shared" si="0"/>
        <v>axis</v>
      </c>
      <c r="F38">
        <f>COUNTIF(E$3:E38,E38)</f>
        <v>36</v>
      </c>
      <c r="G38" t="str">
        <v/>
      </c>
      <c r="H38" t="str">
        <v/>
      </c>
      <c r="I38" t="str">
        <f ca="1"/>
        <v/>
      </c>
      <c r="J38" t="str">
        <f ca="1"/>
        <v/>
      </c>
      <c r="L38" t="str">
        <f ca="1"/>
        <v/>
      </c>
      <c r="M38" t="str">
        <v/>
      </c>
      <c r="N38" t="str">
        <v/>
      </c>
      <c r="O38" t="str">
        <f ca="1"/>
        <v/>
      </c>
      <c r="P38" t="str">
        <f ca="1"/>
        <v/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f ca="1"/>
        <v/>
      </c>
      <c r="AC38" t="str">
        <f ca="1"/>
        <v/>
      </c>
      <c r="AD38" t="str">
        <f ca="1"/>
        <v/>
      </c>
      <c r="AE38" t="str">
        <f ca="1"/>
        <v/>
      </c>
      <c r="AF38" t="str">
        <f ca="1"/>
        <v/>
      </c>
      <c r="AG38" t="str">
        <f ca="1"/>
        <v/>
      </c>
      <c r="AH38" t="str">
        <f ca="1"/>
        <v/>
      </c>
      <c r="AI38" t="str">
        <f ca="1"/>
        <v/>
      </c>
      <c r="AJ38" t="str">
        <f ca="1"/>
        <v/>
      </c>
      <c r="AK38" t="str">
        <f ca="1"/>
        <v/>
      </c>
    </row>
    <row r="39" spans="5:37" x14ac:dyDescent="0.55000000000000004">
      <c r="E39" t="str">
        <f t="shared" si="0"/>
        <v>axis</v>
      </c>
      <c r="F39">
        <f>COUNTIF(E$3:E39,E39)</f>
        <v>37</v>
      </c>
      <c r="G39" t="str">
        <v/>
      </c>
      <c r="H39" t="str">
        <v/>
      </c>
      <c r="I39" t="str">
        <f ca="1"/>
        <v/>
      </c>
      <c r="J39" t="str">
        <f ca="1"/>
        <v/>
      </c>
      <c r="L39" t="str">
        <f ca="1"/>
        <v/>
      </c>
      <c r="M39" t="str">
        <v/>
      </c>
      <c r="N39" t="str">
        <v/>
      </c>
      <c r="O39" t="str">
        <f ca="1"/>
        <v/>
      </c>
      <c r="P39" t="str">
        <f ca="1"/>
        <v/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</row>
    <row r="40" spans="5:37" x14ac:dyDescent="0.55000000000000004">
      <c r="E40" t="str">
        <f t="shared" si="0"/>
        <v>axis</v>
      </c>
      <c r="F40">
        <f>COUNTIF(E$3:E40,E40)</f>
        <v>38</v>
      </c>
      <c r="G40" t="str">
        <v/>
      </c>
      <c r="H40" t="str">
        <v/>
      </c>
      <c r="I40" t="str">
        <f ca="1"/>
        <v/>
      </c>
      <c r="J40" t="str">
        <f ca="1"/>
        <v/>
      </c>
      <c r="L40" t="str">
        <f ca="1"/>
        <v/>
      </c>
      <c r="M40" t="str">
        <v/>
      </c>
      <c r="N40" t="str">
        <v/>
      </c>
      <c r="O40" t="str">
        <f ca="1"/>
        <v/>
      </c>
      <c r="P40" t="str">
        <f ca="1"/>
        <v/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</row>
    <row r="41" spans="5:37" x14ac:dyDescent="0.55000000000000004">
      <c r="E41" t="str">
        <f t="shared" si="0"/>
        <v>axis</v>
      </c>
      <c r="F41">
        <f>COUNTIF(E$3:E41,E41)</f>
        <v>39</v>
      </c>
      <c r="G41" t="str">
        <v/>
      </c>
      <c r="H41" t="str">
        <v/>
      </c>
      <c r="I41" t="str">
        <f ca="1"/>
        <v/>
      </c>
      <c r="J41" t="str">
        <f ca="1"/>
        <v/>
      </c>
      <c r="L41" t="str">
        <f ca="1"/>
        <v/>
      </c>
      <c r="M41" t="str">
        <v/>
      </c>
      <c r="N41" t="str">
        <v/>
      </c>
      <c r="O41" t="str">
        <f ca="1"/>
        <v/>
      </c>
      <c r="P41" t="str">
        <f ca="1"/>
        <v/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</row>
    <row r="42" spans="5:37" x14ac:dyDescent="0.55000000000000004">
      <c r="E42" t="str">
        <f t="shared" si="0"/>
        <v>axis</v>
      </c>
      <c r="F42">
        <f>COUNTIF(E$3:E42,E42)</f>
        <v>40</v>
      </c>
      <c r="G42" t="str">
        <v>●</v>
      </c>
      <c r="H42" t="str">
        <v/>
      </c>
      <c r="I42" t="str">
        <f ca="1"/>
        <v/>
      </c>
      <c r="J42" t="str">
        <f ca="1"/>
        <v/>
      </c>
      <c r="L42" t="str">
        <f ca="1"/>
        <v/>
      </c>
      <c r="M42" t="str">
        <v/>
      </c>
      <c r="N42" t="str">
        <v/>
      </c>
      <c r="O42" t="str">
        <f ca="1"/>
        <v/>
      </c>
      <c r="P42" t="str">
        <f ca="1"/>
        <v/>
      </c>
      <c r="X42" t="str">
        <f ca="1"/>
        <v/>
      </c>
      <c r="Y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 xml:space="preserve">
	ELSE
		uiErrCode	:= 2;
	END_IF;</v>
      </c>
      <c r="AK42" t="str">
        <f ca="1"/>
        <v xml:space="preserve">
	ELSE
		uiErrCode	:= 2;
	END_IF;</v>
      </c>
    </row>
    <row r="43" spans="5:37" x14ac:dyDescent="0.55000000000000004">
      <c r="E43" t="s">
        <v>123</v>
      </c>
      <c r="F43">
        <f>COUNTIF(E$3:E43,E43)</f>
        <v>1</v>
      </c>
      <c r="G43" t="str">
        <v/>
      </c>
      <c r="H43">
        <v>39</v>
      </c>
      <c r="I43" t="str">
        <f ca="1"/>
        <v>Workpiece discharge front and rear axis</v>
      </c>
      <c r="J43" t="str">
        <f ca="1"/>
        <v>Workpiece discharge front and rear axis</v>
      </c>
      <c r="L43" t="str">
        <f ca="1"/>
        <v>【EC1】 Workpiece discharge front and rear axis</v>
      </c>
      <c r="M43" t="str">
        <v>EC-S4HR-200-7-ML-TMD2</v>
      </c>
      <c r="N43" t="str">
        <v>EC-S4HR-200-7-ML-TMD2</v>
      </c>
      <c r="O43" t="str">
        <f ca="1"/>
        <v>IAI</v>
      </c>
      <c r="P43" t="str">
        <f ca="1"/>
        <v>IAI</v>
      </c>
      <c r="X43" t="str">
        <f ca="1"/>
        <v xml:space="preserve">
//EC</v>
      </c>
      <c r="Y43" t="str">
        <f ca="1"/>
        <v xml:space="preserve">
//EC
ELSIF strInfoType = 'EC' THEN</v>
      </c>
      <c r="Z43" t="str">
        <f ca="1"/>
        <v xml:space="preserve">
//EC
ELSIF strInfoType = 'EC' THEN
	//Workpiece discharge front and rear axis
	IF uiInfoIdx = 1 THEN</v>
      </c>
      <c r="AA43" t="str">
        <f ca="1"/>
        <v xml:space="preserve">
//EC
ELSIF strInfoType = 'EC' THEN
	//Workpiece discharge front and rear axis
	IF uiInfoIdx = 1 THEN
		IF strInfoKey = 'name' THEN</v>
      </c>
      <c r="AB43" t="str">
        <f ca="1"/>
        <v xml:space="preserve">
//EC
ELSIF strInfoType = 'EC' THEN
	//Workpiece discharge front and rear axis
	IF uiInfoIdx = 1 THEN
		IF strInfoKey = 'name' THEN
			strRt	:= 'Workpiece discharge front and rear axis';</v>
      </c>
      <c r="AC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</v>
      </c>
      <c r="AD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</v>
      </c>
      <c r="AE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</v>
      </c>
      <c r="AF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</v>
      </c>
      <c r="AG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</v>
      </c>
      <c r="AH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</v>
      </c>
      <c r="AI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</v>
      </c>
      <c r="AJ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</v>
      </c>
      <c r="AK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</v>
      </c>
    </row>
    <row r="44" spans="5:37" x14ac:dyDescent="0.55000000000000004">
      <c r="E44" t="str">
        <f t="shared" si="0"/>
        <v>EC</v>
      </c>
      <c r="F44">
        <f>COUNTIF(E$3:E44,E44)</f>
        <v>2</v>
      </c>
      <c r="G44" t="str">
        <v/>
      </c>
      <c r="H44" t="str">
        <v/>
      </c>
      <c r="I44" t="str">
        <f ca="1"/>
        <v/>
      </c>
      <c r="J44" t="str">
        <f ca="1"/>
        <v/>
      </c>
      <c r="L44" t="str">
        <f ca="1"/>
        <v/>
      </c>
      <c r="M44" t="str">
        <v/>
      </c>
      <c r="N44" t="str">
        <v/>
      </c>
      <c r="O44" t="str">
        <f ca="1"/>
        <v/>
      </c>
      <c r="P44" t="str">
        <f ca="1"/>
        <v/>
      </c>
      <c r="X44" t="str">
        <f ca="1"/>
        <v/>
      </c>
      <c r="Y44" t="str">
        <f ca="1"/>
        <v/>
      </c>
      <c r="Z44" t="str">
        <f ca="1"/>
        <v/>
      </c>
      <c r="AA44" t="str">
        <f ca="1"/>
        <v/>
      </c>
      <c r="AB44" t="str">
        <f ca="1"/>
        <v/>
      </c>
      <c r="AC44" t="str">
        <f ca="1"/>
        <v/>
      </c>
      <c r="AD44" t="str">
        <f ca="1"/>
        <v/>
      </c>
      <c r="AE44" t="str">
        <f ca="1"/>
        <v/>
      </c>
      <c r="AF44" t="str">
        <f ca="1"/>
        <v/>
      </c>
      <c r="AG44" t="str">
        <f ca="1"/>
        <v/>
      </c>
      <c r="AH44" t="str">
        <f ca="1"/>
        <v/>
      </c>
      <c r="AI44" t="str">
        <f ca="1"/>
        <v/>
      </c>
      <c r="AJ44" t="str">
        <f ca="1"/>
        <v/>
      </c>
      <c r="AK44" t="str">
        <f ca="1"/>
        <v/>
      </c>
    </row>
    <row r="45" spans="5:37" x14ac:dyDescent="0.55000000000000004">
      <c r="E45" t="str">
        <f t="shared" si="0"/>
        <v>EC</v>
      </c>
      <c r="F45">
        <f>COUNTIF(E$3:E45,E45)</f>
        <v>3</v>
      </c>
      <c r="G45" t="str">
        <v/>
      </c>
      <c r="H45" t="str">
        <v/>
      </c>
      <c r="I45" t="str">
        <f ca="1"/>
        <v/>
      </c>
      <c r="J45" t="str">
        <f ca="1"/>
        <v/>
      </c>
      <c r="L45" t="str">
        <f ca="1"/>
        <v/>
      </c>
      <c r="M45" t="str">
        <v/>
      </c>
      <c r="N45" t="str">
        <v/>
      </c>
      <c r="O45" t="str">
        <f ca="1"/>
        <v/>
      </c>
      <c r="P45" t="str">
        <f ca="1"/>
        <v/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f ca="1"/>
        <v/>
      </c>
      <c r="AC45" t="str">
        <f ca="1"/>
        <v/>
      </c>
      <c r="AD45" t="str">
        <f ca="1"/>
        <v/>
      </c>
      <c r="AE45" t="str">
        <f ca="1"/>
        <v/>
      </c>
      <c r="AF45" t="str">
        <f ca="1"/>
        <v/>
      </c>
      <c r="AG45" t="str">
        <f ca="1"/>
        <v/>
      </c>
      <c r="AH45" t="str">
        <f ca="1"/>
        <v/>
      </c>
      <c r="AI45" t="str">
        <f ca="1"/>
        <v/>
      </c>
      <c r="AJ45" t="str">
        <f ca="1"/>
        <v/>
      </c>
      <c r="AK45" t="str">
        <f ca="1"/>
        <v/>
      </c>
    </row>
    <row r="46" spans="5:37" x14ac:dyDescent="0.55000000000000004">
      <c r="E46" t="str">
        <f t="shared" si="0"/>
        <v>EC</v>
      </c>
      <c r="F46">
        <f>COUNTIF(E$3:E46,E46)</f>
        <v>4</v>
      </c>
      <c r="G46" t="str">
        <v/>
      </c>
      <c r="H46" t="str">
        <v/>
      </c>
      <c r="I46" t="str">
        <f ca="1"/>
        <v/>
      </c>
      <c r="J46" t="str">
        <f ca="1"/>
        <v/>
      </c>
      <c r="L46" t="str">
        <f ca="1"/>
        <v/>
      </c>
      <c r="M46" t="str">
        <v/>
      </c>
      <c r="N46" t="str">
        <v/>
      </c>
      <c r="O46" t="str">
        <f ca="1"/>
        <v/>
      </c>
      <c r="P46" t="str">
        <f ca="1"/>
        <v/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</row>
    <row r="47" spans="5:37" x14ac:dyDescent="0.55000000000000004">
      <c r="E47" t="str">
        <f t="shared" si="0"/>
        <v>EC</v>
      </c>
      <c r="F47">
        <f>COUNTIF(E$3:E47,E47)</f>
        <v>5</v>
      </c>
      <c r="G47" t="str">
        <v/>
      </c>
      <c r="H47" t="str">
        <v/>
      </c>
      <c r="I47" t="str">
        <f ca="1"/>
        <v/>
      </c>
      <c r="J47" t="str">
        <f ca="1"/>
        <v/>
      </c>
      <c r="L47" t="str">
        <f ca="1"/>
        <v/>
      </c>
      <c r="M47" t="str">
        <v/>
      </c>
      <c r="N47" t="str">
        <v/>
      </c>
      <c r="O47" t="str">
        <f ca="1"/>
        <v/>
      </c>
      <c r="P47" t="str">
        <f ca="1"/>
        <v/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</row>
    <row r="48" spans="5:37" x14ac:dyDescent="0.55000000000000004">
      <c r="E48" t="str">
        <f t="shared" si="0"/>
        <v>EC</v>
      </c>
      <c r="F48">
        <f>COUNTIF(E$3:E48,E48)</f>
        <v>6</v>
      </c>
      <c r="G48" t="str">
        <v/>
      </c>
      <c r="H48" t="str">
        <v/>
      </c>
      <c r="I48" t="str">
        <f ca="1"/>
        <v/>
      </c>
      <c r="J48" t="str">
        <f ca="1"/>
        <v/>
      </c>
      <c r="L48" t="str">
        <f ca="1"/>
        <v/>
      </c>
      <c r="M48" t="str">
        <v/>
      </c>
      <c r="N48" t="str">
        <v/>
      </c>
      <c r="O48" t="str">
        <f ca="1"/>
        <v/>
      </c>
      <c r="P48" t="str">
        <f ca="1"/>
        <v/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</row>
    <row r="49" spans="5:37" x14ac:dyDescent="0.55000000000000004">
      <c r="E49" t="str">
        <f t="shared" si="0"/>
        <v>EC</v>
      </c>
      <c r="F49">
        <f>COUNTIF(E$3:E49,E49)</f>
        <v>7</v>
      </c>
      <c r="G49" t="str">
        <v/>
      </c>
      <c r="H49" t="str">
        <v/>
      </c>
      <c r="I49" t="str">
        <f ca="1"/>
        <v/>
      </c>
      <c r="J49" t="str">
        <f ca="1"/>
        <v/>
      </c>
      <c r="L49" t="str">
        <f ca="1"/>
        <v/>
      </c>
      <c r="M49" t="str">
        <v/>
      </c>
      <c r="N49" t="str">
        <v/>
      </c>
      <c r="O49" t="str">
        <f ca="1"/>
        <v/>
      </c>
      <c r="P49" t="str">
        <f ca="1"/>
        <v/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</row>
    <row r="50" spans="5:37" x14ac:dyDescent="0.55000000000000004">
      <c r="E50" t="str">
        <f t="shared" si="0"/>
        <v>EC</v>
      </c>
      <c r="F50">
        <f>COUNTIF(E$3:E50,E50)</f>
        <v>8</v>
      </c>
      <c r="G50" t="str">
        <v/>
      </c>
      <c r="H50" t="str">
        <v/>
      </c>
      <c r="I50" t="str">
        <f ca="1"/>
        <v/>
      </c>
      <c r="J50" t="str">
        <f ca="1"/>
        <v/>
      </c>
      <c r="L50" t="str">
        <f ca="1"/>
        <v/>
      </c>
      <c r="M50" t="str">
        <v/>
      </c>
      <c r="N50" t="str">
        <v/>
      </c>
      <c r="O50" t="str">
        <f ca="1"/>
        <v/>
      </c>
      <c r="P50" t="str">
        <f ca="1"/>
        <v/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</row>
    <row r="51" spans="5:37" x14ac:dyDescent="0.55000000000000004">
      <c r="E51" t="str">
        <f t="shared" si="0"/>
        <v>EC</v>
      </c>
      <c r="F51">
        <f>COUNTIF(E$3:E51,E51)</f>
        <v>9</v>
      </c>
      <c r="G51" t="str">
        <v/>
      </c>
      <c r="H51" t="str">
        <v/>
      </c>
      <c r="I51" t="str">
        <f ca="1"/>
        <v/>
      </c>
      <c r="J51" t="str">
        <f ca="1"/>
        <v/>
      </c>
      <c r="L51" t="str">
        <f ca="1"/>
        <v/>
      </c>
      <c r="M51" t="str">
        <v/>
      </c>
      <c r="N51" t="str">
        <v/>
      </c>
      <c r="O51" t="str">
        <f ca="1"/>
        <v/>
      </c>
      <c r="P51" t="str">
        <f ca="1"/>
        <v/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</row>
    <row r="52" spans="5:37" x14ac:dyDescent="0.55000000000000004">
      <c r="E52" t="str">
        <f t="shared" si="0"/>
        <v>EC</v>
      </c>
      <c r="F52">
        <f>COUNTIF(E$3:E52,E52)</f>
        <v>10</v>
      </c>
      <c r="G52" t="str">
        <v/>
      </c>
      <c r="H52" t="str">
        <v/>
      </c>
      <c r="I52" t="str">
        <f ca="1"/>
        <v/>
      </c>
      <c r="J52" t="str">
        <f ca="1"/>
        <v/>
      </c>
      <c r="L52" t="str">
        <f ca="1"/>
        <v/>
      </c>
      <c r="M52" t="str">
        <v/>
      </c>
      <c r="N52" t="str">
        <v/>
      </c>
      <c r="O52" t="str">
        <f ca="1"/>
        <v/>
      </c>
      <c r="P52" t="str">
        <f ca="1"/>
        <v/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</row>
    <row r="53" spans="5:37" x14ac:dyDescent="0.55000000000000004">
      <c r="E53" t="str">
        <f t="shared" si="0"/>
        <v>EC</v>
      </c>
      <c r="F53">
        <f>COUNTIF(E$3:E53,E53)</f>
        <v>11</v>
      </c>
      <c r="G53" t="str">
        <v/>
      </c>
      <c r="H53" t="str">
        <v/>
      </c>
      <c r="I53" t="str">
        <f ca="1"/>
        <v/>
      </c>
      <c r="J53" t="str">
        <f ca="1"/>
        <v/>
      </c>
      <c r="L53" t="str">
        <f ca="1"/>
        <v/>
      </c>
      <c r="M53" t="str">
        <v/>
      </c>
      <c r="N53" t="str">
        <v/>
      </c>
      <c r="O53" t="str">
        <f ca="1"/>
        <v/>
      </c>
      <c r="P53" t="str">
        <f ca="1"/>
        <v/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f ca="1"/>
        <v/>
      </c>
      <c r="AC53" t="str">
        <f ca="1"/>
        <v/>
      </c>
      <c r="AD53" t="str">
        <f ca="1"/>
        <v/>
      </c>
      <c r="AE53" t="str">
        <f ca="1"/>
        <v/>
      </c>
      <c r="AF53" t="str">
        <f ca="1"/>
        <v/>
      </c>
      <c r="AG53" t="str">
        <f ca="1"/>
        <v/>
      </c>
      <c r="AH53" t="str">
        <f ca="1"/>
        <v/>
      </c>
      <c r="AI53" t="str">
        <f ca="1"/>
        <v/>
      </c>
      <c r="AJ53" t="str">
        <f ca="1"/>
        <v/>
      </c>
      <c r="AK53" t="str">
        <f ca="1"/>
        <v/>
      </c>
    </row>
    <row r="54" spans="5:37" x14ac:dyDescent="0.55000000000000004">
      <c r="E54" t="str">
        <f t="shared" si="0"/>
        <v>EC</v>
      </c>
      <c r="F54">
        <f>COUNTIF(E$3:E54,E54)</f>
        <v>12</v>
      </c>
      <c r="G54" t="str">
        <v/>
      </c>
      <c r="H54" t="str">
        <v/>
      </c>
      <c r="I54" t="str">
        <f ca="1"/>
        <v/>
      </c>
      <c r="J54" t="str">
        <f ca="1"/>
        <v/>
      </c>
      <c r="L54" t="str">
        <f ca="1"/>
        <v/>
      </c>
      <c r="M54" t="str">
        <v/>
      </c>
      <c r="N54" t="str">
        <v/>
      </c>
      <c r="O54" t="str">
        <f ca="1"/>
        <v/>
      </c>
      <c r="P54" t="str">
        <f ca="1"/>
        <v/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f ca="1"/>
        <v/>
      </c>
      <c r="AC54" t="str">
        <f ca="1"/>
        <v/>
      </c>
      <c r="AD54" t="str">
        <f ca="1"/>
        <v/>
      </c>
      <c r="AE54" t="str">
        <f ca="1"/>
        <v/>
      </c>
      <c r="AF54" t="str">
        <f ca="1"/>
        <v/>
      </c>
      <c r="AG54" t="str">
        <f ca="1"/>
        <v/>
      </c>
      <c r="AH54" t="str">
        <f ca="1"/>
        <v/>
      </c>
      <c r="AI54" t="str">
        <f ca="1"/>
        <v/>
      </c>
      <c r="AJ54" t="str">
        <f ca="1"/>
        <v/>
      </c>
      <c r="AK54" t="str">
        <f ca="1"/>
        <v/>
      </c>
    </row>
    <row r="55" spans="5:37" x14ac:dyDescent="0.55000000000000004">
      <c r="E55" t="str">
        <f t="shared" si="0"/>
        <v>EC</v>
      </c>
      <c r="F55">
        <f>COUNTIF(E$3:E55,E55)</f>
        <v>13</v>
      </c>
      <c r="G55" t="str">
        <v/>
      </c>
      <c r="H55" t="str">
        <v/>
      </c>
      <c r="I55" t="str">
        <f ca="1"/>
        <v/>
      </c>
      <c r="J55" t="str">
        <f ca="1"/>
        <v/>
      </c>
      <c r="L55" t="str">
        <f ca="1"/>
        <v/>
      </c>
      <c r="M55" t="str">
        <v/>
      </c>
      <c r="N55" t="str">
        <v/>
      </c>
      <c r="O55" t="str">
        <f ca="1"/>
        <v/>
      </c>
      <c r="P55" t="str">
        <f ca="1"/>
        <v/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</row>
    <row r="56" spans="5:37" x14ac:dyDescent="0.55000000000000004">
      <c r="E56" t="str">
        <f t="shared" si="0"/>
        <v>EC</v>
      </c>
      <c r="F56">
        <f>COUNTIF(E$3:E56,E56)</f>
        <v>14</v>
      </c>
      <c r="G56" t="str">
        <v/>
      </c>
      <c r="H56" t="str">
        <v/>
      </c>
      <c r="I56" t="str">
        <f ca="1"/>
        <v/>
      </c>
      <c r="J56" t="str">
        <f ca="1"/>
        <v/>
      </c>
      <c r="L56" t="str">
        <f ca="1"/>
        <v/>
      </c>
      <c r="M56" t="str">
        <v/>
      </c>
      <c r="N56" t="str">
        <v/>
      </c>
      <c r="O56" t="str">
        <f ca="1"/>
        <v/>
      </c>
      <c r="P56" t="str">
        <f ca="1"/>
        <v/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</row>
    <row r="57" spans="5:37" x14ac:dyDescent="0.55000000000000004">
      <c r="E57" t="str">
        <f t="shared" si="0"/>
        <v>EC</v>
      </c>
      <c r="F57">
        <f>COUNTIF(E$3:E57,E57)</f>
        <v>15</v>
      </c>
      <c r="G57" t="str">
        <v/>
      </c>
      <c r="H57" t="str">
        <v/>
      </c>
      <c r="I57" t="str">
        <f ca="1"/>
        <v/>
      </c>
      <c r="J57" t="str">
        <f ca="1"/>
        <v/>
      </c>
      <c r="L57" t="str">
        <f ca="1"/>
        <v/>
      </c>
      <c r="M57" t="str">
        <v/>
      </c>
      <c r="N57" t="str">
        <v/>
      </c>
      <c r="O57" t="str">
        <f ca="1"/>
        <v/>
      </c>
      <c r="P57" t="str">
        <f ca="1"/>
        <v/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</row>
    <row r="58" spans="5:37" x14ac:dyDescent="0.55000000000000004">
      <c r="E58" t="str">
        <f t="shared" si="0"/>
        <v>EC</v>
      </c>
      <c r="F58">
        <f>COUNTIF(E$3:E58,E58)</f>
        <v>16</v>
      </c>
      <c r="G58" t="str">
        <v/>
      </c>
      <c r="H58" t="str">
        <v/>
      </c>
      <c r="I58" t="str">
        <f ca="1"/>
        <v/>
      </c>
      <c r="J58" t="str">
        <f ca="1"/>
        <v/>
      </c>
      <c r="L58" t="str">
        <f ca="1"/>
        <v/>
      </c>
      <c r="M58" t="str">
        <v/>
      </c>
      <c r="N58" t="str">
        <v/>
      </c>
      <c r="O58" t="str">
        <f ca="1"/>
        <v/>
      </c>
      <c r="P58" t="str">
        <f ca="1"/>
        <v/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</row>
    <row r="59" spans="5:37" x14ac:dyDescent="0.55000000000000004">
      <c r="E59" t="str">
        <f t="shared" si="0"/>
        <v>EC</v>
      </c>
      <c r="F59">
        <f>COUNTIF(E$3:E59,E59)</f>
        <v>17</v>
      </c>
      <c r="G59" t="str">
        <v/>
      </c>
      <c r="H59" t="str">
        <v/>
      </c>
      <c r="I59" t="str">
        <f ca="1"/>
        <v/>
      </c>
      <c r="J59" t="str">
        <f ca="1"/>
        <v/>
      </c>
      <c r="L59" t="str">
        <f ca="1"/>
        <v/>
      </c>
      <c r="M59" t="str">
        <v/>
      </c>
      <c r="N59" t="str">
        <v/>
      </c>
      <c r="O59" t="str">
        <f ca="1"/>
        <v/>
      </c>
      <c r="P59" t="str">
        <f ca="1"/>
        <v/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</row>
    <row r="60" spans="5:37" x14ac:dyDescent="0.55000000000000004">
      <c r="E60" t="str">
        <f t="shared" si="0"/>
        <v>EC</v>
      </c>
      <c r="F60">
        <f>COUNTIF(E$3:E60,E60)</f>
        <v>18</v>
      </c>
      <c r="G60" t="str">
        <v/>
      </c>
      <c r="H60" t="str">
        <v/>
      </c>
      <c r="I60" t="str">
        <f ca="1"/>
        <v/>
      </c>
      <c r="J60" t="str">
        <f ca="1"/>
        <v/>
      </c>
      <c r="L60" t="str">
        <f ca="1"/>
        <v/>
      </c>
      <c r="M60" t="str">
        <v/>
      </c>
      <c r="N60" t="str">
        <v/>
      </c>
      <c r="O60" t="str">
        <f ca="1"/>
        <v/>
      </c>
      <c r="P60" t="str">
        <f ca="1"/>
        <v/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</row>
    <row r="61" spans="5:37" x14ac:dyDescent="0.55000000000000004">
      <c r="E61" t="str">
        <f t="shared" si="0"/>
        <v>EC</v>
      </c>
      <c r="F61">
        <f>COUNTIF(E$3:E61,E61)</f>
        <v>19</v>
      </c>
      <c r="G61" t="str">
        <v/>
      </c>
      <c r="H61" t="str">
        <v/>
      </c>
      <c r="I61" t="str">
        <f ca="1"/>
        <v/>
      </c>
      <c r="J61" t="str">
        <f ca="1"/>
        <v/>
      </c>
      <c r="L61" t="str">
        <f ca="1"/>
        <v/>
      </c>
      <c r="M61" t="str">
        <v/>
      </c>
      <c r="N61" t="str">
        <v/>
      </c>
      <c r="O61" t="str">
        <f ca="1"/>
        <v/>
      </c>
      <c r="P61" t="str">
        <f ca="1"/>
        <v/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</row>
    <row r="62" spans="5:37" x14ac:dyDescent="0.55000000000000004">
      <c r="E62" t="str">
        <f t="shared" si="0"/>
        <v>EC</v>
      </c>
      <c r="F62">
        <f>COUNTIF(E$3:E62,E62)</f>
        <v>20</v>
      </c>
      <c r="G62" t="str">
        <v>●</v>
      </c>
      <c r="H62" t="str">
        <v/>
      </c>
      <c r="I62" t="str">
        <f ca="1"/>
        <v/>
      </c>
      <c r="J62" t="str">
        <f ca="1"/>
        <v/>
      </c>
      <c r="L62" t="str">
        <f ca="1"/>
        <v/>
      </c>
      <c r="M62" t="str">
        <v/>
      </c>
      <c r="N62" t="str">
        <v/>
      </c>
      <c r="O62" t="str">
        <f ca="1"/>
        <v/>
      </c>
      <c r="P62" t="str">
        <f ca="1"/>
        <v/>
      </c>
      <c r="X62" t="str">
        <f ca="1"/>
        <v/>
      </c>
      <c r="Y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 xml:space="preserve">
	ELSE
		uiErrCode	:= 2;
	END_IF;</v>
      </c>
      <c r="AK62" t="str">
        <f ca="1"/>
        <v xml:space="preserve">
	ELSE
		uiErrCode	:= 2;
	END_IF;</v>
      </c>
    </row>
    <row r="63" spans="5:37" x14ac:dyDescent="0.55000000000000004">
      <c r="E63" t="s">
        <v>114</v>
      </c>
      <c r="F63">
        <f>COUNTIF(E$3:E63,E63)</f>
        <v>1</v>
      </c>
      <c r="G63" t="str">
        <v/>
      </c>
      <c r="H63">
        <v>17</v>
      </c>
      <c r="I63" t="str">
        <f ca="1"/>
        <v>Winding shaft center forward/backward</v>
      </c>
      <c r="J63" t="str">
        <f ca="1"/>
        <v>Winding shaft center forward/backward</v>
      </c>
      <c r="L63" t="str">
        <f ca="1"/>
        <v>【cylinder1】 Winding shaft center forward/backward</v>
      </c>
      <c r="M63" t="str">
        <v>CDQ2A63-200DCZ-M9BVZ</v>
      </c>
      <c r="N63" t="str">
        <v>CDQ2A63-200DCZ-M9BVZ</v>
      </c>
      <c r="O63" t="str">
        <f ca="1"/>
        <v>SMC</v>
      </c>
      <c r="P63" t="str">
        <f ca="1"/>
        <v>SMC</v>
      </c>
      <c r="X63" t="str">
        <f ca="1"/>
        <v xml:space="preserve">
//cylinder</v>
      </c>
      <c r="Y63" t="str">
        <f ca="1"/>
        <v xml:space="preserve">
//cylinder
ELSIF strInfoType = 'cylinder' THEN</v>
      </c>
      <c r="Z63" t="str">
        <f ca="1"/>
        <v xml:space="preserve">
//cylinder
ELSIF strInfoType = 'cylinder' THEN
	//Winding shaft center forward/backward
	IF uiInfoIdx = 1 THEN</v>
      </c>
      <c r="AA63" t="str">
        <f ca="1"/>
        <v xml:space="preserve">
//cylinder
ELSIF strInfoType = 'cylinder' THEN
	//Winding shaft center forward/backward
	IF uiInfoIdx = 1 THEN
		IF strInfoKey = 'name' THEN</v>
      </c>
      <c r="AB63" t="str">
        <f ca="1"/>
        <v xml:space="preserve">
//cylinder
ELSIF strInfoType = 'cylinder' THEN
	//Winding shaft center forward/backward
	IF uiInfoIdx = 1 THEN
		IF strInfoKey = 'name' THEN
			strRt	:= 'Winding shaft center forward/backward';</v>
      </c>
      <c r="AC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</v>
      </c>
      <c r="AD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</v>
      </c>
      <c r="AE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</v>
      </c>
      <c r="AF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</v>
      </c>
      <c r="AG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</v>
      </c>
      <c r="AH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</v>
      </c>
      <c r="AI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</v>
      </c>
      <c r="AJ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</v>
      </c>
      <c r="AK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</v>
      </c>
    </row>
    <row r="64" spans="5:37" x14ac:dyDescent="0.55000000000000004">
      <c r="E64" t="str">
        <f t="shared" si="0"/>
        <v>cylinder</v>
      </c>
      <c r="F64">
        <f>COUNTIF(E$3:E64,E64)</f>
        <v>2</v>
      </c>
      <c r="G64" t="str">
        <v/>
      </c>
      <c r="H64">
        <v>18</v>
      </c>
      <c r="I64" t="str">
        <f ca="1"/>
        <v>T-roll gluing ①</v>
      </c>
      <c r="J64" t="str">
        <f ca="1"/>
        <v>T-roll gluing ①</v>
      </c>
      <c r="L64" t="str">
        <f ca="1"/>
        <v>【cylinder2】 T-roll gluing ①</v>
      </c>
      <c r="M64" t="str">
        <v>CDAS16×10-B-R</v>
      </c>
      <c r="N64" t="str">
        <v>CDAS16×10-B-R</v>
      </c>
      <c r="O64" t="str">
        <f ca="1"/>
        <v/>
      </c>
      <c r="P64" t="str">
        <f ca="1"/>
        <v>unknown</v>
      </c>
      <c r="X64" t="str">
        <f ca="1"/>
        <v xml:space="preserve">
</v>
      </c>
      <c r="Y64" t="str">
        <f ca="1"/>
        <v xml:space="preserve">
</v>
      </c>
      <c r="Z64" t="str">
        <f ca="1"/>
        <v xml:space="preserve">
	//T-roll gluing ①
	ELSIF uiInfoIdx = 2 THEN</v>
      </c>
      <c r="AA64" t="str">
        <f ca="1"/>
        <v xml:space="preserve">
	//T-roll gluing ①
	ELSIF uiInfoIdx = 2 THEN
		IF strInfoKey = 'name' THEN</v>
      </c>
      <c r="AB64" t="str">
        <f ca="1"/>
        <v xml:space="preserve">
	//T-roll gluing ①
	ELSIF uiInfoIdx = 2 THEN
		IF strInfoKey = 'name' THEN
			strRt	:= 'T-roll gluing ①';</v>
      </c>
      <c r="AC64" t="str">
        <f ca="1"/>
        <v xml:space="preserve">
	//T-roll gluing ①
	ELSIF uiInfoIdx = 2 THEN
		IF strInfoKey = 'name' THEN
			strRt	:= 'T-roll gluing ①';
		ELSIF strInfoKey = 'index_name' THEN</v>
      </c>
      <c r="AD64" t="str">
        <f ca="1"/>
        <v xml:space="preserve">
	//T-roll gluing ①
	ELSIF uiInfoIdx = 2 THEN
		IF strInfoKey = 'name' THEN
			strRt	:= 'T-roll gluing ①';
		ELSIF strInfoKey = 'index_name' THEN
			strRt	:= '【cylinder2】 T-roll gluing ①';</v>
      </c>
      <c r="AE64" t="str">
        <f ca="1"/>
        <v xml:space="preserve">
	//T-roll gluing ①
	ELSIF uiInfoIdx = 2 THEN
		IF strInfoKey = 'name' THEN
			strRt	:= 'T-roll gluing ①';
		ELSIF strInfoKey = 'index_name' THEN
			strRt	:= '【cylinder2】 T-roll gluing ①';
		ELSIF strInfoKey = 'model' THEN</v>
      </c>
      <c r="AF64" t="str">
        <f ca="1"/>
        <v xml:space="preserve">
	//T-roll gluing ①
	ELSIF uiInfoIdx = 2 THEN
		IF strInfoKey = 'name' THEN
			strRt	:= 'T-roll gluing ①';
		ELSIF strInfoKey = 'index_name' THEN
			strRt	:= '【cylinder2】 T-roll gluing ①';
		ELSIF strInfoKey = 'model' THEN
			strRt	:= 'CDAS16×10-B-R';</v>
      </c>
      <c r="AG64" t="str">
        <f ca="1"/>
        <v xml:space="preserve">
	//T-roll gluing ①
	ELSIF uiInfoIdx = 2 THEN
		IF strInfoKey = 'name' THEN
			strRt	:= 'T-roll gluing ①';
		ELSIF strInfoKey = 'index_name' THEN
			strRt	:= '【cylinder2】 T-roll gluing ①';
		ELSIF strInfoKey = 'model' THEN
			strRt	:= 'CDAS16×10-B-R';
		ELSIF strInfoKey = 'mf' THEN</v>
      </c>
      <c r="AH64" t="str">
        <f ca="1"/>
        <v xml:space="preserve">
	//T-roll gluing ①
	ELSIF uiInfoIdx = 2 THEN
		IF strInfoKey = 'name' THEN
			strRt	:= 'T-roll gluing ①';
		ELSIF strInfoKey = 'index_name' THEN
			strRt	:= '【cylinder2】 T-roll gluing ①';
		ELSIF strInfoKey = 'model' THEN
			strRt	:= 'CDAS16×10-B-R';
		ELSIF strInfoKey = 'mf' THEN
			strRt	:= 'unknown';</v>
      </c>
      <c r="AI64" t="str">
        <f ca="1"/>
        <v xml:space="preserve">
	//T-roll gluing ①
	ELSIF uiInfoIdx = 2 THEN
		IF strInfoKey = 'name' THEN
			strRt	:= 'T-roll gluing ①';
		ELSIF strInfoKey = 'index_name' THEN
			strRt	:= '【cylinder2】 T-roll gluing ①';
		ELSIF strInfoKey = 'model' THEN
			strRt	:= 'CDAS16×10-B-R';
		ELSIF strInfoKey = 'mf' THEN
			strRt	:= 'unknown';
		ELSE
			uiErrCode	:= 3;
		END_IF;</v>
      </c>
      <c r="AJ64" t="str">
        <f ca="1"/>
        <v xml:space="preserve">
	//T-roll gluing ①
	ELSIF uiInfoIdx = 2 THEN
		IF strInfoKey = 'name' THEN
			strRt	:= 'T-roll gluing ①';
		ELSIF strInfoKey = 'index_name' THEN
			strRt	:= '【cylinder2】 T-roll gluing ①';
		ELSIF strInfoKey = 'model' THEN
			strRt	:= 'CDAS16×10-B-R';
		ELSIF strInfoKey = 'mf' THEN
			strRt	:= 'unknown';
		ELSE
			uiErrCode	:= 3;
		END_IF;</v>
      </c>
      <c r="AK64" t="str">
        <f ca="1"/>
        <v xml:space="preserve">
	//T-roll gluing ①
	ELSIF uiInfoIdx = 2 THEN
		IF strInfoKey = 'name' THEN
			strRt	:= 'T-roll gluing ①';
		ELSIF strInfoKey = 'index_name' THEN
			strRt	:= '【cylinder2】 T-roll gluing ①';
		ELSIF strInfoKey = 'model' THEN
			strRt	:= 'CDAS16×10-B-R';
		ELSIF strInfoKey = 'mf' THEN
			strRt	:= 'unknown';
		ELSE
			uiErrCode	:= 3;
		END_IF;</v>
      </c>
    </row>
    <row r="65" spans="5:37" x14ac:dyDescent="0.55000000000000004">
      <c r="E65" t="str">
        <f t="shared" si="0"/>
        <v>cylinder</v>
      </c>
      <c r="F65">
        <f>COUNTIF(E$3:E65,E65)</f>
        <v>3</v>
      </c>
      <c r="G65" t="str">
        <v/>
      </c>
      <c r="H65">
        <v>19</v>
      </c>
      <c r="I65" t="str">
        <f ca="1"/>
        <v>T-roll gluing ②</v>
      </c>
      <c r="J65" t="str">
        <f ca="1"/>
        <v>T-roll gluing ②</v>
      </c>
      <c r="L65" t="str">
        <f ca="1"/>
        <v>【cylinder3】 T-roll gluing ②</v>
      </c>
      <c r="M65" t="str">
        <v>CDAS16×10-B-R</v>
      </c>
      <c r="N65" t="str">
        <v>CDAS16×10-B-R</v>
      </c>
      <c r="O65" t="str">
        <f ca="1"/>
        <v/>
      </c>
      <c r="P65" t="str">
        <f ca="1"/>
        <v>unknown</v>
      </c>
      <c r="X65" t="str">
        <f ca="1"/>
        <v xml:space="preserve">
</v>
      </c>
      <c r="Y65" t="str">
        <f ca="1"/>
        <v xml:space="preserve">
</v>
      </c>
      <c r="Z65" t="str">
        <f ca="1"/>
        <v xml:space="preserve">
	//T-roll gluing ②
	ELSIF uiInfoIdx = 3 THEN</v>
      </c>
      <c r="AA65" t="str">
        <f ca="1"/>
        <v xml:space="preserve">
	//T-roll gluing ②
	ELSIF uiInfoIdx = 3 THEN
		IF strInfoKey = 'name' THEN</v>
      </c>
      <c r="AB65" t="str">
        <f ca="1"/>
        <v xml:space="preserve">
	//T-roll gluing ②
	ELSIF uiInfoIdx = 3 THEN
		IF strInfoKey = 'name' THEN
			strRt	:= 'T-roll gluing ②';</v>
      </c>
      <c r="AC65" t="str">
        <f ca="1"/>
        <v xml:space="preserve">
	//T-roll gluing ②
	ELSIF uiInfoIdx = 3 THEN
		IF strInfoKey = 'name' THEN
			strRt	:= 'T-roll gluing ②';
		ELSIF strInfoKey = 'index_name' THEN</v>
      </c>
      <c r="AD65" t="str">
        <f ca="1"/>
        <v xml:space="preserve">
	//T-roll gluing ②
	ELSIF uiInfoIdx = 3 THEN
		IF strInfoKey = 'name' THEN
			strRt	:= 'T-roll gluing ②';
		ELSIF strInfoKey = 'index_name' THEN
			strRt	:= '【cylinder3】 T-roll gluing ②';</v>
      </c>
      <c r="AE65" t="str">
        <f ca="1"/>
        <v xml:space="preserve">
	//T-roll gluing ②
	ELSIF uiInfoIdx = 3 THEN
		IF strInfoKey = 'name' THEN
			strRt	:= 'T-roll gluing ②';
		ELSIF strInfoKey = 'index_name' THEN
			strRt	:= '【cylinder3】 T-roll gluing ②';
		ELSIF strInfoKey = 'model' THEN</v>
      </c>
      <c r="AF65" t="str">
        <f ca="1"/>
        <v xml:space="preserve">
	//T-roll gluing ②
	ELSIF uiInfoIdx = 3 THEN
		IF strInfoKey = 'name' THEN
			strRt	:= 'T-roll gluing ②';
		ELSIF strInfoKey = 'index_name' THEN
			strRt	:= '【cylinder3】 T-roll gluing ②';
		ELSIF strInfoKey = 'model' THEN
			strRt	:= 'CDAS16×10-B-R';</v>
      </c>
      <c r="AG65" t="str">
        <f ca="1"/>
        <v xml:space="preserve">
	//T-roll gluing ②
	ELSIF uiInfoIdx = 3 THEN
		IF strInfoKey = 'name' THEN
			strRt	:= 'T-roll gluing ②';
		ELSIF strInfoKey = 'index_name' THEN
			strRt	:= '【cylinder3】 T-roll gluing ②';
		ELSIF strInfoKey = 'model' THEN
			strRt	:= 'CDAS16×10-B-R';
		ELSIF strInfoKey = 'mf' THEN</v>
      </c>
      <c r="AH65" t="str">
        <f ca="1"/>
        <v xml:space="preserve">
	//T-roll gluing ②
	ELSIF uiInfoIdx = 3 THEN
		IF strInfoKey = 'name' THEN
			strRt	:= 'T-roll gluing ②';
		ELSIF strInfoKey = 'index_name' THEN
			strRt	:= '【cylinder3】 T-roll gluing ②';
		ELSIF strInfoKey = 'model' THEN
			strRt	:= 'CDAS16×10-B-R';
		ELSIF strInfoKey = 'mf' THEN
			strRt	:= 'unknown';</v>
      </c>
      <c r="AI65" t="str">
        <f ca="1"/>
        <v xml:space="preserve">
	//T-roll gluing ②
	ELSIF uiInfoIdx = 3 THEN
		IF strInfoKey = 'name' THEN
			strRt	:= 'T-roll gluing ②';
		ELSIF strInfoKey = 'index_name' THEN
			strRt	:= '【cylinder3】 T-roll gluing ②';
		ELSIF strInfoKey = 'model' THEN
			strRt	:= 'CDAS16×10-B-R';
		ELSIF strInfoKey = 'mf' THEN
			strRt	:= 'unknown';
		ELSE
			uiErrCode	:= 3;
		END_IF;</v>
      </c>
      <c r="AJ65" t="str">
        <f ca="1"/>
        <v xml:space="preserve">
	//T-roll gluing ②
	ELSIF uiInfoIdx = 3 THEN
		IF strInfoKey = 'name' THEN
			strRt	:= 'T-roll gluing ②';
		ELSIF strInfoKey = 'index_name' THEN
			strRt	:= '【cylinder3】 T-roll gluing ②';
		ELSIF strInfoKey = 'model' THEN
			strRt	:= 'CDAS16×10-B-R';
		ELSIF strInfoKey = 'mf' THEN
			strRt	:= 'unknown';
		ELSE
			uiErrCode	:= 3;
		END_IF;</v>
      </c>
      <c r="AK65" t="str">
        <f ca="1"/>
        <v xml:space="preserve">
	//T-roll gluing ②
	ELSIF uiInfoIdx = 3 THEN
		IF strInfoKey = 'name' THEN
			strRt	:= 'T-roll gluing ②';
		ELSIF strInfoKey = 'index_name' THEN
			strRt	:= '【cylinder3】 T-roll gluing ②';
		ELSIF strInfoKey = 'model' THEN
			strRt	:= 'CDAS16×10-B-R';
		ELSIF strInfoKey = 'mf' THEN
			strRt	:= 'unknown';
		ELSE
			uiErrCode	:= 3;
		END_IF;</v>
      </c>
    </row>
    <row r="66" spans="5:37" x14ac:dyDescent="0.55000000000000004">
      <c r="E66" t="str">
        <f t="shared" si="0"/>
        <v>cylinder</v>
      </c>
      <c r="F66">
        <f>COUNTIF(E$3:E66,E66)</f>
        <v>4</v>
      </c>
      <c r="G66" t="str">
        <v/>
      </c>
      <c r="H66">
        <v>20</v>
      </c>
      <c r="I66" t="str">
        <f ca="1"/>
        <v>Flat sheet lower auxiliary plate release</v>
      </c>
      <c r="J66" t="str">
        <f ca="1"/>
        <v>Flat sheet lower auxiliary plate release</v>
      </c>
      <c r="L66" t="str">
        <f ca="1"/>
        <v>【cylinder4】 Flat sheet lower auxiliary plate release</v>
      </c>
      <c r="M66" t="str">
        <v>CDJ2D16-45Z-W-M9BWZ-B</v>
      </c>
      <c r="N66" t="str">
        <v>CDJ2D16-45Z-W-M9BWZ-B</v>
      </c>
      <c r="O66" t="str">
        <f ca="1"/>
        <v>SMC</v>
      </c>
      <c r="P66" t="str">
        <f ca="1"/>
        <v>SMC</v>
      </c>
      <c r="X66" t="str">
        <f ca="1"/>
        <v xml:space="preserve">
</v>
      </c>
      <c r="Y66" t="str">
        <f ca="1"/>
        <v xml:space="preserve">
</v>
      </c>
      <c r="Z66" t="str">
        <f ca="1"/>
        <v xml:space="preserve">
	//Flat sheet lower auxiliary plate release
	ELSIF uiInfoIdx = 4 THEN</v>
      </c>
      <c r="AA66" t="str">
        <f ca="1"/>
        <v xml:space="preserve">
	//Flat sheet lower auxiliary plate release
	ELSIF uiInfoIdx = 4 THEN
		IF strInfoKey = 'name' THEN</v>
      </c>
      <c r="AB66" t="str">
        <f ca="1"/>
        <v xml:space="preserve">
	//Flat sheet lower auxiliary plate release
	ELSIF uiInfoIdx = 4 THEN
		IF strInfoKey = 'name' THEN
			strRt	:= 'Flat sheet lower auxiliary plate release';</v>
      </c>
      <c r="AC66" t="str">
        <f ca="1"/>
        <v xml:space="preserve">
	//Flat sheet lower auxiliary plate release
	ELSIF uiInfoIdx = 4 THEN
		IF strInfoKey = 'name' THEN
			strRt	:= 'Flat sheet lower auxiliary plate release';
		ELSIF strInfoKey = 'index_name' THEN</v>
      </c>
      <c r="AD66" t="str">
        <f ca="1"/>
        <v xml:space="preserve">
	//Flat sheet lower auxiliary plate release
	ELSIF uiInfoIdx = 4 THEN
		IF strInfoKey = 'name' THEN
			strRt	:= 'Flat sheet lower auxiliary plate release';
		ELSIF strInfoKey = 'index_name' THEN
			strRt	:= '【cylinder4】 Flat sheet lower auxiliary plate release';</v>
      </c>
      <c r="AE66" t="str">
        <f ca="1"/>
        <v xml:space="preserve">
	//Flat sheet lower auxiliary plate release
	ELSIF uiInfoIdx = 4 THEN
		IF strInfoKey = 'name' THEN
			strRt	:= 'Flat sheet lower auxiliary plate release';
		ELSIF strInfoKey = 'index_name' THEN
			strRt	:= '【cylinder4】 Flat sheet lower auxiliary plate release';
		ELSIF strInfoKey = 'model' THEN</v>
      </c>
      <c r="AF66" t="str">
        <f ca="1"/>
        <v xml:space="preserve">
	//Flat sheet lower auxiliary plate release
	ELSIF uiInfoIdx = 4 THEN
		IF strInfoKey = 'name' THEN
			strRt	:= 'Flat sheet lower auxiliary plate release';
		ELSIF strInfoKey = 'index_name' THEN
			strRt	:= '【cylinder4】 Flat sheet lower auxiliary plate release';
		ELSIF strInfoKey = 'model' THEN
			strRt	:= 'CDJ2D16-45Z-W-M9BWZ-B';</v>
      </c>
      <c r="AG66" t="str">
        <f ca="1"/>
        <v xml:space="preserve">
	//Flat sheet lower auxiliary plate release
	ELSIF uiInfoIdx = 4 THEN
		IF strInfoKey = 'name' THEN
			strRt	:= 'Flat sheet lower auxiliary plate release';
		ELSIF strInfoKey = 'index_name' THEN
			strRt	:= '【cylinder4】 Flat sheet lower auxiliary plate release';
		ELSIF strInfoKey = 'model' THEN
			strRt	:= 'CDJ2D16-45Z-W-M9BWZ-B';
		ELSIF strInfoKey = 'mf' THEN</v>
      </c>
      <c r="AH66" t="str">
        <f ca="1"/>
        <v xml:space="preserve">
	//Flat sheet lower auxiliary plate release
	ELSIF uiInfoIdx = 4 THEN
		IF strInfoKey = 'name' THEN
			strRt	:= 'Flat sheet lower auxiliary plate release';
		ELSIF strInfoKey = 'index_name' THEN
			strRt	:= '【cylinder4】 Flat sheet lower auxiliary plate release';
		ELSIF strInfoKey = 'model' THEN
			strRt	:= 'CDJ2D16-45Z-W-M9BWZ-B';
		ELSIF strInfoKey = 'mf' THEN
			strRt	:= 'SMC';</v>
      </c>
      <c r="AI66" t="str">
        <f ca="1"/>
        <v xml:space="preserve">
	//Flat sheet lower auxiliary plate release
	ELSIF uiInfoIdx = 4 THEN
		IF strInfoKey = 'name' THEN
			strRt	:= 'Flat sheet lower auxiliary plate release';
		ELSIF strInfoKey = 'index_name' THEN
			strRt	:= '【cylinder4】 Flat sheet lower auxiliary plate release';
		ELSIF strInfoKey = 'model' THEN
			strRt	:= 'CDJ2D16-45Z-W-M9BWZ-B';
		ELSIF strInfoKey = 'mf' THEN
			strRt	:= 'SMC';
		ELSE
			uiErrCode	:= 3;
		END_IF;</v>
      </c>
      <c r="AJ66" t="str">
        <f ca="1"/>
        <v xml:space="preserve">
	//Flat sheet lower auxiliary plate release
	ELSIF uiInfoIdx = 4 THEN
		IF strInfoKey = 'name' THEN
			strRt	:= 'Flat sheet lower auxiliary plate release';
		ELSIF strInfoKey = 'index_name' THEN
			strRt	:= '【cylinder4】 Flat sheet lower auxiliary plate release';
		ELSIF strInfoKey = 'model' THEN
			strRt	:= 'CDJ2D16-45Z-W-M9BWZ-B';
		ELSIF strInfoKey = 'mf' THEN
			strRt	:= 'SMC';
		ELSE
			uiErrCode	:= 3;
		END_IF;</v>
      </c>
      <c r="AK66" t="str">
        <f ca="1"/>
        <v xml:space="preserve">
	//Flat sheet lower auxiliary plate release
	ELSIF uiInfoIdx = 4 THEN
		IF strInfoKey = 'name' THEN
			strRt	:= 'Flat sheet lower auxiliary plate release';
		ELSIF strInfoKey = 'index_name' THEN
			strRt	:= '【cylinder4】 Flat sheet lower auxiliary plate release';
		ELSIF strInfoKey = 'model' THEN
			strRt	:= 'CDJ2D16-45Z-W-M9BWZ-B';
		ELSIF strInfoKey = 'mf' THEN
			strRt	:= 'SMC';
		ELSE
			uiErrCode	:= 3;
		END_IF;</v>
      </c>
    </row>
    <row r="67" spans="5:37" x14ac:dyDescent="0.55000000000000004">
      <c r="E67" t="str">
        <f t="shared" si="0"/>
        <v>cylinder</v>
      </c>
      <c r="F67">
        <f>COUNTIF(E$3:E67,E67)</f>
        <v>5</v>
      </c>
      <c r="G67" t="str">
        <v/>
      </c>
      <c r="H67">
        <v>21</v>
      </c>
      <c r="I67" t="str">
        <f ca="1"/>
        <v>Flat sheet chuck (hand) forward/backward</v>
      </c>
      <c r="J67" t="str">
        <f ca="1"/>
        <v>Flat sheet chuck (hand) forward/backward</v>
      </c>
      <c r="L67" t="str">
        <f ca="1"/>
        <v>【cylinder5】 Flat sheet chuck (hand) forward/backward</v>
      </c>
      <c r="M67" t="str">
        <v>MXQ20-50A-M9BZ</v>
      </c>
      <c r="N67" t="str">
        <v>MXQ20-50A-M9BZ</v>
      </c>
      <c r="O67" t="str">
        <f ca="1"/>
        <v>SMC</v>
      </c>
      <c r="P67" t="str">
        <f ca="1"/>
        <v>SMC</v>
      </c>
      <c r="X67" t="str">
        <f ca="1"/>
        <v xml:space="preserve">
</v>
      </c>
      <c r="Y67" t="str">
        <f ca="1"/>
        <v xml:space="preserve">
</v>
      </c>
      <c r="Z67" t="str">
        <f ca="1"/>
        <v xml:space="preserve">
	//Flat sheet chuck (hand) forward/backward
	ELSIF uiInfoIdx = 5 THEN</v>
      </c>
      <c r="AA67" t="str">
        <f ca="1"/>
        <v xml:space="preserve">
	//Flat sheet chuck (hand) forward/backward
	ELSIF uiInfoIdx = 5 THEN
		IF strInfoKey = 'name' THEN</v>
      </c>
      <c r="AB67" t="str">
        <f ca="1"/>
        <v xml:space="preserve">
	//Flat sheet chuck (hand) forward/backward
	ELSIF uiInfoIdx = 5 THEN
		IF strInfoKey = 'name' THEN
			strRt	:= 'Flat sheet chuck (hand) forward/backward';</v>
      </c>
      <c r="AC67" t="str">
        <f ca="1"/>
        <v xml:space="preserve">
	//Flat sheet chuck (hand) forward/backward
	ELSIF uiInfoIdx = 5 THEN
		IF strInfoKey = 'name' THEN
			strRt	:= 'Flat sheet chuck (hand) forward/backward';
		ELSIF strInfoKey = 'index_name' THEN</v>
      </c>
      <c r="AD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</v>
      </c>
      <c r="AE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</v>
      </c>
      <c r="AF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</v>
      </c>
      <c r="AG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</v>
      </c>
      <c r="AH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</v>
      </c>
      <c r="AI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</v>
      </c>
      <c r="AJ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</v>
      </c>
      <c r="AK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</v>
      </c>
    </row>
    <row r="68" spans="5:37" x14ac:dyDescent="0.55000000000000004">
      <c r="E68" t="str">
        <f t="shared" si="0"/>
        <v>cylinder</v>
      </c>
      <c r="F68">
        <f>COUNTIF(E$3:E68,E68)</f>
        <v>6</v>
      </c>
      <c r="G68" t="str">
        <v/>
      </c>
      <c r="H68">
        <v>22</v>
      </c>
      <c r="I68" t="str">
        <f ca="1"/>
        <v>Flat sheet chuck open/close</v>
      </c>
      <c r="J68" t="str">
        <f ca="1"/>
        <v>Flat sheet chuck open/close</v>
      </c>
      <c r="L68" t="str">
        <f ca="1"/>
        <v>【cylinder6】 Flat sheet chuck open/close</v>
      </c>
      <c r="M68" t="str">
        <v>MHF2-16D1-M9BL-X83C1</v>
      </c>
      <c r="N68" t="str">
        <v>MHF2-16D1-M9BL-X83C1</v>
      </c>
      <c r="O68" t="str">
        <f ca="1"/>
        <v>SMC</v>
      </c>
      <c r="P68" t="str">
        <f ca="1"/>
        <v>SMC</v>
      </c>
      <c r="X68" t="str">
        <f ca="1"/>
        <v xml:space="preserve">
</v>
      </c>
      <c r="Y68" t="str">
        <f ca="1"/>
        <v xml:space="preserve">
</v>
      </c>
      <c r="Z68" t="str">
        <f ca="1"/>
        <v xml:space="preserve">
	//Flat sheet chuck open/close
	ELSIF uiInfoIdx = 6 THEN</v>
      </c>
      <c r="AA68" t="str">
        <f ca="1"/>
        <v xml:space="preserve">
	//Flat sheet chuck open/close
	ELSIF uiInfoIdx = 6 THEN
		IF strInfoKey = 'name' THEN</v>
      </c>
      <c r="AB68" t="str">
        <f ca="1"/>
        <v xml:space="preserve">
	//Flat sheet chuck open/close
	ELSIF uiInfoIdx = 6 THEN
		IF strInfoKey = 'name' THEN
			strRt	:= 'Flat sheet chuck open/close';</v>
      </c>
      <c r="AC68" t="str">
        <f ca="1"/>
        <v xml:space="preserve">
	//Flat sheet chuck open/close
	ELSIF uiInfoIdx = 6 THEN
		IF strInfoKey = 'name' THEN
			strRt	:= 'Flat sheet chuck open/close';
		ELSIF strInfoKey = 'index_name' THEN</v>
      </c>
      <c r="AD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</v>
      </c>
      <c r="AE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</v>
      </c>
      <c r="AF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</v>
      </c>
      <c r="AG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</v>
      </c>
      <c r="AH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</v>
      </c>
      <c r="AI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  <c r="AJ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  <c r="AK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</row>
    <row r="69" spans="5:37" x14ac:dyDescent="0.55000000000000004">
      <c r="E69" t="str">
        <f t="shared" ref="E69:E132" si="1">E68</f>
        <v>cylinder</v>
      </c>
      <c r="F69">
        <f>COUNTIF(E$3:E69,E69)</f>
        <v>7</v>
      </c>
      <c r="G69" t="str">
        <v/>
      </c>
      <c r="H69">
        <v>23</v>
      </c>
      <c r="I69" t="str">
        <f ca="1"/>
        <v>Flat sheet clamp up/down ①</v>
      </c>
      <c r="J69" t="str">
        <f ca="1"/>
        <v>Flat sheet clamp up/down ①</v>
      </c>
      <c r="L69" t="str">
        <f ca="1"/>
        <v>【cylinder7】 Flat sheet clamp up/down ①</v>
      </c>
      <c r="M69" t="str">
        <v>CDQ2B25-20DZ-M9BVM</v>
      </c>
      <c r="N69" t="str">
        <v>CDQ2B25-20DZ-M9BVM</v>
      </c>
      <c r="O69" t="str">
        <f ca="1"/>
        <v>SMC</v>
      </c>
      <c r="P69" t="str">
        <f ca="1"/>
        <v>SMC</v>
      </c>
      <c r="X69" t="str">
        <f ca="1"/>
        <v xml:space="preserve">
</v>
      </c>
      <c r="Y69" t="str">
        <f ca="1"/>
        <v xml:space="preserve">
</v>
      </c>
      <c r="Z69" t="str">
        <f ca="1"/>
        <v xml:space="preserve">
	//Flat sheet clamp up/down ①
	ELSIF uiInfoIdx = 7 THEN</v>
      </c>
      <c r="AA69" t="str">
        <f ca="1"/>
        <v xml:space="preserve">
	//Flat sheet clamp up/down ①
	ELSIF uiInfoIdx = 7 THEN
		IF strInfoKey = 'name' THEN</v>
      </c>
      <c r="AB69" t="str">
        <f ca="1"/>
        <v xml:space="preserve">
	//Flat sheet clamp up/down ①
	ELSIF uiInfoIdx = 7 THEN
		IF strInfoKey = 'name' THEN
			strRt	:= 'Flat sheet clamp up/down ①';</v>
      </c>
      <c r="AC69" t="str">
        <f ca="1"/>
        <v xml:space="preserve">
	//Flat sheet clamp up/down ①
	ELSIF uiInfoIdx = 7 THEN
		IF strInfoKey = 'name' THEN
			strRt	:= 'Flat sheet clamp up/down ①';
		ELSIF strInfoKey = 'index_name' THEN</v>
      </c>
      <c r="AD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</v>
      </c>
      <c r="AE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</v>
      </c>
      <c r="AF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</v>
      </c>
      <c r="AG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</v>
      </c>
      <c r="AH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</v>
      </c>
      <c r="AI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</v>
      </c>
      <c r="AJ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</v>
      </c>
      <c r="AK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</v>
      </c>
    </row>
    <row r="70" spans="5:37" x14ac:dyDescent="0.55000000000000004">
      <c r="E70" t="str">
        <f t="shared" si="1"/>
        <v>cylinder</v>
      </c>
      <c r="F70">
        <f>COUNTIF(E$3:E70,E70)</f>
        <v>8</v>
      </c>
      <c r="G70" t="str">
        <v/>
      </c>
      <c r="H70">
        <v>24</v>
      </c>
      <c r="I70" t="str">
        <f ca="1"/>
        <v>Foil wax clamp up/down</v>
      </c>
      <c r="J70" t="str">
        <f ca="1"/>
        <v>Foil wax clamp up/down</v>
      </c>
      <c r="L70" t="str">
        <f ca="1"/>
        <v>【cylinder8】 Foil wax clamp up/down</v>
      </c>
      <c r="M70" t="str">
        <v>CDQ2D25-20DMZ-M9BM</v>
      </c>
      <c r="N70" t="str">
        <v>CDQ2D25-20DMZ-M9BM</v>
      </c>
      <c r="O70" t="str">
        <f ca="1"/>
        <v>SMC</v>
      </c>
      <c r="P70" t="str">
        <f ca="1"/>
        <v>SMC</v>
      </c>
      <c r="X70" t="str">
        <f ca="1"/>
        <v xml:space="preserve">
</v>
      </c>
      <c r="Y70" t="str">
        <f ca="1"/>
        <v xml:space="preserve">
</v>
      </c>
      <c r="Z70" t="str">
        <f ca="1"/>
        <v xml:space="preserve">
	//Foil wax clamp up/down
	ELSIF uiInfoIdx = 8 THEN</v>
      </c>
      <c r="AA70" t="str">
        <f ca="1"/>
        <v xml:space="preserve">
	//Foil wax clamp up/down
	ELSIF uiInfoIdx = 8 THEN
		IF strInfoKey = 'name' THEN</v>
      </c>
      <c r="AB70" t="str">
        <f ca="1"/>
        <v xml:space="preserve">
	//Foil wax clamp up/down
	ELSIF uiInfoIdx = 8 THEN
		IF strInfoKey = 'name' THEN
			strRt	:= 'Foil wax clamp up/down';</v>
      </c>
      <c r="AC70" t="str">
        <f ca="1"/>
        <v xml:space="preserve">
	//Foil wax clamp up/down
	ELSIF uiInfoIdx = 8 THEN
		IF strInfoKey = 'name' THEN
			strRt	:= 'Foil wax clamp up/down';
		ELSIF strInfoKey = 'index_name' THEN</v>
      </c>
      <c r="AD70" t="str">
        <f ca="1"/>
        <v xml:space="preserve">
	//Foil wax clamp up/down
	ELSIF uiInfoIdx = 8 THEN
		IF strInfoKey = 'name' THEN
			strRt	:= 'Foil wax clamp up/down';
		ELSIF strInfoKey = 'index_name' THEN
			strRt	:= '【cylinder8】 Foil wax clamp up/down';</v>
      </c>
      <c r="AE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</v>
      </c>
      <c r="AF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</v>
      </c>
      <c r="AG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</v>
      </c>
      <c r="AH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</v>
      </c>
      <c r="AI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</v>
      </c>
      <c r="AJ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</v>
      </c>
      <c r="AK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</v>
      </c>
    </row>
    <row r="71" spans="5:37" x14ac:dyDescent="0.55000000000000004">
      <c r="E71" t="str">
        <f t="shared" si="1"/>
        <v>cylinder</v>
      </c>
      <c r="F71">
        <f>COUNTIF(E$3:E71,E71)</f>
        <v>9</v>
      </c>
      <c r="G71" t="str">
        <v/>
      </c>
      <c r="H71">
        <v>25</v>
      </c>
      <c r="I71" t="str">
        <f ca="1"/>
        <v>Foil wax cut</v>
      </c>
      <c r="J71" t="str">
        <f ca="1"/>
        <v>Foil wax cut</v>
      </c>
      <c r="L71" t="str">
        <f ca="1"/>
        <v>【cylinder9】 Foil wax cut</v>
      </c>
      <c r="M71" t="str">
        <v>CDQSKB16-10DM-M9NWVZ</v>
      </c>
      <c r="N71" t="str">
        <v>CDQSKB16-10DM-M9NWVZ</v>
      </c>
      <c r="O71" t="str">
        <f ca="1"/>
        <v>SMC</v>
      </c>
      <c r="P71" t="str">
        <f ca="1"/>
        <v>SMC</v>
      </c>
      <c r="X71" t="str">
        <f ca="1"/>
        <v xml:space="preserve">
</v>
      </c>
      <c r="Y71" t="str">
        <f ca="1"/>
        <v xml:space="preserve">
</v>
      </c>
      <c r="Z71" t="str">
        <f ca="1"/>
        <v xml:space="preserve">
	//Foil wax cut
	ELSIF uiInfoIdx = 9 THEN</v>
      </c>
      <c r="AA71" t="str">
        <f ca="1"/>
        <v xml:space="preserve">
	//Foil wax cut
	ELSIF uiInfoIdx = 9 THEN
		IF strInfoKey = 'name' THEN</v>
      </c>
      <c r="AB71" t="str">
        <f ca="1"/>
        <v xml:space="preserve">
	//Foil wax cut
	ELSIF uiInfoIdx = 9 THEN
		IF strInfoKey = 'name' THEN
			strRt	:= 'Foil wax cut';</v>
      </c>
      <c r="AC71" t="str">
        <f ca="1"/>
        <v xml:space="preserve">
	//Foil wax cut
	ELSIF uiInfoIdx = 9 THEN
		IF strInfoKey = 'name' THEN
			strRt	:= 'Foil wax cut';
		ELSIF strInfoKey = 'index_name' THEN</v>
      </c>
      <c r="AD71" t="str">
        <f ca="1"/>
        <v xml:space="preserve">
	//Foil wax cut
	ELSIF uiInfoIdx = 9 THEN
		IF strInfoKey = 'name' THEN
			strRt	:= 'Foil wax cut';
		ELSIF strInfoKey = 'index_name' THEN
			strRt	:= '【cylinder9】 Foil wax cut';</v>
      </c>
      <c r="AE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</v>
      </c>
      <c r="AF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</v>
      </c>
      <c r="AG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</v>
      </c>
      <c r="AH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</v>
      </c>
      <c r="AI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</v>
      </c>
      <c r="AJ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</v>
      </c>
      <c r="AK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</v>
      </c>
    </row>
    <row r="72" spans="5:37" x14ac:dyDescent="0.55000000000000004">
      <c r="E72" t="str">
        <f t="shared" si="1"/>
        <v>cylinder</v>
      </c>
      <c r="F72">
        <f>COUNTIF(E$3:E72,E72)</f>
        <v>10</v>
      </c>
      <c r="G72" t="str">
        <v/>
      </c>
      <c r="H72">
        <v>26</v>
      </c>
      <c r="I72" t="str">
        <f ca="1"/>
        <v>Corrugated sheet clamp</v>
      </c>
      <c r="J72" t="str">
        <f ca="1"/>
        <v>Corrugated sheet clamp</v>
      </c>
      <c r="L72" t="str">
        <f ca="1"/>
        <v>【cylinder10】 Corrugated sheet clamp</v>
      </c>
      <c r="M72" t="str">
        <v>CDQ2B25-20DZ-M9BVM</v>
      </c>
      <c r="N72" t="str">
        <v>CDQ2B25-20DZ-M9BVM</v>
      </c>
      <c r="O72" t="str">
        <f ca="1"/>
        <v>SMC</v>
      </c>
      <c r="P72" t="str">
        <f ca="1"/>
        <v>SMC</v>
      </c>
      <c r="X72" t="str">
        <f ca="1"/>
        <v xml:space="preserve">
</v>
      </c>
      <c r="Y72" t="str">
        <f ca="1"/>
        <v xml:space="preserve">
</v>
      </c>
      <c r="Z72" t="str">
        <f ca="1"/>
        <v xml:space="preserve">
	//Corrugated sheet clamp
	ELSIF uiInfoIdx = 10 THEN</v>
      </c>
      <c r="AA72" t="str">
        <f ca="1"/>
        <v xml:space="preserve">
	//Corrugated sheet clamp
	ELSIF uiInfoIdx = 10 THEN
		IF strInfoKey = 'name' THEN</v>
      </c>
      <c r="AB72" t="str">
        <f ca="1"/>
        <v xml:space="preserve">
	//Corrugated sheet clamp
	ELSIF uiInfoIdx = 10 THEN
		IF strInfoKey = 'name' THEN
			strRt	:= 'Corrugated sheet clamp';</v>
      </c>
      <c r="AC72" t="str">
        <f ca="1"/>
        <v xml:space="preserve">
	//Corrugated sheet clamp
	ELSIF uiInfoIdx = 10 THEN
		IF strInfoKey = 'name' THEN
			strRt	:= 'Corrugated sheet clamp';
		ELSIF strInfoKey = 'index_name' THEN</v>
      </c>
      <c r="AD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</v>
      </c>
      <c r="AE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</v>
      </c>
      <c r="AF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</v>
      </c>
      <c r="AG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</v>
      </c>
      <c r="AH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</v>
      </c>
      <c r="AI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</v>
      </c>
      <c r="AJ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</v>
      </c>
      <c r="AK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</v>
      </c>
    </row>
    <row r="73" spans="5:37" x14ac:dyDescent="0.55000000000000004">
      <c r="E73" t="str">
        <f t="shared" si="1"/>
        <v>cylinder</v>
      </c>
      <c r="F73">
        <f>COUNTIF(E$3:E73,E73)</f>
        <v>11</v>
      </c>
      <c r="G73" t="str">
        <v/>
      </c>
      <c r="H73">
        <v>27</v>
      </c>
      <c r="I73" t="str">
        <f ca="1"/>
        <v>Flat sheet cutter blade push-out</v>
      </c>
      <c r="J73" t="str">
        <f ca="1"/>
        <v>Flat sheet cutter blade push-out</v>
      </c>
      <c r="L73" t="str">
        <f ca="1"/>
        <v>【cylinder11】 Flat sheet cutter blade push-out</v>
      </c>
      <c r="M73" t="str">
        <v>CD55B32-105-M9BZ</v>
      </c>
      <c r="N73" t="str">
        <v>CD55B32-105-M9BZ</v>
      </c>
      <c r="O73" t="str">
        <f ca="1"/>
        <v>SMC</v>
      </c>
      <c r="P73" t="str">
        <f ca="1"/>
        <v>SMC</v>
      </c>
      <c r="X73" t="str">
        <f ca="1"/>
        <v xml:space="preserve">
</v>
      </c>
      <c r="Y73" t="str">
        <f ca="1"/>
        <v xml:space="preserve">
</v>
      </c>
      <c r="Z73" t="str">
        <f ca="1"/>
        <v xml:space="preserve">
	//Flat sheet cutter blade push-out
	ELSIF uiInfoIdx = 11 THEN</v>
      </c>
      <c r="AA73" t="str">
        <f ca="1"/>
        <v xml:space="preserve">
	//Flat sheet cutter blade push-out
	ELSIF uiInfoIdx = 11 THEN
		IF strInfoKey = 'name' THEN</v>
      </c>
      <c r="AB73" t="str">
        <f ca="1"/>
        <v xml:space="preserve">
	//Flat sheet cutter blade push-out
	ELSIF uiInfoIdx = 11 THEN
		IF strInfoKey = 'name' THEN
			strRt	:= 'Flat sheet cutter blade push-out';</v>
      </c>
      <c r="AC73" t="str">
        <f ca="1"/>
        <v xml:space="preserve">
	//Flat sheet cutter blade push-out
	ELSIF uiInfoIdx = 11 THEN
		IF strInfoKey = 'name' THEN
			strRt	:= 'Flat sheet cutter blade push-out';
		ELSIF strInfoKey = 'index_name' THEN</v>
      </c>
      <c r="AD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</v>
      </c>
      <c r="AE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</v>
      </c>
      <c r="AF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</v>
      </c>
      <c r="AG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</v>
      </c>
      <c r="AH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</v>
      </c>
      <c r="AI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</v>
      </c>
      <c r="AJ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</v>
      </c>
      <c r="AK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</v>
      </c>
    </row>
    <row r="74" spans="5:37" x14ac:dyDescent="0.55000000000000004">
      <c r="E74" t="str">
        <f t="shared" si="1"/>
        <v>cylinder</v>
      </c>
      <c r="F74">
        <f>COUNTIF(E$3:E74,E74)</f>
        <v>12</v>
      </c>
      <c r="G74" t="str">
        <v/>
      </c>
      <c r="H74">
        <v>28</v>
      </c>
      <c r="I74" t="str">
        <f ca="1"/>
        <v>Flat sheet cutter blade open/close</v>
      </c>
      <c r="J74" t="str">
        <f ca="1"/>
        <v>Flat sheet cutter blade open/close</v>
      </c>
      <c r="L74" t="str">
        <f ca="1"/>
        <v>【cylinder12】 Flat sheet cutter blade open/close</v>
      </c>
      <c r="M74" t="str">
        <v>CDQ2B25-10DMZ-L-A93M</v>
      </c>
      <c r="N74" t="str">
        <v>CDQ2B25-10DMZ-L-A93M</v>
      </c>
      <c r="O74" t="str">
        <f ca="1"/>
        <v>SMC</v>
      </c>
      <c r="P74" t="str">
        <f ca="1"/>
        <v>SMC</v>
      </c>
      <c r="X74" t="str">
        <f ca="1"/>
        <v xml:space="preserve">
</v>
      </c>
      <c r="Y74" t="str">
        <f ca="1"/>
        <v xml:space="preserve">
</v>
      </c>
      <c r="Z74" t="str">
        <f ca="1"/>
        <v xml:space="preserve">
	//Flat sheet cutter blade open/close
	ELSIF uiInfoIdx = 12 THEN</v>
      </c>
      <c r="AA74" t="str">
        <f ca="1"/>
        <v xml:space="preserve">
	//Flat sheet cutter blade open/close
	ELSIF uiInfoIdx = 12 THEN
		IF strInfoKey = 'name' THEN</v>
      </c>
      <c r="AB74" t="str">
        <f ca="1"/>
        <v xml:space="preserve">
	//Flat sheet cutter blade open/close
	ELSIF uiInfoIdx = 12 THEN
		IF strInfoKey = 'name' THEN
			strRt	:= 'Flat sheet cutter blade open/close';</v>
      </c>
      <c r="AC74" t="str">
        <f ca="1"/>
        <v xml:space="preserve">
	//Flat sheet cutter blade open/close
	ELSIF uiInfoIdx = 12 THEN
		IF strInfoKey = 'name' THEN
			strRt	:= 'Flat sheet cutter blade open/close';
		ELSIF strInfoKey = 'index_name' THEN</v>
      </c>
      <c r="AD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</v>
      </c>
      <c r="AE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</v>
      </c>
      <c r="AF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</v>
      </c>
      <c r="AG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</v>
      </c>
      <c r="AH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</v>
      </c>
      <c r="AI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  <c r="AJ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  <c r="AK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</row>
    <row r="75" spans="5:37" x14ac:dyDescent="0.55000000000000004">
      <c r="E75" t="str">
        <f t="shared" si="1"/>
        <v>cylinder</v>
      </c>
      <c r="F75">
        <f>COUNTIF(E$3:E75,E75)</f>
        <v>13</v>
      </c>
      <c r="G75" t="str">
        <v/>
      </c>
      <c r="H75">
        <v>29</v>
      </c>
      <c r="I75" t="str">
        <f ca="1"/>
        <v>Corrugated sheet cutter blade push-out</v>
      </c>
      <c r="J75" t="str">
        <f ca="1"/>
        <v>Corrugated sheet cutter blade push-out</v>
      </c>
      <c r="L75" t="str">
        <f ca="1"/>
        <v>【cylinder13】 Corrugated sheet cutter blade push-out</v>
      </c>
      <c r="M75" t="str">
        <v>CD55B32-105-M9BZ</v>
      </c>
      <c r="N75" t="str">
        <v>CD55B32-105-M9BZ</v>
      </c>
      <c r="O75" t="str">
        <f ca="1"/>
        <v>SMC</v>
      </c>
      <c r="P75" t="str">
        <f ca="1"/>
        <v>SMC</v>
      </c>
      <c r="X75" t="str">
        <f ca="1"/>
        <v xml:space="preserve">
</v>
      </c>
      <c r="Y75" t="str">
        <f ca="1"/>
        <v xml:space="preserve">
</v>
      </c>
      <c r="Z75" t="str">
        <f ca="1"/>
        <v xml:space="preserve">
	//Corrugated sheet cutter blade push-out
	ELSIF uiInfoIdx = 13 THEN</v>
      </c>
      <c r="AA75" t="str">
        <f ca="1"/>
        <v xml:space="preserve">
	//Corrugated sheet cutter blade push-out
	ELSIF uiInfoIdx = 13 THEN
		IF strInfoKey = 'name' THEN</v>
      </c>
      <c r="AB75" t="str">
        <f ca="1"/>
        <v xml:space="preserve">
	//Corrugated sheet cutter blade push-out
	ELSIF uiInfoIdx = 13 THEN
		IF strInfoKey = 'name' THEN
			strRt	:= 'Corrugated sheet cutter blade push-out';</v>
      </c>
      <c r="AC75" t="str">
        <f ca="1"/>
        <v xml:space="preserve">
	//Corrugated sheet cutter blade push-out
	ELSIF uiInfoIdx = 13 THEN
		IF strInfoKey = 'name' THEN
			strRt	:= 'Corrugated sheet cutter blade push-out';
		ELSIF strInfoKey = 'index_name' THEN</v>
      </c>
      <c r="AD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</v>
      </c>
      <c r="AE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</v>
      </c>
      <c r="AF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</v>
      </c>
      <c r="AG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</v>
      </c>
      <c r="AH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</v>
      </c>
      <c r="AI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</v>
      </c>
      <c r="AJ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</v>
      </c>
      <c r="AK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</v>
      </c>
    </row>
    <row r="76" spans="5:37" x14ac:dyDescent="0.55000000000000004">
      <c r="E76" t="str">
        <f t="shared" si="1"/>
        <v>cylinder</v>
      </c>
      <c r="F76">
        <f>COUNTIF(E$3:E76,E76)</f>
        <v>14</v>
      </c>
      <c r="G76" t="str">
        <v/>
      </c>
      <c r="H76">
        <v>30</v>
      </c>
      <c r="I76" t="str">
        <f ca="1"/>
        <v>Corrugated sheet cutter blade open/close</v>
      </c>
      <c r="J76" t="str">
        <f ca="1"/>
        <v>Corrugated sheet cutter blade open/close</v>
      </c>
      <c r="L76" t="str">
        <f ca="1"/>
        <v>【cylinder14】 Corrugated sheet cutter blade open/close</v>
      </c>
      <c r="M76" t="str">
        <v>CDQ2B40M-15DMZ-M9BZ</v>
      </c>
      <c r="N76" t="str">
        <v>CDQ2B40M-15DMZ-M9BZ</v>
      </c>
      <c r="O76" t="str">
        <f ca="1"/>
        <v>SMC</v>
      </c>
      <c r="P76" t="str">
        <f ca="1"/>
        <v>SMC</v>
      </c>
      <c r="X76" t="str">
        <f ca="1"/>
        <v xml:space="preserve">
</v>
      </c>
      <c r="Y76" t="str">
        <f ca="1"/>
        <v xml:space="preserve">
</v>
      </c>
      <c r="Z76" t="str">
        <f ca="1"/>
        <v xml:space="preserve">
	//Corrugated sheet cutter blade open/close
	ELSIF uiInfoIdx = 14 THEN</v>
      </c>
      <c r="AA76" t="str">
        <f ca="1"/>
        <v xml:space="preserve">
	//Corrugated sheet cutter blade open/close
	ELSIF uiInfoIdx = 14 THEN
		IF strInfoKey = 'name' THEN</v>
      </c>
      <c r="AB76" t="str">
        <f ca="1"/>
        <v xml:space="preserve">
	//Corrugated sheet cutter blade open/close
	ELSIF uiInfoIdx = 14 THEN
		IF strInfoKey = 'name' THEN
			strRt	:= 'Corrugated sheet cutter blade open/close';</v>
      </c>
      <c r="AC76" t="str">
        <f ca="1"/>
        <v xml:space="preserve">
	//Corrugated sheet cutter blade open/close
	ELSIF uiInfoIdx = 14 THEN
		IF strInfoKey = 'name' THEN
			strRt	:= 'Corrugated sheet cutter blade open/close';
		ELSIF strInfoKey = 'index_name' THEN</v>
      </c>
      <c r="AD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</v>
      </c>
      <c r="AE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</v>
      </c>
      <c r="AF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</v>
      </c>
      <c r="AG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</v>
      </c>
      <c r="AH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</v>
      </c>
      <c r="AI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  <c r="AJ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  <c r="AK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</row>
    <row r="77" spans="5:37" x14ac:dyDescent="0.55000000000000004">
      <c r="E77" t="str">
        <f t="shared" si="1"/>
        <v>cylinder</v>
      </c>
      <c r="F77">
        <f>COUNTIF(E$3:E77,E77)</f>
        <v>15</v>
      </c>
      <c r="G77" t="str">
        <v/>
      </c>
      <c r="H77">
        <v>31</v>
      </c>
      <c r="I77" t="str">
        <f ca="1"/>
        <v>Corrugated sheet cutter auxiliary</v>
      </c>
      <c r="J77" t="str">
        <f ca="1"/>
        <v>Corrugated sheet cutter auxiliary</v>
      </c>
      <c r="L77" t="str">
        <f ca="1"/>
        <v>【cylinder15】 Corrugated sheet cutter auxiliary</v>
      </c>
      <c r="M77" t="str">
        <v>CXSJM10P-10-M9BL</v>
      </c>
      <c r="N77" t="str">
        <v>CXSJM10P-10-M9BL</v>
      </c>
      <c r="O77" t="str">
        <f ca="1"/>
        <v>SMC</v>
      </c>
      <c r="P77" t="str">
        <f ca="1"/>
        <v>SMC</v>
      </c>
      <c r="X77" t="str">
        <f ca="1"/>
        <v xml:space="preserve">
</v>
      </c>
      <c r="Y77" t="str">
        <f ca="1"/>
        <v xml:space="preserve">
</v>
      </c>
      <c r="Z77" t="str">
        <f ca="1"/>
        <v xml:space="preserve">
	//Corrugated sheet cutter auxiliary
	ELSIF uiInfoIdx = 15 THEN</v>
      </c>
      <c r="AA77" t="str">
        <f ca="1"/>
        <v xml:space="preserve">
	//Corrugated sheet cutter auxiliary
	ELSIF uiInfoIdx = 15 THEN
		IF strInfoKey = 'name' THEN</v>
      </c>
      <c r="AB77" t="str">
        <f ca="1"/>
        <v xml:space="preserve">
	//Corrugated sheet cutter auxiliary
	ELSIF uiInfoIdx = 15 THEN
		IF strInfoKey = 'name' THEN
			strRt	:= 'Corrugated sheet cutter auxiliary';</v>
      </c>
      <c r="AC77" t="str">
        <f ca="1"/>
        <v xml:space="preserve">
	//Corrugated sheet cutter auxiliary
	ELSIF uiInfoIdx = 15 THEN
		IF strInfoKey = 'name' THEN
			strRt	:= 'Corrugated sheet cutter auxiliary';
		ELSIF strInfoKey = 'index_name' THEN</v>
      </c>
      <c r="AD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</v>
      </c>
      <c r="AE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</v>
      </c>
      <c r="AF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</v>
      </c>
      <c r="AG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</v>
      </c>
      <c r="AH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</v>
      </c>
      <c r="AI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</v>
      </c>
      <c r="AJ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</v>
      </c>
      <c r="AK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</v>
      </c>
    </row>
    <row r="78" spans="5:37" x14ac:dyDescent="0.55000000000000004">
      <c r="E78" t="str">
        <f t="shared" si="1"/>
        <v>cylinder</v>
      </c>
      <c r="F78">
        <f>COUNTIF(E$3:E78,E78)</f>
        <v>16</v>
      </c>
      <c r="G78" t="str">
        <v/>
      </c>
      <c r="H78">
        <v>32</v>
      </c>
      <c r="I78" t="str">
        <f ca="1"/>
        <v>Corrugated sheet cutter auxiliary L</v>
      </c>
      <c r="J78" t="str">
        <f ca="1"/>
        <v>Corrugated sheet cutter auxiliary L</v>
      </c>
      <c r="L78" t="str">
        <f ca="1"/>
        <v>【cylinder16】 Corrugated sheet cutter auxiliary L</v>
      </c>
      <c r="M78" t="str">
        <v>CXSJM10P-10-M9BL</v>
      </c>
      <c r="N78" t="str">
        <v>CXSJM10P-10-M9BL</v>
      </c>
      <c r="O78" t="str">
        <f ca="1"/>
        <v>SMC</v>
      </c>
      <c r="P78" t="str">
        <f ca="1"/>
        <v>SMC</v>
      </c>
      <c r="X78" t="str">
        <f ca="1"/>
        <v xml:space="preserve">
</v>
      </c>
      <c r="Y78" t="str">
        <f ca="1"/>
        <v xml:space="preserve">
</v>
      </c>
      <c r="Z78" t="str">
        <f ca="1"/>
        <v xml:space="preserve">
	//Corrugated sheet cutter auxiliary L
	ELSIF uiInfoIdx = 16 THEN</v>
      </c>
      <c r="AA78" t="str">
        <f ca="1"/>
        <v xml:space="preserve">
	//Corrugated sheet cutter auxiliary L
	ELSIF uiInfoIdx = 16 THEN
		IF strInfoKey = 'name' THEN</v>
      </c>
      <c r="AB78" t="str">
        <f ca="1"/>
        <v xml:space="preserve">
	//Corrugated sheet cutter auxiliary L
	ELSIF uiInfoIdx = 16 THEN
		IF strInfoKey = 'name' THEN
			strRt	:= 'Corrugated sheet cutter auxiliary L';</v>
      </c>
      <c r="AC78" t="str">
        <f ca="1"/>
        <v xml:space="preserve">
	//Corrugated sheet cutter auxiliary L
	ELSIF uiInfoIdx = 16 THEN
		IF strInfoKey = 'name' THEN
			strRt	:= 'Corrugated sheet cutter auxiliary L';
		ELSIF strInfoKey = 'index_name' THEN</v>
      </c>
      <c r="AD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</v>
      </c>
      <c r="AE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</v>
      </c>
      <c r="AF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</v>
      </c>
      <c r="AG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</v>
      </c>
      <c r="AH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</v>
      </c>
      <c r="AI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</v>
      </c>
      <c r="AJ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</v>
      </c>
      <c r="AK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</v>
      </c>
    </row>
    <row r="79" spans="5:37" x14ac:dyDescent="0.55000000000000004">
      <c r="E79" t="str">
        <f t="shared" si="1"/>
        <v>cylinder</v>
      </c>
      <c r="F79">
        <f>COUNTIF(E$3:E79,E79)</f>
        <v>17</v>
      </c>
      <c r="G79" t="str">
        <v/>
      </c>
      <c r="H79">
        <v>33</v>
      </c>
      <c r="I79" t="str">
        <f ca="1"/>
        <v>X-roll gluing ①</v>
      </c>
      <c r="J79" t="str">
        <f ca="1"/>
        <v>X-roll gluing ①</v>
      </c>
      <c r="L79" t="str">
        <f ca="1"/>
        <v>【cylinder17】 X-roll gluing ①</v>
      </c>
      <c r="M79" t="str">
        <v>CDM2RA20-25Z-M9BWV</v>
      </c>
      <c r="N79" t="str">
        <v>CDM2RA20-25Z-M9BWV</v>
      </c>
      <c r="O79" t="str">
        <f ca="1"/>
        <v/>
      </c>
      <c r="P79" t="str">
        <f ca="1"/>
        <v>unknown</v>
      </c>
      <c r="X79" t="str">
        <f ca="1"/>
        <v xml:space="preserve">
</v>
      </c>
      <c r="Y79" t="str">
        <f ca="1"/>
        <v xml:space="preserve">
</v>
      </c>
      <c r="Z79" t="str">
        <f ca="1"/>
        <v xml:space="preserve">
	//X-roll gluing ①
	ELSIF uiInfoIdx = 17 THEN</v>
      </c>
      <c r="AA79" t="str">
        <f ca="1"/>
        <v xml:space="preserve">
	//X-roll gluing ①
	ELSIF uiInfoIdx = 17 THEN
		IF strInfoKey = 'name' THEN</v>
      </c>
      <c r="AB79" t="str">
        <f ca="1"/>
        <v xml:space="preserve">
	//X-roll gluing ①
	ELSIF uiInfoIdx = 17 THEN
		IF strInfoKey = 'name' THEN
			strRt	:= 'X-roll gluing ①';</v>
      </c>
      <c r="AC79" t="str">
        <f ca="1"/>
        <v xml:space="preserve">
	//X-roll gluing ①
	ELSIF uiInfoIdx = 17 THEN
		IF strInfoKey = 'name' THEN
			strRt	:= 'X-roll gluing ①';
		ELSIF strInfoKey = 'index_name' THEN</v>
      </c>
      <c r="AD79" t="str">
        <f ca="1"/>
        <v xml:space="preserve">
	//X-roll gluing ①
	ELSIF uiInfoIdx = 17 THEN
		IF strInfoKey = 'name' THEN
			strRt	:= 'X-roll gluing ①';
		ELSIF strInfoKey = 'index_name' THEN
			strRt	:= '【cylinder17】 X-roll gluing ①';</v>
      </c>
      <c r="AE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</v>
      </c>
      <c r="AF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</v>
      </c>
      <c r="AG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</v>
      </c>
      <c r="AH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</v>
      </c>
      <c r="AI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</v>
      </c>
      <c r="AJ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</v>
      </c>
      <c r="AK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</v>
      </c>
    </row>
    <row r="80" spans="5:37" x14ac:dyDescent="0.55000000000000004">
      <c r="E80" t="str">
        <f t="shared" si="1"/>
        <v>cylinder</v>
      </c>
      <c r="F80">
        <f>COUNTIF(E$3:E80,E80)</f>
        <v>18</v>
      </c>
      <c r="G80" t="str">
        <v/>
      </c>
      <c r="H80">
        <v>34</v>
      </c>
      <c r="I80" t="str">
        <f ca="1"/>
        <v>X-roll gluing ②</v>
      </c>
      <c r="J80" t="str">
        <f ca="1"/>
        <v>X-roll gluing ②</v>
      </c>
      <c r="L80" t="str">
        <f ca="1"/>
        <v>【cylinder18】 X-roll gluing ②</v>
      </c>
      <c r="M80" t="str">
        <v>CDM2RA20-25Z-M9BWV</v>
      </c>
      <c r="N80" t="str">
        <v>CDM2RA20-25Z-M9BWV</v>
      </c>
      <c r="O80" t="str">
        <f ca="1"/>
        <v/>
      </c>
      <c r="P80" t="str">
        <f ca="1"/>
        <v>unknown</v>
      </c>
      <c r="X80" t="str">
        <f ca="1"/>
        <v xml:space="preserve">
</v>
      </c>
      <c r="Y80" t="str">
        <f ca="1"/>
        <v xml:space="preserve">
</v>
      </c>
      <c r="Z80" t="str">
        <f ca="1"/>
        <v xml:space="preserve">
	//X-roll gluing ②
	ELSIF uiInfoIdx = 18 THEN</v>
      </c>
      <c r="AA80" t="str">
        <f ca="1"/>
        <v xml:space="preserve">
	//X-roll gluing ②
	ELSIF uiInfoIdx = 18 THEN
		IF strInfoKey = 'name' THEN</v>
      </c>
      <c r="AB80" t="str">
        <f ca="1"/>
        <v xml:space="preserve">
	//X-roll gluing ②
	ELSIF uiInfoIdx = 18 THEN
		IF strInfoKey = 'name' THEN
			strRt	:= 'X-roll gluing ②';</v>
      </c>
      <c r="AC80" t="str">
        <f ca="1"/>
        <v xml:space="preserve">
	//X-roll gluing ②
	ELSIF uiInfoIdx = 18 THEN
		IF strInfoKey = 'name' THEN
			strRt	:= 'X-roll gluing ②';
		ELSIF strInfoKey = 'index_name' THEN</v>
      </c>
      <c r="AD80" t="str">
        <f ca="1"/>
        <v xml:space="preserve">
	//X-roll gluing ②
	ELSIF uiInfoIdx = 18 THEN
		IF strInfoKey = 'name' THEN
			strRt	:= 'X-roll gluing ②';
		ELSIF strInfoKey = 'index_name' THEN
			strRt	:= '【cylinder18】 X-roll gluing ②';</v>
      </c>
      <c r="AE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</v>
      </c>
      <c r="AF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</v>
      </c>
      <c r="AG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</v>
      </c>
      <c r="AH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</v>
      </c>
      <c r="AI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</v>
      </c>
      <c r="AJ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</v>
      </c>
      <c r="AK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</v>
      </c>
    </row>
    <row r="81" spans="5:37" x14ac:dyDescent="0.55000000000000004">
      <c r="E81" t="str">
        <f t="shared" si="1"/>
        <v>cylinder</v>
      </c>
      <c r="F81">
        <f>COUNTIF(E$3:E81,E81)</f>
        <v>19</v>
      </c>
      <c r="G81" t="str">
        <v/>
      </c>
      <c r="H81">
        <v>35</v>
      </c>
      <c r="I81" t="str">
        <f ca="1"/>
        <v>X-roll flat plate pressing</v>
      </c>
      <c r="J81" t="str">
        <f ca="1"/>
        <v>X-roll flat plate pressing</v>
      </c>
      <c r="L81" t="str">
        <f ca="1"/>
        <v>【cylinder19】 X-roll flat plate pressing</v>
      </c>
      <c r="M81" t="str">
        <v>不明</v>
      </c>
      <c r="N81" t="str">
        <v>不明</v>
      </c>
      <c r="O81" t="str">
        <f ca="1"/>
        <v/>
      </c>
      <c r="P81" t="str">
        <f ca="1"/>
        <v>unknown</v>
      </c>
      <c r="X81" t="str">
        <f ca="1"/>
        <v xml:space="preserve">
</v>
      </c>
      <c r="Y81" t="str">
        <f ca="1"/>
        <v xml:space="preserve">
</v>
      </c>
      <c r="Z81" t="str">
        <f ca="1"/>
        <v xml:space="preserve">
	//X-roll flat plate pressing
	ELSIF uiInfoIdx = 19 THEN</v>
      </c>
      <c r="AA81" t="str">
        <f ca="1"/>
        <v xml:space="preserve">
	//X-roll flat plate pressing
	ELSIF uiInfoIdx = 19 THEN
		IF strInfoKey = 'name' THEN</v>
      </c>
      <c r="AB81" t="str">
        <f ca="1"/>
        <v xml:space="preserve">
	//X-roll flat plate pressing
	ELSIF uiInfoIdx = 19 THEN
		IF strInfoKey = 'name' THEN
			strRt	:= 'X-roll flat plate pressing';</v>
      </c>
      <c r="AC81" t="str">
        <f ca="1"/>
        <v xml:space="preserve">
	//X-roll flat plate pressing
	ELSIF uiInfoIdx = 19 THEN
		IF strInfoKey = 'name' THEN
			strRt	:= 'X-roll flat plate pressing';
		ELSIF strInfoKey = 'index_name' THEN</v>
      </c>
      <c r="AD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</v>
      </c>
      <c r="AE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</v>
      </c>
      <c r="AF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</v>
      </c>
      <c r="AG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</v>
      </c>
      <c r="AH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</v>
      </c>
      <c r="AI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</v>
      </c>
      <c r="AJ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</v>
      </c>
      <c r="AK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</v>
      </c>
    </row>
    <row r="82" spans="5:37" x14ac:dyDescent="0.55000000000000004">
      <c r="E82" t="str">
        <f t="shared" si="1"/>
        <v>cylinder</v>
      </c>
      <c r="F82">
        <f>COUNTIF(E$3:E82,E82)</f>
        <v>20</v>
      </c>
      <c r="G82" t="str">
        <v/>
      </c>
      <c r="H82" t="str">
        <v/>
      </c>
      <c r="I82" t="str">
        <f ca="1"/>
        <v/>
      </c>
      <c r="J82" t="str">
        <f ca="1"/>
        <v/>
      </c>
      <c r="L82" t="str">
        <f ca="1"/>
        <v/>
      </c>
      <c r="M82" t="str">
        <v/>
      </c>
      <c r="N82" t="str">
        <v/>
      </c>
      <c r="O82" t="str">
        <f ca="1"/>
        <v/>
      </c>
      <c r="P82" t="str">
        <f ca="1"/>
        <v/>
      </c>
      <c r="X82" t="str">
        <f ca="1"/>
        <v/>
      </c>
      <c r="Y82" t="str">
        <f ca="1"/>
        <v/>
      </c>
      <c r="Z82" t="str">
        <f ca="1"/>
        <v/>
      </c>
      <c r="AA82" t="str">
        <f ca="1"/>
        <v/>
      </c>
      <c r="AB82" t="str">
        <f ca="1"/>
        <v/>
      </c>
      <c r="AC82" t="str">
        <f ca="1"/>
        <v/>
      </c>
      <c r="AD82" t="str">
        <f ca="1"/>
        <v/>
      </c>
      <c r="AE82" t="str">
        <f ca="1"/>
        <v/>
      </c>
      <c r="AF82" t="str">
        <f ca="1"/>
        <v/>
      </c>
      <c r="AG82" t="str">
        <f ca="1"/>
        <v/>
      </c>
      <c r="AH82" t="str">
        <f ca="1"/>
        <v/>
      </c>
      <c r="AI82" t="str">
        <f ca="1"/>
        <v/>
      </c>
      <c r="AJ82" t="str">
        <f ca="1"/>
        <v/>
      </c>
      <c r="AK82" t="str">
        <f ca="1"/>
        <v/>
      </c>
    </row>
    <row r="83" spans="5:37" x14ac:dyDescent="0.55000000000000004">
      <c r="E83" t="str">
        <f t="shared" si="1"/>
        <v>cylinder</v>
      </c>
      <c r="F83">
        <f>COUNTIF(E$3:E83,E83)</f>
        <v>21</v>
      </c>
      <c r="G83" t="str">
        <v/>
      </c>
      <c r="H83" t="str">
        <v/>
      </c>
      <c r="I83" t="str">
        <f ca="1"/>
        <v/>
      </c>
      <c r="J83" t="str">
        <f ca="1"/>
        <v/>
      </c>
      <c r="L83" t="str">
        <f ca="1"/>
        <v/>
      </c>
      <c r="M83" t="str">
        <v/>
      </c>
      <c r="N83" t="str">
        <v/>
      </c>
      <c r="O83" t="str">
        <f ca="1"/>
        <v/>
      </c>
      <c r="P83" t="str">
        <f ca="1"/>
        <v/>
      </c>
      <c r="X83" t="str">
        <f ca="1"/>
        <v/>
      </c>
      <c r="Y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</row>
    <row r="84" spans="5:37" x14ac:dyDescent="0.55000000000000004">
      <c r="E84" t="str">
        <f t="shared" si="1"/>
        <v>cylinder</v>
      </c>
      <c r="F84">
        <f>COUNTIF(E$3:E84,E84)</f>
        <v>22</v>
      </c>
      <c r="G84" t="str">
        <v/>
      </c>
      <c r="H84" t="str">
        <v/>
      </c>
      <c r="I84" t="str">
        <f ca="1"/>
        <v/>
      </c>
      <c r="J84" t="str">
        <f ca="1"/>
        <v/>
      </c>
      <c r="L84" t="str">
        <f ca="1"/>
        <v/>
      </c>
      <c r="M84" t="str">
        <v/>
      </c>
      <c r="N84" t="str">
        <v/>
      </c>
      <c r="O84" t="str">
        <f ca="1"/>
        <v/>
      </c>
      <c r="P84" t="str">
        <f ca="1"/>
        <v/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</row>
    <row r="85" spans="5:37" x14ac:dyDescent="0.55000000000000004">
      <c r="E85" t="str">
        <f t="shared" si="1"/>
        <v>cylinder</v>
      </c>
      <c r="F85">
        <f>COUNTIF(E$3:E85,E85)</f>
        <v>23</v>
      </c>
      <c r="G85" t="str">
        <v/>
      </c>
      <c r="H85" t="str">
        <v/>
      </c>
      <c r="I85" t="str">
        <f ca="1"/>
        <v/>
      </c>
      <c r="J85" t="str">
        <f ca="1"/>
        <v/>
      </c>
      <c r="L85" t="str">
        <f ca="1"/>
        <v/>
      </c>
      <c r="M85" t="str">
        <v/>
      </c>
      <c r="N85" t="str">
        <v/>
      </c>
      <c r="O85" t="str">
        <f ca="1"/>
        <v/>
      </c>
      <c r="P85" t="str">
        <f ca="1"/>
        <v/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</row>
    <row r="86" spans="5:37" x14ac:dyDescent="0.55000000000000004">
      <c r="E86" t="str">
        <f t="shared" si="1"/>
        <v>cylinder</v>
      </c>
      <c r="F86">
        <f>COUNTIF(E$3:E86,E86)</f>
        <v>24</v>
      </c>
      <c r="G86" t="str">
        <v/>
      </c>
      <c r="H86" t="str">
        <v/>
      </c>
      <c r="I86" t="str">
        <f ca="1"/>
        <v/>
      </c>
      <c r="J86" t="str">
        <f ca="1"/>
        <v/>
      </c>
      <c r="L86" t="str">
        <f ca="1"/>
        <v/>
      </c>
      <c r="M86" t="str">
        <v/>
      </c>
      <c r="N86" t="str">
        <v/>
      </c>
      <c r="O86" t="str">
        <f ca="1"/>
        <v/>
      </c>
      <c r="P86" t="str">
        <f ca="1"/>
        <v/>
      </c>
      <c r="X86" t="str">
        <f ca="1"/>
        <v/>
      </c>
      <c r="Y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</row>
    <row r="87" spans="5:37" x14ac:dyDescent="0.55000000000000004">
      <c r="E87" t="str">
        <f t="shared" si="1"/>
        <v>cylinder</v>
      </c>
      <c r="F87">
        <f>COUNTIF(E$3:E87,E87)</f>
        <v>25</v>
      </c>
      <c r="G87" t="str">
        <v/>
      </c>
      <c r="H87" t="str">
        <v/>
      </c>
      <c r="I87" t="str">
        <f ca="1"/>
        <v/>
      </c>
      <c r="J87" t="str">
        <f ca="1"/>
        <v/>
      </c>
      <c r="L87" t="str">
        <f ca="1"/>
        <v/>
      </c>
      <c r="M87" t="str">
        <v/>
      </c>
      <c r="N87" t="str">
        <v/>
      </c>
      <c r="O87" t="str">
        <f ca="1"/>
        <v/>
      </c>
      <c r="P87" t="str">
        <f ca="1"/>
        <v/>
      </c>
      <c r="X87" t="str">
        <f ca="1"/>
        <v/>
      </c>
      <c r="Y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</row>
    <row r="88" spans="5:37" x14ac:dyDescent="0.55000000000000004">
      <c r="E88" t="str">
        <f t="shared" si="1"/>
        <v>cylinder</v>
      </c>
      <c r="F88">
        <f>COUNTIF(E$3:E88,E88)</f>
        <v>26</v>
      </c>
      <c r="G88" t="str">
        <v/>
      </c>
      <c r="H88" t="str">
        <v/>
      </c>
      <c r="I88" t="str">
        <f ca="1"/>
        <v/>
      </c>
      <c r="J88" t="str">
        <f ca="1"/>
        <v/>
      </c>
      <c r="L88" t="str">
        <f ca="1"/>
        <v/>
      </c>
      <c r="M88" t="str">
        <v/>
      </c>
      <c r="N88" t="str">
        <v/>
      </c>
      <c r="O88" t="str">
        <f ca="1"/>
        <v/>
      </c>
      <c r="P88" t="str">
        <f ca="1"/>
        <v/>
      </c>
      <c r="X88" t="str">
        <f ca="1"/>
        <v/>
      </c>
      <c r="Y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</row>
    <row r="89" spans="5:37" x14ac:dyDescent="0.55000000000000004">
      <c r="E89" t="str">
        <f t="shared" si="1"/>
        <v>cylinder</v>
      </c>
      <c r="F89">
        <f>COUNTIF(E$3:E89,E89)</f>
        <v>27</v>
      </c>
      <c r="G89" t="str">
        <v/>
      </c>
      <c r="H89" t="str">
        <v/>
      </c>
      <c r="I89" t="str">
        <f ca="1"/>
        <v/>
      </c>
      <c r="J89" t="str">
        <f ca="1"/>
        <v/>
      </c>
      <c r="L89" t="str">
        <f ca="1"/>
        <v/>
      </c>
      <c r="M89" t="str">
        <v/>
      </c>
      <c r="N89" t="str">
        <v/>
      </c>
      <c r="O89" t="str">
        <f ca="1"/>
        <v/>
      </c>
      <c r="P89" t="str">
        <f ca="1"/>
        <v/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</row>
    <row r="90" spans="5:37" x14ac:dyDescent="0.55000000000000004">
      <c r="E90" t="str">
        <f t="shared" si="1"/>
        <v>cylinder</v>
      </c>
      <c r="F90">
        <f>COUNTIF(E$3:E90,E90)</f>
        <v>28</v>
      </c>
      <c r="G90" t="str">
        <v/>
      </c>
      <c r="H90" t="str">
        <v/>
      </c>
      <c r="I90" t="str">
        <f ca="1"/>
        <v/>
      </c>
      <c r="J90" t="str">
        <f ca="1"/>
        <v/>
      </c>
      <c r="L90" t="str">
        <f ca="1"/>
        <v/>
      </c>
      <c r="M90" t="str">
        <v/>
      </c>
      <c r="N90" t="str">
        <v/>
      </c>
      <c r="O90" t="str">
        <f ca="1"/>
        <v/>
      </c>
      <c r="P90" t="str">
        <f ca="1"/>
        <v/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</row>
    <row r="91" spans="5:37" x14ac:dyDescent="0.55000000000000004">
      <c r="E91" t="str">
        <f t="shared" si="1"/>
        <v>cylinder</v>
      </c>
      <c r="F91">
        <f>COUNTIF(E$3:E91,E91)</f>
        <v>29</v>
      </c>
      <c r="G91" t="str">
        <v/>
      </c>
      <c r="H91" t="str">
        <v/>
      </c>
      <c r="I91" t="str">
        <f ca="1"/>
        <v/>
      </c>
      <c r="J91" t="str">
        <f ca="1"/>
        <v/>
      </c>
      <c r="L91" t="str">
        <f ca="1"/>
        <v/>
      </c>
      <c r="M91" t="str">
        <v/>
      </c>
      <c r="N91" t="str">
        <v/>
      </c>
      <c r="O91" t="str">
        <f ca="1"/>
        <v/>
      </c>
      <c r="P91" t="str">
        <f ca="1"/>
        <v/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</row>
    <row r="92" spans="5:37" x14ac:dyDescent="0.55000000000000004">
      <c r="E92" t="str">
        <f t="shared" si="1"/>
        <v>cylinder</v>
      </c>
      <c r="F92">
        <f>COUNTIF(E$3:E92,E92)</f>
        <v>30</v>
      </c>
      <c r="G92" t="str">
        <v/>
      </c>
      <c r="H92" t="str">
        <v/>
      </c>
      <c r="I92" t="str">
        <f ca="1"/>
        <v/>
      </c>
      <c r="J92" t="str">
        <f ca="1"/>
        <v/>
      </c>
      <c r="L92" t="str">
        <f ca="1"/>
        <v/>
      </c>
      <c r="M92" t="str">
        <v/>
      </c>
      <c r="N92" t="str">
        <v/>
      </c>
      <c r="O92" t="str">
        <f ca="1"/>
        <v/>
      </c>
      <c r="P92" t="str">
        <f ca="1"/>
        <v/>
      </c>
      <c r="X92" t="str">
        <f ca="1"/>
        <v/>
      </c>
      <c r="Y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</row>
    <row r="93" spans="5:37" x14ac:dyDescent="0.55000000000000004">
      <c r="E93" t="str">
        <f t="shared" si="1"/>
        <v>cylinder</v>
      </c>
      <c r="F93">
        <f>COUNTIF(E$3:E93,E93)</f>
        <v>31</v>
      </c>
      <c r="G93" t="str">
        <v/>
      </c>
      <c r="H93" t="str">
        <v/>
      </c>
      <c r="I93" t="str">
        <f ca="1"/>
        <v/>
      </c>
      <c r="J93" t="str">
        <f ca="1"/>
        <v/>
      </c>
      <c r="L93" t="str">
        <f ca="1"/>
        <v/>
      </c>
      <c r="M93" t="str">
        <v/>
      </c>
      <c r="N93" t="str">
        <v/>
      </c>
      <c r="O93" t="str">
        <f ca="1"/>
        <v/>
      </c>
      <c r="P93" t="str">
        <f ca="1"/>
        <v/>
      </c>
      <c r="X93" t="str">
        <f ca="1"/>
        <v/>
      </c>
      <c r="Y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</row>
    <row r="94" spans="5:37" x14ac:dyDescent="0.55000000000000004">
      <c r="E94" t="str">
        <f t="shared" si="1"/>
        <v>cylinder</v>
      </c>
      <c r="F94">
        <f>COUNTIF(E$3:E94,E94)</f>
        <v>32</v>
      </c>
      <c r="G94" t="str">
        <v/>
      </c>
      <c r="H94" t="str">
        <v/>
      </c>
      <c r="I94" t="str">
        <f ca="1"/>
        <v/>
      </c>
      <c r="J94" t="str">
        <f ca="1"/>
        <v/>
      </c>
      <c r="L94" t="str">
        <f ca="1"/>
        <v/>
      </c>
      <c r="M94" t="str">
        <v/>
      </c>
      <c r="N94" t="str">
        <v/>
      </c>
      <c r="O94" t="str">
        <f ca="1"/>
        <v/>
      </c>
      <c r="P94" t="str">
        <f ca="1"/>
        <v/>
      </c>
      <c r="X94" t="str">
        <f ca="1"/>
        <v/>
      </c>
      <c r="Y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</row>
    <row r="95" spans="5:37" x14ac:dyDescent="0.55000000000000004">
      <c r="E95" t="str">
        <f t="shared" si="1"/>
        <v>cylinder</v>
      </c>
      <c r="F95">
        <f>COUNTIF(E$3:E95,E95)</f>
        <v>33</v>
      </c>
      <c r="G95" t="str">
        <v/>
      </c>
      <c r="H95" t="str">
        <v/>
      </c>
      <c r="I95" t="str">
        <f ca="1"/>
        <v/>
      </c>
      <c r="J95" t="str">
        <f ca="1"/>
        <v/>
      </c>
      <c r="L95" t="str">
        <f ca="1"/>
        <v/>
      </c>
      <c r="M95" t="str">
        <v/>
      </c>
      <c r="N95" t="str">
        <v/>
      </c>
      <c r="O95" t="str">
        <f ca="1"/>
        <v/>
      </c>
      <c r="P95" t="str">
        <f ca="1"/>
        <v/>
      </c>
      <c r="X95" t="str">
        <f ca="1"/>
        <v/>
      </c>
      <c r="Y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</row>
    <row r="96" spans="5:37" x14ac:dyDescent="0.55000000000000004">
      <c r="E96" t="str">
        <f t="shared" si="1"/>
        <v>cylinder</v>
      </c>
      <c r="F96">
        <f>COUNTIF(E$3:E96,E96)</f>
        <v>34</v>
      </c>
      <c r="G96" t="str">
        <v/>
      </c>
      <c r="H96" t="str">
        <v/>
      </c>
      <c r="I96" t="str">
        <f ca="1"/>
        <v/>
      </c>
      <c r="J96" t="str">
        <f ca="1"/>
        <v/>
      </c>
      <c r="L96" t="str">
        <f ca="1"/>
        <v/>
      </c>
      <c r="M96" t="str">
        <v/>
      </c>
      <c r="N96" t="str">
        <v/>
      </c>
      <c r="O96" t="str">
        <f ca="1"/>
        <v/>
      </c>
      <c r="P96" t="str">
        <f ca="1"/>
        <v/>
      </c>
      <c r="X96" t="str">
        <f ca="1"/>
        <v/>
      </c>
      <c r="Y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</row>
    <row r="97" spans="5:37" x14ac:dyDescent="0.55000000000000004">
      <c r="E97" t="str">
        <f t="shared" si="1"/>
        <v>cylinder</v>
      </c>
      <c r="F97">
        <f>COUNTIF(E$3:E97,E97)</f>
        <v>35</v>
      </c>
      <c r="G97" t="str">
        <v/>
      </c>
      <c r="H97" t="str">
        <v/>
      </c>
      <c r="I97" t="str">
        <f ca="1"/>
        <v/>
      </c>
      <c r="J97" t="str">
        <f ca="1"/>
        <v/>
      </c>
      <c r="L97" t="str">
        <f ca="1"/>
        <v/>
      </c>
      <c r="M97" t="str">
        <v/>
      </c>
      <c r="N97" t="str">
        <v/>
      </c>
      <c r="O97" t="str">
        <f ca="1"/>
        <v/>
      </c>
      <c r="P97" t="str">
        <f ca="1"/>
        <v/>
      </c>
      <c r="X97" t="str">
        <f ca="1"/>
        <v/>
      </c>
      <c r="Y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</row>
    <row r="98" spans="5:37" x14ac:dyDescent="0.55000000000000004">
      <c r="E98" t="str">
        <f t="shared" si="1"/>
        <v>cylinder</v>
      </c>
      <c r="F98">
        <f>COUNTIF(E$3:E98,E98)</f>
        <v>36</v>
      </c>
      <c r="G98" t="str">
        <v/>
      </c>
      <c r="H98" t="str">
        <v/>
      </c>
      <c r="I98" t="str">
        <f ca="1"/>
        <v/>
      </c>
      <c r="J98" t="str">
        <f ca="1"/>
        <v/>
      </c>
      <c r="L98" t="str">
        <f ca="1"/>
        <v/>
      </c>
      <c r="M98" t="str">
        <v/>
      </c>
      <c r="N98" t="str">
        <v/>
      </c>
      <c r="O98" t="str">
        <f ca="1"/>
        <v/>
      </c>
      <c r="P98" t="str">
        <f ca="1"/>
        <v/>
      </c>
      <c r="X98" t="str">
        <f ca="1"/>
        <v/>
      </c>
      <c r="Y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</row>
    <row r="99" spans="5:37" x14ac:dyDescent="0.55000000000000004">
      <c r="E99" t="str">
        <f t="shared" si="1"/>
        <v>cylinder</v>
      </c>
      <c r="F99">
        <f>COUNTIF(E$3:E99,E99)</f>
        <v>37</v>
      </c>
      <c r="G99" t="str">
        <v/>
      </c>
      <c r="H99" t="str">
        <v/>
      </c>
      <c r="I99" t="str">
        <f ca="1"/>
        <v/>
      </c>
      <c r="J99" t="str">
        <f ca="1"/>
        <v/>
      </c>
      <c r="L99" t="str">
        <f ca="1"/>
        <v/>
      </c>
      <c r="M99" t="str">
        <v/>
      </c>
      <c r="N99" t="str">
        <v/>
      </c>
      <c r="O99" t="str">
        <f ca="1"/>
        <v/>
      </c>
      <c r="P99" t="str">
        <f ca="1"/>
        <v/>
      </c>
      <c r="X99" t="str">
        <f ca="1"/>
        <v/>
      </c>
      <c r="Y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</row>
    <row r="100" spans="5:37" x14ac:dyDescent="0.55000000000000004">
      <c r="E100" t="str">
        <f t="shared" si="1"/>
        <v>cylinder</v>
      </c>
      <c r="F100">
        <f>COUNTIF(E$3:E100,E100)</f>
        <v>38</v>
      </c>
      <c r="G100" t="str">
        <v/>
      </c>
      <c r="H100" t="str">
        <v/>
      </c>
      <c r="I100" t="str">
        <f ca="1"/>
        <v/>
      </c>
      <c r="J100" t="str">
        <f ca="1"/>
        <v/>
      </c>
      <c r="L100" t="str">
        <f ca="1"/>
        <v/>
      </c>
      <c r="M100" t="str">
        <v/>
      </c>
      <c r="N100" t="str">
        <v/>
      </c>
      <c r="O100" t="str">
        <f ca="1"/>
        <v/>
      </c>
      <c r="P100" t="str">
        <f ca="1"/>
        <v/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</row>
    <row r="101" spans="5:37" x14ac:dyDescent="0.55000000000000004">
      <c r="E101" t="str">
        <f t="shared" si="1"/>
        <v>cylinder</v>
      </c>
      <c r="F101">
        <f>COUNTIF(E$3:E101,E101)</f>
        <v>39</v>
      </c>
      <c r="G101" t="str">
        <v/>
      </c>
      <c r="H101" t="str">
        <v/>
      </c>
      <c r="I101" t="str">
        <f ca="1"/>
        <v/>
      </c>
      <c r="J101" t="str">
        <f ca="1"/>
        <v/>
      </c>
      <c r="L101" t="str">
        <f ca="1"/>
        <v/>
      </c>
      <c r="M101" t="str">
        <v/>
      </c>
      <c r="N101" t="str">
        <v/>
      </c>
      <c r="O101" t="str">
        <f ca="1"/>
        <v/>
      </c>
      <c r="P101" t="str">
        <f ca="1"/>
        <v/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</row>
    <row r="102" spans="5:37" x14ac:dyDescent="0.55000000000000004">
      <c r="E102" t="str">
        <f t="shared" si="1"/>
        <v>cylinder</v>
      </c>
      <c r="F102">
        <f>COUNTIF(E$3:E102,E102)</f>
        <v>40</v>
      </c>
      <c r="G102" t="str">
        <v/>
      </c>
      <c r="H102" t="str">
        <v/>
      </c>
      <c r="I102" t="str">
        <f ca="1"/>
        <v/>
      </c>
      <c r="J102" t="str">
        <f ca="1"/>
        <v/>
      </c>
      <c r="L102" t="str">
        <f ca="1"/>
        <v/>
      </c>
      <c r="M102" t="str">
        <v/>
      </c>
      <c r="N102" t="str">
        <v/>
      </c>
      <c r="O102" t="str">
        <f ca="1"/>
        <v/>
      </c>
      <c r="P102" t="str">
        <f ca="1"/>
        <v/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</row>
    <row r="103" spans="5:37" x14ac:dyDescent="0.55000000000000004">
      <c r="E103" t="str">
        <f t="shared" si="1"/>
        <v>cylinder</v>
      </c>
      <c r="F103">
        <f>COUNTIF(E$3:E103,E103)</f>
        <v>41</v>
      </c>
      <c r="G103" t="str">
        <v/>
      </c>
      <c r="H103" t="str">
        <v/>
      </c>
      <c r="I103" t="str">
        <f ca="1"/>
        <v/>
      </c>
      <c r="J103" t="str">
        <f ca="1"/>
        <v/>
      </c>
      <c r="L103" t="str">
        <f ca="1"/>
        <v/>
      </c>
      <c r="M103" t="str">
        <v/>
      </c>
      <c r="N103" t="str">
        <v/>
      </c>
      <c r="O103" t="str">
        <f ca="1"/>
        <v/>
      </c>
      <c r="P103" t="str">
        <f ca="1"/>
        <v/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</row>
    <row r="104" spans="5:37" x14ac:dyDescent="0.55000000000000004">
      <c r="E104" t="str">
        <f t="shared" si="1"/>
        <v>cylinder</v>
      </c>
      <c r="F104">
        <f>COUNTIF(E$3:E104,E104)</f>
        <v>42</v>
      </c>
      <c r="G104" t="str">
        <v/>
      </c>
      <c r="H104" t="str">
        <v/>
      </c>
      <c r="I104" t="str">
        <f ca="1"/>
        <v/>
      </c>
      <c r="J104" t="str">
        <f ca="1"/>
        <v/>
      </c>
      <c r="L104" t="str">
        <f ca="1"/>
        <v/>
      </c>
      <c r="M104" t="str">
        <v/>
      </c>
      <c r="N104" t="str">
        <v/>
      </c>
      <c r="O104" t="str">
        <f ca="1"/>
        <v/>
      </c>
      <c r="P104" t="str">
        <f ca="1"/>
        <v/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</row>
    <row r="105" spans="5:37" x14ac:dyDescent="0.55000000000000004">
      <c r="E105" t="str">
        <f t="shared" si="1"/>
        <v>cylinder</v>
      </c>
      <c r="F105">
        <f>COUNTIF(E$3:E105,E105)</f>
        <v>43</v>
      </c>
      <c r="G105" t="str">
        <v/>
      </c>
      <c r="H105" t="str">
        <v/>
      </c>
      <c r="I105" t="str">
        <f ca="1"/>
        <v/>
      </c>
      <c r="J105" t="str">
        <f ca="1"/>
        <v/>
      </c>
      <c r="L105" t="str">
        <f ca="1"/>
        <v/>
      </c>
      <c r="M105" t="str">
        <v/>
      </c>
      <c r="N105" t="str">
        <v/>
      </c>
      <c r="O105" t="str">
        <f ca="1"/>
        <v/>
      </c>
      <c r="P105" t="str">
        <f ca="1"/>
        <v/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</row>
    <row r="106" spans="5:37" x14ac:dyDescent="0.55000000000000004">
      <c r="E106" t="str">
        <f t="shared" si="1"/>
        <v>cylinder</v>
      </c>
      <c r="F106">
        <f>COUNTIF(E$3:E106,E106)</f>
        <v>44</v>
      </c>
      <c r="G106" t="str">
        <v/>
      </c>
      <c r="H106" t="str">
        <v/>
      </c>
      <c r="I106" t="str">
        <f ca="1"/>
        <v/>
      </c>
      <c r="J106" t="str">
        <f ca="1"/>
        <v/>
      </c>
      <c r="L106" t="str">
        <f ca="1"/>
        <v/>
      </c>
      <c r="M106" t="str">
        <v/>
      </c>
      <c r="N106" t="str">
        <v/>
      </c>
      <c r="O106" t="str">
        <f ca="1"/>
        <v/>
      </c>
      <c r="P106" t="str">
        <f ca="1"/>
        <v/>
      </c>
      <c r="X106" t="str">
        <f ca="1"/>
        <v/>
      </c>
      <c r="Y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</row>
    <row r="107" spans="5:37" x14ac:dyDescent="0.55000000000000004">
      <c r="E107" t="str">
        <f t="shared" si="1"/>
        <v>cylinder</v>
      </c>
      <c r="F107">
        <f>COUNTIF(E$3:E107,E107)</f>
        <v>45</v>
      </c>
      <c r="G107" t="str">
        <v/>
      </c>
      <c r="H107" t="str">
        <v/>
      </c>
      <c r="I107" t="str">
        <f ca="1"/>
        <v/>
      </c>
      <c r="J107" t="str">
        <f ca="1"/>
        <v/>
      </c>
      <c r="L107" t="str">
        <f ca="1"/>
        <v/>
      </c>
      <c r="M107" t="str">
        <v/>
      </c>
      <c r="N107" t="str">
        <v/>
      </c>
      <c r="O107" t="str">
        <f ca="1"/>
        <v/>
      </c>
      <c r="P107" t="str">
        <f ca="1"/>
        <v/>
      </c>
      <c r="X107" t="str">
        <f ca="1"/>
        <v/>
      </c>
      <c r="Y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</row>
    <row r="108" spans="5:37" x14ac:dyDescent="0.55000000000000004">
      <c r="E108" t="str">
        <f t="shared" si="1"/>
        <v>cylinder</v>
      </c>
      <c r="F108">
        <f>COUNTIF(E$3:E108,E108)</f>
        <v>46</v>
      </c>
      <c r="G108" t="str">
        <v/>
      </c>
      <c r="H108" t="str">
        <v/>
      </c>
      <c r="I108" t="str">
        <f ca="1"/>
        <v/>
      </c>
      <c r="J108" t="str">
        <f ca="1"/>
        <v/>
      </c>
      <c r="L108" t="str">
        <f ca="1"/>
        <v/>
      </c>
      <c r="M108" t="str">
        <v/>
      </c>
      <c r="N108" t="str">
        <v/>
      </c>
      <c r="O108" t="str">
        <f ca="1"/>
        <v/>
      </c>
      <c r="P108" t="str">
        <f ca="1"/>
        <v/>
      </c>
      <c r="X108" t="str">
        <f ca="1"/>
        <v/>
      </c>
      <c r="Y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</row>
    <row r="109" spans="5:37" x14ac:dyDescent="0.55000000000000004">
      <c r="E109" t="str">
        <f t="shared" si="1"/>
        <v>cylinder</v>
      </c>
      <c r="F109">
        <f>COUNTIF(E$3:E109,E109)</f>
        <v>47</v>
      </c>
      <c r="G109" t="str">
        <v/>
      </c>
      <c r="H109" t="str">
        <v/>
      </c>
      <c r="I109" t="str">
        <f ca="1"/>
        <v/>
      </c>
      <c r="J109" t="str">
        <f ca="1"/>
        <v/>
      </c>
      <c r="L109" t="str">
        <f ca="1"/>
        <v/>
      </c>
      <c r="M109" t="str">
        <v/>
      </c>
      <c r="N109" t="str">
        <v/>
      </c>
      <c r="O109" t="str">
        <f ca="1"/>
        <v/>
      </c>
      <c r="P109" t="str">
        <f ca="1"/>
        <v/>
      </c>
      <c r="X109" t="str">
        <f ca="1"/>
        <v/>
      </c>
      <c r="Y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</row>
    <row r="110" spans="5:37" x14ac:dyDescent="0.55000000000000004">
      <c r="E110" t="str">
        <f t="shared" si="1"/>
        <v>cylinder</v>
      </c>
      <c r="F110">
        <f>COUNTIF(E$3:E110,E110)</f>
        <v>48</v>
      </c>
      <c r="G110" t="str">
        <v/>
      </c>
      <c r="H110" t="str">
        <v/>
      </c>
      <c r="I110" t="str">
        <f ca="1"/>
        <v/>
      </c>
      <c r="J110" t="str">
        <f ca="1"/>
        <v/>
      </c>
      <c r="L110" t="str">
        <f ca="1"/>
        <v/>
      </c>
      <c r="M110" t="str">
        <v/>
      </c>
      <c r="N110" t="str">
        <v/>
      </c>
      <c r="O110" t="str">
        <f ca="1"/>
        <v/>
      </c>
      <c r="P110" t="str">
        <f ca="1"/>
        <v/>
      </c>
      <c r="X110" t="str">
        <f ca="1"/>
        <v/>
      </c>
      <c r="Y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</row>
    <row r="111" spans="5:37" x14ac:dyDescent="0.55000000000000004">
      <c r="E111" t="str">
        <f t="shared" si="1"/>
        <v>cylinder</v>
      </c>
      <c r="F111">
        <f>COUNTIF(E$3:E111,E111)</f>
        <v>49</v>
      </c>
      <c r="G111" t="str">
        <v/>
      </c>
      <c r="H111" t="str">
        <v/>
      </c>
      <c r="I111" t="str">
        <f ca="1"/>
        <v/>
      </c>
      <c r="J111" t="str">
        <f ca="1"/>
        <v/>
      </c>
      <c r="L111" t="str">
        <f ca="1"/>
        <v/>
      </c>
      <c r="M111" t="str">
        <v/>
      </c>
      <c r="N111" t="str">
        <v/>
      </c>
      <c r="O111" t="str">
        <f ca="1"/>
        <v/>
      </c>
      <c r="P111" t="str">
        <f ca="1"/>
        <v/>
      </c>
      <c r="X111" t="str">
        <f ca="1"/>
        <v/>
      </c>
      <c r="Y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</row>
    <row r="112" spans="5:37" x14ac:dyDescent="0.55000000000000004">
      <c r="E112" t="str">
        <f t="shared" si="1"/>
        <v>cylinder</v>
      </c>
      <c r="F112">
        <f>COUNTIF(E$3:E112,E112)</f>
        <v>50</v>
      </c>
      <c r="G112" t="str">
        <v/>
      </c>
      <c r="H112" t="str">
        <v/>
      </c>
      <c r="I112" t="str">
        <f ca="1"/>
        <v/>
      </c>
      <c r="J112" t="str">
        <f ca="1"/>
        <v/>
      </c>
      <c r="L112" t="str">
        <f ca="1"/>
        <v/>
      </c>
      <c r="M112" t="str">
        <v/>
      </c>
      <c r="N112" t="str">
        <v/>
      </c>
      <c r="O112" t="str">
        <f ca="1"/>
        <v/>
      </c>
      <c r="P112" t="str">
        <f ca="1"/>
        <v/>
      </c>
      <c r="X112" t="str">
        <f ca="1"/>
        <v/>
      </c>
      <c r="Y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</row>
    <row r="113" spans="5:37" x14ac:dyDescent="0.55000000000000004">
      <c r="E113" t="str">
        <f t="shared" si="1"/>
        <v>cylinder</v>
      </c>
      <c r="F113">
        <f>COUNTIF(E$3:E113,E113)</f>
        <v>51</v>
      </c>
      <c r="G113" t="str">
        <v/>
      </c>
      <c r="H113" t="str">
        <v/>
      </c>
      <c r="I113" t="str">
        <f ca="1"/>
        <v/>
      </c>
      <c r="J113" t="str">
        <f ca="1"/>
        <v/>
      </c>
      <c r="L113" t="str">
        <f ca="1"/>
        <v/>
      </c>
      <c r="M113" t="str">
        <v/>
      </c>
      <c r="N113" t="str">
        <v/>
      </c>
      <c r="O113" t="str">
        <f ca="1"/>
        <v/>
      </c>
      <c r="P113" t="str">
        <f ca="1"/>
        <v/>
      </c>
      <c r="X113" t="str">
        <f ca="1"/>
        <v/>
      </c>
      <c r="Y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</row>
    <row r="114" spans="5:37" x14ac:dyDescent="0.55000000000000004">
      <c r="E114" t="str">
        <f t="shared" si="1"/>
        <v>cylinder</v>
      </c>
      <c r="F114">
        <f>COUNTIF(E$3:E114,E114)</f>
        <v>52</v>
      </c>
      <c r="G114" t="str">
        <v/>
      </c>
      <c r="H114" t="str">
        <v/>
      </c>
      <c r="I114" t="str">
        <f ca="1"/>
        <v/>
      </c>
      <c r="J114" t="str">
        <f ca="1"/>
        <v/>
      </c>
      <c r="L114" t="str">
        <f ca="1"/>
        <v/>
      </c>
      <c r="M114" t="str">
        <v/>
      </c>
      <c r="N114" t="str">
        <v/>
      </c>
      <c r="O114" t="str">
        <f ca="1"/>
        <v/>
      </c>
      <c r="P114" t="str">
        <f ca="1"/>
        <v/>
      </c>
      <c r="X114" t="str">
        <f ca="1"/>
        <v/>
      </c>
      <c r="Y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</row>
    <row r="115" spans="5:37" x14ac:dyDescent="0.55000000000000004">
      <c r="E115" t="str">
        <f t="shared" si="1"/>
        <v>cylinder</v>
      </c>
      <c r="F115">
        <f>COUNTIF(E$3:E115,E115)</f>
        <v>53</v>
      </c>
      <c r="G115" t="str">
        <v/>
      </c>
      <c r="H115" t="str">
        <v/>
      </c>
      <c r="I115" t="str">
        <f ca="1"/>
        <v/>
      </c>
      <c r="J115" t="str">
        <f ca="1"/>
        <v/>
      </c>
      <c r="L115" t="str">
        <f ca="1"/>
        <v/>
      </c>
      <c r="M115" t="str">
        <v/>
      </c>
      <c r="N115" t="str">
        <v/>
      </c>
      <c r="O115" t="str">
        <f ca="1"/>
        <v/>
      </c>
      <c r="P115" t="str">
        <f ca="1"/>
        <v/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</row>
    <row r="116" spans="5:37" x14ac:dyDescent="0.55000000000000004">
      <c r="E116" t="str">
        <f t="shared" si="1"/>
        <v>cylinder</v>
      </c>
      <c r="F116">
        <f>COUNTIF(E$3:E116,E116)</f>
        <v>54</v>
      </c>
      <c r="G116" t="str">
        <v/>
      </c>
      <c r="H116" t="str">
        <v/>
      </c>
      <c r="I116" t="str">
        <f ca="1"/>
        <v/>
      </c>
      <c r="J116" t="str">
        <f ca="1"/>
        <v/>
      </c>
      <c r="L116" t="str">
        <f ca="1"/>
        <v/>
      </c>
      <c r="M116" t="str">
        <v/>
      </c>
      <c r="N116" t="str">
        <v/>
      </c>
      <c r="O116" t="str">
        <f ca="1"/>
        <v/>
      </c>
      <c r="P116" t="str">
        <f ca="1"/>
        <v/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</row>
    <row r="117" spans="5:37" x14ac:dyDescent="0.55000000000000004">
      <c r="E117" t="str">
        <f t="shared" si="1"/>
        <v>cylinder</v>
      </c>
      <c r="F117">
        <f>COUNTIF(E$3:E117,E117)</f>
        <v>55</v>
      </c>
      <c r="G117" t="str">
        <v/>
      </c>
      <c r="H117" t="str">
        <v/>
      </c>
      <c r="I117" t="str">
        <f ca="1"/>
        <v/>
      </c>
      <c r="J117" t="str">
        <f ca="1"/>
        <v/>
      </c>
      <c r="L117" t="str">
        <f ca="1"/>
        <v/>
      </c>
      <c r="M117" t="str">
        <v/>
      </c>
      <c r="N117" t="str">
        <v/>
      </c>
      <c r="O117" t="str">
        <f ca="1"/>
        <v/>
      </c>
      <c r="P117" t="str">
        <f ca="1"/>
        <v/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</row>
    <row r="118" spans="5:37" x14ac:dyDescent="0.55000000000000004">
      <c r="E118" t="str">
        <f t="shared" si="1"/>
        <v>cylinder</v>
      </c>
      <c r="F118">
        <f>COUNTIF(E$3:E118,E118)</f>
        <v>56</v>
      </c>
      <c r="G118" t="str">
        <v/>
      </c>
      <c r="H118" t="str">
        <v/>
      </c>
      <c r="I118" t="str">
        <f ca="1"/>
        <v/>
      </c>
      <c r="J118" t="str">
        <f ca="1"/>
        <v/>
      </c>
      <c r="L118" t="str">
        <f ca="1"/>
        <v/>
      </c>
      <c r="M118" t="str">
        <v/>
      </c>
      <c r="N118" t="str">
        <v/>
      </c>
      <c r="O118" t="str">
        <f ca="1"/>
        <v/>
      </c>
      <c r="P118" t="str">
        <f ca="1"/>
        <v/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</row>
    <row r="119" spans="5:37" x14ac:dyDescent="0.55000000000000004">
      <c r="E119" t="str">
        <f t="shared" si="1"/>
        <v>cylinder</v>
      </c>
      <c r="F119">
        <f>COUNTIF(E$3:E119,E119)</f>
        <v>57</v>
      </c>
      <c r="G119" t="str">
        <v/>
      </c>
      <c r="H119" t="str">
        <v/>
      </c>
      <c r="I119" t="str">
        <f ca="1"/>
        <v/>
      </c>
      <c r="J119" t="str">
        <f ca="1"/>
        <v/>
      </c>
      <c r="L119" t="str">
        <f ca="1"/>
        <v/>
      </c>
      <c r="M119" t="str">
        <v/>
      </c>
      <c r="N119" t="str">
        <v/>
      </c>
      <c r="O119" t="str">
        <f ca="1"/>
        <v/>
      </c>
      <c r="P119" t="str">
        <f ca="1"/>
        <v/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</row>
    <row r="120" spans="5:37" x14ac:dyDescent="0.55000000000000004">
      <c r="E120" t="str">
        <f t="shared" si="1"/>
        <v>cylinder</v>
      </c>
      <c r="F120">
        <f>COUNTIF(E$3:E120,E120)</f>
        <v>58</v>
      </c>
      <c r="G120" t="str">
        <v/>
      </c>
      <c r="H120" t="str">
        <v/>
      </c>
      <c r="I120" t="str">
        <f ca="1"/>
        <v/>
      </c>
      <c r="J120" t="str">
        <f ca="1"/>
        <v/>
      </c>
      <c r="L120" t="str">
        <f ca="1"/>
        <v/>
      </c>
      <c r="M120" t="str">
        <v/>
      </c>
      <c r="N120" t="str">
        <v/>
      </c>
      <c r="O120" t="str">
        <f ca="1"/>
        <v/>
      </c>
      <c r="P120" t="str">
        <f ca="1"/>
        <v/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</row>
    <row r="121" spans="5:37" x14ac:dyDescent="0.55000000000000004">
      <c r="E121" t="str">
        <f t="shared" si="1"/>
        <v>cylinder</v>
      </c>
      <c r="F121">
        <f>COUNTIF(E$3:E121,E121)</f>
        <v>59</v>
      </c>
      <c r="G121" t="str">
        <v/>
      </c>
      <c r="H121" t="str">
        <v/>
      </c>
      <c r="I121" t="str">
        <f ca="1"/>
        <v/>
      </c>
      <c r="J121" t="str">
        <f ca="1"/>
        <v/>
      </c>
      <c r="L121" t="str">
        <f ca="1"/>
        <v/>
      </c>
      <c r="M121" t="str">
        <v/>
      </c>
      <c r="N121" t="str">
        <v/>
      </c>
      <c r="O121" t="str">
        <f ca="1"/>
        <v/>
      </c>
      <c r="P121" t="str">
        <f ca="1"/>
        <v/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</row>
    <row r="122" spans="5:37" x14ac:dyDescent="0.55000000000000004">
      <c r="E122" t="str">
        <f t="shared" si="1"/>
        <v>cylinder</v>
      </c>
      <c r="F122">
        <f>COUNTIF(E$3:E122,E122)</f>
        <v>60</v>
      </c>
      <c r="G122" t="str">
        <v/>
      </c>
      <c r="H122" t="str">
        <v/>
      </c>
      <c r="I122" t="str">
        <f ca="1"/>
        <v/>
      </c>
      <c r="J122" t="str">
        <f ca="1"/>
        <v/>
      </c>
      <c r="L122" t="str">
        <f ca="1"/>
        <v/>
      </c>
      <c r="M122" t="str">
        <v/>
      </c>
      <c r="N122" t="str">
        <v/>
      </c>
      <c r="O122" t="str">
        <f ca="1"/>
        <v/>
      </c>
      <c r="P122" t="str">
        <f ca="1"/>
        <v/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</row>
    <row r="123" spans="5:37" x14ac:dyDescent="0.55000000000000004">
      <c r="E123" t="str">
        <f t="shared" si="1"/>
        <v>cylinder</v>
      </c>
      <c r="F123">
        <f>COUNTIF(E$3:E123,E123)</f>
        <v>61</v>
      </c>
      <c r="G123" t="str">
        <v/>
      </c>
      <c r="H123" t="str">
        <v/>
      </c>
      <c r="I123" t="str">
        <f ca="1"/>
        <v/>
      </c>
      <c r="J123" t="str">
        <f ca="1"/>
        <v/>
      </c>
      <c r="L123" t="str">
        <f ca="1"/>
        <v/>
      </c>
      <c r="M123" t="str">
        <v/>
      </c>
      <c r="N123" t="str">
        <v/>
      </c>
      <c r="O123" t="str">
        <f ca="1"/>
        <v/>
      </c>
      <c r="P123" t="str">
        <f ca="1"/>
        <v/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</row>
    <row r="124" spans="5:37" x14ac:dyDescent="0.55000000000000004">
      <c r="E124" t="str">
        <f t="shared" si="1"/>
        <v>cylinder</v>
      </c>
      <c r="F124">
        <f>COUNTIF(E$3:E124,E124)</f>
        <v>62</v>
      </c>
      <c r="G124" t="str">
        <v/>
      </c>
      <c r="H124" t="str">
        <v/>
      </c>
      <c r="I124" t="str">
        <f ca="1"/>
        <v/>
      </c>
      <c r="J124" t="str">
        <f ca="1"/>
        <v/>
      </c>
      <c r="L124" t="str">
        <f ca="1"/>
        <v/>
      </c>
      <c r="M124" t="str">
        <v/>
      </c>
      <c r="N124" t="str">
        <v/>
      </c>
      <c r="O124" t="str">
        <f ca="1"/>
        <v/>
      </c>
      <c r="P124" t="str">
        <f ca="1"/>
        <v/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</row>
    <row r="125" spans="5:37" x14ac:dyDescent="0.55000000000000004">
      <c r="E125" t="str">
        <f t="shared" si="1"/>
        <v>cylinder</v>
      </c>
      <c r="F125">
        <f>COUNTIF(E$3:E125,E125)</f>
        <v>63</v>
      </c>
      <c r="G125" t="str">
        <v/>
      </c>
      <c r="H125" t="str">
        <v/>
      </c>
      <c r="I125" t="str">
        <f ca="1"/>
        <v/>
      </c>
      <c r="J125" t="str">
        <f ca="1"/>
        <v/>
      </c>
      <c r="L125" t="str">
        <f ca="1"/>
        <v/>
      </c>
      <c r="M125" t="str">
        <v/>
      </c>
      <c r="N125" t="str">
        <v/>
      </c>
      <c r="O125" t="str">
        <f ca="1"/>
        <v/>
      </c>
      <c r="P125" t="str">
        <f ca="1"/>
        <v/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</row>
    <row r="126" spans="5:37" x14ac:dyDescent="0.55000000000000004">
      <c r="E126" t="str">
        <f t="shared" si="1"/>
        <v>cylinder</v>
      </c>
      <c r="F126">
        <f>COUNTIF(E$3:E126,E126)</f>
        <v>64</v>
      </c>
      <c r="G126" t="str">
        <v/>
      </c>
      <c r="H126" t="str">
        <v/>
      </c>
      <c r="I126" t="str">
        <f ca="1"/>
        <v/>
      </c>
      <c r="J126" t="str">
        <f ca="1"/>
        <v/>
      </c>
      <c r="L126" t="str">
        <f ca="1"/>
        <v/>
      </c>
      <c r="M126" t="str">
        <v/>
      </c>
      <c r="N126" t="str">
        <v/>
      </c>
      <c r="O126" t="str">
        <f ca="1"/>
        <v/>
      </c>
      <c r="P126" t="str">
        <f ca="1"/>
        <v/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</row>
    <row r="127" spans="5:37" x14ac:dyDescent="0.55000000000000004">
      <c r="E127" t="str">
        <f t="shared" si="1"/>
        <v>cylinder</v>
      </c>
      <c r="F127">
        <f>COUNTIF(E$3:E127,E127)</f>
        <v>65</v>
      </c>
      <c r="G127" t="str">
        <v/>
      </c>
      <c r="H127" t="str">
        <v/>
      </c>
      <c r="I127" t="str">
        <f ca="1"/>
        <v/>
      </c>
      <c r="J127" t="str">
        <f ca="1"/>
        <v/>
      </c>
      <c r="L127" t="str">
        <f ca="1"/>
        <v/>
      </c>
      <c r="M127" t="str">
        <v/>
      </c>
      <c r="N127" t="str">
        <v/>
      </c>
      <c r="O127" t="str">
        <f ca="1"/>
        <v/>
      </c>
      <c r="P127" t="str">
        <f ca="1"/>
        <v/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</row>
    <row r="128" spans="5:37" x14ac:dyDescent="0.55000000000000004">
      <c r="E128" t="str">
        <f t="shared" si="1"/>
        <v>cylinder</v>
      </c>
      <c r="F128">
        <f>COUNTIF(E$3:E128,E128)</f>
        <v>66</v>
      </c>
      <c r="G128" t="str">
        <v/>
      </c>
      <c r="H128" t="str">
        <v/>
      </c>
      <c r="I128" t="str">
        <f ca="1"/>
        <v/>
      </c>
      <c r="J128" t="str">
        <f ca="1"/>
        <v/>
      </c>
      <c r="L128" t="str">
        <f ca="1"/>
        <v/>
      </c>
      <c r="M128" t="str">
        <v/>
      </c>
      <c r="N128" t="str">
        <v/>
      </c>
      <c r="O128" t="str">
        <f ca="1"/>
        <v/>
      </c>
      <c r="P128" t="str">
        <f ca="1"/>
        <v/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</row>
    <row r="129" spans="5:37" x14ac:dyDescent="0.55000000000000004">
      <c r="E129" t="str">
        <f t="shared" si="1"/>
        <v>cylinder</v>
      </c>
      <c r="F129">
        <f>COUNTIF(E$3:E129,E129)</f>
        <v>67</v>
      </c>
      <c r="G129" t="str">
        <v/>
      </c>
      <c r="H129" t="str">
        <v/>
      </c>
      <c r="I129" t="str">
        <f ca="1"/>
        <v/>
      </c>
      <c r="J129" t="str">
        <f ca="1"/>
        <v/>
      </c>
      <c r="L129" t="str">
        <f ca="1"/>
        <v/>
      </c>
      <c r="M129" t="str">
        <v/>
      </c>
      <c r="N129" t="str">
        <v/>
      </c>
      <c r="O129" t="str">
        <f ca="1"/>
        <v/>
      </c>
      <c r="P129" t="str">
        <f ca="1"/>
        <v/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</row>
    <row r="130" spans="5:37" x14ac:dyDescent="0.55000000000000004">
      <c r="E130" t="str">
        <f t="shared" si="1"/>
        <v>cylinder</v>
      </c>
      <c r="F130">
        <f>COUNTIF(E$3:E130,E130)</f>
        <v>68</v>
      </c>
      <c r="G130" t="str">
        <v/>
      </c>
      <c r="H130" t="str">
        <v/>
      </c>
      <c r="I130" t="str">
        <f ca="1"/>
        <v/>
      </c>
      <c r="J130" t="str">
        <f ca="1"/>
        <v/>
      </c>
      <c r="L130" t="str">
        <f ca="1"/>
        <v/>
      </c>
      <c r="M130" t="str">
        <v/>
      </c>
      <c r="N130" t="str">
        <v/>
      </c>
      <c r="O130" t="str">
        <f ca="1"/>
        <v/>
      </c>
      <c r="P130" t="str">
        <f ca="1"/>
        <v/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</row>
    <row r="131" spans="5:37" x14ac:dyDescent="0.55000000000000004">
      <c r="E131" t="str">
        <f t="shared" si="1"/>
        <v>cylinder</v>
      </c>
      <c r="F131">
        <f>COUNTIF(E$3:E131,E131)</f>
        <v>69</v>
      </c>
      <c r="G131" t="str">
        <v/>
      </c>
      <c r="H131" t="str">
        <v/>
      </c>
      <c r="I131" t="str">
        <f ca="1"/>
        <v/>
      </c>
      <c r="J131" t="str">
        <f ca="1"/>
        <v/>
      </c>
      <c r="L131" t="str">
        <f ca="1"/>
        <v/>
      </c>
      <c r="M131" t="str">
        <v/>
      </c>
      <c r="N131" t="str">
        <v/>
      </c>
      <c r="O131" t="str">
        <f ca="1"/>
        <v/>
      </c>
      <c r="P131" t="str">
        <f ca="1"/>
        <v/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</row>
    <row r="132" spans="5:37" x14ac:dyDescent="0.55000000000000004">
      <c r="E132" t="str">
        <f t="shared" si="1"/>
        <v>cylinder</v>
      </c>
      <c r="F132">
        <f>COUNTIF(E$3:E132,E132)</f>
        <v>70</v>
      </c>
      <c r="G132" t="str">
        <v/>
      </c>
      <c r="H132" t="str">
        <v/>
      </c>
      <c r="I132" t="str">
        <f ca="1"/>
        <v/>
      </c>
      <c r="J132" t="str">
        <f ca="1"/>
        <v/>
      </c>
      <c r="L132" t="str">
        <f ca="1"/>
        <v/>
      </c>
      <c r="M132" t="str">
        <v/>
      </c>
      <c r="N132" t="str">
        <v/>
      </c>
      <c r="O132" t="str">
        <f ca="1"/>
        <v/>
      </c>
      <c r="P132" t="str">
        <f ca="1"/>
        <v/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</row>
    <row r="133" spans="5:37" x14ac:dyDescent="0.55000000000000004">
      <c r="E133" t="str">
        <f t="shared" ref="E133:E196" si="2">E132</f>
        <v>cylinder</v>
      </c>
      <c r="F133">
        <f>COUNTIF(E$3:E133,E133)</f>
        <v>71</v>
      </c>
      <c r="G133" t="str">
        <v/>
      </c>
      <c r="H133" t="str">
        <v/>
      </c>
      <c r="I133" t="str">
        <f ca="1"/>
        <v/>
      </c>
      <c r="J133" t="str">
        <f ca="1"/>
        <v/>
      </c>
      <c r="L133" t="str">
        <f ca="1"/>
        <v/>
      </c>
      <c r="M133" t="str">
        <v/>
      </c>
      <c r="N133" t="str">
        <v/>
      </c>
      <c r="O133" t="str">
        <f ca="1"/>
        <v/>
      </c>
      <c r="P133" t="str">
        <f ca="1"/>
        <v/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</row>
    <row r="134" spans="5:37" x14ac:dyDescent="0.55000000000000004">
      <c r="E134" t="str">
        <f t="shared" si="2"/>
        <v>cylinder</v>
      </c>
      <c r="F134">
        <f>COUNTIF(E$3:E134,E134)</f>
        <v>72</v>
      </c>
      <c r="G134" t="str">
        <v/>
      </c>
      <c r="H134" t="str">
        <v/>
      </c>
      <c r="I134" t="str">
        <f ca="1"/>
        <v/>
      </c>
      <c r="J134" t="str">
        <f ca="1"/>
        <v/>
      </c>
      <c r="L134" t="str">
        <f ca="1"/>
        <v/>
      </c>
      <c r="M134" t="str">
        <v/>
      </c>
      <c r="N134" t="str">
        <v/>
      </c>
      <c r="O134" t="str">
        <f ca="1"/>
        <v/>
      </c>
      <c r="P134" t="str">
        <f ca="1"/>
        <v/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</row>
    <row r="135" spans="5:37" x14ac:dyDescent="0.55000000000000004">
      <c r="E135" t="str">
        <f t="shared" si="2"/>
        <v>cylinder</v>
      </c>
      <c r="F135">
        <f>COUNTIF(E$3:E135,E135)</f>
        <v>73</v>
      </c>
      <c r="G135" t="str">
        <v/>
      </c>
      <c r="H135" t="str">
        <v/>
      </c>
      <c r="I135" t="str">
        <f ca="1"/>
        <v/>
      </c>
      <c r="J135" t="str">
        <f ca="1"/>
        <v/>
      </c>
      <c r="L135" t="str">
        <f ca="1"/>
        <v/>
      </c>
      <c r="M135" t="str">
        <v/>
      </c>
      <c r="N135" t="str">
        <v/>
      </c>
      <c r="O135" t="str">
        <f ca="1"/>
        <v/>
      </c>
      <c r="P135" t="str">
        <f ca="1"/>
        <v/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</row>
    <row r="136" spans="5:37" x14ac:dyDescent="0.55000000000000004">
      <c r="E136" t="str">
        <f t="shared" si="2"/>
        <v>cylinder</v>
      </c>
      <c r="F136">
        <f>COUNTIF(E$3:E136,E136)</f>
        <v>74</v>
      </c>
      <c r="G136" t="str">
        <v/>
      </c>
      <c r="H136" t="str">
        <v/>
      </c>
      <c r="I136" t="str">
        <f ca="1"/>
        <v/>
      </c>
      <c r="J136" t="str">
        <f ca="1"/>
        <v/>
      </c>
      <c r="L136" t="str">
        <f ca="1"/>
        <v/>
      </c>
      <c r="M136" t="str">
        <v/>
      </c>
      <c r="N136" t="str">
        <v/>
      </c>
      <c r="O136" t="str">
        <f ca="1"/>
        <v/>
      </c>
      <c r="P136" t="str">
        <f ca="1"/>
        <v/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</row>
    <row r="137" spans="5:37" x14ac:dyDescent="0.55000000000000004">
      <c r="E137" t="str">
        <f t="shared" si="2"/>
        <v>cylinder</v>
      </c>
      <c r="F137">
        <f>COUNTIF(E$3:E137,E137)</f>
        <v>75</v>
      </c>
      <c r="G137" t="str">
        <v/>
      </c>
      <c r="H137" t="str">
        <v/>
      </c>
      <c r="I137" t="str">
        <f ca="1"/>
        <v/>
      </c>
      <c r="J137" t="str">
        <f ca="1"/>
        <v/>
      </c>
      <c r="L137" t="str">
        <f ca="1"/>
        <v/>
      </c>
      <c r="M137" t="str">
        <v/>
      </c>
      <c r="N137" t="str">
        <v/>
      </c>
      <c r="O137" t="str">
        <f ca="1"/>
        <v/>
      </c>
      <c r="P137" t="str">
        <f ca="1"/>
        <v/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</row>
    <row r="138" spans="5:37" x14ac:dyDescent="0.55000000000000004">
      <c r="E138" t="str">
        <f t="shared" si="2"/>
        <v>cylinder</v>
      </c>
      <c r="F138">
        <f>COUNTIF(E$3:E138,E138)</f>
        <v>76</v>
      </c>
      <c r="G138" t="str">
        <v/>
      </c>
      <c r="H138" t="str">
        <v/>
      </c>
      <c r="I138" t="str">
        <f ca="1"/>
        <v/>
      </c>
      <c r="J138" t="str">
        <f ca="1"/>
        <v/>
      </c>
      <c r="L138" t="str">
        <f ca="1"/>
        <v/>
      </c>
      <c r="M138" t="str">
        <v/>
      </c>
      <c r="N138" t="str">
        <v/>
      </c>
      <c r="O138" t="str">
        <f ca="1"/>
        <v/>
      </c>
      <c r="P138" t="str">
        <f ca="1"/>
        <v/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</row>
    <row r="139" spans="5:37" x14ac:dyDescent="0.55000000000000004">
      <c r="E139" t="str">
        <f t="shared" si="2"/>
        <v>cylinder</v>
      </c>
      <c r="F139">
        <f>COUNTIF(E$3:E139,E139)</f>
        <v>77</v>
      </c>
      <c r="G139" t="str">
        <v/>
      </c>
      <c r="H139" t="str">
        <v/>
      </c>
      <c r="I139" t="str">
        <f ca="1"/>
        <v/>
      </c>
      <c r="J139" t="str">
        <f ca="1"/>
        <v/>
      </c>
      <c r="L139" t="str">
        <f ca="1"/>
        <v/>
      </c>
      <c r="M139" t="str">
        <v/>
      </c>
      <c r="N139" t="str">
        <v/>
      </c>
      <c r="O139" t="str">
        <f ca="1"/>
        <v/>
      </c>
      <c r="P139" t="str">
        <f ca="1"/>
        <v/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</row>
    <row r="140" spans="5:37" x14ac:dyDescent="0.55000000000000004">
      <c r="E140" t="str">
        <f t="shared" si="2"/>
        <v>cylinder</v>
      </c>
      <c r="F140">
        <f>COUNTIF(E$3:E140,E140)</f>
        <v>78</v>
      </c>
      <c r="G140" t="str">
        <v/>
      </c>
      <c r="H140" t="str">
        <v/>
      </c>
      <c r="I140" t="str">
        <f ca="1"/>
        <v/>
      </c>
      <c r="J140" t="str">
        <f ca="1"/>
        <v/>
      </c>
      <c r="L140" t="str">
        <f ca="1"/>
        <v/>
      </c>
      <c r="M140" t="str">
        <v/>
      </c>
      <c r="N140" t="str">
        <v/>
      </c>
      <c r="O140" t="str">
        <f ca="1"/>
        <v/>
      </c>
      <c r="P140" t="str">
        <f ca="1"/>
        <v/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</row>
    <row r="141" spans="5:37" x14ac:dyDescent="0.55000000000000004">
      <c r="E141" t="str">
        <f t="shared" si="2"/>
        <v>cylinder</v>
      </c>
      <c r="F141">
        <f>COUNTIF(E$3:E141,E141)</f>
        <v>79</v>
      </c>
      <c r="G141" t="str">
        <v/>
      </c>
      <c r="H141" t="str">
        <v/>
      </c>
      <c r="I141" t="str">
        <f ca="1"/>
        <v/>
      </c>
      <c r="J141" t="str">
        <f ca="1"/>
        <v/>
      </c>
      <c r="L141" t="str">
        <f ca="1"/>
        <v/>
      </c>
      <c r="M141" t="str">
        <v/>
      </c>
      <c r="N141" t="str">
        <v/>
      </c>
      <c r="O141" t="str">
        <f ca="1"/>
        <v/>
      </c>
      <c r="P141" t="str">
        <f ca="1"/>
        <v/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</row>
    <row r="142" spans="5:37" x14ac:dyDescent="0.55000000000000004">
      <c r="E142" t="str">
        <f t="shared" si="2"/>
        <v>cylinder</v>
      </c>
      <c r="F142">
        <f>COUNTIF(E$3:E142,E142)</f>
        <v>80</v>
      </c>
      <c r="G142" t="str">
        <v/>
      </c>
      <c r="H142" t="str">
        <v/>
      </c>
      <c r="I142" t="str">
        <f ca="1"/>
        <v/>
      </c>
      <c r="J142" t="str">
        <f ca="1"/>
        <v/>
      </c>
      <c r="L142" t="str">
        <f ca="1"/>
        <v/>
      </c>
      <c r="M142" t="str">
        <v/>
      </c>
      <c r="N142" t="str">
        <v/>
      </c>
      <c r="O142" t="str">
        <f ca="1"/>
        <v/>
      </c>
      <c r="P142" t="str">
        <f ca="1"/>
        <v/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</row>
    <row r="143" spans="5:37" x14ac:dyDescent="0.55000000000000004">
      <c r="E143" t="str">
        <f t="shared" si="2"/>
        <v>cylinder</v>
      </c>
      <c r="F143">
        <f>COUNTIF(E$3:E143,E143)</f>
        <v>81</v>
      </c>
      <c r="G143" t="str">
        <v/>
      </c>
      <c r="H143" t="str">
        <v/>
      </c>
      <c r="I143" t="str">
        <f ca="1"/>
        <v/>
      </c>
      <c r="J143" t="str">
        <f ca="1"/>
        <v/>
      </c>
      <c r="L143" t="str">
        <f ca="1"/>
        <v/>
      </c>
      <c r="M143" t="str">
        <v/>
      </c>
      <c r="N143" t="str">
        <v/>
      </c>
      <c r="O143" t="str">
        <f ca="1"/>
        <v/>
      </c>
      <c r="P143" t="str">
        <f ca="1"/>
        <v/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</row>
    <row r="144" spans="5:37" x14ac:dyDescent="0.55000000000000004">
      <c r="E144" t="str">
        <f t="shared" si="2"/>
        <v>cylinder</v>
      </c>
      <c r="F144">
        <f>COUNTIF(E$3:E144,E144)</f>
        <v>82</v>
      </c>
      <c r="G144" t="str">
        <v/>
      </c>
      <c r="H144" t="str">
        <v/>
      </c>
      <c r="I144" t="str">
        <f ca="1"/>
        <v/>
      </c>
      <c r="J144" t="str">
        <f ca="1"/>
        <v/>
      </c>
      <c r="L144" t="str">
        <f ca="1"/>
        <v/>
      </c>
      <c r="M144" t="str">
        <v/>
      </c>
      <c r="N144" t="str">
        <v/>
      </c>
      <c r="O144" t="str">
        <f ca="1"/>
        <v/>
      </c>
      <c r="P144" t="str">
        <f ca="1"/>
        <v/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</row>
    <row r="145" spans="5:37" x14ac:dyDescent="0.55000000000000004">
      <c r="E145" t="str">
        <f t="shared" si="2"/>
        <v>cylinder</v>
      </c>
      <c r="F145">
        <f>COUNTIF(E$3:E145,E145)</f>
        <v>83</v>
      </c>
      <c r="G145" t="str">
        <v/>
      </c>
      <c r="H145" t="str">
        <v/>
      </c>
      <c r="I145" t="str">
        <f ca="1"/>
        <v/>
      </c>
      <c r="J145" t="str">
        <f ca="1"/>
        <v/>
      </c>
      <c r="L145" t="str">
        <f ca="1"/>
        <v/>
      </c>
      <c r="M145" t="str">
        <v/>
      </c>
      <c r="N145" t="str">
        <v/>
      </c>
      <c r="O145" t="str">
        <f ca="1"/>
        <v/>
      </c>
      <c r="P145" t="str">
        <f ca="1"/>
        <v/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</row>
    <row r="146" spans="5:37" x14ac:dyDescent="0.55000000000000004">
      <c r="E146" t="str">
        <f t="shared" si="2"/>
        <v>cylinder</v>
      </c>
      <c r="F146">
        <f>COUNTIF(E$3:E146,E146)</f>
        <v>84</v>
      </c>
      <c r="G146" t="str">
        <v/>
      </c>
      <c r="H146" t="str">
        <v/>
      </c>
      <c r="I146" t="str">
        <f ca="1"/>
        <v/>
      </c>
      <c r="J146" t="str">
        <f ca="1"/>
        <v/>
      </c>
      <c r="L146" t="str">
        <f ca="1"/>
        <v/>
      </c>
      <c r="M146" t="str">
        <v/>
      </c>
      <c r="N146" t="str">
        <v/>
      </c>
      <c r="O146" t="str">
        <f ca="1"/>
        <v/>
      </c>
      <c r="P146" t="str">
        <f ca="1"/>
        <v/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</row>
    <row r="147" spans="5:37" x14ac:dyDescent="0.55000000000000004">
      <c r="E147" t="str">
        <f t="shared" si="2"/>
        <v>cylinder</v>
      </c>
      <c r="F147">
        <f>COUNTIF(E$3:E147,E147)</f>
        <v>85</v>
      </c>
      <c r="G147" t="str">
        <v/>
      </c>
      <c r="H147" t="str">
        <v/>
      </c>
      <c r="I147" t="str">
        <f ca="1"/>
        <v/>
      </c>
      <c r="J147" t="str">
        <f ca="1"/>
        <v/>
      </c>
      <c r="L147" t="str">
        <f ca="1"/>
        <v/>
      </c>
      <c r="M147" t="str">
        <v/>
      </c>
      <c r="N147" t="str">
        <v/>
      </c>
      <c r="O147" t="str">
        <f ca="1"/>
        <v/>
      </c>
      <c r="P147" t="str">
        <f ca="1"/>
        <v/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</row>
    <row r="148" spans="5:37" x14ac:dyDescent="0.55000000000000004">
      <c r="E148" t="str">
        <f t="shared" si="2"/>
        <v>cylinder</v>
      </c>
      <c r="F148">
        <f>COUNTIF(E$3:E148,E148)</f>
        <v>86</v>
      </c>
      <c r="G148" t="str">
        <v/>
      </c>
      <c r="H148" t="str">
        <v/>
      </c>
      <c r="I148" t="str">
        <f ca="1"/>
        <v/>
      </c>
      <c r="J148" t="str">
        <f ca="1"/>
        <v/>
      </c>
      <c r="L148" t="str">
        <f ca="1"/>
        <v/>
      </c>
      <c r="M148" t="str">
        <v/>
      </c>
      <c r="N148" t="str">
        <v/>
      </c>
      <c r="O148" t="str">
        <f ca="1"/>
        <v/>
      </c>
      <c r="P148" t="str">
        <f ca="1"/>
        <v/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</row>
    <row r="149" spans="5:37" x14ac:dyDescent="0.55000000000000004">
      <c r="E149" t="str">
        <f t="shared" si="2"/>
        <v>cylinder</v>
      </c>
      <c r="F149">
        <f>COUNTIF(E$3:E149,E149)</f>
        <v>87</v>
      </c>
      <c r="G149" t="str">
        <v/>
      </c>
      <c r="H149" t="str">
        <v/>
      </c>
      <c r="I149" t="str">
        <f ca="1"/>
        <v/>
      </c>
      <c r="J149" t="str">
        <f ca="1"/>
        <v/>
      </c>
      <c r="L149" t="str">
        <f ca="1"/>
        <v/>
      </c>
      <c r="M149" t="str">
        <v/>
      </c>
      <c r="N149" t="str">
        <v/>
      </c>
      <c r="O149" t="str">
        <f ca="1"/>
        <v/>
      </c>
      <c r="P149" t="str">
        <f ca="1"/>
        <v/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</row>
    <row r="150" spans="5:37" x14ac:dyDescent="0.55000000000000004">
      <c r="E150" t="str">
        <f t="shared" si="2"/>
        <v>cylinder</v>
      </c>
      <c r="F150">
        <f>COUNTIF(E$3:E150,E150)</f>
        <v>88</v>
      </c>
      <c r="G150" t="str">
        <v/>
      </c>
      <c r="H150" t="str">
        <v/>
      </c>
      <c r="I150" t="str">
        <f ca="1"/>
        <v/>
      </c>
      <c r="J150" t="str">
        <f ca="1"/>
        <v/>
      </c>
      <c r="L150" t="str">
        <f ca="1"/>
        <v/>
      </c>
      <c r="M150" t="str">
        <v/>
      </c>
      <c r="N150" t="str">
        <v/>
      </c>
      <c r="O150" t="str">
        <f ca="1"/>
        <v/>
      </c>
      <c r="P150" t="str">
        <f ca="1"/>
        <v/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</row>
    <row r="151" spans="5:37" x14ac:dyDescent="0.55000000000000004">
      <c r="E151" t="str">
        <f t="shared" si="2"/>
        <v>cylinder</v>
      </c>
      <c r="F151">
        <f>COUNTIF(E$3:E151,E151)</f>
        <v>89</v>
      </c>
      <c r="G151" t="str">
        <v/>
      </c>
      <c r="H151" t="str">
        <v/>
      </c>
      <c r="I151" t="str">
        <f ca="1"/>
        <v/>
      </c>
      <c r="J151" t="str">
        <f ca="1"/>
        <v/>
      </c>
      <c r="L151" t="str">
        <f ca="1"/>
        <v/>
      </c>
      <c r="M151" t="str">
        <v/>
      </c>
      <c r="N151" t="str">
        <v/>
      </c>
      <c r="O151" t="str">
        <f ca="1"/>
        <v/>
      </c>
      <c r="P151" t="str">
        <f ca="1"/>
        <v/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</row>
    <row r="152" spans="5:37" x14ac:dyDescent="0.55000000000000004">
      <c r="E152" t="str">
        <f t="shared" si="2"/>
        <v>cylinder</v>
      </c>
      <c r="F152">
        <f>COUNTIF(E$3:E152,E152)</f>
        <v>90</v>
      </c>
      <c r="G152" t="str">
        <v/>
      </c>
      <c r="H152" t="str">
        <v/>
      </c>
      <c r="I152" t="str">
        <f ca="1"/>
        <v/>
      </c>
      <c r="J152" t="str">
        <f ca="1"/>
        <v/>
      </c>
      <c r="L152" t="str">
        <f ca="1"/>
        <v/>
      </c>
      <c r="M152" t="str">
        <v/>
      </c>
      <c r="N152" t="str">
        <v/>
      </c>
      <c r="O152" t="str">
        <f ca="1"/>
        <v/>
      </c>
      <c r="P152" t="str">
        <f ca="1"/>
        <v/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</row>
    <row r="153" spans="5:37" x14ac:dyDescent="0.55000000000000004">
      <c r="E153" t="str">
        <f t="shared" si="2"/>
        <v>cylinder</v>
      </c>
      <c r="F153">
        <f>COUNTIF(E$3:E153,E153)</f>
        <v>91</v>
      </c>
      <c r="G153" t="str">
        <v/>
      </c>
      <c r="H153" t="str">
        <v/>
      </c>
      <c r="I153" t="str">
        <f ca="1"/>
        <v/>
      </c>
      <c r="J153" t="str">
        <f ca="1"/>
        <v/>
      </c>
      <c r="L153" t="str">
        <f ca="1"/>
        <v/>
      </c>
      <c r="M153" t="str">
        <v/>
      </c>
      <c r="N153" t="str">
        <v/>
      </c>
      <c r="O153" t="str">
        <f ca="1"/>
        <v/>
      </c>
      <c r="P153" t="str">
        <f ca="1"/>
        <v/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</row>
    <row r="154" spans="5:37" x14ac:dyDescent="0.55000000000000004">
      <c r="E154" t="str">
        <f t="shared" si="2"/>
        <v>cylinder</v>
      </c>
      <c r="F154">
        <f>COUNTIF(E$3:E154,E154)</f>
        <v>92</v>
      </c>
      <c r="G154" t="str">
        <v/>
      </c>
      <c r="H154" t="str">
        <v/>
      </c>
      <c r="I154" t="str">
        <f ca="1"/>
        <v/>
      </c>
      <c r="J154" t="str">
        <f ca="1"/>
        <v/>
      </c>
      <c r="L154" t="str">
        <f ca="1"/>
        <v/>
      </c>
      <c r="M154" t="str">
        <v/>
      </c>
      <c r="N154" t="str">
        <v/>
      </c>
      <c r="O154" t="str">
        <f ca="1"/>
        <v/>
      </c>
      <c r="P154" t="str">
        <f ca="1"/>
        <v/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</row>
    <row r="155" spans="5:37" x14ac:dyDescent="0.55000000000000004">
      <c r="E155" t="str">
        <f t="shared" si="2"/>
        <v>cylinder</v>
      </c>
      <c r="F155">
        <f>COUNTIF(E$3:E155,E155)</f>
        <v>93</v>
      </c>
      <c r="G155" t="str">
        <v/>
      </c>
      <c r="H155" t="str">
        <v/>
      </c>
      <c r="I155" t="str">
        <f ca="1"/>
        <v/>
      </c>
      <c r="J155" t="str">
        <f ca="1"/>
        <v/>
      </c>
      <c r="L155" t="str">
        <f ca="1"/>
        <v/>
      </c>
      <c r="M155" t="str">
        <v/>
      </c>
      <c r="N155" t="str">
        <v/>
      </c>
      <c r="O155" t="str">
        <f ca="1"/>
        <v/>
      </c>
      <c r="P155" t="str">
        <f ca="1"/>
        <v/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</row>
    <row r="156" spans="5:37" x14ac:dyDescent="0.55000000000000004">
      <c r="E156" t="str">
        <f t="shared" si="2"/>
        <v>cylinder</v>
      </c>
      <c r="F156">
        <f>COUNTIF(E$3:E156,E156)</f>
        <v>94</v>
      </c>
      <c r="G156" t="str">
        <v/>
      </c>
      <c r="H156" t="str">
        <v/>
      </c>
      <c r="I156" t="str">
        <f ca="1"/>
        <v/>
      </c>
      <c r="J156" t="str">
        <f ca="1"/>
        <v/>
      </c>
      <c r="L156" t="str">
        <f ca="1"/>
        <v/>
      </c>
      <c r="M156" t="str">
        <v/>
      </c>
      <c r="N156" t="str">
        <v/>
      </c>
      <c r="O156" t="str">
        <f ca="1"/>
        <v/>
      </c>
      <c r="P156" t="str">
        <f ca="1"/>
        <v/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</row>
    <row r="157" spans="5:37" x14ac:dyDescent="0.55000000000000004">
      <c r="E157" t="str">
        <f t="shared" si="2"/>
        <v>cylinder</v>
      </c>
      <c r="F157">
        <f>COUNTIF(E$3:E157,E157)</f>
        <v>95</v>
      </c>
      <c r="G157" t="str">
        <v/>
      </c>
      <c r="H157" t="str">
        <v/>
      </c>
      <c r="I157" t="str">
        <f ca="1"/>
        <v/>
      </c>
      <c r="J157" t="str">
        <f ca="1"/>
        <v/>
      </c>
      <c r="L157" t="str">
        <f ca="1"/>
        <v/>
      </c>
      <c r="M157" t="str">
        <v/>
      </c>
      <c r="N157" t="str">
        <v/>
      </c>
      <c r="O157" t="str">
        <f ca="1"/>
        <v/>
      </c>
      <c r="P157" t="str">
        <f ca="1"/>
        <v/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</row>
    <row r="158" spans="5:37" x14ac:dyDescent="0.55000000000000004">
      <c r="E158" t="str">
        <f t="shared" si="2"/>
        <v>cylinder</v>
      </c>
      <c r="F158">
        <f>COUNTIF(E$3:E158,E158)</f>
        <v>96</v>
      </c>
      <c r="G158" t="str">
        <v/>
      </c>
      <c r="H158" t="str">
        <v/>
      </c>
      <c r="I158" t="str">
        <f ca="1"/>
        <v/>
      </c>
      <c r="J158" t="str">
        <f ca="1"/>
        <v/>
      </c>
      <c r="L158" t="str">
        <f ca="1"/>
        <v/>
      </c>
      <c r="M158" t="str">
        <v/>
      </c>
      <c r="N158" t="str">
        <v/>
      </c>
      <c r="O158" t="str">
        <f ca="1"/>
        <v/>
      </c>
      <c r="P158" t="str">
        <f ca="1"/>
        <v/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</row>
    <row r="159" spans="5:37" x14ac:dyDescent="0.55000000000000004">
      <c r="E159" t="str">
        <f t="shared" si="2"/>
        <v>cylinder</v>
      </c>
      <c r="F159">
        <f>COUNTIF(E$3:E159,E159)</f>
        <v>97</v>
      </c>
      <c r="G159" t="str">
        <v/>
      </c>
      <c r="H159" t="str">
        <v/>
      </c>
      <c r="I159" t="str">
        <f ca="1"/>
        <v/>
      </c>
      <c r="J159" t="str">
        <f ca="1"/>
        <v/>
      </c>
      <c r="L159" t="str">
        <f ca="1"/>
        <v/>
      </c>
      <c r="M159" t="str">
        <v/>
      </c>
      <c r="N159" t="str">
        <v/>
      </c>
      <c r="O159" t="str">
        <f ca="1"/>
        <v/>
      </c>
      <c r="P159" t="str">
        <f ca="1"/>
        <v/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</row>
    <row r="160" spans="5:37" x14ac:dyDescent="0.55000000000000004">
      <c r="E160" t="str">
        <f t="shared" si="2"/>
        <v>cylinder</v>
      </c>
      <c r="F160">
        <f>COUNTIF(E$3:E160,E160)</f>
        <v>98</v>
      </c>
      <c r="G160" t="str">
        <v/>
      </c>
      <c r="H160" t="str">
        <v/>
      </c>
      <c r="I160" t="str">
        <f ca="1"/>
        <v/>
      </c>
      <c r="J160" t="str">
        <f ca="1"/>
        <v/>
      </c>
      <c r="L160" t="str">
        <f ca="1"/>
        <v/>
      </c>
      <c r="M160" t="str">
        <v/>
      </c>
      <c r="N160" t="str">
        <v/>
      </c>
      <c r="O160" t="str">
        <f ca="1"/>
        <v/>
      </c>
      <c r="P160" t="str">
        <f ca="1"/>
        <v/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</row>
    <row r="161" spans="5:37" x14ac:dyDescent="0.55000000000000004">
      <c r="E161" t="str">
        <f t="shared" si="2"/>
        <v>cylinder</v>
      </c>
      <c r="F161">
        <f>COUNTIF(E$3:E161,E161)</f>
        <v>99</v>
      </c>
      <c r="G161" t="str">
        <v/>
      </c>
      <c r="H161" t="str">
        <v/>
      </c>
      <c r="I161" t="str">
        <f ca="1"/>
        <v/>
      </c>
      <c r="J161" t="str">
        <f ca="1"/>
        <v/>
      </c>
      <c r="L161" t="str">
        <f ca="1"/>
        <v/>
      </c>
      <c r="M161" t="str">
        <v/>
      </c>
      <c r="N161" t="str">
        <v/>
      </c>
      <c r="O161" t="str">
        <f ca="1"/>
        <v/>
      </c>
      <c r="P161" t="str">
        <f ca="1"/>
        <v/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</row>
    <row r="162" spans="5:37" x14ac:dyDescent="0.55000000000000004">
      <c r="E162" t="str">
        <f t="shared" si="2"/>
        <v>cylinder</v>
      </c>
      <c r="F162">
        <f>COUNTIF(E$3:E162,E162)</f>
        <v>100</v>
      </c>
      <c r="G162" t="str">
        <v/>
      </c>
      <c r="H162" t="str">
        <v/>
      </c>
      <c r="I162" t="str">
        <f ca="1"/>
        <v/>
      </c>
      <c r="J162" t="str">
        <f ca="1"/>
        <v/>
      </c>
      <c r="L162" t="str">
        <f ca="1"/>
        <v/>
      </c>
      <c r="M162" t="str">
        <v/>
      </c>
      <c r="N162" t="str">
        <v/>
      </c>
      <c r="O162" t="str">
        <f ca="1"/>
        <v/>
      </c>
      <c r="P162" t="str">
        <f ca="1"/>
        <v/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</row>
    <row r="163" spans="5:37" x14ac:dyDescent="0.55000000000000004">
      <c r="E163" t="str">
        <f t="shared" si="2"/>
        <v>cylinder</v>
      </c>
      <c r="F163">
        <f>COUNTIF(E$3:E163,E163)</f>
        <v>101</v>
      </c>
      <c r="G163" t="str">
        <v/>
      </c>
      <c r="H163" t="str">
        <v/>
      </c>
      <c r="I163" t="str">
        <f ca="1"/>
        <v/>
      </c>
      <c r="J163" t="str">
        <f ca="1"/>
        <v/>
      </c>
      <c r="L163" t="str">
        <f ca="1"/>
        <v/>
      </c>
      <c r="M163" t="str">
        <v/>
      </c>
      <c r="N163" t="str">
        <v/>
      </c>
      <c r="O163" t="str">
        <f ca="1"/>
        <v/>
      </c>
      <c r="P163" t="str">
        <f ca="1"/>
        <v/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</row>
    <row r="164" spans="5:37" x14ac:dyDescent="0.55000000000000004">
      <c r="E164" t="str">
        <f t="shared" si="2"/>
        <v>cylinder</v>
      </c>
      <c r="F164">
        <f>COUNTIF(E$3:E164,E164)</f>
        <v>102</v>
      </c>
      <c r="G164" t="str">
        <v/>
      </c>
      <c r="H164" t="str">
        <v/>
      </c>
      <c r="I164" t="str">
        <f ca="1"/>
        <v/>
      </c>
      <c r="J164" t="str">
        <f ca="1"/>
        <v/>
      </c>
      <c r="L164" t="str">
        <f ca="1"/>
        <v/>
      </c>
      <c r="M164" t="str">
        <v/>
      </c>
      <c r="N164" t="str">
        <v/>
      </c>
      <c r="O164" t="str">
        <f ca="1"/>
        <v/>
      </c>
      <c r="P164" t="str">
        <f ca="1"/>
        <v/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</row>
    <row r="165" spans="5:37" x14ac:dyDescent="0.55000000000000004">
      <c r="E165" t="str">
        <f t="shared" si="2"/>
        <v>cylinder</v>
      </c>
      <c r="F165">
        <f>COUNTIF(E$3:E165,E165)</f>
        <v>103</v>
      </c>
      <c r="G165" t="str">
        <v/>
      </c>
      <c r="H165" t="str">
        <v/>
      </c>
      <c r="I165" t="str">
        <f ca="1"/>
        <v/>
      </c>
      <c r="J165" t="str">
        <f ca="1"/>
        <v/>
      </c>
      <c r="L165" t="str">
        <f ca="1"/>
        <v/>
      </c>
      <c r="M165" t="str">
        <v/>
      </c>
      <c r="N165" t="str">
        <v/>
      </c>
      <c r="O165" t="str">
        <f ca="1"/>
        <v/>
      </c>
      <c r="P165" t="str">
        <f ca="1"/>
        <v/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</row>
    <row r="166" spans="5:37" x14ac:dyDescent="0.55000000000000004">
      <c r="E166" t="str">
        <f t="shared" si="2"/>
        <v>cylinder</v>
      </c>
      <c r="F166">
        <f>COUNTIF(E$3:E166,E166)</f>
        <v>104</v>
      </c>
      <c r="G166" t="str">
        <v/>
      </c>
      <c r="H166" t="str">
        <v/>
      </c>
      <c r="I166" t="str">
        <f ca="1"/>
        <v/>
      </c>
      <c r="J166" t="str">
        <f ca="1"/>
        <v/>
      </c>
      <c r="L166" t="str">
        <f ca="1"/>
        <v/>
      </c>
      <c r="M166" t="str">
        <v/>
      </c>
      <c r="N166" t="str">
        <v/>
      </c>
      <c r="O166" t="str">
        <f ca="1"/>
        <v/>
      </c>
      <c r="P166" t="str">
        <f ca="1"/>
        <v/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</row>
    <row r="167" spans="5:37" x14ac:dyDescent="0.55000000000000004">
      <c r="E167" t="str">
        <f t="shared" si="2"/>
        <v>cylinder</v>
      </c>
      <c r="F167">
        <f>COUNTIF(E$3:E167,E167)</f>
        <v>105</v>
      </c>
      <c r="G167" t="str">
        <v/>
      </c>
      <c r="H167" t="str">
        <v/>
      </c>
      <c r="I167" t="str">
        <f ca="1"/>
        <v/>
      </c>
      <c r="J167" t="str">
        <f ca="1"/>
        <v/>
      </c>
      <c r="L167" t="str">
        <f ca="1"/>
        <v/>
      </c>
      <c r="M167" t="str">
        <v/>
      </c>
      <c r="N167" t="str">
        <v/>
      </c>
      <c r="O167" t="str">
        <f ca="1"/>
        <v/>
      </c>
      <c r="P167" t="str">
        <f ca="1"/>
        <v/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</row>
    <row r="168" spans="5:37" x14ac:dyDescent="0.55000000000000004">
      <c r="E168" t="str">
        <f t="shared" si="2"/>
        <v>cylinder</v>
      </c>
      <c r="F168">
        <f>COUNTIF(E$3:E168,E168)</f>
        <v>106</v>
      </c>
      <c r="G168" t="str">
        <v/>
      </c>
      <c r="H168" t="str">
        <v/>
      </c>
      <c r="I168" t="str">
        <f ca="1"/>
        <v/>
      </c>
      <c r="J168" t="str">
        <f ca="1"/>
        <v/>
      </c>
      <c r="L168" t="str">
        <f ca="1"/>
        <v/>
      </c>
      <c r="M168" t="str">
        <v/>
      </c>
      <c r="N168" t="str">
        <v/>
      </c>
      <c r="O168" t="str">
        <f ca="1"/>
        <v/>
      </c>
      <c r="P168" t="str">
        <f ca="1"/>
        <v/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</row>
    <row r="169" spans="5:37" x14ac:dyDescent="0.55000000000000004">
      <c r="E169" t="str">
        <f t="shared" si="2"/>
        <v>cylinder</v>
      </c>
      <c r="F169">
        <f>COUNTIF(E$3:E169,E169)</f>
        <v>107</v>
      </c>
      <c r="G169" t="str">
        <v/>
      </c>
      <c r="H169" t="str">
        <v/>
      </c>
      <c r="I169" t="str">
        <f ca="1"/>
        <v/>
      </c>
      <c r="J169" t="str">
        <f ca="1"/>
        <v/>
      </c>
      <c r="L169" t="str">
        <f ca="1"/>
        <v/>
      </c>
      <c r="M169" t="str">
        <v/>
      </c>
      <c r="N169" t="str">
        <v/>
      </c>
      <c r="O169" t="str">
        <f ca="1"/>
        <v/>
      </c>
      <c r="P169" t="str">
        <f ca="1"/>
        <v/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</row>
    <row r="170" spans="5:37" x14ac:dyDescent="0.55000000000000004">
      <c r="E170" t="str">
        <f t="shared" si="2"/>
        <v>cylinder</v>
      </c>
      <c r="F170">
        <f>COUNTIF(E$3:E170,E170)</f>
        <v>108</v>
      </c>
      <c r="G170" t="str">
        <v/>
      </c>
      <c r="H170" t="str">
        <v/>
      </c>
      <c r="I170" t="str">
        <f ca="1"/>
        <v/>
      </c>
      <c r="J170" t="str">
        <f ca="1"/>
        <v/>
      </c>
      <c r="L170" t="str">
        <f ca="1"/>
        <v/>
      </c>
      <c r="M170" t="str">
        <v/>
      </c>
      <c r="N170" t="str">
        <v/>
      </c>
      <c r="O170" t="str">
        <f ca="1"/>
        <v/>
      </c>
      <c r="P170" t="str">
        <f ca="1"/>
        <v/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</row>
    <row r="171" spans="5:37" x14ac:dyDescent="0.55000000000000004">
      <c r="E171" t="str">
        <f t="shared" si="2"/>
        <v>cylinder</v>
      </c>
      <c r="F171">
        <f>COUNTIF(E$3:E171,E171)</f>
        <v>109</v>
      </c>
      <c r="G171" t="str">
        <v/>
      </c>
      <c r="H171" t="str">
        <v/>
      </c>
      <c r="I171" t="str">
        <f ca="1"/>
        <v/>
      </c>
      <c r="J171" t="str">
        <f ca="1"/>
        <v/>
      </c>
      <c r="L171" t="str">
        <f ca="1"/>
        <v/>
      </c>
      <c r="M171" t="str">
        <v/>
      </c>
      <c r="N171" t="str">
        <v/>
      </c>
      <c r="O171" t="str">
        <f ca="1"/>
        <v/>
      </c>
      <c r="P171" t="str">
        <f ca="1"/>
        <v/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</row>
    <row r="172" spans="5:37" x14ac:dyDescent="0.55000000000000004">
      <c r="E172" t="str">
        <f t="shared" si="2"/>
        <v>cylinder</v>
      </c>
      <c r="F172">
        <f>COUNTIF(E$3:E172,E172)</f>
        <v>110</v>
      </c>
      <c r="G172" t="str">
        <v/>
      </c>
      <c r="H172" t="str">
        <v/>
      </c>
      <c r="I172" t="str">
        <f ca="1"/>
        <v/>
      </c>
      <c r="J172" t="str">
        <f ca="1"/>
        <v/>
      </c>
      <c r="L172" t="str">
        <f ca="1"/>
        <v/>
      </c>
      <c r="M172" t="str">
        <v/>
      </c>
      <c r="N172" t="str">
        <v/>
      </c>
      <c r="O172" t="str">
        <f ca="1"/>
        <v/>
      </c>
      <c r="P172" t="str">
        <f ca="1"/>
        <v/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</row>
    <row r="173" spans="5:37" x14ac:dyDescent="0.55000000000000004">
      <c r="E173" t="str">
        <f t="shared" si="2"/>
        <v>cylinder</v>
      </c>
      <c r="F173">
        <f>COUNTIF(E$3:E173,E173)</f>
        <v>111</v>
      </c>
      <c r="G173" t="str">
        <v/>
      </c>
      <c r="H173" t="str">
        <v/>
      </c>
      <c r="I173" t="str">
        <f ca="1"/>
        <v/>
      </c>
      <c r="J173" t="str">
        <f ca="1"/>
        <v/>
      </c>
      <c r="L173" t="str">
        <f ca="1"/>
        <v/>
      </c>
      <c r="M173" t="str">
        <v/>
      </c>
      <c r="N173" t="str">
        <v/>
      </c>
      <c r="O173" t="str">
        <f ca="1"/>
        <v/>
      </c>
      <c r="P173" t="str">
        <f ca="1"/>
        <v/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</row>
    <row r="174" spans="5:37" x14ac:dyDescent="0.55000000000000004">
      <c r="E174" t="str">
        <f t="shared" si="2"/>
        <v>cylinder</v>
      </c>
      <c r="F174">
        <f>COUNTIF(E$3:E174,E174)</f>
        <v>112</v>
      </c>
      <c r="G174" t="str">
        <v/>
      </c>
      <c r="H174" t="str">
        <v/>
      </c>
      <c r="I174" t="str">
        <f ca="1"/>
        <v/>
      </c>
      <c r="J174" t="str">
        <f ca="1"/>
        <v/>
      </c>
      <c r="L174" t="str">
        <f ca="1"/>
        <v/>
      </c>
      <c r="M174" t="str">
        <v/>
      </c>
      <c r="N174" t="str">
        <v/>
      </c>
      <c r="O174" t="str">
        <f ca="1"/>
        <v/>
      </c>
      <c r="P174" t="str">
        <f ca="1"/>
        <v/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</row>
    <row r="175" spans="5:37" x14ac:dyDescent="0.55000000000000004">
      <c r="E175" t="str">
        <f t="shared" si="2"/>
        <v>cylinder</v>
      </c>
      <c r="F175">
        <f>COUNTIF(E$3:E175,E175)</f>
        <v>113</v>
      </c>
      <c r="G175" t="str">
        <v/>
      </c>
      <c r="H175" t="str">
        <v/>
      </c>
      <c r="I175" t="str">
        <f ca="1"/>
        <v/>
      </c>
      <c r="J175" t="str">
        <f ca="1"/>
        <v/>
      </c>
      <c r="L175" t="str">
        <f ca="1"/>
        <v/>
      </c>
      <c r="M175" t="str">
        <v/>
      </c>
      <c r="N175" t="str">
        <v/>
      </c>
      <c r="O175" t="str">
        <f ca="1"/>
        <v/>
      </c>
      <c r="P175" t="str">
        <f ca="1"/>
        <v/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</row>
    <row r="176" spans="5:37" x14ac:dyDescent="0.55000000000000004">
      <c r="E176" t="str">
        <f t="shared" si="2"/>
        <v>cylinder</v>
      </c>
      <c r="F176">
        <f>COUNTIF(E$3:E176,E176)</f>
        <v>114</v>
      </c>
      <c r="G176" t="str">
        <v/>
      </c>
      <c r="H176" t="str">
        <v/>
      </c>
      <c r="I176" t="str">
        <f ca="1"/>
        <v/>
      </c>
      <c r="J176" t="str">
        <f ca="1"/>
        <v/>
      </c>
      <c r="L176" t="str">
        <f ca="1"/>
        <v/>
      </c>
      <c r="M176" t="str">
        <v/>
      </c>
      <c r="N176" t="str">
        <v/>
      </c>
      <c r="O176" t="str">
        <f ca="1"/>
        <v/>
      </c>
      <c r="P176" t="str">
        <f ca="1"/>
        <v/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</row>
    <row r="177" spans="5:37" x14ac:dyDescent="0.55000000000000004">
      <c r="E177" t="str">
        <f t="shared" si="2"/>
        <v>cylinder</v>
      </c>
      <c r="F177">
        <f>COUNTIF(E$3:E177,E177)</f>
        <v>115</v>
      </c>
      <c r="G177" t="str">
        <v/>
      </c>
      <c r="H177" t="str">
        <v/>
      </c>
      <c r="I177" t="str">
        <f ca="1"/>
        <v/>
      </c>
      <c r="J177" t="str">
        <f ca="1"/>
        <v/>
      </c>
      <c r="L177" t="str">
        <f ca="1"/>
        <v/>
      </c>
      <c r="M177" t="str">
        <v/>
      </c>
      <c r="N177" t="str">
        <v/>
      </c>
      <c r="O177" t="str">
        <f ca="1"/>
        <v/>
      </c>
      <c r="P177" t="str">
        <f ca="1"/>
        <v/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</row>
    <row r="178" spans="5:37" x14ac:dyDescent="0.55000000000000004">
      <c r="E178" t="str">
        <f t="shared" si="2"/>
        <v>cylinder</v>
      </c>
      <c r="F178">
        <f>COUNTIF(E$3:E178,E178)</f>
        <v>116</v>
      </c>
      <c r="G178" t="str">
        <v/>
      </c>
      <c r="H178" t="str">
        <v/>
      </c>
      <c r="I178" t="str">
        <f ca="1"/>
        <v/>
      </c>
      <c r="J178" t="str">
        <f ca="1"/>
        <v/>
      </c>
      <c r="L178" t="str">
        <f ca="1"/>
        <v/>
      </c>
      <c r="M178" t="str">
        <v/>
      </c>
      <c r="N178" t="str">
        <v/>
      </c>
      <c r="O178" t="str">
        <f ca="1"/>
        <v/>
      </c>
      <c r="P178" t="str">
        <f ca="1"/>
        <v/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</row>
    <row r="179" spans="5:37" x14ac:dyDescent="0.55000000000000004">
      <c r="E179" t="str">
        <f t="shared" si="2"/>
        <v>cylinder</v>
      </c>
      <c r="F179">
        <f>COUNTIF(E$3:E179,E179)</f>
        <v>117</v>
      </c>
      <c r="G179" t="str">
        <v/>
      </c>
      <c r="H179" t="str">
        <v/>
      </c>
      <c r="I179" t="str">
        <f ca="1"/>
        <v/>
      </c>
      <c r="J179" t="str">
        <f ca="1"/>
        <v/>
      </c>
      <c r="L179" t="str">
        <f ca="1"/>
        <v/>
      </c>
      <c r="M179" t="str">
        <v/>
      </c>
      <c r="N179" t="str">
        <v/>
      </c>
      <c r="O179" t="str">
        <f ca="1"/>
        <v/>
      </c>
      <c r="P179" t="str">
        <f ca="1"/>
        <v/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</row>
    <row r="180" spans="5:37" x14ac:dyDescent="0.55000000000000004">
      <c r="E180" t="str">
        <f t="shared" si="2"/>
        <v>cylinder</v>
      </c>
      <c r="F180">
        <f>COUNTIF(E$3:E180,E180)</f>
        <v>118</v>
      </c>
      <c r="G180" t="str">
        <v/>
      </c>
      <c r="H180" t="str">
        <v/>
      </c>
      <c r="I180" t="str">
        <f ca="1"/>
        <v/>
      </c>
      <c r="J180" t="str">
        <f ca="1"/>
        <v/>
      </c>
      <c r="L180" t="str">
        <f ca="1"/>
        <v/>
      </c>
      <c r="M180" t="str">
        <v/>
      </c>
      <c r="N180" t="str">
        <v/>
      </c>
      <c r="O180" t="str">
        <f ca="1"/>
        <v/>
      </c>
      <c r="P180" t="str">
        <f ca="1"/>
        <v/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</row>
    <row r="181" spans="5:37" x14ac:dyDescent="0.55000000000000004">
      <c r="E181" t="str">
        <f t="shared" si="2"/>
        <v>cylinder</v>
      </c>
      <c r="F181">
        <f>COUNTIF(E$3:E181,E181)</f>
        <v>119</v>
      </c>
      <c r="G181" t="str">
        <v/>
      </c>
      <c r="H181" t="str">
        <v/>
      </c>
      <c r="I181" t="str">
        <f ca="1"/>
        <v/>
      </c>
      <c r="J181" t="str">
        <f ca="1"/>
        <v/>
      </c>
      <c r="L181" t="str">
        <f ca="1"/>
        <v/>
      </c>
      <c r="M181" t="str">
        <v/>
      </c>
      <c r="N181" t="str">
        <v/>
      </c>
      <c r="O181" t="str">
        <f ca="1"/>
        <v/>
      </c>
      <c r="P181" t="str">
        <f ca="1"/>
        <v/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</row>
    <row r="182" spans="5:37" x14ac:dyDescent="0.55000000000000004">
      <c r="E182" t="str">
        <f t="shared" si="2"/>
        <v>cylinder</v>
      </c>
      <c r="F182">
        <f>COUNTIF(E$3:E182,E182)</f>
        <v>120</v>
      </c>
      <c r="G182" t="str">
        <v/>
      </c>
      <c r="H182" t="str">
        <v/>
      </c>
      <c r="I182" t="str">
        <f ca="1"/>
        <v/>
      </c>
      <c r="J182" t="str">
        <f ca="1"/>
        <v/>
      </c>
      <c r="L182" t="str">
        <f ca="1"/>
        <v/>
      </c>
      <c r="M182" t="str">
        <v/>
      </c>
      <c r="N182" t="str">
        <v/>
      </c>
      <c r="O182" t="str">
        <f ca="1"/>
        <v/>
      </c>
      <c r="P182" t="str">
        <f ca="1"/>
        <v/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</row>
    <row r="183" spans="5:37" x14ac:dyDescent="0.55000000000000004">
      <c r="E183" t="str">
        <f t="shared" si="2"/>
        <v>cylinder</v>
      </c>
      <c r="F183">
        <f>COUNTIF(E$3:E183,E183)</f>
        <v>121</v>
      </c>
      <c r="G183" t="str">
        <v/>
      </c>
      <c r="H183" t="str">
        <v/>
      </c>
      <c r="I183" t="str">
        <f ca="1"/>
        <v/>
      </c>
      <c r="J183" t="str">
        <f ca="1"/>
        <v/>
      </c>
      <c r="L183" t="str">
        <f ca="1"/>
        <v/>
      </c>
      <c r="M183" t="str">
        <v/>
      </c>
      <c r="N183" t="str">
        <v/>
      </c>
      <c r="O183" t="str">
        <f ca="1"/>
        <v/>
      </c>
      <c r="P183" t="str">
        <f ca="1"/>
        <v/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</row>
    <row r="184" spans="5:37" x14ac:dyDescent="0.55000000000000004">
      <c r="E184" t="str">
        <f t="shared" si="2"/>
        <v>cylinder</v>
      </c>
      <c r="F184">
        <f>COUNTIF(E$3:E184,E184)</f>
        <v>122</v>
      </c>
      <c r="G184" t="str">
        <v/>
      </c>
      <c r="H184" t="str">
        <v/>
      </c>
      <c r="I184" t="str">
        <f ca="1"/>
        <v/>
      </c>
      <c r="J184" t="str">
        <f ca="1"/>
        <v/>
      </c>
      <c r="L184" t="str">
        <f ca="1"/>
        <v/>
      </c>
      <c r="M184" t="str">
        <v/>
      </c>
      <c r="N184" t="str">
        <v/>
      </c>
      <c r="O184" t="str">
        <f ca="1"/>
        <v/>
      </c>
      <c r="P184" t="str">
        <f ca="1"/>
        <v/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</row>
    <row r="185" spans="5:37" x14ac:dyDescent="0.55000000000000004">
      <c r="E185" t="str">
        <f t="shared" si="2"/>
        <v>cylinder</v>
      </c>
      <c r="F185">
        <f>COUNTIF(E$3:E185,E185)</f>
        <v>123</v>
      </c>
      <c r="G185" t="str">
        <v/>
      </c>
      <c r="H185" t="str">
        <v/>
      </c>
      <c r="I185" t="str">
        <f ca="1"/>
        <v/>
      </c>
      <c r="J185" t="str">
        <f ca="1"/>
        <v/>
      </c>
      <c r="L185" t="str">
        <f ca="1"/>
        <v/>
      </c>
      <c r="M185" t="str">
        <v/>
      </c>
      <c r="N185" t="str">
        <v/>
      </c>
      <c r="O185" t="str">
        <f ca="1"/>
        <v/>
      </c>
      <c r="P185" t="str">
        <f ca="1"/>
        <v/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</row>
    <row r="186" spans="5:37" x14ac:dyDescent="0.55000000000000004">
      <c r="E186" t="str">
        <f t="shared" si="2"/>
        <v>cylinder</v>
      </c>
      <c r="F186">
        <f>COUNTIF(E$3:E186,E186)</f>
        <v>124</v>
      </c>
      <c r="G186" t="str">
        <v/>
      </c>
      <c r="H186" t="str">
        <v/>
      </c>
      <c r="I186" t="str">
        <f ca="1"/>
        <v/>
      </c>
      <c r="J186" t="str">
        <f ca="1"/>
        <v/>
      </c>
      <c r="L186" t="str">
        <f ca="1"/>
        <v/>
      </c>
      <c r="M186" t="str">
        <v/>
      </c>
      <c r="N186" t="str">
        <v/>
      </c>
      <c r="O186" t="str">
        <f ca="1"/>
        <v/>
      </c>
      <c r="P186" t="str">
        <f ca="1"/>
        <v/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</row>
    <row r="187" spans="5:37" x14ac:dyDescent="0.55000000000000004">
      <c r="E187" t="str">
        <f t="shared" si="2"/>
        <v>cylinder</v>
      </c>
      <c r="F187">
        <f>COUNTIF(E$3:E187,E187)</f>
        <v>125</v>
      </c>
      <c r="G187" t="str">
        <v/>
      </c>
      <c r="H187" t="str">
        <v/>
      </c>
      <c r="I187" t="str">
        <f ca="1"/>
        <v/>
      </c>
      <c r="J187" t="str">
        <f ca="1"/>
        <v/>
      </c>
      <c r="L187" t="str">
        <f ca="1"/>
        <v/>
      </c>
      <c r="M187" t="str">
        <v/>
      </c>
      <c r="N187" t="str">
        <v/>
      </c>
      <c r="O187" t="str">
        <f ca="1"/>
        <v/>
      </c>
      <c r="P187" t="str">
        <f ca="1"/>
        <v/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</row>
    <row r="188" spans="5:37" x14ac:dyDescent="0.55000000000000004">
      <c r="E188" t="str">
        <f t="shared" si="2"/>
        <v>cylinder</v>
      </c>
      <c r="F188">
        <f>COUNTIF(E$3:E188,E188)</f>
        <v>126</v>
      </c>
      <c r="G188" t="str">
        <v/>
      </c>
      <c r="H188" t="str">
        <v/>
      </c>
      <c r="I188" t="str">
        <f ca="1"/>
        <v/>
      </c>
      <c r="J188" t="str">
        <f ca="1"/>
        <v/>
      </c>
      <c r="L188" t="str">
        <f ca="1"/>
        <v/>
      </c>
      <c r="M188" t="str">
        <v/>
      </c>
      <c r="N188" t="str">
        <v/>
      </c>
      <c r="O188" t="str">
        <f ca="1"/>
        <v/>
      </c>
      <c r="P188" t="str">
        <f ca="1"/>
        <v/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</row>
    <row r="189" spans="5:37" x14ac:dyDescent="0.55000000000000004">
      <c r="E189" t="str">
        <f t="shared" si="2"/>
        <v>cylinder</v>
      </c>
      <c r="F189">
        <f>COUNTIF(E$3:E189,E189)</f>
        <v>127</v>
      </c>
      <c r="G189" t="str">
        <v/>
      </c>
      <c r="H189" t="str">
        <v/>
      </c>
      <c r="I189" t="str">
        <f ca="1"/>
        <v/>
      </c>
      <c r="J189" t="str">
        <f ca="1"/>
        <v/>
      </c>
      <c r="L189" t="str">
        <f ca="1"/>
        <v/>
      </c>
      <c r="M189" t="str">
        <v/>
      </c>
      <c r="N189" t="str">
        <v/>
      </c>
      <c r="O189" t="str">
        <f ca="1"/>
        <v/>
      </c>
      <c r="P189" t="str">
        <f ca="1"/>
        <v/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</row>
    <row r="190" spans="5:37" x14ac:dyDescent="0.55000000000000004">
      <c r="E190" t="str">
        <f t="shared" si="2"/>
        <v>cylinder</v>
      </c>
      <c r="F190">
        <f>COUNTIF(E$3:E190,E190)</f>
        <v>128</v>
      </c>
      <c r="G190" t="str">
        <v/>
      </c>
      <c r="H190" t="str">
        <v/>
      </c>
      <c r="I190" t="str">
        <f ca="1"/>
        <v/>
      </c>
      <c r="J190" t="str">
        <f ca="1"/>
        <v/>
      </c>
      <c r="L190" t="str">
        <f ca="1"/>
        <v/>
      </c>
      <c r="M190" t="str">
        <v/>
      </c>
      <c r="N190" t="str">
        <v/>
      </c>
      <c r="O190" t="str">
        <f ca="1"/>
        <v/>
      </c>
      <c r="P190" t="str">
        <f ca="1"/>
        <v/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</row>
    <row r="191" spans="5:37" x14ac:dyDescent="0.55000000000000004">
      <c r="E191" t="str">
        <f t="shared" si="2"/>
        <v>cylinder</v>
      </c>
      <c r="F191">
        <f>COUNTIF(E$3:E191,E191)</f>
        <v>129</v>
      </c>
      <c r="G191" t="str">
        <v/>
      </c>
      <c r="H191" t="str">
        <v/>
      </c>
      <c r="I191" t="str">
        <f ca="1"/>
        <v/>
      </c>
      <c r="J191" t="str">
        <f ca="1"/>
        <v/>
      </c>
      <c r="L191" t="str">
        <f ca="1"/>
        <v/>
      </c>
      <c r="M191" t="str">
        <v/>
      </c>
      <c r="N191" t="str">
        <v/>
      </c>
      <c r="O191" t="str">
        <f ca="1"/>
        <v/>
      </c>
      <c r="P191" t="str">
        <f ca="1"/>
        <v/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</row>
    <row r="192" spans="5:37" x14ac:dyDescent="0.55000000000000004">
      <c r="E192" t="str">
        <f t="shared" si="2"/>
        <v>cylinder</v>
      </c>
      <c r="F192">
        <f>COUNTIF(E$3:E192,E192)</f>
        <v>130</v>
      </c>
      <c r="G192" t="str">
        <v/>
      </c>
      <c r="H192" t="str">
        <v/>
      </c>
      <c r="I192" t="str">
        <f ca="1"/>
        <v/>
      </c>
      <c r="J192" t="str">
        <f ca="1"/>
        <v/>
      </c>
      <c r="L192" t="str">
        <f ca="1"/>
        <v/>
      </c>
      <c r="M192" t="str">
        <v/>
      </c>
      <c r="N192" t="str">
        <v/>
      </c>
      <c r="O192" t="str">
        <f ca="1"/>
        <v/>
      </c>
      <c r="P192" t="str">
        <f ca="1"/>
        <v/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</row>
    <row r="193" spans="5:37" x14ac:dyDescent="0.55000000000000004">
      <c r="E193" t="str">
        <f t="shared" si="2"/>
        <v>cylinder</v>
      </c>
      <c r="F193">
        <f>COUNTIF(E$3:E193,E193)</f>
        <v>131</v>
      </c>
      <c r="G193" t="str">
        <v/>
      </c>
      <c r="H193" t="str">
        <v/>
      </c>
      <c r="I193" t="str">
        <f ca="1"/>
        <v/>
      </c>
      <c r="J193" t="str">
        <f ca="1"/>
        <v/>
      </c>
      <c r="L193" t="str">
        <f ca="1"/>
        <v/>
      </c>
      <c r="M193" t="str">
        <v/>
      </c>
      <c r="N193" t="str">
        <v/>
      </c>
      <c r="O193" t="str">
        <f ca="1"/>
        <v/>
      </c>
      <c r="P193" t="str">
        <f ca="1"/>
        <v/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</row>
    <row r="194" spans="5:37" x14ac:dyDescent="0.55000000000000004">
      <c r="E194" t="str">
        <f t="shared" si="2"/>
        <v>cylinder</v>
      </c>
      <c r="F194">
        <f>COUNTIF(E$3:E194,E194)</f>
        <v>132</v>
      </c>
      <c r="G194" t="str">
        <v/>
      </c>
      <c r="H194" t="str">
        <v/>
      </c>
      <c r="I194" t="str">
        <f ca="1"/>
        <v/>
      </c>
      <c r="J194" t="str">
        <f ca="1"/>
        <v/>
      </c>
      <c r="L194" t="str">
        <f ca="1"/>
        <v/>
      </c>
      <c r="M194" t="str">
        <v/>
      </c>
      <c r="N194" t="str">
        <v/>
      </c>
      <c r="O194" t="str">
        <f ca="1"/>
        <v/>
      </c>
      <c r="P194" t="str">
        <f ca="1"/>
        <v/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</row>
    <row r="195" spans="5:37" x14ac:dyDescent="0.55000000000000004">
      <c r="E195" t="str">
        <f t="shared" si="2"/>
        <v>cylinder</v>
      </c>
      <c r="F195">
        <f>COUNTIF(E$3:E195,E195)</f>
        <v>133</v>
      </c>
      <c r="G195" t="str">
        <v/>
      </c>
      <c r="H195" t="str">
        <v/>
      </c>
      <c r="I195" t="str">
        <f ca="1"/>
        <v/>
      </c>
      <c r="J195" t="str">
        <f ca="1"/>
        <v/>
      </c>
      <c r="L195" t="str">
        <f ca="1"/>
        <v/>
      </c>
      <c r="M195" t="str">
        <v/>
      </c>
      <c r="N195" t="str">
        <v/>
      </c>
      <c r="O195" t="str">
        <f ca="1"/>
        <v/>
      </c>
      <c r="P195" t="str">
        <f ca="1"/>
        <v/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</row>
    <row r="196" spans="5:37" x14ac:dyDescent="0.55000000000000004">
      <c r="E196" t="str">
        <f t="shared" si="2"/>
        <v>cylinder</v>
      </c>
      <c r="F196">
        <f>COUNTIF(E$3:E196,E196)</f>
        <v>134</v>
      </c>
      <c r="G196" t="str">
        <v/>
      </c>
      <c r="H196" t="str">
        <v/>
      </c>
      <c r="I196" t="str">
        <f ca="1"/>
        <v/>
      </c>
      <c r="J196" t="str">
        <f ca="1"/>
        <v/>
      </c>
      <c r="L196" t="str">
        <f ca="1"/>
        <v/>
      </c>
      <c r="M196" t="str">
        <v/>
      </c>
      <c r="N196" t="str">
        <v/>
      </c>
      <c r="O196" t="str">
        <f ca="1"/>
        <v/>
      </c>
      <c r="P196" t="str">
        <f ca="1"/>
        <v/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</row>
    <row r="197" spans="5:37" x14ac:dyDescent="0.55000000000000004">
      <c r="E197" t="str">
        <f t="shared" ref="E197:E202" si="3">E196</f>
        <v>cylinder</v>
      </c>
      <c r="F197">
        <f>COUNTIF(E$3:E197,E197)</f>
        <v>135</v>
      </c>
      <c r="G197" t="str">
        <v/>
      </c>
      <c r="H197" t="str">
        <v/>
      </c>
      <c r="I197" t="str">
        <f ca="1"/>
        <v/>
      </c>
      <c r="J197" t="str">
        <f ca="1"/>
        <v/>
      </c>
      <c r="L197" t="str">
        <f ca="1"/>
        <v/>
      </c>
      <c r="M197" t="str">
        <v/>
      </c>
      <c r="N197" t="str">
        <v/>
      </c>
      <c r="O197" t="str">
        <f ca="1"/>
        <v/>
      </c>
      <c r="P197" t="str">
        <f ca="1"/>
        <v/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</row>
    <row r="198" spans="5:37" x14ac:dyDescent="0.55000000000000004">
      <c r="E198" t="str">
        <f t="shared" si="3"/>
        <v>cylinder</v>
      </c>
      <c r="F198">
        <f>COUNTIF(E$3:E198,E198)</f>
        <v>136</v>
      </c>
      <c r="G198" t="str">
        <v/>
      </c>
      <c r="H198" t="str">
        <v/>
      </c>
      <c r="I198" t="str">
        <f ca="1"/>
        <v/>
      </c>
      <c r="J198" t="str">
        <f ca="1"/>
        <v/>
      </c>
      <c r="L198" t="str">
        <f ca="1"/>
        <v/>
      </c>
      <c r="M198" t="str">
        <v/>
      </c>
      <c r="N198" t="str">
        <v/>
      </c>
      <c r="O198" t="str">
        <f ca="1"/>
        <v/>
      </c>
      <c r="P198" t="str">
        <f ca="1"/>
        <v/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</row>
    <row r="199" spans="5:37" x14ac:dyDescent="0.55000000000000004">
      <c r="E199" t="str">
        <f t="shared" si="3"/>
        <v>cylinder</v>
      </c>
      <c r="F199">
        <f>COUNTIF(E$3:E199,E199)</f>
        <v>137</v>
      </c>
      <c r="G199" t="str">
        <v/>
      </c>
      <c r="H199" t="str">
        <v/>
      </c>
      <c r="I199" t="str">
        <f ca="1"/>
        <v/>
      </c>
      <c r="J199" t="str">
        <f ca="1"/>
        <v/>
      </c>
      <c r="L199" t="str">
        <f ca="1"/>
        <v/>
      </c>
      <c r="M199" t="str">
        <v/>
      </c>
      <c r="N199" t="str">
        <v/>
      </c>
      <c r="O199" t="str">
        <f ca="1"/>
        <v/>
      </c>
      <c r="P199" t="str">
        <f ca="1"/>
        <v/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</row>
    <row r="200" spans="5:37" x14ac:dyDescent="0.55000000000000004">
      <c r="E200" t="str">
        <f t="shared" si="3"/>
        <v>cylinder</v>
      </c>
      <c r="F200">
        <f>COUNTIF(E$3:E200,E200)</f>
        <v>138</v>
      </c>
      <c r="G200" t="str">
        <v/>
      </c>
      <c r="H200" t="str">
        <v/>
      </c>
      <c r="I200" t="str">
        <f ca="1"/>
        <v/>
      </c>
      <c r="J200" t="str">
        <f ca="1"/>
        <v/>
      </c>
      <c r="L200" t="str">
        <f ca="1"/>
        <v/>
      </c>
      <c r="M200" t="str">
        <v/>
      </c>
      <c r="N200" t="str">
        <v/>
      </c>
      <c r="O200" t="str">
        <f ca="1"/>
        <v/>
      </c>
      <c r="P200" t="str">
        <f ca="1"/>
        <v/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</row>
    <row r="201" spans="5:37" x14ac:dyDescent="0.55000000000000004">
      <c r="E201" t="str">
        <f t="shared" si="3"/>
        <v>cylinder</v>
      </c>
      <c r="F201">
        <f>COUNTIF(E$3:E201,E201)</f>
        <v>139</v>
      </c>
      <c r="G201" t="str">
        <v/>
      </c>
      <c r="H201" t="str">
        <v/>
      </c>
      <c r="I201" t="str">
        <f ca="1"/>
        <v/>
      </c>
      <c r="J201" t="str">
        <f ca="1"/>
        <v/>
      </c>
      <c r="L201" t="str">
        <f ca="1"/>
        <v/>
      </c>
      <c r="M201" t="str">
        <v/>
      </c>
      <c r="N201" t="str">
        <v/>
      </c>
      <c r="O201" t="str">
        <f ca="1"/>
        <v/>
      </c>
      <c r="P201" t="str">
        <f ca="1"/>
        <v/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</row>
    <row r="202" spans="5:37" x14ac:dyDescent="0.55000000000000004">
      <c r="E202" t="str">
        <f t="shared" si="3"/>
        <v>cylinder</v>
      </c>
      <c r="F202">
        <f>COUNTIF(E$3:E202,E202)</f>
        <v>140</v>
      </c>
      <c r="G202" t="str">
        <v>●</v>
      </c>
      <c r="H202" t="str">
        <v/>
      </c>
      <c r="I202" t="str">
        <f ca="1"/>
        <v/>
      </c>
      <c r="J202" t="str">
        <f ca="1"/>
        <v/>
      </c>
      <c r="L202" t="str">
        <f ca="1"/>
        <v/>
      </c>
      <c r="M202" t="str">
        <v/>
      </c>
      <c r="N202" t="str">
        <v/>
      </c>
      <c r="O202" t="str">
        <f ca="1"/>
        <v/>
      </c>
      <c r="P202" t="str">
        <f ca="1"/>
        <v/>
      </c>
      <c r="X202" t="str">
        <f ca="1"/>
        <v/>
      </c>
      <c r="Y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 xml:space="preserve">
	ELSE
		uiErrCode	:= 2;
	END_IF;</v>
      </c>
      <c r="AK202" t="str">
        <f ca="1"/>
        <v xml:space="preserve">
	ELSE
		uiErrCode	:= 2;
	END_IF;</v>
      </c>
    </row>
    <row r="205" spans="5:37" x14ac:dyDescent="0.55000000000000004">
      <c r="AK205" t="str">
        <f ca="1">IF(LENB($B$5),$B$7&amp;$B$5,"")&amp;CHAR(10)&amp;_xlfn.CONCAT(AK$3:AK$202)&amp;CHAR(10)&amp;"ELSE"&amp;CHAR(10)&amp;CHAR(9)&amp;$B$29&amp;CHAR(9)&amp;$B$8&amp;" 1"&amp;$B$9&amp;CHAR(10)&amp;"END_IF;"&amp;IF(LENB($B$6),CHAR(10)&amp;$B$7&amp;$B$6,"")</f>
        <v>//このスクリプトは C:\tk\prj\hg-0025-0016\git\kv-x520\doc\[kv_script_conv_TP1_popup.xlsx]content によって生成されました。
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
	//Y-axis: Welding torch forward/backward
	ELSIF uiInfoIdx = 8 THEN
		IF strInfoKey = 'name' THEN
			strRt	:= 'Y-axis: Welding torch forward/backward';
		ELSIF strInfoKey = 'index_name' THEN
			strRt	:= '【axis8】 Y-axis: Welding torch forward/backward';
		ELSIF strInfoKey = 'model' THEN
			strRt	:= 'ICSB2-YSA2M-WA-20AQ-20AQBNM-T4-5L-SC/ISB【ISPB】-SXM-WA-60-8-②-T4-⑧-③';
		ELSIF strInfoKey = 'mf' THEN
			strRt	:= 'IAI';
		ELSE
			uiErrCode	:= 3;
		END_IF;
	//Z-axis: Welding torch up/down
	ELSIF uiInfoIdx = 9 THEN
		IF strInfoKey = 'name' THEN
			strRt	:= 'Z-axis: Welding torch up/down';
		ELSIF strInfoKey = 'index_name' THEN
			strRt	:= '【axis9】 Z-axis: Welding torch up/down';
		ELSIF strInfoKey = 'model' THEN
			strRt	:= 'ICSB2-YSA2M-WA-20AQ-20AQBNM-T4-5L-SC/ISB【ISPB】-SXM-WA-60-4-④-T4-⑧-⑤';
		ELSIF strInfoKey = 'mf' THEN
			strRt	:= 'IAI';
		ELSE
			uiErrCode	:= 3;
		END_IF;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
		ELSE
			uiErrCode	:= 3;
		END_IF;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
		ELSE
			uiErrCode	:= 3;
		END_IF;
	ELSE
		uiErrCode	:= 2;
	END_IF;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
	ELSE
		uiErrCode	:= 2;
	END_IF;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
	//T-roll gluing ①
	ELSIF uiInfoIdx = 2 THEN
		IF strInfoKey = 'name' THEN
			strRt	:= 'T-roll gluing ①';
		ELSIF strInfoKey = 'index_name' THEN
			strRt	:= '【cylinder2】 T-roll gluing ①';
		ELSIF strInfoKey = 'model' THEN
			strRt	:= 'CDAS16×10-B-R';
		ELSIF strInfoKey = 'mf' THEN
			strRt	:= 'unknown';
		ELSE
			uiErrCode	:= 3;
		END_IF;
	//T-roll gluing ②
	ELSIF uiInfoIdx = 3 THEN
		IF strInfoKey = 'name' THEN
			strRt	:= 'T-roll gluing ②';
		ELSIF strInfoKey = 'index_name' THEN
			strRt	:= '【cylinder3】 T-roll gluing ②';
		ELSIF strInfoKey = 'model' THEN
			strRt	:= 'CDAS16×10-B-R';
		ELSIF strInfoKey = 'mf' THEN
			strRt	:= 'unknown';
		ELSE
			uiErrCode	:= 3;
		END_IF;
	//Flat sheet lower auxiliary plate release
	ELSIF uiInfoIdx = 4 THEN
		IF strInfoKey = 'name' THEN
			strRt	:= 'Flat sheet lower auxiliary plate release';
		ELSIF strInfoKey = 'index_name' THEN
			strRt	:= '【cylinder4】 Flat sheet lower auxiliary plate release';
		ELSIF strInfoKey = 'model' THEN
			strRt	:= 'CDJ2D16-45Z-W-M9BWZ-B';
		ELSIF strInfoKey = 'mf' THEN
			strRt	:= 'SMC';
		ELSE
			uiErrCode	:= 3;
		END_IF;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2025-11-14T06:15:45Z</dcterms:modified>
</cp:coreProperties>
</file>