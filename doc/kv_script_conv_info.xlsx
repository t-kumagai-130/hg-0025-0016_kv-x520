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8F4C8DC8-3F2F-4AAF-AAFC-E3089BACE9BE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<sst xmlns="http://schemas.openxmlformats.org/spreadsheetml/2006/main" count="565" uniqueCount="325">
  <si>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</si>
  <si>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</si>
  <si>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</si>
  <si>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</si>
  <si>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</si>
  <si>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</si>
  <si>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</si>
  <si>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</si>
  <si>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</si>
  <si>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</si>
  <si>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</si>
  <si>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</si>
  <si>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</si>
  <si>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</si>
  <si>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</si>
  <si>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</si>
  <si>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</si>
  <si>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</si>
  <si>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</si>
  <si>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</si>
  <si>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</si>
  <si>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</si>
  <si>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</si>
  <si>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</si>
  <si>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</si>
  <si>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</si>
  <si>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</si>
  <si>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</si>
  <si>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</si>
  <si>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</si>
  <si>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</si>
  <si>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</si>
  <si>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</si>
  <si>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</si>
  <si>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</si>
  <si>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</si>
  <si>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</si>
  <si>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</si>
  <si>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</si>
  <si>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</si>
  <si>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</si>
  <si>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</si>
  <si>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</si>
  <si>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</si>
  <si>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</si>
  <si>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</si>
  <si>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</si>
  <si>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</si>
  <si>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</si>
  <si>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</si>
  <si>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</si>
  <si>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</si>
  <si>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</si>
  <si>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</si>
  <si>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</si>
  <si>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</si>
  <si>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</si>
  <si>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</si>
  <si>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</si>
  <si>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</si>
  <si>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</si>
  <si>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</si>
  <si>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</si>
  <si>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</si>
  <si>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</si>
  <si>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</si>
  <si>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</si>
  <si>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</si>
  <si>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</si>
  <si>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</si>
  <si>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</si>
  <si>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</si>
  <si>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</si>
  <si>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</si>
  <si>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</si>
  <si>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</si>
  <si>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</si>
  <si>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</si>
  <si>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</si>
  <si>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</si>
  <si>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</si>
  <si>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</si>
  <si>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</si>
  <si>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</si>
  <si>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</si>
  <si>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</si>
  <si>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</si>
  <si>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</si>
  <si>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</si>
  <si>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</si>
  <si>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</si>
  <si>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</si>
  <si>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</si>
  <si>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</si>
  <si>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</si>
  <si>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</si>
  <si>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</si>
  <si>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</si>
  <si>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</si>
  <si>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</si>
  <si>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</si>
  <si>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</si>
  <si>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</si>
  <si>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</si>
  <si>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</si>
  <si>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</si>
  <si>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</si>
  <si>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</si>
  <si>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</si>
  <si>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</si>
  <si>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</si>
  <si>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</si>
  <si>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</si>
  <si>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</si>
  <si>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</si>
  <si>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</si>
  <si>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</si>
  <si>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</si>
  <si>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</si>
  <si>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</si>
  <si>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</si>
  <si>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</si>
  <si>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</si>
  <si>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</si>
  <si>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</si>
  <si>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</si>
  <si>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</si>
  <si>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</si>
  <si>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</si>
  <si>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</si>
  <si>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</si>
  <si>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</si>
  <si>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</si>
  <si>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</si>
  <si>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</si>
  <si>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</si>
  <si>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</si>
  <si>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</si>
  <si>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</si>
  <si>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</si>
  <si>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</si>
  <si>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</si>
  <si>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</si>
  <si>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</si>
  <si>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</si>
  <si>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</si>
  <si>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</si>
  <si>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</si>
  <si>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</si>
  <si>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</si>
  <si>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</si>
  <si>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</si>
  <si>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</si>
  <si>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</si>
  <si>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</si>
  <si>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</si>
  <si>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</si>
  <si>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Winding shaft center forward/backward</t>
  </si>
  <si>
    <t>Flat sheet chuck (hand) forward/backward</t>
  </si>
  <si>
    <t>Flat sheet chuck open/close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</si>
  <si>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</si>
  <si>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</si>
  <si>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</si>
  <si>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</si>
  <si>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</si>
  <si>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</si>
  <si>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</si>
  <si>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</si>
  <si>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</si>
  <si>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</si>
  <si>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</si>
  <si>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</si>
  <si>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</si>
  <si>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</si>
  <si>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</si>
  <si>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</si>
  <si>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</si>
  <si>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</si>
  <si>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</si>
  <si>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</si>
  <si>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</si>
  <si>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</si>
  <si>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</si>
  <si>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</si>
  <si>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</si>
  <si>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</si>
  <si>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</si>
  <si>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</si>
  <si>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</si>
  <si>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</si>
  <si>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</si>
  <si>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</si>
  <si>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</si>
  <si>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</si>
  <si>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</si>
  <si>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</si>
  <si>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</si>
  <si>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</si>
  <si>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</si>
  <si>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</si>
  <si>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</si>
  <si>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</si>
  <si>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</si>
  <si>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</si>
  <si>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</si>
  <si>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</si>
  <si>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</si>
  <si>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</si>
  <si>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</si>
  <si>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</si>
  <si>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</si>
  <si>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</si>
  <si>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</si>
  <si>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</si>
  <si>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</si>
  <si>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</si>
  <si>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</si>
  <si>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</si>
  <si>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</si>
  <si>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</si>
  <si>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</si>
  <si>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</si>
  <si>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</si>
  <si>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</si>
  <si>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</si>
  <si>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</si>
  <si>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</si>
  <si>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</si>
  <si>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</si>
  <si>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</si>
  <si>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</si>
  <si>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</si>
  <si>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</si>
  <si>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</si>
  <si>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</si>
  <si>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</si>
  <si>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</si>
  <si>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</si>
  <si>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</si>
  <si>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</si>
  <si>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</si>
  <si>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</si>
  <si>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</si>
  <si>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</si>
  <si>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</si>
  <si>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</si>
  <si>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</si>
  <si>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</si>
  <si>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</si>
  <si>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</si>
  <si>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</si>
  <si>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</si>
  <si>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</si>
  <si>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</si>
  <si>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</si>
  <si>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</si>
  <si>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</si>
  <si>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</si>
  <si>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</si>
  <si>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</si>
  <si>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</si>
  <si>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</si>
  <si>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</si>
  <si>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</si>
  <si>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</si>
  <si>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</si>
  <si>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</si>
  <si>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</si>
  <si>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</si>
  <si>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</si>
  <si>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</si>
  <si>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</si>
  <si>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</si>
  <si>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</si>
  <si>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</si>
  <si>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</si>
  <si>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</si>
  <si>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</si>
  <si>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</si>
  <si>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</si>
  <si>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</si>
  <si>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</si>
  <si>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</si>
  <si>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</si>
  <si>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</si>
  <si>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</si>
  <si>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</si>
  <si>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</si>
  <si>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</si>
  <si>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</si>
  <si>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</si>
  <si>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</si>
  <si>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</si>
  <si>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</si>
  <si>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</si>
  <si>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</si>
  <si>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</si>
  <si>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</si>
  <si>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</si>
  <si>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</si>
  <si>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</si>
  <si>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</si>
  <si>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</si>
  <si>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</si>
  <si>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</si>
  <si>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</si>
  <si>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</si>
  <si>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</si>
  <si>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</si>
  <si>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</si>
  <si>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</si>
  <si>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</si>
  <si>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</si>
  <si>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</si>
  <si>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</si>
  <si>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</si>
  <si>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</si>
  <si>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</si>
  <si>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</si>
  <si>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</si>
  <si>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Flat tension axis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</si>
  <si>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</si>
  <si>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</si>
  <si>
    <t>平板押え上下</t>
    <phoneticPr fontId="1"/>
  </si>
  <si>
    <t>Flat sheet clamp up/down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</si>
</sst>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6" ySplit="1" topLeftCell="G38" activePane="bottomRight" state="frozen"/>
      <selection pane="topRight" activeCell="G1" sqref="G1"/>
      <selection pane="bottomLeft" activeCell="A2" sqref="A2"/>
      <selection pane="bottomRight" activeCell="F66" sqref="F66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145</v>
      </c>
      <c r="H1" s="39" t="s">
        <v>10</v>
      </c>
      <c r="I1" s="39" t="s">
        <v>7</v>
      </c>
      <c r="J1" s="39" t="s">
        <v>3</v>
      </c>
      <c r="K1" s="39" t="s">
        <v>211</v>
      </c>
      <c r="L1" s="39" t="s">
        <v>5</v>
      </c>
      <c r="M1" s="40" t="s">
        <v>112</v>
      </c>
      <c r="N1" s="40" t="s">
        <v>229</v>
      </c>
      <c r="O1" s="40" t="s">
        <v>228</v>
      </c>
      <c r="P1" s="41" t="s">
        <v>269</v>
      </c>
      <c r="Q1" s="41" t="s">
        <v>270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132</v>
      </c>
      <c r="G2" s="28" t="s">
        <v>146</v>
      </c>
      <c r="H2" s="28" t="s">
        <v>20</v>
      </c>
      <c r="I2" s="28" t="s">
        <v>21</v>
      </c>
      <c r="J2" s="28" t="s">
        <v>213</v>
      </c>
      <c r="K2" s="28" t="s">
        <v>212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237</v>
      </c>
      <c r="H3" s="12" t="s">
        <v>14</v>
      </c>
      <c r="I3" s="12" t="s">
        <v>13</v>
      </c>
      <c r="J3" s="17" t="s">
        <v>213</v>
      </c>
      <c r="K3" s="12" t="s">
        <v>212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147</v>
      </c>
      <c r="H4" s="12" t="s">
        <v>14</v>
      </c>
      <c r="I4" s="12" t="s">
        <v>13</v>
      </c>
      <c r="J4" s="17" t="s">
        <v>213</v>
      </c>
      <c r="K4" s="12" t="s">
        <v>212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148</v>
      </c>
      <c r="H5" s="12" t="s">
        <v>14</v>
      </c>
      <c r="I5" s="12" t="s">
        <v>13</v>
      </c>
      <c r="J5" s="17" t="s">
        <v>213</v>
      </c>
      <c r="K5" s="12" t="s">
        <v>212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240</v>
      </c>
      <c r="G6" s="8" t="s">
        <v>149</v>
      </c>
      <c r="H6" s="8" t="s">
        <v>1</v>
      </c>
      <c r="I6" s="8" t="s">
        <v>11</v>
      </c>
      <c r="J6" s="8" t="s">
        <v>2</v>
      </c>
      <c r="K6" s="8" t="s">
        <v>216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130</v>
      </c>
      <c r="G7" s="8" t="s">
        <v>150</v>
      </c>
      <c r="H7" s="8" t="s">
        <v>0</v>
      </c>
      <c r="I7" s="8" t="s">
        <v>11</v>
      </c>
      <c r="J7" s="8" t="s">
        <v>2</v>
      </c>
      <c r="K7" s="8" t="s">
        <v>216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129</v>
      </c>
      <c r="G8" s="8" t="s">
        <v>151</v>
      </c>
      <c r="H8" s="8" t="s">
        <v>28</v>
      </c>
      <c r="I8" s="8" t="s">
        <v>11</v>
      </c>
      <c r="J8" s="8" t="s">
        <v>2</v>
      </c>
      <c r="K8" s="8" t="s">
        <v>216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255</v>
      </c>
      <c r="G9" s="8" t="s">
        <v>257</v>
      </c>
      <c r="H9" s="8" t="s">
        <v>106</v>
      </c>
      <c r="I9" s="8" t="s">
        <v>15</v>
      </c>
      <c r="J9" s="8" t="s">
        <v>2</v>
      </c>
      <c r="K9" s="8" t="s">
        <v>216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256</v>
      </c>
      <c r="G10" s="8" t="s">
        <v>258</v>
      </c>
      <c r="H10" s="8" t="s">
        <v>107</v>
      </c>
      <c r="I10" s="8" t="s">
        <v>15</v>
      </c>
      <c r="J10" s="8" t="s">
        <v>2</v>
      </c>
      <c r="K10" s="8" t="s">
        <v>216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131</v>
      </c>
      <c r="G11" s="8" t="s">
        <v>152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133</v>
      </c>
      <c r="G12" s="8" t="s">
        <v>153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134</v>
      </c>
      <c r="G13" s="8" t="s">
        <v>154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155</v>
      </c>
      <c r="H14" s="8" t="s">
        <v>31</v>
      </c>
      <c r="I14" s="8" t="s">
        <v>32</v>
      </c>
      <c r="J14" s="8" t="s">
        <v>215</v>
      </c>
      <c r="K14" s="8" t="s">
        <v>214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156</v>
      </c>
      <c r="H15" s="8" t="s">
        <v>33</v>
      </c>
      <c r="I15" s="8" t="s">
        <v>32</v>
      </c>
      <c r="J15" s="8" t="s">
        <v>215</v>
      </c>
      <c r="K15" s="8" t="s">
        <v>214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>
        <v>10</v>
      </c>
      <c r="E16" s="8" t="s">
        <v>271</v>
      </c>
      <c r="F16" s="8" t="s">
        <v>266</v>
      </c>
      <c r="G16" s="8" t="s">
        <v>267</v>
      </c>
      <c r="H16" s="8" t="s">
        <v>268</v>
      </c>
      <c r="I16" s="8"/>
      <c r="J16" s="8" t="s">
        <v>212</v>
      </c>
      <c r="K16" s="8" t="s">
        <v>212</v>
      </c>
      <c r="L16" s="8"/>
      <c r="M16" s="10"/>
      <c r="N16" s="10"/>
      <c r="O16" s="10"/>
      <c r="P16" s="34">
        <v>46069.554861111108</v>
      </c>
      <c r="Q16" s="34">
        <v>46170.413888888892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310</v>
      </c>
      <c r="G17" s="8" t="s">
        <v>320</v>
      </c>
      <c r="H17" s="8" t="s">
        <v>33</v>
      </c>
      <c r="I17" s="8" t="s">
        <v>313</v>
      </c>
      <c r="J17" s="8" t="s">
        <v>214</v>
      </c>
      <c r="K17" s="8" t="s">
        <v>214</v>
      </c>
      <c r="L17" s="8"/>
      <c r="M17" s="10"/>
      <c r="N17" s="10"/>
      <c r="O17" s="10"/>
      <c r="P17" s="34">
        <v>46069.554861111108</v>
      </c>
      <c r="Q17" s="34">
        <v>46170.413888888892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/>
      <c r="E18" s="8"/>
      <c r="F18" s="8" t="s">
        <v>314</v>
      </c>
      <c r="G18" s="8" t="s">
        <v>319</v>
      </c>
      <c r="H18" s="8" t="s">
        <v>317</v>
      </c>
      <c r="I18" s="8"/>
      <c r="J18" s="8" t="s">
        <v>216</v>
      </c>
      <c r="K18" s="8" t="s">
        <v>216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315</v>
      </c>
      <c r="G19" s="8" t="s">
        <v>316</v>
      </c>
      <c r="H19" s="8" t="s">
        <v>318</v>
      </c>
      <c r="I19" s="8"/>
      <c r="J19" s="8" t="s">
        <v>216</v>
      </c>
      <c r="K19" s="8" t="s">
        <v>216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321</v>
      </c>
      <c r="G20" s="8" t="s">
        <v>322</v>
      </c>
      <c r="H20" s="42" t="s">
        <v>33</v>
      </c>
      <c r="I20" s="8" t="s">
        <v>293</v>
      </c>
      <c r="J20" s="8" t="s">
        <v>216</v>
      </c>
      <c r="K20" s="8" t="s">
        <v>216</v>
      </c>
      <c r="L20" s="8">
        <v>1</v>
      </c>
      <c r="M20" s="10"/>
      <c r="N20" s="10"/>
      <c r="O20" s="10"/>
      <c r="P20" s="34">
        <v>46139</v>
      </c>
      <c r="Q20" s="34">
        <v>46196.622916666667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306</v>
      </c>
      <c r="G21" s="8" t="s">
        <v>294</v>
      </c>
      <c r="H21" s="42" t="s">
        <v>295</v>
      </c>
      <c r="I21" s="8" t="s">
        <v>293</v>
      </c>
      <c r="J21" s="8" t="s">
        <v>216</v>
      </c>
      <c r="K21" s="8" t="s">
        <v>216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307</v>
      </c>
      <c r="G22" s="8" t="s">
        <v>296</v>
      </c>
      <c r="H22" s="42" t="s">
        <v>297</v>
      </c>
      <c r="I22" s="8" t="s">
        <v>298</v>
      </c>
      <c r="J22" s="8" t="s">
        <v>216</v>
      </c>
      <c r="K22" s="8" t="s">
        <v>216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299</v>
      </c>
      <c r="G23" s="8" t="s">
        <v>300</v>
      </c>
      <c r="H23" s="42" t="s">
        <v>301</v>
      </c>
      <c r="I23" s="8" t="s">
        <v>302</v>
      </c>
      <c r="J23" s="8" t="s">
        <v>216</v>
      </c>
      <c r="K23" s="8" t="s">
        <v>216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308</v>
      </c>
      <c r="G24" s="8" t="s">
        <v>303</v>
      </c>
      <c r="H24" s="42" t="s">
        <v>292</v>
      </c>
      <c r="I24" s="8" t="s">
        <v>293</v>
      </c>
      <c r="J24" s="8" t="s">
        <v>216</v>
      </c>
      <c r="K24" s="8" t="s">
        <v>216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309</v>
      </c>
      <c r="G25" s="8" t="s">
        <v>304</v>
      </c>
      <c r="H25" s="42" t="s">
        <v>305</v>
      </c>
      <c r="I25" s="8" t="s">
        <v>293</v>
      </c>
      <c r="J25" s="8" t="s">
        <v>216</v>
      </c>
      <c r="K25" s="8" t="s">
        <v>216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310</v>
      </c>
      <c r="G26" s="8" t="s">
        <v>311</v>
      </c>
      <c r="H26" s="42" t="s">
        <v>312</v>
      </c>
      <c r="I26" s="8" t="s">
        <v>313</v>
      </c>
      <c r="J26" s="8" t="s">
        <v>214</v>
      </c>
      <c r="K26" s="8" t="s">
        <v>214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291</v>
      </c>
      <c r="G27" s="8" t="s">
        <v>157</v>
      </c>
      <c r="H27" s="8" t="s">
        <v>61</v>
      </c>
      <c r="I27" s="8" t="s">
        <v>62</v>
      </c>
      <c r="J27" s="8" t="s">
        <v>4</v>
      </c>
      <c r="K27" s="8" t="s">
        <v>217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275</v>
      </c>
      <c r="G28" s="8" t="s">
        <v>277</v>
      </c>
      <c r="H28" s="8" t="s">
        <v>198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276</v>
      </c>
      <c r="G29" s="8" t="s">
        <v>278</v>
      </c>
      <c r="H29" s="8" t="s">
        <v>198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137</v>
      </c>
      <c r="F30" s="8" t="s">
        <v>238</v>
      </c>
      <c r="G30" s="8" t="s">
        <v>239</v>
      </c>
      <c r="H30" s="8" t="s">
        <v>63</v>
      </c>
      <c r="I30" s="9" t="s">
        <v>64</v>
      </c>
      <c r="J30" s="8" t="s">
        <v>4</v>
      </c>
      <c r="K30" s="8" t="s">
        <v>217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144</v>
      </c>
      <c r="G31" s="8" t="s">
        <v>158</v>
      </c>
      <c r="H31" s="8" t="s">
        <v>67</v>
      </c>
      <c r="I31" s="8" t="s">
        <v>68</v>
      </c>
      <c r="J31" s="8" t="s">
        <v>4</v>
      </c>
      <c r="K31" s="8" t="s">
        <v>217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143</v>
      </c>
      <c r="G32" s="8" t="s">
        <v>159</v>
      </c>
      <c r="H32" s="8" t="s">
        <v>65</v>
      </c>
      <c r="I32" s="8" t="s">
        <v>66</v>
      </c>
      <c r="J32" s="8" t="s">
        <v>4</v>
      </c>
      <c r="K32" s="8" t="s">
        <v>217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323</v>
      </c>
      <c r="G33" s="8" t="s">
        <v>324</v>
      </c>
      <c r="H33" s="8" t="s">
        <v>69</v>
      </c>
      <c r="I33" s="8" t="s">
        <v>70</v>
      </c>
      <c r="J33" s="8" t="s">
        <v>4</v>
      </c>
      <c r="K33" s="8" t="s">
        <v>217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141</v>
      </c>
      <c r="G34" s="8" t="s">
        <v>160</v>
      </c>
      <c r="H34" s="8" t="s">
        <v>73</v>
      </c>
      <c r="I34" s="8" t="s">
        <v>70</v>
      </c>
      <c r="J34" s="8" t="s">
        <v>4</v>
      </c>
      <c r="K34" s="8" t="s">
        <v>217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161</v>
      </c>
      <c r="H35" s="8" t="s">
        <v>71</v>
      </c>
      <c r="I35" s="8" t="s">
        <v>72</v>
      </c>
      <c r="J35" s="8" t="s">
        <v>4</v>
      </c>
      <c r="K35" s="8" t="s">
        <v>217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140</v>
      </c>
      <c r="G36" s="8" t="s">
        <v>162</v>
      </c>
      <c r="H36" s="8" t="s">
        <v>69</v>
      </c>
      <c r="I36" s="8" t="s">
        <v>70</v>
      </c>
      <c r="J36" s="8" t="s">
        <v>4</v>
      </c>
      <c r="K36" s="8" t="s">
        <v>217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135</v>
      </c>
      <c r="G37" s="12" t="s">
        <v>163</v>
      </c>
      <c r="H37" s="12" t="s">
        <v>75</v>
      </c>
      <c r="I37" s="12" t="s">
        <v>70</v>
      </c>
      <c r="J37" s="12" t="s">
        <v>4</v>
      </c>
      <c r="K37" s="12" t="s">
        <v>217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138</v>
      </c>
      <c r="G38" s="8" t="s">
        <v>164</v>
      </c>
      <c r="H38" s="8" t="s">
        <v>74</v>
      </c>
      <c r="I38" s="8" t="s">
        <v>70</v>
      </c>
      <c r="J38" s="8" t="s">
        <v>4</v>
      </c>
      <c r="K38" s="8" t="s">
        <v>217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136</v>
      </c>
      <c r="G39" s="12" t="s">
        <v>165</v>
      </c>
      <c r="H39" s="12" t="s">
        <v>75</v>
      </c>
      <c r="I39" s="12" t="s">
        <v>70</v>
      </c>
      <c r="J39" s="12" t="s">
        <v>4</v>
      </c>
      <c r="K39" s="12" t="s">
        <v>217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139</v>
      </c>
      <c r="G40" s="8" t="s">
        <v>166</v>
      </c>
      <c r="H40" s="8" t="s">
        <v>76</v>
      </c>
      <c r="I40" s="8" t="s">
        <v>70</v>
      </c>
      <c r="J40" s="8" t="s">
        <v>4</v>
      </c>
      <c r="K40" s="8" t="s">
        <v>217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235</v>
      </c>
      <c r="G41" s="12" t="s">
        <v>236</v>
      </c>
      <c r="H41" s="12" t="s">
        <v>77</v>
      </c>
      <c r="I41" s="12" t="s">
        <v>78</v>
      </c>
      <c r="J41" s="12" t="s">
        <v>4</v>
      </c>
      <c r="K41" s="12" t="s">
        <v>217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142</v>
      </c>
      <c r="G42" s="12" t="s">
        <v>167</v>
      </c>
      <c r="H42" s="12" t="s">
        <v>77</v>
      </c>
      <c r="I42" s="12" t="s">
        <v>78</v>
      </c>
      <c r="J42" s="12" t="s">
        <v>4</v>
      </c>
      <c r="K42" s="12" t="s">
        <v>217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199</v>
      </c>
      <c r="G43" s="8" t="s">
        <v>230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200</v>
      </c>
      <c r="G44" s="8" t="s">
        <v>231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202</v>
      </c>
      <c r="G45" s="8" t="s">
        <v>232</v>
      </c>
      <c r="H45" s="8" t="s">
        <v>201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261</v>
      </c>
      <c r="G46" s="8" t="s">
        <v>263</v>
      </c>
      <c r="H46" s="8" t="s">
        <v>262</v>
      </c>
      <c r="I46" s="8" t="s">
        <v>265</v>
      </c>
      <c r="J46" s="8" t="s">
        <v>264</v>
      </c>
      <c r="K46" s="8" t="s">
        <v>264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217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217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217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128</v>
      </c>
      <c r="G50" s="8" t="s">
        <v>195</v>
      </c>
      <c r="H50" s="8" t="s">
        <v>30</v>
      </c>
      <c r="I50" s="8" t="s">
        <v>29</v>
      </c>
      <c r="J50" s="8" t="s">
        <v>2</v>
      </c>
      <c r="K50" s="8" t="s">
        <v>216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215</v>
      </c>
      <c r="K51" s="8" t="s">
        <v>214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215</v>
      </c>
      <c r="K52" s="8" t="s">
        <v>214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215</v>
      </c>
      <c r="K53" s="8" t="s">
        <v>214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215</v>
      </c>
      <c r="K54" s="8" t="s">
        <v>214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215</v>
      </c>
      <c r="K55" s="8" t="s">
        <v>214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215</v>
      </c>
      <c r="K56" s="8" t="s">
        <v>214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215</v>
      </c>
      <c r="K57" s="8" t="s">
        <v>214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215</v>
      </c>
      <c r="K58" s="8" t="s">
        <v>214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215</v>
      </c>
      <c r="K59" s="8" t="s">
        <v>214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215</v>
      </c>
      <c r="K60" s="8" t="s">
        <v>214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254</v>
      </c>
      <c r="C61" s="7">
        <v>1</v>
      </c>
      <c r="D61" s="8"/>
      <c r="E61" s="8"/>
      <c r="F61" s="8" t="s">
        <v>241</v>
      </c>
      <c r="G61" s="8" t="s">
        <v>247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46069.554861111108</v>
      </c>
      <c r="R61" s="10"/>
    </row>
    <row r="62" spans="1:18" x14ac:dyDescent="0.55000000000000004">
      <c r="A62" s="7">
        <v>52</v>
      </c>
      <c r="B62" s="7" t="s">
        <v>254</v>
      </c>
      <c r="C62" s="7">
        <v>2</v>
      </c>
      <c r="D62" s="8"/>
      <c r="E62" s="8"/>
      <c r="F62" s="8" t="s">
        <v>242</v>
      </c>
      <c r="G62" s="8" t="s">
        <v>248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46069.554861111108</v>
      </c>
      <c r="R62" s="10"/>
    </row>
    <row r="63" spans="1:18" x14ac:dyDescent="0.55000000000000004">
      <c r="A63" s="7">
        <v>53</v>
      </c>
      <c r="B63" s="7" t="s">
        <v>254</v>
      </c>
      <c r="C63" s="7">
        <v>3</v>
      </c>
      <c r="D63" s="8"/>
      <c r="E63" s="8"/>
      <c r="F63" s="8" t="s">
        <v>243</v>
      </c>
      <c r="G63" s="8" t="s">
        <v>249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46069.554861111108</v>
      </c>
      <c r="R63" s="10"/>
    </row>
    <row r="64" spans="1:18" x14ac:dyDescent="0.55000000000000004">
      <c r="A64" s="7">
        <v>54</v>
      </c>
      <c r="B64" s="7" t="s">
        <v>254</v>
      </c>
      <c r="C64" s="7">
        <v>4</v>
      </c>
      <c r="D64" s="8"/>
      <c r="E64" s="8"/>
      <c r="F64" s="8" t="s">
        <v>244</v>
      </c>
      <c r="G64" s="8" t="s">
        <v>250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46069.554861111108</v>
      </c>
      <c r="R64" s="10"/>
    </row>
    <row r="65" spans="1:18" x14ac:dyDescent="0.55000000000000004">
      <c r="A65" s="7">
        <v>55</v>
      </c>
      <c r="B65" s="7" t="s">
        <v>254</v>
      </c>
      <c r="C65" s="7">
        <v>5</v>
      </c>
      <c r="D65" s="8"/>
      <c r="E65" s="8"/>
      <c r="F65" s="8" t="s">
        <v>245</v>
      </c>
      <c r="G65" s="8" t="s">
        <v>251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46069.554861111108</v>
      </c>
      <c r="R65" s="10"/>
    </row>
    <row r="66" spans="1:18" x14ac:dyDescent="0.55000000000000004">
      <c r="A66" s="7">
        <v>56</v>
      </c>
      <c r="B66" s="7" t="s">
        <v>254</v>
      </c>
      <c r="C66" s="7">
        <v>6</v>
      </c>
      <c r="D66" s="8"/>
      <c r="E66" s="8"/>
      <c r="F66" s="8" t="s">
        <v>246</v>
      </c>
      <c r="G66" s="8" t="s">
        <v>252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46069.554861111108</v>
      </c>
      <c r="R66" s="10"/>
    </row>
    <row r="67" spans="1:18" x14ac:dyDescent="0.55000000000000004">
      <c r="A67" s="7">
        <v>60</v>
      </c>
      <c r="B67" s="7" t="s">
        <v>272</v>
      </c>
      <c r="C67" s="7">
        <v>7</v>
      </c>
      <c r="D67" s="8"/>
      <c r="E67" s="8"/>
      <c r="F67" s="8" t="s">
        <v>273</v>
      </c>
      <c r="G67" s="8" t="s">
        <v>274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46069.809027777781</v>
      </c>
      <c r="R67" s="10"/>
    </row>
    <row r="68" spans="1:18" x14ac:dyDescent="0.55000000000000004">
      <c r="A68" s="7">
        <v>65</v>
      </c>
      <c r="B68" s="7" t="s">
        <v>272</v>
      </c>
      <c r="C68" s="7">
        <v>8</v>
      </c>
      <c r="D68" s="8"/>
      <c r="E68" s="8"/>
      <c r="F68" s="8" t="s">
        <v>289</v>
      </c>
      <c r="G68" s="8" t="s">
        <v>290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46085.347222222219</v>
      </c>
      <c r="R68" s="10"/>
    </row>
    <row r="69" spans="1:18" x14ac:dyDescent="0.55000000000000004">
      <c r="A69" s="7">
        <v>57</v>
      </c>
      <c r="B69" s="7" t="s">
        <v>279</v>
      </c>
      <c r="C69" s="7">
        <v>1</v>
      </c>
      <c r="D69" s="8"/>
      <c r="E69" s="8"/>
      <c r="F69" s="8" t="s">
        <v>259</v>
      </c>
      <c r="G69" s="8" t="s">
        <v>260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280</v>
      </c>
      <c r="C70" s="7">
        <v>2</v>
      </c>
      <c r="D70" s="8"/>
      <c r="E70" s="8"/>
      <c r="F70" s="8" t="s">
        <v>281</v>
      </c>
      <c r="G70" s="8" t="s">
        <v>282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283</v>
      </c>
      <c r="C71" s="7">
        <v>1</v>
      </c>
      <c r="D71" s="8"/>
      <c r="E71" s="8"/>
      <c r="F71" s="8" t="s">
        <v>287</v>
      </c>
      <c r="G71" s="8" t="s">
        <v>288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283</v>
      </c>
      <c r="C72" s="7">
        <v>2</v>
      </c>
      <c r="D72" s="8"/>
      <c r="E72" s="8"/>
      <c r="F72" s="8" t="s">
        <v>287</v>
      </c>
      <c r="G72" s="8" t="s">
        <v>288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283</v>
      </c>
      <c r="C73" s="7">
        <v>3</v>
      </c>
      <c r="D73" s="8"/>
      <c r="E73" s="8"/>
      <c r="F73" s="8" t="s">
        <v>284</v>
      </c>
      <c r="G73" s="8" t="s">
        <v>285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191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24" sqref="B24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223</v>
      </c>
      <c r="J1" t="s">
        <v>219</v>
      </c>
      <c r="L1" t="s">
        <v>220</v>
      </c>
      <c r="N1" t="s">
        <v>221</v>
      </c>
      <c r="P1" t="s">
        <v>222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204</v>
      </c>
      <c r="E2" s="30" t="s">
        <v>209</v>
      </c>
      <c r="F2" s="30" t="s">
        <v>102</v>
      </c>
      <c r="G2" s="30" t="s">
        <v>190</v>
      </c>
      <c r="H2" s="30" t="s">
        <v>208</v>
      </c>
      <c r="J2" s="30" t="s">
        <v>182</v>
      </c>
      <c r="L2" s="30" t="s">
        <v>183</v>
      </c>
      <c r="N2" s="30" t="s">
        <v>193</v>
      </c>
      <c r="P2" s="30" t="s">
        <v>210</v>
      </c>
      <c r="X2" s="30" t="s">
        <v>194</v>
      </c>
      <c r="Y2" s="30" t="s">
        <v>185</v>
      </c>
      <c r="Z2" s="30" t="s">
        <v>186</v>
      </c>
      <c r="AA2" s="30" t="s">
        <v>187</v>
      </c>
      <c r="AB2" s="30" t="s">
        <v>188</v>
      </c>
      <c r="AC2" s="30" t="s">
        <v>189</v>
      </c>
      <c r="AD2" s="30" t="s">
        <v>188</v>
      </c>
      <c r="AE2" s="30" t="s">
        <v>196</v>
      </c>
      <c r="AF2" s="30" t="s">
        <v>197</v>
      </c>
      <c r="AG2" s="30" t="s">
        <v>218</v>
      </c>
      <c r="AH2" s="30" t="s">
        <v>197</v>
      </c>
      <c r="AI2" s="30" t="s">
        <v>206</v>
      </c>
      <c r="AJ2" s="30" t="s">
        <v>207</v>
      </c>
      <c r="AK2" s="30" t="s">
        <v>203</v>
      </c>
    </row>
    <row r="3" spans="1:37" x14ac:dyDescent="0.55000000000000004">
      <c r="A3" t="s">
        <v>177</v>
      </c>
      <c r="B3" t="str" cm="1">
        <f t="array" aca="1" ref="B3" ca="1">CELL("filename")</f>
        <v>C:\tk\prj\hg-0025-0016\git\unit01\kv-x520\doc\[kv_script_conv_info.xlsx]info_index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174</v>
      </c>
      <c r="B5" t="str">
        <f ca="1">"このスクリプトは "&amp;B3&amp;" によって生成されました。"</f>
        <v>このスクリプトは C:\tk\prj\hg-0025-0016\git\unit01\kv-x520\doc\[kv_script_conv_info.xlsx]info_index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175</v>
      </c>
      <c r="B6" t="s">
        <v>176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168</v>
      </c>
      <c r="B7" t="s">
        <v>169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170</v>
      </c>
      <c r="B8" t="s">
        <v>171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172</v>
      </c>
      <c r="B9" t="s">
        <v>173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178</v>
      </c>
      <c r="B13" t="str">
        <f ca="1">$AK$205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224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波板補助軸</v>
      </c>
      <c r="J17" t="str">
        <f ca="1"/>
        <v>波板補助軸</v>
      </c>
      <c r="L17" t="str">
        <f ca="1"/>
        <v>【axis15】 波板補助軸</v>
      </c>
      <c r="M17" t="str">
        <v>AZM15AK</v>
      </c>
      <c r="N17" t="str">
        <v>AZM15AK</v>
      </c>
      <c r="O17" t="str">
        <f ca="1"/>
        <v>OrientalMotor</v>
      </c>
      <c r="P17" t="str">
        <f ca="1"/>
        <v>OrientalMotor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//波板補助軸
	ELSIF uiInfoIdx = 15 THEN</v>
      </c>
      <c r="AA17" t="str">
        <f ca="1"/>
        <v xml:space="preserve">
	//波板補助軸
	ELSIF uiInfoIdx = 15 THEN
		IF strInfoKey = 'name' THEN</v>
      </c>
      <c r="AB17" t="str">
        <f ca="1"/>
        <v xml:space="preserve">
	//波板補助軸
	ELSIF uiInfoIdx = 15 THEN
		IF strInfoKey = 'name' THEN
			strRt	:= '波板補助軸';</v>
      </c>
      <c r="AC17" t="str">
        <f ca="1"/>
        <v xml:space="preserve">
	//波板補助軸
	ELSIF uiInfoIdx = 15 THEN
		IF strInfoKey = 'name' THEN
			strRt	:= '波板補助軸';
		ELSIF strInfoKey = 'index_name' THEN</v>
      </c>
      <c r="AD17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平板張力軸</v>
      </c>
      <c r="J18" t="str">
        <f ca="1"/>
        <v>平板張力軸</v>
      </c>
      <c r="L18" t="str">
        <f ca="1"/>
        <v>【axis16】 平板張力軸</v>
      </c>
      <c r="M18" t="str">
        <v>SV3-M040AK</v>
      </c>
      <c r="N18" t="str">
        <v>SV3-M040AK</v>
      </c>
      <c r="O18" t="str">
        <f ca="1"/>
        <v>KEYENCE</v>
      </c>
      <c r="P18" t="str">
        <f ca="1"/>
        <v>KEYENCE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//平板張力軸
	ELSIF uiInfoIdx = 16 THEN</v>
      </c>
      <c r="AA18" t="str">
        <f ca="1"/>
        <v xml:space="preserve">
	//平板張力軸
	ELSIF uiInfoIdx = 16 THEN
		IF strInfoKey = 'name' THEN</v>
      </c>
      <c r="AB18" t="str">
        <f ca="1"/>
        <v xml:space="preserve">
	//平板張力軸
	ELSIF uiInfoIdx = 16 THEN
		IF strInfoKey = 'name' THEN
			strRt	:= '平板張力軸';</v>
      </c>
      <c r="AC18" t="str">
        <f ca="1"/>
        <v xml:space="preserve">
	//平板張力軸
	ELSIF uiInfoIdx = 16 THEN
		IF strInfoKey = 'name' THEN
			strRt	:= '平板張力軸';
		ELSIF strInfoKey = 'index_name' THEN</v>
      </c>
      <c r="AD18" t="str">
        <f ca="1"/>
        <v xml:space="preserve">
	//平板張力軸
	ELSIF uiInfoIdx = 16 THEN
		IF strInfoKey = 'name' THEN
			strRt	:= '平板張力軸';
		ELSIF strInfoKey = 'index_name' THEN
			strRt	:= '【axis16】 平板張力軸';</v>
      </c>
      <c r="AE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</v>
      </c>
      <c r="AF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</v>
      </c>
      <c r="AG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</v>
      </c>
      <c r="AH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</v>
      </c>
      <c r="AI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J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K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平板チャック軸</v>
      </c>
      <c r="J19" t="str">
        <f ca="1"/>
        <v>平板チャック軸</v>
      </c>
      <c r="L19" t="str">
        <f ca="1"/>
        <v>【axis17】 平板チャック軸</v>
      </c>
      <c r="M19" t="str">
        <v>RCP4-GRSWL-I-42P-28-30-P3-M-AC1</v>
      </c>
      <c r="N19" t="str">
        <v>RCP4-GRSWL-I-42P-28-30-P3-M-AC1</v>
      </c>
      <c r="O19" t="str">
        <f ca="1"/>
        <v>IAI</v>
      </c>
      <c r="P19" t="str">
        <f ca="1"/>
        <v>IAI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//平板チャック軸
	ELSIF uiInfoIdx = 17 THEN</v>
      </c>
      <c r="AA19" t="str">
        <f ca="1"/>
        <v xml:space="preserve">
	//平板チャック軸
	ELSIF uiInfoIdx = 17 THEN
		IF strInfoKey = 'name' THEN</v>
      </c>
      <c r="AB19" t="str">
        <f ca="1"/>
        <v xml:space="preserve">
	//平板チャック軸
	ELSIF uiInfoIdx = 17 THEN
		IF strInfoKey = 'name' THEN
			strRt	:= '平板チャック軸';</v>
      </c>
      <c r="AC19" t="str">
        <f ca="1"/>
        <v xml:space="preserve">
	//平板チャック軸
	ELSIF uiInfoIdx = 17 THEN
		IF strInfoKey = 'name' THEN
			strRt	:= '平板チャック軸';
		ELSIF strInfoKey = 'index_name' THEN</v>
      </c>
      <c r="AD19" t="str">
        <f ca="1"/>
        <v xml:space="preserve">
	//平板チャック軸
	ELSIF uiInfoIdx = 17 THEN
		IF strInfoKey = 'name' THEN
			strRt	:= '平板チャック軸';
		ELSIF strInfoKey = 'index_name' THEN
			strRt	:= '【axis17】 平板チャック軸';</v>
      </c>
      <c r="AE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</v>
      </c>
      <c r="AF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</v>
      </c>
      <c r="AG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</v>
      </c>
      <c r="AH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</v>
      </c>
      <c r="AI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J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K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平板チャック前後軸</v>
      </c>
      <c r="J20" t="str">
        <f ca="1"/>
        <v>平板チャック前後軸</v>
      </c>
      <c r="L20" t="str">
        <f ca="1"/>
        <v>【axis18】 平板チャック前後軸</v>
      </c>
      <c r="M20" t="str">
        <v>RCP6-TA6C-WA-42P-12-125-P3-X07-CJB-1</v>
      </c>
      <c r="N20" t="str">
        <v>RCP6-TA6C-WA-42P-12-125-P3-X07-CJB-1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//平板チャック前後軸
	ELSIF uiInfoIdx = 18 THEN</v>
      </c>
      <c r="AA20" t="str">
        <f ca="1"/>
        <v xml:space="preserve">
	//平板チャック前後軸
	ELSIF uiInfoIdx = 18 THEN
		IF strInfoKey = 'name' THEN</v>
      </c>
      <c r="AB20" t="str">
        <f ca="1"/>
        <v xml:space="preserve">
	//平板チャック前後軸
	ELSIF uiInfoIdx = 18 THEN
		IF strInfoKey = 'name' THEN
			strRt	:= '平板チャック前後軸';</v>
      </c>
      <c r="AC20" t="str">
        <f ca="1"/>
        <v xml:space="preserve">
	//平板チャック前後軸
	ELSIF uiInfoIdx = 18 THEN
		IF strInfoKey = 'name' THEN
			strRt	:= '平板チャック前後軸';
		ELSIF strInfoKey = 'index_name' THEN</v>
      </c>
      <c r="AD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</v>
      </c>
      <c r="AE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</v>
      </c>
      <c r="AF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</v>
      </c>
      <c r="AG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</v>
      </c>
      <c r="AH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</v>
      </c>
      <c r="AI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J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K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波板張力軸</v>
      </c>
      <c r="J21" t="str">
        <f ca="1"/>
        <v>波板張力軸</v>
      </c>
      <c r="L21" t="str">
        <f ca="1"/>
        <v>【axis19】 波板張力軸</v>
      </c>
      <c r="M21" t="str">
        <v>SV3-M040AK</v>
      </c>
      <c r="N21" t="str">
        <v>SV3-M040AK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//波板張力軸
	ELSIF uiInfoIdx = 19 THEN</v>
      </c>
      <c r="AA21" t="str">
        <f ca="1"/>
        <v xml:space="preserve">
	//波板張力軸
	ELSIF uiInfoIdx = 19 THEN
		IF strInfoKey = 'name' THEN</v>
      </c>
      <c r="AB21" t="str">
        <f ca="1"/>
        <v xml:space="preserve">
	//波板張力軸
	ELSIF uiInfoIdx = 19 THEN
		IF strInfoKey = 'name' THEN
			strRt	:= '波板張力軸';</v>
      </c>
      <c r="AC21" t="str">
        <f ca="1"/>
        <v xml:space="preserve">
	//波板張力軸
	ELSIF uiInfoIdx = 19 THEN
		IF strInfoKey = 'name' THEN
			strRt	:= '波板張力軸';
		ELSIF strInfoKey = 'index_name' THEN</v>
      </c>
      <c r="AD21" t="str">
        <f ca="1"/>
        <v xml:space="preserve">
	//波板張力軸
	ELSIF uiInfoIdx = 19 THEN
		IF strInfoKey = 'name' THEN
			strRt	:= '波板張力軸';
		ELSIF strInfoKey = 'index_name' THEN
			strRt	:= '【axis19】 波板張力軸';</v>
      </c>
      <c r="AE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</v>
      </c>
      <c r="AF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</v>
      </c>
      <c r="AG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</v>
      </c>
      <c r="AH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</v>
      </c>
      <c r="AI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J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K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ワーク搬送Y軸</v>
      </c>
      <c r="J22" t="str">
        <f ca="1"/>
        <v>ワーク搬送Y軸</v>
      </c>
      <c r="L22" t="str">
        <f ca="1"/>
        <v>【axis20】 ワーク搬送Y軸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//ワーク搬送Y軸
	ELSIF uiInfoIdx = 20 THEN</v>
      </c>
      <c r="AA22" t="str">
        <f ca="1"/>
        <v xml:space="preserve">
	//ワーク搬送Y軸
	ELSIF uiInfoIdx = 20 THEN
		IF strInfoKey = 'name' THEN</v>
      </c>
      <c r="AB22" t="str">
        <f ca="1"/>
        <v xml:space="preserve">
	//ワーク搬送Y軸
	ELSIF uiInfoIdx = 20 THEN
		IF strInfoKey = 'name' THEN
			strRt	:= 'ワーク搬送Y軸';</v>
      </c>
      <c r="AC22" t="str">
        <f ca="1"/>
        <v xml:space="preserve">
	//ワーク搬送Y軸
	ELSIF uiInfoIdx = 20 THEN
		IF strInfoKey = 'name' THEN
			strRt	:= 'ワーク搬送Y軸';
		ELSIF strInfoKey = 'index_name' THEN</v>
      </c>
      <c r="AD22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192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ワーク回転</v>
      </c>
      <c r="J23" t="str">
        <f ca="1"/>
        <v>ワーク回転</v>
      </c>
      <c r="L23" t="str">
        <f ca="1"/>
        <v>【axis21】 ワーク回転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//ワーク回転
	ELSIF uiInfoIdx = 21 THEN</v>
      </c>
      <c r="AA23" t="str">
        <f ca="1"/>
        <v xml:space="preserve">
	//ワーク回転
	ELSIF uiInfoIdx = 21 THEN
		IF strInfoKey = 'name' THEN</v>
      </c>
      <c r="AB23" t="str">
        <f ca="1"/>
        <v xml:space="preserve">
	//ワーク回転
	ELSIF uiInfoIdx = 21 THEN
		IF strInfoKey = 'name' THEN
			strRt	:= 'ワーク回転';</v>
      </c>
      <c r="AC23" t="str">
        <f ca="1"/>
        <v xml:space="preserve">
	//ワーク回転
	ELSIF uiInfoIdx = 21 THEN
		IF strInfoKey = 'name' THEN
			strRt	:= 'ワーク回転';
		ELSIF strInfoKey = 'index_name' THEN</v>
      </c>
      <c r="AD23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>ワークチャック</v>
      </c>
      <c r="J24" t="str">
        <f ca="1"/>
        <v>ワークチャック</v>
      </c>
      <c r="L24" t="str">
        <f ca="1"/>
        <v>【axis22】 ワークチャック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//ワークチャック
	ELSIF uiInfoIdx = 22 THEN</v>
      </c>
      <c r="AA24" t="str">
        <f ca="1"/>
        <v xml:space="preserve">
	//ワークチャック
	ELSIF uiInfoIdx = 22 THEN
		IF strInfoKey = 'name' THEN</v>
      </c>
      <c r="AB24" t="str">
        <f ca="1"/>
        <v xml:space="preserve">
	//ワークチャック
	ELSIF uiInfoIdx = 22 THEN
		IF strInfoKey = 'name' THEN
			strRt	:= 'ワークチャック';</v>
      </c>
      <c r="AC24" t="str">
        <f ca="1"/>
        <v xml:space="preserve">
	//ワークチャック
	ELSIF uiInfoIdx = 22 THEN
		IF strInfoKey = 'name' THEN
			strRt	:= 'ワークチャック';
		ELSIF strInfoKey = 'index_name' THEN</v>
      </c>
      <c r="AD24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184</v>
      </c>
      <c r="B25" t="s">
        <v>225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溶接補助</v>
      </c>
      <c r="J25" t="str">
        <f ca="1"/>
        <v>溶接補助</v>
      </c>
      <c r="L25" t="str">
        <f ca="1"/>
        <v>【axis23】 溶接補助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//溶接補助
	ELSIF uiInfoIdx = 23 THEN</v>
      </c>
      <c r="AA25" t="str">
        <f ca="1"/>
        <v xml:space="preserve">
	//溶接補助
	ELSIF uiInfoIdx = 23 THEN
		IF strInfoKey = 'name' THEN</v>
      </c>
      <c r="AB25" t="str">
        <f ca="1"/>
        <v xml:space="preserve">
	//溶接補助
	ELSIF uiInfoIdx = 23 THEN
		IF strInfoKey = 'name' THEN
			strRt	:= '溶接補助';</v>
      </c>
      <c r="AC25" t="str">
        <f ca="1"/>
        <v xml:space="preserve">
	//溶接補助
	ELSIF uiInfoIdx = 23 THEN
		IF strInfoKey = 'name' THEN
			strRt	:= '溶接補助';
		ELSIF strInfoKey = 'index_name' THEN</v>
      </c>
      <c r="AD25" t="str">
        <f ca="1"/>
        <v xml:space="preserve">
	//溶接補助
	ELSIF uiInfoIdx = 23 THEN
		IF strInfoKey = 'name' THEN
			strRt	:= '溶接補助';
		ELSIF strInfoKey = 'index_name' THEN
			strRt	:= '【axis23】 溶接補助';</v>
      </c>
      <c r="AE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180</v>
      </c>
      <c r="B26" t="s">
        <v>226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溶接トーチ上下</v>
      </c>
      <c r="J26" t="str">
        <f ca="1"/>
        <v>溶接トーチ上下</v>
      </c>
      <c r="L26" t="str">
        <f ca="1"/>
        <v>【axis24】 溶接トーチ上下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//溶接トーチ上下
	ELSIF uiInfoIdx = 24 THEN</v>
      </c>
      <c r="AA26" t="str">
        <f ca="1"/>
        <v xml:space="preserve">
	//溶接トーチ上下
	ELSIF uiInfoIdx = 24 THEN
		IF strInfoKey = 'name' THEN</v>
      </c>
      <c r="AB26" t="str">
        <f ca="1"/>
        <v xml:space="preserve">
	//溶接トーチ上下
	ELSIF uiInfoIdx = 24 THEN
		IF strInfoKey = 'name' THEN
			strRt	:= '溶接トーチ上下';</v>
      </c>
      <c r="AC26" t="str">
        <f ca="1"/>
        <v xml:space="preserve">
	//溶接トーチ上下
	ELSIF uiInfoIdx = 24 THEN
		IF strInfoKey = 'name' THEN
			strRt	:= '溶接トーチ上下';
		ELSIF strInfoKey = 'index_name' THEN</v>
      </c>
      <c r="AD26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181</v>
      </c>
      <c r="B27" t="s">
        <v>227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平板張力軸</v>
      </c>
      <c r="J27" t="str">
        <f ca="1"/>
        <v>平板張力軸</v>
      </c>
      <c r="L27" t="str">
        <f ca="1"/>
        <v>【axis25】 平板張力軸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//平板張力軸
	ELSIF uiInfoIdx = 25 THEN</v>
      </c>
      <c r="AA27" t="str">
        <f ca="1"/>
        <v xml:space="preserve">
	//平板張力軸
	ELSIF uiInfoIdx = 25 THEN
		IF strInfoKey = 'name' THEN</v>
      </c>
      <c r="AB27" t="str">
        <f ca="1"/>
        <v xml:space="preserve">
	//平板張力軸
	ELSIF uiInfoIdx = 25 THEN
		IF strInfoKey = 'name' THEN
			strRt	:= '平板張力軸';</v>
      </c>
      <c r="AC27" t="str">
        <f ca="1"/>
        <v xml:space="preserve">
	//平板張力軸
	ELSIF uiInfoIdx = 25 THEN
		IF strInfoKey = 'name' THEN
			strRt	:= '平板張力軸';
		ELSIF strInfoKey = 'index_name' THEN</v>
      </c>
      <c r="AD27" t="str">
        <f ca="1"/>
        <v xml:space="preserve">
	//平板張力軸
	ELSIF uiInfoIdx = 25 THEN
		IF strInfoKey = 'name' THEN
			strRt	:= '平板張力軸';
		ELSIF strInfoKey = 'index_name' THEN
			strRt	:= '【axis25】 平板張力軸';</v>
      </c>
      <c r="AE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</v>
      </c>
      <c r="AF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</v>
      </c>
      <c r="AG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</v>
      </c>
      <c r="AH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</v>
      </c>
      <c r="AI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J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K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179</v>
      </c>
      <c r="B28" t="s">
        <v>233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205</v>
      </c>
      <c r="B29" t="s">
        <v>234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平板押え上下</v>
      </c>
      <c r="J69" t="str">
        <f ca="1"/>
        <v>平板押え上下</v>
      </c>
      <c r="L69" t="str">
        <f ca="1"/>
        <v>【cylinder7】 平板押え上下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
	ELSIF uiInfoIdx = 7 THEN</v>
      </c>
      <c r="AA69" t="str">
        <f ca="1"/>
        <v xml:space="preserve">
	//平板押え上下
	ELSIF uiInfoIdx = 7 THEN
		IF strInfoKey = 'name' THEN</v>
      </c>
      <c r="AB69" t="str">
        <f ca="1"/>
        <v xml:space="preserve">
	//平板押え上下
	ELSIF uiInfoIdx = 7 THEN
		IF strInfoKey = 'name' THEN
			strRt	:= '平板押え上下';</v>
      </c>
      <c r="AC69" t="str">
        <f ca="1"/>
        <v xml:space="preserve">
	//平板押え上下
	ELSIF uiInfoIdx = 7 THEN
		IF strInfoKey = 'name' THEN
			strRt	:= '平板押え上下';
		ELSIF strInfoKey = 'index_name' THEN</v>
      </c>
      <c r="AD69" t="str">
        <f ca="1"/>
        <v xml:space="preserve">
	//平板押え上下
	ELSIF uiInfoIdx = 7 THEN
		IF strInfoKey = 'name' THEN
			strRt	:= '平板押え上下';
		ELSIF strInfoKey = 'index_name' THEN
			strRt	:= '【cylinder7】 平板押え上下';</v>
      </c>
      <c r="AE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</v>
      </c>
      <c r="AF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</v>
      </c>
      <c r="AG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</v>
      </c>
      <c r="AH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</v>
      </c>
      <c r="AI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J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K69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279</v>
      </c>
      <c r="F86">
        <f>COUNTIF(E$3:E86,E86)</f>
        <v>1</v>
      </c>
      <c r="G86" t="str">
        <v/>
      </c>
      <c r="H86">
        <v>68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286</v>
      </c>
      <c r="F96">
        <f>COUNTIF(E$3:E96,E96)</f>
        <v>1</v>
      </c>
      <c r="G96" t="str">
        <v/>
      </c>
      <c r="H96">
        <v>70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253</v>
      </c>
      <c r="F106">
        <f>COUNTIF(E$3:E106,E106)</f>
        <v>1</v>
      </c>
      <c r="G106" t="str">
        <v/>
      </c>
      <c r="H106">
        <v>60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2026-07-17T07:49:36Z</dcterms:modified>
</cp:coreProperties>
</file>