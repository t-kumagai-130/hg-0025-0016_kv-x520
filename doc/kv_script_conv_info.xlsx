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0172E844-5E59-4CF7-AD6C-D5C0BF8458CE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1" i="1"/>
  <c r="C73" i="1"/>
  <c r="C71" i="1"/>
  <c r="B73" i="1"/>
  <c r="B71" i="1"/>
  <c r="D69" i="1"/>
  <c r="A69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<sst xmlns="http://schemas.openxmlformats.org/spreadsheetml/2006/main" count="505" uniqueCount="299">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</sst>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9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3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22" sqref="H22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149</v>
      </c>
      <c r="H1" s="39" t="s">
        <v>10</v>
      </c>
      <c r="I1" s="39" t="s">
        <v>7</v>
      </c>
      <c r="J1" s="39" t="s">
        <v>3</v>
      </c>
      <c r="K1" s="39" t="s">
        <v>218</v>
      </c>
      <c r="L1" s="39" t="s">
        <v>5</v>
      </c>
      <c r="M1" s="40" t="s">
        <v>112</v>
      </c>
      <c r="N1" s="40" t="s">
        <v>236</v>
      </c>
      <c r="O1" s="40" t="s">
        <v>235</v>
      </c>
      <c r="P1" s="41" t="s">
        <v>276</v>
      </c>
      <c r="Q1" s="41" t="s">
        <v>277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150</v>
      </c>
      <c r="H2" s="28" t="s">
        <v>20</v>
      </c>
      <c r="I2" s="28" t="s">
        <v>21</v>
      </c>
      <c r="J2" s="28" t="s">
        <v>220</v>
      </c>
      <c r="K2" s="28" t="s">
        <v>219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244</v>
      </c>
      <c r="H3" s="12" t="s">
        <v>14</v>
      </c>
      <c r="I3" s="12" t="s">
        <v>13</v>
      </c>
      <c r="J3" s="17" t="s">
        <v>220</v>
      </c>
      <c r="K3" s="12" t="s">
        <v>219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151</v>
      </c>
      <c r="H4" s="12" t="s">
        <v>14</v>
      </c>
      <c r="I4" s="12" t="s">
        <v>13</v>
      </c>
      <c r="J4" s="17" t="s">
        <v>220</v>
      </c>
      <c r="K4" s="12" t="s">
        <v>219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152</v>
      </c>
      <c r="H5" s="12" t="s">
        <v>14</v>
      </c>
      <c r="I5" s="12" t="s">
        <v>13</v>
      </c>
      <c r="J5" s="17" t="s">
        <v>220</v>
      </c>
      <c r="K5" s="12" t="s">
        <v>219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247</v>
      </c>
      <c r="G6" s="8" t="s">
        <v>153</v>
      </c>
      <c r="H6" s="8" t="s">
        <v>1</v>
      </c>
      <c r="I6" s="8" t="s">
        <v>11</v>
      </c>
      <c r="J6" s="8" t="s">
        <v>2</v>
      </c>
      <c r="K6" s="8" t="s">
        <v>223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154</v>
      </c>
      <c r="H7" s="8" t="s">
        <v>0</v>
      </c>
      <c r="I7" s="8" t="s">
        <v>11</v>
      </c>
      <c r="J7" s="8" t="s">
        <v>2</v>
      </c>
      <c r="K7" s="8" t="s">
        <v>223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155</v>
      </c>
      <c r="H8" s="8" t="s">
        <v>28</v>
      </c>
      <c r="I8" s="8" t="s">
        <v>11</v>
      </c>
      <c r="J8" s="8" t="s">
        <v>2</v>
      </c>
      <c r="K8" s="8" t="s">
        <v>223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262</v>
      </c>
      <c r="G9" s="8" t="s">
        <v>264</v>
      </c>
      <c r="H9" s="8" t="s">
        <v>106</v>
      </c>
      <c r="I9" s="8" t="s">
        <v>15</v>
      </c>
      <c r="J9" s="8" t="s">
        <v>2</v>
      </c>
      <c r="K9" s="8" t="s">
        <v>223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263</v>
      </c>
      <c r="G10" s="8" t="s">
        <v>265</v>
      </c>
      <c r="H10" s="8" t="s">
        <v>107</v>
      </c>
      <c r="I10" s="8" t="s">
        <v>15</v>
      </c>
      <c r="J10" s="8" t="s">
        <v>2</v>
      </c>
      <c r="K10" s="8" t="s">
        <v>223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156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157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158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159</v>
      </c>
      <c r="H14" s="8" t="s">
        <v>31</v>
      </c>
      <c r="I14" s="8" t="s">
        <v>32</v>
      </c>
      <c r="J14" s="8" t="s">
        <v>222</v>
      </c>
      <c r="K14" s="8" t="s">
        <v>221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160</v>
      </c>
      <c r="H15" s="8" t="s">
        <v>33</v>
      </c>
      <c r="I15" s="8" t="s">
        <v>32</v>
      </c>
      <c r="J15" s="8" t="s">
        <v>222</v>
      </c>
      <c r="K15" s="8" t="s">
        <v>221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161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162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278</v>
      </c>
      <c r="F18" s="8" t="s">
        <v>273</v>
      </c>
      <c r="G18" s="8" t="s">
        <v>274</v>
      </c>
      <c r="H18" s="42" t="s">
        <v>275</v>
      </c>
      <c r="I18" s="8"/>
      <c r="J18" s="8" t="s">
        <v>219</v>
      </c>
      <c r="K18" s="8" t="s">
        <v>219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298</v>
      </c>
      <c r="G19" s="8" t="s">
        <v>163</v>
      </c>
      <c r="H19" s="8" t="s">
        <v>61</v>
      </c>
      <c r="I19" s="8" t="s">
        <v>62</v>
      </c>
      <c r="J19" s="8" t="s">
        <v>4</v>
      </c>
      <c r="K19" s="8" t="s">
        <v>224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282</v>
      </c>
      <c r="G20" s="8" t="s">
        <v>284</v>
      </c>
      <c r="H20" s="8" t="s">
        <v>205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283</v>
      </c>
      <c r="G21" s="8" t="s">
        <v>285</v>
      </c>
      <c r="H21" s="8" t="s">
        <v>205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245</v>
      </c>
      <c r="G22" s="8" t="s">
        <v>246</v>
      </c>
      <c r="H22" s="8" t="s">
        <v>63</v>
      </c>
      <c r="I22" s="9" t="s">
        <v>64</v>
      </c>
      <c r="J22" s="8" t="s">
        <v>4</v>
      </c>
      <c r="K22" s="8" t="s">
        <v>224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148</v>
      </c>
      <c r="G23" s="8" t="s">
        <v>164</v>
      </c>
      <c r="H23" s="8" t="s">
        <v>67</v>
      </c>
      <c r="I23" s="8" t="s">
        <v>68</v>
      </c>
      <c r="J23" s="8" t="s">
        <v>4</v>
      </c>
      <c r="K23" s="8" t="s">
        <v>224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147</v>
      </c>
      <c r="G24" s="8" t="s">
        <v>165</v>
      </c>
      <c r="H24" s="8" t="s">
        <v>65</v>
      </c>
      <c r="I24" s="8" t="s">
        <v>66</v>
      </c>
      <c r="J24" s="8" t="s">
        <v>4</v>
      </c>
      <c r="K24" s="8" t="s">
        <v>224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143</v>
      </c>
      <c r="G25" s="8" t="s">
        <v>166</v>
      </c>
      <c r="H25" s="8" t="s">
        <v>69</v>
      </c>
      <c r="I25" s="8" t="s">
        <v>70</v>
      </c>
      <c r="J25" s="8" t="s">
        <v>4</v>
      </c>
      <c r="K25" s="8" t="s">
        <v>224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145</v>
      </c>
      <c r="G26" s="8" t="s">
        <v>167</v>
      </c>
      <c r="H26" s="8" t="s">
        <v>73</v>
      </c>
      <c r="I26" s="8" t="s">
        <v>70</v>
      </c>
      <c r="J26" s="8" t="s">
        <v>4</v>
      </c>
      <c r="K26" s="8" t="s">
        <v>224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168</v>
      </c>
      <c r="H27" s="8" t="s">
        <v>71</v>
      </c>
      <c r="I27" s="8" t="s">
        <v>72</v>
      </c>
      <c r="J27" s="8" t="s">
        <v>4</v>
      </c>
      <c r="K27" s="8" t="s">
        <v>224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144</v>
      </c>
      <c r="G28" s="8" t="s">
        <v>169</v>
      </c>
      <c r="H28" s="8" t="s">
        <v>69</v>
      </c>
      <c r="I28" s="8" t="s">
        <v>70</v>
      </c>
      <c r="J28" s="8" t="s">
        <v>4</v>
      </c>
      <c r="K28" s="8" t="s">
        <v>224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170</v>
      </c>
      <c r="H29" s="12" t="s">
        <v>75</v>
      </c>
      <c r="I29" s="12" t="s">
        <v>70</v>
      </c>
      <c r="J29" s="12" t="s">
        <v>4</v>
      </c>
      <c r="K29" s="12" t="s">
        <v>224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141</v>
      </c>
      <c r="G30" s="8" t="s">
        <v>171</v>
      </c>
      <c r="H30" s="8" t="s">
        <v>74</v>
      </c>
      <c r="I30" s="8" t="s">
        <v>70</v>
      </c>
      <c r="J30" s="8" t="s">
        <v>4</v>
      </c>
      <c r="K30" s="8" t="s">
        <v>224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172</v>
      </c>
      <c r="H31" s="12" t="s">
        <v>75</v>
      </c>
      <c r="I31" s="12" t="s">
        <v>70</v>
      </c>
      <c r="J31" s="12" t="s">
        <v>4</v>
      </c>
      <c r="K31" s="12" t="s">
        <v>224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142</v>
      </c>
      <c r="G32" s="8" t="s">
        <v>173</v>
      </c>
      <c r="H32" s="8" t="s">
        <v>76</v>
      </c>
      <c r="I32" s="8" t="s">
        <v>70</v>
      </c>
      <c r="J32" s="8" t="s">
        <v>4</v>
      </c>
      <c r="K32" s="8" t="s">
        <v>224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242</v>
      </c>
      <c r="G33" s="12" t="s">
        <v>243</v>
      </c>
      <c r="H33" s="12" t="s">
        <v>77</v>
      </c>
      <c r="I33" s="12" t="s">
        <v>78</v>
      </c>
      <c r="J33" s="12" t="s">
        <v>4</v>
      </c>
      <c r="K33" s="12" t="s">
        <v>224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146</v>
      </c>
      <c r="G34" s="12" t="s">
        <v>174</v>
      </c>
      <c r="H34" s="12" t="s">
        <v>77</v>
      </c>
      <c r="I34" s="12" t="s">
        <v>78</v>
      </c>
      <c r="J34" s="12" t="s">
        <v>4</v>
      </c>
      <c r="K34" s="12" t="s">
        <v>224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206</v>
      </c>
      <c r="G35" s="8" t="s">
        <v>237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207</v>
      </c>
      <c r="G36" s="8" t="s">
        <v>238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209</v>
      </c>
      <c r="G37" s="8" t="s">
        <v>239</v>
      </c>
      <c r="H37" s="8" t="s">
        <v>208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268</v>
      </c>
      <c r="G38" s="8" t="s">
        <v>270</v>
      </c>
      <c r="H38" s="8" t="s">
        <v>269</v>
      </c>
      <c r="I38" s="8" t="s">
        <v>272</v>
      </c>
      <c r="J38" s="8" t="s">
        <v>271</v>
      </c>
      <c r="K38" s="8" t="s">
        <v>271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224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224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224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202</v>
      </c>
      <c r="H42" s="8" t="s">
        <v>30</v>
      </c>
      <c r="I42" s="8" t="s">
        <v>29</v>
      </c>
      <c r="J42" s="8" t="s">
        <v>2</v>
      </c>
      <c r="K42" s="8" t="s">
        <v>223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222</v>
      </c>
      <c r="K43" s="8" t="s">
        <v>221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222</v>
      </c>
      <c r="K44" s="8" t="s">
        <v>221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222</v>
      </c>
      <c r="K45" s="8" t="s">
        <v>221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222</v>
      </c>
      <c r="K46" s="8" t="s">
        <v>221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222</v>
      </c>
      <c r="K47" s="8" t="s">
        <v>221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222</v>
      </c>
      <c r="K48" s="8" t="s">
        <v>221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222</v>
      </c>
      <c r="K49" s="8" t="s">
        <v>221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222</v>
      </c>
      <c r="K50" s="8" t="s">
        <v>221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222</v>
      </c>
      <c r="K51" s="8" t="s">
        <v>221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222</v>
      </c>
      <c r="K52" s="8" t="s">
        <v>221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261</v>
      </c>
      <c r="C53" s="7">
        <v>1</v>
      </c>
      <c r="D53" s="8"/>
      <c r="E53" s="8"/>
      <c r="F53" s="8" t="s">
        <v>248</v>
      </c>
      <c r="G53" s="8" t="s">
        <v>254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261</v>
      </c>
      <c r="C54" s="7">
        <v>2</v>
      </c>
      <c r="D54" s="8"/>
      <c r="E54" s="8"/>
      <c r="F54" s="8" t="s">
        <v>249</v>
      </c>
      <c r="G54" s="8" t="s">
        <v>255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261</v>
      </c>
      <c r="C55" s="7">
        <v>3</v>
      </c>
      <c r="D55" s="8"/>
      <c r="E55" s="8"/>
      <c r="F55" s="8" t="s">
        <v>250</v>
      </c>
      <c r="G55" s="8" t="s">
        <v>256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261</v>
      </c>
      <c r="C56" s="7">
        <v>4</v>
      </c>
      <c r="D56" s="8"/>
      <c r="E56" s="8"/>
      <c r="F56" s="8" t="s">
        <v>251</v>
      </c>
      <c r="G56" s="8" t="s">
        <v>257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261</v>
      </c>
      <c r="C57" s="7">
        <v>5</v>
      </c>
      <c r="D57" s="8"/>
      <c r="E57" s="8"/>
      <c r="F57" s="8" t="s">
        <v>252</v>
      </c>
      <c r="G57" s="8" t="s">
        <v>258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261</v>
      </c>
      <c r="C58" s="7">
        <v>6</v>
      </c>
      <c r="D58" s="8"/>
      <c r="E58" s="8"/>
      <c r="F58" s="8" t="s">
        <v>253</v>
      </c>
      <c r="G58" s="8" t="s">
        <v>259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279</v>
      </c>
      <c r="C59" s="7">
        <v>7</v>
      </c>
      <c r="D59" s="8"/>
      <c r="E59" s="8"/>
      <c r="F59" s="8" t="s">
        <v>280</v>
      </c>
      <c r="G59" s="8" t="s">
        <v>281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65</v>
      </c>
      <c r="B60" s="7" t="s">
        <v>279</v>
      </c>
      <c r="C60" s="7">
        <v>8</v>
      </c>
      <c r="D60" s="8"/>
      <c r="E60" s="8"/>
      <c r="F60" s="8" t="s">
        <v>296</v>
      </c>
      <c r="G60" s="8" t="s">
        <v>297</v>
      </c>
      <c r="H60" s="8"/>
      <c r="I60" s="8"/>
      <c r="J60" s="8"/>
      <c r="K60" s="8"/>
      <c r="L60" s="8"/>
      <c r="M60" s="10"/>
      <c r="N60" s="10"/>
      <c r="O60" s="10"/>
      <c r="P60" s="34">
        <v>46085.347222222219</v>
      </c>
      <c r="Q60" s="34">
        <v>46085.347222222219</v>
      </c>
      <c r="R60" s="10"/>
    </row>
    <row r="61" spans="1:18" x14ac:dyDescent="0.55000000000000004">
      <c r="A61" s="7">
        <v>57</v>
      </c>
      <c r="B61" s="7" t="s">
        <v>286</v>
      </c>
      <c r="C61" s="7">
        <v>1</v>
      </c>
      <c r="D61" s="8"/>
      <c r="E61" s="8"/>
      <c r="F61" s="8" t="s">
        <v>266</v>
      </c>
      <c r="G61" s="8" t="s">
        <v>267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46077.372916666667</v>
      </c>
      <c r="R61" s="10"/>
    </row>
    <row r="62" spans="1:18" x14ac:dyDescent="0.55000000000000004">
      <c r="A62" s="7">
        <v>61</v>
      </c>
      <c r="B62" s="7" t="s">
        <v>287</v>
      </c>
      <c r="C62" s="7">
        <v>2</v>
      </c>
      <c r="D62" s="8"/>
      <c r="E62" s="8"/>
      <c r="F62" s="8" t="s">
        <v>288</v>
      </c>
      <c r="G62" s="8" t="s">
        <v>289</v>
      </c>
      <c r="H62" s="8"/>
      <c r="I62" s="8"/>
      <c r="J62" s="8"/>
      <c r="K62" s="8"/>
      <c r="L62" s="8"/>
      <c r="M62" s="10"/>
      <c r="N62" s="10"/>
      <c r="O62" s="10"/>
      <c r="P62" s="34">
        <v>46077.372916666667</v>
      </c>
      <c r="Q62" s="34">
        <v>46077.372916666667</v>
      </c>
      <c r="R62" s="10"/>
    </row>
    <row r="63" spans="1:18" x14ac:dyDescent="0.55000000000000004">
      <c r="A63" s="7">
        <v>62</v>
      </c>
      <c r="B63" s="7" t="s">
        <v>290</v>
      </c>
      <c r="C63" s="7">
        <v>1</v>
      </c>
      <c r="D63" s="8"/>
      <c r="E63" s="8"/>
      <c r="F63" s="8" t="s">
        <v>294</v>
      </c>
      <c r="G63" s="8" t="s">
        <v>295</v>
      </c>
      <c r="H63" s="8"/>
      <c r="I63" s="8"/>
      <c r="J63" s="8"/>
      <c r="K63" s="8"/>
      <c r="L63" s="8"/>
      <c r="M63" s="10"/>
      <c r="N63" s="10"/>
      <c r="O63" s="10"/>
      <c r="P63" s="34">
        <v>46083.387499999997</v>
      </c>
      <c r="Q63" s="34">
        <v>46083.387499999997</v>
      </c>
      <c r="R63" s="10"/>
    </row>
    <row r="64" spans="1:18" x14ac:dyDescent="0.55000000000000004">
      <c r="A64" s="7">
        <v>63</v>
      </c>
      <c r="B64" s="7" t="s">
        <v>290</v>
      </c>
      <c r="C64" s="7">
        <v>2</v>
      </c>
      <c r="D64" s="8"/>
      <c r="E64" s="8"/>
      <c r="F64" s="8" t="s">
        <v>294</v>
      </c>
      <c r="G64" s="8" t="s">
        <v>295</v>
      </c>
      <c r="H64" s="8"/>
      <c r="I64" s="8"/>
      <c r="J64" s="8"/>
      <c r="K64" s="8"/>
      <c r="L64" s="8"/>
      <c r="M64" s="10"/>
      <c r="N64" s="10"/>
      <c r="O64" s="10"/>
      <c r="P64" s="34">
        <v>46083.387499999997</v>
      </c>
      <c r="Q64" s="34">
        <v>46083.387499999997</v>
      </c>
      <c r="R64" s="10"/>
    </row>
    <row r="65" spans="1:18" x14ac:dyDescent="0.55000000000000004">
      <c r="A65" s="7">
        <v>64</v>
      </c>
      <c r="B65" s="7" t="s">
        <v>290</v>
      </c>
      <c r="C65" s="7">
        <v>3</v>
      </c>
      <c r="D65" s="8"/>
      <c r="E65" s="8"/>
      <c r="F65" s="8" t="s">
        <v>291</v>
      </c>
      <c r="G65" s="8" t="s">
        <v>292</v>
      </c>
      <c r="H65" s="8"/>
      <c r="I65" s="8"/>
      <c r="J65" s="8"/>
      <c r="K65" s="8"/>
      <c r="L65" s="8"/>
      <c r="M65" s="10"/>
      <c r="N65" s="10"/>
      <c r="O65" s="10"/>
      <c r="P65" s="34">
        <v>46083.363888888889</v>
      </c>
      <c r="Q65" s="34">
        <v>46083.363888888889</v>
      </c>
      <c r="R65" s="10"/>
    </row>
    <row r="66" spans="1:18" x14ac:dyDescent="0.55000000000000004">
      <c r="A66" s="18"/>
      <c r="B66" s="18"/>
      <c r="C66" s="18"/>
      <c r="D66" s="19"/>
      <c r="E66" s="19"/>
      <c r="F66" s="19"/>
      <c r="G66" s="19"/>
      <c r="H66" s="19"/>
      <c r="I66" s="19"/>
      <c r="J66" s="19"/>
      <c r="K66" s="19"/>
      <c r="L66" s="19"/>
      <c r="M66" s="20"/>
      <c r="N66" s="20"/>
      <c r="O66" s="20"/>
      <c r="P66" s="37"/>
      <c r="Q66" s="37"/>
      <c r="R66" s="20"/>
    </row>
    <row r="68" spans="1:18" x14ac:dyDescent="0.55000000000000004">
      <c r="A68" t="s">
        <v>111</v>
      </c>
      <c r="D68" t="s">
        <v>110</v>
      </c>
    </row>
    <row r="69" spans="1:18" x14ac:dyDescent="0.55000000000000004">
      <c r="A69">
        <f>MAX(A$2:A$66)</f>
        <v>65</v>
      </c>
      <c r="D69">
        <f>MAX(D$2:D$66)</f>
        <v>11</v>
      </c>
    </row>
    <row r="70" spans="1:18" x14ac:dyDescent="0.55000000000000004">
      <c r="A70" t="s">
        <v>198</v>
      </c>
      <c r="B70" t="s">
        <v>117</v>
      </c>
      <c r="C70" t="s">
        <v>116</v>
      </c>
    </row>
    <row r="71" spans="1:18" x14ac:dyDescent="0.55000000000000004">
      <c r="A71">
        <f>ROW(A67)-ROW(A1)-1</f>
        <v>65</v>
      </c>
      <c r="B71">
        <f>COUNTIF(B$2:B$66,B70)</f>
        <v>17</v>
      </c>
      <c r="C71" s="25">
        <f>_xlfn.MAXIFS(C$2:C$66,$B$2:$B$66,C70)</f>
        <v>17</v>
      </c>
    </row>
    <row r="72" spans="1:18" x14ac:dyDescent="0.55000000000000004">
      <c r="B72" t="s">
        <v>114</v>
      </c>
      <c r="C72" t="s">
        <v>114</v>
      </c>
    </row>
    <row r="73" spans="1:18" x14ac:dyDescent="0.55000000000000004">
      <c r="B73">
        <f>COUNTIF(B$2:B$66,B72)</f>
        <v>23</v>
      </c>
      <c r="C73" s="25">
        <f>_xlfn.MAXIFS(C$2:C$66,$B$2:$B$66,C72)</f>
        <v>20</v>
      </c>
    </row>
    <row r="76" spans="1:18" x14ac:dyDescent="0.55000000000000004">
      <c r="H76" s="2" t="s">
        <v>37</v>
      </c>
      <c r="L76">
        <v>1</v>
      </c>
      <c r="R76" t="s">
        <v>79</v>
      </c>
    </row>
    <row r="77" spans="1:18" x14ac:dyDescent="0.55000000000000004">
      <c r="H77" t="s">
        <v>56</v>
      </c>
      <c r="I77" t="s">
        <v>53</v>
      </c>
      <c r="J77" t="s">
        <v>52</v>
      </c>
      <c r="L77">
        <v>1</v>
      </c>
      <c r="R77" t="s">
        <v>79</v>
      </c>
    </row>
    <row r="79" spans="1:18" x14ac:dyDescent="0.55000000000000004">
      <c r="H79" s="2" t="s">
        <v>38</v>
      </c>
    </row>
    <row r="80" spans="1:18" x14ac:dyDescent="0.55000000000000004">
      <c r="H80" t="s">
        <v>82</v>
      </c>
      <c r="I80" t="s">
        <v>84</v>
      </c>
      <c r="J80" t="s">
        <v>80</v>
      </c>
      <c r="L80">
        <v>1</v>
      </c>
      <c r="R80" t="s">
        <v>79</v>
      </c>
    </row>
    <row r="82" spans="8:18" x14ac:dyDescent="0.55000000000000004">
      <c r="H82" s="2" t="s">
        <v>39</v>
      </c>
    </row>
    <row r="83" spans="8:18" x14ac:dyDescent="0.55000000000000004">
      <c r="H83" t="s">
        <v>83</v>
      </c>
      <c r="I83" t="s">
        <v>84</v>
      </c>
      <c r="J83" t="s">
        <v>81</v>
      </c>
      <c r="L83">
        <v>1</v>
      </c>
      <c r="R83" t="s">
        <v>79</v>
      </c>
    </row>
    <row r="85" spans="8:18" x14ac:dyDescent="0.55000000000000004">
      <c r="H85" s="2" t="s">
        <v>40</v>
      </c>
    </row>
    <row r="86" spans="8:18" x14ac:dyDescent="0.55000000000000004">
      <c r="H86" t="s">
        <v>42</v>
      </c>
      <c r="I86" t="s">
        <v>43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45</v>
      </c>
      <c r="I87" s="1" t="s">
        <v>54</v>
      </c>
      <c r="J87" t="s">
        <v>44</v>
      </c>
      <c r="L87">
        <v>2</v>
      </c>
      <c r="R87" t="s">
        <v>87</v>
      </c>
    </row>
    <row r="89" spans="8:18" x14ac:dyDescent="0.55000000000000004">
      <c r="H89" s="2" t="s">
        <v>41</v>
      </c>
    </row>
    <row r="90" spans="8:18" x14ac:dyDescent="0.55000000000000004">
      <c r="H90" t="s">
        <v>46</v>
      </c>
      <c r="I90" t="s">
        <v>47</v>
      </c>
      <c r="J90" t="s">
        <v>12</v>
      </c>
      <c r="L90">
        <v>1</v>
      </c>
      <c r="R90" t="s">
        <v>87</v>
      </c>
    </row>
    <row r="91" spans="8:18" x14ac:dyDescent="0.55000000000000004">
      <c r="H91" t="s">
        <v>50</v>
      </c>
      <c r="I91" s="3" t="s">
        <v>48</v>
      </c>
      <c r="J91" t="s">
        <v>49</v>
      </c>
      <c r="L91">
        <v>1</v>
      </c>
      <c r="R91" t="s">
        <v>87</v>
      </c>
    </row>
    <row r="92" spans="8:18" x14ac:dyDescent="0.55000000000000004">
      <c r="H92" t="s">
        <v>51</v>
      </c>
      <c r="I92" t="s">
        <v>55</v>
      </c>
      <c r="J92" t="s">
        <v>4</v>
      </c>
      <c r="L92">
        <v>2</v>
      </c>
      <c r="R92" t="s">
        <v>87</v>
      </c>
    </row>
    <row r="93" spans="8:18" x14ac:dyDescent="0.55000000000000004">
      <c r="H93" t="s">
        <v>85</v>
      </c>
      <c r="I93" t="s">
        <v>86</v>
      </c>
      <c r="J93" t="s">
        <v>88</v>
      </c>
      <c r="L93">
        <v>1</v>
      </c>
      <c r="R93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6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230</v>
      </c>
      <c r="J1" t="s">
        <v>226</v>
      </c>
      <c r="L1" t="s">
        <v>227</v>
      </c>
      <c r="N1" t="s">
        <v>228</v>
      </c>
      <c r="P1" t="s">
        <v>229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211</v>
      </c>
      <c r="E2" s="30" t="s">
        <v>216</v>
      </c>
      <c r="F2" s="30" t="s">
        <v>102</v>
      </c>
      <c r="G2" s="30" t="s">
        <v>197</v>
      </c>
      <c r="H2" s="30" t="s">
        <v>215</v>
      </c>
      <c r="J2" s="30" t="s">
        <v>189</v>
      </c>
      <c r="L2" s="30" t="s">
        <v>190</v>
      </c>
      <c r="N2" s="30" t="s">
        <v>200</v>
      </c>
      <c r="P2" s="30" t="s">
        <v>217</v>
      </c>
      <c r="X2" s="30" t="s">
        <v>201</v>
      </c>
      <c r="Y2" s="30" t="s">
        <v>192</v>
      </c>
      <c r="Z2" s="30" t="s">
        <v>193</v>
      </c>
      <c r="AA2" s="30" t="s">
        <v>194</v>
      </c>
      <c r="AB2" s="30" t="s">
        <v>195</v>
      </c>
      <c r="AC2" s="30" t="s">
        <v>196</v>
      </c>
      <c r="AD2" s="30" t="s">
        <v>195</v>
      </c>
      <c r="AE2" s="30" t="s">
        <v>203</v>
      </c>
      <c r="AF2" s="30" t="s">
        <v>204</v>
      </c>
      <c r="AG2" s="30" t="s">
        <v>225</v>
      </c>
      <c r="AH2" s="30" t="s">
        <v>204</v>
      </c>
      <c r="AI2" s="30" t="s">
        <v>213</v>
      </c>
      <c r="AJ2" s="30" t="s">
        <v>214</v>
      </c>
      <c r="AK2" s="30" t="s">
        <v>210</v>
      </c>
    </row>
    <row r="3" spans="1:37" x14ac:dyDescent="0.55000000000000004">
      <c r="A3" t="s">
        <v>184</v>
      </c>
      <c r="B3" t="str" cm="1">
        <f t="array" aca="1" ref="B3" ca="1">CELL("filename")</f>
        <v>C:\tk\prj\hg-0025-0016\git\vt5-w10\[TP_メッセージ.xlsx]mess</v>
      </c>
      <c r="E3" t="s">
        <v>117</v>
      </c>
      <c r="F3">
        <f>COUNTIF(E$3:E3,E3)</f>
        <v>1</v>
      </c>
      <c r="H3" cm="1">
        <f t="array" ref="H3:H202">IFERROR(MATCH($E$3:$E$202&amp;$F$3:$F$202,info_index!$B$2:$B$66&amp;info_index!$C$2:$C$66,0),"")</f>
        <v>1</v>
      </c>
      <c r="I3" t="str" cm="1">
        <f t="array" aca="1" ref="I3:I202" ca="1">IF(LEN(_xlfn.ANCHORARRAY(H3)),INDEX(OFFSET(info_index!$F$2:$F$66,0,$B$23),MATCH($E$3:$E$202&amp;$F$3:$F$202,info_index!$B$2:$B$66&amp;info_index!$C$2:$C$66,0)&amp;"",1),"")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IFERROR(INDEX(info_index!$H$2:$H$66,MATCH($E$3:$E$202&amp;$F$3:$F$202,info_index!$B$2:$B$66&amp;info_index!$C$2:$C$66,0),1)&amp;"","")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IF(LEN(_xlfn.ANCHORARRAY(H3)),INDEX(OFFSET(info_index!$J$2:$J$66,0,$B$23),MATCH($E$3:$E$202&amp;$F$3:$F$202,info_index!$B$2:$B$66&amp;info_index!$C$2:$C$66,0),1)&amp;"","")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181</v>
      </c>
      <c r="B5" t="str">
        <f ca="1">"このスクリプトは "&amp;B3&amp;" によって生成されました。"</f>
        <v>このスクリプトは C:\tk\prj\hg-0025-0016\git\vt5-w10\[TP_メッセージ.xlsx]mess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182</v>
      </c>
      <c r="B6" t="s">
        <v>183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175</v>
      </c>
      <c r="B7" t="s">
        <v>176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177</v>
      </c>
      <c r="B8" t="s">
        <v>178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179</v>
      </c>
      <c r="B9" t="s">
        <v>180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185</v>
      </c>
      <c r="B13" t="str">
        <f ca="1">$AK$205</f>
        <v>//このスクリプトは C:\tk\prj\hg-0025-0016\git\vt5-w10\[TP_メッセージ.xlsx]mess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231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波板補助軸</v>
      </c>
      <c r="J19" t="str">
        <f ca="1"/>
        <v>波板補助軸</v>
      </c>
      <c r="L19" t="str">
        <f ca="1"/>
        <v>【axis17】 波板補助軸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//波板補助軸
	ELSIF uiInfoIdx = 17 THEN</v>
      </c>
      <c r="AA19" t="str">
        <f ca="1"/>
        <v xml:space="preserve">
	//波板補助軸
	ELSIF uiInfoIdx = 17 THEN
		IF strInfoKey = 'name' THEN</v>
      </c>
      <c r="AB19" t="str">
        <f ca="1"/>
        <v xml:space="preserve">
	//波板補助軸
	ELSIF uiInfoIdx = 17 THEN
		IF strInfoKey = 'name' THEN
			strRt	:= '波板補助軸';</v>
      </c>
      <c r="AC19" t="str">
        <f ca="1"/>
        <v xml:space="preserve">
	//波板補助軸
	ELSIF uiInfoIdx = 17 THEN
		IF strInfoKey = 'name' THEN
			strRt	:= '波板補助軸';
		ELSIF strInfoKey = 'index_name' THEN</v>
      </c>
      <c r="AD19" t="str">
        <f ca="1"/>
        <v xml:space="preserve">
	//波板補助軸
	ELSIF uiInfoIdx = 17 THEN
		IF strInfoKey = 'name' THEN
			strRt	:= '波板補助軸';
		ELSIF strInfoKey = 'index_name' THEN
			strRt	:= '【axis17】 波板補助軸';</v>
      </c>
      <c r="AE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</v>
      </c>
      <c r="AF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</v>
      </c>
      <c r="AG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</v>
      </c>
      <c r="AH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</v>
      </c>
      <c r="AI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J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K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199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191</v>
      </c>
      <c r="B25" t="s">
        <v>232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187</v>
      </c>
      <c r="B26" t="s">
        <v>233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188</v>
      </c>
      <c r="B27" t="s">
        <v>234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186</v>
      </c>
      <c r="B28" t="s">
        <v>240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212</v>
      </c>
      <c r="B29" t="s">
        <v>241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286</v>
      </c>
      <c r="F86">
        <f>COUNTIF(E$3:E86,E86)</f>
        <v>1</v>
      </c>
      <c r="G86" t="str">
        <v/>
      </c>
      <c r="H86">
        <v>60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61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293</v>
      </c>
      <c r="F96">
        <f>COUNTIF(E$3:E96,E96)</f>
        <v>1</v>
      </c>
      <c r="G96" t="str">
        <v/>
      </c>
      <c r="H96">
        <v>62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63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64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260</v>
      </c>
      <c r="F106">
        <f>COUNTIF(E$3:E106,E106)</f>
        <v>1</v>
      </c>
      <c r="G106" t="str">
        <v/>
      </c>
      <c r="H106">
        <v>52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53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54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55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56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57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58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59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C:\tk\prj\hg-0025-0016\git\vt5-w10\[TP_メッセージ.xlsx]mess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2026-03-05T13:04:53Z</dcterms:modified>
</cp:coreProperties>
</file>