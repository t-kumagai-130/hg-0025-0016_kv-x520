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A4D758CD-3685-4BB8-B4A3-AA8571795E39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64" i="1"/>
  <c r="C66" i="1"/>
  <c r="C64" i="1"/>
  <c r="B66" i="1"/>
  <c r="B64" i="1"/>
  <c r="D62" i="1"/>
  <c r="A62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6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3" i="3" l="1"/>
  <c r="E34" i="3"/>
  <c r="F33" i="3"/>
  <c r="F34" i="3" l="1"/>
  <c r="E35" i="3"/>
  <c r="E94" i="3"/>
  <c r="E95" i="3" l="1"/>
  <c r="F35" i="3"/>
  <c r="E36" i="3"/>
  <c r="E37" i="3" l="1"/>
  <c r="F36" i="3"/>
  <c r="E9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<sst xmlns="http://schemas.openxmlformats.org/spreadsheetml/2006/main" count="465" uniqueCount="271">
  <si>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</si>
  <si>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</si>
  <si>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</si>
  <si>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</si>
  <si>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</si>
  <si>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</si>
  <si>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</si>
  <si>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</si>
  <si>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</si>
  <si>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</si>
  <si>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</si>
  <si>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</si>
  <si>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</si>
  <si>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</si>
  <si>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</si>
  <si>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</si>
  <si>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</si>
  <si>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</si>
  <si>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</si>
  <si>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</si>
  <si>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</si>
  <si>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</si>
  <si>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</si>
  <si>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</si>
  <si>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</si>
  <si>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</si>
  <si>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</si>
  <si>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</si>
  <si>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</si>
  <si>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</si>
  <si>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</si>
  <si>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</si>
  <si>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</si>
  <si>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</si>
  <si>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</si>
  <si>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</si>
  <si>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</si>
  <si>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</si>
  <si>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</si>
  <si>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</si>
  <si>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</si>
  <si>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</si>
  <si>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</si>
  <si>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</si>
  <si>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</si>
  <si>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</si>
  <si>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</si>
  <si>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</si>
  <si>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</si>
  <si>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</si>
  <si>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</si>
  <si>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</si>
  <si>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</si>
  <si>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</si>
  <si>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</si>
  <si>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</si>
  <si>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</si>
  <si>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</si>
  <si>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</si>
  <si>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</si>
  <si>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</si>
  <si>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</si>
  <si>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</si>
  <si>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</si>
  <si>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</si>
  <si>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</si>
  <si>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</si>
  <si>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</si>
  <si>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</si>
  <si>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</si>
  <si>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</si>
  <si>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</si>
  <si>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</si>
  <si>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</si>
  <si>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</si>
  <si>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</si>
  <si>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</si>
  <si>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</si>
  <si>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</si>
  <si>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</si>
  <si>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</si>
  <si>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</si>
  <si>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</si>
  <si>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</si>
  <si>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</si>
  <si>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</si>
  <si>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</si>
  <si>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</si>
  <si>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</si>
  <si>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</si>
  <si>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</si>
  <si>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</si>
  <si>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</si>
  <si>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</si>
  <si>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</si>
  <si>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</si>
  <si>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</si>
  <si>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</si>
  <si>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</si>
  <si>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</si>
  <si>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</si>
  <si>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</si>
  <si>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</si>
  <si>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</si>
  <si>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</si>
  <si>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</si>
  <si>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</si>
  <si>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</si>
  <si>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</si>
  <si>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</si>
  <si>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</si>
  <si>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</si>
  <si>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</si>
  <si>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</si>
  <si>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</si>
  <si>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</si>
  <si>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</si>
  <si>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</si>
  <si>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</si>
  <si>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</si>
  <si>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</si>
  <si>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</si>
  <si>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</si>
  <si>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</si>
  <si>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</si>
  <si>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</si>
  <si>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</si>
  <si>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</si>
  <si>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</si>
  <si>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</si>
  <si>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</si>
  <si>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</si>
  <si>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</si>
  <si>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</si>
  <si>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</si>
  <si>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</si>
  <si>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</si>
  <si>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</si>
  <si>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</si>
  <si>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</si>
  <si>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</si>
  <si>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</si>
  <si>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</si>
  <si>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</si>
  <si>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</si>
  <si>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</si>
  <si>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</si>
  <si>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</si>
  <si>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</si>
  <si>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</si>
  <si>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</si>
  <si>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</si>
  <si>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</si>
  <si>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</si>
  <si>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</si>
  <si>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</si>
  <si>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</si>
  <si>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</si>
  <si>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</si>
  <si>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</si>
  <si>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</si>
  <si>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</si>
  <si>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</si>
  <si>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</si>
  <si>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</si>
  <si>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</si>
  <si>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</si>
  <si>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</si>
  <si>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</si>
  <si>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</si>
  <si>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</si>
  <si>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</si>
  <si>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</si>
  <si>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</si>
  <si>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</si>
  <si>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</si>
  <si>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</si>
  <si>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</si>
  <si>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</si>
  <si>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</si>
  <si>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</si>
  <si>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</si>
  <si>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</si>
  <si>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</si>
  <si>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</si>
  <si>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</si>
  <si>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</si>
  <si>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</si>
  <si>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</si>
  <si>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</si>
  <si>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</si>
  <si>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</si>
  <si>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</si>
  <si>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</si>
  <si>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</si>
  <si>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</si>
  <si>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</si>
  <si>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</si>
  <si>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</si>
  <si>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</si>
  <si>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</si>
  <si>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</si>
  <si>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</si>
  <si>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</si>
  <si>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</si>
  <si>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</si>
  <si>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</si>
  <si>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Tロール糊付け①</t>
    <rPh sb="4" eb="6">
      <t>ノリヅ</t>
    </rPh>
    <phoneticPr fontId="1"/>
  </si>
  <si>
    <t>Tロール糊付け②</t>
    <rPh sb="4" eb="6">
      <t>ノリヅ</t>
    </rPh>
    <phoneticPr fontId="1"/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</si>
  <si>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</si>
  <si>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</si>
  <si>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</si>
  <si>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</si>
  <si>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</si>
  <si>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</si>
  <si>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</si>
  <si>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</si>
  <si>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</si>
  <si>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</si>
  <si>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</si>
  <si>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</si>
  <si>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</si>
  <si>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</si>
  <si>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</si>
  <si>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</si>
  <si>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</si>
  <si>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</si>
  <si>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</si>
  <si>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</si>
  <si>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</si>
  <si>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</si>
  <si>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</si>
  <si>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</si>
  <si>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</si>
  <si>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</si>
  <si>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</si>
  <si>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</si>
  <si>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</si>
  <si>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</si>
  <si>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</si>
  <si>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T-roll gluing ①</t>
  </si>
  <si>
    <t>T-roll gluing ②</t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</si>
  <si>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</si>
  <si>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</si>
  <si>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</si>
  <si>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</si>
  <si>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</si>
  <si>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</si>
  <si>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</si>
  <si>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</si>
  <si>
    <t>平板補助プレート</t>
    <rPh sb="0" eb="2">
      <t>ヒライタ</t>
    </rPh>
    <rPh sb="2" eb="4">
      <t>ホジョ</t>
    </rPh>
    <phoneticPr fontId="1"/>
  </si>
  <si>
    <t>Flat auxiliary plate</t>
  </si>
  <si>
    <t>ワーク排出上下軸</t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</si>
  <si>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</si>
  <si>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</si>
  <si>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</si>
  <si>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</si>
  <si>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</si>
  <si>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</si>
  <si>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Flat Sheet Supply</t>
  </si>
  <si>
    <t>Corrugated Sheet Supply</t>
  </si>
  <si>
    <t>Foil Wax Supply</t>
  </si>
  <si>
    <t>Winding Shaft</t>
  </si>
  <si>
    <t>Welding</t>
  </si>
  <si>
    <t>Discharge</t>
  </si>
  <si>
    <t>unit</t>
    <phoneticPr fontId="1"/>
  </si>
  <si>
    <t>unit</t>
    <phoneticPr fontId="1"/>
  </si>
  <si>
    <t>溶接トーチ前後</t>
    <rPh sb="0" eb="2">
      <t>ヨウセツ</t>
    </rPh>
    <rPh sb="5" eb="7">
      <t>ゼンゴ</t>
    </rPh>
    <phoneticPr fontId="1"/>
  </si>
  <si>
    <t>溶接トーチ上下</t>
    <rPh sb="0" eb="2">
      <t>ヨウセツ</t>
    </rPh>
    <rPh sb="5" eb="7">
      <t>ジョウゲ</t>
    </rPh>
    <phoneticPr fontId="1"/>
  </si>
  <si>
    <t>Welding torch forward/backward</t>
    <phoneticPr fontId="1"/>
  </si>
  <si>
    <t>Welding torch up/down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</si>
</sst>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1" fillId="3" borderId="10" xfId="0" applyFont="1" applyFill="1" applyBorder="1">
      <alignment vertical="center"/>
    </xf>
    <xf numFmtId="0" fontId="11" fillId="3" borderId="11" xfId="0" applyFont="1" applyFill="1" applyBorder="1">
      <alignment vertical="center"/>
    </xf>
    <xf numFmtId="0" fontId="11" fillId="3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62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56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P86"/>
  <sheetViews>
    <sheetView tabSelected="1" workbookViewId="0">
      <pane xSplit="3" ySplit="1" topLeftCell="D20" activePane="bottomRight" state="frozen"/>
      <selection pane="topRight" activeCell="D1" sqref="D1"/>
      <selection pane="bottomLeft" activeCell="A2" sqref="A2"/>
      <selection pane="bottomRight" activeCell="F40" sqref="F40:G40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6" width="3.58203125" customWidth="1"/>
  </cols>
  <sheetData>
    <row r="1" spans="1:16" s="4" customFormat="1" x14ac:dyDescent="0.55000000000000004">
      <c r="A1" s="21" t="s">
        <v>102</v>
      </c>
      <c r="B1" s="21" t="s">
        <v>113</v>
      </c>
      <c r="C1" s="21" t="s">
        <v>120</v>
      </c>
      <c r="D1" s="22" t="s">
        <v>103</v>
      </c>
      <c r="E1" s="22" t="s">
        <v>104</v>
      </c>
      <c r="F1" s="22" t="s">
        <v>105</v>
      </c>
      <c r="G1" s="22" t="s">
        <v>150</v>
      </c>
      <c r="H1" s="22" t="s">
        <v>10</v>
      </c>
      <c r="I1" s="22" t="s">
        <v>7</v>
      </c>
      <c r="J1" s="22" t="s">
        <v>3</v>
      </c>
      <c r="K1" s="22" t="s">
        <v>221</v>
      </c>
      <c r="L1" s="22" t="s">
        <v>5</v>
      </c>
      <c r="M1" s="23" t="s">
        <v>112</v>
      </c>
      <c r="N1" s="23" t="s">
        <v>239</v>
      </c>
      <c r="O1" s="23" t="s">
        <v>238</v>
      </c>
      <c r="P1" s="23"/>
    </row>
    <row r="2" spans="1:16" x14ac:dyDescent="0.55000000000000004">
      <c r="A2" s="30">
        <v>38</v>
      </c>
      <c r="B2" s="5" t="s">
        <v>117</v>
      </c>
      <c r="C2" s="5">
        <v>1</v>
      </c>
      <c r="D2" s="31">
        <v>7</v>
      </c>
      <c r="E2" s="31" t="s">
        <v>91</v>
      </c>
      <c r="F2" s="31" t="s">
        <v>133</v>
      </c>
      <c r="G2" s="31" t="s">
        <v>151</v>
      </c>
      <c r="H2" s="31" t="s">
        <v>20</v>
      </c>
      <c r="I2" s="31" t="s">
        <v>21</v>
      </c>
      <c r="J2" s="31" t="s">
        <v>223</v>
      </c>
      <c r="K2" s="31" t="s">
        <v>222</v>
      </c>
      <c r="L2" s="31">
        <v>1</v>
      </c>
      <c r="M2" s="32"/>
      <c r="N2" s="32"/>
      <c r="O2" s="32"/>
      <c r="P2" s="6"/>
    </row>
    <row r="3" spans="1:16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125</v>
      </c>
      <c r="G3" s="12" t="s">
        <v>249</v>
      </c>
      <c r="H3" s="12" t="s">
        <v>14</v>
      </c>
      <c r="I3" s="12" t="s">
        <v>13</v>
      </c>
      <c r="J3" s="17" t="s">
        <v>223</v>
      </c>
      <c r="K3" s="12" t="s">
        <v>222</v>
      </c>
      <c r="L3" s="12">
        <v>1</v>
      </c>
      <c r="M3" s="27"/>
      <c r="N3" s="27"/>
      <c r="O3" s="27"/>
      <c r="P3" s="10"/>
    </row>
    <row r="4" spans="1:16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124</v>
      </c>
      <c r="G4" s="12" t="s">
        <v>152</v>
      </c>
      <c r="H4" s="12" t="s">
        <v>14</v>
      </c>
      <c r="I4" s="12" t="s">
        <v>13</v>
      </c>
      <c r="J4" s="17" t="s">
        <v>223</v>
      </c>
      <c r="K4" s="12" t="s">
        <v>222</v>
      </c>
      <c r="L4" s="12">
        <v>1</v>
      </c>
      <c r="M4" s="27"/>
      <c r="N4" s="27"/>
      <c r="O4" s="27"/>
      <c r="P4" s="10"/>
    </row>
    <row r="5" spans="1:16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153</v>
      </c>
      <c r="H5" s="12" t="s">
        <v>14</v>
      </c>
      <c r="I5" s="12" t="s">
        <v>13</v>
      </c>
      <c r="J5" s="17" t="s">
        <v>223</v>
      </c>
      <c r="K5" s="12" t="s">
        <v>222</v>
      </c>
      <c r="L5" s="12">
        <v>1</v>
      </c>
      <c r="M5" s="27"/>
      <c r="N5" s="27"/>
      <c r="O5" s="27"/>
      <c r="P5" s="10"/>
    </row>
    <row r="6" spans="1:16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252</v>
      </c>
      <c r="G6" s="8" t="s">
        <v>154</v>
      </c>
      <c r="H6" s="8" t="s">
        <v>1</v>
      </c>
      <c r="I6" s="8" t="s">
        <v>11</v>
      </c>
      <c r="J6" s="8" t="s">
        <v>2</v>
      </c>
      <c r="K6" s="8" t="s">
        <v>226</v>
      </c>
      <c r="L6" s="8">
        <v>1</v>
      </c>
      <c r="M6" s="10"/>
      <c r="N6" s="10"/>
      <c r="O6" s="10"/>
      <c r="P6" s="10"/>
    </row>
    <row r="7" spans="1:16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131</v>
      </c>
      <c r="G7" s="8" t="s">
        <v>155</v>
      </c>
      <c r="H7" s="8" t="s">
        <v>0</v>
      </c>
      <c r="I7" s="8" t="s">
        <v>11</v>
      </c>
      <c r="J7" s="8" t="s">
        <v>2</v>
      </c>
      <c r="K7" s="8" t="s">
        <v>226</v>
      </c>
      <c r="L7" s="8">
        <v>1</v>
      </c>
      <c r="M7" s="10"/>
      <c r="N7" s="10"/>
      <c r="O7" s="10"/>
      <c r="P7" s="10"/>
    </row>
    <row r="8" spans="1:16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130</v>
      </c>
      <c r="G8" s="8" t="s">
        <v>156</v>
      </c>
      <c r="H8" s="8" t="s">
        <v>28</v>
      </c>
      <c r="I8" s="8" t="s">
        <v>11</v>
      </c>
      <c r="J8" s="8" t="s">
        <v>2</v>
      </c>
      <c r="K8" s="8" t="s">
        <v>226</v>
      </c>
      <c r="L8" s="8">
        <v>1</v>
      </c>
      <c r="M8" s="10"/>
      <c r="N8" s="10"/>
      <c r="O8" s="10"/>
      <c r="P8" s="10"/>
    </row>
    <row r="9" spans="1:16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267</v>
      </c>
      <c r="G9" s="8" t="s">
        <v>269</v>
      </c>
      <c r="H9" s="8" t="s">
        <v>106</v>
      </c>
      <c r="I9" s="8" t="s">
        <v>15</v>
      </c>
      <c r="J9" s="8" t="s">
        <v>2</v>
      </c>
      <c r="K9" s="8" t="s">
        <v>226</v>
      </c>
      <c r="L9" s="8">
        <v>1</v>
      </c>
      <c r="M9" s="10"/>
      <c r="N9" s="10"/>
      <c r="O9" s="10"/>
      <c r="P9" s="10"/>
    </row>
    <row r="10" spans="1:16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268</v>
      </c>
      <c r="G10" s="8" t="s">
        <v>270</v>
      </c>
      <c r="H10" s="8" t="s">
        <v>107</v>
      </c>
      <c r="I10" s="8" t="s">
        <v>15</v>
      </c>
      <c r="J10" s="8" t="s">
        <v>2</v>
      </c>
      <c r="K10" s="8" t="s">
        <v>226</v>
      </c>
      <c r="L10" s="8">
        <v>1</v>
      </c>
      <c r="M10" s="10"/>
      <c r="N10" s="10"/>
      <c r="O10" s="10"/>
      <c r="P10" s="10"/>
    </row>
    <row r="11" spans="1:16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132</v>
      </c>
      <c r="G11" s="8" t="s">
        <v>157</v>
      </c>
      <c r="H11" s="8"/>
      <c r="I11" s="8"/>
      <c r="J11" s="8"/>
      <c r="K11" s="8"/>
      <c r="L11" s="8"/>
      <c r="M11" s="10"/>
      <c r="N11" s="10"/>
      <c r="O11" s="10"/>
      <c r="P11" s="10"/>
    </row>
    <row r="12" spans="1:16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134</v>
      </c>
      <c r="G12" s="8" t="s">
        <v>158</v>
      </c>
      <c r="H12" s="8"/>
      <c r="I12" s="8"/>
      <c r="J12" s="8"/>
      <c r="K12" s="8"/>
      <c r="L12" s="8"/>
      <c r="M12" s="10"/>
      <c r="N12" s="10"/>
      <c r="O12" s="10"/>
      <c r="P12" s="10"/>
    </row>
    <row r="13" spans="1:16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135</v>
      </c>
      <c r="G13" s="8" t="s">
        <v>159</v>
      </c>
      <c r="H13" s="8"/>
      <c r="I13" s="8"/>
      <c r="J13" s="8"/>
      <c r="K13" s="8"/>
      <c r="L13" s="8"/>
      <c r="M13" s="10"/>
      <c r="N13" s="10"/>
      <c r="O13" s="10"/>
      <c r="P13" s="10"/>
    </row>
    <row r="14" spans="1:16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126</v>
      </c>
      <c r="G14" s="8" t="s">
        <v>160</v>
      </c>
      <c r="H14" s="8" t="s">
        <v>31</v>
      </c>
      <c r="I14" s="8" t="s">
        <v>32</v>
      </c>
      <c r="J14" s="8" t="s">
        <v>225</v>
      </c>
      <c r="K14" s="8" t="s">
        <v>224</v>
      </c>
      <c r="L14" s="8">
        <v>1</v>
      </c>
      <c r="M14" s="10"/>
      <c r="N14" s="10"/>
      <c r="O14" s="10"/>
      <c r="P14" s="10"/>
    </row>
    <row r="15" spans="1:16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127</v>
      </c>
      <c r="G15" s="8" t="s">
        <v>161</v>
      </c>
      <c r="H15" s="8" t="s">
        <v>33</v>
      </c>
      <c r="I15" s="8" t="s">
        <v>32</v>
      </c>
      <c r="J15" s="8" t="s">
        <v>225</v>
      </c>
      <c r="K15" s="8" t="s">
        <v>224</v>
      </c>
      <c r="L15" s="8">
        <v>1</v>
      </c>
      <c r="M15" s="10"/>
      <c r="N15" s="10"/>
      <c r="O15" s="10"/>
      <c r="P15" s="10"/>
    </row>
    <row r="16" spans="1:16" x14ac:dyDescent="0.55000000000000004">
      <c r="A16" s="7">
        <v>41</v>
      </c>
      <c r="B16" s="7" t="s">
        <v>123</v>
      </c>
      <c r="C16" s="7">
        <v>15</v>
      </c>
      <c r="D16" s="8"/>
      <c r="E16" s="8"/>
      <c r="F16" s="8" t="s">
        <v>128</v>
      </c>
      <c r="G16" s="8" t="s">
        <v>162</v>
      </c>
      <c r="H16" s="8" t="s">
        <v>137</v>
      </c>
      <c r="I16" s="8"/>
      <c r="J16" s="8"/>
      <c r="K16" s="8"/>
      <c r="L16" s="8"/>
      <c r="M16" s="10"/>
      <c r="N16" s="10"/>
      <c r="O16" s="10"/>
      <c r="P16" s="10"/>
    </row>
    <row r="17" spans="1:16" x14ac:dyDescent="0.55000000000000004">
      <c r="A17" s="7">
        <v>45</v>
      </c>
      <c r="B17" s="7" t="s">
        <v>123</v>
      </c>
      <c r="C17" s="7">
        <v>16</v>
      </c>
      <c r="D17" s="8"/>
      <c r="E17" s="8"/>
      <c r="F17" s="8" t="s">
        <v>136</v>
      </c>
      <c r="G17" s="8" t="s">
        <v>163</v>
      </c>
      <c r="H17" s="8" t="s">
        <v>137</v>
      </c>
      <c r="I17" s="8"/>
      <c r="J17" s="8"/>
      <c r="K17" s="8"/>
      <c r="L17" s="8"/>
      <c r="M17" s="10"/>
      <c r="N17" s="10"/>
      <c r="O17" s="10"/>
      <c r="P17" s="10"/>
    </row>
    <row r="18" spans="1:16" x14ac:dyDescent="0.55000000000000004">
      <c r="A18" s="7">
        <v>1</v>
      </c>
      <c r="B18" s="7" t="s">
        <v>115</v>
      </c>
      <c r="C18" s="7">
        <v>1</v>
      </c>
      <c r="D18" s="8">
        <v>1</v>
      </c>
      <c r="E18" s="8" t="s">
        <v>99</v>
      </c>
      <c r="F18" s="8" t="s">
        <v>141</v>
      </c>
      <c r="G18" s="8" t="s">
        <v>164</v>
      </c>
      <c r="H18" s="8" t="s">
        <v>61</v>
      </c>
      <c r="I18" s="8" t="s">
        <v>62</v>
      </c>
      <c r="J18" s="8" t="s">
        <v>4</v>
      </c>
      <c r="K18" s="8" t="s">
        <v>227</v>
      </c>
      <c r="L18" s="8">
        <v>1</v>
      </c>
      <c r="M18" s="10"/>
      <c r="N18" s="10">
        <v>0</v>
      </c>
      <c r="O18" s="10">
        <v>0</v>
      </c>
      <c r="P18" s="10"/>
    </row>
    <row r="19" spans="1:16" x14ac:dyDescent="0.55000000000000004">
      <c r="A19" s="7">
        <v>46</v>
      </c>
      <c r="B19" s="7" t="s">
        <v>114</v>
      </c>
      <c r="C19" s="7">
        <v>2</v>
      </c>
      <c r="D19" s="8"/>
      <c r="E19" s="8"/>
      <c r="F19" s="8" t="s">
        <v>207</v>
      </c>
      <c r="G19" s="8" t="s">
        <v>240</v>
      </c>
      <c r="H19" s="8" t="s">
        <v>206</v>
      </c>
      <c r="I19" s="8"/>
      <c r="J19" s="8"/>
      <c r="K19" s="8"/>
      <c r="L19" s="8"/>
      <c r="M19" s="10"/>
      <c r="N19" s="10">
        <v>0</v>
      </c>
      <c r="O19" s="10">
        <v>5</v>
      </c>
      <c r="P19" s="10"/>
    </row>
    <row r="20" spans="1:16" x14ac:dyDescent="0.55000000000000004">
      <c r="A20" s="7">
        <v>47</v>
      </c>
      <c r="B20" s="7" t="s">
        <v>114</v>
      </c>
      <c r="C20" s="7">
        <v>3</v>
      </c>
      <c r="D20" s="8"/>
      <c r="E20" s="8"/>
      <c r="F20" s="8" t="s">
        <v>208</v>
      </c>
      <c r="G20" s="8" t="s">
        <v>241</v>
      </c>
      <c r="H20" s="8" t="s">
        <v>206</v>
      </c>
      <c r="I20" s="8"/>
      <c r="J20" s="8"/>
      <c r="K20" s="8"/>
      <c r="L20" s="8"/>
      <c r="M20" s="10"/>
      <c r="N20" s="10">
        <v>0</v>
      </c>
      <c r="O20" s="10">
        <v>6</v>
      </c>
      <c r="P20" s="10"/>
    </row>
    <row r="21" spans="1:16" x14ac:dyDescent="0.55000000000000004">
      <c r="A21" s="7">
        <v>2</v>
      </c>
      <c r="B21" s="7" t="s">
        <v>115</v>
      </c>
      <c r="C21" s="7">
        <v>4</v>
      </c>
      <c r="D21" s="8">
        <v>2</v>
      </c>
      <c r="E21" s="8" t="s">
        <v>140</v>
      </c>
      <c r="F21" s="8" t="s">
        <v>250</v>
      </c>
      <c r="G21" s="8" t="s">
        <v>251</v>
      </c>
      <c r="H21" s="8" t="s">
        <v>63</v>
      </c>
      <c r="I21" s="9" t="s">
        <v>64</v>
      </c>
      <c r="J21" s="8" t="s">
        <v>4</v>
      </c>
      <c r="K21" s="8" t="s">
        <v>227</v>
      </c>
      <c r="L21" s="8">
        <v>1</v>
      </c>
      <c r="M21" s="10"/>
      <c r="N21" s="10">
        <v>0</v>
      </c>
      <c r="O21" s="10">
        <v>7</v>
      </c>
      <c r="P21" s="10"/>
    </row>
    <row r="22" spans="1:16" x14ac:dyDescent="0.55000000000000004">
      <c r="A22" s="7">
        <v>4</v>
      </c>
      <c r="B22" s="7" t="s">
        <v>115</v>
      </c>
      <c r="C22" s="7">
        <v>5</v>
      </c>
      <c r="D22" s="8">
        <v>5</v>
      </c>
      <c r="E22" s="8" t="s">
        <v>93</v>
      </c>
      <c r="F22" s="8" t="s">
        <v>149</v>
      </c>
      <c r="G22" s="8" t="s">
        <v>165</v>
      </c>
      <c r="H22" s="8" t="s">
        <v>67</v>
      </c>
      <c r="I22" s="8" t="s">
        <v>68</v>
      </c>
      <c r="J22" s="8" t="s">
        <v>4</v>
      </c>
      <c r="K22" s="8" t="s">
        <v>227</v>
      </c>
      <c r="L22" s="8">
        <v>1</v>
      </c>
      <c r="M22" s="10"/>
      <c r="N22" s="10">
        <v>0</v>
      </c>
      <c r="O22" s="10">
        <v>1</v>
      </c>
      <c r="P22" s="10"/>
    </row>
    <row r="23" spans="1:16" x14ac:dyDescent="0.55000000000000004">
      <c r="A23" s="7">
        <v>3</v>
      </c>
      <c r="B23" s="7" t="s">
        <v>115</v>
      </c>
      <c r="C23" s="7">
        <v>6</v>
      </c>
      <c r="D23" s="8">
        <v>5</v>
      </c>
      <c r="E23" s="8" t="s">
        <v>93</v>
      </c>
      <c r="F23" s="8" t="s">
        <v>148</v>
      </c>
      <c r="G23" s="8" t="s">
        <v>166</v>
      </c>
      <c r="H23" s="8" t="s">
        <v>65</v>
      </c>
      <c r="I23" s="8" t="s">
        <v>66</v>
      </c>
      <c r="J23" s="8" t="s">
        <v>4</v>
      </c>
      <c r="K23" s="8" t="s">
        <v>227</v>
      </c>
      <c r="L23" s="8">
        <v>1</v>
      </c>
      <c r="M23" s="10"/>
      <c r="N23" s="10">
        <v>0</v>
      </c>
      <c r="O23" s="10">
        <v>8</v>
      </c>
      <c r="P23" s="10"/>
    </row>
    <row r="24" spans="1:16" x14ac:dyDescent="0.55000000000000004">
      <c r="A24" s="7">
        <v>8</v>
      </c>
      <c r="B24" s="7" t="s">
        <v>115</v>
      </c>
      <c r="C24" s="7">
        <v>7</v>
      </c>
      <c r="D24" s="8">
        <v>6</v>
      </c>
      <c r="E24" s="8" t="s">
        <v>98</v>
      </c>
      <c r="F24" s="8" t="s">
        <v>144</v>
      </c>
      <c r="G24" s="8" t="s">
        <v>167</v>
      </c>
      <c r="H24" s="8" t="s">
        <v>69</v>
      </c>
      <c r="I24" s="8" t="s">
        <v>70</v>
      </c>
      <c r="J24" s="8" t="s">
        <v>4</v>
      </c>
      <c r="K24" s="8" t="s">
        <v>227</v>
      </c>
      <c r="L24" s="11">
        <v>1</v>
      </c>
      <c r="M24" s="24"/>
      <c r="N24" s="24">
        <v>0</v>
      </c>
      <c r="O24" s="24">
        <v>9</v>
      </c>
      <c r="P24" s="10"/>
    </row>
    <row r="25" spans="1:16" x14ac:dyDescent="0.55000000000000004">
      <c r="A25" s="7">
        <v>7</v>
      </c>
      <c r="B25" s="7" t="s">
        <v>115</v>
      </c>
      <c r="C25" s="7">
        <v>8</v>
      </c>
      <c r="D25" s="8">
        <v>7</v>
      </c>
      <c r="E25" s="8" t="s">
        <v>92</v>
      </c>
      <c r="F25" s="8" t="s">
        <v>146</v>
      </c>
      <c r="G25" s="8" t="s">
        <v>168</v>
      </c>
      <c r="H25" s="8" t="s">
        <v>73</v>
      </c>
      <c r="I25" s="8" t="s">
        <v>70</v>
      </c>
      <c r="J25" s="8" t="s">
        <v>4</v>
      </c>
      <c r="K25" s="8" t="s">
        <v>227</v>
      </c>
      <c r="L25" s="11">
        <v>1</v>
      </c>
      <c r="M25" s="24"/>
      <c r="N25" s="24">
        <v>0</v>
      </c>
      <c r="O25" s="24">
        <v>10</v>
      </c>
      <c r="P25" s="10"/>
    </row>
    <row r="26" spans="1:16" x14ac:dyDescent="0.55000000000000004">
      <c r="A26" s="7">
        <v>6</v>
      </c>
      <c r="B26" s="7" t="s">
        <v>115</v>
      </c>
      <c r="C26" s="7">
        <v>9</v>
      </c>
      <c r="D26" s="8">
        <v>7</v>
      </c>
      <c r="E26" s="8" t="s">
        <v>92</v>
      </c>
      <c r="F26" s="8" t="s">
        <v>121</v>
      </c>
      <c r="G26" s="8" t="s">
        <v>169</v>
      </c>
      <c r="H26" s="8" t="s">
        <v>71</v>
      </c>
      <c r="I26" s="8" t="s">
        <v>72</v>
      </c>
      <c r="J26" s="8" t="s">
        <v>4</v>
      </c>
      <c r="K26" s="8" t="s">
        <v>227</v>
      </c>
      <c r="L26" s="11">
        <v>1</v>
      </c>
      <c r="M26" s="24"/>
      <c r="N26" s="24">
        <v>0</v>
      </c>
      <c r="O26" s="24">
        <v>11</v>
      </c>
      <c r="P26" s="10"/>
    </row>
    <row r="27" spans="1:16" x14ac:dyDescent="0.55000000000000004">
      <c r="A27" s="7">
        <v>5</v>
      </c>
      <c r="B27" s="7" t="s">
        <v>115</v>
      </c>
      <c r="C27" s="7">
        <v>10</v>
      </c>
      <c r="D27" s="8">
        <v>8</v>
      </c>
      <c r="E27" s="8" t="s">
        <v>100</v>
      </c>
      <c r="F27" s="8" t="s">
        <v>145</v>
      </c>
      <c r="G27" s="8" t="s">
        <v>170</v>
      </c>
      <c r="H27" s="8" t="s">
        <v>69</v>
      </c>
      <c r="I27" s="8" t="s">
        <v>70</v>
      </c>
      <c r="J27" s="8" t="s">
        <v>4</v>
      </c>
      <c r="K27" s="8" t="s">
        <v>227</v>
      </c>
      <c r="L27" s="11">
        <v>1</v>
      </c>
      <c r="M27" s="24"/>
      <c r="N27" s="24">
        <v>0</v>
      </c>
      <c r="O27" s="24">
        <v>12</v>
      </c>
      <c r="P27" s="10"/>
    </row>
    <row r="28" spans="1:16" x14ac:dyDescent="0.55000000000000004">
      <c r="A28" s="7">
        <v>10</v>
      </c>
      <c r="B28" s="7" t="s">
        <v>115</v>
      </c>
      <c r="C28" s="7">
        <v>11</v>
      </c>
      <c r="D28" s="12">
        <v>9</v>
      </c>
      <c r="E28" s="12" t="s">
        <v>95</v>
      </c>
      <c r="F28" s="12" t="s">
        <v>138</v>
      </c>
      <c r="G28" s="12" t="s">
        <v>171</v>
      </c>
      <c r="H28" s="12" t="s">
        <v>75</v>
      </c>
      <c r="I28" s="12" t="s">
        <v>70</v>
      </c>
      <c r="J28" s="12" t="s">
        <v>4</v>
      </c>
      <c r="K28" s="12" t="s">
        <v>227</v>
      </c>
      <c r="L28" s="13">
        <v>1</v>
      </c>
      <c r="M28" s="25"/>
      <c r="N28" s="25">
        <v>0</v>
      </c>
      <c r="O28" s="25">
        <v>2</v>
      </c>
      <c r="P28" s="10"/>
    </row>
    <row r="29" spans="1:16" x14ac:dyDescent="0.55000000000000004">
      <c r="A29" s="7">
        <v>9</v>
      </c>
      <c r="B29" s="7" t="s">
        <v>115</v>
      </c>
      <c r="C29" s="7">
        <v>12</v>
      </c>
      <c r="D29" s="8">
        <v>9</v>
      </c>
      <c r="E29" s="8" t="s">
        <v>95</v>
      </c>
      <c r="F29" s="8" t="s">
        <v>142</v>
      </c>
      <c r="G29" s="8" t="s">
        <v>172</v>
      </c>
      <c r="H29" s="8" t="s">
        <v>74</v>
      </c>
      <c r="I29" s="8" t="s">
        <v>70</v>
      </c>
      <c r="J29" s="8" t="s">
        <v>4</v>
      </c>
      <c r="K29" s="8" t="s">
        <v>227</v>
      </c>
      <c r="L29" s="11">
        <v>1</v>
      </c>
      <c r="M29" s="24"/>
      <c r="N29" s="24">
        <v>0</v>
      </c>
      <c r="O29" s="24">
        <v>13</v>
      </c>
      <c r="P29" s="10"/>
    </row>
    <row r="30" spans="1:16" x14ac:dyDescent="0.55000000000000004">
      <c r="A30" s="7">
        <v>11</v>
      </c>
      <c r="B30" s="7" t="s">
        <v>115</v>
      </c>
      <c r="C30" s="7">
        <v>13</v>
      </c>
      <c r="D30" s="12">
        <v>11</v>
      </c>
      <c r="E30" s="12" t="s">
        <v>97</v>
      </c>
      <c r="F30" s="12" t="s">
        <v>139</v>
      </c>
      <c r="G30" s="12" t="s">
        <v>173</v>
      </c>
      <c r="H30" s="12" t="s">
        <v>75</v>
      </c>
      <c r="I30" s="12" t="s">
        <v>70</v>
      </c>
      <c r="J30" s="12" t="s">
        <v>4</v>
      </c>
      <c r="K30" s="12" t="s">
        <v>227</v>
      </c>
      <c r="L30" s="13">
        <v>1</v>
      </c>
      <c r="M30" s="25"/>
      <c r="N30" s="25">
        <v>0</v>
      </c>
      <c r="O30" s="25">
        <v>3</v>
      </c>
      <c r="P30" s="10"/>
    </row>
    <row r="31" spans="1:16" x14ac:dyDescent="0.55000000000000004">
      <c r="A31" s="7">
        <v>13</v>
      </c>
      <c r="B31" s="7" t="s">
        <v>115</v>
      </c>
      <c r="C31" s="7">
        <v>14</v>
      </c>
      <c r="D31" s="8">
        <v>11</v>
      </c>
      <c r="E31" s="8" t="s">
        <v>97</v>
      </c>
      <c r="F31" s="8" t="s">
        <v>143</v>
      </c>
      <c r="G31" s="8" t="s">
        <v>174</v>
      </c>
      <c r="H31" s="8" t="s">
        <v>76</v>
      </c>
      <c r="I31" s="8" t="s">
        <v>70</v>
      </c>
      <c r="J31" s="8" t="s">
        <v>4</v>
      </c>
      <c r="K31" s="8" t="s">
        <v>227</v>
      </c>
      <c r="L31" s="11">
        <v>1</v>
      </c>
      <c r="M31" s="24"/>
      <c r="N31" s="24">
        <v>0</v>
      </c>
      <c r="O31" s="24">
        <v>4</v>
      </c>
      <c r="P31" s="10"/>
    </row>
    <row r="32" spans="1:16" x14ac:dyDescent="0.55000000000000004">
      <c r="A32" s="7">
        <v>14</v>
      </c>
      <c r="B32" s="7" t="s">
        <v>115</v>
      </c>
      <c r="C32" s="7">
        <v>15</v>
      </c>
      <c r="D32" s="12">
        <v>11</v>
      </c>
      <c r="E32" s="12" t="s">
        <v>96</v>
      </c>
      <c r="F32" s="12" t="s">
        <v>247</v>
      </c>
      <c r="G32" s="12" t="s">
        <v>248</v>
      </c>
      <c r="H32" s="12" t="s">
        <v>77</v>
      </c>
      <c r="I32" s="12" t="s">
        <v>78</v>
      </c>
      <c r="J32" s="12" t="s">
        <v>4</v>
      </c>
      <c r="K32" s="12" t="s">
        <v>227</v>
      </c>
      <c r="L32" s="13">
        <v>1</v>
      </c>
      <c r="M32" s="25"/>
      <c r="N32" s="25">
        <v>0</v>
      </c>
      <c r="O32" s="25">
        <v>14</v>
      </c>
      <c r="P32" s="10"/>
    </row>
    <row r="33" spans="1:16" x14ac:dyDescent="0.55000000000000004">
      <c r="A33" s="7">
        <v>15</v>
      </c>
      <c r="B33" s="7" t="s">
        <v>115</v>
      </c>
      <c r="C33" s="7">
        <v>16</v>
      </c>
      <c r="D33" s="12">
        <v>11</v>
      </c>
      <c r="E33" s="12" t="s">
        <v>96</v>
      </c>
      <c r="F33" s="12" t="s">
        <v>147</v>
      </c>
      <c r="G33" s="12" t="s">
        <v>175</v>
      </c>
      <c r="H33" s="12" t="s">
        <v>77</v>
      </c>
      <c r="I33" s="12" t="s">
        <v>78</v>
      </c>
      <c r="J33" s="12" t="s">
        <v>4</v>
      </c>
      <c r="K33" s="12" t="s">
        <v>227</v>
      </c>
      <c r="L33" s="13">
        <v>1</v>
      </c>
      <c r="M33" s="25"/>
      <c r="N33" s="25">
        <v>0</v>
      </c>
      <c r="O33" s="25">
        <v>15</v>
      </c>
      <c r="P33" s="10"/>
    </row>
    <row r="34" spans="1:16" x14ac:dyDescent="0.55000000000000004">
      <c r="A34" s="7">
        <v>48</v>
      </c>
      <c r="B34" s="7" t="s">
        <v>114</v>
      </c>
      <c r="C34" s="7">
        <v>17</v>
      </c>
      <c r="D34" s="8"/>
      <c r="E34" s="8"/>
      <c r="F34" s="8" t="s">
        <v>209</v>
      </c>
      <c r="G34" s="8" t="s">
        <v>242</v>
      </c>
      <c r="H34" s="8" t="s">
        <v>51</v>
      </c>
      <c r="I34" s="8"/>
      <c r="J34" s="8"/>
      <c r="K34" s="8"/>
      <c r="L34" s="8"/>
      <c r="M34" s="10"/>
      <c r="N34" s="10">
        <v>1</v>
      </c>
      <c r="O34" s="10">
        <v>0</v>
      </c>
      <c r="P34" s="10"/>
    </row>
    <row r="35" spans="1:16" x14ac:dyDescent="0.55000000000000004">
      <c r="A35" s="7">
        <v>49</v>
      </c>
      <c r="B35" s="7" t="s">
        <v>114</v>
      </c>
      <c r="C35" s="7">
        <v>18</v>
      </c>
      <c r="D35" s="8"/>
      <c r="E35" s="8"/>
      <c r="F35" s="8" t="s">
        <v>210</v>
      </c>
      <c r="G35" s="8" t="s">
        <v>243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1</v>
      </c>
      <c r="P35" s="10"/>
    </row>
    <row r="36" spans="1:16" x14ac:dyDescent="0.55000000000000004">
      <c r="A36" s="7">
        <v>50</v>
      </c>
      <c r="B36" s="7" t="s">
        <v>114</v>
      </c>
      <c r="C36" s="7">
        <v>19</v>
      </c>
      <c r="D36" s="8"/>
      <c r="E36" s="8"/>
      <c r="F36" s="8" t="s">
        <v>212</v>
      </c>
      <c r="G36" s="8" t="s">
        <v>244</v>
      </c>
      <c r="H36" s="8" t="s">
        <v>211</v>
      </c>
      <c r="I36" s="8"/>
      <c r="J36" s="8"/>
      <c r="K36" s="8"/>
      <c r="L36" s="8"/>
      <c r="M36" s="10"/>
      <c r="N36" s="10">
        <v>1</v>
      </c>
      <c r="O36" s="10">
        <v>2</v>
      </c>
      <c r="P36" s="10"/>
    </row>
    <row r="37" spans="1:16" x14ac:dyDescent="0.55000000000000004">
      <c r="A37" s="29">
        <v>12</v>
      </c>
      <c r="B37" s="29" t="s">
        <v>115</v>
      </c>
      <c r="C37" s="29"/>
      <c r="D37" s="14">
        <v>11</v>
      </c>
      <c r="E37" s="14" t="s">
        <v>97</v>
      </c>
      <c r="F37" s="14"/>
      <c r="G37" s="14"/>
      <c r="H37" s="14" t="s">
        <v>75</v>
      </c>
      <c r="I37" s="14" t="s">
        <v>70</v>
      </c>
      <c r="J37" s="14" t="s">
        <v>4</v>
      </c>
      <c r="K37" s="14" t="s">
        <v>227</v>
      </c>
      <c r="L37" s="15">
        <v>1</v>
      </c>
      <c r="M37" s="26" t="s">
        <v>118</v>
      </c>
      <c r="N37" s="26"/>
      <c r="O37" s="26"/>
      <c r="P37" s="10"/>
    </row>
    <row r="38" spans="1:16" x14ac:dyDescent="0.55000000000000004">
      <c r="A38" s="29">
        <v>16</v>
      </c>
      <c r="B38" s="29" t="s">
        <v>115</v>
      </c>
      <c r="C38" s="29"/>
      <c r="D38" s="14">
        <v>11</v>
      </c>
      <c r="E38" s="14" t="s">
        <v>96</v>
      </c>
      <c r="F38" s="14"/>
      <c r="G38" s="14"/>
      <c r="H38" s="14" t="s">
        <v>77</v>
      </c>
      <c r="I38" s="14" t="s">
        <v>78</v>
      </c>
      <c r="J38" s="14" t="s">
        <v>4</v>
      </c>
      <c r="K38" s="14" t="s">
        <v>227</v>
      </c>
      <c r="L38" s="15">
        <v>1</v>
      </c>
      <c r="M38" s="26" t="s">
        <v>118</v>
      </c>
      <c r="N38" s="26"/>
      <c r="O38" s="26"/>
      <c r="P38" s="10"/>
    </row>
    <row r="39" spans="1:16" x14ac:dyDescent="0.55000000000000004">
      <c r="A39" s="29">
        <v>17</v>
      </c>
      <c r="B39" s="29" t="s">
        <v>115</v>
      </c>
      <c r="C39" s="29"/>
      <c r="D39" s="14">
        <v>11</v>
      </c>
      <c r="E39" s="14" t="s">
        <v>96</v>
      </c>
      <c r="F39" s="14"/>
      <c r="G39" s="14"/>
      <c r="H39" s="14" t="s">
        <v>77</v>
      </c>
      <c r="I39" s="14" t="s">
        <v>78</v>
      </c>
      <c r="J39" s="14" t="s">
        <v>4</v>
      </c>
      <c r="K39" s="14" t="s">
        <v>227</v>
      </c>
      <c r="L39" s="15">
        <v>1</v>
      </c>
      <c r="M39" s="26" t="s">
        <v>118</v>
      </c>
      <c r="N39" s="26"/>
      <c r="O39" s="26"/>
      <c r="P39" s="10"/>
    </row>
    <row r="40" spans="1:16" x14ac:dyDescent="0.55000000000000004">
      <c r="A40" s="7">
        <v>21</v>
      </c>
      <c r="B40" s="7" t="s">
        <v>122</v>
      </c>
      <c r="C40" s="7">
        <v>1</v>
      </c>
      <c r="D40" s="8">
        <v>1</v>
      </c>
      <c r="E40" s="8" t="s">
        <v>99</v>
      </c>
      <c r="F40" s="8" t="s">
        <v>129</v>
      </c>
      <c r="G40" s="8" t="s">
        <v>203</v>
      </c>
      <c r="H40" s="8" t="s">
        <v>30</v>
      </c>
      <c r="I40" s="8" t="s">
        <v>29</v>
      </c>
      <c r="J40" s="8" t="s">
        <v>2</v>
      </c>
      <c r="K40" s="8" t="s">
        <v>226</v>
      </c>
      <c r="L40" s="8">
        <v>1</v>
      </c>
      <c r="M40" s="10"/>
      <c r="N40" s="10"/>
      <c r="O40" s="10"/>
      <c r="P40" s="10"/>
    </row>
    <row r="41" spans="1:16" x14ac:dyDescent="0.55000000000000004">
      <c r="A41" s="7">
        <v>24</v>
      </c>
      <c r="B41" s="7" t="s">
        <v>119</v>
      </c>
      <c r="C41" s="7"/>
      <c r="D41" s="8">
        <v>3</v>
      </c>
      <c r="E41" s="8" t="s">
        <v>94</v>
      </c>
      <c r="F41" s="8" t="s">
        <v>90</v>
      </c>
      <c r="G41" s="8"/>
      <c r="H41" s="8" t="s">
        <v>6</v>
      </c>
      <c r="I41" s="8" t="s">
        <v>8</v>
      </c>
      <c r="J41" s="8" t="s">
        <v>225</v>
      </c>
      <c r="K41" s="8" t="s">
        <v>224</v>
      </c>
      <c r="L41" s="8">
        <v>1</v>
      </c>
      <c r="M41" s="10"/>
      <c r="N41" s="10"/>
      <c r="O41" s="10"/>
      <c r="P41" s="10"/>
    </row>
    <row r="42" spans="1:16" x14ac:dyDescent="0.55000000000000004">
      <c r="A42" s="7">
        <v>25</v>
      </c>
      <c r="B42" s="7" t="s">
        <v>119</v>
      </c>
      <c r="C42" s="7"/>
      <c r="D42" s="8">
        <v>3</v>
      </c>
      <c r="E42" s="8" t="s">
        <v>94</v>
      </c>
      <c r="F42" s="8" t="s">
        <v>90</v>
      </c>
      <c r="G42" s="8"/>
      <c r="H42" s="8" t="s">
        <v>60</v>
      </c>
      <c r="I42" s="8" t="s">
        <v>9</v>
      </c>
      <c r="J42" s="8" t="s">
        <v>225</v>
      </c>
      <c r="K42" s="8" t="s">
        <v>224</v>
      </c>
      <c r="L42" s="8">
        <v>1</v>
      </c>
      <c r="M42" s="10"/>
      <c r="N42" s="10"/>
      <c r="O42" s="10"/>
      <c r="P42" s="10"/>
    </row>
    <row r="43" spans="1:16" x14ac:dyDescent="0.55000000000000004">
      <c r="A43" s="7">
        <v>29</v>
      </c>
      <c r="B43" s="7" t="s">
        <v>119</v>
      </c>
      <c r="C43" s="7"/>
      <c r="D43" s="8">
        <v>7</v>
      </c>
      <c r="E43" s="8" t="s">
        <v>92</v>
      </c>
      <c r="F43" s="8"/>
      <c r="G43" s="8"/>
      <c r="H43" s="8" t="s">
        <v>22</v>
      </c>
      <c r="I43" s="8" t="s">
        <v>23</v>
      </c>
      <c r="J43" s="8" t="s">
        <v>225</v>
      </c>
      <c r="K43" s="8" t="s">
        <v>224</v>
      </c>
      <c r="L43" s="8">
        <v>3</v>
      </c>
      <c r="M43" s="10"/>
      <c r="N43" s="10"/>
      <c r="O43" s="10"/>
      <c r="P43" s="10"/>
    </row>
    <row r="44" spans="1:16" x14ac:dyDescent="0.55000000000000004">
      <c r="A44" s="7">
        <v>30</v>
      </c>
      <c r="B44" s="7" t="s">
        <v>119</v>
      </c>
      <c r="C44" s="7"/>
      <c r="D44" s="8">
        <v>1</v>
      </c>
      <c r="E44" s="8" t="s">
        <v>99</v>
      </c>
      <c r="F44" s="8" t="s">
        <v>108</v>
      </c>
      <c r="G44" s="8"/>
      <c r="H44" s="8" t="s">
        <v>25</v>
      </c>
      <c r="I44" s="8" t="s">
        <v>24</v>
      </c>
      <c r="J44" s="8" t="s">
        <v>225</v>
      </c>
      <c r="K44" s="8" t="s">
        <v>224</v>
      </c>
      <c r="L44" s="8">
        <v>1</v>
      </c>
      <c r="M44" s="10" t="s">
        <v>57</v>
      </c>
      <c r="N44" s="10"/>
      <c r="O44" s="10"/>
      <c r="P44" s="10"/>
    </row>
    <row r="45" spans="1:16" x14ac:dyDescent="0.55000000000000004">
      <c r="A45" s="7">
        <v>34</v>
      </c>
      <c r="B45" s="7" t="s">
        <v>119</v>
      </c>
      <c r="C45" s="7"/>
      <c r="D45" s="8">
        <v>1</v>
      </c>
      <c r="E45" s="8" t="s">
        <v>99</v>
      </c>
      <c r="F45" s="8" t="s">
        <v>109</v>
      </c>
      <c r="G45" s="8"/>
      <c r="H45" s="8" t="s">
        <v>35</v>
      </c>
      <c r="I45" s="16" t="s">
        <v>36</v>
      </c>
      <c r="J45" s="8" t="s">
        <v>225</v>
      </c>
      <c r="K45" s="8" t="s">
        <v>224</v>
      </c>
      <c r="L45" s="8">
        <v>1</v>
      </c>
      <c r="M45" s="10" t="s">
        <v>34</v>
      </c>
      <c r="N45" s="10"/>
      <c r="O45" s="10"/>
      <c r="P45" s="10"/>
    </row>
    <row r="46" spans="1:16" x14ac:dyDescent="0.55000000000000004">
      <c r="A46" s="7">
        <v>26</v>
      </c>
      <c r="B46" s="7"/>
      <c r="C46" s="7"/>
      <c r="D46" s="8">
        <v>1</v>
      </c>
      <c r="E46" s="8" t="s">
        <v>99</v>
      </c>
      <c r="F46" s="8"/>
      <c r="G46" s="8"/>
      <c r="H46" s="8" t="s">
        <v>58</v>
      </c>
      <c r="I46" s="8" t="s">
        <v>59</v>
      </c>
      <c r="J46" s="8" t="s">
        <v>225</v>
      </c>
      <c r="K46" s="8" t="s">
        <v>224</v>
      </c>
      <c r="L46" s="8">
        <v>1</v>
      </c>
      <c r="M46" s="10"/>
      <c r="N46" s="10"/>
      <c r="O46" s="10"/>
      <c r="P46" s="10"/>
    </row>
    <row r="47" spans="1:16" x14ac:dyDescent="0.55000000000000004">
      <c r="A47" s="7">
        <v>27</v>
      </c>
      <c r="B47" s="7"/>
      <c r="C47" s="7"/>
      <c r="D47" s="8">
        <v>5</v>
      </c>
      <c r="E47" s="8" t="s">
        <v>93</v>
      </c>
      <c r="F47" s="8"/>
      <c r="G47" s="8"/>
      <c r="H47" s="8" t="s">
        <v>18</v>
      </c>
      <c r="I47" s="8" t="s">
        <v>19</v>
      </c>
      <c r="J47" s="8" t="s">
        <v>225</v>
      </c>
      <c r="K47" s="8" t="s">
        <v>224</v>
      </c>
      <c r="L47" s="8">
        <v>1</v>
      </c>
      <c r="M47" s="10"/>
      <c r="N47" s="10"/>
      <c r="O47" s="10"/>
      <c r="P47" s="10"/>
    </row>
    <row r="48" spans="1:16" x14ac:dyDescent="0.55000000000000004">
      <c r="A48" s="7">
        <v>28</v>
      </c>
      <c r="B48" s="7"/>
      <c r="C48" s="7"/>
      <c r="D48" s="8">
        <v>5</v>
      </c>
      <c r="E48" s="8" t="s">
        <v>93</v>
      </c>
      <c r="F48" s="8"/>
      <c r="G48" s="8"/>
      <c r="H48" s="8" t="s">
        <v>16</v>
      </c>
      <c r="I48" s="8" t="s">
        <v>17</v>
      </c>
      <c r="J48" s="8" t="s">
        <v>225</v>
      </c>
      <c r="K48" s="8" t="s">
        <v>224</v>
      </c>
      <c r="L48" s="8">
        <v>1</v>
      </c>
      <c r="M48" s="10"/>
      <c r="N48" s="10"/>
      <c r="O48" s="10"/>
      <c r="P48" s="10"/>
    </row>
    <row r="49" spans="1:16" x14ac:dyDescent="0.55000000000000004">
      <c r="A49" s="7">
        <v>31</v>
      </c>
      <c r="B49" s="7"/>
      <c r="C49" s="7"/>
      <c r="D49" s="8">
        <v>3</v>
      </c>
      <c r="E49" s="8" t="s">
        <v>94</v>
      </c>
      <c r="F49" s="8"/>
      <c r="G49" s="8"/>
      <c r="H49" s="8" t="s">
        <v>27</v>
      </c>
      <c r="I49" s="8" t="s">
        <v>26</v>
      </c>
      <c r="J49" s="8" t="s">
        <v>225</v>
      </c>
      <c r="K49" s="8" t="s">
        <v>224</v>
      </c>
      <c r="L49" s="8">
        <v>1</v>
      </c>
      <c r="M49" s="10" t="s">
        <v>57</v>
      </c>
      <c r="N49" s="10"/>
      <c r="O49" s="10"/>
      <c r="P49" s="10"/>
    </row>
    <row r="50" spans="1:16" x14ac:dyDescent="0.55000000000000004">
      <c r="A50" s="7">
        <v>39</v>
      </c>
      <c r="B50" s="7"/>
      <c r="C50" s="7"/>
      <c r="D50" s="8">
        <v>7</v>
      </c>
      <c r="E50" s="8" t="s">
        <v>92</v>
      </c>
      <c r="F50" s="8"/>
      <c r="G50" s="8"/>
      <c r="H50" s="8" t="s">
        <v>27</v>
      </c>
      <c r="I50" s="8" t="s">
        <v>26</v>
      </c>
      <c r="J50" s="8" t="s">
        <v>225</v>
      </c>
      <c r="K50" s="8" t="s">
        <v>224</v>
      </c>
      <c r="L50" s="8">
        <v>1</v>
      </c>
      <c r="M50" s="10"/>
      <c r="N50" s="10"/>
      <c r="O50" s="10"/>
      <c r="P50" s="10"/>
    </row>
    <row r="51" spans="1:16" x14ac:dyDescent="0.55000000000000004">
      <c r="A51" s="7">
        <v>51</v>
      </c>
      <c r="B51" s="7" t="s">
        <v>266</v>
      </c>
      <c r="C51" s="7">
        <v>1</v>
      </c>
      <c r="D51" s="8"/>
      <c r="E51" s="8"/>
      <c r="F51" s="8" t="s">
        <v>253</v>
      </c>
      <c r="G51" s="8" t="s">
        <v>259</v>
      </c>
      <c r="H51" s="8"/>
      <c r="I51" s="8"/>
      <c r="J51" s="8"/>
      <c r="K51" s="8"/>
      <c r="L51" s="8"/>
      <c r="M51" s="10"/>
      <c r="N51" s="10"/>
      <c r="O51" s="10"/>
      <c r="P51" s="10"/>
    </row>
    <row r="52" spans="1:16" x14ac:dyDescent="0.55000000000000004">
      <c r="A52" s="7">
        <v>52</v>
      </c>
      <c r="B52" s="7" t="s">
        <v>266</v>
      </c>
      <c r="C52" s="7">
        <v>2</v>
      </c>
      <c r="D52" s="8"/>
      <c r="E52" s="8"/>
      <c r="F52" s="8" t="s">
        <v>254</v>
      </c>
      <c r="G52" s="8" t="s">
        <v>260</v>
      </c>
      <c r="H52" s="8"/>
      <c r="I52" s="8"/>
      <c r="J52" s="8"/>
      <c r="K52" s="8"/>
      <c r="L52" s="8"/>
      <c r="M52" s="10"/>
      <c r="N52" s="10"/>
      <c r="O52" s="10"/>
      <c r="P52" s="10"/>
    </row>
    <row r="53" spans="1:16" x14ac:dyDescent="0.55000000000000004">
      <c r="A53" s="7">
        <v>53</v>
      </c>
      <c r="B53" s="7" t="s">
        <v>266</v>
      </c>
      <c r="C53" s="7">
        <v>3</v>
      </c>
      <c r="D53" s="8"/>
      <c r="E53" s="8"/>
      <c r="F53" s="8" t="s">
        <v>255</v>
      </c>
      <c r="G53" s="8" t="s">
        <v>261</v>
      </c>
      <c r="H53" s="8"/>
      <c r="I53" s="8"/>
      <c r="J53" s="8"/>
      <c r="K53" s="8"/>
      <c r="L53" s="8"/>
      <c r="M53" s="10"/>
      <c r="N53" s="10"/>
      <c r="O53" s="10"/>
      <c r="P53" s="10"/>
    </row>
    <row r="54" spans="1:16" x14ac:dyDescent="0.55000000000000004">
      <c r="A54" s="7">
        <v>54</v>
      </c>
      <c r="B54" s="7" t="s">
        <v>266</v>
      </c>
      <c r="C54" s="7">
        <v>4</v>
      </c>
      <c r="D54" s="8"/>
      <c r="E54" s="8"/>
      <c r="F54" s="8" t="s">
        <v>256</v>
      </c>
      <c r="G54" s="8" t="s">
        <v>262</v>
      </c>
      <c r="H54" s="8"/>
      <c r="I54" s="8"/>
      <c r="J54" s="8"/>
      <c r="K54" s="8"/>
      <c r="L54" s="8"/>
      <c r="M54" s="10"/>
      <c r="N54" s="10"/>
      <c r="O54" s="10"/>
      <c r="P54" s="10"/>
    </row>
    <row r="55" spans="1:16" x14ac:dyDescent="0.55000000000000004">
      <c r="A55" s="7">
        <v>55</v>
      </c>
      <c r="B55" s="7" t="s">
        <v>266</v>
      </c>
      <c r="C55" s="7">
        <v>5</v>
      </c>
      <c r="D55" s="8"/>
      <c r="E55" s="8"/>
      <c r="F55" s="8" t="s">
        <v>257</v>
      </c>
      <c r="G55" s="8" t="s">
        <v>263</v>
      </c>
      <c r="H55" s="8"/>
      <c r="I55" s="8"/>
      <c r="J55" s="8"/>
      <c r="K55" s="8"/>
      <c r="L55" s="8"/>
      <c r="M55" s="10"/>
      <c r="N55" s="10"/>
      <c r="O55" s="10"/>
      <c r="P55" s="10"/>
    </row>
    <row r="56" spans="1:16" x14ac:dyDescent="0.55000000000000004">
      <c r="A56" s="7">
        <v>56</v>
      </c>
      <c r="B56" s="7" t="s">
        <v>266</v>
      </c>
      <c r="C56" s="7">
        <v>6</v>
      </c>
      <c r="D56" s="8"/>
      <c r="E56" s="8"/>
      <c r="F56" s="8" t="s">
        <v>258</v>
      </c>
      <c r="G56" s="8" t="s">
        <v>264</v>
      </c>
      <c r="H56" s="8"/>
      <c r="I56" s="8"/>
      <c r="J56" s="8"/>
      <c r="K56" s="8"/>
      <c r="L56" s="8"/>
      <c r="M56" s="10"/>
      <c r="N56" s="10"/>
      <c r="O56" s="10"/>
      <c r="P56" s="10"/>
    </row>
    <row r="57" spans="1:16" x14ac:dyDescent="0.55000000000000004">
      <c r="A57" s="7"/>
      <c r="B57" s="7"/>
      <c r="C57" s="7"/>
      <c r="D57" s="8"/>
      <c r="E57" s="8"/>
      <c r="F57" s="8"/>
      <c r="G57" s="8"/>
      <c r="H57" s="8"/>
      <c r="I57" s="8"/>
      <c r="J57" s="8"/>
      <c r="K57" s="8"/>
      <c r="L57" s="8"/>
      <c r="M57" s="10"/>
      <c r="N57" s="10"/>
      <c r="O57" s="10"/>
      <c r="P57" s="10"/>
    </row>
    <row r="58" spans="1:16" x14ac:dyDescent="0.55000000000000004">
      <c r="A58" s="7"/>
      <c r="B58" s="7"/>
      <c r="C58" s="7"/>
      <c r="D58" s="8"/>
      <c r="E58" s="8"/>
      <c r="F58" s="8"/>
      <c r="G58" s="8"/>
      <c r="H58" s="8"/>
      <c r="I58" s="8"/>
      <c r="J58" s="8"/>
      <c r="K58" s="8"/>
      <c r="L58" s="8"/>
      <c r="M58" s="10"/>
      <c r="N58" s="10"/>
      <c r="O58" s="10"/>
      <c r="P58" s="10"/>
    </row>
    <row r="59" spans="1:16" x14ac:dyDescent="0.55000000000000004">
      <c r="A59" s="18"/>
      <c r="B59" s="18"/>
      <c r="C59" s="18"/>
      <c r="D59" s="19"/>
      <c r="E59" s="19"/>
      <c r="F59" s="19"/>
      <c r="G59" s="19"/>
      <c r="H59" s="19"/>
      <c r="I59" s="19"/>
      <c r="J59" s="19"/>
      <c r="K59" s="19"/>
      <c r="L59" s="19"/>
      <c r="M59" s="20"/>
      <c r="N59" s="20"/>
      <c r="O59" s="20"/>
      <c r="P59" s="20"/>
    </row>
    <row r="61" spans="1:16" x14ac:dyDescent="0.55000000000000004">
      <c r="A61" t="s">
        <v>111</v>
      </c>
      <c r="D61" t="s">
        <v>110</v>
      </c>
    </row>
    <row r="62" spans="1:16" x14ac:dyDescent="0.55000000000000004">
      <c r="A62">
        <f>MAX(A$2:A$59)</f>
        <v>56</v>
      </c>
      <c r="D62">
        <f>MAX(D$2:D$59)</f>
        <v>11</v>
      </c>
    </row>
    <row r="63" spans="1:16" x14ac:dyDescent="0.55000000000000004">
      <c r="A63" t="s">
        <v>199</v>
      </c>
      <c r="B63" t="s">
        <v>117</v>
      </c>
      <c r="C63" t="s">
        <v>116</v>
      </c>
    </row>
    <row r="64" spans="1:16" x14ac:dyDescent="0.55000000000000004">
      <c r="A64">
        <f>ROW(A60)-ROW(A1)-1</f>
        <v>58</v>
      </c>
      <c r="B64">
        <f>COUNTIF(B$2:B$59,B63)</f>
        <v>16</v>
      </c>
      <c r="C64" s="28">
        <f>_xlfn.MAXIFS(C$2:C$59,$B$2:$B$59,C63)</f>
        <v>16</v>
      </c>
    </row>
    <row r="65" spans="2:16" x14ac:dyDescent="0.55000000000000004">
      <c r="B65" t="s">
        <v>114</v>
      </c>
      <c r="C65" t="s">
        <v>114</v>
      </c>
    </row>
    <row r="66" spans="2:16" x14ac:dyDescent="0.55000000000000004">
      <c r="B66">
        <f>COUNTIF(B$2:B$59,B65)</f>
        <v>22</v>
      </c>
      <c r="C66" s="28">
        <f>_xlfn.MAXIFS(C$2:C$59,$B$2:$B$59,C65)</f>
        <v>19</v>
      </c>
    </row>
    <row r="69" spans="2:16" x14ac:dyDescent="0.55000000000000004">
      <c r="H69" s="2" t="s">
        <v>37</v>
      </c>
      <c r="L69">
        <v>1</v>
      </c>
      <c r="P69" t="s">
        <v>79</v>
      </c>
    </row>
    <row r="70" spans="2:16" x14ac:dyDescent="0.55000000000000004">
      <c r="H70" t="s">
        <v>56</v>
      </c>
      <c r="I70" t="s">
        <v>53</v>
      </c>
      <c r="J70" t="s">
        <v>52</v>
      </c>
      <c r="L70">
        <v>1</v>
      </c>
      <c r="P70" t="s">
        <v>79</v>
      </c>
    </row>
    <row r="72" spans="2:16" x14ac:dyDescent="0.55000000000000004">
      <c r="H72" s="2" t="s">
        <v>38</v>
      </c>
    </row>
    <row r="73" spans="2:16" x14ac:dyDescent="0.55000000000000004">
      <c r="H73" t="s">
        <v>82</v>
      </c>
      <c r="I73" t="s">
        <v>84</v>
      </c>
      <c r="J73" t="s">
        <v>80</v>
      </c>
      <c r="L73">
        <v>1</v>
      </c>
      <c r="P73" t="s">
        <v>79</v>
      </c>
    </row>
    <row r="75" spans="2:16" x14ac:dyDescent="0.55000000000000004">
      <c r="H75" s="2" t="s">
        <v>39</v>
      </c>
    </row>
    <row r="76" spans="2:16" x14ac:dyDescent="0.55000000000000004">
      <c r="H76" t="s">
        <v>83</v>
      </c>
      <c r="I76" t="s">
        <v>84</v>
      </c>
      <c r="J76" t="s">
        <v>81</v>
      </c>
      <c r="L76">
        <v>1</v>
      </c>
      <c r="P76" t="s">
        <v>79</v>
      </c>
    </row>
    <row r="78" spans="2:16" x14ac:dyDescent="0.55000000000000004">
      <c r="H78" s="2" t="s">
        <v>40</v>
      </c>
    </row>
    <row r="79" spans="2:16" x14ac:dyDescent="0.55000000000000004">
      <c r="H79" t="s">
        <v>42</v>
      </c>
      <c r="I79" t="s">
        <v>43</v>
      </c>
      <c r="J79" t="s">
        <v>12</v>
      </c>
      <c r="L79">
        <v>1</v>
      </c>
      <c r="P79" t="s">
        <v>87</v>
      </c>
    </row>
    <row r="80" spans="2:16" x14ac:dyDescent="0.55000000000000004">
      <c r="H80" t="s">
        <v>45</v>
      </c>
      <c r="I80" s="1" t="s">
        <v>54</v>
      </c>
      <c r="J80" t="s">
        <v>44</v>
      </c>
      <c r="L80">
        <v>2</v>
      </c>
      <c r="P80" t="s">
        <v>87</v>
      </c>
    </row>
    <row r="82" spans="8:16" x14ac:dyDescent="0.55000000000000004">
      <c r="H82" s="2" t="s">
        <v>41</v>
      </c>
    </row>
    <row r="83" spans="8:16" x14ac:dyDescent="0.55000000000000004">
      <c r="H83" t="s">
        <v>46</v>
      </c>
      <c r="I83" t="s">
        <v>47</v>
      </c>
      <c r="J83" t="s">
        <v>12</v>
      </c>
      <c r="L83">
        <v>1</v>
      </c>
      <c r="P83" t="s">
        <v>87</v>
      </c>
    </row>
    <row r="84" spans="8:16" x14ac:dyDescent="0.55000000000000004">
      <c r="H84" t="s">
        <v>50</v>
      </c>
      <c r="I84" s="3" t="s">
        <v>48</v>
      </c>
      <c r="J84" t="s">
        <v>49</v>
      </c>
      <c r="L84">
        <v>1</v>
      </c>
      <c r="P84" t="s">
        <v>87</v>
      </c>
    </row>
    <row r="85" spans="8:16" x14ac:dyDescent="0.55000000000000004">
      <c r="H85" t="s">
        <v>51</v>
      </c>
      <c r="I85" t="s">
        <v>55</v>
      </c>
      <c r="J85" t="s">
        <v>4</v>
      </c>
      <c r="L85">
        <v>2</v>
      </c>
      <c r="P85" t="s">
        <v>87</v>
      </c>
    </row>
    <row r="86" spans="8:16" x14ac:dyDescent="0.55000000000000004">
      <c r="H86" t="s">
        <v>85</v>
      </c>
      <c r="I86" t="s">
        <v>86</v>
      </c>
      <c r="J86" t="s">
        <v>88</v>
      </c>
      <c r="L86">
        <v>1</v>
      </c>
      <c r="P86" t="s">
        <v>87</v>
      </c>
    </row>
  </sheetData>
  <autoFilter ref="A1:P50" xr:uid="{48D32264-F25D-40E9-9C76-26E43E79C8CC}">
    <sortState xmlns:xlrd2="http://schemas.microsoft.com/office/spreadsheetml/2017/richdata2" ref="A2:P50">
      <sortCondition ref="B1:B50"/>
    </sortState>
  </autoFilter>
  <phoneticPr fontId="1"/>
  <conditionalFormatting sqref="A2:P59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workbookViewId="0">
      <pane xSplit="6" ySplit="2" topLeftCell="G9" activePane="bottomRight" state="frozen"/>
      <selection activeCell="I12" sqref="I12"/>
      <selection pane="topRight" activeCell="I12" sqref="I12"/>
      <selection pane="bottomLeft" activeCell="I12" sqref="I12"/>
      <selection pane="bottomRight" activeCell="I21" sqref="I21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233</v>
      </c>
      <c r="J1" t="s">
        <v>229</v>
      </c>
      <c r="L1" t="s">
        <v>230</v>
      </c>
      <c r="N1" t="s">
        <v>231</v>
      </c>
      <c r="P1" t="s">
        <v>232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3" customFormat="1" x14ac:dyDescent="0.55000000000000004">
      <c r="A2" s="33" t="s">
        <v>214</v>
      </c>
      <c r="E2" s="33" t="s">
        <v>219</v>
      </c>
      <c r="F2" s="33" t="s">
        <v>102</v>
      </c>
      <c r="G2" s="33" t="s">
        <v>198</v>
      </c>
      <c r="H2" s="33" t="s">
        <v>218</v>
      </c>
      <c r="J2" s="33" t="s">
        <v>190</v>
      </c>
      <c r="L2" s="33" t="s">
        <v>191</v>
      </c>
      <c r="N2" s="33" t="s">
        <v>201</v>
      </c>
      <c r="P2" s="33" t="s">
        <v>220</v>
      </c>
      <c r="X2" s="33" t="s">
        <v>202</v>
      </c>
      <c r="Y2" s="33" t="s">
        <v>193</v>
      </c>
      <c r="Z2" s="33" t="s">
        <v>194</v>
      </c>
      <c r="AA2" s="33" t="s">
        <v>195</v>
      </c>
      <c r="AB2" s="33" t="s">
        <v>196</v>
      </c>
      <c r="AC2" s="33" t="s">
        <v>197</v>
      </c>
      <c r="AD2" s="33" t="s">
        <v>196</v>
      </c>
      <c r="AE2" s="33" t="s">
        <v>204</v>
      </c>
      <c r="AF2" s="33" t="s">
        <v>205</v>
      </c>
      <c r="AG2" s="33" t="s">
        <v>228</v>
      </c>
      <c r="AH2" s="33" t="s">
        <v>205</v>
      </c>
      <c r="AI2" s="33" t="s">
        <v>216</v>
      </c>
      <c r="AJ2" s="33" t="s">
        <v>217</v>
      </c>
      <c r="AK2" s="33" t="s">
        <v>213</v>
      </c>
    </row>
    <row r="3" spans="1:37" x14ac:dyDescent="0.55000000000000004">
      <c r="A3" t="s">
        <v>185</v>
      </c>
      <c r="B3" t="str" cm="1">
        <f t="array" aca="1" ref="B3" ca="1">CELL("filename")</f>
        <v>C:\tk\prj\hg-0025-0016\git\vt5-w10\[TP_メッセージ.xlsx]Sheet1</v>
      </c>
      <c r="E3" t="s">
        <v>117</v>
      </c>
      <c r="F3">
        <f>COUNTIF(E$3:E3,E3)</f>
        <v>1</v>
      </c>
      <c r="H3" cm="1">
        <f t="array" ref="H3:H202">IFERROR(MATCH($E$3:$E$202&amp;$F$3:$F$202,info_index!$B$2:$B$59&amp;info_index!$C$2:$C$59,0),"")</f>
        <v>1</v>
      </c>
      <c r="I3" t="str" cm="1">
        <f t="array" aca="1" ref="I3:I202" ca="1">IF(LEN(_xlfn.ANCHORARRAY(H3)),INDEX(OFFSET(info_index!$F$2:$F$59,0,$B$23),MATCH($E$3:$E$202&amp;$F$3:$F$202,info_index!$B$2:$B$59&amp;info_index!$C$2:$C$59,0)&amp;"",1),"")</f>
        <v>Foil wax reel shaft</v>
      </c>
      <c r="J3" t="str" cm="1">
        <f t="array" aca="1" ref="J3:J202" ca="1">IF(LEN(_xlfn.ANCHORARRAY($H3)),IF(LEN(_xlfn.ANCHORARRAY(I3)),_xlfn.ANCHORARRAY(I3),"unknown"),"")</f>
        <v>Foil wax reel shaft</v>
      </c>
      <c r="L3" t="str" cm="1">
        <f t="array" aca="1" ref="L3:L202" ca="1">IF(LEN(_xlfn.ANCHORARRAY(J3)),"【"&amp;E3:E202&amp;F3:F202&amp;"】 "&amp;_xlfn.ANCHORARRAY(J3),"")</f>
        <v>【axis1】 Foil wax reel shaft</v>
      </c>
      <c r="M3" t="str" cm="1">
        <f t="array" ref="M3:M202">IFERROR(INDEX(info_index!$H$2:$H$59,MATCH($E$3:$E$202&amp;$F$3:$F$202,info_index!$B$2:$B$59&amp;info_index!$C$2:$C$59,0),1)&amp;"","")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IF(LEN(_xlfn.ANCHORARRAY(H3)),INDEX(OFFSET(info_index!$J$2:$J$59,0,$B$23),MATCH($E$3:$E$202&amp;$F$3:$F$202,info_index!$B$2:$B$59&amp;info_index!$C$2:$C$59,0),1)&amp;"","")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//Foil wax reel shaft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//Foil wax reel shaft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//Foil wax reel shaft
	IF uiInfoIdx = 1 THEN
		IF strInfoKey = 'name' THEN
			strRt	:= 'Foil wax reel shaft';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//Foil wax reel shaft
	IF uiInfoIdx = 1 THEN
		IF strInfoKey = 'name' THEN
			strRt	:= 'Foil wax reel shaft';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//Foil wax reel shaft
	IF uiInfoIdx = 1 THEN
		IF strInfoKey = 'name' THEN
			strRt	:= 'Foil wax reel shaft';
		ELSIF strInfoKey = 'index_name' THEN
			strRt	:= '【axis1】 Foil wax reel shaft';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Flat sheet feed shaft</v>
      </c>
      <c r="J4" t="str">
        <f ca="1"/>
        <v>Flat sheet feed shaft</v>
      </c>
      <c r="L4" t="str">
        <f ca="1"/>
        <v>【axis2】 Flat sheet feed shaft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//Flat sheet feed shaft
	ELSIF uiInfoIdx = 2 THEN</v>
      </c>
      <c r="AA4" t="str">
        <f ca="1"/>
        <v xml:space="preserve">
	//Flat sheet feed shaft
	ELSIF uiInfoIdx = 2 THEN
		IF strInfoKey = 'name' THEN</v>
      </c>
      <c r="AB4" t="str">
        <f ca="1"/>
        <v xml:space="preserve">
	//Flat sheet feed shaft
	ELSIF uiInfoIdx = 2 THEN
		IF strInfoKey = 'name' THEN
			strRt	:= 'Flat sheet feed shaft';</v>
      </c>
      <c r="AC4" t="str">
        <f ca="1"/>
        <v xml:space="preserve">
	//Flat sheet feed shaft
	ELSIF uiInfoIdx = 2 THEN
		IF strInfoKey = 'name' THEN
			strRt	:= 'Flat sheet feed shaft';
		ELSIF strInfoKey = 'index_name' THEN</v>
      </c>
      <c r="AD4" t="str">
        <f ca="1"/>
        <v xml:space="preserve">
	//Flat sheet feed shaft
	ELSIF uiInfoIdx = 2 THEN
		IF strInfoKey = 'name' THEN
			strRt	:= 'Flat sheet feed shaft';
		ELSIF strInfoKey = 'index_name' THEN
			strRt	:= '【axis2】 Flat sheet feed shaft';</v>
      </c>
      <c r="AE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</v>
      </c>
      <c r="AF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</v>
      </c>
      <c r="AG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</v>
      </c>
      <c r="AH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</v>
      </c>
      <c r="AI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J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K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182</v>
      </c>
      <c r="B5" t="str">
        <f ca="1">"このスクリプトは "&amp;B3&amp;" によって生成されました。"</f>
        <v>このスクリプトは C:\tk\prj\hg-0025-0016\git\vt5-w10\[TP_メッセージ.xlsx]Sheet1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Foil wax feed shaft</v>
      </c>
      <c r="J5" t="str">
        <f ca="1"/>
        <v>Foil wax feed shaft</v>
      </c>
      <c r="L5" t="str">
        <f ca="1"/>
        <v>【axis3】 Foil wax feed shaft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//Foil wax feed shaft
	ELSIF uiInfoIdx = 3 THEN</v>
      </c>
      <c r="AA5" t="str">
        <f ca="1"/>
        <v xml:space="preserve">
	//Foil wax feed shaft
	ELSIF uiInfoIdx = 3 THEN
		IF strInfoKey = 'name' THEN</v>
      </c>
      <c r="AB5" t="str">
        <f ca="1"/>
        <v xml:space="preserve">
	//Foil wax feed shaft
	ELSIF uiInfoIdx = 3 THEN
		IF strInfoKey = 'name' THEN
			strRt	:= 'Foil wax feed shaft';</v>
      </c>
      <c r="AC5" t="str">
        <f ca="1"/>
        <v xml:space="preserve">
	//Foil wax feed shaft
	ELSIF uiInfoIdx = 3 THEN
		IF strInfoKey = 'name' THEN
			strRt	:= 'Foil wax feed shaft';
		ELSIF strInfoKey = 'index_name' THEN</v>
      </c>
      <c r="AD5" t="str">
        <f ca="1"/>
        <v xml:space="preserve">
	//Foil wax feed shaft
	ELSIF uiInfoIdx = 3 THEN
		IF strInfoKey = 'name' THEN
			strRt	:= 'Foil wax feed shaft';
		ELSIF strInfoKey = 'index_name' THEN
			strRt	:= '【axis3】 Foil wax feed shaft';</v>
      </c>
      <c r="AE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</v>
      </c>
      <c r="AF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</v>
      </c>
      <c r="AG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</v>
      </c>
      <c r="AH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</v>
      </c>
      <c r="AI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J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K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183</v>
      </c>
      <c r="B6" t="s">
        <v>184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Corrugated sheet feed</v>
      </c>
      <c r="J6" t="str">
        <f ca="1"/>
        <v>Corrugated sheet feed</v>
      </c>
      <c r="L6" t="str">
        <f ca="1"/>
        <v>【axis4】 Corrugated sheet feed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//Corrugated sheet feed
	ELSIF uiInfoIdx = 4 THEN</v>
      </c>
      <c r="AA6" t="str">
        <f ca="1"/>
        <v xml:space="preserve">
	//Corrugated sheet feed
	ELSIF uiInfoIdx = 4 THEN
		IF strInfoKey = 'name' THEN</v>
      </c>
      <c r="AB6" t="str">
        <f ca="1"/>
        <v xml:space="preserve">
	//Corrugated sheet feed
	ELSIF uiInfoIdx = 4 THEN
		IF strInfoKey = 'name' THEN
			strRt	:= 'Corrugated sheet feed';</v>
      </c>
      <c r="AC6" t="str">
        <f ca="1"/>
        <v xml:space="preserve">
	//Corrugated sheet feed
	ELSIF uiInfoIdx = 4 THEN
		IF strInfoKey = 'name' THEN
			strRt	:= 'Corrugated sheet feed';
		ELSIF strInfoKey = 'index_name' THEN</v>
      </c>
      <c r="AD6" t="str">
        <f ca="1"/>
        <v xml:space="preserve">
	//Corrugated sheet feed
	ELSIF uiInfoIdx = 4 THEN
		IF strInfoKey = 'name' THEN
			strRt	:= 'Corrugated sheet feed';
		ELSIF strInfoKey = 'index_name' THEN
			strRt	:= '【axis4】 Corrugated sheet feed';</v>
      </c>
      <c r="AE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</v>
      </c>
      <c r="AF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</v>
      </c>
      <c r="AG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</v>
      </c>
      <c r="AH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</v>
      </c>
      <c r="AI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J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K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176</v>
      </c>
      <c r="B7" t="s">
        <v>177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Workpiece discharge up/down shaft</v>
      </c>
      <c r="J7" t="str">
        <f ca="1"/>
        <v>Workpiece discharge up/down shaft</v>
      </c>
      <c r="L7" t="str">
        <f ca="1"/>
        <v>【axis5】 Workpiece discharge up/down shaft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//Workpiece discharge up/down shaft
	ELSIF uiInfoIdx = 5 THEN</v>
      </c>
      <c r="AA7" t="str">
        <f ca="1"/>
        <v xml:space="preserve">
	//Workpiece discharge up/down shaft
	ELSIF uiInfoIdx = 5 THEN
		IF strInfoKey = 'name' THEN</v>
      </c>
      <c r="AB7" t="str">
        <f ca="1"/>
        <v xml:space="preserve">
	//Workpiece discharge up/down shaft
	ELSIF uiInfoIdx = 5 THEN
		IF strInfoKey = 'name' THEN
			strRt	:= 'Workpiece discharge up/down shaft';</v>
      </c>
      <c r="AC7" t="str">
        <f ca="1"/>
        <v xml:space="preserve">
	//Workpiece discharge up/down shaft
	ELSIF uiInfoIdx = 5 THEN
		IF strInfoKey = 'name' THEN
			strRt	:= 'Workpiece discharge up/down shaft';
		ELSIF strInfoKey = 'index_name' THEN</v>
      </c>
      <c r="AD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</v>
      </c>
      <c r="AE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</v>
      </c>
      <c r="AF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</v>
      </c>
      <c r="AG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</v>
      </c>
      <c r="AH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</v>
      </c>
      <c r="AI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J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K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178</v>
      </c>
      <c r="B8" t="s">
        <v>179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Circumference measuring probe up/down shaft</v>
      </c>
      <c r="J8" t="str">
        <f ca="1"/>
        <v>Circumference measuring probe up/down shaft</v>
      </c>
      <c r="L8" t="str">
        <f ca="1"/>
        <v>【axis6】 Circumference measuring probe up/down shaft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//Circumference measuring probe up/down shaft
	ELSIF uiInfoIdx = 6 THEN</v>
      </c>
      <c r="AA8" t="str">
        <f ca="1"/>
        <v xml:space="preserve">
	//Circumference measuring probe up/down shaft
	ELSIF uiInfoIdx = 6 THEN
		IF strInfoKey = 'name' THEN</v>
      </c>
      <c r="AB8" t="str">
        <f ca="1"/>
        <v xml:space="preserve">
	//Circumference measuring probe up/down shaft
	ELSIF uiInfoIdx = 6 THEN
		IF strInfoKey = 'name' THEN
			strRt	:= 'Circumference measuring probe up/down shaft';</v>
      </c>
      <c r="AC8" t="str">
        <f ca="1"/>
        <v xml:space="preserve">
	//Circumference measuring probe up/down shaft
	ELSIF uiInfoIdx = 6 THEN
		IF strInfoKey = 'name' THEN
			strRt	:= 'Circumference measuring probe up/down shaft';
		ELSIF strInfoKey = 'index_name' THEN</v>
      </c>
      <c r="AD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</v>
      </c>
      <c r="AE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</v>
      </c>
      <c r="AF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</v>
      </c>
      <c r="AG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</v>
      </c>
      <c r="AH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</v>
      </c>
      <c r="AI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J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K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180</v>
      </c>
      <c r="B9" t="s">
        <v>181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Workpiece (discharge) chuck shaft</v>
      </c>
      <c r="J9" t="str">
        <f ca="1"/>
        <v>Workpiece (discharge) chuck shaft</v>
      </c>
      <c r="L9" t="str">
        <f ca="1"/>
        <v>【axis7】 Workpiece (discharge) chuck shaft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//Workpiece (discharge) chuck shaft
	ELSIF uiInfoIdx = 7 THEN</v>
      </c>
      <c r="AA9" t="str">
        <f ca="1"/>
        <v xml:space="preserve">
	//Workpiece (discharge) chuck shaft
	ELSIF uiInfoIdx = 7 THEN
		IF strInfoKey = 'name' THEN</v>
      </c>
      <c r="AB9" t="str">
        <f ca="1"/>
        <v xml:space="preserve">
	//Workpiece (discharge) chuck shaft
	ELSIF uiInfoIdx = 7 THEN
		IF strInfoKey = 'name' THEN
			strRt	:= 'Workpiece (discharge) chuck shaft';</v>
      </c>
      <c r="AC9" t="str">
        <f ca="1"/>
        <v xml:space="preserve">
	//Workpiece (discharge) chuck shaft
	ELSIF uiInfoIdx = 7 THEN
		IF strInfoKey = 'name' THEN
			strRt	:= 'Workpiece (discharge) chuck shaft';
		ELSIF strInfoKey = 'index_name' THEN</v>
      </c>
      <c r="AD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</v>
      </c>
      <c r="AE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</v>
      </c>
      <c r="AF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</v>
      </c>
      <c r="AG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</v>
      </c>
      <c r="AH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</v>
      </c>
      <c r="AI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J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K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Welding torch forward/backward</v>
      </c>
      <c r="J10" t="str">
        <f ca="1"/>
        <v>Welding torch forward/backward</v>
      </c>
      <c r="L10" t="str">
        <f ca="1"/>
        <v>【axis8】 Welding torch forward/backward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//Welding torch forward/backward
	ELSIF uiInfoIdx = 8 THEN</v>
      </c>
      <c r="AA10" t="str">
        <f ca="1"/>
        <v xml:space="preserve">
	//Welding torch forward/backward
	ELSIF uiInfoIdx = 8 THEN
		IF strInfoKey = 'name' THEN</v>
      </c>
      <c r="AB10" t="str">
        <f ca="1"/>
        <v xml:space="preserve">
	//Welding torch forward/backward
	ELSIF uiInfoIdx = 8 THEN
		IF strInfoKey = 'name' THEN
			strRt	:= 'Welding torch forward/backward';</v>
      </c>
      <c r="AC10" t="str">
        <f ca="1"/>
        <v xml:space="preserve">
	//Welding torch forward/backward
	ELSIF uiInfoIdx = 8 THEN
		IF strInfoKey = 'name' THEN
			strRt	:= 'Welding torch forward/backward';
		ELSIF strInfoKey = 'index_name' THEN</v>
      </c>
      <c r="AD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</v>
      </c>
      <c r="AE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</v>
      </c>
      <c r="AF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</v>
      </c>
      <c r="AG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</v>
      </c>
      <c r="AH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</v>
      </c>
      <c r="AI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Welding torch up/down</v>
      </c>
      <c r="J11" t="str">
        <f ca="1"/>
        <v>Welding torch up/down</v>
      </c>
      <c r="L11" t="str">
        <f ca="1"/>
        <v>【axis9】 Welding torch up/down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//Welding torch up/down
	ELSIF uiInfoIdx = 9 THEN</v>
      </c>
      <c r="AA11" t="str">
        <f ca="1"/>
        <v xml:space="preserve">
	//Welding torch up/down
	ELSIF uiInfoIdx = 9 THEN
		IF strInfoKey = 'name' THEN</v>
      </c>
      <c r="AB11" t="str">
        <f ca="1"/>
        <v xml:space="preserve">
	//Welding torch up/down
	ELSIF uiInfoIdx = 9 THEN
		IF strInfoKey = 'name' THEN
			strRt	:= 'Welding torch up/down';</v>
      </c>
      <c r="AC11" t="str">
        <f ca="1"/>
        <v xml:space="preserve">
	//Welding torch up/down
	ELSIF uiInfoIdx = 9 THEN
		IF strInfoKey = 'name' THEN
			strRt	:= 'Welding torch up/down';
		ELSIF strInfoKey = 'index_name' THEN</v>
      </c>
      <c r="AD11" t="str">
        <f ca="1"/>
        <v xml:space="preserve">
	//Welding torch up/down
	ELSIF uiInfoIdx = 9 THEN
		IF strInfoKey = 'name' THEN
			strRt	:= 'Welding torch up/down';
		ELSIF strInfoKey = 'index_name' THEN
			strRt	:= '【axis9】 Welding torch up/down';</v>
      </c>
      <c r="AE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</v>
      </c>
      <c r="AF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</v>
      </c>
      <c r="AG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</v>
      </c>
      <c r="AH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</v>
      </c>
      <c r="AI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Binder supply pump motor</v>
      </c>
      <c r="J12" t="str">
        <f ca="1"/>
        <v>Binder supply pump motor</v>
      </c>
      <c r="L12" t="str">
        <f ca="1"/>
        <v>【axis10】 Binder supply pump motor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//Binder supply pump motor
	ELSIF uiInfoIdx = 10 THEN</v>
      </c>
      <c r="AA12" t="str">
        <f ca="1"/>
        <v xml:space="preserve">
	//Binder supply pump motor
	ELSIF uiInfoIdx = 10 THEN
		IF strInfoKey = 'name' THEN</v>
      </c>
      <c r="AB12" t="str">
        <f ca="1"/>
        <v xml:space="preserve">
	//Binder supply pump motor
	ELSIF uiInfoIdx = 10 THEN
		IF strInfoKey = 'name' THEN
			strRt	:= 'Binder supply pump motor';</v>
      </c>
      <c r="AC12" t="str">
        <f ca="1"/>
        <v xml:space="preserve">
	//Binder supply pump motor
	ELSIF uiInfoIdx = 10 THEN
		IF strInfoKey = 'name' THEN
			strRt	:= 'Binder supply pump motor';
		ELSIF strInfoKey = 'index_name' THEN</v>
      </c>
      <c r="AD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</v>
      </c>
      <c r="AE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</v>
      </c>
      <c r="AF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</v>
      </c>
      <c r="AG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</v>
      </c>
      <c r="AH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</v>
      </c>
      <c r="AI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J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K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186</v>
      </c>
      <c r="B13" t="str">
        <f ca="1">$AK$205</f>
        <v>//このスクリプトは C:\tk\prj\hg-0025-0016\git\vt5-w10\[TP_メッセージ.xlsx]Sheet1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ELSE
		uiErrCode	:= 2;
	END_IF;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Corrugated sheet reel motor</v>
      </c>
      <c r="J13" t="str">
        <f ca="1"/>
        <v>Corrugated sheet reel motor</v>
      </c>
      <c r="L13" t="str">
        <f ca="1"/>
        <v>【axis11】 Corrugated sheet reel motor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//Corrugated sheet reel motor
	ELSIF uiInfoIdx = 11 THEN</v>
      </c>
      <c r="AA13" t="str">
        <f ca="1"/>
        <v xml:space="preserve">
	//Corrugated sheet reel motor
	ELSIF uiInfoIdx = 11 THEN
		IF strInfoKey = 'name' THEN</v>
      </c>
      <c r="AB13" t="str">
        <f ca="1"/>
        <v xml:space="preserve">
	//Corrugated sheet reel motor
	ELSIF uiInfoIdx = 11 THEN
		IF strInfoKey = 'name' THEN
			strRt	:= 'Corrugated sheet reel motor';</v>
      </c>
      <c r="AC13" t="str">
        <f ca="1"/>
        <v xml:space="preserve">
	//Corrugated sheet reel motor
	ELSIF uiInfoIdx = 11 THEN
		IF strInfoKey = 'name' THEN
			strRt	:= 'Corrugated sheet reel motor';
		ELSIF strInfoKey = 'index_name' THEN</v>
      </c>
      <c r="AD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</v>
      </c>
      <c r="AE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</v>
      </c>
      <c r="AF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</v>
      </c>
      <c r="AG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</v>
      </c>
      <c r="AH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</v>
      </c>
      <c r="AI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J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K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234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Flat sheet reel motor</v>
      </c>
      <c r="J14" t="str">
        <f ca="1"/>
        <v>Flat sheet reel motor</v>
      </c>
      <c r="L14" t="str">
        <f ca="1"/>
        <v>【axis12】 Flat sheet reel motor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//Flat sheet reel motor
	ELSIF uiInfoIdx = 12 THEN</v>
      </c>
      <c r="AA14" t="str">
        <f ca="1"/>
        <v xml:space="preserve">
	//Flat sheet reel motor
	ELSIF uiInfoIdx = 12 THEN
		IF strInfoKey = 'name' THEN</v>
      </c>
      <c r="AB14" t="str">
        <f ca="1"/>
        <v xml:space="preserve">
	//Flat sheet reel motor
	ELSIF uiInfoIdx = 12 THEN
		IF strInfoKey = 'name' THEN
			strRt	:= 'Flat sheet reel motor';</v>
      </c>
      <c r="AC14" t="str">
        <f ca="1"/>
        <v xml:space="preserve">
	//Flat sheet reel motor
	ELSIF uiInfoIdx = 12 THEN
		IF strInfoKey = 'name' THEN
			strRt	:= 'Flat sheet reel motor';
		ELSIF strInfoKey = 'index_name' THEN</v>
      </c>
      <c r="AD14" t="str">
        <f ca="1"/>
        <v xml:space="preserve">
	//Flat sheet reel motor
	ELSIF uiInfoIdx = 12 THEN
		IF strInfoKey = 'name' THEN
			strRt	:= 'Flat sheet reel motor';
		ELSIF strInfoKey = 'index_name' THEN
			strRt	:= '【axis12】 Flat sheet reel motor';</v>
      </c>
      <c r="AE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</v>
      </c>
      <c r="AF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</v>
      </c>
      <c r="AG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</v>
      </c>
      <c r="AH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</v>
      </c>
      <c r="AI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J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K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Winding main shaft</v>
      </c>
      <c r="J15" t="str">
        <f ca="1"/>
        <v>Winding main shaft</v>
      </c>
      <c r="L15" t="str">
        <f ca="1"/>
        <v>【axis13】 Winding main shaft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//Winding main shaft
	ELSIF uiInfoIdx = 13 THEN</v>
      </c>
      <c r="AA15" t="str">
        <f ca="1"/>
        <v xml:space="preserve">
	//Winding main shaft
	ELSIF uiInfoIdx = 13 THEN
		IF strInfoKey = 'name' THEN</v>
      </c>
      <c r="AB15" t="str">
        <f ca="1"/>
        <v xml:space="preserve">
	//Winding main shaft
	ELSIF uiInfoIdx = 13 THEN
		IF strInfoKey = 'name' THEN
			strRt	:= 'Winding main shaft';</v>
      </c>
      <c r="AC15" t="str">
        <f ca="1"/>
        <v xml:space="preserve">
	//Winding main shaft
	ELSIF uiInfoIdx = 13 THEN
		IF strInfoKey = 'name' THEN
			strRt	:= 'Winding main shaft';
		ELSIF strInfoKey = 'index_name' THEN</v>
      </c>
      <c r="AD15" t="str">
        <f ca="1"/>
        <v xml:space="preserve">
	//Winding main shaft
	ELSIF uiInfoIdx = 13 THEN
		IF strInfoKey = 'name' THEN
			strRt	:= 'Winding main shaft';
		ELSIF strInfoKey = 'index_name' THEN
			strRt	:= '【axis13】 Winding main shaft';</v>
      </c>
      <c r="AE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</v>
      </c>
      <c r="AF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</v>
      </c>
      <c r="AG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</v>
      </c>
      <c r="AH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</v>
      </c>
      <c r="AI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J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K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Workpiece width adjustment shaft</v>
      </c>
      <c r="J16" t="str">
        <f ca="1"/>
        <v>Workpiece width adjustment shaft</v>
      </c>
      <c r="L16" t="str">
        <f ca="1"/>
        <v>【axis14】 Workpiece width adjustment shaft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//Workpiece width adjustment shaft
	ELSIF uiInfoIdx = 14 THEN</v>
      </c>
      <c r="AA16" t="str">
        <f ca="1"/>
        <v xml:space="preserve">
	//Workpiece width adjustment shaft
	ELSIF uiInfoIdx = 14 THEN
		IF strInfoKey = 'name' THEN</v>
      </c>
      <c r="AB16" t="str">
        <f ca="1"/>
        <v xml:space="preserve">
	//Workpiece width adjustment shaft
	ELSIF uiInfoIdx = 14 THEN
		IF strInfoKey = 'name' THEN
			strRt	:= 'Workpiece width adjustment shaft';</v>
      </c>
      <c r="AC16" t="str">
        <f ca="1"/>
        <v xml:space="preserve">
	//Workpiece width adjustment shaft
	ELSIF uiInfoIdx = 14 THEN
		IF strInfoKey = 'name' THEN
			strRt	:= 'Workpiece width adjustment shaft';
		ELSIF strInfoKey = 'index_name' THEN</v>
      </c>
      <c r="AD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</v>
      </c>
      <c r="AE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</v>
      </c>
      <c r="AF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</v>
      </c>
      <c r="AG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</v>
      </c>
      <c r="AH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</v>
      </c>
      <c r="AI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J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K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T-roll rotation shaft</v>
      </c>
      <c r="J17" t="str">
        <f ca="1"/>
        <v>T-roll rotation shaft</v>
      </c>
      <c r="L17" t="str">
        <f ca="1"/>
        <v>【axis15】 T-roll rotation shaft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//T-roll rotation shaft
	ELSIF uiInfoIdx = 15 THEN</v>
      </c>
      <c r="AA17" t="str">
        <f ca="1"/>
        <v xml:space="preserve">
	//T-roll rotation shaft
	ELSIF uiInfoIdx = 15 THEN
		IF strInfoKey = 'name' THEN</v>
      </c>
      <c r="AB17" t="str">
        <f ca="1"/>
        <v xml:space="preserve">
	//T-roll rotation shaft
	ELSIF uiInfoIdx = 15 THEN
		IF strInfoKey = 'name' THEN
			strRt	:= 'T-roll rotation shaft';</v>
      </c>
      <c r="AC17" t="str">
        <f ca="1"/>
        <v xml:space="preserve">
	//T-roll rotation shaft
	ELSIF uiInfoIdx = 15 THEN
		IF strInfoKey = 'name' THEN
			strRt	:= 'T-roll rotation shaft';
		ELSIF strInfoKey = 'index_name' THEN</v>
      </c>
      <c r="AD17" t="str">
        <f ca="1"/>
        <v xml:space="preserve">
	//T-roll rotation shaft
	ELSIF uiInfoIdx = 15 THEN
		IF strInfoKey = 'name' THEN
			strRt	:= 'T-roll rotation shaft';
		ELSIF strInfoKey = 'index_name' THEN
			strRt	:= '【axis15】 T-roll rotation shaft';</v>
      </c>
      <c r="AE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</v>
      </c>
      <c r="AF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</v>
      </c>
      <c r="AG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</v>
      </c>
      <c r="AH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</v>
      </c>
      <c r="AI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  <c r="AJ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  <c r="AK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Rotor unit X-roll rotation shaft</v>
      </c>
      <c r="J18" t="str">
        <f ca="1"/>
        <v>Rotor unit X-roll rotation shaft</v>
      </c>
      <c r="L18" t="str">
        <f ca="1"/>
        <v>【axis16】 Rotor unit X-roll rotation shaft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//Rotor unit X-roll rotation shaft
	ELSIF uiInfoIdx = 16 THEN</v>
      </c>
      <c r="AA18" t="str">
        <f ca="1"/>
        <v xml:space="preserve">
	//Rotor unit X-roll rotation shaft
	ELSIF uiInfoIdx = 16 THEN
		IF strInfoKey = 'name' THEN</v>
      </c>
      <c r="AB18" t="str">
        <f ca="1"/>
        <v xml:space="preserve">
	//Rotor unit X-roll rotation shaft
	ELSIF uiInfoIdx = 16 THEN
		IF strInfoKey = 'name' THEN
			strRt	:= 'Rotor unit X-roll rotation shaft';</v>
      </c>
      <c r="AC18" t="str">
        <f ca="1"/>
        <v xml:space="preserve">
	//Rotor unit X-roll rotation shaft
	ELSIF uiInfoIdx = 16 THEN
		IF strInfoKey = 'name' THEN
			strRt	:= 'Rotor unit X-roll rotation shaft';
		ELSIF strInfoKey = 'index_name' THEN</v>
      </c>
      <c r="AD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</v>
      </c>
      <c r="AE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</v>
      </c>
      <c r="AF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</v>
      </c>
      <c r="AG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</v>
      </c>
      <c r="AH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</v>
      </c>
      <c r="AI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  <c r="AJ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  <c r="AK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 t="str">
        <v/>
      </c>
      <c r="I19" t="str">
        <f ca="1"/>
        <v/>
      </c>
      <c r="J19" t="str">
        <f ca="1"/>
        <v/>
      </c>
      <c r="L19" t="str">
        <f ca="1"/>
        <v/>
      </c>
      <c r="M19" t="str">
        <v/>
      </c>
      <c r="N19" t="str">
        <v/>
      </c>
      <c r="O19" t="str">
        <f ca="1"/>
        <v/>
      </c>
      <c r="P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200</v>
      </c>
      <c r="B23">
        <v>1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192</v>
      </c>
      <c r="B25" t="s">
        <v>235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188</v>
      </c>
      <c r="B26" t="s">
        <v>236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189</v>
      </c>
      <c r="B27" t="s">
        <v>237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187</v>
      </c>
      <c r="B28" t="s">
        <v>245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215</v>
      </c>
      <c r="B29" t="s">
        <v>246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122</v>
      </c>
      <c r="F43">
        <f>COUNTIF(E$3:E43,E43)</f>
        <v>1</v>
      </c>
      <c r="G43" t="str">
        <v/>
      </c>
      <c r="H43">
        <v>39</v>
      </c>
      <c r="I43" t="str">
        <f ca="1"/>
        <v>Workpiece discharge front and rear axis</v>
      </c>
      <c r="J43" t="str">
        <f ca="1"/>
        <v>Workpiece discharge front and rear axis</v>
      </c>
      <c r="L43" t="str">
        <f ca="1"/>
        <v>【EC1】 Workpiece discharge front and rear axis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//Workpiece discharge front and rear axis
	IF uiInfoIdx = 1 THEN</v>
      </c>
      <c r="AA43" t="str">
        <f ca="1"/>
        <v xml:space="preserve">
//EC
ELSIF strInfoType = 'EC' THEN
	//Workpiece discharge front and rear axis
	IF uiInfoIdx = 1 THEN
		IF strInfoKey = 'name' THEN</v>
      </c>
      <c r="AB43" t="str">
        <f ca="1"/>
        <v xml:space="preserve">
//EC
ELSIF strInfoType = 'EC' THEN
	//Workpiece discharge front and rear axis
	IF uiInfoIdx = 1 THEN
		IF strInfoKey = 'name' THEN
			strRt	:= 'Workpiece discharge front and rear axis';</v>
      </c>
      <c r="AC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</v>
      </c>
      <c r="AD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</v>
      </c>
      <c r="AE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</v>
      </c>
      <c r="AF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</v>
      </c>
      <c r="AG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</v>
      </c>
      <c r="AH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</v>
      </c>
      <c r="AI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17</v>
      </c>
      <c r="I63" t="str">
        <f ca="1"/>
        <v>Winding shaft center forward/backward</v>
      </c>
      <c r="J63" t="str">
        <f ca="1"/>
        <v>Winding shaft center forward/backward</v>
      </c>
      <c r="L63" t="str">
        <f ca="1"/>
        <v>【cylinder1】 Winding shaft center forward/backward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//Winding shaft center forward/backward
	IF uiInfoIdx = 1 THEN</v>
      </c>
      <c r="AA63" t="str">
        <f ca="1"/>
        <v xml:space="preserve">
//cylinder
ELSIF strInfoType = 'cylinder' THEN
	//Winding shaft center forward/backward
	IF uiInfoIdx = 1 THEN
		IF strInfoKey = 'name' THEN</v>
      </c>
      <c r="AB63" t="str">
        <f ca="1"/>
        <v xml:space="preserve">
//cylinder
ELSIF strInfoType = 'cylinder' THEN
	//Winding shaft center forward/backward
	IF uiInfoIdx = 1 THEN
		IF strInfoKey = 'name' THEN
			strRt	:= 'Winding shaft center forward/backward';</v>
      </c>
      <c r="AC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</v>
      </c>
      <c r="AD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</v>
      </c>
      <c r="AE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</v>
      </c>
      <c r="AF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</v>
      </c>
      <c r="AG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</v>
      </c>
      <c r="AH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</v>
      </c>
      <c r="AI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18</v>
      </c>
      <c r="I64" t="str">
        <f ca="1"/>
        <v>T-roll gluing ①</v>
      </c>
      <c r="J64" t="str">
        <f ca="1"/>
        <v>T-roll gluing ①</v>
      </c>
      <c r="L64" t="str">
        <f ca="1"/>
        <v>【cylinder2】 T-roll gluing ①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//T-roll gluing ①
	ELSIF uiInfoIdx = 2 THEN</v>
      </c>
      <c r="AA64" t="str">
        <f ca="1"/>
        <v xml:space="preserve">
	//T-roll gluing ①
	ELSIF uiInfoIdx = 2 THEN
		IF strInfoKey = 'name' THEN</v>
      </c>
      <c r="AB64" t="str">
        <f ca="1"/>
        <v xml:space="preserve">
	//T-roll gluing ①
	ELSIF uiInfoIdx = 2 THEN
		IF strInfoKey = 'name' THEN
			strRt	:= 'T-roll gluing ①';</v>
      </c>
      <c r="AC64" t="str">
        <f ca="1"/>
        <v xml:space="preserve">
	//T-roll gluing ①
	ELSIF uiInfoIdx = 2 THEN
		IF strInfoKey = 'name' THEN
			strRt	:= 'T-roll gluing ①';
		ELSIF strInfoKey = 'index_name' THEN</v>
      </c>
      <c r="AD64" t="str">
        <f ca="1"/>
        <v xml:space="preserve">
	//T-roll gluing ①
	ELSIF uiInfoIdx = 2 THEN
		IF strInfoKey = 'name' THEN
			strRt	:= 'T-roll gluing ①';
		ELSIF strInfoKey = 'index_name' THEN
			strRt	:= '【cylinder2】 T-roll gluing ①';</v>
      </c>
      <c r="AE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</v>
      </c>
      <c r="AF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</v>
      </c>
      <c r="AG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</v>
      </c>
      <c r="AH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</v>
      </c>
      <c r="AI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</v>
      </c>
      <c r="AJ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</v>
      </c>
      <c r="AK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19</v>
      </c>
      <c r="I65" t="str">
        <f ca="1"/>
        <v>T-roll gluing ②</v>
      </c>
      <c r="J65" t="str">
        <f ca="1"/>
        <v>T-roll gluing ②</v>
      </c>
      <c r="L65" t="str">
        <f ca="1"/>
        <v>【cylinder3】 T-roll gluing ②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//T-roll gluing ②
	ELSIF uiInfoIdx = 3 THEN</v>
      </c>
      <c r="AA65" t="str">
        <f ca="1"/>
        <v xml:space="preserve">
	//T-roll gluing ②
	ELSIF uiInfoIdx = 3 THEN
		IF strInfoKey = 'name' THEN</v>
      </c>
      <c r="AB65" t="str">
        <f ca="1"/>
        <v xml:space="preserve">
	//T-roll gluing ②
	ELSIF uiInfoIdx = 3 THEN
		IF strInfoKey = 'name' THEN
			strRt	:= 'T-roll gluing ②';</v>
      </c>
      <c r="AC65" t="str">
        <f ca="1"/>
        <v xml:space="preserve">
	//T-roll gluing ②
	ELSIF uiInfoIdx = 3 THEN
		IF strInfoKey = 'name' THEN
			strRt	:= 'T-roll gluing ②';
		ELSIF strInfoKey = 'index_name' THEN</v>
      </c>
      <c r="AD65" t="str">
        <f ca="1"/>
        <v xml:space="preserve">
	//T-roll gluing ②
	ELSIF uiInfoIdx = 3 THEN
		IF strInfoKey = 'name' THEN
			strRt	:= 'T-roll gluing ②';
		ELSIF strInfoKey = 'index_name' THEN
			strRt	:= '【cylinder3】 T-roll gluing ②';</v>
      </c>
      <c r="AE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</v>
      </c>
      <c r="AF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</v>
      </c>
      <c r="AG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</v>
      </c>
      <c r="AH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</v>
      </c>
      <c r="AI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</v>
      </c>
      <c r="AJ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</v>
      </c>
      <c r="AK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20</v>
      </c>
      <c r="I66" t="str">
        <f ca="1"/>
        <v>Flat auxiliary plate</v>
      </c>
      <c r="J66" t="str">
        <f ca="1"/>
        <v>Flat auxiliary plate</v>
      </c>
      <c r="L66" t="str">
        <f ca="1"/>
        <v>【cylinder4】 Flat auxiliary plate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//Flat auxiliary plate
	ELSIF uiInfoIdx = 4 THEN</v>
      </c>
      <c r="AA66" t="str">
        <f ca="1"/>
        <v xml:space="preserve">
	//Flat auxiliary plate
	ELSIF uiInfoIdx = 4 THEN
		IF strInfoKey = 'name' THEN</v>
      </c>
      <c r="AB66" t="str">
        <f ca="1"/>
        <v xml:space="preserve">
	//Flat auxiliary plate
	ELSIF uiInfoIdx = 4 THEN
		IF strInfoKey = 'name' THEN
			strRt	:= 'Flat auxiliary plate';</v>
      </c>
      <c r="AC66" t="str">
        <f ca="1"/>
        <v xml:space="preserve">
	//Flat auxiliary plate
	ELSIF uiInfoIdx = 4 THEN
		IF strInfoKey = 'name' THEN
			strRt	:= 'Flat auxiliary plate';
		ELSIF strInfoKey = 'index_name' THEN</v>
      </c>
      <c r="AD66" t="str">
        <f ca="1"/>
        <v xml:space="preserve">
	//Flat auxiliary plate
	ELSIF uiInfoIdx = 4 THEN
		IF strInfoKey = 'name' THEN
			strRt	:= 'Flat auxiliary plate';
		ELSIF strInfoKey = 'index_name' THEN
			strRt	:= '【cylinder4】 Flat auxiliary plate';</v>
      </c>
      <c r="AE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</v>
      </c>
      <c r="AF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</v>
      </c>
      <c r="AG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</v>
      </c>
      <c r="AH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</v>
      </c>
      <c r="AI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  <c r="AJ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  <c r="AK66" t="str">
        <f ca="1"/>
        <v xml:space="preserve">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21</v>
      </c>
      <c r="I67" t="str">
        <f ca="1"/>
        <v>Flat sheet chuck (hand) forward/backward</v>
      </c>
      <c r="J67" t="str">
        <f ca="1"/>
        <v>Flat sheet chuck (hand) forward/backward</v>
      </c>
      <c r="L67" t="str">
        <f ca="1"/>
        <v>【cylinder5】 Flat sheet chuck (hand) forward/backward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//Flat sheet chuck (hand) forward/backward
	ELSIF uiInfoIdx = 5 THEN</v>
      </c>
      <c r="AA67" t="str">
        <f ca="1"/>
        <v xml:space="preserve">
	//Flat sheet chuck (hand) forward/backward
	ELSIF uiInfoIdx = 5 THEN
		IF strInfoKey = 'name' THEN</v>
      </c>
      <c r="AB67" t="str">
        <f ca="1"/>
        <v xml:space="preserve">
	//Flat sheet chuck (hand) forward/backward
	ELSIF uiInfoIdx = 5 THEN
		IF strInfoKey = 'name' THEN
			strRt	:= 'Flat sheet chuck (hand) forward/backward';</v>
      </c>
      <c r="AC67" t="str">
        <f ca="1"/>
        <v xml:space="preserve">
	//Flat sheet chuck (hand) forward/backward
	ELSIF uiInfoIdx = 5 THEN
		IF strInfoKey = 'name' THEN
			strRt	:= 'Flat sheet chuck (hand) forward/backward';
		ELSIF strInfoKey = 'index_name' THEN</v>
      </c>
      <c r="AD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</v>
      </c>
      <c r="AE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</v>
      </c>
      <c r="AF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</v>
      </c>
      <c r="AG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</v>
      </c>
      <c r="AH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</v>
      </c>
      <c r="AI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J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K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22</v>
      </c>
      <c r="I68" t="str">
        <f ca="1"/>
        <v>Flat sheet chuck open/close</v>
      </c>
      <c r="J68" t="str">
        <f ca="1"/>
        <v>Flat sheet chuck open/close</v>
      </c>
      <c r="L68" t="str">
        <f ca="1"/>
        <v>【cylinder6】 Flat sheet chuck open/close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//Flat sheet chuck open/close
	ELSIF uiInfoIdx = 6 THEN</v>
      </c>
      <c r="AA68" t="str">
        <f ca="1"/>
        <v xml:space="preserve">
	//Flat sheet chuck open/close
	ELSIF uiInfoIdx = 6 THEN
		IF strInfoKey = 'name' THEN</v>
      </c>
      <c r="AB68" t="str">
        <f ca="1"/>
        <v xml:space="preserve">
	//Flat sheet chuck open/close
	ELSIF uiInfoIdx = 6 THEN
		IF strInfoKey = 'name' THEN
			strRt	:= 'Flat sheet chuck open/close';</v>
      </c>
      <c r="AC68" t="str">
        <f ca="1"/>
        <v xml:space="preserve">
	//Flat sheet chuck open/close
	ELSIF uiInfoIdx = 6 THEN
		IF strInfoKey = 'name' THEN
			strRt	:= 'Flat sheet chuck open/close';
		ELSIF strInfoKey = 'index_name' THEN</v>
      </c>
      <c r="AD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</v>
      </c>
      <c r="AE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</v>
      </c>
      <c r="AF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</v>
      </c>
      <c r="AG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</v>
      </c>
      <c r="AH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</v>
      </c>
      <c r="AI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J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K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23</v>
      </c>
      <c r="I69" t="str">
        <f ca="1"/>
        <v>Flat sheet clamp up/down ①</v>
      </c>
      <c r="J69" t="str">
        <f ca="1"/>
        <v>Flat sheet clamp up/down ①</v>
      </c>
      <c r="L69" t="str">
        <f ca="1"/>
        <v>【cylinder7】 Flat sheet clamp up/down 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//Flat sheet clamp up/down ①
	ELSIF uiInfoIdx = 7 THEN</v>
      </c>
      <c r="AA69" t="str">
        <f ca="1"/>
        <v xml:space="preserve">
	//Flat sheet clamp up/down ①
	ELSIF uiInfoIdx = 7 THEN
		IF strInfoKey = 'name' THEN</v>
      </c>
      <c r="AB69" t="str">
        <f ca="1"/>
        <v xml:space="preserve">
	//Flat sheet clamp up/down ①
	ELSIF uiInfoIdx = 7 THEN
		IF strInfoKey = 'name' THEN
			strRt	:= 'Flat sheet clamp up/down ①';</v>
      </c>
      <c r="AC69" t="str">
        <f ca="1"/>
        <v xml:space="preserve">
	//Flat sheet clamp up/down ①
	ELSIF uiInfoIdx = 7 THEN
		IF strInfoKey = 'name' THEN
			strRt	:= 'Flat sheet clamp up/down ①';
		ELSIF strInfoKey = 'index_name' THEN</v>
      </c>
      <c r="AD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</v>
      </c>
      <c r="AE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</v>
      </c>
      <c r="AF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</v>
      </c>
      <c r="AG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</v>
      </c>
      <c r="AH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</v>
      </c>
      <c r="AI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J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K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24</v>
      </c>
      <c r="I70" t="str">
        <f ca="1"/>
        <v>Foil wax clamp up/down</v>
      </c>
      <c r="J70" t="str">
        <f ca="1"/>
        <v>Foil wax clamp up/down</v>
      </c>
      <c r="L70" t="str">
        <f ca="1"/>
        <v>【cylinder8】 Foil wax clamp up/down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//Foil wax clamp up/down
	ELSIF uiInfoIdx = 8 THEN</v>
      </c>
      <c r="AA70" t="str">
        <f ca="1"/>
        <v xml:space="preserve">
	//Foil wax clamp up/down
	ELSIF uiInfoIdx = 8 THEN
		IF strInfoKey = 'name' THEN</v>
      </c>
      <c r="AB70" t="str">
        <f ca="1"/>
        <v xml:space="preserve">
	//Foil wax clamp up/down
	ELSIF uiInfoIdx = 8 THEN
		IF strInfoKey = 'name' THEN
			strRt	:= 'Foil wax clamp up/down';</v>
      </c>
      <c r="AC70" t="str">
        <f ca="1"/>
        <v xml:space="preserve">
	//Foil wax clamp up/down
	ELSIF uiInfoIdx = 8 THEN
		IF strInfoKey = 'name' THEN
			strRt	:= 'Foil wax clamp up/down';
		ELSIF strInfoKey = 'index_name' THEN</v>
      </c>
      <c r="AD70" t="str">
        <f ca="1"/>
        <v xml:space="preserve">
	//Foil wax clamp up/down
	ELSIF uiInfoIdx = 8 THEN
		IF strInfoKey = 'name' THEN
			strRt	:= 'Foil wax clamp up/down';
		ELSIF strInfoKey = 'index_name' THEN
			strRt	:= '【cylinder8】 Foil wax clamp up/down';</v>
      </c>
      <c r="AE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</v>
      </c>
      <c r="AF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</v>
      </c>
      <c r="AG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</v>
      </c>
      <c r="AH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</v>
      </c>
      <c r="AI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J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K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25</v>
      </c>
      <c r="I71" t="str">
        <f ca="1"/>
        <v>Foil wax cut</v>
      </c>
      <c r="J71" t="str">
        <f ca="1"/>
        <v>Foil wax cut</v>
      </c>
      <c r="L71" t="str">
        <f ca="1"/>
        <v>【cylinder9】 Foil wax cut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//Foil wax cut
	ELSIF uiInfoIdx = 9 THEN</v>
      </c>
      <c r="AA71" t="str">
        <f ca="1"/>
        <v xml:space="preserve">
	//Foil wax cut
	ELSIF uiInfoIdx = 9 THEN
		IF strInfoKey = 'name' THEN</v>
      </c>
      <c r="AB71" t="str">
        <f ca="1"/>
        <v xml:space="preserve">
	//Foil wax cut
	ELSIF uiInfoIdx = 9 THEN
		IF strInfoKey = 'name' THEN
			strRt	:= 'Foil wax cut';</v>
      </c>
      <c r="AC71" t="str">
        <f ca="1"/>
        <v xml:space="preserve">
	//Foil wax cut
	ELSIF uiInfoIdx = 9 THEN
		IF strInfoKey = 'name' THEN
			strRt	:= 'Foil wax cut';
		ELSIF strInfoKey = 'index_name' THEN</v>
      </c>
      <c r="AD71" t="str">
        <f ca="1"/>
        <v xml:space="preserve">
	//Foil wax cut
	ELSIF uiInfoIdx = 9 THEN
		IF strInfoKey = 'name' THEN
			strRt	:= 'Foil wax cut';
		ELSIF strInfoKey = 'index_name' THEN
			strRt	:= '【cylinder9】 Foil wax cut';</v>
      </c>
      <c r="AE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</v>
      </c>
      <c r="AF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</v>
      </c>
      <c r="AG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</v>
      </c>
      <c r="AH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</v>
      </c>
      <c r="AI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J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K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26</v>
      </c>
      <c r="I72" t="str">
        <f ca="1"/>
        <v>Corrugated sheet clamp</v>
      </c>
      <c r="J72" t="str">
        <f ca="1"/>
        <v>Corrugated sheet clamp</v>
      </c>
      <c r="L72" t="str">
        <f ca="1"/>
        <v>【cylinder10】 Corrugated sheet clamp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//Corrugated sheet clamp
	ELSIF uiInfoIdx = 10 THEN</v>
      </c>
      <c r="AA72" t="str">
        <f ca="1"/>
        <v xml:space="preserve">
	//Corrugated sheet clamp
	ELSIF uiInfoIdx = 10 THEN
		IF strInfoKey = 'name' THEN</v>
      </c>
      <c r="AB72" t="str">
        <f ca="1"/>
        <v xml:space="preserve">
	//Corrugated sheet clamp
	ELSIF uiInfoIdx = 10 THEN
		IF strInfoKey = 'name' THEN
			strRt	:= 'Corrugated sheet clamp';</v>
      </c>
      <c r="AC72" t="str">
        <f ca="1"/>
        <v xml:space="preserve">
	//Corrugated sheet clamp
	ELSIF uiInfoIdx = 10 THEN
		IF strInfoKey = 'name' THEN
			strRt	:= 'Corrugated sheet clamp';
		ELSIF strInfoKey = 'index_name' THEN</v>
      </c>
      <c r="AD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</v>
      </c>
      <c r="AE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</v>
      </c>
      <c r="AF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</v>
      </c>
      <c r="AG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</v>
      </c>
      <c r="AH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</v>
      </c>
      <c r="AI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J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K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27</v>
      </c>
      <c r="I73" t="str">
        <f ca="1"/>
        <v>Flat sheet cutter blade push-out</v>
      </c>
      <c r="J73" t="str">
        <f ca="1"/>
        <v>Flat sheet cutter blade push-out</v>
      </c>
      <c r="L73" t="str">
        <f ca="1"/>
        <v>【cylinder11】 Flat sheet cutter blade push-out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//Flat sheet cutter blade push-out
	ELSIF uiInfoIdx = 11 THEN</v>
      </c>
      <c r="AA73" t="str">
        <f ca="1"/>
        <v xml:space="preserve">
	//Flat sheet cutter blade push-out
	ELSIF uiInfoIdx = 11 THEN
		IF strInfoKey = 'name' THEN</v>
      </c>
      <c r="AB73" t="str">
        <f ca="1"/>
        <v xml:space="preserve">
	//Flat sheet cutter blade push-out
	ELSIF uiInfoIdx = 11 THEN
		IF strInfoKey = 'name' THEN
			strRt	:= 'Flat sheet cutter blade push-out';</v>
      </c>
      <c r="AC73" t="str">
        <f ca="1"/>
        <v xml:space="preserve">
	//Flat sheet cutter blade push-out
	ELSIF uiInfoIdx = 11 THEN
		IF strInfoKey = 'name' THEN
			strRt	:= 'Flat sheet cutter blade push-out';
		ELSIF strInfoKey = 'index_name' THEN</v>
      </c>
      <c r="AD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</v>
      </c>
      <c r="AE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</v>
      </c>
      <c r="AF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</v>
      </c>
      <c r="AG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</v>
      </c>
      <c r="AH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</v>
      </c>
      <c r="AI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J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K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28</v>
      </c>
      <c r="I74" t="str">
        <f ca="1"/>
        <v>Flat sheet cutter blade open/close</v>
      </c>
      <c r="J74" t="str">
        <f ca="1"/>
        <v>Flat sheet cutter blade open/close</v>
      </c>
      <c r="L74" t="str">
        <f ca="1"/>
        <v>【cylinder12】 Flat sheet cutter blade open/close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//Flat sheet cutter blade open/close
	ELSIF uiInfoIdx = 12 THEN</v>
      </c>
      <c r="AA74" t="str">
        <f ca="1"/>
        <v xml:space="preserve">
	//Flat sheet cutter blade open/close
	ELSIF uiInfoIdx = 12 THEN
		IF strInfoKey = 'name' THEN</v>
      </c>
      <c r="AB74" t="str">
        <f ca="1"/>
        <v xml:space="preserve">
	//Flat sheet cutter blade open/close
	ELSIF uiInfoIdx = 12 THEN
		IF strInfoKey = 'name' THEN
			strRt	:= 'Flat sheet cutter blade open/close';</v>
      </c>
      <c r="AC74" t="str">
        <f ca="1"/>
        <v xml:space="preserve">
	//Flat sheet cutter blade open/close
	ELSIF uiInfoIdx = 12 THEN
		IF strInfoKey = 'name' THEN
			strRt	:= 'Flat sheet cutter blade open/close';
		ELSIF strInfoKey = 'index_name' THEN</v>
      </c>
      <c r="AD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</v>
      </c>
      <c r="AE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</v>
      </c>
      <c r="AF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</v>
      </c>
      <c r="AG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</v>
      </c>
      <c r="AH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</v>
      </c>
      <c r="AI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J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K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29</v>
      </c>
      <c r="I75" t="str">
        <f ca="1"/>
        <v>Corrugated sheet cutter blade push-out</v>
      </c>
      <c r="J75" t="str">
        <f ca="1"/>
        <v>Corrugated sheet cutter blade push-out</v>
      </c>
      <c r="L75" t="str">
        <f ca="1"/>
        <v>【cylinder13】 Corrugated sheet cutter blade push-out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//Corrugated sheet cutter blade push-out
	ELSIF uiInfoIdx = 13 THEN</v>
      </c>
      <c r="AA75" t="str">
        <f ca="1"/>
        <v xml:space="preserve">
	//Corrugated sheet cutter blade push-out
	ELSIF uiInfoIdx = 13 THEN
		IF strInfoKey = 'name' THEN</v>
      </c>
      <c r="AB75" t="str">
        <f ca="1"/>
        <v xml:space="preserve">
	//Corrugated sheet cutter blade push-out
	ELSIF uiInfoIdx = 13 THEN
		IF strInfoKey = 'name' THEN
			strRt	:= 'Corrugated sheet cutter blade push-out';</v>
      </c>
      <c r="AC75" t="str">
        <f ca="1"/>
        <v xml:space="preserve">
	//Corrugated sheet cutter blade push-out
	ELSIF uiInfoIdx = 13 THEN
		IF strInfoKey = 'name' THEN
			strRt	:= 'Corrugated sheet cutter blade push-out';
		ELSIF strInfoKey = 'index_name' THEN</v>
      </c>
      <c r="AD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</v>
      </c>
      <c r="AE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</v>
      </c>
      <c r="AF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</v>
      </c>
      <c r="AG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</v>
      </c>
      <c r="AH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</v>
      </c>
      <c r="AI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J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K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30</v>
      </c>
      <c r="I76" t="str">
        <f ca="1"/>
        <v>Corrugated sheet cutter blade open/close</v>
      </c>
      <c r="J76" t="str">
        <f ca="1"/>
        <v>Corrugated sheet cutter blade open/close</v>
      </c>
      <c r="L76" t="str">
        <f ca="1"/>
        <v>【cylinder14】 Corrugated sheet cutter blade open/close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//Corrugated sheet cutter blade open/close
	ELSIF uiInfoIdx = 14 THEN</v>
      </c>
      <c r="AA76" t="str">
        <f ca="1"/>
        <v xml:space="preserve">
	//Corrugated sheet cutter blade open/close
	ELSIF uiInfoIdx = 14 THEN
		IF strInfoKey = 'name' THEN</v>
      </c>
      <c r="AB76" t="str">
        <f ca="1"/>
        <v xml:space="preserve">
	//Corrugated sheet cutter blade open/close
	ELSIF uiInfoIdx = 14 THEN
		IF strInfoKey = 'name' THEN
			strRt	:= 'Corrugated sheet cutter blade open/close';</v>
      </c>
      <c r="AC76" t="str">
        <f ca="1"/>
        <v xml:space="preserve">
	//Corrugated sheet cutter blade open/close
	ELSIF uiInfoIdx = 14 THEN
		IF strInfoKey = 'name' THEN
			strRt	:= 'Corrugated sheet cutter blade open/close';
		ELSIF strInfoKey = 'index_name' THEN</v>
      </c>
      <c r="AD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</v>
      </c>
      <c r="AE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</v>
      </c>
      <c r="AF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</v>
      </c>
      <c r="AG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</v>
      </c>
      <c r="AH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</v>
      </c>
      <c r="AI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J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K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31</v>
      </c>
      <c r="I77" t="str">
        <f ca="1"/>
        <v>Corrugated sheet cutter auxiliary</v>
      </c>
      <c r="J77" t="str">
        <f ca="1"/>
        <v>Corrugated sheet cutter auxiliary</v>
      </c>
      <c r="L77" t="str">
        <f ca="1"/>
        <v>【cylinder15】 Corrugated sheet cutter auxiliary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//Corrugated sheet cutter auxiliary
	ELSIF uiInfoIdx = 15 THEN</v>
      </c>
      <c r="AA77" t="str">
        <f ca="1"/>
        <v xml:space="preserve">
	//Corrugated sheet cutter auxiliary
	ELSIF uiInfoIdx = 15 THEN
		IF strInfoKey = 'name' THEN</v>
      </c>
      <c r="AB77" t="str">
        <f ca="1"/>
        <v xml:space="preserve">
	//Corrugated sheet cutter auxiliary
	ELSIF uiInfoIdx = 15 THEN
		IF strInfoKey = 'name' THEN
			strRt	:= 'Corrugated sheet cutter auxiliary';</v>
      </c>
      <c r="AC77" t="str">
        <f ca="1"/>
        <v xml:space="preserve">
	//Corrugated sheet cutter auxiliary
	ELSIF uiInfoIdx = 15 THEN
		IF strInfoKey = 'name' THEN
			strRt	:= 'Corrugated sheet cutter auxiliary';
		ELSIF strInfoKey = 'index_name' THEN</v>
      </c>
      <c r="AD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</v>
      </c>
      <c r="AE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</v>
      </c>
      <c r="AF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</v>
      </c>
      <c r="AG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</v>
      </c>
      <c r="AH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</v>
      </c>
      <c r="AI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J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K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32</v>
      </c>
      <c r="I78" t="str">
        <f ca="1"/>
        <v>Corrugated sheet cutter auxiliary L</v>
      </c>
      <c r="J78" t="str">
        <f ca="1"/>
        <v>Corrugated sheet cutter auxiliary L</v>
      </c>
      <c r="L78" t="str">
        <f ca="1"/>
        <v>【cylinder16】 Corrugated sheet cutter auxiliary 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//Corrugated sheet cutter auxiliary L
	ELSIF uiInfoIdx = 16 THEN</v>
      </c>
      <c r="AA78" t="str">
        <f ca="1"/>
        <v xml:space="preserve">
	//Corrugated sheet cutter auxiliary L
	ELSIF uiInfoIdx = 16 THEN
		IF strInfoKey = 'name' THEN</v>
      </c>
      <c r="AB78" t="str">
        <f ca="1"/>
        <v xml:space="preserve">
	//Corrugated sheet cutter auxiliary L
	ELSIF uiInfoIdx = 16 THEN
		IF strInfoKey = 'name' THEN
			strRt	:= 'Corrugated sheet cutter auxiliary L';</v>
      </c>
      <c r="AC78" t="str">
        <f ca="1"/>
        <v xml:space="preserve">
	//Corrugated sheet cutter auxiliary L
	ELSIF uiInfoIdx = 16 THEN
		IF strInfoKey = 'name' THEN
			strRt	:= 'Corrugated sheet cutter auxiliary L';
		ELSIF strInfoKey = 'index_name' THEN</v>
      </c>
      <c r="AD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</v>
      </c>
      <c r="AE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</v>
      </c>
      <c r="AF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</v>
      </c>
      <c r="AG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</v>
      </c>
      <c r="AH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</v>
      </c>
      <c r="AI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J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K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33</v>
      </c>
      <c r="I79" t="str">
        <f ca="1"/>
        <v>X-roll gluing ①</v>
      </c>
      <c r="J79" t="str">
        <f ca="1"/>
        <v>X-roll gluing ①</v>
      </c>
      <c r="L79" t="str">
        <f ca="1"/>
        <v>【cylinder17】 X-roll gluing 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//X-roll gluing ①
	ELSIF uiInfoIdx = 17 THEN</v>
      </c>
      <c r="AA79" t="str">
        <f ca="1"/>
        <v xml:space="preserve">
	//X-roll gluing ①
	ELSIF uiInfoIdx = 17 THEN
		IF strInfoKey = 'name' THEN</v>
      </c>
      <c r="AB79" t="str">
        <f ca="1"/>
        <v xml:space="preserve">
	//X-roll gluing ①
	ELSIF uiInfoIdx = 17 THEN
		IF strInfoKey = 'name' THEN
			strRt	:= 'X-roll gluing ①';</v>
      </c>
      <c r="AC79" t="str">
        <f ca="1"/>
        <v xml:space="preserve">
	//X-roll gluing ①
	ELSIF uiInfoIdx = 17 THEN
		IF strInfoKey = 'name' THEN
			strRt	:= 'X-roll gluing ①';
		ELSIF strInfoKey = 'index_name' THEN</v>
      </c>
      <c r="AD79" t="str">
        <f ca="1"/>
        <v xml:space="preserve">
	//X-roll gluing ①
	ELSIF uiInfoIdx = 17 THEN
		IF strInfoKey = 'name' THEN
			strRt	:= 'X-roll gluing ①';
		ELSIF strInfoKey = 'index_name' THEN
			strRt	:= '【cylinder17】 X-roll gluing ①';</v>
      </c>
      <c r="AE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</v>
      </c>
      <c r="AF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</v>
      </c>
      <c r="AG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</v>
      </c>
      <c r="AH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</v>
      </c>
      <c r="AI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J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K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34</v>
      </c>
      <c r="I80" t="str">
        <f ca="1"/>
        <v>X-roll gluing ②</v>
      </c>
      <c r="J80" t="str">
        <f ca="1"/>
        <v>X-roll gluing ②</v>
      </c>
      <c r="L80" t="str">
        <f ca="1"/>
        <v>【cylinder18】 X-roll gluing 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//X-roll gluing ②
	ELSIF uiInfoIdx = 18 THEN</v>
      </c>
      <c r="AA80" t="str">
        <f ca="1"/>
        <v xml:space="preserve">
	//X-roll gluing ②
	ELSIF uiInfoIdx = 18 THEN
		IF strInfoKey = 'name' THEN</v>
      </c>
      <c r="AB80" t="str">
        <f ca="1"/>
        <v xml:space="preserve">
	//X-roll gluing ②
	ELSIF uiInfoIdx = 18 THEN
		IF strInfoKey = 'name' THEN
			strRt	:= 'X-roll gluing ②';</v>
      </c>
      <c r="AC80" t="str">
        <f ca="1"/>
        <v xml:space="preserve">
	//X-roll gluing ②
	ELSIF uiInfoIdx = 18 THEN
		IF strInfoKey = 'name' THEN
			strRt	:= 'X-roll gluing ②';
		ELSIF strInfoKey = 'index_name' THEN</v>
      </c>
      <c r="AD80" t="str">
        <f ca="1"/>
        <v xml:space="preserve">
	//X-roll gluing ②
	ELSIF uiInfoIdx = 18 THEN
		IF strInfoKey = 'name' THEN
			strRt	:= 'X-roll gluing ②';
		ELSIF strInfoKey = 'index_name' THEN
			strRt	:= '【cylinder18】 X-roll gluing ②';</v>
      </c>
      <c r="AE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</v>
      </c>
      <c r="AF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</v>
      </c>
      <c r="AG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</v>
      </c>
      <c r="AH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</v>
      </c>
      <c r="AI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J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K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35</v>
      </c>
      <c r="I81" t="str">
        <f ca="1"/>
        <v>X-roll flat plate pressing</v>
      </c>
      <c r="J81" t="str">
        <f ca="1"/>
        <v>X-roll flat plate pressing</v>
      </c>
      <c r="L81" t="str">
        <f ca="1"/>
        <v>【cylinder19】 X-roll flat plate pressing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//X-roll flat plate pressing
	ELSIF uiInfoIdx = 19 THEN</v>
      </c>
      <c r="AA81" t="str">
        <f ca="1"/>
        <v xml:space="preserve">
	//X-roll flat plate pressing
	ELSIF uiInfoIdx = 19 THEN
		IF strInfoKey = 'name' THEN</v>
      </c>
      <c r="AB81" t="str">
        <f ca="1"/>
        <v xml:space="preserve">
	//X-roll flat plate pressing
	ELSIF uiInfoIdx = 19 THEN
		IF strInfoKey = 'name' THEN
			strRt	:= 'X-roll flat plate pressing';</v>
      </c>
      <c r="AC81" t="str">
        <f ca="1"/>
        <v xml:space="preserve">
	//X-roll flat plate pressing
	ELSIF uiInfoIdx = 19 THEN
		IF strInfoKey = 'name' THEN
			strRt	:= 'X-roll flat plate pressing';
		ELSIF strInfoKey = 'index_name' THEN</v>
      </c>
      <c r="AD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</v>
      </c>
      <c r="AE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</v>
      </c>
      <c r="AF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</v>
      </c>
      <c r="AG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</v>
      </c>
      <c r="AH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</v>
      </c>
      <c r="AI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J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K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 t="str">
        <v/>
      </c>
      <c r="I82" t="str">
        <f ca="1"/>
        <v/>
      </c>
      <c r="J82" t="str">
        <f ca="1"/>
        <v/>
      </c>
      <c r="L82" t="str">
        <f ca="1"/>
        <v/>
      </c>
      <c r="M82" t="str">
        <v/>
      </c>
      <c r="N82" t="str">
        <v/>
      </c>
      <c r="O82" t="str">
        <f ca="1"/>
        <v/>
      </c>
      <c r="P82" t="str">
        <f ca="1"/>
        <v/>
      </c>
      <c r="X82" t="str">
        <f ca="1"/>
        <v/>
      </c>
      <c r="Y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1"/>
        <v>cylinder</v>
      </c>
      <c r="F86">
        <f>COUNTIF(E$3:E86,E86)</f>
        <v>24</v>
      </c>
      <c r="G86" t="str">
        <v/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</row>
    <row r="87" spans="5:37" x14ac:dyDescent="0.55000000000000004">
      <c r="E87" t="str">
        <f t="shared" si="1"/>
        <v>cylinder</v>
      </c>
      <c r="F87">
        <f>COUNTIF(E$3:E87,E87)</f>
        <v>25</v>
      </c>
      <c r="G87" t="str">
        <v/>
      </c>
      <c r="H87" t="str">
        <v/>
      </c>
      <c r="I87" t="str">
        <f ca="1"/>
        <v/>
      </c>
      <c r="J87" t="str">
        <f ca="1"/>
        <v/>
      </c>
      <c r="L87" t="str">
        <f ca="1"/>
        <v/>
      </c>
      <c r="M87" t="str">
        <v/>
      </c>
      <c r="N87" t="str">
        <v/>
      </c>
      <c r="O87" t="str">
        <f ca="1"/>
        <v/>
      </c>
      <c r="P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</row>
    <row r="88" spans="5:37" x14ac:dyDescent="0.55000000000000004">
      <c r="E88" t="str">
        <f t="shared" si="1"/>
        <v>cylinder</v>
      </c>
      <c r="F88">
        <f>COUNTIF(E$3:E88,E88)</f>
        <v>26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cylinder</v>
      </c>
      <c r="F89">
        <f>COUNTIF(E$3:E89,E89)</f>
        <v>27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cylinder</v>
      </c>
      <c r="F90">
        <f>COUNTIF(E$3:E90,E90)</f>
        <v>28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cylinder</v>
      </c>
      <c r="F91">
        <f>COUNTIF(E$3:E91,E91)</f>
        <v>29</v>
      </c>
      <c r="G91" t="str">
        <v>●</v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 xml:space="preserve">
	ELSE
		uiErrCode	:= 2;
	END_IF;</v>
      </c>
      <c r="AK91" t="str">
        <f ca="1"/>
        <v xml:space="preserve">
	ELSE
		uiErrCode	:= 2;
	END_IF;</v>
      </c>
    </row>
    <row r="92" spans="5:37" x14ac:dyDescent="0.55000000000000004">
      <c r="E92" t="s">
        <v>265</v>
      </c>
      <c r="F92">
        <f>COUNTIF(E$3:E92,E92)</f>
        <v>1</v>
      </c>
      <c r="G92" t="str">
        <v/>
      </c>
      <c r="H92">
        <v>50</v>
      </c>
      <c r="I92" t="str">
        <f ca="1"/>
        <v>Flat Sheet Supply</v>
      </c>
      <c r="J92" t="str">
        <f ca="1"/>
        <v>Flat Sheet Supply</v>
      </c>
      <c r="L92" t="str">
        <f ca="1"/>
        <v>【unit1】 Flat Sheet Supply</v>
      </c>
      <c r="M92" t="str">
        <v/>
      </c>
      <c r="N92" t="str">
        <v>unknown</v>
      </c>
      <c r="O92" t="str">
        <f ca="1"/>
        <v/>
      </c>
      <c r="P92" t="str">
        <f ca="1"/>
        <v>unknown</v>
      </c>
      <c r="X92" t="str">
        <f ca="1"/>
        <v xml:space="preserve">
//unit</v>
      </c>
      <c r="Y92" t="str">
        <f ca="1"/>
        <v xml:space="preserve">
//unit
ELSIF strInfoType = 'unit' THEN</v>
      </c>
      <c r="Z92" t="str">
        <f ca="1"/>
        <v xml:space="preserve">
//unit
ELSIF strInfoType = 'unit' THEN
	//Flat Sheet Supply
	IF uiInfoIdx = 1 THEN</v>
      </c>
      <c r="AA92" t="str">
        <f ca="1"/>
        <v xml:space="preserve">
//unit
ELSIF strInfoType = 'unit' THEN
	//Flat Sheet Supply
	IF uiInfoIdx = 1 THEN
		IF strInfoKey = 'name' THEN</v>
      </c>
      <c r="AB92" t="str">
        <f ca="1"/>
        <v xml:space="preserve">
//unit
ELSIF strInfoType = 'unit' THEN
	//Flat Sheet Supply
	IF uiInfoIdx = 1 THEN
		IF strInfoKey = 'name' THEN
			strRt	:= 'Flat Sheet Supply';</v>
      </c>
      <c r="AC92" t="str">
        <f ca="1"/>
        <v xml:space="preserve">
//unit
ELSIF strInfoType = 'unit' THEN
	//Flat Sheet Supply
	IF uiInfoIdx = 1 THEN
		IF strInfoKey = 'name' THEN
			strRt	:= 'Flat Sheet Supply';
		ELSIF strInfoKey = 'index_name' THEN</v>
      </c>
      <c r="AD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</v>
      </c>
      <c r="AE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</v>
      </c>
      <c r="AF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</v>
      </c>
      <c r="AG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</v>
      </c>
      <c r="AH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</v>
      </c>
      <c r="AI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  <c r="AJ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  <c r="AK92" t="str">
        <f ca="1"/>
        <v xml:space="preserve">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</v>
      </c>
    </row>
    <row r="93" spans="5:37" x14ac:dyDescent="0.55000000000000004">
      <c r="E93" t="str">
        <f t="shared" si="1"/>
        <v>unit</v>
      </c>
      <c r="F93">
        <f>COUNTIF(E$3:E93,E93)</f>
        <v>2</v>
      </c>
      <c r="G93" t="str">
        <v/>
      </c>
      <c r="H93">
        <v>51</v>
      </c>
      <c r="I93" t="str">
        <f ca="1"/>
        <v>Corrugated Sheet Supply</v>
      </c>
      <c r="J93" t="str">
        <f ca="1"/>
        <v>Corrugated Sheet Supply</v>
      </c>
      <c r="L93" t="str">
        <f ca="1"/>
        <v>【unit2】 Corrugated Sheet Supply</v>
      </c>
      <c r="M93" t="str">
        <v/>
      </c>
      <c r="N93" t="str">
        <v>unknown</v>
      </c>
      <c r="O93" t="str">
        <f ca="1"/>
        <v/>
      </c>
      <c r="P93" t="str">
        <f ca="1"/>
        <v>unknown</v>
      </c>
      <c r="X93" t="str">
        <f ca="1"/>
        <v xml:space="preserve">
</v>
      </c>
      <c r="Y93" t="str">
        <f ca="1"/>
        <v xml:space="preserve">
</v>
      </c>
      <c r="Z93" t="str">
        <f ca="1"/>
        <v xml:space="preserve">
	//Corrugated Sheet Supply
	ELSIF uiInfoIdx = 2 THEN</v>
      </c>
      <c r="AA93" t="str">
        <f ca="1"/>
        <v xml:space="preserve">
	//Corrugated Sheet Supply
	ELSIF uiInfoIdx = 2 THEN
		IF strInfoKey = 'name' THEN</v>
      </c>
      <c r="AB93" t="str">
        <f ca="1"/>
        <v xml:space="preserve">
	//Corrugated Sheet Supply
	ELSIF uiInfoIdx = 2 THEN
		IF strInfoKey = 'name' THEN
			strRt	:= 'Corrugated Sheet Supply';</v>
      </c>
      <c r="AC93" t="str">
        <f ca="1"/>
        <v xml:space="preserve">
	//Corrugated Sheet Supply
	ELSIF uiInfoIdx = 2 THEN
		IF strInfoKey = 'name' THEN
			strRt	:= 'Corrugated Sheet Supply';
		ELSIF strInfoKey = 'index_name' THEN</v>
      </c>
      <c r="AD93" t="str">
        <f ca="1"/>
        <v xml:space="preserve">
	//Corrugated Sheet Supply
	ELSIF uiInfoIdx = 2 THEN
		IF strInfoKey = 'name' THEN
			strRt	:= 'Corrugated Sheet Supply';
		ELSIF strInfoKey = 'index_name' THEN
			strRt	:= '【unit2】 Corrugated Sheet Supply';</v>
      </c>
      <c r="AE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</v>
      </c>
      <c r="AF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</v>
      </c>
      <c r="AG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</v>
      </c>
      <c r="AH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</v>
      </c>
      <c r="AI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  <c r="AJ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  <c r="AK93" t="str">
        <f ca="1"/>
        <v xml:space="preserve">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</v>
      </c>
    </row>
    <row r="94" spans="5:37" x14ac:dyDescent="0.55000000000000004">
      <c r="E94" t="str">
        <f t="shared" si="1"/>
        <v>unit</v>
      </c>
      <c r="F94">
        <f>COUNTIF(E$3:E94,E94)</f>
        <v>3</v>
      </c>
      <c r="G94" t="str">
        <v/>
      </c>
      <c r="H94">
        <v>52</v>
      </c>
      <c r="I94" t="str">
        <f ca="1"/>
        <v>Foil Wax Supply</v>
      </c>
      <c r="J94" t="str">
        <f ca="1"/>
        <v>Foil Wax Supply</v>
      </c>
      <c r="L94" t="str">
        <f ca="1"/>
        <v>【unit3】 Foil Wax Supply</v>
      </c>
      <c r="M94" t="str">
        <v/>
      </c>
      <c r="N94" t="str">
        <v>unknown</v>
      </c>
      <c r="O94" t="str">
        <f ca="1"/>
        <v/>
      </c>
      <c r="P94" t="str">
        <f ca="1"/>
        <v>unknown</v>
      </c>
      <c r="X94" t="str">
        <f ca="1"/>
        <v xml:space="preserve">
</v>
      </c>
      <c r="Y94" t="str">
        <f ca="1"/>
        <v xml:space="preserve">
</v>
      </c>
      <c r="Z94" t="str">
        <f ca="1"/>
        <v xml:space="preserve">
	//Foil Wax Supply
	ELSIF uiInfoIdx = 3 THEN</v>
      </c>
      <c r="AA94" t="str">
        <f ca="1"/>
        <v xml:space="preserve">
	//Foil Wax Supply
	ELSIF uiInfoIdx = 3 THEN
		IF strInfoKey = 'name' THEN</v>
      </c>
      <c r="AB94" t="str">
        <f ca="1"/>
        <v xml:space="preserve">
	//Foil Wax Supply
	ELSIF uiInfoIdx = 3 THEN
		IF strInfoKey = 'name' THEN
			strRt	:= 'Foil Wax Supply';</v>
      </c>
      <c r="AC94" t="str">
        <f ca="1"/>
        <v xml:space="preserve">
	//Foil Wax Supply
	ELSIF uiInfoIdx = 3 THEN
		IF strInfoKey = 'name' THEN
			strRt	:= 'Foil Wax Supply';
		ELSIF strInfoKey = 'index_name' THEN</v>
      </c>
      <c r="AD94" t="str">
        <f ca="1"/>
        <v xml:space="preserve">
	//Foil Wax Supply
	ELSIF uiInfoIdx = 3 THEN
		IF strInfoKey = 'name' THEN
			strRt	:= 'Foil Wax Supply';
		ELSIF strInfoKey = 'index_name' THEN
			strRt	:= '【unit3】 Foil Wax Supply';</v>
      </c>
      <c r="AE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</v>
      </c>
      <c r="AF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</v>
      </c>
      <c r="AG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</v>
      </c>
      <c r="AH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</v>
      </c>
      <c r="AI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  <c r="AJ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  <c r="AK94" t="str">
        <f ca="1"/>
        <v xml:space="preserve">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</v>
      </c>
    </row>
    <row r="95" spans="5:37" x14ac:dyDescent="0.55000000000000004">
      <c r="E95" t="str">
        <f t="shared" si="1"/>
        <v>unit</v>
      </c>
      <c r="F95">
        <f>COUNTIF(E$3:E95,E95)</f>
        <v>4</v>
      </c>
      <c r="G95" t="str">
        <v/>
      </c>
      <c r="H95">
        <v>53</v>
      </c>
      <c r="I95" t="str">
        <f ca="1"/>
        <v>Winding Shaft</v>
      </c>
      <c r="J95" t="str">
        <f ca="1"/>
        <v>Winding Shaft</v>
      </c>
      <c r="L95" t="str">
        <f ca="1"/>
        <v>【unit4】 Winding Shaft</v>
      </c>
      <c r="M95" t="str">
        <v/>
      </c>
      <c r="N95" t="str">
        <v>unknown</v>
      </c>
      <c r="O95" t="str">
        <f ca="1"/>
        <v/>
      </c>
      <c r="P95" t="str">
        <f ca="1"/>
        <v>unknown</v>
      </c>
      <c r="X95" t="str">
        <f ca="1"/>
        <v xml:space="preserve">
</v>
      </c>
      <c r="Y95" t="str">
        <f ca="1"/>
        <v xml:space="preserve">
</v>
      </c>
      <c r="Z95" t="str">
        <f ca="1"/>
        <v xml:space="preserve">
	//Winding Shaft
	ELSIF uiInfoIdx = 4 THEN</v>
      </c>
      <c r="AA95" t="str">
        <f ca="1"/>
        <v xml:space="preserve">
	//Winding Shaft
	ELSIF uiInfoIdx = 4 THEN
		IF strInfoKey = 'name' THEN</v>
      </c>
      <c r="AB95" t="str">
        <f ca="1"/>
        <v xml:space="preserve">
	//Winding Shaft
	ELSIF uiInfoIdx = 4 THEN
		IF strInfoKey = 'name' THEN
			strRt	:= 'Winding Shaft';</v>
      </c>
      <c r="AC95" t="str">
        <f ca="1"/>
        <v xml:space="preserve">
	//Winding Shaft
	ELSIF uiInfoIdx = 4 THEN
		IF strInfoKey = 'name' THEN
			strRt	:= 'Winding Shaft';
		ELSIF strInfoKey = 'index_name' THEN</v>
      </c>
      <c r="AD95" t="str">
        <f ca="1"/>
        <v xml:space="preserve">
	//Winding Shaft
	ELSIF uiInfoIdx = 4 THEN
		IF strInfoKey = 'name' THEN
			strRt	:= 'Winding Shaft';
		ELSIF strInfoKey = 'index_name' THEN
			strRt	:= '【unit4】 Winding Shaft';</v>
      </c>
      <c r="AE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</v>
      </c>
      <c r="AF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</v>
      </c>
      <c r="AG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</v>
      </c>
      <c r="AH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</v>
      </c>
      <c r="AI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  <c r="AJ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  <c r="AK95" t="str">
        <f ca="1"/>
        <v xml:space="preserve">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</v>
      </c>
    </row>
    <row r="96" spans="5:37" x14ac:dyDescent="0.55000000000000004">
      <c r="E96" t="str">
        <f t="shared" si="1"/>
        <v>unit</v>
      </c>
      <c r="F96">
        <f>COUNTIF(E$3:E96,E96)</f>
        <v>5</v>
      </c>
      <c r="G96" t="str">
        <v/>
      </c>
      <c r="H96">
        <v>54</v>
      </c>
      <c r="I96" t="str">
        <f ca="1"/>
        <v>Welding</v>
      </c>
      <c r="J96" t="str">
        <f ca="1"/>
        <v>Welding</v>
      </c>
      <c r="L96" t="str">
        <f ca="1"/>
        <v>【unit5】 Welding</v>
      </c>
      <c r="M96" t="str">
        <v/>
      </c>
      <c r="N96" t="str">
        <v>unknown</v>
      </c>
      <c r="O96" t="str">
        <f ca="1"/>
        <v/>
      </c>
      <c r="P96" t="str">
        <f ca="1"/>
        <v>unknown</v>
      </c>
      <c r="X96" t="str">
        <f ca="1"/>
        <v xml:space="preserve">
</v>
      </c>
      <c r="Y96" t="str">
        <f ca="1"/>
        <v xml:space="preserve">
</v>
      </c>
      <c r="Z96" t="str">
        <f ca="1"/>
        <v xml:space="preserve">
	//Welding
	ELSIF uiInfoIdx = 5 THEN</v>
      </c>
      <c r="AA96" t="str">
        <f ca="1"/>
        <v xml:space="preserve">
	//Welding
	ELSIF uiInfoIdx = 5 THEN
		IF strInfoKey = 'name' THEN</v>
      </c>
      <c r="AB96" t="str">
        <f ca="1"/>
        <v xml:space="preserve">
	//Welding
	ELSIF uiInfoIdx = 5 THEN
		IF strInfoKey = 'name' THEN
			strRt	:= 'Welding';</v>
      </c>
      <c r="AC96" t="str">
        <f ca="1"/>
        <v xml:space="preserve">
	//Welding
	ELSIF uiInfoIdx = 5 THEN
		IF strInfoKey = 'name' THEN
			strRt	:= 'Welding';
		ELSIF strInfoKey = 'index_name' THEN</v>
      </c>
      <c r="AD96" t="str">
        <f ca="1"/>
        <v xml:space="preserve">
	//Welding
	ELSIF uiInfoIdx = 5 THEN
		IF strInfoKey = 'name' THEN
			strRt	:= 'Welding';
		ELSIF strInfoKey = 'index_name' THEN
			strRt	:= '【unit5】 Welding';</v>
      </c>
      <c r="AE96" t="str">
        <f ca="1"/>
        <v xml:space="preserve">
	//Welding
	ELSIF uiInfoIdx = 5 THEN
		IF strInfoKey = 'name' THEN
			strRt	:= 'Welding';
		ELSIF strInfoKey = 'index_name' THEN
			strRt	:= '【unit5】 Welding';
		ELSIF strInfoKey = 'model' THEN</v>
      </c>
      <c r="AF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</v>
      </c>
      <c r="AG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</v>
      </c>
      <c r="AH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</v>
      </c>
      <c r="AI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  <c r="AJ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  <c r="AK96" t="str">
        <f ca="1"/>
        <v xml:space="preserve">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</v>
      </c>
    </row>
    <row r="97" spans="5:37" x14ac:dyDescent="0.55000000000000004">
      <c r="E97" t="str">
        <f t="shared" si="1"/>
        <v>unit</v>
      </c>
      <c r="F97">
        <f>COUNTIF(E$3:E97,E97)</f>
        <v>6</v>
      </c>
      <c r="G97" t="str">
        <v/>
      </c>
      <c r="H97">
        <v>55</v>
      </c>
      <c r="I97" t="str">
        <f ca="1"/>
        <v>Discharge</v>
      </c>
      <c r="J97" t="str">
        <f ca="1"/>
        <v>Discharge</v>
      </c>
      <c r="L97" t="str">
        <f ca="1"/>
        <v>【unit6】 Discharge</v>
      </c>
      <c r="M97" t="str">
        <v/>
      </c>
      <c r="N97" t="str">
        <v>unknown</v>
      </c>
      <c r="O97" t="str">
        <f ca="1"/>
        <v/>
      </c>
      <c r="P97" t="str">
        <f ca="1"/>
        <v>unknown</v>
      </c>
      <c r="X97" t="str">
        <f ca="1"/>
        <v xml:space="preserve">
</v>
      </c>
      <c r="Y97" t="str">
        <f ca="1"/>
        <v xml:space="preserve">
</v>
      </c>
      <c r="Z97" t="str">
        <f ca="1"/>
        <v xml:space="preserve">
	//Discharge
	ELSIF uiInfoIdx = 6 THEN</v>
      </c>
      <c r="AA97" t="str">
        <f ca="1"/>
        <v xml:space="preserve">
	//Discharge
	ELSIF uiInfoIdx = 6 THEN
		IF strInfoKey = 'name' THEN</v>
      </c>
      <c r="AB97" t="str">
        <f ca="1"/>
        <v xml:space="preserve">
	//Discharge
	ELSIF uiInfoIdx = 6 THEN
		IF strInfoKey = 'name' THEN
			strRt	:= 'Discharge';</v>
      </c>
      <c r="AC97" t="str">
        <f ca="1"/>
        <v xml:space="preserve">
	//Discharge
	ELSIF uiInfoIdx = 6 THEN
		IF strInfoKey = 'name' THEN
			strRt	:= 'Discharge';
		ELSIF strInfoKey = 'index_name' THEN</v>
      </c>
      <c r="AD97" t="str">
        <f ca="1"/>
        <v xml:space="preserve">
	//Discharge
	ELSIF uiInfoIdx = 6 THEN
		IF strInfoKey = 'name' THEN
			strRt	:= 'Discharge';
		ELSIF strInfoKey = 'index_name' THEN
			strRt	:= '【unit6】 Discharge';</v>
      </c>
      <c r="AE97" t="str">
        <f ca="1"/>
        <v xml:space="preserve">
	//Discharge
	ELSIF uiInfoIdx = 6 THEN
		IF strInfoKey = 'name' THEN
			strRt	:= 'Discharge';
		ELSIF strInfoKey = 'index_name' THEN
			strRt	:= '【unit6】 Discharge';
		ELSIF strInfoKey = 'model' THEN</v>
      </c>
      <c r="AF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</v>
      </c>
      <c r="AG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</v>
      </c>
      <c r="AH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</v>
      </c>
      <c r="AI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  <c r="AJ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  <c r="AK97" t="str">
        <f ca="1"/>
        <v xml:space="preserve">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</v>
      </c>
    </row>
    <row r="98" spans="5:37" x14ac:dyDescent="0.55000000000000004">
      <c r="E98" t="str">
        <f t="shared" si="1"/>
        <v>unit</v>
      </c>
      <c r="F98">
        <f>COUNTIF(E$3:E98,E98)</f>
        <v>7</v>
      </c>
      <c r="G98" t="str">
        <v/>
      </c>
      <c r="H98" t="str">
        <v/>
      </c>
      <c r="I98" t="str">
        <f ca="1"/>
        <v/>
      </c>
      <c r="J98" t="str">
        <f ca="1"/>
        <v/>
      </c>
      <c r="L98" t="str">
        <f ca="1"/>
        <v/>
      </c>
      <c r="M98" t="str">
        <v/>
      </c>
      <c r="N98" t="str">
        <v/>
      </c>
      <c r="O98" t="str">
        <f ca="1"/>
        <v/>
      </c>
      <c r="P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</row>
    <row r="99" spans="5:37" x14ac:dyDescent="0.55000000000000004">
      <c r="E99" t="str">
        <f t="shared" si="1"/>
        <v>unit</v>
      </c>
      <c r="F99">
        <f>COUNTIF(E$3:E99,E99)</f>
        <v>8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unit</v>
      </c>
      <c r="F100">
        <f>COUNTIF(E$3:E100,E100)</f>
        <v>9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unit</v>
      </c>
      <c r="F101">
        <f>COUNTIF(E$3:E101,E101)</f>
        <v>10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unit</v>
      </c>
      <c r="F102">
        <f>COUNTIF(E$3:E102,E102)</f>
        <v>11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unit</v>
      </c>
      <c r="F103">
        <f>COUNTIF(E$3:E103,E103)</f>
        <v>12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unit</v>
      </c>
      <c r="F104">
        <f>COUNTIF(E$3:E104,E104)</f>
        <v>13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unit</v>
      </c>
      <c r="F105">
        <f>COUNTIF(E$3:E105,E105)</f>
        <v>14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unit</v>
      </c>
      <c r="F106">
        <f>COUNTIF(E$3:E106,E106)</f>
        <v>15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unit</v>
      </c>
      <c r="F107">
        <f>COUNTIF(E$3:E107,E107)</f>
        <v>16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unit</v>
      </c>
      <c r="F108">
        <f>COUNTIF(E$3:E108,E108)</f>
        <v>17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unit</v>
      </c>
      <c r="F109">
        <f>COUNTIF(E$3:E109,E109)</f>
        <v>18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unit</v>
      </c>
      <c r="F110">
        <f>COUNTIF(E$3:E110,E110)</f>
        <v>19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unit</v>
      </c>
      <c r="F111">
        <f>COUNTIF(E$3:E111,E111)</f>
        <v>20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unit</v>
      </c>
      <c r="F112">
        <f>COUNTIF(E$3:E112,E112)</f>
        <v>21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unit</v>
      </c>
      <c r="F113">
        <f>COUNTIF(E$3:E113,E113)</f>
        <v>22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unit</v>
      </c>
      <c r="F114">
        <f>COUNTIF(E$3:E114,E114)</f>
        <v>23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unit</v>
      </c>
      <c r="F115">
        <f>COUNTIF(E$3:E115,E115)</f>
        <v>24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unit</v>
      </c>
      <c r="F116">
        <f>COUNTIF(E$3:E116,E116)</f>
        <v>25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unit</v>
      </c>
      <c r="F117">
        <f>COUNTIF(E$3:E117,E117)</f>
        <v>26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unit</v>
      </c>
      <c r="F118">
        <f>COUNTIF(E$3:E118,E118)</f>
        <v>27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unit</v>
      </c>
      <c r="F119">
        <f>COUNTIF(E$3:E119,E119)</f>
        <v>28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unit</v>
      </c>
      <c r="F120">
        <f>COUNTIF(E$3:E120,E120)</f>
        <v>29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unit</v>
      </c>
      <c r="F121">
        <f>COUNTIF(E$3:E121,E121)</f>
        <v>30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unit</v>
      </c>
      <c r="F122">
        <f>COUNTIF(E$3:E122,E122)</f>
        <v>31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unit</v>
      </c>
      <c r="F123">
        <f>COUNTIF(E$3:E123,E123)</f>
        <v>32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unit</v>
      </c>
      <c r="F124">
        <f>COUNTIF(E$3:E124,E124)</f>
        <v>33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unit</v>
      </c>
      <c r="F125">
        <f>COUNTIF(E$3:E125,E125)</f>
        <v>34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unit</v>
      </c>
      <c r="F126">
        <f>COUNTIF(E$3:E126,E126)</f>
        <v>35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unit</v>
      </c>
      <c r="F127">
        <f>COUNTIF(E$3:E127,E127)</f>
        <v>36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unit</v>
      </c>
      <c r="F128">
        <f>COUNTIF(E$3:E128,E128)</f>
        <v>37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unit</v>
      </c>
      <c r="F129">
        <f>COUNTIF(E$3:E129,E129)</f>
        <v>38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unit</v>
      </c>
      <c r="F130">
        <f>COUNTIF(E$3:E130,E130)</f>
        <v>39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unit</v>
      </c>
      <c r="F131">
        <f>COUNTIF(E$3:E131,E131)</f>
        <v>40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unit</v>
      </c>
      <c r="F132">
        <f>COUNTIF(E$3:E132,E132)</f>
        <v>41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unit</v>
      </c>
      <c r="F133">
        <f>COUNTIF(E$3:E133,E133)</f>
        <v>42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unit</v>
      </c>
      <c r="F134">
        <f>COUNTIF(E$3:E134,E134)</f>
        <v>43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unit</v>
      </c>
      <c r="F135">
        <f>COUNTIF(E$3:E135,E135)</f>
        <v>44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unit</v>
      </c>
      <c r="F136">
        <f>COUNTIF(E$3:E136,E136)</f>
        <v>45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unit</v>
      </c>
      <c r="F137">
        <f>COUNTIF(E$3:E137,E137)</f>
        <v>46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unit</v>
      </c>
      <c r="F138">
        <f>COUNTIF(E$3:E138,E138)</f>
        <v>47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unit</v>
      </c>
      <c r="F139">
        <f>COUNTIF(E$3:E139,E139)</f>
        <v>48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unit</v>
      </c>
      <c r="F140">
        <f>COUNTIF(E$3:E140,E140)</f>
        <v>49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unit</v>
      </c>
      <c r="F141">
        <f>COUNTIF(E$3:E141,E141)</f>
        <v>50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unit</v>
      </c>
      <c r="F142">
        <f>COUNTIF(E$3:E142,E142)</f>
        <v>51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unit</v>
      </c>
      <c r="F143">
        <f>COUNTIF(E$3:E143,E143)</f>
        <v>52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unit</v>
      </c>
      <c r="F144">
        <f>COUNTIF(E$3:E144,E144)</f>
        <v>53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unit</v>
      </c>
      <c r="F145">
        <f>COUNTIF(E$3:E145,E145)</f>
        <v>54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unit</v>
      </c>
      <c r="F146">
        <f>COUNTIF(E$3:E146,E146)</f>
        <v>55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unit</v>
      </c>
      <c r="F147">
        <f>COUNTIF(E$3:E147,E147)</f>
        <v>56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unit</v>
      </c>
      <c r="F148">
        <f>COUNTIF(E$3:E148,E148)</f>
        <v>57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unit</v>
      </c>
      <c r="F149">
        <f>COUNTIF(E$3:E149,E149)</f>
        <v>58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unit</v>
      </c>
      <c r="F150">
        <f>COUNTIF(E$3:E150,E150)</f>
        <v>59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unit</v>
      </c>
      <c r="F151">
        <f>COUNTIF(E$3:E151,E151)</f>
        <v>60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unit</v>
      </c>
      <c r="F152">
        <f>COUNTIF(E$3:E152,E152)</f>
        <v>61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unit</v>
      </c>
      <c r="F153">
        <f>COUNTIF(E$3:E153,E153)</f>
        <v>62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unit</v>
      </c>
      <c r="F154">
        <f>COUNTIF(E$3:E154,E154)</f>
        <v>63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unit</v>
      </c>
      <c r="F155">
        <f>COUNTIF(E$3:E155,E155)</f>
        <v>64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unit</v>
      </c>
      <c r="F156">
        <f>COUNTIF(E$3:E156,E156)</f>
        <v>65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unit</v>
      </c>
      <c r="F157">
        <f>COUNTIF(E$3:E157,E157)</f>
        <v>66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unit</v>
      </c>
      <c r="F158">
        <f>COUNTIF(E$3:E158,E158)</f>
        <v>67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unit</v>
      </c>
      <c r="F159">
        <f>COUNTIF(E$3:E159,E159)</f>
        <v>68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unit</v>
      </c>
      <c r="F160">
        <f>COUNTIF(E$3:E160,E160)</f>
        <v>69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unit</v>
      </c>
      <c r="F161">
        <f>COUNTIF(E$3:E161,E161)</f>
        <v>70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unit</v>
      </c>
      <c r="F162">
        <f>COUNTIF(E$3:E162,E162)</f>
        <v>71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unit</v>
      </c>
      <c r="F163">
        <f>COUNTIF(E$3:E163,E163)</f>
        <v>72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unit</v>
      </c>
      <c r="F164">
        <f>COUNTIF(E$3:E164,E164)</f>
        <v>73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unit</v>
      </c>
      <c r="F165">
        <f>COUNTIF(E$3:E165,E165)</f>
        <v>74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unit</v>
      </c>
      <c r="F166">
        <f>COUNTIF(E$3:E166,E166)</f>
        <v>75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unit</v>
      </c>
      <c r="F167">
        <f>COUNTIF(E$3:E167,E167)</f>
        <v>76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unit</v>
      </c>
      <c r="F168">
        <f>COUNTIF(E$3:E168,E168)</f>
        <v>77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unit</v>
      </c>
      <c r="F169">
        <f>COUNTIF(E$3:E169,E169)</f>
        <v>78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unit</v>
      </c>
      <c r="F170">
        <f>COUNTIF(E$3:E170,E170)</f>
        <v>79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unit</v>
      </c>
      <c r="F171">
        <f>COUNTIF(E$3:E171,E171)</f>
        <v>80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unit</v>
      </c>
      <c r="F172">
        <f>COUNTIF(E$3:E172,E172)</f>
        <v>81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unit</v>
      </c>
      <c r="F173">
        <f>COUNTIF(E$3:E173,E173)</f>
        <v>82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unit</v>
      </c>
      <c r="F174">
        <f>COUNTIF(E$3:E174,E174)</f>
        <v>83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unit</v>
      </c>
      <c r="F175">
        <f>COUNTIF(E$3:E175,E175)</f>
        <v>84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unit</v>
      </c>
      <c r="F176">
        <f>COUNTIF(E$3:E176,E176)</f>
        <v>85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unit</v>
      </c>
      <c r="F177">
        <f>COUNTIF(E$3:E177,E177)</f>
        <v>86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unit</v>
      </c>
      <c r="F178">
        <f>COUNTIF(E$3:E178,E178)</f>
        <v>87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unit</v>
      </c>
      <c r="F179">
        <f>COUNTIF(E$3:E179,E179)</f>
        <v>88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unit</v>
      </c>
      <c r="F180">
        <f>COUNTIF(E$3:E180,E180)</f>
        <v>89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unit</v>
      </c>
      <c r="F181">
        <f>COUNTIF(E$3:E181,E181)</f>
        <v>90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unit</v>
      </c>
      <c r="F182">
        <f>COUNTIF(E$3:E182,E182)</f>
        <v>91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unit</v>
      </c>
      <c r="F183">
        <f>COUNTIF(E$3:E183,E183)</f>
        <v>92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unit</v>
      </c>
      <c r="F184">
        <f>COUNTIF(E$3:E184,E184)</f>
        <v>93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unit</v>
      </c>
      <c r="F185">
        <f>COUNTIF(E$3:E185,E185)</f>
        <v>94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unit</v>
      </c>
      <c r="F186">
        <f>COUNTIF(E$3:E186,E186)</f>
        <v>95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unit</v>
      </c>
      <c r="F187">
        <f>COUNTIF(E$3:E187,E187)</f>
        <v>96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unit</v>
      </c>
      <c r="F188">
        <f>COUNTIF(E$3:E188,E188)</f>
        <v>97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unit</v>
      </c>
      <c r="F189">
        <f>COUNTIF(E$3:E189,E189)</f>
        <v>98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unit</v>
      </c>
      <c r="F190">
        <f>COUNTIF(E$3:E190,E190)</f>
        <v>99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unit</v>
      </c>
      <c r="F191">
        <f>COUNTIF(E$3:E191,E191)</f>
        <v>100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unit</v>
      </c>
      <c r="F192">
        <f>COUNTIF(E$3:E192,E192)</f>
        <v>101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unit</v>
      </c>
      <c r="F193">
        <f>COUNTIF(E$3:E193,E193)</f>
        <v>102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unit</v>
      </c>
      <c r="F194">
        <f>COUNTIF(E$3:E194,E194)</f>
        <v>103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unit</v>
      </c>
      <c r="F195">
        <f>COUNTIF(E$3:E195,E195)</f>
        <v>104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unit</v>
      </c>
      <c r="F196">
        <f>COUNTIF(E$3:E196,E196)</f>
        <v>105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unit</v>
      </c>
      <c r="F197">
        <f>COUNTIF(E$3:E197,E197)</f>
        <v>106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unit</v>
      </c>
      <c r="F198">
        <f>COUNTIF(E$3:E198,E198)</f>
        <v>107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unit</v>
      </c>
      <c r="F199">
        <f>COUNTIF(E$3:E199,E199)</f>
        <v>108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unit</v>
      </c>
      <c r="F200">
        <f>COUNTIF(E$3:E200,E200)</f>
        <v>109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unit</v>
      </c>
      <c r="F201">
        <f>COUNTIF(E$3:E201,E201)</f>
        <v>110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unit</v>
      </c>
      <c r="F202">
        <f>COUNTIF(E$3:E202,E202)</f>
        <v>111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C:\tk\prj\hg-0025-0016\git\vt5-w10\[TP_メッセージ.xlsx]Sheet1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//Welding torch forward/backward
	ELSIF uiInfoIdx = 8 THEN
		IF strInfoKey = 'name' THEN
			strRt	:= 'Welding torch forward/backward';
		ELSIF strInfoKey = 'index_name' THEN
			strRt	:= '【axis8】 Welding torch forward/backward';
		ELSIF strInfoKey = 'model' THEN
			strRt	:= 'ICSB2-YSA2M-WA-20AQ-20AQBNM-T4-5L-SC/ISB【ISPB】-SXM-WA-60-8-②-T4-⑧-③';
		ELSIF strInfoKey = 'mf' THEN
			strRt	:= 'IAI';
		ELSE
			uiErrCode	:= 3;
		END_IF;
	//Welding torch up/down
	ELSIF uiInfoIdx = 9 THEN
		IF strInfoKey = 'name' THEN
			strRt	:= 'Welding torch up/down';
		ELSIF strInfoKey = 'index_name' THEN
			strRt	:= '【axis9】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
	//Flat auxiliary plate
	ELSIF uiInfoIdx = 4 THEN
		IF strInfoKey = 'name' THEN
			strRt	:= 'Flat auxiliary plate';
		ELSIF strInfoKey = 'index_name' THEN
			strRt	:= '【cylinder4】 Flat auxiliary plate';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ELSE
		uiErrCode	:= 2;
	END_IF;
//unit
ELSIF strInfoType = 'unit' THEN
	//Flat Sheet Supply
	IF uiInfoIdx = 1 THEN
		IF strInfoKey = 'name' THEN
			strRt	:= 'Flat Sheet Supply';
		ELSIF strInfoKey = 'index_name' THEN
			strRt	:= '【unit1】 Flat Sheet Supply';
		ELSIF strInfoKey = 'model' THEN
			strRt	:= 'unknown';
		ELSIF strInfoKey = 'mf' THEN
			strRt	:= 'unknown';
		ELSE
			uiErrCode	:= 3;
		END_IF;
	//Corrugated Sheet Supply
	ELSIF uiInfoIdx = 2 THEN
		IF strInfoKey = 'name' THEN
			strRt	:= 'Corrugated Sheet Supply';
		ELSIF strInfoKey = 'index_name' THEN
			strRt	:= '【unit2】 Corrugated Sheet Supply';
		ELSIF strInfoKey = 'model' THEN
			strRt	:= 'unknown';
		ELSIF strInfoKey = 'mf' THEN
			strRt	:= 'unknown';
		ELSE
			uiErrCode	:= 3;
		END_IF;
	//Foil Wax Supply
	ELSIF uiInfoIdx = 3 THEN
		IF strInfoKey = 'name' THEN
			strRt	:= 'Foil Wax Supply';
		ELSIF strInfoKey = 'index_name' THEN
			strRt	:= '【unit3】 Foil Wax Supply';
		ELSIF strInfoKey = 'model' THEN
			strRt	:= 'unknown';
		ELSIF strInfoKey = 'mf' THEN
			strRt	:= 'unknown';
		ELSE
			uiErrCode	:= 3;
		END_IF;
	//Winding Shaft
	ELSIF uiInfoIdx = 4 THEN
		IF strInfoKey = 'name' THEN
			strRt	:= 'Winding Shaft';
		ELSIF strInfoKey = 'index_name' THEN
			strRt	:= '【unit4】 Winding Shaft';
		ELSIF strInfoKey = 'model' THEN
			strRt	:= 'unknown';
		ELSIF strInfoKey = 'mf' THEN
			strRt	:= 'unknown';
		ELSE
			uiErrCode	:= 3;
		END_IF;
	//Welding
	ELSIF uiInfoIdx = 5 THEN
		IF strInfoKey = 'name' THEN
			strRt	:= 'Welding';
		ELSIF strInfoKey = 'index_name' THEN
			strRt	:= '【unit5】 Welding';
		ELSIF strInfoKey = 'model' THEN
			strRt	:= 'unknown';
		ELSIF strInfoKey = 'mf' THEN
			strRt	:= 'unknown';
		ELSE
			uiErrCode	:= 3;
		END_IF;
	//Discharge
	ELSIF uiInfoIdx = 6 THEN
		IF strInfoKey = 'name' THEN
			strRt	:= 'Discharge';
		ELSIF strInfoKey = 'index_name' THEN
			strRt	:= '【unit6】 Discharge';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2025-12-09T12:59:55Z</dcterms:modified>
</cp:coreProperties>
</file>