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146A86EB-E870-42F1-933B-D526A31F2A56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7" i="1"/>
  <c r="C69" i="1"/>
  <c r="C67" i="1"/>
  <c r="B69" i="1"/>
  <c r="B67" i="1"/>
  <c r="D65" i="1"/>
  <c r="A65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<sst xmlns="http://schemas.openxmlformats.org/spreadsheetml/2006/main" count="489" uniqueCount="289">
  <si>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</si>
  <si>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</si>
  <si>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</si>
  <si>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</si>
  <si>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</si>
  <si>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</si>
  <si>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</si>
  <si>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</si>
  <si>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</si>
  <si>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</si>
  <si>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</si>
  <si>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</si>
  <si>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</si>
  <si>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</si>
  <si>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</si>
  <si>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</si>
  <si>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</si>
  <si>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</si>
  <si>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</si>
  <si>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</si>
  <si>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</si>
  <si>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</si>
  <si>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</si>
  <si>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</si>
  <si>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</si>
  <si>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</si>
  <si>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</si>
  <si>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</si>
  <si>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</si>
  <si>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</si>
  <si>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</si>
  <si>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</si>
  <si>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</si>
  <si>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</si>
  <si>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</si>
  <si>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</si>
  <si>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</si>
  <si>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</si>
  <si>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</si>
  <si>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</si>
  <si>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</si>
  <si>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</si>
  <si>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</si>
  <si>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</si>
  <si>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</si>
  <si>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</si>
  <si>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</si>
  <si>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</si>
  <si>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</si>
  <si>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</si>
  <si>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</si>
  <si>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</si>
  <si>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</si>
  <si>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</si>
  <si>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</si>
  <si>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</si>
  <si>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</si>
  <si>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</si>
  <si>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</si>
  <si>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</si>
  <si>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</si>
  <si>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</si>
  <si>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</si>
  <si>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</si>
  <si>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</si>
  <si>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</si>
  <si>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</si>
  <si>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</si>
  <si>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</si>
  <si>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</si>
  <si>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</si>
  <si>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</si>
  <si>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</si>
  <si>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</si>
  <si>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</si>
  <si>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</si>
  <si>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</si>
  <si>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</si>
  <si>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</si>
  <si>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</si>
  <si>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</si>
  <si>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</si>
  <si>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</si>
  <si>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</si>
  <si>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</si>
  <si>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</si>
  <si>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</si>
  <si>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</si>
  <si>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</si>
  <si>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</si>
  <si>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</si>
  <si>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</si>
  <si>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</si>
  <si>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</si>
  <si>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</si>
  <si>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</si>
  <si>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</si>
  <si>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</si>
  <si>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</si>
  <si>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</si>
  <si>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</si>
  <si>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</si>
  <si>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</si>
  <si>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</si>
  <si>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</si>
  <si>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</si>
  <si>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</si>
  <si>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</si>
  <si>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</si>
  <si>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</si>
  <si>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</si>
  <si>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</si>
  <si>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</si>
  <si>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</si>
  <si>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</si>
  <si>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</si>
  <si>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</si>
  <si>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</si>
  <si>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</si>
  <si>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</si>
  <si>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</si>
  <si>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</si>
  <si>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</si>
  <si>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</si>
  <si>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</si>
  <si>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</si>
  <si>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</si>
  <si>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</si>
  <si>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</si>
  <si>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</si>
  <si>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</si>
  <si>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</si>
  <si>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</si>
  <si>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</si>
  <si>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</si>
  <si>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</si>
  <si>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</si>
  <si>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</si>
  <si>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</si>
  <si>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</si>
  <si>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</si>
  <si>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</si>
  <si>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</si>
  <si>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</si>
  <si>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</si>
  <si>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</si>
  <si>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</si>
  <si>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</si>
  <si>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</si>
  <si>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</si>
  <si>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</si>
  <si>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</si>
  <si>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</si>
  <si>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</si>
  <si>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</si>
  <si>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</si>
  <si>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</si>
  <si>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</si>
  <si>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</si>
  <si>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</si>
  <si>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</si>
  <si>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</si>
  <si>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</si>
  <si>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</si>
  <si>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</si>
  <si>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</si>
  <si>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</si>
  <si>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</si>
  <si>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</si>
  <si>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</si>
  <si>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</si>
  <si>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</si>
  <si>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</si>
  <si>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</si>
  <si>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</si>
  <si>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</si>
  <si>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</si>
  <si>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</si>
  <si>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</si>
  <si>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</si>
  <si>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</si>
  <si>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</si>
  <si>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</si>
  <si>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</si>
  <si>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</si>
  <si>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</si>
  <si>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</si>
  <si>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</si>
  <si>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</si>
  <si>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</si>
  <si>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</si>
  <si>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</si>
  <si>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</si>
  <si>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</si>
  <si>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</si>
  <si>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</si>
  <si>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</si>
  <si>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</si>
  <si>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</si>
  <si>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</si>
  <si>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</si>
  <si>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</si>
  <si>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</si>
  <si>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</si>
  <si>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</si>
  <si>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</si>
  <si>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</si>
  <si>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</si>
  <si>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</si>
  <si>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</si>
  <si>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</si>
  <si>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</si>
  <si>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</si>
  <si>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</si>
  <si>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</si>
  <si>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</si>
  <si>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</si>
  <si>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</si>
  <si>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</si>
  <si>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</si>
  <si>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</si>
  <si>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</si>
  <si>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</si>
  <si>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</si>
  <si>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</si>
  <si>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</si>
  <si>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</si>
  <si>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</si>
  <si>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</si>
  <si>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</si>
  <si>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</si>
  <si>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</si>
  <si>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</si>
  <si>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</si>
  <si>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</si>
  <si>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</si>
  <si>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</si>
  <si>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</si>
  <si>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</si>
  <si>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</si>
  <si>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</si>
  <si>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</si>
  <si>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</si>
  <si>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</si>
  <si>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</si>
  <si>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</si>
  <si>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</si>
  <si>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</si>
  <si>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</si>
  <si>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</si>
  <si>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</si>
  <si>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</si>
  <si>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</si>
  <si>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</si>
  <si>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</si>
  <si>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</si>
  <si>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</si>
  <si>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</si>
  <si>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</si>
  <si>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</si>
  <si>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</si>
  <si>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</si>
  <si>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</si>
  <si>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</si>
  <si>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</si>
  <si>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</si>
  <si>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</si>
  <si>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</si>
  <si>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</si>
  <si>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</si>
  <si>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</si>
  <si>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WLD</t>
    <phoneticPr fontId="1"/>
  </si>
  <si>
    <t>溶接機</t>
    <rPh sb="0" eb="3">
      <t>ヨウセツキ</t>
    </rPh>
    <phoneticPr fontId="1"/>
  </si>
  <si>
    <t>welding machine</t>
    <phoneticPr fontId="1"/>
  </si>
  <si>
    <t>WLD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</si>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</sst>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84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84" fontId="0" fillId="0" borderId="0" xfId="0" applyNumberFormat="1">
      <alignment vertical="center"/>
    </xf>
    <xf numFmtId="184" fontId="12" fillId="0" borderId="3" xfId="0" applyNumberFormat="1" applyFont="1" applyBorder="1" applyAlignment="1">
      <alignment horizontal="center" vertical="center"/>
    </xf>
    <xf numFmtId="184" fontId="8" fillId="0" borderId="6" xfId="0" applyNumberFormat="1" applyFont="1" applyBorder="1" applyAlignment="1">
      <alignment horizontal="center" vertical="center"/>
    </xf>
    <xf numFmtId="184" fontId="0" fillId="0" borderId="6" xfId="0" applyNumberFormat="1" applyBorder="1" applyAlignment="1">
      <alignment horizontal="center" vertical="center"/>
    </xf>
    <xf numFmtId="184" fontId="9" fillId="0" borderId="6" xfId="0" applyNumberFormat="1" applyFont="1" applyBorder="1" applyAlignment="1">
      <alignment horizontal="center" vertical="center"/>
    </xf>
    <xf numFmtId="184" fontId="10" fillId="0" borderId="6" xfId="0" applyNumberFormat="1" applyFont="1" applyBorder="1" applyAlignment="1">
      <alignment horizontal="center" vertical="center"/>
    </xf>
    <xf numFmtId="184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84" fontId="11" fillId="3" borderId="12" xfId="0" applyNumberFormat="1" applyFont="1" applyFill="1" applyBorder="1" applyAlignment="1">
      <alignment horizontal="center" vertical="top"/>
    </xf>
    <xf numFmtId="0" fontId="13" fillId="0" borderId="0" xfId="0" applyFont="1" applyBorder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89"/>
  <sheetViews>
    <sheetView zoomScaleNormal="100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C58" sqref="C58:E58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150</v>
      </c>
      <c r="H1" s="39" t="s">
        <v>10</v>
      </c>
      <c r="I1" s="39" t="s">
        <v>7</v>
      </c>
      <c r="J1" s="39" t="s">
        <v>3</v>
      </c>
      <c r="K1" s="39" t="s">
        <v>221</v>
      </c>
      <c r="L1" s="39" t="s">
        <v>5</v>
      </c>
      <c r="M1" s="40" t="s">
        <v>112</v>
      </c>
      <c r="N1" s="40" t="s">
        <v>239</v>
      </c>
      <c r="O1" s="40" t="s">
        <v>238</v>
      </c>
      <c r="P1" s="41" t="s">
        <v>283</v>
      </c>
      <c r="Q1" s="41" t="s">
        <v>284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151</v>
      </c>
      <c r="H2" s="28" t="s">
        <v>20</v>
      </c>
      <c r="I2" s="28" t="s">
        <v>21</v>
      </c>
      <c r="J2" s="28" t="s">
        <v>223</v>
      </c>
      <c r="K2" s="28" t="s">
        <v>222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249</v>
      </c>
      <c r="H3" s="12" t="s">
        <v>14</v>
      </c>
      <c r="I3" s="12" t="s">
        <v>13</v>
      </c>
      <c r="J3" s="17" t="s">
        <v>223</v>
      </c>
      <c r="K3" s="12" t="s">
        <v>222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223</v>
      </c>
      <c r="K4" s="12" t="s">
        <v>222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223</v>
      </c>
      <c r="K5" s="12" t="s">
        <v>222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252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226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226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226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267</v>
      </c>
      <c r="G9" s="8" t="s">
        <v>269</v>
      </c>
      <c r="H9" s="8" t="s">
        <v>106</v>
      </c>
      <c r="I9" s="8" t="s">
        <v>15</v>
      </c>
      <c r="J9" s="8" t="s">
        <v>2</v>
      </c>
      <c r="K9" s="8" t="s">
        <v>226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268</v>
      </c>
      <c r="G10" s="8" t="s">
        <v>270</v>
      </c>
      <c r="H10" s="8" t="s">
        <v>107</v>
      </c>
      <c r="I10" s="8" t="s">
        <v>15</v>
      </c>
      <c r="J10" s="8" t="s">
        <v>2</v>
      </c>
      <c r="K10" s="8" t="s">
        <v>226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225</v>
      </c>
      <c r="K14" s="8" t="s">
        <v>224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225</v>
      </c>
      <c r="K15" s="8" t="s">
        <v>224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285</v>
      </c>
      <c r="F18" s="8" t="s">
        <v>280</v>
      </c>
      <c r="G18" s="8" t="s">
        <v>281</v>
      </c>
      <c r="H18" s="42" t="s">
        <v>282</v>
      </c>
      <c r="I18" s="8"/>
      <c r="J18" s="8" t="s">
        <v>222</v>
      </c>
      <c r="K18" s="8" t="s">
        <v>222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141</v>
      </c>
      <c r="G19" s="8" t="s">
        <v>164</v>
      </c>
      <c r="H19" s="8" t="s">
        <v>61</v>
      </c>
      <c r="I19" s="8" t="s">
        <v>62</v>
      </c>
      <c r="J19" s="8" t="s">
        <v>4</v>
      </c>
      <c r="K19" s="8" t="s">
        <v>227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207</v>
      </c>
      <c r="G20" s="8" t="s">
        <v>240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208</v>
      </c>
      <c r="G21" s="8" t="s">
        <v>241</v>
      </c>
      <c r="H21" s="8" t="s">
        <v>206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250</v>
      </c>
      <c r="G22" s="8" t="s">
        <v>251</v>
      </c>
      <c r="H22" s="8" t="s">
        <v>63</v>
      </c>
      <c r="I22" s="9" t="s">
        <v>64</v>
      </c>
      <c r="J22" s="8" t="s">
        <v>4</v>
      </c>
      <c r="K22" s="8" t="s">
        <v>227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149</v>
      </c>
      <c r="G23" s="8" t="s">
        <v>165</v>
      </c>
      <c r="H23" s="8" t="s">
        <v>67</v>
      </c>
      <c r="I23" s="8" t="s">
        <v>68</v>
      </c>
      <c r="J23" s="8" t="s">
        <v>4</v>
      </c>
      <c r="K23" s="8" t="s">
        <v>227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148</v>
      </c>
      <c r="G24" s="8" t="s">
        <v>166</v>
      </c>
      <c r="H24" s="8" t="s">
        <v>65</v>
      </c>
      <c r="I24" s="8" t="s">
        <v>66</v>
      </c>
      <c r="J24" s="8" t="s">
        <v>4</v>
      </c>
      <c r="K24" s="8" t="s">
        <v>227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144</v>
      </c>
      <c r="G25" s="8" t="s">
        <v>167</v>
      </c>
      <c r="H25" s="8" t="s">
        <v>69</v>
      </c>
      <c r="I25" s="8" t="s">
        <v>70</v>
      </c>
      <c r="J25" s="8" t="s">
        <v>4</v>
      </c>
      <c r="K25" s="8" t="s">
        <v>227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146</v>
      </c>
      <c r="G26" s="8" t="s">
        <v>168</v>
      </c>
      <c r="H26" s="8" t="s">
        <v>73</v>
      </c>
      <c r="I26" s="8" t="s">
        <v>70</v>
      </c>
      <c r="J26" s="8" t="s">
        <v>4</v>
      </c>
      <c r="K26" s="8" t="s">
        <v>227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169</v>
      </c>
      <c r="H27" s="8" t="s">
        <v>71</v>
      </c>
      <c r="I27" s="8" t="s">
        <v>72</v>
      </c>
      <c r="J27" s="8" t="s">
        <v>4</v>
      </c>
      <c r="K27" s="8" t="s">
        <v>227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145</v>
      </c>
      <c r="G28" s="8" t="s">
        <v>170</v>
      </c>
      <c r="H28" s="8" t="s">
        <v>69</v>
      </c>
      <c r="I28" s="8" t="s">
        <v>70</v>
      </c>
      <c r="J28" s="8" t="s">
        <v>4</v>
      </c>
      <c r="K28" s="8" t="s">
        <v>227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171</v>
      </c>
      <c r="H29" s="12" t="s">
        <v>75</v>
      </c>
      <c r="I29" s="12" t="s">
        <v>70</v>
      </c>
      <c r="J29" s="12" t="s">
        <v>4</v>
      </c>
      <c r="K29" s="12" t="s">
        <v>227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142</v>
      </c>
      <c r="G30" s="8" t="s">
        <v>172</v>
      </c>
      <c r="H30" s="8" t="s">
        <v>74</v>
      </c>
      <c r="I30" s="8" t="s">
        <v>70</v>
      </c>
      <c r="J30" s="8" t="s">
        <v>4</v>
      </c>
      <c r="K30" s="8" t="s">
        <v>227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173</v>
      </c>
      <c r="H31" s="12" t="s">
        <v>75</v>
      </c>
      <c r="I31" s="12" t="s">
        <v>70</v>
      </c>
      <c r="J31" s="12" t="s">
        <v>4</v>
      </c>
      <c r="K31" s="12" t="s">
        <v>227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143</v>
      </c>
      <c r="G32" s="8" t="s">
        <v>174</v>
      </c>
      <c r="H32" s="8" t="s">
        <v>76</v>
      </c>
      <c r="I32" s="8" t="s">
        <v>70</v>
      </c>
      <c r="J32" s="8" t="s">
        <v>4</v>
      </c>
      <c r="K32" s="8" t="s">
        <v>227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247</v>
      </c>
      <c r="G33" s="12" t="s">
        <v>248</v>
      </c>
      <c r="H33" s="12" t="s">
        <v>77</v>
      </c>
      <c r="I33" s="12" t="s">
        <v>78</v>
      </c>
      <c r="J33" s="12" t="s">
        <v>4</v>
      </c>
      <c r="K33" s="12" t="s">
        <v>227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147</v>
      </c>
      <c r="G34" s="12" t="s">
        <v>175</v>
      </c>
      <c r="H34" s="12" t="s">
        <v>77</v>
      </c>
      <c r="I34" s="12" t="s">
        <v>78</v>
      </c>
      <c r="J34" s="12" t="s">
        <v>4</v>
      </c>
      <c r="K34" s="12" t="s">
        <v>227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209</v>
      </c>
      <c r="G35" s="8" t="s">
        <v>242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210</v>
      </c>
      <c r="G36" s="8" t="s">
        <v>243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212</v>
      </c>
      <c r="G37" s="8" t="s">
        <v>244</v>
      </c>
      <c r="H37" s="8" t="s">
        <v>211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275</v>
      </c>
      <c r="G38" s="8" t="s">
        <v>277</v>
      </c>
      <c r="H38" s="8" t="s">
        <v>276</v>
      </c>
      <c r="I38" s="8" t="s">
        <v>279</v>
      </c>
      <c r="J38" s="8" t="s">
        <v>278</v>
      </c>
      <c r="K38" s="8" t="s">
        <v>278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227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227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227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203</v>
      </c>
      <c r="H42" s="8" t="s">
        <v>30</v>
      </c>
      <c r="I42" s="8" t="s">
        <v>29</v>
      </c>
      <c r="J42" s="8" t="s">
        <v>2</v>
      </c>
      <c r="K42" s="8" t="s">
        <v>226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225</v>
      </c>
      <c r="K43" s="8" t="s">
        <v>224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225</v>
      </c>
      <c r="K44" s="8" t="s">
        <v>224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225</v>
      </c>
      <c r="K45" s="8" t="s">
        <v>224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225</v>
      </c>
      <c r="K46" s="8" t="s">
        <v>224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225</v>
      </c>
      <c r="K47" s="8" t="s">
        <v>224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225</v>
      </c>
      <c r="K48" s="8" t="s">
        <v>224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225</v>
      </c>
      <c r="K49" s="8" t="s">
        <v>224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225</v>
      </c>
      <c r="K50" s="8" t="s">
        <v>224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225</v>
      </c>
      <c r="K51" s="8" t="s">
        <v>224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225</v>
      </c>
      <c r="K52" s="8" t="s">
        <v>224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266</v>
      </c>
      <c r="C53" s="7">
        <v>1</v>
      </c>
      <c r="D53" s="8"/>
      <c r="E53" s="8"/>
      <c r="F53" s="8" t="s">
        <v>253</v>
      </c>
      <c r="G53" s="8" t="s">
        <v>259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266</v>
      </c>
      <c r="C54" s="7">
        <v>2</v>
      </c>
      <c r="D54" s="8"/>
      <c r="E54" s="8"/>
      <c r="F54" s="8" t="s">
        <v>254</v>
      </c>
      <c r="G54" s="8" t="s">
        <v>260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266</v>
      </c>
      <c r="C55" s="7">
        <v>3</v>
      </c>
      <c r="D55" s="8"/>
      <c r="E55" s="8"/>
      <c r="F55" s="8" t="s">
        <v>255</v>
      </c>
      <c r="G55" s="8" t="s">
        <v>261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266</v>
      </c>
      <c r="C56" s="7">
        <v>4</v>
      </c>
      <c r="D56" s="8"/>
      <c r="E56" s="8"/>
      <c r="F56" s="8" t="s">
        <v>256</v>
      </c>
      <c r="G56" s="8" t="s">
        <v>262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266</v>
      </c>
      <c r="C57" s="7">
        <v>5</v>
      </c>
      <c r="D57" s="8"/>
      <c r="E57" s="8"/>
      <c r="F57" s="8" t="s">
        <v>257</v>
      </c>
      <c r="G57" s="8" t="s">
        <v>263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266</v>
      </c>
      <c r="C58" s="7">
        <v>6</v>
      </c>
      <c r="D58" s="8"/>
      <c r="E58" s="8"/>
      <c r="F58" s="8" t="s">
        <v>258</v>
      </c>
      <c r="G58" s="8" t="s">
        <v>264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286</v>
      </c>
      <c r="C59" s="7">
        <v>7</v>
      </c>
      <c r="D59" s="8"/>
      <c r="E59" s="8"/>
      <c r="F59" s="8" t="s">
        <v>287</v>
      </c>
      <c r="G59" s="8" t="s">
        <v>288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57</v>
      </c>
      <c r="B60" s="7" t="s">
        <v>271</v>
      </c>
      <c r="C60" s="7">
        <v>1</v>
      </c>
      <c r="D60" s="8"/>
      <c r="E60" s="8"/>
      <c r="F60" s="8" t="s">
        <v>272</v>
      </c>
      <c r="G60" s="8" t="s">
        <v>273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/>
      <c r="B61" s="7"/>
      <c r="C61" s="7"/>
      <c r="D61" s="8"/>
      <c r="E61" s="8"/>
      <c r="F61" s="8"/>
      <c r="G61" s="8"/>
      <c r="H61" s="8"/>
      <c r="I61" s="8"/>
      <c r="J61" s="8"/>
      <c r="K61" s="8"/>
      <c r="L61" s="8"/>
      <c r="M61" s="10"/>
      <c r="N61" s="10"/>
      <c r="O61" s="10"/>
      <c r="P61" s="34"/>
      <c r="Q61" s="34"/>
      <c r="R61" s="10"/>
    </row>
    <row r="62" spans="1:18" x14ac:dyDescent="0.55000000000000004">
      <c r="A62" s="18"/>
      <c r="B62" s="18"/>
      <c r="C62" s="18"/>
      <c r="D62" s="19"/>
      <c r="E62" s="19"/>
      <c r="F62" s="19"/>
      <c r="G62" s="19"/>
      <c r="H62" s="19"/>
      <c r="I62" s="19"/>
      <c r="J62" s="19"/>
      <c r="K62" s="19"/>
      <c r="L62" s="19"/>
      <c r="M62" s="20"/>
      <c r="N62" s="20"/>
      <c r="O62" s="20"/>
      <c r="P62" s="37"/>
      <c r="Q62" s="37"/>
      <c r="R62" s="20"/>
    </row>
    <row r="64" spans="1:18" x14ac:dyDescent="0.55000000000000004">
      <c r="A64" t="s">
        <v>111</v>
      </c>
      <c r="D64" t="s">
        <v>110</v>
      </c>
    </row>
    <row r="65" spans="1:18" x14ac:dyDescent="0.55000000000000004">
      <c r="A65">
        <f>MAX(A$2:A$62)</f>
        <v>60</v>
      </c>
      <c r="D65">
        <f>MAX(D$2:D$62)</f>
        <v>11</v>
      </c>
    </row>
    <row r="66" spans="1:18" x14ac:dyDescent="0.55000000000000004">
      <c r="A66" t="s">
        <v>199</v>
      </c>
      <c r="B66" t="s">
        <v>117</v>
      </c>
      <c r="C66" t="s">
        <v>116</v>
      </c>
    </row>
    <row r="67" spans="1:18" x14ac:dyDescent="0.55000000000000004">
      <c r="A67">
        <f>ROW(A63)-ROW(A1)-1</f>
        <v>61</v>
      </c>
      <c r="B67">
        <f>COUNTIF(B$2:B$62,B66)</f>
        <v>17</v>
      </c>
      <c r="C67" s="25">
        <f>_xlfn.MAXIFS(C$2:C$62,$B$2:$B$62,C66)</f>
        <v>17</v>
      </c>
    </row>
    <row r="68" spans="1:18" x14ac:dyDescent="0.55000000000000004">
      <c r="B68" t="s">
        <v>114</v>
      </c>
      <c r="C68" t="s">
        <v>114</v>
      </c>
    </row>
    <row r="69" spans="1:18" x14ac:dyDescent="0.55000000000000004">
      <c r="B69">
        <f>COUNTIF(B$2:B$62,B68)</f>
        <v>23</v>
      </c>
      <c r="C69" s="25">
        <f>_xlfn.MAXIFS(C$2:C$62,$B$2:$B$62,C68)</f>
        <v>20</v>
      </c>
    </row>
    <row r="72" spans="1:18" x14ac:dyDescent="0.55000000000000004">
      <c r="H72" s="2" t="s">
        <v>37</v>
      </c>
      <c r="L72">
        <v>1</v>
      </c>
      <c r="R72" t="s">
        <v>79</v>
      </c>
    </row>
    <row r="73" spans="1:18" x14ac:dyDescent="0.55000000000000004">
      <c r="H73" t="s">
        <v>56</v>
      </c>
      <c r="I73" t="s">
        <v>53</v>
      </c>
      <c r="J73" t="s">
        <v>52</v>
      </c>
      <c r="L73">
        <v>1</v>
      </c>
      <c r="R73" t="s">
        <v>79</v>
      </c>
    </row>
    <row r="75" spans="1:18" x14ac:dyDescent="0.55000000000000004">
      <c r="H75" s="2" t="s">
        <v>38</v>
      </c>
    </row>
    <row r="76" spans="1:18" x14ac:dyDescent="0.55000000000000004">
      <c r="H76" t="s">
        <v>82</v>
      </c>
      <c r="I76" t="s">
        <v>84</v>
      </c>
      <c r="J76" t="s">
        <v>80</v>
      </c>
      <c r="L76">
        <v>1</v>
      </c>
      <c r="R76" t="s">
        <v>79</v>
      </c>
    </row>
    <row r="78" spans="1:18" x14ac:dyDescent="0.55000000000000004">
      <c r="H78" s="2" t="s">
        <v>39</v>
      </c>
    </row>
    <row r="79" spans="1:18" x14ac:dyDescent="0.55000000000000004">
      <c r="H79" t="s">
        <v>83</v>
      </c>
      <c r="I79" t="s">
        <v>84</v>
      </c>
      <c r="J79" t="s">
        <v>81</v>
      </c>
      <c r="L79">
        <v>1</v>
      </c>
      <c r="R79" t="s">
        <v>79</v>
      </c>
    </row>
    <row r="81" spans="8:18" x14ac:dyDescent="0.55000000000000004">
      <c r="H81" s="2" t="s">
        <v>40</v>
      </c>
    </row>
    <row r="82" spans="8:18" x14ac:dyDescent="0.55000000000000004">
      <c r="H82" t="s">
        <v>42</v>
      </c>
      <c r="I82" t="s">
        <v>43</v>
      </c>
      <c r="J82" t="s">
        <v>12</v>
      </c>
      <c r="L82">
        <v>1</v>
      </c>
      <c r="R82" t="s">
        <v>87</v>
      </c>
    </row>
    <row r="83" spans="8:18" x14ac:dyDescent="0.55000000000000004">
      <c r="H83" t="s">
        <v>45</v>
      </c>
      <c r="I83" s="1" t="s">
        <v>54</v>
      </c>
      <c r="J83" t="s">
        <v>44</v>
      </c>
      <c r="L83">
        <v>2</v>
      </c>
      <c r="R83" t="s">
        <v>87</v>
      </c>
    </row>
    <row r="85" spans="8:18" x14ac:dyDescent="0.55000000000000004">
      <c r="H85" s="2" t="s">
        <v>41</v>
      </c>
    </row>
    <row r="86" spans="8:18" x14ac:dyDescent="0.55000000000000004">
      <c r="H86" t="s">
        <v>46</v>
      </c>
      <c r="I86" t="s">
        <v>47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50</v>
      </c>
      <c r="I87" s="3" t="s">
        <v>48</v>
      </c>
      <c r="J87" t="s">
        <v>49</v>
      </c>
      <c r="L87">
        <v>1</v>
      </c>
      <c r="R87" t="s">
        <v>87</v>
      </c>
    </row>
    <row r="88" spans="8:18" x14ac:dyDescent="0.55000000000000004">
      <c r="H88" t="s">
        <v>51</v>
      </c>
      <c r="I88" t="s">
        <v>55</v>
      </c>
      <c r="J88" t="s">
        <v>4</v>
      </c>
      <c r="L88">
        <v>2</v>
      </c>
      <c r="R88" t="s">
        <v>87</v>
      </c>
    </row>
    <row r="89" spans="8:18" x14ac:dyDescent="0.55000000000000004">
      <c r="H89" t="s">
        <v>85</v>
      </c>
      <c r="I89" t="s">
        <v>86</v>
      </c>
      <c r="J89" t="s">
        <v>88</v>
      </c>
      <c r="L89">
        <v>1</v>
      </c>
      <c r="R89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9:R62 A18:G18 I18:R18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12" activePane="bottomRight" state="frozen"/>
      <selection activeCell="I12" sqref="I12"/>
      <selection pane="topRight" activeCell="I12" sqref="I12"/>
      <selection pane="bottomLeft" activeCell="I12" sqref="I12"/>
      <selection pane="bottomRight" activeCell="E28" sqref="E28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233</v>
      </c>
      <c r="J1" t="s">
        <v>229</v>
      </c>
      <c r="L1" t="s">
        <v>230</v>
      </c>
      <c r="N1" t="s">
        <v>231</v>
      </c>
      <c r="P1" t="s">
        <v>232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214</v>
      </c>
      <c r="E2" s="30" t="s">
        <v>219</v>
      </c>
      <c r="F2" s="30" t="s">
        <v>102</v>
      </c>
      <c r="G2" s="30" t="s">
        <v>198</v>
      </c>
      <c r="H2" s="30" t="s">
        <v>218</v>
      </c>
      <c r="J2" s="30" t="s">
        <v>190</v>
      </c>
      <c r="L2" s="30" t="s">
        <v>191</v>
      </c>
      <c r="N2" s="30" t="s">
        <v>201</v>
      </c>
      <c r="P2" s="30" t="s">
        <v>220</v>
      </c>
      <c r="X2" s="30" t="s">
        <v>202</v>
      </c>
      <c r="Y2" s="30" t="s">
        <v>193</v>
      </c>
      <c r="Z2" s="30" t="s">
        <v>194</v>
      </c>
      <c r="AA2" s="30" t="s">
        <v>195</v>
      </c>
      <c r="AB2" s="30" t="s">
        <v>196</v>
      </c>
      <c r="AC2" s="30" t="s">
        <v>197</v>
      </c>
      <c r="AD2" s="30" t="s">
        <v>196</v>
      </c>
      <c r="AE2" s="30" t="s">
        <v>204</v>
      </c>
      <c r="AF2" s="30" t="s">
        <v>205</v>
      </c>
      <c r="AG2" s="30" t="s">
        <v>228</v>
      </c>
      <c r="AH2" s="30" t="s">
        <v>205</v>
      </c>
      <c r="AI2" s="30" t="s">
        <v>216</v>
      </c>
      <c r="AJ2" s="30" t="s">
        <v>217</v>
      </c>
      <c r="AK2" s="30" t="s">
        <v>213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IFERROR(MATCH($E$3:$E$202&amp;$F$3:$F$202,info_index!$B$2:$B$62&amp;info_index!$C$2:$C$62,0),"")</f>
        <v>1</v>
      </c>
      <c r="I3" t="str" cm="1">
        <f t="array" aca="1" ref="I3:I202" ca="1">IF(LEN(_xlfn.ANCHORARRAY(H3)),INDEX(OFFSET(info_index!$F$2:$F$62,0,$B$23),MATCH($E$3:$E$202&amp;$F$3:$F$202,info_index!$B$2:$B$62&amp;info_index!$C$2:$C$62,0)&amp;"",1),"")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IFERROR(INDEX(info_index!$H$2:$H$62,MATCH($E$3:$E$202&amp;$F$3:$F$202,info_index!$B$2:$B$62&amp;info_index!$C$2:$C$62,0),1)&amp;"","")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IF(LEN(_xlfn.ANCHORARRAY(H3)),INDEX(OFFSET(info_index!$J$2:$J$62,0,$B$23),MATCH($E$3:$E$202&amp;$F$3:$F$202,info_index!$B$2:$B$62&amp;info_index!$C$2:$C$62,0),1)&amp;"","")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C:\tk\prj\hg-0025-0016\git\kv-x520\doc\[kv_script_conv_info.xlsx]info_script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Corrugated sheet auxiliary shaft</v>
      </c>
      <c r="J19" t="str">
        <f ca="1"/>
        <v>Corrugated sheet auxiliary shaft</v>
      </c>
      <c r="L19" t="str">
        <f ca="1"/>
        <v>【axis17】 Corrugated sheet auxiliary shaft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auxiliary shaft
	ELSIF uiInfoIdx = 17 THEN</v>
      </c>
      <c r="AA19" t="str">
        <f ca="1"/>
        <v xml:space="preserve">
	//Corrugated sheet auxiliary shaft
	ELSIF uiInfoIdx = 17 THEN
		IF strInfoKey = 'name' THEN</v>
      </c>
      <c r="AB19" t="str">
        <f ca="1"/>
        <v xml:space="preserve">
	//Corrugated sheet auxiliary shaft
	ELSIF uiInfoIdx = 17 THEN
		IF strInfoKey = 'name' THEN
			strRt	:= 'Corrugated sheet auxiliary shaft';</v>
      </c>
      <c r="AC19" t="str">
        <f ca="1"/>
        <v xml:space="preserve">
	//Corrugated sheet auxiliary shaft
	ELSIF uiInfoIdx = 17 THEN
		IF strInfoKey = 'name' THEN
			strRt	:= 'Corrugated sheet auxiliary shaft';
		ELSIF strInfoKey = 'index_name' THEN</v>
      </c>
      <c r="AD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</v>
      </c>
      <c r="AE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</v>
      </c>
      <c r="AF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</v>
      </c>
      <c r="AG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</v>
      </c>
      <c r="AH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</v>
      </c>
      <c r="AI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J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K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215</v>
      </c>
      <c r="B29" t="s">
        <v>246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T-roll gluing ①</v>
      </c>
      <c r="J64" t="str">
        <f ca="1"/>
        <v>T-roll gluing ①</v>
      </c>
      <c r="L64" t="str">
        <f ca="1"/>
        <v>【cylinder2】 T-roll gluing 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
	ELSIF uiInfoIdx = 2 THEN</v>
      </c>
      <c r="AA64" t="str">
        <f ca="1"/>
        <v xml:space="preserve">
	//T-roll gluing ①
	ELSIF uiInfoIdx = 2 THEN
		IF strInfoKey = 'name' THEN</v>
      </c>
      <c r="AB64" t="str">
        <f ca="1"/>
        <v xml:space="preserve">
	//T-roll gluing ①
	ELSIF uiInfoIdx = 2 THEN
		IF strInfoKey = 'name' THEN
			strRt	:= 'T-roll gluing ①';</v>
      </c>
      <c r="AC64" t="str">
        <f ca="1"/>
        <v xml:space="preserve">
	//T-roll gluing ①
	ELSIF uiInfoIdx = 2 THEN
		IF strInfoKey = 'name' THEN
			strRt	:= 'T-roll gluing ①';
		ELSIF strInfoKey = 'index_name' THEN</v>
      </c>
      <c r="AD64" t="str">
        <f ca="1"/>
        <v xml:space="preserve">
	//T-roll gluing ①
	ELSIF uiInfoIdx = 2 THEN
		IF strInfoKey = 'name' THEN
			strRt	:= 'T-roll gluing ①';
		ELSIF strInfoKey = 'index_name' THEN
			strRt	:= '【cylinder2】 T-roll gluing ①';</v>
      </c>
      <c r="AE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</v>
      </c>
      <c r="AF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</v>
      </c>
      <c r="AG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</v>
      </c>
      <c r="AH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</v>
      </c>
      <c r="AI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J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K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T-roll gluing ②</v>
      </c>
      <c r="J65" t="str">
        <f ca="1"/>
        <v>T-roll gluing ②</v>
      </c>
      <c r="L65" t="str">
        <f ca="1"/>
        <v>【cylinder3】 T-roll gluing 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
	ELSIF uiInfoIdx = 3 THEN</v>
      </c>
      <c r="AA65" t="str">
        <f ca="1"/>
        <v xml:space="preserve">
	//T-roll gluing ②
	ELSIF uiInfoIdx = 3 THEN
		IF strInfoKey = 'name' THEN</v>
      </c>
      <c r="AB65" t="str">
        <f ca="1"/>
        <v xml:space="preserve">
	//T-roll gluing ②
	ELSIF uiInfoIdx = 3 THEN
		IF strInfoKey = 'name' THEN
			strRt	:= 'T-roll gluing ②';</v>
      </c>
      <c r="AC65" t="str">
        <f ca="1"/>
        <v xml:space="preserve">
	//T-roll gluing ②
	ELSIF uiInfoIdx = 3 THEN
		IF strInfoKey = 'name' THEN
			strRt	:= 'T-roll gluing ②';
		ELSIF strInfoKey = 'index_name' THEN</v>
      </c>
      <c r="AD65" t="str">
        <f ca="1"/>
        <v xml:space="preserve">
	//T-roll gluing ②
	ELSIF uiInfoIdx = 3 THEN
		IF strInfoKey = 'name' THEN
			strRt	:= 'T-roll gluing ②';
		ELSIF strInfoKey = 'index_name' THEN
			strRt	:= '【cylinder3】 T-roll gluing ②';</v>
      </c>
      <c r="AE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</v>
      </c>
      <c r="AF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</v>
      </c>
      <c r="AG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</v>
      </c>
      <c r="AH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</v>
      </c>
      <c r="AI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J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K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274</v>
      </c>
      <c r="F86">
        <f>COUNTIF(E$3:E86,E86)</f>
        <v>1</v>
      </c>
      <c r="G86" t="str">
        <v/>
      </c>
      <c r="H86">
        <v>59</v>
      </c>
      <c r="I86" t="str">
        <f ca="1"/>
        <v>welding machine</v>
      </c>
      <c r="J86" t="str">
        <f ca="1"/>
        <v>welding machine</v>
      </c>
      <c r="L86" t="str">
        <f ca="1"/>
        <v>【WLD1】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//WLD</v>
      </c>
      <c r="Y86" t="str">
        <f ca="1"/>
        <v xml:space="preserve">
//WLD
ELSIF strInfoType = 'WLD' THEN</v>
      </c>
      <c r="Z86" t="str">
        <f ca="1"/>
        <v xml:space="preserve">
//WLD
ELSIF strInfoType = 'WLD' THEN
	//welding machine
	IF uiInfoIdx = 1 THEN</v>
      </c>
      <c r="AA86" t="str">
        <f ca="1"/>
        <v xml:space="preserve">
//WLD
ELSIF strInfoType = 'WLD' THEN
	//welding machine
	IF uiInfoIdx = 1 THEN
		IF strInfoKey = 'name' THEN</v>
      </c>
      <c r="AB86" t="str">
        <f ca="1"/>
        <v xml:space="preserve">
//WLD
ELSIF strInfoType = 'WLD' THEN
	//welding machine
	IF uiInfoIdx = 1 THEN
		IF strInfoKey = 'name' THEN
			strRt	:= 'welding machine';</v>
      </c>
      <c r="AC86" t="str">
        <f ca="1"/>
        <v xml:space="preserve">
//WLD
ELSIF strInfoType = 'WLD' THEN
	//welding machine
	IF uiInfoIdx = 1 THEN
		IF strInfoKey = 'name' THEN
			strRt	:= 'welding machine';
		ELSIF strInfoKey = 'index_name' THEN</v>
      </c>
      <c r="AD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</v>
      </c>
      <c r="AE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</v>
      </c>
      <c r="AF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
			strRt	:= 'unknown';</v>
      </c>
      <c r="AG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</v>
      </c>
      <c r="AH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
			strRt	:= 'unknown';</v>
      </c>
      <c r="AI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
			strRt	:= 'unknown';
		ELSE
			uiErrCode	:= 3;
		END_IF;</v>
      </c>
      <c r="AJ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
			strRt	:= 'unknown';
		ELSE
			uiErrCode	:= 3;
		END_IF;</v>
      </c>
      <c r="AK86" t="str">
        <f ca="1"/>
        <v xml:space="preserve">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WLD</v>
      </c>
      <c r="F87">
        <f>COUNTIF(E$3:E87,E87)</f>
        <v>2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WLD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WLD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WLD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WLD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265</v>
      </c>
      <c r="F92">
        <f>COUNTIF(E$3:E92,E92)</f>
        <v>1</v>
      </c>
      <c r="G92" t="str">
        <v/>
      </c>
      <c r="H92">
        <v>52</v>
      </c>
      <c r="I92" t="str">
        <f ca="1"/>
        <v>Flat Sheet Supply</v>
      </c>
      <c r="J92" t="str">
        <f ca="1"/>
        <v>Flat Sheet Supply</v>
      </c>
      <c r="L92" t="str">
        <f ca="1"/>
        <v>【unit1】 Flat Sheet Supply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//Flat Sheet Supply
	IF uiInfoIdx = 1 THEN</v>
      </c>
      <c r="AA92" t="str">
        <f ca="1"/>
        <v xml:space="preserve">
//unit
ELSIF strInfoType = 'unit' THEN
	//Flat Sheet Supply
	IF uiInfoIdx = 1 THEN
		IF strInfoKey = 'name' THEN</v>
      </c>
      <c r="AB92" t="str">
        <f ca="1"/>
        <v xml:space="preserve">
//unit
ELSIF strInfoType = 'unit' THEN
	//Flat Sheet Supply
	IF uiInfoIdx = 1 THEN
		IF strInfoKey = 'name' THEN
			strRt	:= 'Flat Sheet Supply';</v>
      </c>
      <c r="AC92" t="str">
        <f ca="1"/>
        <v xml:space="preserve">
//unit
ELSIF strInfoType = 'unit' THEN
	//Flat Sheet Supply
	IF uiInfoIdx = 1 THEN
		IF strInfoKey = 'name' THEN
			strRt	:= 'Flat Sheet Supply';
		ELSIF strInfoKey = 'index_name' THEN</v>
      </c>
      <c r="AD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53</v>
      </c>
      <c r="I93" t="str">
        <f ca="1"/>
        <v>Corrugated Sheet Supply</v>
      </c>
      <c r="J93" t="str">
        <f ca="1"/>
        <v>Corrugated Sheet Supply</v>
      </c>
      <c r="L93" t="str">
        <f ca="1"/>
        <v>【unit2】 Corrugated Sheet Supply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//Corrugated Sheet Supply
	ELSIF uiInfoIdx = 2 THEN</v>
      </c>
      <c r="AA93" t="str">
        <f ca="1"/>
        <v xml:space="preserve">
	//Corrugated Sheet Supply
	ELSIF uiInfoIdx = 2 THEN
		IF strInfoKey = 'name' THEN</v>
      </c>
      <c r="AB93" t="str">
        <f ca="1"/>
        <v xml:space="preserve">
	//Corrugated Sheet Supply
	ELSIF uiInfoIdx = 2 THEN
		IF strInfoKey = 'name' THEN
			strRt	:= 'Corrugated Sheet Supply';</v>
      </c>
      <c r="AC93" t="str">
        <f ca="1"/>
        <v xml:space="preserve">
	//Corrugated Sheet Supply
	ELSIF uiInfoIdx = 2 THEN
		IF strInfoKey = 'name' THEN
			strRt	:= 'Corrugated Sheet Supply';
		ELSIF strInfoKey = 'index_name' THEN</v>
      </c>
      <c r="AD93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54</v>
      </c>
      <c r="I94" t="str">
        <f ca="1"/>
        <v>Foil Wax Supply</v>
      </c>
      <c r="J94" t="str">
        <f ca="1"/>
        <v>Foil Wax Supply</v>
      </c>
      <c r="L94" t="str">
        <f ca="1"/>
        <v>【unit3】 Foil Wax Supply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//Foil Wax Supply
	ELSIF uiInfoIdx = 3 THEN</v>
      </c>
      <c r="AA94" t="str">
        <f ca="1"/>
        <v xml:space="preserve">
	//Foil Wax Supply
	ELSIF uiInfoIdx = 3 THEN
		IF strInfoKey = 'name' THEN</v>
      </c>
      <c r="AB94" t="str">
        <f ca="1"/>
        <v xml:space="preserve">
	//Foil Wax Supply
	ELSIF uiInfoIdx = 3 THEN
		IF strInfoKey = 'name' THEN
			strRt	:= 'Foil Wax Supply';</v>
      </c>
      <c r="AC94" t="str">
        <f ca="1"/>
        <v xml:space="preserve">
	//Foil Wax Supply
	ELSIF uiInfoIdx = 3 THEN
		IF strInfoKey = 'name' THEN
			strRt	:= 'Foil Wax Supply';
		ELSIF strInfoKey = 'index_name' THEN</v>
      </c>
      <c r="AD94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55</v>
      </c>
      <c r="I95" t="str">
        <f ca="1"/>
        <v>Winding Shaft</v>
      </c>
      <c r="J95" t="str">
        <f ca="1"/>
        <v>Winding Shaft</v>
      </c>
      <c r="L95" t="str">
        <f ca="1"/>
        <v>【unit4】 Winding Shaft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//Winding Shaft
	ELSIF uiInfoIdx = 4 THEN</v>
      </c>
      <c r="AA95" t="str">
        <f ca="1"/>
        <v xml:space="preserve">
	//Winding Shaft
	ELSIF uiInfoIdx = 4 THEN
		IF strInfoKey = 'name' THEN</v>
      </c>
      <c r="AB95" t="str">
        <f ca="1"/>
        <v xml:space="preserve">
	//Winding Shaft
	ELSIF uiInfoIdx = 4 THEN
		IF strInfoKey = 'name' THEN
			strRt	:= 'Winding Shaft';</v>
      </c>
      <c r="AC95" t="str">
        <f ca="1"/>
        <v xml:space="preserve">
	//Winding Shaft
	ELSIF uiInfoIdx = 4 THEN
		IF strInfoKey = 'name' THEN
			strRt	:= 'Winding Shaft';
		ELSIF strInfoKey = 'index_name' THEN</v>
      </c>
      <c r="AD95" t="str">
        <f ca="1"/>
        <v xml:space="preserve">
	//Winding Shaft
	ELSIF uiInfoIdx = 4 THEN
		IF strInfoKey = 'name' THEN
			strRt	:= 'Winding Shaft';
		ELSIF strInfoKey = 'index_name' THEN
			strRt	:= '【unit4】 Winding Shaft';</v>
      </c>
      <c r="AE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56</v>
      </c>
      <c r="I96" t="str">
        <f ca="1"/>
        <v>Welding</v>
      </c>
      <c r="J96" t="str">
        <f ca="1"/>
        <v>Welding</v>
      </c>
      <c r="L96" t="str">
        <f ca="1"/>
        <v>【unit5】 Welding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//Welding
	ELSIF uiInfoIdx = 5 THEN</v>
      </c>
      <c r="AA96" t="str">
        <f ca="1"/>
        <v xml:space="preserve">
	//Welding
	ELSIF uiInfoIdx = 5 THEN
		IF strInfoKey = 'name' THEN</v>
      </c>
      <c r="AB96" t="str">
        <f ca="1"/>
        <v xml:space="preserve">
	//Welding
	ELSIF uiInfoIdx = 5 THEN
		IF strInfoKey = 'name' THEN
			strRt	:= 'Welding';</v>
      </c>
      <c r="AC96" t="str">
        <f ca="1"/>
        <v xml:space="preserve">
	//Welding
	ELSIF uiInfoIdx = 5 THEN
		IF strInfoKey = 'name' THEN
			strRt	:= 'Welding';
		ELSIF strInfoKey = 'index_name' THEN</v>
      </c>
      <c r="AD96" t="str">
        <f ca="1"/>
        <v xml:space="preserve">
	//Welding
	ELSIF uiInfoIdx = 5 THEN
		IF strInfoKey = 'name' THEN
			strRt	:= 'Welding';
		ELSIF strInfoKey = 'index_name' THEN
			strRt	:= '【unit5】 Welding';</v>
      </c>
      <c r="AE96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57</v>
      </c>
      <c r="I97" t="str">
        <f ca="1"/>
        <v>Discharge</v>
      </c>
      <c r="J97" t="str">
        <f ca="1"/>
        <v>Discharge</v>
      </c>
      <c r="L97" t="str">
        <f ca="1"/>
        <v>【unit6】 Discharge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//Discharge
	ELSIF uiInfoIdx = 6 THEN</v>
      </c>
      <c r="AA97" t="str">
        <f ca="1"/>
        <v xml:space="preserve">
	//Discharge
	ELSIF uiInfoIdx = 6 THEN
		IF strInfoKey = 'name' THEN</v>
      </c>
      <c r="AB97" t="str">
        <f ca="1"/>
        <v xml:space="preserve">
	//Discharge
	ELSIF uiInfoIdx = 6 THEN
		IF strInfoKey = 'name' THEN
			strRt	:= 'Discharge';</v>
      </c>
      <c r="AC97" t="str">
        <f ca="1"/>
        <v xml:space="preserve">
	//Discharge
	ELSIF uiInfoIdx = 6 THEN
		IF strInfoKey = 'name' THEN
			strRt	:= 'Discharge';
		ELSIF strInfoKey = 'index_name' THEN</v>
      </c>
      <c r="AD97" t="str">
        <f ca="1"/>
        <v xml:space="preserve">
	//Discharge
	ELSIF uiInfoIdx = 6 THEN
		IF strInfoKey = 'name' THEN
			strRt	:= 'Discharge';
		ELSIF strInfoKey = 'index_name' THEN
			strRt	:= '【unit6】 Discharge';</v>
      </c>
      <c r="AE97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>
        <v>58</v>
      </c>
      <c r="I98" t="str">
        <f ca="1"/>
        <v>X-roll section</v>
      </c>
      <c r="J98" t="str">
        <f ca="1"/>
        <v>X-roll section</v>
      </c>
      <c r="L98" t="str">
        <f ca="1"/>
        <v>【unit7】 X-roll section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//X-roll section
	ELSIF uiInfoIdx = 7 THEN</v>
      </c>
      <c r="AA98" t="str">
        <f ca="1"/>
        <v xml:space="preserve">
	//X-roll section
	ELSIF uiInfoIdx = 7 THEN
		IF strInfoKey = 'name' THEN</v>
      </c>
      <c r="AB98" t="str">
        <f ca="1"/>
        <v xml:space="preserve">
	//X-roll section
	ELSIF uiInfoIdx = 7 THEN
		IF strInfoKey = 'name' THEN
			strRt	:= 'X-roll section';</v>
      </c>
      <c r="AC98" t="str">
        <f ca="1"/>
        <v xml:space="preserve">
	//X-roll section
	ELSIF uiInfoIdx = 7 THEN
		IF strInfoKey = 'name' THEN
			strRt	:= 'X-roll section';
		ELSIF strInfoKey = 'index_name' THEN</v>
      </c>
      <c r="AD98" t="str">
        <f ca="1"/>
        <v xml:space="preserve">
	//X-roll section
	ELSIF uiInfoIdx = 7 THEN
		IF strInfoKey = 'name' THEN
			strRt	:= 'X-roll section';
		ELSIF strInfoKey = 'index_name' THEN
			strRt	:= '【unit7】 X-roll section';</v>
      </c>
      <c r="AE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</v>
      </c>
      <c r="AF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</v>
      </c>
      <c r="AG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</v>
      </c>
      <c r="AH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</v>
      </c>
      <c r="AI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J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K98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C:\tk\prj\hg-0025-0016\git\kv-x520\doc\[kv_script_conv_info.xlsx]info_script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//WLD
ELSIF strInfoType = 'WLD' THEN
	//welding machine
	IF uiInfoIdx = 1 THEN
		IF strInfoKey = 'name' THEN
			strRt	:= 'welding machine';
		ELSIF strInfoKey = 'index_name' THEN
			strRt	:= '【WLD1】 welding machine';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2026-02-16T11:09:57Z</dcterms:modified>
</cp:coreProperties>
</file>