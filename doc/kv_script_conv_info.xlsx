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1BE41862-4429-4E55-BFA5-A12C7F12E5EF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1" i="1"/>
  <c r="C73" i="1"/>
  <c r="C71" i="1"/>
  <c r="B73" i="1"/>
  <c r="B71" i="1"/>
  <c r="D69" i="1"/>
  <c r="A69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<sst xmlns="http://schemas.openxmlformats.org/spreadsheetml/2006/main" count="505" uniqueCount="299">
  <si>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</si>
  <si>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</si>
  <si>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</si>
  <si>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</si>
  <si>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</si>
  <si>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</si>
  <si>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</si>
  <si>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</si>
  <si>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</si>
  <si>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</si>
  <si>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</si>
  <si>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</si>
  <si>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</si>
  <si>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</si>
  <si>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</si>
  <si>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</si>
  <si>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</si>
  <si>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</si>
  <si>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</si>
  <si>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</si>
  <si>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</si>
  <si>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</si>
  <si>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</si>
  <si>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</si>
  <si>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</si>
  <si>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</si>
  <si>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</si>
  <si>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</si>
  <si>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</si>
  <si>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</si>
  <si>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</si>
  <si>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</si>
  <si>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</si>
  <si>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</si>
  <si>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</si>
  <si>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</si>
  <si>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</si>
  <si>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</si>
  <si>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</si>
  <si>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</si>
  <si>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</si>
  <si>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</si>
  <si>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</si>
  <si>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</si>
  <si>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</si>
  <si>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</si>
  <si>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</si>
  <si>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</si>
  <si>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</si>
  <si>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</si>
  <si>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</si>
  <si>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</si>
  <si>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</si>
  <si>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</si>
  <si>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</si>
  <si>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</si>
  <si>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</si>
  <si>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</si>
  <si>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</si>
  <si>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</si>
  <si>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</si>
  <si>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</si>
  <si>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</si>
  <si>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</si>
  <si>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</si>
  <si>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</si>
  <si>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</si>
  <si>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</si>
  <si>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</si>
  <si>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</si>
  <si>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</si>
  <si>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</si>
  <si>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</si>
  <si>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</si>
  <si>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</si>
  <si>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</si>
  <si>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</si>
  <si>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</si>
  <si>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</si>
  <si>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</si>
  <si>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</si>
  <si>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</si>
  <si>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</si>
  <si>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</si>
  <si>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</si>
  <si>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</si>
  <si>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</si>
  <si>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</si>
  <si>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</si>
  <si>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</si>
  <si>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</si>
  <si>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</si>
  <si>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</si>
  <si>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</si>
  <si>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</si>
  <si>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</si>
  <si>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</si>
  <si>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</si>
  <si>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</si>
  <si>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</si>
  <si>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</si>
  <si>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</si>
  <si>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</si>
  <si>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</si>
  <si>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</si>
  <si>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</si>
  <si>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</si>
  <si>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</si>
  <si>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</si>
  <si>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</si>
  <si>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</si>
  <si>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</si>
  <si>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</si>
  <si>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</si>
  <si>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</si>
  <si>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</si>
  <si>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</si>
  <si>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</si>
  <si>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</si>
  <si>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</si>
  <si>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</si>
  <si>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</si>
  <si>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</si>
  <si>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</si>
  <si>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</si>
  <si>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</si>
  <si>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</si>
  <si>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</si>
  <si>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</si>
  <si>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</si>
  <si>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</si>
  <si>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</si>
  <si>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</si>
  <si>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</si>
  <si>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</si>
  <si>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</si>
  <si>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</si>
  <si>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</si>
  <si>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</si>
  <si>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</si>
  <si>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</si>
  <si>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</si>
  <si>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</si>
  <si>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</si>
  <si>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</si>
  <si>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</si>
  <si>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</si>
  <si>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</si>
  <si>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</si>
  <si>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</si>
  <si>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</si>
  <si>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</si>
  <si>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</si>
  <si>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</si>
  <si>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</si>
  <si>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</si>
  <si>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</si>
  <si>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</si>
  <si>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</si>
  <si>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</si>
  <si>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</si>
  <si>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</si>
  <si>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</si>
  <si>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</si>
  <si>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</si>
  <si>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</si>
  <si>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</si>
  <si>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</si>
  <si>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</si>
  <si>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</si>
  <si>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</si>
  <si>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</si>
  <si>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</si>
  <si>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</si>
  <si>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</si>
  <si>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</si>
  <si>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</si>
  <si>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</si>
  <si>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</si>
  <si>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</si>
  <si>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</si>
  <si>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</si>
  <si>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</si>
  <si>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</si>
  <si>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</si>
  <si>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</si>
  <si>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</si>
  <si>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</si>
  <si>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</si>
  <si>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</si>
  <si>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</si>
  <si>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</si>
  <si>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</si>
  <si>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</si>
  <si>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</si>
  <si>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</si>
  <si>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</si>
  <si>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</si>
  <si>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</si>
  <si>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</si>
  <si>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</si>
  <si>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</si>
  <si>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</si>
  <si>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</si>
  <si>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</si>
  <si>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</si>
  <si>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</si>
  <si>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</si>
  <si>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</si>
  <si>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</si>
  <si>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</si>
  <si>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</si>
  <si>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</si>
  <si>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</si>
  <si>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</si>
  <si>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</si>
  <si>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</si>
  <si>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</si>
  <si>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</si>
  <si>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</si>
  <si>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</si>
  <si>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</si>
  <si>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</si>
  <si>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</si>
  <si>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</si>
  <si>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</si>
  <si>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</si>
  <si>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</si>
  <si>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</si>
  <si>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</si>
  <si>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</si>
  <si>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</si>
  <si>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</si>
  <si>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</si>
  <si>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</si>
  <si>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</si>
  <si>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</si>
  <si>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</si>
  <si>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</si>
  <si>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</si>
  <si>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</si>
  <si>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</si>
  <si>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</si>
  <si>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</si>
  <si>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</si>
  <si>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</si>
  <si>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</si>
  <si>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</si>
  <si>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</si>
  <si>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</si>
  <si>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</si>
  <si>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</si>
  <si>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</si>
  <si>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</si>
  <si>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</si>
  <si>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</si>
  <si>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</si>
  <si>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</si>
  <si>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</si>
  <si>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</si>
  <si>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</si>
  <si>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</si>
  <si>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</si>
  <si>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</si>
  <si>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</si>
  <si>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</si>
  <si>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</si>
  <si>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</si>
  <si>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</si>
  <si>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</si>
  <si>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</si>
  <si>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</si>
  <si>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</si>
  <si>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</si>
  <si>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</si>
  <si>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</si>
  <si>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</si>
  <si>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</si>
  <si>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</si>
  <si>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</si>
  <si>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</si>
  <si>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</si>
  <si>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</si>
  <si>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</si>
  <si>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</si>
  <si>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</si>
  <si>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</si>
  <si>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</si>
  <si>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</si>
  <si>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</si>
  <si>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</si>
  <si>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</si>
  <si>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</si>
  <si>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</si>
  <si>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</si>
  <si>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</si>
  <si>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</si>
  <si>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Foil wax reel section</t>
  </si>
  <si>
    <t>巻取り軸芯前後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</si>
</sst>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69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65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3"/>
  <sheetViews>
    <sheetView tabSelected="1" zoomScaleNormal="100" workbookViewId="0">
      <pane xSplit="3" ySplit="1" topLeftCell="D14" activePane="bottomRight" state="frozen"/>
      <selection pane="topRight" activeCell="D1" sqref="D1"/>
      <selection pane="bottomLeft" activeCell="A2" sqref="A2"/>
      <selection pane="bottomRight" activeCell="G31" sqref="G31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149</v>
      </c>
      <c r="H1" s="39" t="s">
        <v>10</v>
      </c>
      <c r="I1" s="39" t="s">
        <v>7</v>
      </c>
      <c r="J1" s="39" t="s">
        <v>3</v>
      </c>
      <c r="K1" s="39" t="s">
        <v>218</v>
      </c>
      <c r="L1" s="39" t="s">
        <v>5</v>
      </c>
      <c r="M1" s="40" t="s">
        <v>112</v>
      </c>
      <c r="N1" s="40" t="s">
        <v>236</v>
      </c>
      <c r="O1" s="40" t="s">
        <v>235</v>
      </c>
      <c r="P1" s="41" t="s">
        <v>276</v>
      </c>
      <c r="Q1" s="41" t="s">
        <v>277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133</v>
      </c>
      <c r="G2" s="28" t="s">
        <v>150</v>
      </c>
      <c r="H2" s="28" t="s">
        <v>20</v>
      </c>
      <c r="I2" s="28" t="s">
        <v>21</v>
      </c>
      <c r="J2" s="28" t="s">
        <v>220</v>
      </c>
      <c r="K2" s="28" t="s">
        <v>219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244</v>
      </c>
      <c r="H3" s="12" t="s">
        <v>14</v>
      </c>
      <c r="I3" s="12" t="s">
        <v>13</v>
      </c>
      <c r="J3" s="17" t="s">
        <v>220</v>
      </c>
      <c r="K3" s="12" t="s">
        <v>219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151</v>
      </c>
      <c r="H4" s="12" t="s">
        <v>14</v>
      </c>
      <c r="I4" s="12" t="s">
        <v>13</v>
      </c>
      <c r="J4" s="17" t="s">
        <v>220</v>
      </c>
      <c r="K4" s="12" t="s">
        <v>219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152</v>
      </c>
      <c r="H5" s="12" t="s">
        <v>14</v>
      </c>
      <c r="I5" s="12" t="s">
        <v>13</v>
      </c>
      <c r="J5" s="17" t="s">
        <v>220</v>
      </c>
      <c r="K5" s="12" t="s">
        <v>219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247</v>
      </c>
      <c r="G6" s="8" t="s">
        <v>153</v>
      </c>
      <c r="H6" s="8" t="s">
        <v>1</v>
      </c>
      <c r="I6" s="8" t="s">
        <v>11</v>
      </c>
      <c r="J6" s="8" t="s">
        <v>2</v>
      </c>
      <c r="K6" s="8" t="s">
        <v>223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154</v>
      </c>
      <c r="H7" s="8" t="s">
        <v>0</v>
      </c>
      <c r="I7" s="8" t="s">
        <v>11</v>
      </c>
      <c r="J7" s="8" t="s">
        <v>2</v>
      </c>
      <c r="K7" s="8" t="s">
        <v>223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155</v>
      </c>
      <c r="H8" s="8" t="s">
        <v>28</v>
      </c>
      <c r="I8" s="8" t="s">
        <v>11</v>
      </c>
      <c r="J8" s="8" t="s">
        <v>2</v>
      </c>
      <c r="K8" s="8" t="s">
        <v>223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262</v>
      </c>
      <c r="G9" s="8" t="s">
        <v>264</v>
      </c>
      <c r="H9" s="8" t="s">
        <v>106</v>
      </c>
      <c r="I9" s="8" t="s">
        <v>15</v>
      </c>
      <c r="J9" s="8" t="s">
        <v>2</v>
      </c>
      <c r="K9" s="8" t="s">
        <v>223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263</v>
      </c>
      <c r="G10" s="8" t="s">
        <v>265</v>
      </c>
      <c r="H10" s="8" t="s">
        <v>107</v>
      </c>
      <c r="I10" s="8" t="s">
        <v>15</v>
      </c>
      <c r="J10" s="8" t="s">
        <v>2</v>
      </c>
      <c r="K10" s="8" t="s">
        <v>223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156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157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158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159</v>
      </c>
      <c r="H14" s="8" t="s">
        <v>31</v>
      </c>
      <c r="I14" s="8" t="s">
        <v>32</v>
      </c>
      <c r="J14" s="8" t="s">
        <v>222</v>
      </c>
      <c r="K14" s="8" t="s">
        <v>221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160</v>
      </c>
      <c r="H15" s="8" t="s">
        <v>33</v>
      </c>
      <c r="I15" s="8" t="s">
        <v>32</v>
      </c>
      <c r="J15" s="8" t="s">
        <v>222</v>
      </c>
      <c r="K15" s="8" t="s">
        <v>221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161</v>
      </c>
      <c r="H16" s="8" t="s">
        <v>137</v>
      </c>
      <c r="I16" s="8"/>
      <c r="J16" s="8"/>
      <c r="K16" s="8"/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162</v>
      </c>
      <c r="H17" s="8" t="s">
        <v>137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278</v>
      </c>
      <c r="F18" s="8" t="s">
        <v>273</v>
      </c>
      <c r="G18" s="8" t="s">
        <v>274</v>
      </c>
      <c r="H18" s="42" t="s">
        <v>275</v>
      </c>
      <c r="I18" s="8"/>
      <c r="J18" s="8" t="s">
        <v>219</v>
      </c>
      <c r="K18" s="8" t="s">
        <v>219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1</v>
      </c>
      <c r="B19" s="7" t="s">
        <v>115</v>
      </c>
      <c r="C19" s="7">
        <v>1</v>
      </c>
      <c r="D19" s="8">
        <v>1</v>
      </c>
      <c r="E19" s="8" t="s">
        <v>99</v>
      </c>
      <c r="F19" s="8" t="s">
        <v>298</v>
      </c>
      <c r="G19" s="8" t="s">
        <v>163</v>
      </c>
      <c r="H19" s="8" t="s">
        <v>61</v>
      </c>
      <c r="I19" s="8" t="s">
        <v>62</v>
      </c>
      <c r="J19" s="8" t="s">
        <v>4</v>
      </c>
      <c r="K19" s="8" t="s">
        <v>224</v>
      </c>
      <c r="L19" s="8">
        <v>1</v>
      </c>
      <c r="M19" s="10"/>
      <c r="N19" s="10">
        <v>0</v>
      </c>
      <c r="O19" s="10">
        <v>0</v>
      </c>
      <c r="P19" s="34">
        <v>46069.554861111108</v>
      </c>
      <c r="Q19" s="34">
        <v>46069.554861111108</v>
      </c>
      <c r="R19" s="10"/>
    </row>
    <row r="20" spans="1:18" x14ac:dyDescent="0.55000000000000004">
      <c r="A20" s="7">
        <v>46</v>
      </c>
      <c r="B20" s="7" t="s">
        <v>114</v>
      </c>
      <c r="C20" s="7">
        <v>2</v>
      </c>
      <c r="D20" s="8"/>
      <c r="E20" s="8"/>
      <c r="F20" s="8" t="s">
        <v>282</v>
      </c>
      <c r="G20" s="8" t="s">
        <v>284</v>
      </c>
      <c r="H20" s="8" t="s">
        <v>205</v>
      </c>
      <c r="I20" s="8"/>
      <c r="J20" s="8"/>
      <c r="K20" s="8"/>
      <c r="L20" s="8"/>
      <c r="M20" s="10"/>
      <c r="N20" s="10">
        <v>0</v>
      </c>
      <c r="O20" s="10">
        <v>5</v>
      </c>
      <c r="P20" s="34">
        <v>46069.554861111108</v>
      </c>
      <c r="Q20" s="34">
        <v>46069.554861111108</v>
      </c>
      <c r="R20" s="10"/>
    </row>
    <row r="21" spans="1:18" x14ac:dyDescent="0.55000000000000004">
      <c r="A21" s="7">
        <v>47</v>
      </c>
      <c r="B21" s="7" t="s">
        <v>114</v>
      </c>
      <c r="C21" s="7">
        <v>3</v>
      </c>
      <c r="D21" s="8"/>
      <c r="E21" s="8"/>
      <c r="F21" s="8" t="s">
        <v>283</v>
      </c>
      <c r="G21" s="8" t="s">
        <v>285</v>
      </c>
      <c r="H21" s="8" t="s">
        <v>205</v>
      </c>
      <c r="I21" s="8"/>
      <c r="J21" s="8"/>
      <c r="K21" s="8"/>
      <c r="L21" s="8"/>
      <c r="M21" s="10"/>
      <c r="N21" s="10">
        <v>0</v>
      </c>
      <c r="O21" s="10">
        <v>6</v>
      </c>
      <c r="P21" s="34">
        <v>46069.554861111108</v>
      </c>
      <c r="Q21" s="34">
        <v>46069.554861111108</v>
      </c>
      <c r="R21" s="10"/>
    </row>
    <row r="22" spans="1:18" x14ac:dyDescent="0.55000000000000004">
      <c r="A22" s="7">
        <v>2</v>
      </c>
      <c r="B22" s="7" t="s">
        <v>115</v>
      </c>
      <c r="C22" s="7">
        <v>4</v>
      </c>
      <c r="D22" s="8">
        <v>2</v>
      </c>
      <c r="E22" s="8" t="s">
        <v>140</v>
      </c>
      <c r="F22" s="8" t="s">
        <v>245</v>
      </c>
      <c r="G22" s="8" t="s">
        <v>246</v>
      </c>
      <c r="H22" s="8" t="s">
        <v>63</v>
      </c>
      <c r="I22" s="9" t="s">
        <v>64</v>
      </c>
      <c r="J22" s="8" t="s">
        <v>4</v>
      </c>
      <c r="K22" s="8" t="s">
        <v>224</v>
      </c>
      <c r="L22" s="8">
        <v>1</v>
      </c>
      <c r="M22" s="10"/>
      <c r="N22" s="10">
        <v>0</v>
      </c>
      <c r="O22" s="10">
        <v>7</v>
      </c>
      <c r="P22" s="34">
        <v>46069.554861111108</v>
      </c>
      <c r="Q22" s="34">
        <v>46069.554861111108</v>
      </c>
      <c r="R22" s="10"/>
    </row>
    <row r="23" spans="1:18" x14ac:dyDescent="0.55000000000000004">
      <c r="A23" s="7">
        <v>4</v>
      </c>
      <c r="B23" s="7" t="s">
        <v>115</v>
      </c>
      <c r="C23" s="7">
        <v>5</v>
      </c>
      <c r="D23" s="8">
        <v>5</v>
      </c>
      <c r="E23" s="8" t="s">
        <v>93</v>
      </c>
      <c r="F23" s="8" t="s">
        <v>148</v>
      </c>
      <c r="G23" s="8" t="s">
        <v>164</v>
      </c>
      <c r="H23" s="8" t="s">
        <v>67</v>
      </c>
      <c r="I23" s="8" t="s">
        <v>68</v>
      </c>
      <c r="J23" s="8" t="s">
        <v>4</v>
      </c>
      <c r="K23" s="8" t="s">
        <v>224</v>
      </c>
      <c r="L23" s="8">
        <v>1</v>
      </c>
      <c r="M23" s="10"/>
      <c r="N23" s="10">
        <v>0</v>
      </c>
      <c r="O23" s="10">
        <v>1</v>
      </c>
      <c r="P23" s="34">
        <v>46069.554861111108</v>
      </c>
      <c r="Q23" s="34">
        <v>46069.554861111108</v>
      </c>
      <c r="R23" s="10"/>
    </row>
    <row r="24" spans="1:18" x14ac:dyDescent="0.55000000000000004">
      <c r="A24" s="7">
        <v>3</v>
      </c>
      <c r="B24" s="7" t="s">
        <v>115</v>
      </c>
      <c r="C24" s="7">
        <v>6</v>
      </c>
      <c r="D24" s="8">
        <v>5</v>
      </c>
      <c r="E24" s="8" t="s">
        <v>93</v>
      </c>
      <c r="F24" s="8" t="s">
        <v>147</v>
      </c>
      <c r="G24" s="8" t="s">
        <v>165</v>
      </c>
      <c r="H24" s="8" t="s">
        <v>65</v>
      </c>
      <c r="I24" s="8" t="s">
        <v>66</v>
      </c>
      <c r="J24" s="8" t="s">
        <v>4</v>
      </c>
      <c r="K24" s="8" t="s">
        <v>224</v>
      </c>
      <c r="L24" s="8">
        <v>1</v>
      </c>
      <c r="M24" s="10"/>
      <c r="N24" s="10">
        <v>0</v>
      </c>
      <c r="O24" s="10">
        <v>8</v>
      </c>
      <c r="P24" s="34">
        <v>46069.554861111108</v>
      </c>
      <c r="Q24" s="34">
        <v>46069.554861111108</v>
      </c>
      <c r="R24" s="10"/>
    </row>
    <row r="25" spans="1:18" x14ac:dyDescent="0.55000000000000004">
      <c r="A25" s="7">
        <v>8</v>
      </c>
      <c r="B25" s="7" t="s">
        <v>115</v>
      </c>
      <c r="C25" s="7">
        <v>7</v>
      </c>
      <c r="D25" s="8">
        <v>6</v>
      </c>
      <c r="E25" s="8" t="s">
        <v>98</v>
      </c>
      <c r="F25" s="8" t="s">
        <v>143</v>
      </c>
      <c r="G25" s="8" t="s">
        <v>166</v>
      </c>
      <c r="H25" s="8" t="s">
        <v>69</v>
      </c>
      <c r="I25" s="8" t="s">
        <v>70</v>
      </c>
      <c r="J25" s="8" t="s">
        <v>4</v>
      </c>
      <c r="K25" s="8" t="s">
        <v>224</v>
      </c>
      <c r="L25" s="11">
        <v>1</v>
      </c>
      <c r="M25" s="21"/>
      <c r="N25" s="21">
        <v>0</v>
      </c>
      <c r="O25" s="21">
        <v>9</v>
      </c>
      <c r="P25" s="34">
        <v>46069.554861111108</v>
      </c>
      <c r="Q25" s="34">
        <v>46069.554861111108</v>
      </c>
      <c r="R25" s="10"/>
    </row>
    <row r="26" spans="1:18" x14ac:dyDescent="0.55000000000000004">
      <c r="A26" s="7">
        <v>7</v>
      </c>
      <c r="B26" s="7" t="s">
        <v>115</v>
      </c>
      <c r="C26" s="7">
        <v>8</v>
      </c>
      <c r="D26" s="8">
        <v>7</v>
      </c>
      <c r="E26" s="8" t="s">
        <v>92</v>
      </c>
      <c r="F26" s="8" t="s">
        <v>145</v>
      </c>
      <c r="G26" s="8" t="s">
        <v>167</v>
      </c>
      <c r="H26" s="8" t="s">
        <v>73</v>
      </c>
      <c r="I26" s="8" t="s">
        <v>70</v>
      </c>
      <c r="J26" s="8" t="s">
        <v>4</v>
      </c>
      <c r="K26" s="8" t="s">
        <v>224</v>
      </c>
      <c r="L26" s="11">
        <v>1</v>
      </c>
      <c r="M26" s="21"/>
      <c r="N26" s="21">
        <v>0</v>
      </c>
      <c r="O26" s="21">
        <v>10</v>
      </c>
      <c r="P26" s="34">
        <v>46069.554861111108</v>
      </c>
      <c r="Q26" s="34">
        <v>46069.554861111108</v>
      </c>
      <c r="R26" s="10"/>
    </row>
    <row r="27" spans="1:18" x14ac:dyDescent="0.55000000000000004">
      <c r="A27" s="7">
        <v>6</v>
      </c>
      <c r="B27" s="7" t="s">
        <v>115</v>
      </c>
      <c r="C27" s="7">
        <v>9</v>
      </c>
      <c r="D27" s="8">
        <v>7</v>
      </c>
      <c r="E27" s="8" t="s">
        <v>92</v>
      </c>
      <c r="F27" s="8" t="s">
        <v>121</v>
      </c>
      <c r="G27" s="8" t="s">
        <v>168</v>
      </c>
      <c r="H27" s="8" t="s">
        <v>71</v>
      </c>
      <c r="I27" s="8" t="s">
        <v>72</v>
      </c>
      <c r="J27" s="8" t="s">
        <v>4</v>
      </c>
      <c r="K27" s="8" t="s">
        <v>224</v>
      </c>
      <c r="L27" s="11">
        <v>1</v>
      </c>
      <c r="M27" s="21"/>
      <c r="N27" s="21">
        <v>0</v>
      </c>
      <c r="O27" s="21">
        <v>11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5</v>
      </c>
      <c r="B28" s="7" t="s">
        <v>115</v>
      </c>
      <c r="C28" s="7">
        <v>10</v>
      </c>
      <c r="D28" s="8">
        <v>8</v>
      </c>
      <c r="E28" s="8" t="s">
        <v>100</v>
      </c>
      <c r="F28" s="8" t="s">
        <v>144</v>
      </c>
      <c r="G28" s="8" t="s">
        <v>169</v>
      </c>
      <c r="H28" s="8" t="s">
        <v>69</v>
      </c>
      <c r="I28" s="8" t="s">
        <v>70</v>
      </c>
      <c r="J28" s="8" t="s">
        <v>4</v>
      </c>
      <c r="K28" s="8" t="s">
        <v>224</v>
      </c>
      <c r="L28" s="11">
        <v>1</v>
      </c>
      <c r="M28" s="21"/>
      <c r="N28" s="21">
        <v>0</v>
      </c>
      <c r="O28" s="21">
        <v>12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10</v>
      </c>
      <c r="B29" s="7" t="s">
        <v>115</v>
      </c>
      <c r="C29" s="7">
        <v>11</v>
      </c>
      <c r="D29" s="12">
        <v>9</v>
      </c>
      <c r="E29" s="12" t="s">
        <v>95</v>
      </c>
      <c r="F29" s="12" t="s">
        <v>138</v>
      </c>
      <c r="G29" s="12" t="s">
        <v>170</v>
      </c>
      <c r="H29" s="12" t="s">
        <v>75</v>
      </c>
      <c r="I29" s="12" t="s">
        <v>70</v>
      </c>
      <c r="J29" s="12" t="s">
        <v>4</v>
      </c>
      <c r="K29" s="12" t="s">
        <v>224</v>
      </c>
      <c r="L29" s="13">
        <v>1</v>
      </c>
      <c r="M29" s="22"/>
      <c r="N29" s="22">
        <v>0</v>
      </c>
      <c r="O29" s="22">
        <v>2</v>
      </c>
      <c r="P29" s="35">
        <v>46069.554861111108</v>
      </c>
      <c r="Q29" s="35">
        <v>46069.554861111108</v>
      </c>
      <c r="R29" s="10"/>
    </row>
    <row r="30" spans="1:18" x14ac:dyDescent="0.55000000000000004">
      <c r="A30" s="7">
        <v>9</v>
      </c>
      <c r="B30" s="7" t="s">
        <v>115</v>
      </c>
      <c r="C30" s="7">
        <v>12</v>
      </c>
      <c r="D30" s="8">
        <v>9</v>
      </c>
      <c r="E30" s="8" t="s">
        <v>95</v>
      </c>
      <c r="F30" s="8" t="s">
        <v>141</v>
      </c>
      <c r="G30" s="8" t="s">
        <v>171</v>
      </c>
      <c r="H30" s="8" t="s">
        <v>74</v>
      </c>
      <c r="I30" s="8" t="s">
        <v>70</v>
      </c>
      <c r="J30" s="8" t="s">
        <v>4</v>
      </c>
      <c r="K30" s="8" t="s">
        <v>224</v>
      </c>
      <c r="L30" s="11">
        <v>1</v>
      </c>
      <c r="M30" s="21"/>
      <c r="N30" s="21">
        <v>0</v>
      </c>
      <c r="O30" s="21">
        <v>13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11</v>
      </c>
      <c r="B31" s="7" t="s">
        <v>115</v>
      </c>
      <c r="C31" s="7">
        <v>13</v>
      </c>
      <c r="D31" s="12">
        <v>11</v>
      </c>
      <c r="E31" s="12" t="s">
        <v>97</v>
      </c>
      <c r="F31" s="12" t="s">
        <v>139</v>
      </c>
      <c r="G31" s="12" t="s">
        <v>172</v>
      </c>
      <c r="H31" s="12" t="s">
        <v>75</v>
      </c>
      <c r="I31" s="12" t="s">
        <v>70</v>
      </c>
      <c r="J31" s="12" t="s">
        <v>4</v>
      </c>
      <c r="K31" s="12" t="s">
        <v>224</v>
      </c>
      <c r="L31" s="13">
        <v>1</v>
      </c>
      <c r="M31" s="22"/>
      <c r="N31" s="22">
        <v>0</v>
      </c>
      <c r="O31" s="22">
        <v>3</v>
      </c>
      <c r="P31" s="35">
        <v>46069.554861111108</v>
      </c>
      <c r="Q31" s="35">
        <v>46069.554861111108</v>
      </c>
      <c r="R31" s="10"/>
    </row>
    <row r="32" spans="1:18" x14ac:dyDescent="0.55000000000000004">
      <c r="A32" s="7">
        <v>13</v>
      </c>
      <c r="B32" s="7" t="s">
        <v>115</v>
      </c>
      <c r="C32" s="7">
        <v>14</v>
      </c>
      <c r="D32" s="8">
        <v>11</v>
      </c>
      <c r="E32" s="8" t="s">
        <v>97</v>
      </c>
      <c r="F32" s="8" t="s">
        <v>142</v>
      </c>
      <c r="G32" s="8" t="s">
        <v>173</v>
      </c>
      <c r="H32" s="8" t="s">
        <v>76</v>
      </c>
      <c r="I32" s="8" t="s">
        <v>70</v>
      </c>
      <c r="J32" s="8" t="s">
        <v>4</v>
      </c>
      <c r="K32" s="8" t="s">
        <v>224</v>
      </c>
      <c r="L32" s="11">
        <v>1</v>
      </c>
      <c r="M32" s="21"/>
      <c r="N32" s="21">
        <v>0</v>
      </c>
      <c r="O32" s="21">
        <v>4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14</v>
      </c>
      <c r="B33" s="7" t="s">
        <v>115</v>
      </c>
      <c r="C33" s="7">
        <v>15</v>
      </c>
      <c r="D33" s="12">
        <v>11</v>
      </c>
      <c r="E33" s="12" t="s">
        <v>96</v>
      </c>
      <c r="F33" s="12" t="s">
        <v>242</v>
      </c>
      <c r="G33" s="12" t="s">
        <v>243</v>
      </c>
      <c r="H33" s="12" t="s">
        <v>77</v>
      </c>
      <c r="I33" s="12" t="s">
        <v>78</v>
      </c>
      <c r="J33" s="12" t="s">
        <v>4</v>
      </c>
      <c r="K33" s="12" t="s">
        <v>224</v>
      </c>
      <c r="L33" s="13">
        <v>1</v>
      </c>
      <c r="M33" s="22"/>
      <c r="N33" s="22">
        <v>0</v>
      </c>
      <c r="O33" s="22">
        <v>14</v>
      </c>
      <c r="P33" s="35">
        <v>46069.554861111108</v>
      </c>
      <c r="Q33" s="35">
        <v>46069.554861111108</v>
      </c>
      <c r="R33" s="10"/>
    </row>
    <row r="34" spans="1:18" x14ac:dyDescent="0.55000000000000004">
      <c r="A34" s="7">
        <v>15</v>
      </c>
      <c r="B34" s="7" t="s">
        <v>115</v>
      </c>
      <c r="C34" s="7">
        <v>16</v>
      </c>
      <c r="D34" s="12">
        <v>11</v>
      </c>
      <c r="E34" s="12" t="s">
        <v>96</v>
      </c>
      <c r="F34" s="12" t="s">
        <v>146</v>
      </c>
      <c r="G34" s="12" t="s">
        <v>174</v>
      </c>
      <c r="H34" s="12" t="s">
        <v>77</v>
      </c>
      <c r="I34" s="12" t="s">
        <v>78</v>
      </c>
      <c r="J34" s="12" t="s">
        <v>4</v>
      </c>
      <c r="K34" s="12" t="s">
        <v>224</v>
      </c>
      <c r="L34" s="13">
        <v>1</v>
      </c>
      <c r="M34" s="22"/>
      <c r="N34" s="22">
        <v>0</v>
      </c>
      <c r="O34" s="22">
        <v>15</v>
      </c>
      <c r="P34" s="35">
        <v>46069.554861111108</v>
      </c>
      <c r="Q34" s="35">
        <v>46069.554861111108</v>
      </c>
      <c r="R34" s="10"/>
    </row>
    <row r="35" spans="1:18" x14ac:dyDescent="0.55000000000000004">
      <c r="A35" s="7">
        <v>48</v>
      </c>
      <c r="B35" s="7" t="s">
        <v>114</v>
      </c>
      <c r="C35" s="7">
        <v>17</v>
      </c>
      <c r="D35" s="8"/>
      <c r="E35" s="8"/>
      <c r="F35" s="8" t="s">
        <v>206</v>
      </c>
      <c r="G35" s="8" t="s">
        <v>237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0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49</v>
      </c>
      <c r="B36" s="7" t="s">
        <v>114</v>
      </c>
      <c r="C36" s="7">
        <v>18</v>
      </c>
      <c r="D36" s="8"/>
      <c r="E36" s="8"/>
      <c r="F36" s="8" t="s">
        <v>207</v>
      </c>
      <c r="G36" s="8" t="s">
        <v>238</v>
      </c>
      <c r="H36" s="8" t="s">
        <v>51</v>
      </c>
      <c r="I36" s="8"/>
      <c r="J36" s="8"/>
      <c r="K36" s="8"/>
      <c r="L36" s="8"/>
      <c r="M36" s="10"/>
      <c r="N36" s="10">
        <v>1</v>
      </c>
      <c r="O36" s="10">
        <v>1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50</v>
      </c>
      <c r="B37" s="7" t="s">
        <v>114</v>
      </c>
      <c r="C37" s="7">
        <v>19</v>
      </c>
      <c r="D37" s="8"/>
      <c r="E37" s="8"/>
      <c r="F37" s="8" t="s">
        <v>209</v>
      </c>
      <c r="G37" s="8" t="s">
        <v>239</v>
      </c>
      <c r="H37" s="8" t="s">
        <v>208</v>
      </c>
      <c r="I37" s="8"/>
      <c r="J37" s="8"/>
      <c r="K37" s="8"/>
      <c r="L37" s="8"/>
      <c r="M37" s="10"/>
      <c r="N37" s="10">
        <v>1</v>
      </c>
      <c r="O37" s="10">
        <v>2</v>
      </c>
      <c r="P37" s="34">
        <v>46069.554861111108</v>
      </c>
      <c r="Q37" s="34">
        <v>46069.554861111108</v>
      </c>
      <c r="R37" s="10"/>
    </row>
    <row r="38" spans="1:18" x14ac:dyDescent="0.55000000000000004">
      <c r="A38" s="7">
        <v>58</v>
      </c>
      <c r="B38" s="7" t="s">
        <v>114</v>
      </c>
      <c r="C38" s="7">
        <v>20</v>
      </c>
      <c r="D38" s="8">
        <v>7</v>
      </c>
      <c r="E38" s="8" t="s">
        <v>92</v>
      </c>
      <c r="F38" s="8" t="s">
        <v>268</v>
      </c>
      <c r="G38" s="8" t="s">
        <v>270</v>
      </c>
      <c r="H38" s="8" t="s">
        <v>269</v>
      </c>
      <c r="I38" s="8" t="s">
        <v>272</v>
      </c>
      <c r="J38" s="8" t="s">
        <v>271</v>
      </c>
      <c r="K38" s="8" t="s">
        <v>271</v>
      </c>
      <c r="L38" s="8"/>
      <c r="M38" s="10"/>
      <c r="N38" s="10"/>
      <c r="O38" s="10"/>
      <c r="P38" s="34">
        <v>46069.554861111108</v>
      </c>
      <c r="Q38" s="34">
        <v>46069.554861111108</v>
      </c>
      <c r="R38" s="10"/>
    </row>
    <row r="39" spans="1:18" x14ac:dyDescent="0.55000000000000004">
      <c r="A39" s="26">
        <v>12</v>
      </c>
      <c r="B39" s="26" t="s">
        <v>115</v>
      </c>
      <c r="C39" s="26"/>
      <c r="D39" s="14">
        <v>11</v>
      </c>
      <c r="E39" s="14" t="s">
        <v>97</v>
      </c>
      <c r="F39" s="14"/>
      <c r="G39" s="14"/>
      <c r="H39" s="14" t="s">
        <v>75</v>
      </c>
      <c r="I39" s="14" t="s">
        <v>70</v>
      </c>
      <c r="J39" s="14" t="s">
        <v>4</v>
      </c>
      <c r="K39" s="14" t="s">
        <v>224</v>
      </c>
      <c r="L39" s="15">
        <v>1</v>
      </c>
      <c r="M39" s="23" t="s">
        <v>118</v>
      </c>
      <c r="N39" s="23"/>
      <c r="O39" s="23"/>
      <c r="P39" s="36">
        <v>46069.554861111108</v>
      </c>
      <c r="Q39" s="36">
        <v>46069.554861111108</v>
      </c>
      <c r="R39" s="10"/>
    </row>
    <row r="40" spans="1:18" x14ac:dyDescent="0.55000000000000004">
      <c r="A40" s="26">
        <v>16</v>
      </c>
      <c r="B40" s="26" t="s">
        <v>115</v>
      </c>
      <c r="C40" s="26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224</v>
      </c>
      <c r="L40" s="15">
        <v>1</v>
      </c>
      <c r="M40" s="23" t="s">
        <v>118</v>
      </c>
      <c r="N40" s="23"/>
      <c r="O40" s="23"/>
      <c r="P40" s="36">
        <v>46069.554861111108</v>
      </c>
      <c r="Q40" s="36">
        <v>46069.554861111108</v>
      </c>
      <c r="R40" s="10"/>
    </row>
    <row r="41" spans="1:18" x14ac:dyDescent="0.55000000000000004">
      <c r="A41" s="26">
        <v>17</v>
      </c>
      <c r="B41" s="26" t="s">
        <v>115</v>
      </c>
      <c r="C41" s="26"/>
      <c r="D41" s="14">
        <v>11</v>
      </c>
      <c r="E41" s="14" t="s">
        <v>96</v>
      </c>
      <c r="F41" s="14"/>
      <c r="G41" s="14"/>
      <c r="H41" s="14" t="s">
        <v>77</v>
      </c>
      <c r="I41" s="14" t="s">
        <v>78</v>
      </c>
      <c r="J41" s="14" t="s">
        <v>4</v>
      </c>
      <c r="K41" s="14" t="s">
        <v>224</v>
      </c>
      <c r="L41" s="15">
        <v>1</v>
      </c>
      <c r="M41" s="23" t="s">
        <v>118</v>
      </c>
      <c r="N41" s="23"/>
      <c r="O41" s="23"/>
      <c r="P41" s="36">
        <v>46069.554861111108</v>
      </c>
      <c r="Q41" s="36">
        <v>46069.554861111108</v>
      </c>
      <c r="R41" s="10"/>
    </row>
    <row r="42" spans="1:18" x14ac:dyDescent="0.55000000000000004">
      <c r="A42" s="7">
        <v>21</v>
      </c>
      <c r="B42" s="7" t="s">
        <v>122</v>
      </c>
      <c r="C42" s="7">
        <v>1</v>
      </c>
      <c r="D42" s="8">
        <v>1</v>
      </c>
      <c r="E42" s="8" t="s">
        <v>99</v>
      </c>
      <c r="F42" s="8" t="s">
        <v>129</v>
      </c>
      <c r="G42" s="8" t="s">
        <v>202</v>
      </c>
      <c r="H42" s="8" t="s">
        <v>30</v>
      </c>
      <c r="I42" s="8" t="s">
        <v>29</v>
      </c>
      <c r="J42" s="8" t="s">
        <v>2</v>
      </c>
      <c r="K42" s="8" t="s">
        <v>223</v>
      </c>
      <c r="L42" s="8">
        <v>1</v>
      </c>
      <c r="M42" s="10"/>
      <c r="N42" s="10"/>
      <c r="O42" s="10"/>
      <c r="P42" s="34">
        <v>46069.554861111108</v>
      </c>
      <c r="Q42" s="34">
        <v>46069.554861111108</v>
      </c>
      <c r="R42" s="10"/>
    </row>
    <row r="43" spans="1:18" x14ac:dyDescent="0.55000000000000004">
      <c r="A43" s="7">
        <v>24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</v>
      </c>
      <c r="I43" s="8" t="s">
        <v>8</v>
      </c>
      <c r="J43" s="8" t="s">
        <v>222</v>
      </c>
      <c r="K43" s="8" t="s">
        <v>221</v>
      </c>
      <c r="L43" s="8">
        <v>1</v>
      </c>
      <c r="M43" s="10"/>
      <c r="N43" s="10"/>
      <c r="O43" s="10"/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25</v>
      </c>
      <c r="B44" s="7" t="s">
        <v>119</v>
      </c>
      <c r="C44" s="7"/>
      <c r="D44" s="8">
        <v>3</v>
      </c>
      <c r="E44" s="8" t="s">
        <v>94</v>
      </c>
      <c r="F44" s="8" t="s">
        <v>90</v>
      </c>
      <c r="G44" s="8"/>
      <c r="H44" s="8" t="s">
        <v>60</v>
      </c>
      <c r="I44" s="8" t="s">
        <v>9</v>
      </c>
      <c r="J44" s="8" t="s">
        <v>222</v>
      </c>
      <c r="K44" s="8" t="s">
        <v>221</v>
      </c>
      <c r="L44" s="8">
        <v>1</v>
      </c>
      <c r="M44" s="10"/>
      <c r="N44" s="10"/>
      <c r="O44" s="10"/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29</v>
      </c>
      <c r="B45" s="7" t="s">
        <v>119</v>
      </c>
      <c r="C45" s="7"/>
      <c r="D45" s="8">
        <v>7</v>
      </c>
      <c r="E45" s="8" t="s">
        <v>92</v>
      </c>
      <c r="F45" s="8"/>
      <c r="G45" s="8"/>
      <c r="H45" s="8" t="s">
        <v>22</v>
      </c>
      <c r="I45" s="8" t="s">
        <v>23</v>
      </c>
      <c r="J45" s="8" t="s">
        <v>222</v>
      </c>
      <c r="K45" s="8" t="s">
        <v>221</v>
      </c>
      <c r="L45" s="8">
        <v>3</v>
      </c>
      <c r="M45" s="10"/>
      <c r="N45" s="10"/>
      <c r="O45" s="10"/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30</v>
      </c>
      <c r="B46" s="7" t="s">
        <v>119</v>
      </c>
      <c r="C46" s="7"/>
      <c r="D46" s="8">
        <v>1</v>
      </c>
      <c r="E46" s="8" t="s">
        <v>99</v>
      </c>
      <c r="F46" s="8" t="s">
        <v>108</v>
      </c>
      <c r="G46" s="8"/>
      <c r="H46" s="8" t="s">
        <v>25</v>
      </c>
      <c r="I46" s="8" t="s">
        <v>24</v>
      </c>
      <c r="J46" s="8" t="s">
        <v>222</v>
      </c>
      <c r="K46" s="8" t="s">
        <v>221</v>
      </c>
      <c r="L46" s="8">
        <v>1</v>
      </c>
      <c r="M46" s="10" t="s">
        <v>57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7">
        <v>34</v>
      </c>
      <c r="B47" s="7" t="s">
        <v>119</v>
      </c>
      <c r="C47" s="7"/>
      <c r="D47" s="8">
        <v>1</v>
      </c>
      <c r="E47" s="8" t="s">
        <v>99</v>
      </c>
      <c r="F47" s="8" t="s">
        <v>109</v>
      </c>
      <c r="G47" s="8"/>
      <c r="H47" s="8" t="s">
        <v>35</v>
      </c>
      <c r="I47" s="16" t="s">
        <v>36</v>
      </c>
      <c r="J47" s="8" t="s">
        <v>222</v>
      </c>
      <c r="K47" s="8" t="s">
        <v>221</v>
      </c>
      <c r="L47" s="8">
        <v>1</v>
      </c>
      <c r="M47" s="10" t="s">
        <v>34</v>
      </c>
      <c r="N47" s="10"/>
      <c r="O47" s="10"/>
      <c r="P47" s="34">
        <v>46069.554861111108</v>
      </c>
      <c r="Q47" s="34">
        <v>46069.554861111108</v>
      </c>
      <c r="R47" s="10"/>
    </row>
    <row r="48" spans="1:18" x14ac:dyDescent="0.55000000000000004">
      <c r="A48" s="7">
        <v>26</v>
      </c>
      <c r="B48" s="7"/>
      <c r="C48" s="7"/>
      <c r="D48" s="8">
        <v>1</v>
      </c>
      <c r="E48" s="8" t="s">
        <v>99</v>
      </c>
      <c r="F48" s="8"/>
      <c r="G48" s="8"/>
      <c r="H48" s="8" t="s">
        <v>58</v>
      </c>
      <c r="I48" s="8" t="s">
        <v>59</v>
      </c>
      <c r="J48" s="8" t="s">
        <v>222</v>
      </c>
      <c r="K48" s="8" t="s">
        <v>221</v>
      </c>
      <c r="L48" s="8">
        <v>1</v>
      </c>
      <c r="M48" s="10"/>
      <c r="N48" s="10"/>
      <c r="O48" s="10"/>
      <c r="P48" s="34">
        <v>46069.554861111108</v>
      </c>
      <c r="Q48" s="34">
        <v>46069.554861111108</v>
      </c>
      <c r="R48" s="10"/>
    </row>
    <row r="49" spans="1:18" x14ac:dyDescent="0.55000000000000004">
      <c r="A49" s="7">
        <v>27</v>
      </c>
      <c r="B49" s="7"/>
      <c r="C49" s="7"/>
      <c r="D49" s="8">
        <v>5</v>
      </c>
      <c r="E49" s="8" t="s">
        <v>93</v>
      </c>
      <c r="F49" s="8"/>
      <c r="G49" s="8"/>
      <c r="H49" s="8" t="s">
        <v>18</v>
      </c>
      <c r="I49" s="8" t="s">
        <v>19</v>
      </c>
      <c r="J49" s="8" t="s">
        <v>222</v>
      </c>
      <c r="K49" s="8" t="s">
        <v>221</v>
      </c>
      <c r="L49" s="8">
        <v>1</v>
      </c>
      <c r="M49" s="10"/>
      <c r="N49" s="10"/>
      <c r="O49" s="10"/>
      <c r="P49" s="34">
        <v>46069.554861111108</v>
      </c>
      <c r="Q49" s="34">
        <v>46069.554861111108</v>
      </c>
      <c r="R49" s="10"/>
    </row>
    <row r="50" spans="1:18" x14ac:dyDescent="0.55000000000000004">
      <c r="A50" s="7">
        <v>28</v>
      </c>
      <c r="B50" s="7"/>
      <c r="C50" s="7"/>
      <c r="D50" s="8">
        <v>5</v>
      </c>
      <c r="E50" s="8" t="s">
        <v>93</v>
      </c>
      <c r="F50" s="8"/>
      <c r="G50" s="8"/>
      <c r="H50" s="8" t="s">
        <v>16</v>
      </c>
      <c r="I50" s="8" t="s">
        <v>17</v>
      </c>
      <c r="J50" s="8" t="s">
        <v>222</v>
      </c>
      <c r="K50" s="8" t="s">
        <v>221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31</v>
      </c>
      <c r="B51" s="7"/>
      <c r="C51" s="7"/>
      <c r="D51" s="8">
        <v>3</v>
      </c>
      <c r="E51" s="8" t="s">
        <v>94</v>
      </c>
      <c r="F51" s="8"/>
      <c r="G51" s="8"/>
      <c r="H51" s="8" t="s">
        <v>27</v>
      </c>
      <c r="I51" s="8" t="s">
        <v>26</v>
      </c>
      <c r="J51" s="8" t="s">
        <v>222</v>
      </c>
      <c r="K51" s="8" t="s">
        <v>221</v>
      </c>
      <c r="L51" s="8">
        <v>1</v>
      </c>
      <c r="M51" s="10" t="s">
        <v>57</v>
      </c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39</v>
      </c>
      <c r="B52" s="7"/>
      <c r="C52" s="7"/>
      <c r="D52" s="8">
        <v>7</v>
      </c>
      <c r="E52" s="8" t="s">
        <v>92</v>
      </c>
      <c r="F52" s="8"/>
      <c r="G52" s="8"/>
      <c r="H52" s="8" t="s">
        <v>27</v>
      </c>
      <c r="I52" s="8" t="s">
        <v>26</v>
      </c>
      <c r="J52" s="8" t="s">
        <v>222</v>
      </c>
      <c r="K52" s="8" t="s">
        <v>221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51</v>
      </c>
      <c r="B53" s="7" t="s">
        <v>261</v>
      </c>
      <c r="C53" s="7">
        <v>1</v>
      </c>
      <c r="D53" s="8"/>
      <c r="E53" s="8"/>
      <c r="F53" s="8" t="s">
        <v>248</v>
      </c>
      <c r="G53" s="8" t="s">
        <v>254</v>
      </c>
      <c r="H53" s="8"/>
      <c r="I53" s="8"/>
      <c r="J53" s="8"/>
      <c r="K53" s="8"/>
      <c r="L53" s="8"/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52</v>
      </c>
      <c r="B54" s="7" t="s">
        <v>261</v>
      </c>
      <c r="C54" s="7">
        <v>2</v>
      </c>
      <c r="D54" s="8"/>
      <c r="E54" s="8"/>
      <c r="F54" s="8" t="s">
        <v>249</v>
      </c>
      <c r="G54" s="8" t="s">
        <v>255</v>
      </c>
      <c r="H54" s="8"/>
      <c r="I54" s="8"/>
      <c r="J54" s="8"/>
      <c r="K54" s="8"/>
      <c r="L54" s="8"/>
      <c r="M54" s="10"/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53</v>
      </c>
      <c r="B55" s="7" t="s">
        <v>261</v>
      </c>
      <c r="C55" s="7">
        <v>3</v>
      </c>
      <c r="D55" s="8"/>
      <c r="E55" s="8"/>
      <c r="F55" s="8" t="s">
        <v>250</v>
      </c>
      <c r="G55" s="8" t="s">
        <v>256</v>
      </c>
      <c r="H55" s="8"/>
      <c r="I55" s="8"/>
      <c r="J55" s="8"/>
      <c r="K55" s="8"/>
      <c r="L55" s="8"/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54</v>
      </c>
      <c r="B56" s="7" t="s">
        <v>261</v>
      </c>
      <c r="C56" s="7">
        <v>4</v>
      </c>
      <c r="D56" s="8"/>
      <c r="E56" s="8"/>
      <c r="F56" s="8" t="s">
        <v>251</v>
      </c>
      <c r="G56" s="8" t="s">
        <v>257</v>
      </c>
      <c r="H56" s="8"/>
      <c r="I56" s="8"/>
      <c r="J56" s="8"/>
      <c r="K56" s="8"/>
      <c r="L56" s="8"/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55</v>
      </c>
      <c r="B57" s="7" t="s">
        <v>261</v>
      </c>
      <c r="C57" s="7">
        <v>5</v>
      </c>
      <c r="D57" s="8"/>
      <c r="E57" s="8"/>
      <c r="F57" s="8" t="s">
        <v>252</v>
      </c>
      <c r="G57" s="8" t="s">
        <v>258</v>
      </c>
      <c r="H57" s="8"/>
      <c r="I57" s="8"/>
      <c r="J57" s="8"/>
      <c r="K57" s="8"/>
      <c r="L57" s="8"/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56</v>
      </c>
      <c r="B58" s="7" t="s">
        <v>261</v>
      </c>
      <c r="C58" s="7">
        <v>6</v>
      </c>
      <c r="D58" s="8"/>
      <c r="E58" s="8"/>
      <c r="F58" s="8" t="s">
        <v>253</v>
      </c>
      <c r="G58" s="8" t="s">
        <v>259</v>
      </c>
      <c r="H58" s="8"/>
      <c r="I58" s="8"/>
      <c r="J58" s="8"/>
      <c r="K58" s="8"/>
      <c r="L58" s="8"/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60</v>
      </c>
      <c r="B59" s="7" t="s">
        <v>279</v>
      </c>
      <c r="C59" s="7">
        <v>7</v>
      </c>
      <c r="D59" s="8"/>
      <c r="E59" s="8"/>
      <c r="F59" s="8" t="s">
        <v>280</v>
      </c>
      <c r="G59" s="8" t="s">
        <v>281</v>
      </c>
      <c r="H59" s="8"/>
      <c r="I59" s="8"/>
      <c r="J59" s="8"/>
      <c r="K59" s="8"/>
      <c r="L59" s="8"/>
      <c r="M59" s="10"/>
      <c r="N59" s="10"/>
      <c r="O59" s="10"/>
      <c r="P59" s="34">
        <v>46069.809027777781</v>
      </c>
      <c r="Q59" s="34">
        <v>46069.809027777781</v>
      </c>
      <c r="R59" s="10"/>
    </row>
    <row r="60" spans="1:18" x14ac:dyDescent="0.55000000000000004">
      <c r="A60" s="7">
        <v>65</v>
      </c>
      <c r="B60" s="7" t="s">
        <v>279</v>
      </c>
      <c r="C60" s="7">
        <v>8</v>
      </c>
      <c r="D60" s="8"/>
      <c r="E60" s="8"/>
      <c r="F60" s="8" t="s">
        <v>296</v>
      </c>
      <c r="G60" s="8" t="s">
        <v>297</v>
      </c>
      <c r="H60" s="8"/>
      <c r="I60" s="8"/>
      <c r="J60" s="8"/>
      <c r="K60" s="8"/>
      <c r="L60" s="8"/>
      <c r="M60" s="10"/>
      <c r="N60" s="10"/>
      <c r="O60" s="10"/>
      <c r="P60" s="34">
        <v>46085.347222222219</v>
      </c>
      <c r="Q60" s="34">
        <v>46085.347222222219</v>
      </c>
      <c r="R60" s="10"/>
    </row>
    <row r="61" spans="1:18" x14ac:dyDescent="0.55000000000000004">
      <c r="A61" s="7">
        <v>57</v>
      </c>
      <c r="B61" s="7" t="s">
        <v>286</v>
      </c>
      <c r="C61" s="7">
        <v>1</v>
      </c>
      <c r="D61" s="8"/>
      <c r="E61" s="8"/>
      <c r="F61" s="8" t="s">
        <v>266</v>
      </c>
      <c r="G61" s="8" t="s">
        <v>267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46077.372916666667</v>
      </c>
      <c r="R61" s="10"/>
    </row>
    <row r="62" spans="1:18" x14ac:dyDescent="0.55000000000000004">
      <c r="A62" s="7">
        <v>61</v>
      </c>
      <c r="B62" s="7" t="s">
        <v>287</v>
      </c>
      <c r="C62" s="7">
        <v>2</v>
      </c>
      <c r="D62" s="8"/>
      <c r="E62" s="8"/>
      <c r="F62" s="8" t="s">
        <v>288</v>
      </c>
      <c r="G62" s="8" t="s">
        <v>289</v>
      </c>
      <c r="H62" s="8"/>
      <c r="I62" s="8"/>
      <c r="J62" s="8"/>
      <c r="K62" s="8"/>
      <c r="L62" s="8"/>
      <c r="M62" s="10"/>
      <c r="N62" s="10"/>
      <c r="O62" s="10"/>
      <c r="P62" s="34">
        <v>46077.372916666667</v>
      </c>
      <c r="Q62" s="34">
        <v>46077.372916666667</v>
      </c>
      <c r="R62" s="10"/>
    </row>
    <row r="63" spans="1:18" x14ac:dyDescent="0.55000000000000004">
      <c r="A63" s="7">
        <v>62</v>
      </c>
      <c r="B63" s="7" t="s">
        <v>290</v>
      </c>
      <c r="C63" s="7">
        <v>1</v>
      </c>
      <c r="D63" s="8"/>
      <c r="E63" s="8"/>
      <c r="F63" s="8" t="s">
        <v>294</v>
      </c>
      <c r="G63" s="8" t="s">
        <v>295</v>
      </c>
      <c r="H63" s="8"/>
      <c r="I63" s="8"/>
      <c r="J63" s="8"/>
      <c r="K63" s="8"/>
      <c r="L63" s="8"/>
      <c r="M63" s="10"/>
      <c r="N63" s="10"/>
      <c r="O63" s="10"/>
      <c r="P63" s="34">
        <v>46083.387499999997</v>
      </c>
      <c r="Q63" s="34">
        <v>46083.387499999997</v>
      </c>
      <c r="R63" s="10"/>
    </row>
    <row r="64" spans="1:18" x14ac:dyDescent="0.55000000000000004">
      <c r="A64" s="7">
        <v>63</v>
      </c>
      <c r="B64" s="7" t="s">
        <v>290</v>
      </c>
      <c r="C64" s="7">
        <v>2</v>
      </c>
      <c r="D64" s="8"/>
      <c r="E64" s="8"/>
      <c r="F64" s="8" t="s">
        <v>294</v>
      </c>
      <c r="G64" s="8" t="s">
        <v>295</v>
      </c>
      <c r="H64" s="8"/>
      <c r="I64" s="8"/>
      <c r="J64" s="8"/>
      <c r="K64" s="8"/>
      <c r="L64" s="8"/>
      <c r="M64" s="10"/>
      <c r="N64" s="10"/>
      <c r="O64" s="10"/>
      <c r="P64" s="34">
        <v>46083.387499999997</v>
      </c>
      <c r="Q64" s="34">
        <v>46083.387499999997</v>
      </c>
      <c r="R64" s="10"/>
    </row>
    <row r="65" spans="1:18" x14ac:dyDescent="0.55000000000000004">
      <c r="A65" s="7">
        <v>64</v>
      </c>
      <c r="B65" s="7" t="s">
        <v>290</v>
      </c>
      <c r="C65" s="7">
        <v>3</v>
      </c>
      <c r="D65" s="8"/>
      <c r="E65" s="8"/>
      <c r="F65" s="8" t="s">
        <v>291</v>
      </c>
      <c r="G65" s="8" t="s">
        <v>292</v>
      </c>
      <c r="H65" s="8"/>
      <c r="I65" s="8"/>
      <c r="J65" s="8"/>
      <c r="K65" s="8"/>
      <c r="L65" s="8"/>
      <c r="M65" s="10"/>
      <c r="N65" s="10"/>
      <c r="O65" s="10"/>
      <c r="P65" s="34">
        <v>46083.363888888889</v>
      </c>
      <c r="Q65" s="34">
        <v>46083.363888888889</v>
      </c>
      <c r="R65" s="10"/>
    </row>
    <row r="66" spans="1:18" x14ac:dyDescent="0.55000000000000004">
      <c r="A66" s="18"/>
      <c r="B66" s="18"/>
      <c r="C66" s="18"/>
      <c r="D66" s="19"/>
      <c r="E66" s="19"/>
      <c r="F66" s="19"/>
      <c r="G66" s="19"/>
      <c r="H66" s="19"/>
      <c r="I66" s="19"/>
      <c r="J66" s="19"/>
      <c r="K66" s="19"/>
      <c r="L66" s="19"/>
      <c r="M66" s="20"/>
      <c r="N66" s="20"/>
      <c r="O66" s="20"/>
      <c r="P66" s="37"/>
      <c r="Q66" s="37"/>
      <c r="R66" s="20"/>
    </row>
    <row r="68" spans="1:18" x14ac:dyDescent="0.55000000000000004">
      <c r="A68" t="s">
        <v>111</v>
      </c>
      <c r="D68" t="s">
        <v>110</v>
      </c>
    </row>
    <row r="69" spans="1:18" x14ac:dyDescent="0.55000000000000004">
      <c r="A69">
        <f>MAX(A$2:A$66)</f>
        <v>65</v>
      </c>
      <c r="D69">
        <f>MAX(D$2:D$66)</f>
        <v>11</v>
      </c>
    </row>
    <row r="70" spans="1:18" x14ac:dyDescent="0.55000000000000004">
      <c r="A70" t="s">
        <v>198</v>
      </c>
      <c r="B70" t="s">
        <v>117</v>
      </c>
      <c r="C70" t="s">
        <v>116</v>
      </c>
    </row>
    <row r="71" spans="1:18" x14ac:dyDescent="0.55000000000000004">
      <c r="A71">
        <f>ROW(A67)-ROW(A1)-1</f>
        <v>65</v>
      </c>
      <c r="B71">
        <f>COUNTIF(B$2:B$66,B70)</f>
        <v>17</v>
      </c>
      <c r="C71" s="25">
        <f>_xlfn.MAXIFS(C$2:C$66,$B$2:$B$66,C70)</f>
        <v>17</v>
      </c>
    </row>
    <row r="72" spans="1:18" x14ac:dyDescent="0.55000000000000004">
      <c r="B72" t="s">
        <v>114</v>
      </c>
      <c r="C72" t="s">
        <v>114</v>
      </c>
    </row>
    <row r="73" spans="1:18" x14ac:dyDescent="0.55000000000000004">
      <c r="B73">
        <f>COUNTIF(B$2:B$66,B72)</f>
        <v>23</v>
      </c>
      <c r="C73" s="25">
        <f>_xlfn.MAXIFS(C$2:C$66,$B$2:$B$66,C72)</f>
        <v>20</v>
      </c>
    </row>
    <row r="76" spans="1:18" x14ac:dyDescent="0.55000000000000004">
      <c r="H76" s="2" t="s">
        <v>37</v>
      </c>
      <c r="L76">
        <v>1</v>
      </c>
      <c r="R76" t="s">
        <v>79</v>
      </c>
    </row>
    <row r="77" spans="1:18" x14ac:dyDescent="0.55000000000000004">
      <c r="H77" t="s">
        <v>56</v>
      </c>
      <c r="I77" t="s">
        <v>53</v>
      </c>
      <c r="J77" t="s">
        <v>52</v>
      </c>
      <c r="L77">
        <v>1</v>
      </c>
      <c r="R77" t="s">
        <v>79</v>
      </c>
    </row>
    <row r="79" spans="1:18" x14ac:dyDescent="0.55000000000000004">
      <c r="H79" s="2" t="s">
        <v>38</v>
      </c>
    </row>
    <row r="80" spans="1:18" x14ac:dyDescent="0.55000000000000004">
      <c r="H80" t="s">
        <v>82</v>
      </c>
      <c r="I80" t="s">
        <v>84</v>
      </c>
      <c r="J80" t="s">
        <v>80</v>
      </c>
      <c r="L80">
        <v>1</v>
      </c>
      <c r="R80" t="s">
        <v>79</v>
      </c>
    </row>
    <row r="82" spans="8:18" x14ac:dyDescent="0.55000000000000004">
      <c r="H82" s="2" t="s">
        <v>39</v>
      </c>
    </row>
    <row r="83" spans="8:18" x14ac:dyDescent="0.55000000000000004">
      <c r="H83" t="s">
        <v>83</v>
      </c>
      <c r="I83" t="s">
        <v>84</v>
      </c>
      <c r="J83" t="s">
        <v>81</v>
      </c>
      <c r="L83">
        <v>1</v>
      </c>
      <c r="R83" t="s">
        <v>79</v>
      </c>
    </row>
    <row r="85" spans="8:18" x14ac:dyDescent="0.55000000000000004">
      <c r="H85" s="2" t="s">
        <v>40</v>
      </c>
    </row>
    <row r="86" spans="8:18" x14ac:dyDescent="0.55000000000000004">
      <c r="H86" t="s">
        <v>42</v>
      </c>
      <c r="I86" t="s">
        <v>43</v>
      </c>
      <c r="J86" t="s">
        <v>12</v>
      </c>
      <c r="L86">
        <v>1</v>
      </c>
      <c r="R86" t="s">
        <v>87</v>
      </c>
    </row>
    <row r="87" spans="8:18" x14ac:dyDescent="0.55000000000000004">
      <c r="H87" t="s">
        <v>45</v>
      </c>
      <c r="I87" s="1" t="s">
        <v>54</v>
      </c>
      <c r="J87" t="s">
        <v>44</v>
      </c>
      <c r="L87">
        <v>2</v>
      </c>
      <c r="R87" t="s">
        <v>87</v>
      </c>
    </row>
    <row r="89" spans="8:18" x14ac:dyDescent="0.55000000000000004">
      <c r="H89" s="2" t="s">
        <v>41</v>
      </c>
    </row>
    <row r="90" spans="8:18" x14ac:dyDescent="0.55000000000000004">
      <c r="H90" t="s">
        <v>46</v>
      </c>
      <c r="I90" t="s">
        <v>47</v>
      </c>
      <c r="J90" t="s">
        <v>12</v>
      </c>
      <c r="L90">
        <v>1</v>
      </c>
      <c r="R90" t="s">
        <v>87</v>
      </c>
    </row>
    <row r="91" spans="8:18" x14ac:dyDescent="0.55000000000000004">
      <c r="H91" t="s">
        <v>50</v>
      </c>
      <c r="I91" s="3" t="s">
        <v>48</v>
      </c>
      <c r="J91" t="s">
        <v>49</v>
      </c>
      <c r="L91">
        <v>1</v>
      </c>
      <c r="R91" t="s">
        <v>87</v>
      </c>
    </row>
    <row r="92" spans="8:18" x14ac:dyDescent="0.55000000000000004">
      <c r="H92" t="s">
        <v>51</v>
      </c>
      <c r="I92" t="s">
        <v>55</v>
      </c>
      <c r="J92" t="s">
        <v>4</v>
      </c>
      <c r="L92">
        <v>2</v>
      </c>
      <c r="R92" t="s">
        <v>87</v>
      </c>
    </row>
    <row r="93" spans="8:18" x14ac:dyDescent="0.55000000000000004">
      <c r="H93" t="s">
        <v>85</v>
      </c>
      <c r="I93" t="s">
        <v>86</v>
      </c>
      <c r="J93" t="s">
        <v>88</v>
      </c>
      <c r="L93">
        <v>1</v>
      </c>
      <c r="R93" t="s">
        <v>87</v>
      </c>
    </row>
  </sheetData>
  <autoFilter ref="A1:R52" xr:uid="{48D32264-F25D-40E9-9C76-26E43E79C8CC}">
    <sortState xmlns:xlrd2="http://schemas.microsoft.com/office/spreadsheetml/2017/richdata2" ref="A2:R52">
      <sortCondition ref="B1:B52"/>
    </sortState>
  </autoFilter>
  <phoneticPr fontId="1"/>
  <conditionalFormatting sqref="A2:R17 A18:G18 I18:R18 A19:R66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230</v>
      </c>
      <c r="J1" t="s">
        <v>226</v>
      </c>
      <c r="L1" t="s">
        <v>227</v>
      </c>
      <c r="N1" t="s">
        <v>228</v>
      </c>
      <c r="P1" t="s">
        <v>229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211</v>
      </c>
      <c r="E2" s="30" t="s">
        <v>216</v>
      </c>
      <c r="F2" s="30" t="s">
        <v>102</v>
      </c>
      <c r="G2" s="30" t="s">
        <v>197</v>
      </c>
      <c r="H2" s="30" t="s">
        <v>215</v>
      </c>
      <c r="J2" s="30" t="s">
        <v>189</v>
      </c>
      <c r="L2" s="30" t="s">
        <v>190</v>
      </c>
      <c r="N2" s="30" t="s">
        <v>200</v>
      </c>
      <c r="P2" s="30" t="s">
        <v>217</v>
      </c>
      <c r="X2" s="30" t="s">
        <v>201</v>
      </c>
      <c r="Y2" s="30" t="s">
        <v>192</v>
      </c>
      <c r="Z2" s="30" t="s">
        <v>193</v>
      </c>
      <c r="AA2" s="30" t="s">
        <v>194</v>
      </c>
      <c r="AB2" s="30" t="s">
        <v>195</v>
      </c>
      <c r="AC2" s="30" t="s">
        <v>196</v>
      </c>
      <c r="AD2" s="30" t="s">
        <v>195</v>
      </c>
      <c r="AE2" s="30" t="s">
        <v>203</v>
      </c>
      <c r="AF2" s="30" t="s">
        <v>204</v>
      </c>
      <c r="AG2" s="30" t="s">
        <v>225</v>
      </c>
      <c r="AH2" s="30" t="s">
        <v>204</v>
      </c>
      <c r="AI2" s="30" t="s">
        <v>213</v>
      </c>
      <c r="AJ2" s="30" t="s">
        <v>214</v>
      </c>
      <c r="AK2" s="30" t="s">
        <v>210</v>
      </c>
    </row>
    <row r="3" spans="1:37" x14ac:dyDescent="0.55000000000000004">
      <c r="A3" t="s">
        <v>184</v>
      </c>
      <c r="B3" t="str" cm="1">
        <f t="array" aca="1" ref="B3" ca="1">CELL("filename")</f>
        <v>C:\tk\prj\hg-0025-0016\git\vt5-w10\[TP_メッセージ.xlsx]err</v>
      </c>
      <c r="E3" t="s">
        <v>117</v>
      </c>
      <c r="F3">
        <f>COUNTIF(E$3:E3,E3)</f>
        <v>1</v>
      </c>
      <c r="H3" cm="1">
        <f t="array" ref="H3:H202">IFERROR(MATCH($E$3:$E$202&amp;$F$3:$F$202,info_index!$B$2:$B$66&amp;info_index!$C$2:$C$66,0),"")</f>
        <v>1</v>
      </c>
      <c r="I3" t="str" cm="1">
        <f t="array" aca="1" ref="I3:I202" ca="1">IF(LEN(_xlfn.ANCHORARRAY(H3)),INDEX(OFFSET(info_index!$F$2:$F$66,0,$B$23),MATCH($E$3:$E$202&amp;$F$3:$F$202,info_index!$B$2:$B$66&amp;info_index!$C$2:$C$66,0)&amp;"",1),"")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IFERROR(INDEX(info_index!$H$2:$H$66,MATCH($E$3:$E$202&amp;$F$3:$F$202,info_index!$B$2:$B$66&amp;info_index!$C$2:$C$66,0),1)&amp;"","")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IF(LEN(_xlfn.ANCHORARRAY(H3)),INDEX(OFFSET(info_index!$J$2:$J$66,0,$B$23),MATCH($E$3:$E$202&amp;$F$3:$F$202,info_index!$B$2:$B$66&amp;info_index!$C$2:$C$66,0),1)&amp;"","")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181</v>
      </c>
      <c r="B5" t="str">
        <f ca="1">"このスクリプトは "&amp;B3&amp;" によって生成されました。"</f>
        <v>このスクリプトは C:\tk\prj\hg-0025-0016\git\vt5-w10\[TP_メッセージ.xlsx]err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182</v>
      </c>
      <c r="B6" t="s">
        <v>183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175</v>
      </c>
      <c r="B7" t="s">
        <v>176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177</v>
      </c>
      <c r="B8" t="s">
        <v>178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179</v>
      </c>
      <c r="B9" t="s">
        <v>180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185</v>
      </c>
      <c r="B13" t="str">
        <f ca="1">$AK$205</f>
        <v>//このスクリプトは C:\tk\prj\hg-0025-0016\git\vt5-w10\[TP_メッセージ.xlsx]err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231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波板補助軸</v>
      </c>
      <c r="J19" t="str">
        <f ca="1"/>
        <v>波板補助軸</v>
      </c>
      <c r="L19" t="str">
        <f ca="1"/>
        <v>【axis17】 波板補助軸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//波板補助軸
	ELSIF uiInfoIdx = 17 THEN</v>
      </c>
      <c r="AA19" t="str">
        <f ca="1"/>
        <v xml:space="preserve">
	//波板補助軸
	ELSIF uiInfoIdx = 17 THEN
		IF strInfoKey = 'name' THEN</v>
      </c>
      <c r="AB19" t="str">
        <f ca="1"/>
        <v xml:space="preserve">
	//波板補助軸
	ELSIF uiInfoIdx = 17 THEN
		IF strInfoKey = 'name' THEN
			strRt	:= '波板補助軸';</v>
      </c>
      <c r="AC19" t="str">
        <f ca="1"/>
        <v xml:space="preserve">
	//波板補助軸
	ELSIF uiInfoIdx = 17 THEN
		IF strInfoKey = 'name' THEN
			strRt	:= '波板補助軸';
		ELSIF strInfoKey = 'index_name' THEN</v>
      </c>
      <c r="AD19" t="str">
        <f ca="1"/>
        <v xml:space="preserve">
	//波板補助軸
	ELSIF uiInfoIdx = 17 THEN
		IF strInfoKey = 'name' THEN
			strRt	:= '波板補助軸';
		ELSIF strInfoKey = 'index_name' THEN
			strRt	:= '【axis17】 波板補助軸';</v>
      </c>
      <c r="AE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</v>
      </c>
      <c r="AF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</v>
      </c>
      <c r="AG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</v>
      </c>
      <c r="AH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</v>
      </c>
      <c r="AI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J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K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199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191</v>
      </c>
      <c r="B25" t="s">
        <v>232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187</v>
      </c>
      <c r="B26" t="s">
        <v>233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188</v>
      </c>
      <c r="B27" t="s">
        <v>234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186</v>
      </c>
      <c r="B28" t="s">
        <v>240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212</v>
      </c>
      <c r="B29" t="s">
        <v>241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41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18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19</v>
      </c>
      <c r="I64" t="str">
        <f ca="1"/>
        <v>Tロール糊付け①下ロール</v>
      </c>
      <c r="J64" t="str">
        <f ca="1"/>
        <v>Tロール糊付け①下ロール</v>
      </c>
      <c r="L64" t="str">
        <f ca="1"/>
        <v>【cylinder2】 Tロール糊付け①下ロール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//Tロール糊付け①下ロール
	ELSIF uiInfoIdx = 2 THEN</v>
      </c>
      <c r="AA64" t="str">
        <f ca="1"/>
        <v xml:space="preserve">
	//Tロール糊付け①下ロール
	ELSIF uiInfoIdx = 2 THEN
		IF strInfoKey = 'name' THEN</v>
      </c>
      <c r="AB64" t="str">
        <f ca="1"/>
        <v xml:space="preserve">
	//Tロール糊付け①下ロール
	ELSIF uiInfoIdx = 2 THEN
		IF strInfoKey = 'name' THEN
			strRt	:= 'Tロール糊付け①下ロール';</v>
      </c>
      <c r="AC64" t="str">
        <f ca="1"/>
        <v xml:space="preserve">
	//Tロール糊付け①下ロール
	ELSIF uiInfoIdx = 2 THEN
		IF strInfoKey = 'name' THEN
			strRt	:= 'Tロール糊付け①下ロール';
		ELSIF strInfoKey = 'index_name' THEN</v>
      </c>
      <c r="AD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</v>
      </c>
      <c r="AE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</v>
      </c>
      <c r="AF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</v>
      </c>
      <c r="AG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</v>
      </c>
      <c r="AH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</v>
      </c>
      <c r="AI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J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K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20</v>
      </c>
      <c r="I65" t="str">
        <f ca="1"/>
        <v>Tロール糊付け②上ロール</v>
      </c>
      <c r="J65" t="str">
        <f ca="1"/>
        <v>Tロール糊付け②上ロール</v>
      </c>
      <c r="L65" t="str">
        <f ca="1"/>
        <v>【cylinder3】 Tロール糊付け②上ロール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//Tロール糊付け②上ロール
	ELSIF uiInfoIdx = 3 THEN</v>
      </c>
      <c r="AA65" t="str">
        <f ca="1"/>
        <v xml:space="preserve">
	//Tロール糊付け②上ロール
	ELSIF uiInfoIdx = 3 THEN
		IF strInfoKey = 'name' THEN</v>
      </c>
      <c r="AB65" t="str">
        <f ca="1"/>
        <v xml:space="preserve">
	//Tロール糊付け②上ロール
	ELSIF uiInfoIdx = 3 THEN
		IF strInfoKey = 'name' THEN
			strRt	:= 'Tロール糊付け②上ロール';</v>
      </c>
      <c r="AC65" t="str">
        <f ca="1"/>
        <v xml:space="preserve">
	//Tロール糊付け②上ロール
	ELSIF uiInfoIdx = 3 THEN
		IF strInfoKey = 'name' THEN
			strRt	:= 'Tロール糊付け②上ロール';
		ELSIF strInfoKey = 'index_name' THEN</v>
      </c>
      <c r="AD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</v>
      </c>
      <c r="AE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</v>
      </c>
      <c r="AF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</v>
      </c>
      <c r="AG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</v>
      </c>
      <c r="AH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</v>
      </c>
      <c r="AI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21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22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23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24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25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26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27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28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29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30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31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32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33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34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35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36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37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286</v>
      </c>
      <c r="F86">
        <f>COUNTIF(E$3:E86,E86)</f>
        <v>1</v>
      </c>
      <c r="G86" t="str">
        <v/>
      </c>
      <c r="H86">
        <v>60</v>
      </c>
      <c r="I86" t="str">
        <f ca="1"/>
        <v>溶接機</v>
      </c>
      <c r="J86" t="str">
        <f ca="1"/>
        <v>溶接機</v>
      </c>
      <c r="L86" t="str">
        <f ca="1"/>
        <v>【OTH1】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//溶接機
	IF uiInfoIdx = 1 THEN</v>
      </c>
      <c r="AA86" t="str">
        <f ca="1"/>
        <v xml:space="preserve">
//OTH
ELSIF strInfoType = 'OTH' THEN
	//溶接機
	IF uiInfoIdx = 1 THEN
		IF strInfoKey = 'name' THEN</v>
      </c>
      <c r="AB86" t="str">
        <f ca="1"/>
        <v xml:space="preserve">
//OTH
ELSIF strInfoType = 'OTH' THEN
	//溶接機
	IF uiInfoIdx = 1 THEN
		IF strInfoKey = 'name' THEN
			strRt	:= '溶接機';</v>
      </c>
      <c r="AC86" t="str">
        <f ca="1"/>
        <v xml:space="preserve">
//OTH
ELSIF strInfoType = 'OTH' THEN
	//溶接機
	IF uiInfoIdx = 1 THEN
		IF strInfoKey = 'name' THEN
			strRt	:= '溶接機';
		ELSIF strInfoKey = 'index_name' THEN</v>
      </c>
      <c r="AD86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61</v>
      </c>
      <c r="I87" t="str">
        <f ca="1"/>
        <v>Xロール電磁クラッチ</v>
      </c>
      <c r="J87" t="str">
        <f ca="1"/>
        <v>Xロール電磁クラッチ</v>
      </c>
      <c r="L87" t="str">
        <f ca="1"/>
        <v>【OTH2】 Xロール電磁クラッチ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//Xロール電磁クラッチ
	ELSIF uiInfoIdx = 2 THEN</v>
      </c>
      <c r="AA87" t="str">
        <f ca="1"/>
        <v xml:space="preserve">
	//Xロール電磁クラッチ
	ELSIF uiInfoIdx = 2 THEN
		IF strInfoKey = 'name' THEN</v>
      </c>
      <c r="AB87" t="str">
        <f ca="1"/>
        <v xml:space="preserve">
	//Xロール電磁クラッチ
	ELSIF uiInfoIdx = 2 THEN
		IF strInfoKey = 'name' THEN
			strRt	:= 'Xロール電磁クラッチ';</v>
      </c>
      <c r="AC87" t="str">
        <f ca="1"/>
        <v xml:space="preserve">
	//Xロール電磁クラッチ
	ELSIF uiInfoIdx = 2 THEN
		IF strInfoKey = 'name' THEN
			strRt	:= 'Xロール電磁クラッチ';
		ELSIF strInfoKey = 'index_name' THEN</v>
      </c>
      <c r="AD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293</v>
      </c>
      <c r="F96">
        <f>COUNTIF(E$3:E96,E96)</f>
        <v>1</v>
      </c>
      <c r="G96" t="str">
        <v/>
      </c>
      <c r="H96">
        <v>62</v>
      </c>
      <c r="I96" t="str">
        <f ca="1"/>
        <v>(未割付け)</v>
      </c>
      <c r="J96" t="str">
        <f ca="1"/>
        <v>(未割付け)</v>
      </c>
      <c r="L96" t="str">
        <f ca="1"/>
        <v>【OTHC1】 (未割付け)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//(未割付け)
	IF uiInfoIdx = 1 THEN</v>
      </c>
      <c r="AA96" t="str">
        <f ca="1"/>
        <v xml:space="preserve">
//OTHC
ELSIF strInfoType = 'OTHC' THEN
	//(未割付け)
	IF uiInfoIdx = 1 THEN
		IF strInfoKey = 'name' THEN</v>
      </c>
      <c r="AB96" t="str">
        <f ca="1"/>
        <v xml:space="preserve">
//OTHC
ELSIF strInfoType = 'OTHC' THEN
	//(未割付け)
	IF uiInfoIdx = 1 THEN
		IF strInfoKey = 'name' THEN
			strRt	:= '(未割付け)';</v>
      </c>
      <c r="AC96" t="str">
        <f ca="1"/>
        <v xml:space="preserve">
//OTHC
ELSIF strInfoType = 'OTHC' THEN
	//(未割付け)
	IF uiInfoIdx = 1 THEN
		IF strInfoKey = 'name' THEN
			strRt	:= '(未割付け)';
		ELSIF strInfoKey = 'index_name' THEN</v>
      </c>
      <c r="AD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63</v>
      </c>
      <c r="I97" t="str">
        <f ca="1"/>
        <v>(未割付け)</v>
      </c>
      <c r="J97" t="str">
        <f ca="1"/>
        <v>(未割付け)</v>
      </c>
      <c r="L97" t="str">
        <f ca="1"/>
        <v>【OTHC2】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//(未割付け)
	ELSIF uiInfoIdx = 2 THEN</v>
      </c>
      <c r="AA97" t="str">
        <f ca="1"/>
        <v xml:space="preserve">
	//(未割付け)
	ELSIF uiInfoIdx = 2 THEN
		IF strInfoKey = 'name' THEN</v>
      </c>
      <c r="AB97" t="str">
        <f ca="1"/>
        <v xml:space="preserve">
	//(未割付け)
	ELSIF uiInfoIdx = 2 THEN
		IF strInfoKey = 'name' THEN
			strRt	:= '(未割付け)';</v>
      </c>
      <c r="AC97" t="str">
        <f ca="1"/>
        <v xml:space="preserve">
	//(未割付け)
	ELSIF uiInfoIdx = 2 THEN
		IF strInfoKey = 'name' THEN
			strRt	:= '(未割付け)';
		ELSIF strInfoKey = 'index_name' THEN</v>
      </c>
      <c r="AD97" t="str">
        <f ca="1"/>
        <v xml:space="preserve">
	//(未割付け)
	ELSIF uiInfoIdx = 2 THEN
		IF strInfoKey = 'name' THEN
			strRt	:= '(未割付け)';
		ELSIF strInfoKey = 'index_name' THEN
			strRt	:= '【OTHC2】 (未割付け)';</v>
      </c>
      <c r="AE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64</v>
      </c>
      <c r="I98" t="str">
        <f ca="1"/>
        <v>Tロール糊付け軸</v>
      </c>
      <c r="J98" t="str">
        <f ca="1"/>
        <v>Tロール糊付け軸</v>
      </c>
      <c r="L98" t="str">
        <f ca="1"/>
        <v>【OTHC3】 Tロール糊付け軸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//Tロール糊付け軸
	ELSIF uiInfoIdx = 3 THEN</v>
      </c>
      <c r="AA98" t="str">
        <f ca="1"/>
        <v xml:space="preserve">
	//Tロール糊付け軸
	ELSIF uiInfoIdx = 3 THEN
		IF strInfoKey = 'name' THEN</v>
      </c>
      <c r="AB98" t="str">
        <f ca="1"/>
        <v xml:space="preserve">
	//Tロール糊付け軸
	ELSIF uiInfoIdx = 3 THEN
		IF strInfoKey = 'name' THEN
			strRt	:= 'Tロール糊付け軸';</v>
      </c>
      <c r="AC98" t="str">
        <f ca="1"/>
        <v xml:space="preserve">
	//Tロール糊付け軸
	ELSIF uiInfoIdx = 3 THEN
		IF strInfoKey = 'name' THEN
			strRt	:= 'Tロール糊付け軸';
		ELSIF strInfoKey = 'index_name' THEN</v>
      </c>
      <c r="AD98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260</v>
      </c>
      <c r="F106">
        <f>COUNTIF(E$3:E106,E106)</f>
        <v>1</v>
      </c>
      <c r="G106" t="str">
        <v/>
      </c>
      <c r="H106">
        <v>52</v>
      </c>
      <c r="I106" t="str">
        <f ca="1"/>
        <v>平板供給部</v>
      </c>
      <c r="J106" t="str">
        <f ca="1"/>
        <v>平板供給部</v>
      </c>
      <c r="L106" t="str">
        <f ca="1"/>
        <v>【unit1】 平板供給部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//平板供給部
	IF uiInfoIdx = 1 THEN</v>
      </c>
      <c r="AA106" t="str">
        <f ca="1"/>
        <v xml:space="preserve">
//unit
ELSIF strInfoType = 'unit' THEN
	//平板供給部
	IF uiInfoIdx = 1 THEN
		IF strInfoKey = 'name' THEN</v>
      </c>
      <c r="AB106" t="str">
        <f ca="1"/>
        <v xml:space="preserve">
//unit
ELSIF strInfoType = 'unit' THEN
	//平板供給部
	IF uiInfoIdx = 1 THEN
		IF strInfoKey = 'name' THEN
			strRt	:= '平板供給部';</v>
      </c>
      <c r="AC106" t="str">
        <f ca="1"/>
        <v xml:space="preserve">
//unit
ELSIF strInfoType = 'unit' THEN
	//平板供給部
	IF uiInfoIdx = 1 THEN
		IF strInfoKey = 'name' THEN
			strRt	:= '平板供給部';
		ELSIF strInfoKey = 'index_name' THEN</v>
      </c>
      <c r="AD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53</v>
      </c>
      <c r="I107" t="str">
        <f ca="1"/>
        <v>波板供給部</v>
      </c>
      <c r="J107" t="str">
        <f ca="1"/>
        <v>波板供給部</v>
      </c>
      <c r="L107" t="str">
        <f ca="1"/>
        <v>【unit2】 波板供給部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//波板供給部
	ELSIF uiInfoIdx = 2 THEN</v>
      </c>
      <c r="AA107" t="str">
        <f ca="1"/>
        <v xml:space="preserve">
	//波板供給部
	ELSIF uiInfoIdx = 2 THEN
		IF strInfoKey = 'name' THEN</v>
      </c>
      <c r="AB107" t="str">
        <f ca="1"/>
        <v xml:space="preserve">
	//波板供給部
	ELSIF uiInfoIdx = 2 THEN
		IF strInfoKey = 'name' THEN
			strRt	:= '波板供給部';</v>
      </c>
      <c r="AC107" t="str">
        <f ca="1"/>
        <v xml:space="preserve">
	//波板供給部
	ELSIF uiInfoIdx = 2 THEN
		IF strInfoKey = 'name' THEN
			strRt	:= '波板供給部';
		ELSIF strInfoKey = 'index_name' THEN</v>
      </c>
      <c r="AD107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54</v>
      </c>
      <c r="I108" t="str">
        <f ca="1"/>
        <v>箔ロウ供給部</v>
      </c>
      <c r="J108" t="str">
        <f ca="1"/>
        <v>箔ロウ供給部</v>
      </c>
      <c r="L108" t="str">
        <f ca="1"/>
        <v>【unit3】 箔ロウ供給部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//箔ロウ供給部
	ELSIF uiInfoIdx = 3 THEN</v>
      </c>
      <c r="AA108" t="str">
        <f ca="1"/>
        <v xml:space="preserve">
	//箔ロウ供給部
	ELSIF uiInfoIdx = 3 THEN
		IF strInfoKey = 'name' THEN</v>
      </c>
      <c r="AB108" t="str">
        <f ca="1"/>
        <v xml:space="preserve">
	//箔ロウ供給部
	ELSIF uiInfoIdx = 3 THEN
		IF strInfoKey = 'name' THEN
			strRt	:= '箔ロウ供給部';</v>
      </c>
      <c r="AC108" t="str">
        <f ca="1"/>
        <v xml:space="preserve">
	//箔ロウ供給部
	ELSIF uiInfoIdx = 3 THEN
		IF strInfoKey = 'name' THEN
			strRt	:= '箔ロウ供給部';
		ELSIF strInfoKey = 'index_name' THEN</v>
      </c>
      <c r="AD108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55</v>
      </c>
      <c r="I109" t="str">
        <f ca="1"/>
        <v>巻取り軸部</v>
      </c>
      <c r="J109" t="str">
        <f ca="1"/>
        <v>巻取り軸部</v>
      </c>
      <c r="L109" t="str">
        <f ca="1"/>
        <v>【unit4】 巻取り軸部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//巻取り軸部
	ELSIF uiInfoIdx = 4 THEN</v>
      </c>
      <c r="AA109" t="str">
        <f ca="1"/>
        <v xml:space="preserve">
	//巻取り軸部
	ELSIF uiInfoIdx = 4 THEN
		IF strInfoKey = 'name' THEN</v>
      </c>
      <c r="AB109" t="str">
        <f ca="1"/>
        <v xml:space="preserve">
	//巻取り軸部
	ELSIF uiInfoIdx = 4 THEN
		IF strInfoKey = 'name' THEN
			strRt	:= '巻取り軸部';</v>
      </c>
      <c r="AC109" t="str">
        <f ca="1"/>
        <v xml:space="preserve">
	//巻取り軸部
	ELSIF uiInfoIdx = 4 THEN
		IF strInfoKey = 'name' THEN
			strRt	:= '巻取り軸部';
		ELSIF strInfoKey = 'index_name' THEN</v>
      </c>
      <c r="AD109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56</v>
      </c>
      <c r="I110" t="str">
        <f ca="1"/>
        <v>溶接部</v>
      </c>
      <c r="J110" t="str">
        <f ca="1"/>
        <v>溶接部</v>
      </c>
      <c r="L110" t="str">
        <f ca="1"/>
        <v>【unit5】 溶接部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//溶接部
	ELSIF uiInfoIdx = 5 THEN</v>
      </c>
      <c r="AA110" t="str">
        <f ca="1"/>
        <v xml:space="preserve">
	//溶接部
	ELSIF uiInfoIdx = 5 THEN
		IF strInfoKey = 'name' THEN</v>
      </c>
      <c r="AB110" t="str">
        <f ca="1"/>
        <v xml:space="preserve">
	//溶接部
	ELSIF uiInfoIdx = 5 THEN
		IF strInfoKey = 'name' THEN
			strRt	:= '溶接部';</v>
      </c>
      <c r="AC110" t="str">
        <f ca="1"/>
        <v xml:space="preserve">
	//溶接部
	ELSIF uiInfoIdx = 5 THEN
		IF strInfoKey = 'name' THEN
			strRt	:= '溶接部';
		ELSIF strInfoKey = 'index_name' THEN</v>
      </c>
      <c r="AD110" t="str">
        <f ca="1"/>
        <v xml:space="preserve">
	//溶接部
	ELSIF uiInfoIdx = 5 THEN
		IF strInfoKey = 'name' THEN
			strRt	:= '溶接部';
		ELSIF strInfoKey = 'index_name' THEN
			strRt	:= '【unit5】 溶接部';</v>
      </c>
      <c r="AE110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57</v>
      </c>
      <c r="I111" t="str">
        <f ca="1"/>
        <v>排出部</v>
      </c>
      <c r="J111" t="str">
        <f ca="1"/>
        <v>排出部</v>
      </c>
      <c r="L111" t="str">
        <f ca="1"/>
        <v>【unit6】 排出部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//排出部
	ELSIF uiInfoIdx = 6 THEN</v>
      </c>
      <c r="AA111" t="str">
        <f ca="1"/>
        <v xml:space="preserve">
	//排出部
	ELSIF uiInfoIdx = 6 THEN
		IF strInfoKey = 'name' THEN</v>
      </c>
      <c r="AB111" t="str">
        <f ca="1"/>
        <v xml:space="preserve">
	//排出部
	ELSIF uiInfoIdx = 6 THEN
		IF strInfoKey = 'name' THEN
			strRt	:= '排出部';</v>
      </c>
      <c r="AC111" t="str">
        <f ca="1"/>
        <v xml:space="preserve">
	//排出部
	ELSIF uiInfoIdx = 6 THEN
		IF strInfoKey = 'name' THEN
			strRt	:= '排出部';
		ELSIF strInfoKey = 'index_name' THEN</v>
      </c>
      <c r="AD111" t="str">
        <f ca="1"/>
        <v xml:space="preserve">
	//排出部
	ELSIF uiInfoIdx = 6 THEN
		IF strInfoKey = 'name' THEN
			strRt	:= '排出部';
		ELSIF strInfoKey = 'index_name' THEN
			strRt	:= '【unit6】 排出部';</v>
      </c>
      <c r="AE111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58</v>
      </c>
      <c r="I112" t="str">
        <f ca="1"/>
        <v>Xロール部</v>
      </c>
      <c r="J112" t="str">
        <f ca="1"/>
        <v>Xロール部</v>
      </c>
      <c r="L112" t="str">
        <f ca="1"/>
        <v>【unit7】 Xロール部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//Xロール部
	ELSIF uiInfoIdx = 7 THEN</v>
      </c>
      <c r="AA112" t="str">
        <f ca="1"/>
        <v xml:space="preserve">
	//Xロール部
	ELSIF uiInfoIdx = 7 THEN
		IF strInfoKey = 'name' THEN</v>
      </c>
      <c r="AB112" t="str">
        <f ca="1"/>
        <v xml:space="preserve">
	//Xロール部
	ELSIF uiInfoIdx = 7 THEN
		IF strInfoKey = 'name' THEN
			strRt	:= 'Xロール部';</v>
      </c>
      <c r="AC112" t="str">
        <f ca="1"/>
        <v xml:space="preserve">
	//Xロール部
	ELSIF uiInfoIdx = 7 THEN
		IF strInfoKey = 'name' THEN
			strRt	:= 'Xロール部';
		ELSIF strInfoKey = 'index_name' THEN</v>
      </c>
      <c r="AD112" t="str">
        <f ca="1"/>
        <v xml:space="preserve">
	//Xロール部
	ELSIF uiInfoIdx = 7 THEN
		IF strInfoKey = 'name' THEN
			strRt	:= 'Xロール部';
		ELSIF strInfoKey = 'index_name' THEN
			strRt	:= '【unit7】 Xロール部';</v>
      </c>
      <c r="AE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59</v>
      </c>
      <c r="I113" t="str">
        <f ca="1"/>
        <v>箔ロウリール部</v>
      </c>
      <c r="J113" t="str">
        <f ca="1"/>
        <v>箔ロウリール部</v>
      </c>
      <c r="L113" t="str">
        <f ca="1"/>
        <v>【unit8】 箔ロウリール部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//箔ロウリール部
	ELSIF uiInfoIdx = 8 THEN</v>
      </c>
      <c r="AA113" t="str">
        <f ca="1"/>
        <v xml:space="preserve">
	//箔ロウリール部
	ELSIF uiInfoIdx = 8 THEN
		IF strInfoKey = 'name' THEN</v>
      </c>
      <c r="AB113" t="str">
        <f ca="1"/>
        <v xml:space="preserve">
	//箔ロウリール部
	ELSIF uiInfoIdx = 8 THEN
		IF strInfoKey = 'name' THEN
			strRt	:= '箔ロウリール部';</v>
      </c>
      <c r="AC113" t="str">
        <f ca="1"/>
        <v xml:space="preserve">
	//箔ロウリール部
	ELSIF uiInfoIdx = 8 THEN
		IF strInfoKey = 'name' THEN
			strRt	:= '箔ロウリール部';
		ELSIF strInfoKey = 'index_name' THEN</v>
      </c>
      <c r="AD113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C:\tk\prj\hg-0025-0016\git\vt5-w10\[TP_メッセージ.xlsx]err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2026-03-06T09:01:49Z</dcterms:modified>
</cp:coreProperties>
</file>