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F6146265-6009-4E09-92AC-61447823CBA4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0" i="1"/>
  <c r="C72" i="1"/>
  <c r="C70" i="1"/>
  <c r="B72" i="1"/>
  <c r="B70" i="1"/>
  <c r="D68" i="1"/>
  <c r="A68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<sst xmlns="http://schemas.openxmlformats.org/spreadsheetml/2006/main" count="502" uniqueCount="297">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</sst>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8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64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2"/>
  <sheetViews>
    <sheetView zoomScaleNormal="100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D74" sqref="D74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219</v>
      </c>
      <c r="L1" s="39" t="s">
        <v>5</v>
      </c>
      <c r="M1" s="40" t="s">
        <v>112</v>
      </c>
      <c r="N1" s="40" t="s">
        <v>237</v>
      </c>
      <c r="O1" s="40" t="s">
        <v>236</v>
      </c>
      <c r="P1" s="41" t="s">
        <v>277</v>
      </c>
      <c r="Q1" s="41" t="s">
        <v>278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221</v>
      </c>
      <c r="K2" s="28" t="s">
        <v>220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245</v>
      </c>
      <c r="H3" s="12" t="s">
        <v>14</v>
      </c>
      <c r="I3" s="12" t="s">
        <v>13</v>
      </c>
      <c r="J3" s="17" t="s">
        <v>221</v>
      </c>
      <c r="K3" s="12" t="s">
        <v>220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221</v>
      </c>
      <c r="K4" s="12" t="s">
        <v>220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221</v>
      </c>
      <c r="K5" s="12" t="s">
        <v>220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248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224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224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224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263</v>
      </c>
      <c r="G9" s="8" t="s">
        <v>265</v>
      </c>
      <c r="H9" s="8" t="s">
        <v>106</v>
      </c>
      <c r="I9" s="8" t="s">
        <v>15</v>
      </c>
      <c r="J9" s="8" t="s">
        <v>2</v>
      </c>
      <c r="K9" s="8" t="s">
        <v>224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264</v>
      </c>
      <c r="G10" s="8" t="s">
        <v>266</v>
      </c>
      <c r="H10" s="8" t="s">
        <v>107</v>
      </c>
      <c r="I10" s="8" t="s">
        <v>15</v>
      </c>
      <c r="J10" s="8" t="s">
        <v>2</v>
      </c>
      <c r="K10" s="8" t="s">
        <v>224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223</v>
      </c>
      <c r="K14" s="8" t="s">
        <v>222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223</v>
      </c>
      <c r="K15" s="8" t="s">
        <v>222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279</v>
      </c>
      <c r="F18" s="8" t="s">
        <v>274</v>
      </c>
      <c r="G18" s="8" t="s">
        <v>275</v>
      </c>
      <c r="H18" s="42" t="s">
        <v>276</v>
      </c>
      <c r="I18" s="8"/>
      <c r="J18" s="8" t="s">
        <v>220</v>
      </c>
      <c r="K18" s="8" t="s">
        <v>220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225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283</v>
      </c>
      <c r="G20" s="8" t="s">
        <v>285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284</v>
      </c>
      <c r="G21" s="8" t="s">
        <v>286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246</v>
      </c>
      <c r="G22" s="8" t="s">
        <v>247</v>
      </c>
      <c r="H22" s="8" t="s">
        <v>63</v>
      </c>
      <c r="I22" s="9" t="s">
        <v>64</v>
      </c>
      <c r="J22" s="8" t="s">
        <v>4</v>
      </c>
      <c r="K22" s="8" t="s">
        <v>225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225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225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225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225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225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225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225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225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225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225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243</v>
      </c>
      <c r="G33" s="12" t="s">
        <v>244</v>
      </c>
      <c r="H33" s="12" t="s">
        <v>77</v>
      </c>
      <c r="I33" s="12" t="s">
        <v>78</v>
      </c>
      <c r="J33" s="12" t="s">
        <v>4</v>
      </c>
      <c r="K33" s="12" t="s">
        <v>225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225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207</v>
      </c>
      <c r="G35" s="8" t="s">
        <v>238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208</v>
      </c>
      <c r="G36" s="8" t="s">
        <v>239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210</v>
      </c>
      <c r="G37" s="8" t="s">
        <v>240</v>
      </c>
      <c r="H37" s="8" t="s">
        <v>209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269</v>
      </c>
      <c r="G38" s="8" t="s">
        <v>271</v>
      </c>
      <c r="H38" s="8" t="s">
        <v>270</v>
      </c>
      <c r="I38" s="8" t="s">
        <v>273</v>
      </c>
      <c r="J38" s="8" t="s">
        <v>272</v>
      </c>
      <c r="K38" s="8" t="s">
        <v>272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225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225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225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224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223</v>
      </c>
      <c r="K43" s="8" t="s">
        <v>222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223</v>
      </c>
      <c r="K44" s="8" t="s">
        <v>222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223</v>
      </c>
      <c r="K45" s="8" t="s">
        <v>222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223</v>
      </c>
      <c r="K46" s="8" t="s">
        <v>222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223</v>
      </c>
      <c r="K47" s="8" t="s">
        <v>222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223</v>
      </c>
      <c r="K48" s="8" t="s">
        <v>222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223</v>
      </c>
      <c r="K49" s="8" t="s">
        <v>222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223</v>
      </c>
      <c r="K50" s="8" t="s">
        <v>222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223</v>
      </c>
      <c r="K51" s="8" t="s">
        <v>222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223</v>
      </c>
      <c r="K52" s="8" t="s">
        <v>222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262</v>
      </c>
      <c r="C53" s="7">
        <v>1</v>
      </c>
      <c r="D53" s="8"/>
      <c r="E53" s="8"/>
      <c r="F53" s="8" t="s">
        <v>249</v>
      </c>
      <c r="G53" s="8" t="s">
        <v>255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262</v>
      </c>
      <c r="C54" s="7">
        <v>2</v>
      </c>
      <c r="D54" s="8"/>
      <c r="E54" s="8"/>
      <c r="F54" s="8" t="s">
        <v>250</v>
      </c>
      <c r="G54" s="8" t="s">
        <v>256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262</v>
      </c>
      <c r="C55" s="7">
        <v>3</v>
      </c>
      <c r="D55" s="8"/>
      <c r="E55" s="8"/>
      <c r="F55" s="8" t="s">
        <v>251</v>
      </c>
      <c r="G55" s="8" t="s">
        <v>257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262</v>
      </c>
      <c r="C56" s="7">
        <v>4</v>
      </c>
      <c r="D56" s="8"/>
      <c r="E56" s="8"/>
      <c r="F56" s="8" t="s">
        <v>252</v>
      </c>
      <c r="G56" s="8" t="s">
        <v>258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262</v>
      </c>
      <c r="C57" s="7">
        <v>5</v>
      </c>
      <c r="D57" s="8"/>
      <c r="E57" s="8"/>
      <c r="F57" s="8" t="s">
        <v>253</v>
      </c>
      <c r="G57" s="8" t="s">
        <v>259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262</v>
      </c>
      <c r="C58" s="7">
        <v>6</v>
      </c>
      <c r="D58" s="8"/>
      <c r="E58" s="8"/>
      <c r="F58" s="8" t="s">
        <v>254</v>
      </c>
      <c r="G58" s="8" t="s">
        <v>260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280</v>
      </c>
      <c r="C59" s="7">
        <v>7</v>
      </c>
      <c r="D59" s="8"/>
      <c r="E59" s="8"/>
      <c r="F59" s="8" t="s">
        <v>281</v>
      </c>
      <c r="G59" s="8" t="s">
        <v>282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57</v>
      </c>
      <c r="B60" s="7" t="s">
        <v>287</v>
      </c>
      <c r="C60" s="7">
        <v>1</v>
      </c>
      <c r="D60" s="8"/>
      <c r="E60" s="8"/>
      <c r="F60" s="8" t="s">
        <v>267</v>
      </c>
      <c r="G60" s="8" t="s">
        <v>268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46077.372916666667</v>
      </c>
      <c r="R60" s="10"/>
    </row>
    <row r="61" spans="1:18" x14ac:dyDescent="0.55000000000000004">
      <c r="A61" s="7">
        <v>61</v>
      </c>
      <c r="B61" s="7" t="s">
        <v>288</v>
      </c>
      <c r="C61" s="7">
        <v>2</v>
      </c>
      <c r="D61" s="8"/>
      <c r="E61" s="8"/>
      <c r="F61" s="8" t="s">
        <v>289</v>
      </c>
      <c r="G61" s="8" t="s">
        <v>290</v>
      </c>
      <c r="H61" s="8"/>
      <c r="I61" s="8"/>
      <c r="J61" s="8"/>
      <c r="K61" s="8"/>
      <c r="L61" s="8"/>
      <c r="M61" s="10"/>
      <c r="N61" s="10"/>
      <c r="O61" s="10"/>
      <c r="P61" s="34">
        <v>46077.372916666667</v>
      </c>
      <c r="Q61" s="34">
        <v>46077.372916666667</v>
      </c>
      <c r="R61" s="10"/>
    </row>
    <row r="62" spans="1:18" x14ac:dyDescent="0.55000000000000004">
      <c r="A62" s="7">
        <v>62</v>
      </c>
      <c r="B62" s="7" t="s">
        <v>291</v>
      </c>
      <c r="C62" s="7">
        <v>1</v>
      </c>
      <c r="D62" s="8"/>
      <c r="E62" s="8"/>
      <c r="F62" s="8" t="s">
        <v>295</v>
      </c>
      <c r="G62" s="8" t="s">
        <v>296</v>
      </c>
      <c r="H62" s="8"/>
      <c r="I62" s="8"/>
      <c r="J62" s="8"/>
      <c r="K62" s="8"/>
      <c r="L62" s="8"/>
      <c r="M62" s="10"/>
      <c r="N62" s="10"/>
      <c r="O62" s="10"/>
      <c r="P62" s="34">
        <v>46083.387499999997</v>
      </c>
      <c r="Q62" s="34">
        <v>46083.387499999997</v>
      </c>
      <c r="R62" s="10"/>
    </row>
    <row r="63" spans="1:18" x14ac:dyDescent="0.55000000000000004">
      <c r="A63" s="7">
        <v>63</v>
      </c>
      <c r="B63" s="7" t="s">
        <v>291</v>
      </c>
      <c r="C63" s="7">
        <v>2</v>
      </c>
      <c r="D63" s="8"/>
      <c r="E63" s="8"/>
      <c r="F63" s="8" t="s">
        <v>295</v>
      </c>
      <c r="G63" s="8" t="s">
        <v>296</v>
      </c>
      <c r="H63" s="8"/>
      <c r="I63" s="8"/>
      <c r="J63" s="8"/>
      <c r="K63" s="8"/>
      <c r="L63" s="8"/>
      <c r="M63" s="10"/>
      <c r="N63" s="10"/>
      <c r="O63" s="10"/>
      <c r="P63" s="34">
        <v>46083.387499999997</v>
      </c>
      <c r="Q63" s="34">
        <v>46083.387499999997</v>
      </c>
      <c r="R63" s="10"/>
    </row>
    <row r="64" spans="1:18" x14ac:dyDescent="0.55000000000000004">
      <c r="A64" s="7">
        <v>64</v>
      </c>
      <c r="B64" s="7" t="s">
        <v>291</v>
      </c>
      <c r="C64" s="7">
        <v>3</v>
      </c>
      <c r="D64" s="8"/>
      <c r="E64" s="8"/>
      <c r="F64" s="8" t="s">
        <v>292</v>
      </c>
      <c r="G64" s="8" t="s">
        <v>293</v>
      </c>
      <c r="H64" s="8"/>
      <c r="I64" s="8"/>
      <c r="J64" s="8"/>
      <c r="K64" s="8"/>
      <c r="L64" s="8"/>
      <c r="M64" s="10"/>
      <c r="N64" s="10"/>
      <c r="O64" s="10"/>
      <c r="P64" s="34">
        <v>46083.363888888889</v>
      </c>
      <c r="Q64" s="34">
        <v>46083.363888888889</v>
      </c>
      <c r="R64" s="10"/>
    </row>
    <row r="65" spans="1:18" x14ac:dyDescent="0.55000000000000004">
      <c r="A65" s="18"/>
      <c r="B65" s="18"/>
      <c r="C65" s="18"/>
      <c r="D65" s="19"/>
      <c r="E65" s="19"/>
      <c r="F65" s="19"/>
      <c r="G65" s="19"/>
      <c r="H65" s="19"/>
      <c r="I65" s="19"/>
      <c r="J65" s="19"/>
      <c r="K65" s="19"/>
      <c r="L65" s="19"/>
      <c r="M65" s="20"/>
      <c r="N65" s="20"/>
      <c r="O65" s="20"/>
      <c r="P65" s="37"/>
      <c r="Q65" s="37"/>
      <c r="R65" s="20"/>
    </row>
    <row r="67" spans="1:18" x14ac:dyDescent="0.55000000000000004">
      <c r="A67" t="s">
        <v>111</v>
      </c>
      <c r="D67" t="s">
        <v>110</v>
      </c>
    </row>
    <row r="68" spans="1:18" x14ac:dyDescent="0.55000000000000004">
      <c r="A68">
        <f>MAX(A$2:A$65)</f>
        <v>64</v>
      </c>
      <c r="D68">
        <f>MAX(D$2:D$65)</f>
        <v>11</v>
      </c>
    </row>
    <row r="69" spans="1:18" x14ac:dyDescent="0.55000000000000004">
      <c r="A69" t="s">
        <v>199</v>
      </c>
      <c r="B69" t="s">
        <v>117</v>
      </c>
      <c r="C69" t="s">
        <v>116</v>
      </c>
    </row>
    <row r="70" spans="1:18" x14ac:dyDescent="0.55000000000000004">
      <c r="A70">
        <f>ROW(A66)-ROW(A1)-1</f>
        <v>64</v>
      </c>
      <c r="B70">
        <f>COUNTIF(B$2:B$65,B69)</f>
        <v>17</v>
      </c>
      <c r="C70" s="25">
        <f>_xlfn.MAXIFS(C$2:C$65,$B$2:$B$65,C69)</f>
        <v>17</v>
      </c>
    </row>
    <row r="71" spans="1:18" x14ac:dyDescent="0.55000000000000004">
      <c r="B71" t="s">
        <v>114</v>
      </c>
      <c r="C71" t="s">
        <v>114</v>
      </c>
    </row>
    <row r="72" spans="1:18" x14ac:dyDescent="0.55000000000000004">
      <c r="B72">
        <f>COUNTIF(B$2:B$65,B71)</f>
        <v>23</v>
      </c>
      <c r="C72" s="25">
        <f>_xlfn.MAXIFS(C$2:C$65,$B$2:$B$65,C71)</f>
        <v>20</v>
      </c>
    </row>
    <row r="75" spans="1:18" x14ac:dyDescent="0.55000000000000004">
      <c r="H75" s="2" t="s">
        <v>37</v>
      </c>
      <c r="L75">
        <v>1</v>
      </c>
      <c r="R75" t="s">
        <v>79</v>
      </c>
    </row>
    <row r="76" spans="1:18" x14ac:dyDescent="0.55000000000000004">
      <c r="H76" t="s">
        <v>56</v>
      </c>
      <c r="I76" t="s">
        <v>53</v>
      </c>
      <c r="J76" t="s">
        <v>52</v>
      </c>
      <c r="L76">
        <v>1</v>
      </c>
      <c r="R76" t="s">
        <v>79</v>
      </c>
    </row>
    <row r="78" spans="1:18" x14ac:dyDescent="0.55000000000000004">
      <c r="H78" s="2" t="s">
        <v>38</v>
      </c>
    </row>
    <row r="79" spans="1:18" x14ac:dyDescent="0.55000000000000004">
      <c r="H79" t="s">
        <v>82</v>
      </c>
      <c r="I79" t="s">
        <v>84</v>
      </c>
      <c r="J79" t="s">
        <v>80</v>
      </c>
      <c r="L79">
        <v>1</v>
      </c>
      <c r="R79" t="s">
        <v>79</v>
      </c>
    </row>
    <row r="81" spans="8:18" x14ac:dyDescent="0.55000000000000004">
      <c r="H81" s="2" t="s">
        <v>39</v>
      </c>
    </row>
    <row r="82" spans="8:18" x14ac:dyDescent="0.55000000000000004">
      <c r="H82" t="s">
        <v>83</v>
      </c>
      <c r="I82" t="s">
        <v>84</v>
      </c>
      <c r="J82" t="s">
        <v>81</v>
      </c>
      <c r="L82">
        <v>1</v>
      </c>
      <c r="R82" t="s">
        <v>79</v>
      </c>
    </row>
    <row r="84" spans="8:18" x14ac:dyDescent="0.55000000000000004">
      <c r="H84" s="2" t="s">
        <v>40</v>
      </c>
    </row>
    <row r="85" spans="8:18" x14ac:dyDescent="0.55000000000000004">
      <c r="H85" t="s">
        <v>42</v>
      </c>
      <c r="I85" t="s">
        <v>43</v>
      </c>
      <c r="J85" t="s">
        <v>12</v>
      </c>
      <c r="L85">
        <v>1</v>
      </c>
      <c r="R85" t="s">
        <v>87</v>
      </c>
    </row>
    <row r="86" spans="8:18" x14ac:dyDescent="0.55000000000000004">
      <c r="H86" t="s">
        <v>45</v>
      </c>
      <c r="I86" s="1" t="s">
        <v>54</v>
      </c>
      <c r="J86" t="s">
        <v>44</v>
      </c>
      <c r="L86">
        <v>2</v>
      </c>
      <c r="R86" t="s">
        <v>87</v>
      </c>
    </row>
    <row r="88" spans="8:18" x14ac:dyDescent="0.55000000000000004">
      <c r="H88" s="2" t="s">
        <v>41</v>
      </c>
    </row>
    <row r="89" spans="8:18" x14ac:dyDescent="0.55000000000000004">
      <c r="H89" t="s">
        <v>46</v>
      </c>
      <c r="I89" t="s">
        <v>47</v>
      </c>
      <c r="J89" t="s">
        <v>12</v>
      </c>
      <c r="L89">
        <v>1</v>
      </c>
      <c r="R89" t="s">
        <v>87</v>
      </c>
    </row>
    <row r="90" spans="8:18" x14ac:dyDescent="0.55000000000000004">
      <c r="H90" t="s">
        <v>50</v>
      </c>
      <c r="I90" s="3" t="s">
        <v>48</v>
      </c>
      <c r="J90" t="s">
        <v>49</v>
      </c>
      <c r="L90">
        <v>1</v>
      </c>
      <c r="R90" t="s">
        <v>87</v>
      </c>
    </row>
    <row r="91" spans="8:18" x14ac:dyDescent="0.55000000000000004">
      <c r="H91" t="s">
        <v>51</v>
      </c>
      <c r="I91" t="s">
        <v>55</v>
      </c>
      <c r="J91" t="s">
        <v>4</v>
      </c>
      <c r="L91">
        <v>2</v>
      </c>
      <c r="R91" t="s">
        <v>87</v>
      </c>
    </row>
    <row r="92" spans="8:18" x14ac:dyDescent="0.55000000000000004">
      <c r="H92" t="s">
        <v>85</v>
      </c>
      <c r="I92" t="s">
        <v>86</v>
      </c>
      <c r="J92" t="s">
        <v>88</v>
      </c>
      <c r="L92">
        <v>1</v>
      </c>
      <c r="R92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5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19" sqref="J19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231</v>
      </c>
      <c r="J1" t="s">
        <v>227</v>
      </c>
      <c r="L1" t="s">
        <v>228</v>
      </c>
      <c r="N1" t="s">
        <v>229</v>
      </c>
      <c r="P1" t="s">
        <v>230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212</v>
      </c>
      <c r="E2" s="30" t="s">
        <v>217</v>
      </c>
      <c r="F2" s="30" t="s">
        <v>102</v>
      </c>
      <c r="G2" s="30" t="s">
        <v>198</v>
      </c>
      <c r="H2" s="30" t="s">
        <v>216</v>
      </c>
      <c r="J2" s="30" t="s">
        <v>190</v>
      </c>
      <c r="L2" s="30" t="s">
        <v>191</v>
      </c>
      <c r="N2" s="30" t="s">
        <v>201</v>
      </c>
      <c r="P2" s="30" t="s">
        <v>218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226</v>
      </c>
      <c r="AH2" s="30" t="s">
        <v>205</v>
      </c>
      <c r="AI2" s="30" t="s">
        <v>214</v>
      </c>
      <c r="AJ2" s="30" t="s">
        <v>215</v>
      </c>
      <c r="AK2" s="30" t="s">
        <v>211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C:\tk\prj\hg-0025-0016\git\kv-x520\doc\[kv_script_conv_TP1_popup.xlsx]content</v>
      </c>
      <c r="E3" t="s">
        <v>117</v>
      </c>
      <c r="F3">
        <f>COUNTIF(E$3:E3,E3)</f>
        <v>1</v>
      </c>
      <c r="H3" cm="1">
        <f t="array" ref="H3:H202">IFERROR(MATCH($E$3:$E$202&amp;$F$3:$F$202,info_index!$B$2:$B$65&amp;info_index!$C$2:$C$65,0),"")</f>
        <v>1</v>
      </c>
      <c r="I3" t="str" cm="1">
        <f t="array" aca="1" ref="I3:I202" ca="1">IF(LEN(_xlfn.ANCHORARRAY(H3)),INDEX(OFFSET(info_index!$F$2:$F$65,0,$B$23),MATCH($E$3:$E$202&amp;$F$3:$F$202,info_index!$B$2:$B$65&amp;info_index!$C$2:$C$65,0)&amp;"",1),"")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IFERROR(INDEX(info_index!$H$2:$H$65,MATCH($E$3:$E$202&amp;$F$3:$F$202,info_index!$B$2:$B$65&amp;info_index!$C$2:$C$65,0),1)&amp;"","")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IF(LEN(_xlfn.ANCHORARRAY(H3)),INDEX(OFFSET(info_index!$J$2:$J$65,0,$B$23),MATCH($E$3:$E$202&amp;$F$3:$F$202,info_index!$B$2:$B$65&amp;info_index!$C$2:$C$65,0),1)&amp;"","")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C:\tk\prj\hg-0025-0016\git\kv-x520\doc\[kv_script_conv_TP1_popup.xlsx]content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C:\tk\prj\hg-0025-0016\git\kv-x520\doc\[kv_script_conv_TP1_popup.xlsx]content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Corrugated sheet auxiliary shaft</v>
      </c>
      <c r="J19" t="str">
        <f ca="1"/>
        <v>Corrugated sheet auxiliary shaft</v>
      </c>
      <c r="L19" t="str">
        <f ca="1"/>
        <v>【axis17】 Corrugated sheet auxiliary shaft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auxiliary shaft
	ELSIF uiInfoIdx = 17 THEN</v>
      </c>
      <c r="AA19" t="str">
        <f ca="1"/>
        <v xml:space="preserve">
	//Corrugated sheet auxiliary shaft
	ELSIF uiInfoIdx = 17 THEN
		IF strInfoKey = 'name' THEN</v>
      </c>
      <c r="AB19" t="str">
        <f ca="1"/>
        <v xml:space="preserve">
	//Corrugated sheet auxiliary shaft
	ELSIF uiInfoIdx = 17 THEN
		IF strInfoKey = 'name' THEN
			strRt	:= 'Corrugated sheet auxiliary shaft';</v>
      </c>
      <c r="AC19" t="str">
        <f ca="1"/>
        <v xml:space="preserve">
	//Corrugated sheet auxiliary shaft
	ELSIF uiInfoIdx = 17 THEN
		IF strInfoKey = 'name' THEN
			strRt	:= 'Corrugated sheet auxiliary shaft';
		ELSIF strInfoKey = 'index_name' THEN</v>
      </c>
      <c r="AD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</v>
      </c>
      <c r="AE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</v>
      </c>
      <c r="AF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</v>
      </c>
      <c r="AG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</v>
      </c>
      <c r="AH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</v>
      </c>
      <c r="AI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J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  <c r="AK19" t="str">
        <f ca="1"/>
        <v xml:space="preserve">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241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213</v>
      </c>
      <c r="B29" t="s">
        <v>242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T-roll gluing ① Lower roll</v>
      </c>
      <c r="J64" t="str">
        <f ca="1"/>
        <v>T-roll gluing ① Lower roll</v>
      </c>
      <c r="L64" t="str">
        <f ca="1"/>
        <v>【cylinder2】 T-roll gluing ① Lower roll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 Lower roll
	ELSIF uiInfoIdx = 2 THEN</v>
      </c>
      <c r="AA64" t="str">
        <f ca="1"/>
        <v xml:space="preserve">
	//T-roll gluing ① Lower roll
	ELSIF uiInfoIdx = 2 THEN
		IF strInfoKey = 'name' THEN</v>
      </c>
      <c r="AB64" t="str">
        <f ca="1"/>
        <v xml:space="preserve">
	//T-roll gluing ① Lower roll
	ELSIF uiInfoIdx = 2 THEN
		IF strInfoKey = 'name' THEN
			strRt	:= 'T-roll gluing ① Lower roll';</v>
      </c>
      <c r="AC64" t="str">
        <f ca="1"/>
        <v xml:space="preserve">
	//T-roll gluing ① Lower roll
	ELSIF uiInfoIdx = 2 THEN
		IF strInfoKey = 'name' THEN
			strRt	:= 'T-roll gluing ① Lower roll';
		ELSIF strInfoKey = 'index_name' THEN</v>
      </c>
      <c r="AD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</v>
      </c>
      <c r="AE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</v>
      </c>
      <c r="AF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</v>
      </c>
      <c r="AG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</v>
      </c>
      <c r="AH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</v>
      </c>
      <c r="AI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J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  <c r="AK64" t="str">
        <f ca="1"/>
        <v xml:space="preserve">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T-roll gluing ② Upper roll</v>
      </c>
      <c r="J65" t="str">
        <f ca="1"/>
        <v>T-roll gluing ② Upper roll</v>
      </c>
      <c r="L65" t="str">
        <f ca="1"/>
        <v>【cylinder3】 T-roll gluing ② Upper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 Upper roll
	ELSIF uiInfoIdx = 3 THEN</v>
      </c>
      <c r="AA65" t="str">
        <f ca="1"/>
        <v xml:space="preserve">
	//T-roll gluing ② Upper roll
	ELSIF uiInfoIdx = 3 THEN
		IF strInfoKey = 'name' THEN</v>
      </c>
      <c r="AB65" t="str">
        <f ca="1"/>
        <v xml:space="preserve">
	//T-roll gluing ② Upper roll
	ELSIF uiInfoIdx = 3 THEN
		IF strInfoKey = 'name' THEN
			strRt	:= 'T-roll gluing ② Upper roll';</v>
      </c>
      <c r="AC65" t="str">
        <f ca="1"/>
        <v xml:space="preserve">
	//T-roll gluing ② Upper roll
	ELSIF uiInfoIdx = 3 THEN
		IF strInfoKey = 'name' THEN
			strRt	:= 'T-roll gluing ② Upper roll';
		ELSIF strInfoKey = 'index_name' THEN</v>
      </c>
      <c r="AD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</v>
      </c>
      <c r="AE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</v>
      </c>
      <c r="AF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</v>
      </c>
      <c r="AG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</v>
      </c>
      <c r="AH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</v>
      </c>
      <c r="AI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J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  <c r="AK65" t="str">
        <f ca="1"/>
        <v xml:space="preserve">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Foil wax reel fixing</v>
      </c>
      <c r="J82" t="str">
        <f ca="1"/>
        <v>Foil wax reel fixing</v>
      </c>
      <c r="L82" t="str">
        <f ca="1"/>
        <v>【cylinder20】 Foil wax reel fixing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//Foil wax reel fixing
	ELSIF uiInfoIdx = 20 THEN</v>
      </c>
      <c r="AA82" t="str">
        <f ca="1"/>
        <v xml:space="preserve">
	//Foil wax reel fixing
	ELSIF uiInfoIdx = 20 THEN
		IF strInfoKey = 'name' THEN</v>
      </c>
      <c r="AB82" t="str">
        <f ca="1"/>
        <v xml:space="preserve">
	//Foil wax reel fixing
	ELSIF uiInfoIdx = 20 THEN
		IF strInfoKey = 'name' THEN
			strRt	:= 'Foil wax reel fixing';</v>
      </c>
      <c r="AC82" t="str">
        <f ca="1"/>
        <v xml:space="preserve">
	//Foil wax reel fixing
	ELSIF uiInfoIdx = 20 THEN
		IF strInfoKey = 'name' THEN
			strRt	:= 'Foil wax reel fixing';
		ELSIF strInfoKey = 'index_name' THEN</v>
      </c>
      <c r="AD82" t="str">
        <f ca="1"/>
        <v xml:space="preserve">
	//Foil wax reel fixing
	ELSIF uiInfoIdx = 20 THEN
		IF strInfoKey = 'name' THEN
			strRt	:= 'Foil wax reel fixing';
		ELSIF strInfoKey = 'index_name' THEN
			strRt	:= '【cylinder20】 Foil wax reel fixing';</v>
      </c>
      <c r="AE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</v>
      </c>
      <c r="AF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</v>
      </c>
      <c r="AG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</v>
      </c>
      <c r="AH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</v>
      </c>
      <c r="AI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J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  <c r="AK82" t="str">
        <f ca="1"/>
        <v xml:space="preserve">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287</v>
      </c>
      <c r="F86">
        <f>COUNTIF(E$3:E86,E86)</f>
        <v>1</v>
      </c>
      <c r="G86" t="str">
        <v/>
      </c>
      <c r="H86">
        <v>59</v>
      </c>
      <c r="I86" t="str">
        <f ca="1"/>
        <v>welding machine</v>
      </c>
      <c r="J86" t="str">
        <f ca="1"/>
        <v>welding machine</v>
      </c>
      <c r="L86" t="str">
        <f ca="1"/>
        <v>【OTH1】 welding machine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//welding machine
	IF uiInfoIdx = 1 THEN</v>
      </c>
      <c r="AA86" t="str">
        <f ca="1"/>
        <v xml:space="preserve">
//OTH
ELSIF strInfoType = 'OTH' THEN
	//welding machine
	IF uiInfoIdx = 1 THEN
		IF strInfoKey = 'name' THEN</v>
      </c>
      <c r="AB86" t="str">
        <f ca="1"/>
        <v xml:space="preserve">
//OTH
ELSIF strInfoType = 'OTH' THEN
	//welding machine
	IF uiInfoIdx = 1 THEN
		IF strInfoKey = 'name' THEN
			strRt	:= 'welding machine';</v>
      </c>
      <c r="AC86" t="str">
        <f ca="1"/>
        <v xml:space="preserve">
//OTH
ELSIF strInfoType = 'OTH' THEN
	//welding machine
	IF uiInfoIdx = 1 THEN
		IF strInfoKey = 'name' THEN
			strRt	:= 'welding machine';
		ELSIF strInfoKey = 'index_name' THEN</v>
      </c>
      <c r="AD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60</v>
      </c>
      <c r="I87" t="str">
        <f ca="1"/>
        <v>X-roll electromagnetic clutch</v>
      </c>
      <c r="J87" t="str">
        <f ca="1"/>
        <v>X-roll electromagnetic clutch</v>
      </c>
      <c r="L87" t="str">
        <f ca="1"/>
        <v>【OTH2】 X-roll electromagnetic clutch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//X-roll electromagnetic clutch
	ELSIF uiInfoIdx = 2 THEN</v>
      </c>
      <c r="AA87" t="str">
        <f ca="1"/>
        <v xml:space="preserve">
	//X-roll electromagnetic clutch
	ELSIF uiInfoIdx = 2 THEN
		IF strInfoKey = 'name' THEN</v>
      </c>
      <c r="AB87" t="str">
        <f ca="1"/>
        <v xml:space="preserve">
	//X-roll electromagnetic clutch
	ELSIF uiInfoIdx = 2 THEN
		IF strInfoKey = 'name' THEN
			strRt	:= 'X-roll electromagnetic clutch';</v>
      </c>
      <c r="AC87" t="str">
        <f ca="1"/>
        <v xml:space="preserve">
	//X-roll electromagnetic clutch
	ELSIF uiInfoIdx = 2 THEN
		IF strInfoKey = 'name' THEN
			strRt	:= 'X-roll electromagnetic clutch';
		ELSIF strInfoKey = 'index_name' THEN</v>
      </c>
      <c r="AD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7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294</v>
      </c>
      <c r="F96">
        <f>COUNTIF(E$3:E96,E96)</f>
        <v>1</v>
      </c>
      <c r="G96" t="str">
        <v/>
      </c>
      <c r="H96">
        <v>61</v>
      </c>
      <c r="I96" t="str">
        <f ca="1"/>
        <v>(Unassigned)</v>
      </c>
      <c r="J96" t="str">
        <f ca="1"/>
        <v>(Unassigned)</v>
      </c>
      <c r="L96" t="str">
        <f ca="1"/>
        <v>【OTHC1】 (Unassigned)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//(Unassigned)
	IF uiInfoIdx = 1 THEN</v>
      </c>
      <c r="AA96" t="str">
        <f ca="1"/>
        <v xml:space="preserve">
//OTHC
ELSIF strInfoType = 'OTHC' THEN
	//(Unassigned)
	IF uiInfoIdx = 1 THEN
		IF strInfoKey = 'name' THEN</v>
      </c>
      <c r="AB96" t="str">
        <f ca="1"/>
        <v xml:space="preserve">
//OTHC
ELSIF strInfoType = 'OTHC' THEN
	//(Unassigned)
	IF uiInfoIdx = 1 THEN
		IF strInfoKey = 'name' THEN
			strRt	:= '(Unassigned)';</v>
      </c>
      <c r="AC96" t="str">
        <f ca="1"/>
        <v xml:space="preserve">
//OTHC
ELSIF strInfoType = 'OTHC' THEN
	//(Unassigned)
	IF uiInfoIdx = 1 THEN
		IF strInfoKey = 'name' THEN
			strRt	:= '(Unassigned)';
		ELSIF strInfoKey = 'index_name' THEN</v>
      </c>
      <c r="AD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62</v>
      </c>
      <c r="I97" t="str">
        <f ca="1"/>
        <v>(Unassigned)</v>
      </c>
      <c r="J97" t="str">
        <f ca="1"/>
        <v>(Unassigned)</v>
      </c>
      <c r="L97" t="str">
        <f ca="1"/>
        <v>【OTHC2】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//(Unassigned)
	ELSIF uiInfoIdx = 2 THEN</v>
      </c>
      <c r="AA97" t="str">
        <f ca="1"/>
        <v xml:space="preserve">
	//(Unassigned)
	ELSIF uiInfoIdx = 2 THEN
		IF strInfoKey = 'name' THEN</v>
      </c>
      <c r="AB97" t="str">
        <f ca="1"/>
        <v xml:space="preserve">
	//(Unassigned)
	ELSIF uiInfoIdx = 2 THEN
		IF strInfoKey = 'name' THEN
			strRt	:= '(Unassigned)';</v>
      </c>
      <c r="AC97" t="str">
        <f ca="1"/>
        <v xml:space="preserve">
	//(Unassigned)
	ELSIF uiInfoIdx = 2 THEN
		IF strInfoKey = 'name' THEN
			strRt	:= '(Unassigned)';
		ELSIF strInfoKey = 'index_name' THEN</v>
      </c>
      <c r="AD97" t="str">
        <f ca="1"/>
        <v xml:space="preserve">
	//(Unassigned)
	ELSIF uiInfoIdx = 2 THEN
		IF strInfoKey = 'name' THEN
			strRt	:= '(Unassigned)';
		ELSIF strInfoKey = 'index_name' THEN
			strRt	:= '【OTHC2】 (Unassigned)';</v>
      </c>
      <c r="AE97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7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63</v>
      </c>
      <c r="I98" t="str">
        <f ca="1"/>
        <v>T-roll gluing shaft</v>
      </c>
      <c r="J98" t="str">
        <f ca="1"/>
        <v>T-roll gluing shaft</v>
      </c>
      <c r="L98" t="str">
        <f ca="1"/>
        <v>【OTHC3】 T-roll gluing shaft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//T-roll gluing shaft
	ELSIF uiInfoIdx = 3 THEN</v>
      </c>
      <c r="AA98" t="str">
        <f ca="1"/>
        <v xml:space="preserve">
	//T-roll gluing shaft
	ELSIF uiInfoIdx = 3 THEN
		IF strInfoKey = 'name' THEN</v>
      </c>
      <c r="AB98" t="str">
        <f ca="1"/>
        <v xml:space="preserve">
	//T-roll gluing shaft
	ELSIF uiInfoIdx = 3 THEN
		IF strInfoKey = 'name' THEN
			strRt	:= 'T-roll gluing shaft';</v>
      </c>
      <c r="AC98" t="str">
        <f ca="1"/>
        <v xml:space="preserve">
	//T-roll gluing shaft
	ELSIF uiInfoIdx = 3 THEN
		IF strInfoKey = 'name' THEN
			strRt	:= 'T-roll gluing shaft';
		ELSIF strInfoKey = 'index_name' THEN</v>
      </c>
      <c r="AD98" t="str">
        <f ca="1"/>
        <v xml:space="preserve">
	//T-roll gluing shaft
	ELSIF uiInfoIdx = 3 THEN
		IF strInfoKey = 'name' THEN
			strRt	:= 'T-roll gluing shaft';
		ELSIF strInfoKey = 'index_name' THEN
			strRt	:= '【OTHC3】 T-roll gluing shaft';</v>
      </c>
      <c r="AE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</v>
      </c>
      <c r="AF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</v>
      </c>
      <c r="AG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</v>
      </c>
      <c r="AH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</v>
      </c>
      <c r="AI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J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  <c r="AK98" t="str">
        <f ca="1"/>
        <v xml:space="preserve">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261</v>
      </c>
      <c r="F106">
        <f>COUNTIF(E$3:E106,E106)</f>
        <v>1</v>
      </c>
      <c r="G106" t="str">
        <v/>
      </c>
      <c r="H106">
        <v>52</v>
      </c>
      <c r="I106" t="str">
        <f ca="1"/>
        <v>Flat Sheet Supply</v>
      </c>
      <c r="J106" t="str">
        <f ca="1"/>
        <v>Flat Sheet Supply</v>
      </c>
      <c r="L106" t="str">
        <f ca="1"/>
        <v>【unit1】 Flat Sheet Supply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//Flat Sheet Supply
	IF uiInfoIdx = 1 THEN</v>
      </c>
      <c r="AA106" t="str">
        <f ca="1"/>
        <v xml:space="preserve">
//unit
ELSIF strInfoType = 'unit' THEN
	//Flat Sheet Supply
	IF uiInfoIdx = 1 THEN
		IF strInfoKey = 'name' THEN</v>
      </c>
      <c r="AB106" t="str">
        <f ca="1"/>
        <v xml:space="preserve">
//unit
ELSIF strInfoType = 'unit' THEN
	//Flat Sheet Supply
	IF uiInfoIdx = 1 THEN
		IF strInfoKey = 'name' THEN
			strRt	:= 'Flat Sheet Supply';</v>
      </c>
      <c r="AC106" t="str">
        <f ca="1"/>
        <v xml:space="preserve">
//unit
ELSIF strInfoType = 'unit' THEN
	//Flat Sheet Supply
	IF uiInfoIdx = 1 THEN
		IF strInfoKey = 'name' THEN
			strRt	:= 'Flat Sheet Supply';
		ELSIF strInfoKey = 'index_name' THEN</v>
      </c>
      <c r="AD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53</v>
      </c>
      <c r="I107" t="str">
        <f ca="1"/>
        <v>Corrugated Sheet Supply</v>
      </c>
      <c r="J107" t="str">
        <f ca="1"/>
        <v>Corrugated Sheet Supply</v>
      </c>
      <c r="L107" t="str">
        <f ca="1"/>
        <v>【unit2】 Corrugated Sheet Supply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//Corrugated Sheet Supply
	ELSIF uiInfoIdx = 2 THEN</v>
      </c>
      <c r="AA107" t="str">
        <f ca="1"/>
        <v xml:space="preserve">
	//Corrugated Sheet Supply
	ELSIF uiInfoIdx = 2 THEN
		IF strInfoKey = 'name' THEN</v>
      </c>
      <c r="AB107" t="str">
        <f ca="1"/>
        <v xml:space="preserve">
	//Corrugated Sheet Supply
	ELSIF uiInfoIdx = 2 THEN
		IF strInfoKey = 'name' THEN
			strRt	:= 'Corrugated Sheet Supply';</v>
      </c>
      <c r="AC107" t="str">
        <f ca="1"/>
        <v xml:space="preserve">
	//Corrugated Sheet Supply
	ELSIF uiInfoIdx = 2 THEN
		IF strInfoKey = 'name' THEN
			strRt	:= 'Corrugated Sheet Supply';
		ELSIF strInfoKey = 'index_name' THEN</v>
      </c>
      <c r="AD107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107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54</v>
      </c>
      <c r="I108" t="str">
        <f ca="1"/>
        <v>Foil Wax Supply</v>
      </c>
      <c r="J108" t="str">
        <f ca="1"/>
        <v>Foil Wax Supply</v>
      </c>
      <c r="L108" t="str">
        <f ca="1"/>
        <v>【unit3】 Foil Wax Supply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//Foil Wax Supply
	ELSIF uiInfoIdx = 3 THEN</v>
      </c>
      <c r="AA108" t="str">
        <f ca="1"/>
        <v xml:space="preserve">
	//Foil Wax Supply
	ELSIF uiInfoIdx = 3 THEN
		IF strInfoKey = 'name' THEN</v>
      </c>
      <c r="AB108" t="str">
        <f ca="1"/>
        <v xml:space="preserve">
	//Foil Wax Supply
	ELSIF uiInfoIdx = 3 THEN
		IF strInfoKey = 'name' THEN
			strRt	:= 'Foil Wax Supply';</v>
      </c>
      <c r="AC108" t="str">
        <f ca="1"/>
        <v xml:space="preserve">
	//Foil Wax Supply
	ELSIF uiInfoIdx = 3 THEN
		IF strInfoKey = 'name' THEN
			strRt	:= 'Foil Wax Supply';
		ELSIF strInfoKey = 'index_name' THEN</v>
      </c>
      <c r="AD108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108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55</v>
      </c>
      <c r="I109" t="str">
        <f ca="1"/>
        <v>Winding Shaft</v>
      </c>
      <c r="J109" t="str">
        <f ca="1"/>
        <v>Winding Shaft</v>
      </c>
      <c r="L109" t="str">
        <f ca="1"/>
        <v>【unit4】 Winding Shaft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//Winding Shaft
	ELSIF uiInfoIdx = 4 THEN</v>
      </c>
      <c r="AA109" t="str">
        <f ca="1"/>
        <v xml:space="preserve">
	//Winding Shaft
	ELSIF uiInfoIdx = 4 THEN
		IF strInfoKey = 'name' THEN</v>
      </c>
      <c r="AB109" t="str">
        <f ca="1"/>
        <v xml:space="preserve">
	//Winding Shaft
	ELSIF uiInfoIdx = 4 THEN
		IF strInfoKey = 'name' THEN
			strRt	:= 'Winding Shaft';</v>
      </c>
      <c r="AC109" t="str">
        <f ca="1"/>
        <v xml:space="preserve">
	//Winding Shaft
	ELSIF uiInfoIdx = 4 THEN
		IF strInfoKey = 'name' THEN
			strRt	:= 'Winding Shaft';
		ELSIF strInfoKey = 'index_name' THEN</v>
      </c>
      <c r="AD109" t="str">
        <f ca="1"/>
        <v xml:space="preserve">
	//Winding Shaft
	ELSIF uiInfoIdx = 4 THEN
		IF strInfoKey = 'name' THEN
			strRt	:= 'Winding Shaft';
		ELSIF strInfoKey = 'index_name' THEN
			strRt	:= '【unit4】 Winding Shaft';</v>
      </c>
      <c r="AE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109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56</v>
      </c>
      <c r="I110" t="str">
        <f ca="1"/>
        <v>Welding</v>
      </c>
      <c r="J110" t="str">
        <f ca="1"/>
        <v>Welding</v>
      </c>
      <c r="L110" t="str">
        <f ca="1"/>
        <v>【unit5】 Welding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//Welding
	ELSIF uiInfoIdx = 5 THEN</v>
      </c>
      <c r="AA110" t="str">
        <f ca="1"/>
        <v xml:space="preserve">
	//Welding
	ELSIF uiInfoIdx = 5 THEN
		IF strInfoKey = 'name' THEN</v>
      </c>
      <c r="AB110" t="str">
        <f ca="1"/>
        <v xml:space="preserve">
	//Welding
	ELSIF uiInfoIdx = 5 THEN
		IF strInfoKey = 'name' THEN
			strRt	:= 'Welding';</v>
      </c>
      <c r="AC110" t="str">
        <f ca="1"/>
        <v xml:space="preserve">
	//Welding
	ELSIF uiInfoIdx = 5 THEN
		IF strInfoKey = 'name' THEN
			strRt	:= 'Welding';
		ELSIF strInfoKey = 'index_name' THEN</v>
      </c>
      <c r="AD110" t="str">
        <f ca="1"/>
        <v xml:space="preserve">
	//Welding
	ELSIF uiInfoIdx = 5 THEN
		IF strInfoKey = 'name' THEN
			strRt	:= 'Welding';
		ELSIF strInfoKey = 'index_name' THEN
			strRt	:= '【unit5】 Welding';</v>
      </c>
      <c r="AE110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110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57</v>
      </c>
      <c r="I111" t="str">
        <f ca="1"/>
        <v>Discharge</v>
      </c>
      <c r="J111" t="str">
        <f ca="1"/>
        <v>Discharge</v>
      </c>
      <c r="L111" t="str">
        <f ca="1"/>
        <v>【unit6】 Discharge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//Discharge
	ELSIF uiInfoIdx = 6 THEN</v>
      </c>
      <c r="AA111" t="str">
        <f ca="1"/>
        <v xml:space="preserve">
	//Discharge
	ELSIF uiInfoIdx = 6 THEN
		IF strInfoKey = 'name' THEN</v>
      </c>
      <c r="AB111" t="str">
        <f ca="1"/>
        <v xml:space="preserve">
	//Discharge
	ELSIF uiInfoIdx = 6 THEN
		IF strInfoKey = 'name' THEN
			strRt	:= 'Discharge';</v>
      </c>
      <c r="AC111" t="str">
        <f ca="1"/>
        <v xml:space="preserve">
	//Discharge
	ELSIF uiInfoIdx = 6 THEN
		IF strInfoKey = 'name' THEN
			strRt	:= 'Discharge';
		ELSIF strInfoKey = 'index_name' THEN</v>
      </c>
      <c r="AD111" t="str">
        <f ca="1"/>
        <v xml:space="preserve">
	//Discharge
	ELSIF uiInfoIdx = 6 THEN
		IF strInfoKey = 'name' THEN
			strRt	:= 'Discharge';
		ELSIF strInfoKey = 'index_name' THEN
			strRt	:= '【unit6】 Discharge';</v>
      </c>
      <c r="AE111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111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58</v>
      </c>
      <c r="I112" t="str">
        <f ca="1"/>
        <v>X-roll section</v>
      </c>
      <c r="J112" t="str">
        <f ca="1"/>
        <v>X-roll section</v>
      </c>
      <c r="L112" t="str">
        <f ca="1"/>
        <v>【unit7】 X-roll section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//X-roll section
	ELSIF uiInfoIdx = 7 THEN</v>
      </c>
      <c r="AA112" t="str">
        <f ca="1"/>
        <v xml:space="preserve">
	//X-roll section
	ELSIF uiInfoIdx = 7 THEN
		IF strInfoKey = 'name' THEN</v>
      </c>
      <c r="AB112" t="str">
        <f ca="1"/>
        <v xml:space="preserve">
	//X-roll section
	ELSIF uiInfoIdx = 7 THEN
		IF strInfoKey = 'name' THEN
			strRt	:= 'X-roll section';</v>
      </c>
      <c r="AC112" t="str">
        <f ca="1"/>
        <v xml:space="preserve">
	//X-roll section
	ELSIF uiInfoIdx = 7 THEN
		IF strInfoKey = 'name' THEN
			strRt	:= 'X-roll section';
		ELSIF strInfoKey = 'index_name' THEN</v>
      </c>
      <c r="AD112" t="str">
        <f ca="1"/>
        <v xml:space="preserve">
	//X-roll section
	ELSIF uiInfoIdx = 7 THEN
		IF strInfoKey = 'name' THEN
			strRt	:= 'X-roll section';
		ELSIF strInfoKey = 'index_name' THEN
			strRt	:= '【unit7】 X-roll section';</v>
      </c>
      <c r="AE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</v>
      </c>
      <c r="AF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</v>
      </c>
      <c r="AG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</v>
      </c>
      <c r="AH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</v>
      </c>
      <c r="AI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J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  <c r="AK112" t="str">
        <f ca="1"/>
        <v xml:space="preserve">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C:\tk\prj\hg-0025-0016\git\kv-x520\doc\[kv_script_conv_TP1_popup.xlsx]content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//Corrugated sheet auxiliary shaft
	ELSIF uiInfoIdx = 17 THEN
		IF strInfoKey = 'name' THEN
			strRt	:= 'Corrugated sheet auxiliary shaft';
		ELSIF strInfoKey = 'index_name' THEN
			strRt	:= '【axis17】 Corrugated sheet auxiliary shaft';
		ELSIF strInfoKey = 'model' THEN
			strRt	:= 'AZM15AK';
		ELSIF strInfoKey = 'mf' THEN
			strRt	:= 'OrientalMotor';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 Lower roll
	ELSIF uiInfoIdx = 2 THEN
		IF strInfoKey = 'name' THEN
			strRt	:= 'T-roll gluing ① Lower roll';
		ELSIF strInfoKey = 'index_name' THEN
			strRt	:= '【cylinder2】 T-roll gluing ① Lower roll';
		ELSIF strInfoKey = 'model' THEN
			strRt	:= 'CDAS16×10-B-R';
		ELSIF strInfoKey = 'mf' THEN
			strRt	:= 'unknown';
		ELSE
			uiErrCode	:= 3;
		END_IF;
	//T-roll gluing ② Upper roll
	ELSIF uiInfoIdx = 3 THEN
		IF strInfoKey = 'name' THEN
			strRt	:= 'T-roll gluing ② Upper roll';
		ELSIF strInfoKey = 'index_name' THEN
			strRt	:= '【cylinder3】 T-roll gluing ② Upper roll';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//Foil wax reel fixing
	ELSIF uiInfoIdx = 20 THEN
		IF strInfoKey = 'name' THEN
			strRt	:= 'Foil wax reel fixing';
		ELSIF strInfoKey = 'index_name' THEN
			strRt	:= '【cylinder20】 Foil wax reel fixing';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shaft
	ELSIF uiInfoIdx = 3 THEN
		IF strInfoKey = 'name' THEN
			strRt	:= 'T-roll gluing shaft';
		ELSIF strInfoKey = 'index_name' THEN
			strRt	:= '【OTHC3】 T-roll gluing shaft';
		ELSIF strInfoKey = 'model' THEN
			strRt	:= 'unknown';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//X-roll section
	ELSIF uiInfoIdx = 7 THEN
		IF strInfoKey = 'name' THEN
			strRt	:= 'X-roll section';
		ELSIF strInfoKey = 'index_name' THEN
			strRt	:= '【unit7】 X-roll section';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2026-03-02T10:42:33Z</dcterms:modified>
</cp:coreProperties>
</file>