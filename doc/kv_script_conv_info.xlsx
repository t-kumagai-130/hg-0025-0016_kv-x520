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F6895B56-CE5A-4B49-9B23-BBAB2232FAA8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info_index!$A$1:$P$51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65" i="1"/>
  <c r="C67" i="1"/>
  <c r="C65" i="1"/>
  <c r="B67" i="1"/>
  <c r="B65" i="1"/>
  <c r="D63" i="1"/>
  <c r="A63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<sst xmlns="http://schemas.openxmlformats.org/spreadsheetml/2006/main" count="477" uniqueCount="280">
  <si>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</si>
  <si>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</si>
  <si>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</si>
  <si>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</si>
  <si>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</si>
  <si>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</si>
  <si>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</si>
  <si>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</si>
  <si>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</si>
  <si>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</si>
  <si>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</si>
  <si>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</si>
  <si>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</si>
  <si>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</si>
  <si>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</si>
  <si>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</si>
  <si>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</si>
  <si>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</si>
  <si>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</si>
  <si>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</si>
  <si>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</si>
  <si>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</si>
  <si>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</si>
  <si>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</si>
  <si>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</si>
  <si>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</si>
  <si>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</si>
  <si>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</si>
  <si>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</si>
  <si>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</si>
  <si>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</si>
  <si>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</si>
  <si>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</si>
  <si>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</si>
  <si>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</si>
  <si>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</si>
  <si>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</si>
  <si>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</si>
  <si>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</si>
  <si>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</si>
  <si>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</si>
  <si>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</si>
  <si>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</si>
  <si>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</si>
  <si>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</si>
  <si>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</si>
  <si>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</si>
  <si>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</si>
  <si>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</si>
  <si>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</si>
  <si>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</si>
  <si>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</si>
  <si>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</si>
  <si>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</si>
  <si>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</si>
  <si>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</si>
  <si>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</si>
  <si>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</si>
  <si>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</si>
  <si>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</si>
  <si>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</si>
  <si>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</si>
  <si>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</si>
  <si>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</si>
  <si>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</si>
  <si>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</si>
  <si>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</si>
  <si>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</si>
  <si>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</si>
  <si>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</si>
  <si>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</si>
  <si>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</si>
  <si>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</si>
  <si>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</si>
  <si>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</si>
  <si>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</si>
  <si>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</si>
  <si>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</si>
  <si>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</si>
  <si>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</si>
  <si>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</si>
  <si>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</si>
  <si>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</si>
  <si>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</si>
  <si>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</si>
  <si>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</si>
  <si>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</si>
  <si>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</si>
  <si>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</si>
  <si>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</si>
  <si>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</si>
  <si>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</si>
  <si>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</si>
  <si>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</si>
  <si>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</si>
  <si>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</si>
  <si>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</si>
  <si>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</si>
  <si>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</si>
  <si>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</si>
  <si>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</si>
  <si>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</si>
  <si>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</si>
  <si>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</si>
  <si>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</si>
  <si>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</si>
  <si>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</si>
  <si>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</si>
  <si>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</si>
  <si>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</si>
  <si>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</si>
  <si>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</si>
  <si>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</si>
  <si>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</si>
  <si>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</si>
  <si>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</si>
  <si>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</si>
  <si>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</si>
  <si>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</si>
  <si>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</si>
  <si>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</si>
  <si>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</si>
  <si>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</si>
  <si>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</si>
  <si>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</si>
  <si>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</si>
  <si>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</si>
  <si>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</si>
  <si>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</si>
  <si>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</si>
  <si>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</si>
  <si>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</si>
  <si>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</si>
  <si>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</si>
  <si>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</si>
  <si>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</si>
  <si>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</si>
  <si>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</si>
  <si>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</si>
  <si>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</si>
  <si>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</si>
  <si>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</si>
  <si>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</si>
  <si>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</si>
  <si>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</si>
  <si>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</si>
  <si>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</si>
  <si>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</si>
  <si>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</si>
  <si>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</si>
  <si>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</si>
  <si>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</si>
  <si>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</si>
  <si>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</si>
  <si>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</si>
  <si>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</si>
  <si>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</si>
  <si>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</si>
  <si>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</si>
  <si>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</si>
  <si>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</si>
  <si>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</si>
  <si>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</si>
  <si>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</si>
  <si>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</si>
  <si>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</si>
  <si>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</si>
  <si>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</si>
  <si>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</si>
  <si>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</si>
  <si>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</si>
  <si>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</si>
  <si>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</si>
  <si>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</si>
  <si>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</si>
  <si>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</si>
  <si>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</si>
  <si>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</si>
  <si>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</si>
  <si>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</si>
  <si>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</si>
  <si>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</si>
  <si>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</si>
  <si>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</si>
  <si>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</si>
  <si>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</si>
  <si>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</si>
  <si>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</si>
  <si>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</si>
  <si>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</si>
  <si>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</si>
  <si>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</si>
  <si>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</si>
  <si>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</si>
  <si>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</si>
  <si>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</si>
  <si>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</si>
  <si>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</si>
  <si>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</si>
  <si>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</si>
  <si>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</si>
  <si>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</si>
  <si>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</si>
  <si>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</si>
  <si>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</si>
  <si>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</si>
  <si>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</si>
  <si>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</si>
  <si>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</si>
  <si>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</si>
  <si>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</si>
  <si>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</si>
  <si>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</si>
  <si>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</si>
  <si>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</si>
  <si>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</si>
  <si>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</si>
  <si>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</si>
  <si>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</si>
  <si>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</si>
  <si>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</si>
  <si>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</si>
  <si>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</si>
  <si>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</si>
  <si>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</si>
  <si>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</si>
  <si>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</si>
  <si>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</si>
  <si>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</si>
  <si>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</si>
  <si>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</si>
  <si>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</si>
  <si>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</si>
  <si>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</si>
  <si>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</si>
  <si>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</si>
  <si>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</si>
  <si>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</si>
  <si>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</si>
  <si>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</si>
  <si>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T-roll gluing ①</t>
  </si>
  <si>
    <t>T-roll gluing ②</t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</si>
  <si>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</si>
  <si>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</si>
  <si>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</si>
  <si>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</si>
  <si>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</si>
  <si>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</si>
  <si>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</si>
  <si>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</si>
  <si>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</si>
  <si>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</si>
  <si>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</si>
  <si>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</si>
  <si>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</si>
  <si>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</si>
  <si>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</si>
  <si>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</si>
  <si>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</si>
  <si>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</si>
  <si>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</si>
  <si>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</si>
  <si>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</si>
  <si>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</si>
  <si>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</si>
  <si>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</si>
  <si>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</si>
  <si>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</si>
  <si>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</si>
  <si>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</si>
  <si>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</si>
  <si>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WLD</t>
    <phoneticPr fontId="1"/>
  </si>
  <si>
    <t>溶接機</t>
    <rPh sb="0" eb="3">
      <t>ヨウセツキ</t>
    </rPh>
    <phoneticPr fontId="1"/>
  </si>
  <si>
    <t>welding machine</t>
    <phoneticPr fontId="1"/>
  </si>
  <si>
    <t>WLD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</si>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</sst>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63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58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P87"/>
  <sheetViews>
    <sheetView tabSelected="1" workbookViewId="0">
      <pane xSplit="3" ySplit="1" topLeftCell="D35" activePane="bottomRight" state="frozen"/>
      <selection pane="topRight" activeCell="D1" sqref="D1"/>
      <selection pane="bottomLeft" activeCell="A2" sqref="A2"/>
      <selection pane="bottomRight" activeCell="E52" sqref="E52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6" width="3.58203125" customWidth="1"/>
  </cols>
  <sheetData>
    <row r="1" spans="1:16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150</v>
      </c>
      <c r="H1" s="22" t="s">
        <v>10</v>
      </c>
      <c r="I1" s="22" t="s">
        <v>7</v>
      </c>
      <c r="J1" s="22" t="s">
        <v>3</v>
      </c>
      <c r="K1" s="22" t="s">
        <v>221</v>
      </c>
      <c r="L1" s="22" t="s">
        <v>5</v>
      </c>
      <c r="M1" s="23" t="s">
        <v>112</v>
      </c>
      <c r="N1" s="23" t="s">
        <v>239</v>
      </c>
      <c r="O1" s="23" t="s">
        <v>238</v>
      </c>
      <c r="P1" s="23"/>
    </row>
    <row r="2" spans="1:16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133</v>
      </c>
      <c r="G2" s="31" t="s">
        <v>151</v>
      </c>
      <c r="H2" s="31" t="s">
        <v>20</v>
      </c>
      <c r="I2" s="31" t="s">
        <v>21</v>
      </c>
      <c r="J2" s="31" t="s">
        <v>223</v>
      </c>
      <c r="K2" s="31" t="s">
        <v>222</v>
      </c>
      <c r="L2" s="31">
        <v>1</v>
      </c>
      <c r="M2" s="32"/>
      <c r="N2" s="32"/>
      <c r="O2" s="32"/>
      <c r="P2" s="6"/>
    </row>
    <row r="3" spans="1:16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249</v>
      </c>
      <c r="H3" s="12" t="s">
        <v>14</v>
      </c>
      <c r="I3" s="12" t="s">
        <v>13</v>
      </c>
      <c r="J3" s="17" t="s">
        <v>223</v>
      </c>
      <c r="K3" s="12" t="s">
        <v>222</v>
      </c>
      <c r="L3" s="12">
        <v>1</v>
      </c>
      <c r="M3" s="27"/>
      <c r="N3" s="27"/>
      <c r="O3" s="27"/>
      <c r="P3" s="10"/>
    </row>
    <row r="4" spans="1:16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152</v>
      </c>
      <c r="H4" s="12" t="s">
        <v>14</v>
      </c>
      <c r="I4" s="12" t="s">
        <v>13</v>
      </c>
      <c r="J4" s="17" t="s">
        <v>223</v>
      </c>
      <c r="K4" s="12" t="s">
        <v>222</v>
      </c>
      <c r="L4" s="12">
        <v>1</v>
      </c>
      <c r="M4" s="27"/>
      <c r="N4" s="27"/>
      <c r="O4" s="27"/>
      <c r="P4" s="10"/>
    </row>
    <row r="5" spans="1:16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153</v>
      </c>
      <c r="H5" s="12" t="s">
        <v>14</v>
      </c>
      <c r="I5" s="12" t="s">
        <v>13</v>
      </c>
      <c r="J5" s="17" t="s">
        <v>223</v>
      </c>
      <c r="K5" s="12" t="s">
        <v>222</v>
      </c>
      <c r="L5" s="12">
        <v>1</v>
      </c>
      <c r="M5" s="27"/>
      <c r="N5" s="27"/>
      <c r="O5" s="27"/>
      <c r="P5" s="10"/>
    </row>
    <row r="6" spans="1:16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252</v>
      </c>
      <c r="G6" s="8" t="s">
        <v>154</v>
      </c>
      <c r="H6" s="8" t="s">
        <v>1</v>
      </c>
      <c r="I6" s="8" t="s">
        <v>11</v>
      </c>
      <c r="J6" s="8" t="s">
        <v>2</v>
      </c>
      <c r="K6" s="8" t="s">
        <v>226</v>
      </c>
      <c r="L6" s="8">
        <v>1</v>
      </c>
      <c r="M6" s="10"/>
      <c r="N6" s="10"/>
      <c r="O6" s="10"/>
      <c r="P6" s="10"/>
    </row>
    <row r="7" spans="1:16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155</v>
      </c>
      <c r="H7" s="8" t="s">
        <v>0</v>
      </c>
      <c r="I7" s="8" t="s">
        <v>11</v>
      </c>
      <c r="J7" s="8" t="s">
        <v>2</v>
      </c>
      <c r="K7" s="8" t="s">
        <v>226</v>
      </c>
      <c r="L7" s="8">
        <v>1</v>
      </c>
      <c r="M7" s="10"/>
      <c r="N7" s="10"/>
      <c r="O7" s="10"/>
      <c r="P7" s="10"/>
    </row>
    <row r="8" spans="1:16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156</v>
      </c>
      <c r="H8" s="8" t="s">
        <v>28</v>
      </c>
      <c r="I8" s="8" t="s">
        <v>11</v>
      </c>
      <c r="J8" s="8" t="s">
        <v>2</v>
      </c>
      <c r="K8" s="8" t="s">
        <v>226</v>
      </c>
      <c r="L8" s="8">
        <v>1</v>
      </c>
      <c r="M8" s="10"/>
      <c r="N8" s="10"/>
      <c r="O8" s="10"/>
      <c r="P8" s="10"/>
    </row>
    <row r="9" spans="1:16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267</v>
      </c>
      <c r="G9" s="8" t="s">
        <v>269</v>
      </c>
      <c r="H9" s="8" t="s">
        <v>106</v>
      </c>
      <c r="I9" s="8" t="s">
        <v>15</v>
      </c>
      <c r="J9" s="8" t="s">
        <v>2</v>
      </c>
      <c r="K9" s="8" t="s">
        <v>226</v>
      </c>
      <c r="L9" s="8">
        <v>1</v>
      </c>
      <c r="M9" s="10"/>
      <c r="N9" s="10"/>
      <c r="O9" s="10"/>
      <c r="P9" s="10"/>
    </row>
    <row r="10" spans="1:16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268</v>
      </c>
      <c r="G10" s="8" t="s">
        <v>270</v>
      </c>
      <c r="H10" s="8" t="s">
        <v>107</v>
      </c>
      <c r="I10" s="8" t="s">
        <v>15</v>
      </c>
      <c r="J10" s="8" t="s">
        <v>2</v>
      </c>
      <c r="K10" s="8" t="s">
        <v>226</v>
      </c>
      <c r="L10" s="8">
        <v>1</v>
      </c>
      <c r="M10" s="10"/>
      <c r="N10" s="10"/>
      <c r="O10" s="10"/>
      <c r="P10" s="10"/>
    </row>
    <row r="11" spans="1:16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132</v>
      </c>
      <c r="G11" s="8" t="s">
        <v>157</v>
      </c>
      <c r="H11" s="8"/>
      <c r="I11" s="8"/>
      <c r="J11" s="8"/>
      <c r="K11" s="8"/>
      <c r="L11" s="8"/>
      <c r="M11" s="10"/>
      <c r="N11" s="10"/>
      <c r="O11" s="10"/>
      <c r="P11" s="10"/>
    </row>
    <row r="12" spans="1:16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134</v>
      </c>
      <c r="G12" s="8" t="s">
        <v>158</v>
      </c>
      <c r="H12" s="8"/>
      <c r="I12" s="8"/>
      <c r="J12" s="8"/>
      <c r="K12" s="8"/>
      <c r="L12" s="8"/>
      <c r="M12" s="10"/>
      <c r="N12" s="10"/>
      <c r="O12" s="10"/>
      <c r="P12" s="10"/>
    </row>
    <row r="13" spans="1:16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135</v>
      </c>
      <c r="G13" s="8" t="s">
        <v>159</v>
      </c>
      <c r="H13" s="8"/>
      <c r="I13" s="8"/>
      <c r="J13" s="8"/>
      <c r="K13" s="8"/>
      <c r="L13" s="8"/>
      <c r="M13" s="10"/>
      <c r="N13" s="10"/>
      <c r="O13" s="10"/>
      <c r="P13" s="10"/>
    </row>
    <row r="14" spans="1:16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160</v>
      </c>
      <c r="H14" s="8" t="s">
        <v>31</v>
      </c>
      <c r="I14" s="8" t="s">
        <v>32</v>
      </c>
      <c r="J14" s="8" t="s">
        <v>225</v>
      </c>
      <c r="K14" s="8" t="s">
        <v>224</v>
      </c>
      <c r="L14" s="8">
        <v>1</v>
      </c>
      <c r="M14" s="10"/>
      <c r="N14" s="10"/>
      <c r="O14" s="10"/>
      <c r="P14" s="10"/>
    </row>
    <row r="15" spans="1:16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161</v>
      </c>
      <c r="H15" s="8" t="s">
        <v>33</v>
      </c>
      <c r="I15" s="8" t="s">
        <v>32</v>
      </c>
      <c r="J15" s="8" t="s">
        <v>225</v>
      </c>
      <c r="K15" s="8" t="s">
        <v>224</v>
      </c>
      <c r="L15" s="8">
        <v>1</v>
      </c>
      <c r="M15" s="10"/>
      <c r="N15" s="10"/>
      <c r="O15" s="10"/>
      <c r="P15" s="10"/>
    </row>
    <row r="16" spans="1:16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162</v>
      </c>
      <c r="H16" s="8" t="s">
        <v>137</v>
      </c>
      <c r="I16" s="8"/>
      <c r="J16" s="8"/>
      <c r="K16" s="8"/>
      <c r="L16" s="8"/>
      <c r="M16" s="10"/>
      <c r="N16" s="10"/>
      <c r="O16" s="10"/>
      <c r="P16" s="10"/>
    </row>
    <row r="17" spans="1:16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136</v>
      </c>
      <c r="G17" s="8" t="s">
        <v>163</v>
      </c>
      <c r="H17" s="8" t="s">
        <v>137</v>
      </c>
      <c r="I17" s="8"/>
      <c r="J17" s="8"/>
      <c r="K17" s="8"/>
      <c r="L17" s="8"/>
      <c r="M17" s="10"/>
      <c r="N17" s="10"/>
      <c r="O17" s="10"/>
      <c r="P17" s="10"/>
    </row>
    <row r="18" spans="1:16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141</v>
      </c>
      <c r="G18" s="8" t="s">
        <v>164</v>
      </c>
      <c r="H18" s="8" t="s">
        <v>61</v>
      </c>
      <c r="I18" s="8" t="s">
        <v>62</v>
      </c>
      <c r="J18" s="8" t="s">
        <v>4</v>
      </c>
      <c r="K18" s="8" t="s">
        <v>227</v>
      </c>
      <c r="L18" s="8">
        <v>1</v>
      </c>
      <c r="M18" s="10"/>
      <c r="N18" s="10">
        <v>0</v>
      </c>
      <c r="O18" s="10">
        <v>0</v>
      </c>
      <c r="P18" s="10"/>
    </row>
    <row r="19" spans="1:16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207</v>
      </c>
      <c r="G19" s="8" t="s">
        <v>240</v>
      </c>
      <c r="H19" s="8" t="s">
        <v>206</v>
      </c>
      <c r="I19" s="8"/>
      <c r="J19" s="8"/>
      <c r="K19" s="8"/>
      <c r="L19" s="8"/>
      <c r="M19" s="10"/>
      <c r="N19" s="10">
        <v>0</v>
      </c>
      <c r="O19" s="10">
        <v>5</v>
      </c>
      <c r="P19" s="10"/>
    </row>
    <row r="20" spans="1:16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208</v>
      </c>
      <c r="G20" s="8" t="s">
        <v>241</v>
      </c>
      <c r="H20" s="8" t="s">
        <v>206</v>
      </c>
      <c r="I20" s="8"/>
      <c r="J20" s="8"/>
      <c r="K20" s="8"/>
      <c r="L20" s="8"/>
      <c r="M20" s="10"/>
      <c r="N20" s="10">
        <v>0</v>
      </c>
      <c r="O20" s="10">
        <v>6</v>
      </c>
      <c r="P20" s="10"/>
    </row>
    <row r="21" spans="1:16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140</v>
      </c>
      <c r="F21" s="8" t="s">
        <v>250</v>
      </c>
      <c r="G21" s="8" t="s">
        <v>251</v>
      </c>
      <c r="H21" s="8" t="s">
        <v>63</v>
      </c>
      <c r="I21" s="9" t="s">
        <v>64</v>
      </c>
      <c r="J21" s="8" t="s">
        <v>4</v>
      </c>
      <c r="K21" s="8" t="s">
        <v>227</v>
      </c>
      <c r="L21" s="8">
        <v>1</v>
      </c>
      <c r="M21" s="10"/>
      <c r="N21" s="10">
        <v>0</v>
      </c>
      <c r="O21" s="10">
        <v>7</v>
      </c>
      <c r="P21" s="10"/>
    </row>
    <row r="22" spans="1:16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149</v>
      </c>
      <c r="G22" s="8" t="s">
        <v>165</v>
      </c>
      <c r="H22" s="8" t="s">
        <v>67</v>
      </c>
      <c r="I22" s="8" t="s">
        <v>68</v>
      </c>
      <c r="J22" s="8" t="s">
        <v>4</v>
      </c>
      <c r="K22" s="8" t="s">
        <v>227</v>
      </c>
      <c r="L22" s="8">
        <v>1</v>
      </c>
      <c r="M22" s="10"/>
      <c r="N22" s="10">
        <v>0</v>
      </c>
      <c r="O22" s="10">
        <v>1</v>
      </c>
      <c r="P22" s="10"/>
    </row>
    <row r="23" spans="1:16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148</v>
      </c>
      <c r="G23" s="8" t="s">
        <v>166</v>
      </c>
      <c r="H23" s="8" t="s">
        <v>65</v>
      </c>
      <c r="I23" s="8" t="s">
        <v>66</v>
      </c>
      <c r="J23" s="8" t="s">
        <v>4</v>
      </c>
      <c r="K23" s="8" t="s">
        <v>227</v>
      </c>
      <c r="L23" s="8">
        <v>1</v>
      </c>
      <c r="M23" s="10"/>
      <c r="N23" s="10">
        <v>0</v>
      </c>
      <c r="O23" s="10">
        <v>8</v>
      </c>
      <c r="P23" s="10"/>
    </row>
    <row r="24" spans="1:16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144</v>
      </c>
      <c r="G24" s="8" t="s">
        <v>167</v>
      </c>
      <c r="H24" s="8" t="s">
        <v>69</v>
      </c>
      <c r="I24" s="8" t="s">
        <v>70</v>
      </c>
      <c r="J24" s="8" t="s">
        <v>4</v>
      </c>
      <c r="K24" s="8" t="s">
        <v>227</v>
      </c>
      <c r="L24" s="11">
        <v>1</v>
      </c>
      <c r="M24" s="24"/>
      <c r="N24" s="24">
        <v>0</v>
      </c>
      <c r="O24" s="24">
        <v>9</v>
      </c>
      <c r="P24" s="10"/>
    </row>
    <row r="25" spans="1:16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146</v>
      </c>
      <c r="G25" s="8" t="s">
        <v>168</v>
      </c>
      <c r="H25" s="8" t="s">
        <v>73</v>
      </c>
      <c r="I25" s="8" t="s">
        <v>70</v>
      </c>
      <c r="J25" s="8" t="s">
        <v>4</v>
      </c>
      <c r="K25" s="8" t="s">
        <v>227</v>
      </c>
      <c r="L25" s="11">
        <v>1</v>
      </c>
      <c r="M25" s="24"/>
      <c r="N25" s="24">
        <v>0</v>
      </c>
      <c r="O25" s="24">
        <v>10</v>
      </c>
      <c r="P25" s="10"/>
    </row>
    <row r="26" spans="1:16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121</v>
      </c>
      <c r="G26" s="8" t="s">
        <v>169</v>
      </c>
      <c r="H26" s="8" t="s">
        <v>71</v>
      </c>
      <c r="I26" s="8" t="s">
        <v>72</v>
      </c>
      <c r="J26" s="8" t="s">
        <v>4</v>
      </c>
      <c r="K26" s="8" t="s">
        <v>227</v>
      </c>
      <c r="L26" s="11">
        <v>1</v>
      </c>
      <c r="M26" s="24"/>
      <c r="N26" s="24">
        <v>0</v>
      </c>
      <c r="O26" s="24">
        <v>11</v>
      </c>
      <c r="P26" s="10"/>
    </row>
    <row r="27" spans="1:16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145</v>
      </c>
      <c r="G27" s="8" t="s">
        <v>170</v>
      </c>
      <c r="H27" s="8" t="s">
        <v>69</v>
      </c>
      <c r="I27" s="8" t="s">
        <v>70</v>
      </c>
      <c r="J27" s="8" t="s">
        <v>4</v>
      </c>
      <c r="K27" s="8" t="s">
        <v>227</v>
      </c>
      <c r="L27" s="11">
        <v>1</v>
      </c>
      <c r="M27" s="24"/>
      <c r="N27" s="24">
        <v>0</v>
      </c>
      <c r="O27" s="24">
        <v>12</v>
      </c>
      <c r="P27" s="10"/>
    </row>
    <row r="28" spans="1:16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138</v>
      </c>
      <c r="G28" s="12" t="s">
        <v>171</v>
      </c>
      <c r="H28" s="12" t="s">
        <v>75</v>
      </c>
      <c r="I28" s="12" t="s">
        <v>70</v>
      </c>
      <c r="J28" s="12" t="s">
        <v>4</v>
      </c>
      <c r="K28" s="12" t="s">
        <v>227</v>
      </c>
      <c r="L28" s="13">
        <v>1</v>
      </c>
      <c r="M28" s="25"/>
      <c r="N28" s="25">
        <v>0</v>
      </c>
      <c r="O28" s="25">
        <v>2</v>
      </c>
      <c r="P28" s="10"/>
    </row>
    <row r="29" spans="1:16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142</v>
      </c>
      <c r="G29" s="8" t="s">
        <v>172</v>
      </c>
      <c r="H29" s="8" t="s">
        <v>74</v>
      </c>
      <c r="I29" s="8" t="s">
        <v>70</v>
      </c>
      <c r="J29" s="8" t="s">
        <v>4</v>
      </c>
      <c r="K29" s="8" t="s">
        <v>227</v>
      </c>
      <c r="L29" s="11">
        <v>1</v>
      </c>
      <c r="M29" s="24"/>
      <c r="N29" s="24">
        <v>0</v>
      </c>
      <c r="O29" s="24">
        <v>13</v>
      </c>
      <c r="P29" s="10"/>
    </row>
    <row r="30" spans="1:16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139</v>
      </c>
      <c r="G30" s="12" t="s">
        <v>173</v>
      </c>
      <c r="H30" s="12" t="s">
        <v>75</v>
      </c>
      <c r="I30" s="12" t="s">
        <v>70</v>
      </c>
      <c r="J30" s="12" t="s">
        <v>4</v>
      </c>
      <c r="K30" s="12" t="s">
        <v>227</v>
      </c>
      <c r="L30" s="13">
        <v>1</v>
      </c>
      <c r="M30" s="25"/>
      <c r="N30" s="25">
        <v>0</v>
      </c>
      <c r="O30" s="25">
        <v>3</v>
      </c>
      <c r="P30" s="10"/>
    </row>
    <row r="31" spans="1:16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143</v>
      </c>
      <c r="G31" s="8" t="s">
        <v>174</v>
      </c>
      <c r="H31" s="8" t="s">
        <v>76</v>
      </c>
      <c r="I31" s="8" t="s">
        <v>70</v>
      </c>
      <c r="J31" s="8" t="s">
        <v>4</v>
      </c>
      <c r="K31" s="8" t="s">
        <v>227</v>
      </c>
      <c r="L31" s="11">
        <v>1</v>
      </c>
      <c r="M31" s="24"/>
      <c r="N31" s="24">
        <v>0</v>
      </c>
      <c r="O31" s="24">
        <v>4</v>
      </c>
      <c r="P31" s="10"/>
    </row>
    <row r="32" spans="1:16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247</v>
      </c>
      <c r="G32" s="12" t="s">
        <v>248</v>
      </c>
      <c r="H32" s="12" t="s">
        <v>77</v>
      </c>
      <c r="I32" s="12" t="s">
        <v>78</v>
      </c>
      <c r="J32" s="12" t="s">
        <v>4</v>
      </c>
      <c r="K32" s="12" t="s">
        <v>227</v>
      </c>
      <c r="L32" s="13">
        <v>1</v>
      </c>
      <c r="M32" s="25"/>
      <c r="N32" s="25">
        <v>0</v>
      </c>
      <c r="O32" s="25">
        <v>14</v>
      </c>
      <c r="P32" s="10"/>
    </row>
    <row r="33" spans="1:16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147</v>
      </c>
      <c r="G33" s="12" t="s">
        <v>175</v>
      </c>
      <c r="H33" s="12" t="s">
        <v>77</v>
      </c>
      <c r="I33" s="12" t="s">
        <v>78</v>
      </c>
      <c r="J33" s="12" t="s">
        <v>4</v>
      </c>
      <c r="K33" s="12" t="s">
        <v>227</v>
      </c>
      <c r="L33" s="13">
        <v>1</v>
      </c>
      <c r="M33" s="25"/>
      <c r="N33" s="25">
        <v>0</v>
      </c>
      <c r="O33" s="25">
        <v>15</v>
      </c>
      <c r="P33" s="10"/>
    </row>
    <row r="34" spans="1:16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209</v>
      </c>
      <c r="G34" s="8" t="s">
        <v>242</v>
      </c>
      <c r="H34" s="8" t="s">
        <v>51</v>
      </c>
      <c r="I34" s="8"/>
      <c r="J34" s="8"/>
      <c r="K34" s="8"/>
      <c r="L34" s="8"/>
      <c r="M34" s="10"/>
      <c r="N34" s="10">
        <v>1</v>
      </c>
      <c r="O34" s="10">
        <v>0</v>
      </c>
      <c r="P34" s="10"/>
    </row>
    <row r="35" spans="1:16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210</v>
      </c>
      <c r="G35" s="8" t="s">
        <v>243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1</v>
      </c>
      <c r="P35" s="10"/>
    </row>
    <row r="36" spans="1:16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212</v>
      </c>
      <c r="G36" s="8" t="s">
        <v>244</v>
      </c>
      <c r="H36" s="8" t="s">
        <v>211</v>
      </c>
      <c r="I36" s="8"/>
      <c r="J36" s="8"/>
      <c r="K36" s="8"/>
      <c r="L36" s="8"/>
      <c r="M36" s="10"/>
      <c r="N36" s="10">
        <v>1</v>
      </c>
      <c r="O36" s="10">
        <v>2</v>
      </c>
      <c r="P36" s="10"/>
    </row>
    <row r="37" spans="1:16" x14ac:dyDescent="0.55000000000000004">
      <c r="A37" s="7">
        <v>58</v>
      </c>
      <c r="B37" s="7" t="s">
        <v>114</v>
      </c>
      <c r="C37" s="7">
        <v>20</v>
      </c>
      <c r="D37" s="8">
        <v>7</v>
      </c>
      <c r="E37" s="8" t="s">
        <v>92</v>
      </c>
      <c r="F37" s="8" t="s">
        <v>275</v>
      </c>
      <c r="G37" s="8" t="s">
        <v>277</v>
      </c>
      <c r="H37" s="8" t="s">
        <v>276</v>
      </c>
      <c r="I37" s="8" t="s">
        <v>279</v>
      </c>
      <c r="J37" s="8" t="s">
        <v>278</v>
      </c>
      <c r="K37" s="8" t="s">
        <v>278</v>
      </c>
      <c r="L37" s="8"/>
      <c r="M37" s="10"/>
      <c r="N37" s="10"/>
      <c r="O37" s="10"/>
      <c r="P37" s="10"/>
    </row>
    <row r="38" spans="1:16" x14ac:dyDescent="0.55000000000000004">
      <c r="A38" s="29">
        <v>12</v>
      </c>
      <c r="B38" s="29" t="s">
        <v>115</v>
      </c>
      <c r="C38" s="29"/>
      <c r="D38" s="14">
        <v>11</v>
      </c>
      <c r="E38" s="14" t="s">
        <v>97</v>
      </c>
      <c r="F38" s="14"/>
      <c r="G38" s="14"/>
      <c r="H38" s="14" t="s">
        <v>75</v>
      </c>
      <c r="I38" s="14" t="s">
        <v>70</v>
      </c>
      <c r="J38" s="14" t="s">
        <v>4</v>
      </c>
      <c r="K38" s="14" t="s">
        <v>227</v>
      </c>
      <c r="L38" s="15">
        <v>1</v>
      </c>
      <c r="M38" s="26" t="s">
        <v>118</v>
      </c>
      <c r="N38" s="26"/>
      <c r="O38" s="26"/>
      <c r="P38" s="10"/>
    </row>
    <row r="39" spans="1:16" x14ac:dyDescent="0.55000000000000004">
      <c r="A39" s="29">
        <v>16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227</v>
      </c>
      <c r="L39" s="15">
        <v>1</v>
      </c>
      <c r="M39" s="26" t="s">
        <v>118</v>
      </c>
      <c r="N39" s="26"/>
      <c r="O39" s="26"/>
      <c r="P39" s="10"/>
    </row>
    <row r="40" spans="1:16" x14ac:dyDescent="0.55000000000000004">
      <c r="A40" s="29">
        <v>17</v>
      </c>
      <c r="B40" s="29" t="s">
        <v>115</v>
      </c>
      <c r="C40" s="29"/>
      <c r="D40" s="14">
        <v>11</v>
      </c>
      <c r="E40" s="14" t="s">
        <v>96</v>
      </c>
      <c r="F40" s="14"/>
      <c r="G40" s="14"/>
      <c r="H40" s="14" t="s">
        <v>77</v>
      </c>
      <c r="I40" s="14" t="s">
        <v>78</v>
      </c>
      <c r="J40" s="14" t="s">
        <v>4</v>
      </c>
      <c r="K40" s="14" t="s">
        <v>227</v>
      </c>
      <c r="L40" s="15">
        <v>1</v>
      </c>
      <c r="M40" s="26" t="s">
        <v>118</v>
      </c>
      <c r="N40" s="26"/>
      <c r="O40" s="26"/>
      <c r="P40" s="10"/>
    </row>
    <row r="41" spans="1:16" x14ac:dyDescent="0.55000000000000004">
      <c r="A41" s="7">
        <v>21</v>
      </c>
      <c r="B41" s="7" t="s">
        <v>122</v>
      </c>
      <c r="C41" s="7">
        <v>1</v>
      </c>
      <c r="D41" s="8">
        <v>1</v>
      </c>
      <c r="E41" s="8" t="s">
        <v>99</v>
      </c>
      <c r="F41" s="8" t="s">
        <v>129</v>
      </c>
      <c r="G41" s="8" t="s">
        <v>203</v>
      </c>
      <c r="H41" s="8" t="s">
        <v>30</v>
      </c>
      <c r="I41" s="8" t="s">
        <v>29</v>
      </c>
      <c r="J41" s="8" t="s">
        <v>2</v>
      </c>
      <c r="K41" s="8" t="s">
        <v>226</v>
      </c>
      <c r="L41" s="8">
        <v>1</v>
      </c>
      <c r="M41" s="10"/>
      <c r="N41" s="10"/>
      <c r="O41" s="10"/>
      <c r="P41" s="10"/>
    </row>
    <row r="42" spans="1:16" x14ac:dyDescent="0.55000000000000004">
      <c r="A42" s="7">
        <v>24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</v>
      </c>
      <c r="I42" s="8" t="s">
        <v>8</v>
      </c>
      <c r="J42" s="8" t="s">
        <v>225</v>
      </c>
      <c r="K42" s="8" t="s">
        <v>224</v>
      </c>
      <c r="L42" s="8">
        <v>1</v>
      </c>
      <c r="M42" s="10"/>
      <c r="N42" s="10"/>
      <c r="O42" s="10"/>
      <c r="P42" s="10"/>
    </row>
    <row r="43" spans="1:16" x14ac:dyDescent="0.55000000000000004">
      <c r="A43" s="7">
        <v>25</v>
      </c>
      <c r="B43" s="7" t="s">
        <v>119</v>
      </c>
      <c r="C43" s="7"/>
      <c r="D43" s="8">
        <v>3</v>
      </c>
      <c r="E43" s="8" t="s">
        <v>94</v>
      </c>
      <c r="F43" s="8" t="s">
        <v>90</v>
      </c>
      <c r="G43" s="8"/>
      <c r="H43" s="8" t="s">
        <v>60</v>
      </c>
      <c r="I43" s="8" t="s">
        <v>9</v>
      </c>
      <c r="J43" s="8" t="s">
        <v>225</v>
      </c>
      <c r="K43" s="8" t="s">
        <v>224</v>
      </c>
      <c r="L43" s="8">
        <v>1</v>
      </c>
      <c r="M43" s="10"/>
      <c r="N43" s="10"/>
      <c r="O43" s="10"/>
      <c r="P43" s="10"/>
    </row>
    <row r="44" spans="1:16" x14ac:dyDescent="0.55000000000000004">
      <c r="A44" s="7">
        <v>29</v>
      </c>
      <c r="B44" s="7" t="s">
        <v>119</v>
      </c>
      <c r="C44" s="7"/>
      <c r="D44" s="8">
        <v>7</v>
      </c>
      <c r="E44" s="8" t="s">
        <v>92</v>
      </c>
      <c r="F44" s="8"/>
      <c r="G44" s="8"/>
      <c r="H44" s="8" t="s">
        <v>22</v>
      </c>
      <c r="I44" s="8" t="s">
        <v>23</v>
      </c>
      <c r="J44" s="8" t="s">
        <v>225</v>
      </c>
      <c r="K44" s="8" t="s">
        <v>224</v>
      </c>
      <c r="L44" s="8">
        <v>3</v>
      </c>
      <c r="M44" s="10"/>
      <c r="N44" s="10"/>
      <c r="O44" s="10"/>
      <c r="P44" s="10"/>
    </row>
    <row r="45" spans="1:16" x14ac:dyDescent="0.55000000000000004">
      <c r="A45" s="7">
        <v>30</v>
      </c>
      <c r="B45" s="7" t="s">
        <v>119</v>
      </c>
      <c r="C45" s="7"/>
      <c r="D45" s="8">
        <v>1</v>
      </c>
      <c r="E45" s="8" t="s">
        <v>99</v>
      </c>
      <c r="F45" s="8" t="s">
        <v>108</v>
      </c>
      <c r="G45" s="8"/>
      <c r="H45" s="8" t="s">
        <v>25</v>
      </c>
      <c r="I45" s="8" t="s">
        <v>24</v>
      </c>
      <c r="J45" s="8" t="s">
        <v>225</v>
      </c>
      <c r="K45" s="8" t="s">
        <v>224</v>
      </c>
      <c r="L45" s="8">
        <v>1</v>
      </c>
      <c r="M45" s="10" t="s">
        <v>57</v>
      </c>
      <c r="N45" s="10"/>
      <c r="O45" s="10"/>
      <c r="P45" s="10"/>
    </row>
    <row r="46" spans="1:16" x14ac:dyDescent="0.55000000000000004">
      <c r="A46" s="7">
        <v>34</v>
      </c>
      <c r="B46" s="7" t="s">
        <v>119</v>
      </c>
      <c r="C46" s="7"/>
      <c r="D46" s="8">
        <v>1</v>
      </c>
      <c r="E46" s="8" t="s">
        <v>99</v>
      </c>
      <c r="F46" s="8" t="s">
        <v>109</v>
      </c>
      <c r="G46" s="8"/>
      <c r="H46" s="8" t="s">
        <v>35</v>
      </c>
      <c r="I46" s="16" t="s">
        <v>36</v>
      </c>
      <c r="J46" s="8" t="s">
        <v>225</v>
      </c>
      <c r="K46" s="8" t="s">
        <v>224</v>
      </c>
      <c r="L46" s="8">
        <v>1</v>
      </c>
      <c r="M46" s="10" t="s">
        <v>34</v>
      </c>
      <c r="N46" s="10"/>
      <c r="O46" s="10"/>
      <c r="P46" s="10"/>
    </row>
    <row r="47" spans="1:16" x14ac:dyDescent="0.55000000000000004">
      <c r="A47" s="7">
        <v>26</v>
      </c>
      <c r="B47" s="7"/>
      <c r="C47" s="7"/>
      <c r="D47" s="8">
        <v>1</v>
      </c>
      <c r="E47" s="8" t="s">
        <v>99</v>
      </c>
      <c r="F47" s="8"/>
      <c r="G47" s="8"/>
      <c r="H47" s="8" t="s">
        <v>58</v>
      </c>
      <c r="I47" s="8" t="s">
        <v>59</v>
      </c>
      <c r="J47" s="8" t="s">
        <v>225</v>
      </c>
      <c r="K47" s="8" t="s">
        <v>224</v>
      </c>
      <c r="L47" s="8">
        <v>1</v>
      </c>
      <c r="M47" s="10"/>
      <c r="N47" s="10"/>
      <c r="O47" s="10"/>
      <c r="P47" s="10"/>
    </row>
    <row r="48" spans="1:16" x14ac:dyDescent="0.55000000000000004">
      <c r="A48" s="7">
        <v>27</v>
      </c>
      <c r="B48" s="7"/>
      <c r="C48" s="7"/>
      <c r="D48" s="8">
        <v>5</v>
      </c>
      <c r="E48" s="8" t="s">
        <v>93</v>
      </c>
      <c r="F48" s="8"/>
      <c r="G48" s="8"/>
      <c r="H48" s="8" t="s">
        <v>18</v>
      </c>
      <c r="I48" s="8" t="s">
        <v>19</v>
      </c>
      <c r="J48" s="8" t="s">
        <v>225</v>
      </c>
      <c r="K48" s="8" t="s">
        <v>224</v>
      </c>
      <c r="L48" s="8">
        <v>1</v>
      </c>
      <c r="M48" s="10"/>
      <c r="N48" s="10"/>
      <c r="O48" s="10"/>
      <c r="P48" s="10"/>
    </row>
    <row r="49" spans="1:16" x14ac:dyDescent="0.55000000000000004">
      <c r="A49" s="7">
        <v>28</v>
      </c>
      <c r="B49" s="7"/>
      <c r="C49" s="7"/>
      <c r="D49" s="8">
        <v>5</v>
      </c>
      <c r="E49" s="8" t="s">
        <v>93</v>
      </c>
      <c r="F49" s="8"/>
      <c r="G49" s="8"/>
      <c r="H49" s="8" t="s">
        <v>16</v>
      </c>
      <c r="I49" s="8" t="s">
        <v>17</v>
      </c>
      <c r="J49" s="8" t="s">
        <v>225</v>
      </c>
      <c r="K49" s="8" t="s">
        <v>224</v>
      </c>
      <c r="L49" s="8">
        <v>1</v>
      </c>
      <c r="M49" s="10"/>
      <c r="N49" s="10"/>
      <c r="O49" s="10"/>
      <c r="P49" s="10"/>
    </row>
    <row r="50" spans="1:16" x14ac:dyDescent="0.55000000000000004">
      <c r="A50" s="7">
        <v>31</v>
      </c>
      <c r="B50" s="7"/>
      <c r="C50" s="7"/>
      <c r="D50" s="8">
        <v>3</v>
      </c>
      <c r="E50" s="8" t="s">
        <v>94</v>
      </c>
      <c r="F50" s="8"/>
      <c r="G50" s="8"/>
      <c r="H50" s="8" t="s">
        <v>27</v>
      </c>
      <c r="I50" s="8" t="s">
        <v>26</v>
      </c>
      <c r="J50" s="8" t="s">
        <v>225</v>
      </c>
      <c r="K50" s="8" t="s">
        <v>224</v>
      </c>
      <c r="L50" s="8">
        <v>1</v>
      </c>
      <c r="M50" s="10" t="s">
        <v>57</v>
      </c>
      <c r="N50" s="10"/>
      <c r="O50" s="10"/>
      <c r="P50" s="10"/>
    </row>
    <row r="51" spans="1:16" x14ac:dyDescent="0.55000000000000004">
      <c r="A51" s="7">
        <v>39</v>
      </c>
      <c r="B51" s="7"/>
      <c r="C51" s="7"/>
      <c r="D51" s="8">
        <v>7</v>
      </c>
      <c r="E51" s="8" t="s">
        <v>92</v>
      </c>
      <c r="F51" s="8"/>
      <c r="G51" s="8"/>
      <c r="H51" s="8" t="s">
        <v>27</v>
      </c>
      <c r="I51" s="8" t="s">
        <v>26</v>
      </c>
      <c r="J51" s="8" t="s">
        <v>225</v>
      </c>
      <c r="K51" s="8" t="s">
        <v>224</v>
      </c>
      <c r="L51" s="8">
        <v>1</v>
      </c>
      <c r="M51" s="10"/>
      <c r="N51" s="10"/>
      <c r="O51" s="10"/>
      <c r="P51" s="10"/>
    </row>
    <row r="52" spans="1:16" x14ac:dyDescent="0.55000000000000004">
      <c r="A52" s="7">
        <v>51</v>
      </c>
      <c r="B52" s="7" t="s">
        <v>266</v>
      </c>
      <c r="C52" s="7">
        <v>1</v>
      </c>
      <c r="D52" s="8"/>
      <c r="E52" s="8"/>
      <c r="F52" s="8" t="s">
        <v>253</v>
      </c>
      <c r="G52" s="8" t="s">
        <v>259</v>
      </c>
      <c r="H52" s="8"/>
      <c r="I52" s="8"/>
      <c r="J52" s="8"/>
      <c r="K52" s="8"/>
      <c r="L52" s="8"/>
      <c r="M52" s="10"/>
      <c r="N52" s="10"/>
      <c r="O52" s="10"/>
      <c r="P52" s="10"/>
    </row>
    <row r="53" spans="1:16" x14ac:dyDescent="0.55000000000000004">
      <c r="A53" s="7">
        <v>52</v>
      </c>
      <c r="B53" s="7" t="s">
        <v>266</v>
      </c>
      <c r="C53" s="7">
        <v>2</v>
      </c>
      <c r="D53" s="8"/>
      <c r="E53" s="8"/>
      <c r="F53" s="8" t="s">
        <v>254</v>
      </c>
      <c r="G53" s="8" t="s">
        <v>260</v>
      </c>
      <c r="H53" s="8"/>
      <c r="I53" s="8"/>
      <c r="J53" s="8"/>
      <c r="K53" s="8"/>
      <c r="L53" s="8"/>
      <c r="M53" s="10"/>
      <c r="N53" s="10"/>
      <c r="O53" s="10"/>
      <c r="P53" s="10"/>
    </row>
    <row r="54" spans="1:16" x14ac:dyDescent="0.55000000000000004">
      <c r="A54" s="7">
        <v>53</v>
      </c>
      <c r="B54" s="7" t="s">
        <v>266</v>
      </c>
      <c r="C54" s="7">
        <v>3</v>
      </c>
      <c r="D54" s="8"/>
      <c r="E54" s="8"/>
      <c r="F54" s="8" t="s">
        <v>255</v>
      </c>
      <c r="G54" s="8" t="s">
        <v>261</v>
      </c>
      <c r="H54" s="8"/>
      <c r="I54" s="8"/>
      <c r="J54" s="8"/>
      <c r="K54" s="8"/>
      <c r="L54" s="8"/>
      <c r="M54" s="10"/>
      <c r="N54" s="10"/>
      <c r="O54" s="10"/>
      <c r="P54" s="10"/>
    </row>
    <row r="55" spans="1:16" x14ac:dyDescent="0.55000000000000004">
      <c r="A55" s="7">
        <v>54</v>
      </c>
      <c r="B55" s="7" t="s">
        <v>266</v>
      </c>
      <c r="C55" s="7">
        <v>4</v>
      </c>
      <c r="D55" s="8"/>
      <c r="E55" s="8"/>
      <c r="F55" s="8" t="s">
        <v>256</v>
      </c>
      <c r="G55" s="8" t="s">
        <v>262</v>
      </c>
      <c r="H55" s="8"/>
      <c r="I55" s="8"/>
      <c r="J55" s="8"/>
      <c r="K55" s="8"/>
      <c r="L55" s="8"/>
      <c r="M55" s="10"/>
      <c r="N55" s="10"/>
      <c r="O55" s="10"/>
      <c r="P55" s="10"/>
    </row>
    <row r="56" spans="1:16" x14ac:dyDescent="0.55000000000000004">
      <c r="A56" s="7">
        <v>55</v>
      </c>
      <c r="B56" s="7" t="s">
        <v>266</v>
      </c>
      <c r="C56" s="7">
        <v>5</v>
      </c>
      <c r="D56" s="8"/>
      <c r="E56" s="8"/>
      <c r="F56" s="8" t="s">
        <v>257</v>
      </c>
      <c r="G56" s="8" t="s">
        <v>263</v>
      </c>
      <c r="H56" s="8"/>
      <c r="I56" s="8"/>
      <c r="J56" s="8"/>
      <c r="K56" s="8"/>
      <c r="L56" s="8"/>
      <c r="M56" s="10"/>
      <c r="N56" s="10"/>
      <c r="O56" s="10"/>
      <c r="P56" s="10"/>
    </row>
    <row r="57" spans="1:16" x14ac:dyDescent="0.55000000000000004">
      <c r="A57" s="7">
        <v>56</v>
      </c>
      <c r="B57" s="7" t="s">
        <v>266</v>
      </c>
      <c r="C57" s="7">
        <v>6</v>
      </c>
      <c r="D57" s="8"/>
      <c r="E57" s="8"/>
      <c r="F57" s="8" t="s">
        <v>258</v>
      </c>
      <c r="G57" s="8" t="s">
        <v>264</v>
      </c>
      <c r="H57" s="8"/>
      <c r="I57" s="8"/>
      <c r="J57" s="8"/>
      <c r="K57" s="8"/>
      <c r="L57" s="8"/>
      <c r="M57" s="10"/>
      <c r="N57" s="10"/>
      <c r="O57" s="10"/>
      <c r="P57" s="10"/>
    </row>
    <row r="58" spans="1:16" x14ac:dyDescent="0.55000000000000004">
      <c r="A58" s="7">
        <v>57</v>
      </c>
      <c r="B58" s="7" t="s">
        <v>271</v>
      </c>
      <c r="C58" s="7">
        <v>1</v>
      </c>
      <c r="D58" s="8"/>
      <c r="E58" s="8"/>
      <c r="F58" s="8" t="s">
        <v>272</v>
      </c>
      <c r="G58" s="8" t="s">
        <v>273</v>
      </c>
      <c r="H58" s="8"/>
      <c r="I58" s="8"/>
      <c r="J58" s="8"/>
      <c r="K58" s="8"/>
      <c r="L58" s="8"/>
      <c r="M58" s="10"/>
      <c r="N58" s="10"/>
      <c r="O58" s="10"/>
      <c r="P58" s="10"/>
    </row>
    <row r="59" spans="1:16" x14ac:dyDescent="0.55000000000000004">
      <c r="A59" s="7"/>
      <c r="B59" s="7"/>
      <c r="C59" s="7"/>
      <c r="D59" s="8"/>
      <c r="E59" s="8"/>
      <c r="F59" s="8"/>
      <c r="G59" s="8"/>
      <c r="H59" s="8"/>
      <c r="I59" s="8"/>
      <c r="J59" s="8"/>
      <c r="K59" s="8"/>
      <c r="L59" s="8"/>
      <c r="M59" s="10"/>
      <c r="N59" s="10"/>
      <c r="O59" s="10"/>
      <c r="P59" s="10"/>
    </row>
    <row r="60" spans="1:16" x14ac:dyDescent="0.55000000000000004">
      <c r="A60" s="18"/>
      <c r="B60" s="18"/>
      <c r="C60" s="18"/>
      <c r="D60" s="19"/>
      <c r="E60" s="19"/>
      <c r="F60" s="19"/>
      <c r="G60" s="19"/>
      <c r="H60" s="19"/>
      <c r="I60" s="19"/>
      <c r="J60" s="19"/>
      <c r="K60" s="19"/>
      <c r="L60" s="19"/>
      <c r="M60" s="20"/>
      <c r="N60" s="20"/>
      <c r="O60" s="20"/>
      <c r="P60" s="20"/>
    </row>
    <row r="62" spans="1:16" x14ac:dyDescent="0.55000000000000004">
      <c r="A62" t="s">
        <v>111</v>
      </c>
      <c r="D62" t="s">
        <v>110</v>
      </c>
    </row>
    <row r="63" spans="1:16" x14ac:dyDescent="0.55000000000000004">
      <c r="A63">
        <f>MAX(A$2:A$60)</f>
        <v>58</v>
      </c>
      <c r="D63">
        <f>MAX(D$2:D$60)</f>
        <v>11</v>
      </c>
    </row>
    <row r="64" spans="1:16" x14ac:dyDescent="0.55000000000000004">
      <c r="A64" t="s">
        <v>199</v>
      </c>
      <c r="B64" t="s">
        <v>117</v>
      </c>
      <c r="C64" t="s">
        <v>116</v>
      </c>
    </row>
    <row r="65" spans="1:16" x14ac:dyDescent="0.55000000000000004">
      <c r="A65">
        <f>ROW(A61)-ROW(A1)-1</f>
        <v>59</v>
      </c>
      <c r="B65">
        <f>COUNTIF(B$2:B$60,B64)</f>
        <v>16</v>
      </c>
      <c r="C65" s="28">
        <f>_xlfn.MAXIFS(C$2:C$60,$B$2:$B$60,C64)</f>
        <v>16</v>
      </c>
    </row>
    <row r="66" spans="1:16" x14ac:dyDescent="0.55000000000000004">
      <c r="B66" t="s">
        <v>114</v>
      </c>
      <c r="C66" t="s">
        <v>114</v>
      </c>
    </row>
    <row r="67" spans="1:16" x14ac:dyDescent="0.55000000000000004">
      <c r="B67">
        <f>COUNTIF(B$2:B$60,B66)</f>
        <v>23</v>
      </c>
      <c r="C67" s="28">
        <f>_xlfn.MAXIFS(C$2:C$60,$B$2:$B$60,C66)</f>
        <v>20</v>
      </c>
    </row>
    <row r="70" spans="1:16" x14ac:dyDescent="0.55000000000000004">
      <c r="H70" s="2" t="s">
        <v>37</v>
      </c>
      <c r="L70">
        <v>1</v>
      </c>
      <c r="P70" t="s">
        <v>79</v>
      </c>
    </row>
    <row r="71" spans="1:16" x14ac:dyDescent="0.55000000000000004">
      <c r="H71" t="s">
        <v>56</v>
      </c>
      <c r="I71" t="s">
        <v>53</v>
      </c>
      <c r="J71" t="s">
        <v>52</v>
      </c>
      <c r="L71">
        <v>1</v>
      </c>
      <c r="P71" t="s">
        <v>79</v>
      </c>
    </row>
    <row r="73" spans="1:16" x14ac:dyDescent="0.55000000000000004">
      <c r="H73" s="2" t="s">
        <v>38</v>
      </c>
    </row>
    <row r="74" spans="1:16" x14ac:dyDescent="0.55000000000000004">
      <c r="H74" t="s">
        <v>82</v>
      </c>
      <c r="I74" t="s">
        <v>84</v>
      </c>
      <c r="J74" t="s">
        <v>80</v>
      </c>
      <c r="L74">
        <v>1</v>
      </c>
      <c r="P74" t="s">
        <v>79</v>
      </c>
    </row>
    <row r="76" spans="1:16" x14ac:dyDescent="0.55000000000000004">
      <c r="H76" s="2" t="s">
        <v>39</v>
      </c>
    </row>
    <row r="77" spans="1:16" x14ac:dyDescent="0.55000000000000004">
      <c r="H77" t="s">
        <v>83</v>
      </c>
      <c r="I77" t="s">
        <v>84</v>
      </c>
      <c r="J77" t="s">
        <v>81</v>
      </c>
      <c r="L77">
        <v>1</v>
      </c>
      <c r="P77" t="s">
        <v>79</v>
      </c>
    </row>
    <row r="79" spans="1:16" x14ac:dyDescent="0.55000000000000004">
      <c r="H79" s="2" t="s">
        <v>40</v>
      </c>
    </row>
    <row r="80" spans="1:16" x14ac:dyDescent="0.55000000000000004">
      <c r="H80" t="s">
        <v>42</v>
      </c>
      <c r="I80" t="s">
        <v>43</v>
      </c>
      <c r="J80" t="s">
        <v>12</v>
      </c>
      <c r="L80">
        <v>1</v>
      </c>
      <c r="P80" t="s">
        <v>87</v>
      </c>
    </row>
    <row r="81" spans="8:16" x14ac:dyDescent="0.55000000000000004">
      <c r="H81" t="s">
        <v>45</v>
      </c>
      <c r="I81" s="1" t="s">
        <v>54</v>
      </c>
      <c r="J81" t="s">
        <v>44</v>
      </c>
      <c r="L81">
        <v>2</v>
      </c>
      <c r="P81" t="s">
        <v>87</v>
      </c>
    </row>
    <row r="83" spans="8:16" x14ac:dyDescent="0.55000000000000004">
      <c r="H83" s="2" t="s">
        <v>41</v>
      </c>
    </row>
    <row r="84" spans="8:16" x14ac:dyDescent="0.55000000000000004">
      <c r="H84" t="s">
        <v>46</v>
      </c>
      <c r="I84" t="s">
        <v>47</v>
      </c>
      <c r="J84" t="s">
        <v>12</v>
      </c>
      <c r="L84">
        <v>1</v>
      </c>
      <c r="P84" t="s">
        <v>87</v>
      </c>
    </row>
    <row r="85" spans="8:16" x14ac:dyDescent="0.55000000000000004">
      <c r="H85" t="s">
        <v>50</v>
      </c>
      <c r="I85" s="3" t="s">
        <v>48</v>
      </c>
      <c r="J85" t="s">
        <v>49</v>
      </c>
      <c r="L85">
        <v>1</v>
      </c>
      <c r="P85" t="s">
        <v>87</v>
      </c>
    </row>
    <row r="86" spans="8:16" x14ac:dyDescent="0.55000000000000004">
      <c r="H86" t="s">
        <v>51</v>
      </c>
      <c r="I86" t="s">
        <v>55</v>
      </c>
      <c r="J86" t="s">
        <v>4</v>
      </c>
      <c r="L86">
        <v>2</v>
      </c>
      <c r="P86" t="s">
        <v>87</v>
      </c>
    </row>
    <row r="87" spans="8:16" x14ac:dyDescent="0.55000000000000004">
      <c r="H87" t="s">
        <v>85</v>
      </c>
      <c r="I87" t="s">
        <v>86</v>
      </c>
      <c r="J87" t="s">
        <v>88</v>
      </c>
      <c r="L87">
        <v>1</v>
      </c>
      <c r="P87" t="s">
        <v>87</v>
      </c>
    </row>
  </sheetData>
  <autoFilter ref="A1:P51" xr:uid="{48D32264-F25D-40E9-9C76-26E43E79C8CC}">
    <sortState xmlns:xlrd2="http://schemas.microsoft.com/office/spreadsheetml/2017/richdata2" ref="A2:P51">
      <sortCondition ref="B1:B51"/>
    </sortState>
  </autoFilter>
  <phoneticPr fontId="1"/>
  <conditionalFormatting sqref="A2:P60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C18" sqref="C18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233</v>
      </c>
      <c r="J1" t="s">
        <v>229</v>
      </c>
      <c r="L1" t="s">
        <v>230</v>
      </c>
      <c r="N1" t="s">
        <v>231</v>
      </c>
      <c r="P1" t="s">
        <v>232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214</v>
      </c>
      <c r="E2" s="33" t="s">
        <v>219</v>
      </c>
      <c r="F2" s="33" t="s">
        <v>102</v>
      </c>
      <c r="G2" s="33" t="s">
        <v>198</v>
      </c>
      <c r="H2" s="33" t="s">
        <v>218</v>
      </c>
      <c r="J2" s="33" t="s">
        <v>190</v>
      </c>
      <c r="L2" s="33" t="s">
        <v>191</v>
      </c>
      <c r="N2" s="33" t="s">
        <v>201</v>
      </c>
      <c r="P2" s="33" t="s">
        <v>220</v>
      </c>
      <c r="X2" s="33" t="s">
        <v>202</v>
      </c>
      <c r="Y2" s="33" t="s">
        <v>193</v>
      </c>
      <c r="Z2" s="33" t="s">
        <v>194</v>
      </c>
      <c r="AA2" s="33" t="s">
        <v>195</v>
      </c>
      <c r="AB2" s="33" t="s">
        <v>196</v>
      </c>
      <c r="AC2" s="33" t="s">
        <v>197</v>
      </c>
      <c r="AD2" s="33" t="s">
        <v>196</v>
      </c>
      <c r="AE2" s="33" t="s">
        <v>204</v>
      </c>
      <c r="AF2" s="33" t="s">
        <v>205</v>
      </c>
      <c r="AG2" s="33" t="s">
        <v>228</v>
      </c>
      <c r="AH2" s="33" t="s">
        <v>205</v>
      </c>
      <c r="AI2" s="33" t="s">
        <v>216</v>
      </c>
      <c r="AJ2" s="33" t="s">
        <v>217</v>
      </c>
      <c r="AK2" s="33" t="s">
        <v>213</v>
      </c>
    </row>
    <row r="3" spans="1:37" x14ac:dyDescent="0.55000000000000004">
      <c r="A3" t="s">
        <v>185</v>
      </c>
      <c r="B3" t="str" cm="1">
        <f t="array" aca="1" ref="B3" ca="1">CELL("filename")</f>
        <v>C:\tk\prj\hg-0025-0016\git\vt5-w10\[TP_メッセージ.xlsx]warning</v>
      </c>
      <c r="E3" t="s">
        <v>117</v>
      </c>
      <c r="F3">
        <f>COUNTIF(E$3:E3,E3)</f>
        <v>1</v>
      </c>
      <c r="H3" cm="1">
        <f t="array" ref="H3:H202">IFERROR(MATCH($E$3:$E$202&amp;$F$3:$F$202,info_index!$B$2:$B$60&amp;info_index!$C$2:$C$60,0),"")</f>
        <v>1</v>
      </c>
      <c r="I3" t="str" cm="1">
        <f t="array" aca="1" ref="I3:I202" ca="1">IF(LEN(_xlfn.ANCHORARRAY(H3)),INDEX(OFFSET(info_index!$F$2:$F$60,0,$B$23),MATCH($E$3:$E$202&amp;$F$3:$F$202,info_index!$B$2:$B$60&amp;info_index!$C$2:$C$60,0)&amp;"",1),"")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IFERROR(INDEX(info_index!$H$2:$H$60,MATCH($E$3:$E$202&amp;$F$3:$F$202,info_index!$B$2:$B$60&amp;info_index!$C$2:$C$60,0),1)&amp;"","")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IF(LEN(_xlfn.ANCHORARRAY(H3)),INDEX(OFFSET(info_index!$J$2:$J$60,0,$B$23),MATCH($E$3:$E$202&amp;$F$3:$F$202,info_index!$B$2:$B$60&amp;info_index!$C$2:$C$60,0),1)&amp;"","")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182</v>
      </c>
      <c r="B5" t="str">
        <f ca="1">"このスクリプトは "&amp;B3&amp;" によって生成されました。"</f>
        <v>このスクリプトは C:\tk\prj\hg-0025-0016\git\vt5-w10\[TP_メッセージ.xlsx]warning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183</v>
      </c>
      <c r="B6" t="s">
        <v>184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176</v>
      </c>
      <c r="B7" t="s">
        <v>177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178</v>
      </c>
      <c r="B8" t="s">
        <v>179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180</v>
      </c>
      <c r="B9" t="s">
        <v>181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溶接トーチ前後</v>
      </c>
      <c r="J10" t="str">
        <f ca="1"/>
        <v>溶接トーチ前後</v>
      </c>
      <c r="L10" t="str">
        <f ca="1"/>
        <v>【axis8】 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//溶接トーチ前後
	ELSIF uiInfoIdx = 8 THEN</v>
      </c>
      <c r="AA10" t="str">
        <f ca="1"/>
        <v xml:space="preserve">
	//溶接トーチ前後
	ELSIF uiInfoIdx = 8 THEN
		IF strInfoKey = 'name' THEN</v>
      </c>
      <c r="AB10" t="str">
        <f ca="1"/>
        <v xml:space="preserve">
	//溶接トーチ前後
	ELSIF uiInfoIdx = 8 THEN
		IF strInfoKey = 'name' THEN
			strRt	:= '溶接トーチ前後';</v>
      </c>
      <c r="AC10" t="str">
        <f ca="1"/>
        <v xml:space="preserve">
	//溶接トーチ前後
	ELSIF uiInfoIdx = 8 THEN
		IF strInfoKey = 'name' THEN
			strRt	:= '溶接トーチ前後';
		ELSIF strInfoKey = 'index_name' THEN</v>
      </c>
      <c r="AD10" t="str">
        <f ca="1"/>
        <v xml:space="preserve">
	//溶接トーチ前後
	ELSIF uiInfoIdx = 8 THEN
		IF strInfoKey = 'name' THEN
			strRt	:= '溶接トーチ前後';
		ELSIF strInfoKey = 'index_name' THEN
			strRt	:= '【axis8】 溶接トーチ前後';</v>
      </c>
      <c r="AE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</v>
      </c>
      <c r="AF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</v>
      </c>
      <c r="AG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溶接トーチ上下</v>
      </c>
      <c r="J11" t="str">
        <f ca="1"/>
        <v>溶接トーチ上下</v>
      </c>
      <c r="L11" t="str">
        <f ca="1"/>
        <v>【axis9】 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//溶接トーチ上下
	ELSIF uiInfoIdx = 9 THEN</v>
      </c>
      <c r="AA11" t="str">
        <f ca="1"/>
        <v xml:space="preserve">
	//溶接トーチ上下
	ELSIF uiInfoIdx = 9 THEN
		IF strInfoKey = 'name' THEN</v>
      </c>
      <c r="AB11" t="str">
        <f ca="1"/>
        <v xml:space="preserve">
	//溶接トーチ上下
	ELSIF uiInfoIdx = 9 THEN
		IF strInfoKey = 'name' THEN
			strRt	:= '溶接トーチ上下';</v>
      </c>
      <c r="AC11" t="str">
        <f ca="1"/>
        <v xml:space="preserve">
	//溶接トーチ上下
	ELSIF uiInfoIdx = 9 THEN
		IF strInfoKey = 'name' THEN
			strRt	:= '溶接トーチ上下';
		ELSIF strInfoKey = 'index_name' THEN</v>
      </c>
      <c r="AD11" t="str">
        <f ca="1"/>
        <v xml:space="preserve">
	//溶接トーチ上下
	ELSIF uiInfoIdx = 9 THEN
		IF strInfoKey = 'name' THEN
			strRt	:= '溶接トーチ上下';
		ELSIF strInfoKey = 'index_name' THEN
			strRt	:= '【axis9】 溶接トーチ上下';</v>
      </c>
      <c r="AE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</v>
      </c>
      <c r="AF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</v>
      </c>
      <c r="AG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186</v>
      </c>
      <c r="B13" t="str">
        <f ca="1">$AK$205</f>
        <v>//このスクリプトは C:\tk\prj\hg-0025-0016\git\vt5-w10\[TP_メッセージ.xlsx]warning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234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strRt	:= 'Tロール回転軸';</v>
      </c>
      <c r="AC17" t="str">
        <f ca="1"/>
        <v xml:space="preserve">
	//Tロール回転軸
	ELSIF uiInfoIdx = 15 THEN
		IF strInfoKey = 'name' THEN
			strRt	:= 'Tロール回転軸';
		ELSIF strInfoKey = 'index_name' THEN</v>
      </c>
      <c r="AD17" t="str">
        <f ca="1"/>
        <v xml:space="preserve">
	//Tロール回転軸
	ELSIF uiInfoIdx = 15 THEN
		IF strInfoKey = 'name' THEN
			strRt	:= 'Tロール回転軸';
		ELSIF strInfoKey = 'index_name' THEN
			strRt	:= '【axis15】 Tロール回転軸';</v>
      </c>
      <c r="AE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</v>
      </c>
      <c r="AF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</v>
      </c>
      <c r="AG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</v>
      </c>
      <c r="AH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</v>
      </c>
      <c r="AI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J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K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200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192</v>
      </c>
      <c r="B25" t="s">
        <v>235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188</v>
      </c>
      <c r="B26" t="s">
        <v>236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189</v>
      </c>
      <c r="B27" t="s">
        <v>237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187</v>
      </c>
      <c r="B28" t="s">
        <v>245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215</v>
      </c>
      <c r="B29" t="s">
        <v>246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40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17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18</v>
      </c>
      <c r="I64" t="str">
        <f ca="1"/>
        <v>Tロール糊付け①</v>
      </c>
      <c r="J64" t="str">
        <f ca="1"/>
        <v>Tロール糊付け①</v>
      </c>
      <c r="L64" t="str">
        <f ca="1"/>
        <v>【cylinder2】 Tロール糊付け①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
	ELSIF uiInfoIdx = 2 THEN</v>
      </c>
      <c r="AA64" t="str">
        <f ca="1"/>
        <v xml:space="preserve">
	//Tロール糊付け①
	ELSIF uiInfoIdx = 2 THEN
		IF strInfoKey = 'name' THEN</v>
      </c>
      <c r="AB64" t="str">
        <f ca="1"/>
        <v xml:space="preserve">
	//Tロール糊付け①
	ELSIF uiInfoIdx = 2 THEN
		IF strInfoKey = 'name' THEN
			strRt	:= 'Tロール糊付け①';</v>
      </c>
      <c r="AC64" t="str">
        <f ca="1"/>
        <v xml:space="preserve">
	//Tロール糊付け①
	ELSIF uiInfoIdx = 2 THEN
		IF strInfoKey = 'name' THEN
			strRt	:= 'Tロール糊付け①';
		ELSIF strInfoKey = 'index_name' THEN</v>
      </c>
      <c r="AD64" t="str">
        <f ca="1"/>
        <v xml:space="preserve">
	//Tロール糊付け①
	ELSIF uiInfoIdx = 2 THEN
		IF strInfoKey = 'name' THEN
			strRt	:= 'Tロール糊付け①';
		ELSIF strInfoKey = 'index_name' THEN
			strRt	:= '【cylinder2】 Tロール糊付け①';</v>
      </c>
      <c r="AE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</v>
      </c>
      <c r="AF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</v>
      </c>
      <c r="AG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</v>
      </c>
      <c r="AH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</v>
      </c>
      <c r="AI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J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K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19</v>
      </c>
      <c r="I65" t="str">
        <f ca="1"/>
        <v>Tロール糊付け②</v>
      </c>
      <c r="J65" t="str">
        <f ca="1"/>
        <v>Tロール糊付け②</v>
      </c>
      <c r="L65" t="str">
        <f ca="1"/>
        <v>【cylinder3】 Tロール糊付け②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
	ELSIF uiInfoIdx = 3 THEN</v>
      </c>
      <c r="AA65" t="str">
        <f ca="1"/>
        <v xml:space="preserve">
	//Tロール糊付け②
	ELSIF uiInfoIdx = 3 THEN
		IF strInfoKey = 'name' THEN</v>
      </c>
      <c r="AB65" t="str">
        <f ca="1"/>
        <v xml:space="preserve">
	//Tロール糊付け②
	ELSIF uiInfoIdx = 3 THEN
		IF strInfoKey = 'name' THEN
			strRt	:= 'Tロール糊付け②';</v>
      </c>
      <c r="AC65" t="str">
        <f ca="1"/>
        <v xml:space="preserve">
	//Tロール糊付け②
	ELSIF uiInfoIdx = 3 THEN
		IF strInfoKey = 'name' THEN
			strRt	:= 'Tロール糊付け②';
		ELSIF strInfoKey = 'index_name' THEN</v>
      </c>
      <c r="AD65" t="str">
        <f ca="1"/>
        <v xml:space="preserve">
	//Tロール糊付け②
	ELSIF uiInfoIdx = 3 THEN
		IF strInfoKey = 'name' THEN
			strRt	:= 'Tロール糊付け②';
		ELSIF strInfoKey = 'index_name' THEN
			strRt	:= '【cylinder3】 Tロール糊付け②';</v>
      </c>
      <c r="AE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</v>
      </c>
      <c r="AF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</v>
      </c>
      <c r="AG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</v>
      </c>
      <c r="AH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</v>
      </c>
      <c r="AI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J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K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20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21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22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23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24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25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26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27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28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29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30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31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32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33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34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35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36</v>
      </c>
      <c r="I82" t="str">
        <f ca="1"/>
        <v>箔ロウリール固定</v>
      </c>
      <c r="J82" t="str">
        <f ca="1"/>
        <v>箔ロウリール固定</v>
      </c>
      <c r="L82" t="str">
        <f ca="1"/>
        <v>【cylinder20】 箔ロウリール固定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//箔ロウリール固定
	ELSIF uiInfoIdx = 20 THEN</v>
      </c>
      <c r="AA82" t="str">
        <f ca="1"/>
        <v xml:space="preserve">
	//箔ロウリール固定
	ELSIF uiInfoIdx = 20 THEN
		IF strInfoKey = 'name' THEN</v>
      </c>
      <c r="AB82" t="str">
        <f ca="1"/>
        <v xml:space="preserve">
	//箔ロウリール固定
	ELSIF uiInfoIdx = 20 THEN
		IF strInfoKey = 'name' THEN
			strRt	:= '箔ロウリール固定';</v>
      </c>
      <c r="AC82" t="str">
        <f ca="1"/>
        <v xml:space="preserve">
	//箔ロウリール固定
	ELSIF uiInfoIdx = 20 THEN
		IF strInfoKey = 'name' THEN
			strRt	:= '箔ロウリール固定';
		ELSIF strInfoKey = 'index_name' THEN</v>
      </c>
      <c r="AD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274</v>
      </c>
      <c r="F86">
        <f>COUNTIF(E$3:E86,E86)</f>
        <v>1</v>
      </c>
      <c r="G86" t="str">
        <v/>
      </c>
      <c r="H86">
        <v>57</v>
      </c>
      <c r="I86" t="str">
        <f ca="1"/>
        <v>溶接機</v>
      </c>
      <c r="J86" t="str">
        <f ca="1"/>
        <v>溶接機</v>
      </c>
      <c r="L86" t="str">
        <f ca="1"/>
        <v>【WLD1】 溶接機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//WLD</v>
      </c>
      <c r="Y86" t="str">
        <f ca="1"/>
        <v xml:space="preserve">
//WLD
ELSIF strInfoType = 'WLD' THEN</v>
      </c>
      <c r="Z86" t="str">
        <f ca="1"/>
        <v xml:space="preserve">
//WLD
ELSIF strInfoType = 'WLD' THEN
	//溶接機
	IF uiInfoIdx = 1 THEN</v>
      </c>
      <c r="AA86" t="str">
        <f ca="1"/>
        <v xml:space="preserve">
//WLD
ELSIF strInfoType = 'WLD' THEN
	//溶接機
	IF uiInfoIdx = 1 THEN
		IF strInfoKey = 'name' THEN</v>
      </c>
      <c r="AB86" t="str">
        <f ca="1"/>
        <v xml:space="preserve">
//WLD
ELSIF strInfoType = 'WLD' THEN
	//溶接機
	IF uiInfoIdx = 1 THEN
		IF strInfoKey = 'name' THEN
			strRt	:= '溶接機';</v>
      </c>
      <c r="AC86" t="str">
        <f ca="1"/>
        <v xml:space="preserve">
//WLD
ELSIF strInfoType = 'WLD' THEN
	//溶接機
	IF uiInfoIdx = 1 THEN
		IF strInfoKey = 'name' THEN
			strRt	:= '溶接機';
		ELSIF strInfoKey = 'index_name' THEN</v>
      </c>
      <c r="AD86" t="str">
        <f ca="1"/>
        <v xml:space="preserve">
//WLD
ELSIF strInfoType = 'WLD' THEN
	//溶接機
	IF uiInfoIdx = 1 THEN
		IF strInfoKey = 'name' THEN
			strRt	:= '溶接機';
		ELSIF strInfoKey = 'index_name' THEN
			strRt	:= '【WLD1】 溶接機';</v>
      </c>
      <c r="AE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</v>
      </c>
      <c r="AF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</v>
      </c>
      <c r="AG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</v>
      </c>
      <c r="AH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</v>
      </c>
      <c r="AI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</v>
      </c>
      <c r="AJ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</v>
      </c>
      <c r="AK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WLD</v>
      </c>
      <c r="F87">
        <f>COUNTIF(E$3:E87,E87)</f>
        <v>2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WLD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WLD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WLD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WLD</v>
      </c>
      <c r="F91">
        <f>COUNTIF(E$3:E91,E91)</f>
        <v>6</v>
      </c>
      <c r="G91" t="str">
        <v>●</v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 xml:space="preserve">
	ELSE
		uiErrCode	:= 2;
	END_IF;</v>
      </c>
      <c r="AK91" t="str">
        <f ca="1"/>
        <v xml:space="preserve">
	ELSE
		uiErrCode	:= 2;
	END_IF;</v>
      </c>
    </row>
    <row r="92" spans="5:37" x14ac:dyDescent="0.55000000000000004">
      <c r="E92" t="s">
        <v>265</v>
      </c>
      <c r="F92">
        <f>COUNTIF(E$3:E92,E92)</f>
        <v>1</v>
      </c>
      <c r="G92" t="str">
        <v/>
      </c>
      <c r="H92">
        <v>51</v>
      </c>
      <c r="I92" t="str">
        <f ca="1"/>
        <v>平板供給部</v>
      </c>
      <c r="J92" t="str">
        <f ca="1"/>
        <v>平板供給部</v>
      </c>
      <c r="L92" t="str">
        <f ca="1"/>
        <v>【unit1】 平板供給部</v>
      </c>
      <c r="M92" t="str">
        <v/>
      </c>
      <c r="N92" t="str">
        <v>unknown</v>
      </c>
      <c r="O92" t="str">
        <f ca="1"/>
        <v/>
      </c>
      <c r="P92" t="str">
        <f ca="1"/>
        <v>unknown</v>
      </c>
      <c r="X92" t="str">
        <f ca="1"/>
        <v xml:space="preserve">
//unit</v>
      </c>
      <c r="Y92" t="str">
        <f ca="1"/>
        <v xml:space="preserve">
//unit
ELSIF strInfoType = 'unit' THEN</v>
      </c>
      <c r="Z92" t="str">
        <f ca="1"/>
        <v xml:space="preserve">
//unit
ELSIF strInfoType = 'unit' THEN
	//平板供給部
	IF uiInfoIdx = 1 THEN</v>
      </c>
      <c r="AA92" t="str">
        <f ca="1"/>
        <v xml:space="preserve">
//unit
ELSIF strInfoType = 'unit' THEN
	//平板供給部
	IF uiInfoIdx = 1 THEN
		IF strInfoKey = 'name' THEN</v>
      </c>
      <c r="AB92" t="str">
        <f ca="1"/>
        <v xml:space="preserve">
//unit
ELSIF strInfoType = 'unit' THEN
	//平板供給部
	IF uiInfoIdx = 1 THEN
		IF strInfoKey = 'name' THEN
			strRt	:= '平板供給部';</v>
      </c>
      <c r="AC92" t="str">
        <f ca="1"/>
        <v xml:space="preserve">
//unit
ELSIF strInfoType = 'unit' THEN
	//平板供給部
	IF uiInfoIdx = 1 THEN
		IF strInfoKey = 'name' THEN
			strRt	:= '平板供給部';
		ELSIF strInfoKey = 'index_name' THEN</v>
      </c>
      <c r="AD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93" spans="5:37" x14ac:dyDescent="0.55000000000000004">
      <c r="E93" t="str">
        <f t="shared" si="1"/>
        <v>unit</v>
      </c>
      <c r="F93">
        <f>COUNTIF(E$3:E93,E93)</f>
        <v>2</v>
      </c>
      <c r="G93" t="str">
        <v/>
      </c>
      <c r="H93">
        <v>52</v>
      </c>
      <c r="I93" t="str">
        <f ca="1"/>
        <v>波板供給部</v>
      </c>
      <c r="J93" t="str">
        <f ca="1"/>
        <v>波板供給部</v>
      </c>
      <c r="L93" t="str">
        <f ca="1"/>
        <v>【unit2】 波板供給部</v>
      </c>
      <c r="M93" t="str">
        <v/>
      </c>
      <c r="N93" t="str">
        <v>unknown</v>
      </c>
      <c r="O93" t="str">
        <f ca="1"/>
        <v/>
      </c>
      <c r="P93" t="str">
        <f ca="1"/>
        <v>unknown</v>
      </c>
      <c r="X93" t="str">
        <f ca="1"/>
        <v xml:space="preserve">
</v>
      </c>
      <c r="Y93" t="str">
        <f ca="1"/>
        <v xml:space="preserve">
</v>
      </c>
      <c r="Z93" t="str">
        <f ca="1"/>
        <v xml:space="preserve">
	//波板供給部
	ELSIF uiInfoIdx = 2 THEN</v>
      </c>
      <c r="AA93" t="str">
        <f ca="1"/>
        <v xml:space="preserve">
	//波板供給部
	ELSIF uiInfoIdx = 2 THEN
		IF strInfoKey = 'name' THEN</v>
      </c>
      <c r="AB93" t="str">
        <f ca="1"/>
        <v xml:space="preserve">
	//波板供給部
	ELSIF uiInfoIdx = 2 THEN
		IF strInfoKey = 'name' THEN
			strRt	:= '波板供給部';</v>
      </c>
      <c r="AC93" t="str">
        <f ca="1"/>
        <v xml:space="preserve">
	//波板供給部
	ELSIF uiInfoIdx = 2 THEN
		IF strInfoKey = 'name' THEN
			strRt	:= '波板供給部';
		ELSIF strInfoKey = 'index_name' THEN</v>
      </c>
      <c r="AD93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94" spans="5:37" x14ac:dyDescent="0.55000000000000004">
      <c r="E94" t="str">
        <f t="shared" si="1"/>
        <v>unit</v>
      </c>
      <c r="F94">
        <f>COUNTIF(E$3:E94,E94)</f>
        <v>3</v>
      </c>
      <c r="G94" t="str">
        <v/>
      </c>
      <c r="H94">
        <v>53</v>
      </c>
      <c r="I94" t="str">
        <f ca="1"/>
        <v>箔ロウ供給部</v>
      </c>
      <c r="J94" t="str">
        <f ca="1"/>
        <v>箔ロウ供給部</v>
      </c>
      <c r="L94" t="str">
        <f ca="1"/>
        <v>【unit3】 箔ロウ供給部</v>
      </c>
      <c r="M94" t="str">
        <v/>
      </c>
      <c r="N94" t="str">
        <v>unknown</v>
      </c>
      <c r="O94" t="str">
        <f ca="1"/>
        <v/>
      </c>
      <c r="P94" t="str">
        <f ca="1"/>
        <v>unknown</v>
      </c>
      <c r="X94" t="str">
        <f ca="1"/>
        <v xml:space="preserve">
</v>
      </c>
      <c r="Y94" t="str">
        <f ca="1"/>
        <v xml:space="preserve">
</v>
      </c>
      <c r="Z94" t="str">
        <f ca="1"/>
        <v xml:space="preserve">
	//箔ロウ供給部
	ELSIF uiInfoIdx = 3 THEN</v>
      </c>
      <c r="AA94" t="str">
        <f ca="1"/>
        <v xml:space="preserve">
	//箔ロウ供給部
	ELSIF uiInfoIdx = 3 THEN
		IF strInfoKey = 'name' THEN</v>
      </c>
      <c r="AB94" t="str">
        <f ca="1"/>
        <v xml:space="preserve">
	//箔ロウ供給部
	ELSIF uiInfoIdx = 3 THEN
		IF strInfoKey = 'name' THEN
			strRt	:= '箔ロウ供給部';</v>
      </c>
      <c r="AC94" t="str">
        <f ca="1"/>
        <v xml:space="preserve">
	//箔ロウ供給部
	ELSIF uiInfoIdx = 3 THEN
		IF strInfoKey = 'name' THEN
			strRt	:= '箔ロウ供給部';
		ELSIF strInfoKey = 'index_name' THEN</v>
      </c>
      <c r="AD94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95" spans="5:37" x14ac:dyDescent="0.55000000000000004">
      <c r="E95" t="str">
        <f t="shared" si="1"/>
        <v>unit</v>
      </c>
      <c r="F95">
        <f>COUNTIF(E$3:E95,E95)</f>
        <v>4</v>
      </c>
      <c r="G95" t="str">
        <v/>
      </c>
      <c r="H95">
        <v>54</v>
      </c>
      <c r="I95" t="str">
        <f ca="1"/>
        <v>巻取り軸部</v>
      </c>
      <c r="J95" t="str">
        <f ca="1"/>
        <v>巻取り軸部</v>
      </c>
      <c r="L95" t="str">
        <f ca="1"/>
        <v>【unit4】 巻取り軸部</v>
      </c>
      <c r="M95" t="str">
        <v/>
      </c>
      <c r="N95" t="str">
        <v>unknown</v>
      </c>
      <c r="O95" t="str">
        <f ca="1"/>
        <v/>
      </c>
      <c r="P95" t="str">
        <f ca="1"/>
        <v>unknown</v>
      </c>
      <c r="X95" t="str">
        <f ca="1"/>
        <v xml:space="preserve">
</v>
      </c>
      <c r="Y95" t="str">
        <f ca="1"/>
        <v xml:space="preserve">
</v>
      </c>
      <c r="Z95" t="str">
        <f ca="1"/>
        <v xml:space="preserve">
	//巻取り軸部
	ELSIF uiInfoIdx = 4 THEN</v>
      </c>
      <c r="AA95" t="str">
        <f ca="1"/>
        <v xml:space="preserve">
	//巻取り軸部
	ELSIF uiInfoIdx = 4 THEN
		IF strInfoKey = 'name' THEN</v>
      </c>
      <c r="AB95" t="str">
        <f ca="1"/>
        <v xml:space="preserve">
	//巻取り軸部
	ELSIF uiInfoIdx = 4 THEN
		IF strInfoKey = 'name' THEN
			strRt	:= '巻取り軸部';</v>
      </c>
      <c r="AC95" t="str">
        <f ca="1"/>
        <v xml:space="preserve">
	//巻取り軸部
	ELSIF uiInfoIdx = 4 THEN
		IF strInfoKey = 'name' THEN
			strRt	:= '巻取り軸部';
		ELSIF strInfoKey = 'index_name' THEN</v>
      </c>
      <c r="AD95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96" spans="5:37" x14ac:dyDescent="0.55000000000000004">
      <c r="E96" t="str">
        <f t="shared" si="1"/>
        <v>unit</v>
      </c>
      <c r="F96">
        <f>COUNTIF(E$3:E96,E96)</f>
        <v>5</v>
      </c>
      <c r="G96" t="str">
        <v/>
      </c>
      <c r="H96">
        <v>55</v>
      </c>
      <c r="I96" t="str">
        <f ca="1"/>
        <v>溶接部</v>
      </c>
      <c r="J96" t="str">
        <f ca="1"/>
        <v>溶接部</v>
      </c>
      <c r="L96" t="str">
        <f ca="1"/>
        <v>【unit5】 溶接部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</v>
      </c>
      <c r="Y96" t="str">
        <f ca="1"/>
        <v xml:space="preserve">
</v>
      </c>
      <c r="Z96" t="str">
        <f ca="1"/>
        <v xml:space="preserve">
	//溶接部
	ELSIF uiInfoIdx = 5 THEN</v>
      </c>
      <c r="AA96" t="str">
        <f ca="1"/>
        <v xml:space="preserve">
	//溶接部
	ELSIF uiInfoIdx = 5 THEN
		IF strInfoKey = 'name' THEN</v>
      </c>
      <c r="AB96" t="str">
        <f ca="1"/>
        <v xml:space="preserve">
	//溶接部
	ELSIF uiInfoIdx = 5 THEN
		IF strInfoKey = 'name' THEN
			strRt	:= '溶接部';</v>
      </c>
      <c r="AC96" t="str">
        <f ca="1"/>
        <v xml:space="preserve">
	//溶接部
	ELSIF uiInfoIdx = 5 THEN
		IF strInfoKey = 'name' THEN
			strRt	:= '溶接部';
		ELSIF strInfoKey = 'index_name' THEN</v>
      </c>
      <c r="AD96" t="str">
        <f ca="1"/>
        <v xml:space="preserve">
	//溶接部
	ELSIF uiInfoIdx = 5 THEN
		IF strInfoKey = 'name' THEN
			strRt	:= '溶接部';
		ELSIF strInfoKey = 'index_name' THEN
			strRt	:= '【unit5】 溶接部';</v>
      </c>
      <c r="AE96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unit</v>
      </c>
      <c r="F97">
        <f>COUNTIF(E$3:E97,E97)</f>
        <v>6</v>
      </c>
      <c r="G97" t="str">
        <v/>
      </c>
      <c r="H97">
        <v>56</v>
      </c>
      <c r="I97" t="str">
        <f ca="1"/>
        <v>排出部</v>
      </c>
      <c r="J97" t="str">
        <f ca="1"/>
        <v>排出部</v>
      </c>
      <c r="L97" t="str">
        <f ca="1"/>
        <v>【unit6】 排出部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//排出部
	ELSIF uiInfoIdx = 6 THEN</v>
      </c>
      <c r="AA97" t="str">
        <f ca="1"/>
        <v xml:space="preserve">
	//排出部
	ELSIF uiInfoIdx = 6 THEN
		IF strInfoKey = 'name' THEN</v>
      </c>
      <c r="AB97" t="str">
        <f ca="1"/>
        <v xml:space="preserve">
	//排出部
	ELSIF uiInfoIdx = 6 THEN
		IF strInfoKey = 'name' THEN
			strRt	:= '排出部';</v>
      </c>
      <c r="AC97" t="str">
        <f ca="1"/>
        <v xml:space="preserve">
	//排出部
	ELSIF uiInfoIdx = 6 THEN
		IF strInfoKey = 'name' THEN
			strRt	:= '排出部';
		ELSIF strInfoKey = 'index_name' THEN</v>
      </c>
      <c r="AD97" t="str">
        <f ca="1"/>
        <v xml:space="preserve">
	//排出部
	ELSIF uiInfoIdx = 6 THEN
		IF strInfoKey = 'name' THEN
			strRt	:= '排出部';
		ELSIF strInfoKey = 'index_name' THEN
			strRt	:= '【unit6】 排出部';</v>
      </c>
      <c r="AE97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unit</v>
      </c>
      <c r="F98">
        <f>COUNTIF(E$3:E98,E98)</f>
        <v>7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unit</v>
      </c>
      <c r="F99">
        <f>COUNTIF(E$3:E99,E99)</f>
        <v>8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unit</v>
      </c>
      <c r="F100">
        <f>COUNTIF(E$3:E100,E100)</f>
        <v>9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unit</v>
      </c>
      <c r="F101">
        <f>COUNTIF(E$3:E101,E101)</f>
        <v>10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unit</v>
      </c>
      <c r="F102">
        <f>COUNTIF(E$3:E102,E102)</f>
        <v>11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unit</v>
      </c>
      <c r="F103">
        <f>COUNTIF(E$3:E103,E103)</f>
        <v>12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unit</v>
      </c>
      <c r="F104">
        <f>COUNTIF(E$3:E104,E104)</f>
        <v>13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unit</v>
      </c>
      <c r="F105">
        <f>COUNTIF(E$3:E105,E105)</f>
        <v>14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unit</v>
      </c>
      <c r="F106">
        <f>COUNTIF(E$3:E106,E106)</f>
        <v>15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unit</v>
      </c>
      <c r="F107">
        <f>COUNTIF(E$3:E107,E107)</f>
        <v>16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unit</v>
      </c>
      <c r="F108">
        <f>COUNTIF(E$3:E108,E108)</f>
        <v>17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unit</v>
      </c>
      <c r="F109">
        <f>COUNTIF(E$3:E109,E109)</f>
        <v>18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unit</v>
      </c>
      <c r="F110">
        <f>COUNTIF(E$3:E110,E110)</f>
        <v>19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unit</v>
      </c>
      <c r="F111">
        <f>COUNTIF(E$3:E111,E111)</f>
        <v>20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unit</v>
      </c>
      <c r="F112">
        <f>COUNTIF(E$3:E112,E112)</f>
        <v>21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unit</v>
      </c>
      <c r="F113">
        <f>COUNTIF(E$3:E113,E113)</f>
        <v>22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unit</v>
      </c>
      <c r="F114">
        <f>COUNTIF(E$3:E114,E114)</f>
        <v>23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24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25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26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27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28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29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30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31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32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33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34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35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36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37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38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39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40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41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42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43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44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45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46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47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48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49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50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51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52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53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54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55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56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57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58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59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60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61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62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63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64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65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66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67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68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69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70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71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72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73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74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75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76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77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78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79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80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81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82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83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84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85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86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87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88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89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90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91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92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93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94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95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96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97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98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99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100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101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102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103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104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105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106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107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108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109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110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111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C:\tk\prj\hg-0025-0016\git\vt5-w10\[TP_メッセージ.xlsx]warning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2026-01-22T15:02:38Z</dcterms:modified>
</cp:coreProperties>
</file>