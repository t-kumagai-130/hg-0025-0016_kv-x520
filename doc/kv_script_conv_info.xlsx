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6F143E3B-9B9F-45E6-85C8-DC091DD1B453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2" i="3" l="1"/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79" i="1"/>
  <c r="C81" i="1"/>
  <c r="C79" i="1"/>
  <c r="B81" i="1"/>
  <c r="B79" i="1"/>
  <c r="D77" i="1"/>
  <c r="A77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F105" i="3" l="1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<sst xmlns="http://schemas.openxmlformats.org/spreadsheetml/2006/main" count="565" uniqueCount="326">
  <si>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</si>
  <si>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</si>
  <si>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</si>
  <si>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</si>
  <si>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</si>
  <si>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</si>
  <si>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</si>
  <si>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</si>
  <si>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</si>
  <si>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</si>
  <si>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</si>
  <si>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</si>
  <si>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</si>
  <si>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</si>
  <si>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</si>
  <si>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</si>
  <si>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</si>
  <si>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</si>
  <si>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</si>
  <si>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</si>
  <si>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</si>
  <si>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</si>
  <si>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</si>
  <si>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</si>
  <si>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</si>
  <si>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</si>
  <si>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</si>
  <si>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</si>
  <si>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</si>
  <si>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</si>
  <si>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</si>
  <si>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</si>
  <si>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</si>
  <si>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</si>
  <si>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</si>
  <si>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</si>
  <si>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</si>
  <si>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</si>
  <si>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</si>
  <si>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</si>
  <si>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</si>
  <si>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</si>
  <si>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</si>
  <si>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</si>
  <si>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</si>
  <si>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</si>
  <si>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</si>
  <si>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</si>
  <si>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</si>
  <si>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</si>
  <si>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</si>
  <si>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</si>
  <si>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</si>
  <si>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</si>
  <si>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</si>
  <si>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</si>
  <si>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</si>
  <si>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</si>
  <si>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</si>
  <si>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</si>
  <si>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</si>
  <si>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</si>
  <si>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</si>
  <si>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</si>
  <si>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</si>
  <si>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</si>
  <si>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</si>
  <si>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</si>
  <si>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</si>
  <si>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</si>
  <si>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</si>
  <si>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</si>
  <si>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</si>
  <si>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</si>
  <si>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</si>
  <si>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</si>
  <si>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</si>
  <si>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</si>
  <si>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</si>
  <si>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</si>
  <si>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</si>
  <si>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</si>
  <si>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</si>
  <si>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</si>
  <si>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</si>
  <si>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</si>
  <si>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</si>
  <si>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</si>
  <si>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</si>
  <si>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</si>
  <si>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</si>
  <si>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</si>
  <si>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</si>
  <si>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</si>
  <si>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</si>
  <si>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</si>
  <si>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</si>
  <si>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</si>
  <si>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</si>
  <si>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</si>
  <si>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</si>
  <si>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</si>
  <si>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</si>
  <si>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</si>
  <si>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</si>
  <si>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</si>
  <si>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</si>
  <si>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</si>
  <si>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</si>
  <si>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</si>
  <si>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</si>
  <si>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</si>
  <si>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</si>
  <si>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</si>
  <si>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</si>
  <si>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</si>
  <si>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</si>
  <si>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</si>
  <si>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</si>
  <si>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</si>
  <si>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</si>
  <si>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</si>
  <si>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</si>
  <si>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</si>
  <si>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</si>
  <si>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</si>
  <si>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</si>
  <si>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</si>
  <si>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</si>
  <si>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</si>
  <si>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</si>
  <si>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</si>
  <si>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</si>
  <si>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</si>
  <si>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</si>
  <si>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</si>
  <si>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</si>
  <si>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</si>
  <si>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</si>
  <si>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</si>
  <si>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</si>
  <si>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</si>
  <si>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</si>
  <si>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</si>
  <si>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</si>
  <si>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</si>
  <si>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</si>
  <si>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</si>
  <si>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</si>
  <si>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</si>
  <si>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</si>
  <si>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</si>
  <si>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</si>
  <si>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</si>
  <si>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</si>
  <si>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</si>
  <si>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</si>
  <si>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</si>
  <si>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</si>
  <si>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</si>
  <si>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</si>
  <si>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</si>
  <si>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</si>
  <si>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</si>
  <si>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</si>
  <si>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</si>
  <si>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</si>
  <si>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</si>
  <si>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</si>
  <si>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</si>
  <si>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</si>
  <si>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</si>
  <si>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</si>
  <si>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</si>
  <si>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</si>
  <si>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</si>
  <si>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</si>
  <si>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</si>
  <si>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</si>
  <si>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</si>
  <si>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</si>
  <si>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</si>
  <si>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</si>
  <si>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</si>
  <si>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</si>
  <si>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</si>
  <si>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</si>
  <si>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</si>
  <si>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</si>
  <si>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</si>
  <si>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</si>
  <si>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</si>
  <si>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</si>
  <si>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</si>
  <si>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</si>
  <si>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</si>
  <si>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</si>
  <si>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</si>
  <si>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</si>
  <si>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</si>
  <si>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</si>
  <si>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</si>
  <si>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</si>
  <si>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</si>
  <si>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</si>
  <si>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</si>
  <si>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</si>
  <si>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</si>
  <si>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</si>
  <si>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</si>
  <si>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</si>
  <si>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</si>
  <si>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</si>
  <si>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</si>
  <si>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</si>
  <si>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</si>
  <si>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</si>
  <si>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</si>
  <si>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</si>
  <si>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</si>
  <si>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</si>
  <si>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</si>
  <si>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</si>
  <si>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</si>
  <si>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</si>
  <si>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</si>
  <si>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</si>
  <si>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</si>
  <si>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</si>
  <si>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</si>
  <si>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</si>
  <si>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</si>
  <si>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</si>
  <si>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</si>
  <si>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</si>
  <si>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</si>
  <si>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</si>
  <si>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</si>
  <si>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</si>
  <si>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</si>
  <si>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</si>
  <si>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</si>
  <si>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</si>
  <si>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</si>
  <si>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</si>
  <si>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</si>
  <si>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</si>
  <si>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</si>
  <si>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</si>
  <si>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Flat Sheet Supply</t>
  </si>
  <si>
    <t>Corrugated Sheet Supply</t>
  </si>
  <si>
    <t>Foil Wax Supply</t>
  </si>
  <si>
    <t>Winding Shaft</t>
  </si>
  <si>
    <t>Welding</t>
  </si>
  <si>
    <t>Discharge</t>
  </si>
  <si>
    <t>unit</t>
    <phoneticPr fontId="1"/>
  </si>
  <si>
    <t>unit</t>
    <phoneticPr fontId="1"/>
  </si>
  <si>
    <t>溶接トーチ前後</t>
    <rPh sb="0" eb="2">
      <t>ヨウセツ</t>
    </rPh>
    <rPh sb="5" eb="7">
      <t>ゼンゴ</t>
    </rPh>
    <phoneticPr fontId="1"/>
  </si>
  <si>
    <t>溶接トーチ上下</t>
    <rPh sb="0" eb="2">
      <t>ヨウセツ</t>
    </rPh>
    <rPh sb="5" eb="7">
      <t>ジョウゲ</t>
    </rPh>
    <phoneticPr fontId="1"/>
  </si>
  <si>
    <t>Welding torch forward/backward</t>
    <phoneticPr fontId="1"/>
  </si>
  <si>
    <t>Welding torch up/down</t>
    <phoneticPr fontId="1"/>
  </si>
  <si>
    <t>溶接機</t>
    <rPh sb="0" eb="3">
      <t>ヨウセツキ</t>
    </rPh>
    <phoneticPr fontId="1"/>
  </si>
  <si>
    <t>welding machine</t>
    <phoneticPr fontId="1"/>
  </si>
  <si>
    <t>箔ロウリール固定</t>
    <rPh sb="0" eb="1">
      <t>ハク</t>
    </rPh>
    <rPh sb="6" eb="8">
      <t>コテイ</t>
    </rPh>
    <phoneticPr fontId="1"/>
  </si>
  <si>
    <t>MGPM12-20Z-M9BL</t>
  </si>
  <si>
    <t>Foil wax reel fixing</t>
  </si>
  <si>
    <t>MISUMI</t>
    <phoneticPr fontId="1"/>
  </si>
  <si>
    <t>ガイド付薄形シリンダ MGPシリーズ</t>
    <phoneticPr fontId="1"/>
  </si>
  <si>
    <t>波板補助軸</t>
    <rPh sb="0" eb="2">
      <t>ナミイタ</t>
    </rPh>
    <rPh sb="2" eb="4">
      <t>ホジョ</t>
    </rPh>
    <rPh sb="4" eb="5">
      <t>ジク</t>
    </rPh>
    <phoneticPr fontId="1"/>
  </si>
  <si>
    <t>Corrugated sheet auxiliary shaft</t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</si>
  <si>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</si>
  <si>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</si>
  <si>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</si>
  <si>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</si>
  <si>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</si>
  <si>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Xロール部</t>
    <rPh sb="4" eb="5">
      <t>ブ</t>
    </rPh>
    <phoneticPr fontId="1"/>
  </si>
  <si>
    <t>X-roll section</t>
  </si>
  <si>
    <t>Tロール糊付け①下ロール</t>
    <rPh sb="4" eb="6">
      <t>ノリヅ</t>
    </rPh>
    <rPh sb="8" eb="9">
      <t>シタ</t>
    </rPh>
    <phoneticPr fontId="1"/>
  </si>
  <si>
    <t>Tロール糊付け②上ロール</t>
    <rPh sb="4" eb="6">
      <t>ノリヅ</t>
    </rPh>
    <rPh sb="8" eb="9">
      <t>ウエ</t>
    </rPh>
    <phoneticPr fontId="1"/>
  </si>
  <si>
    <t>T-roll gluing ① Lower roll</t>
  </si>
  <si>
    <t>T-roll gluing ② Upper roll</t>
  </si>
  <si>
    <t>OTH</t>
    <phoneticPr fontId="1"/>
  </si>
  <si>
    <t>OTH</t>
    <phoneticPr fontId="1"/>
  </si>
  <si>
    <t>Xロール電磁クラッチ</t>
    <rPh sb="4" eb="6">
      <t>デンジ</t>
    </rPh>
    <phoneticPr fontId="1"/>
  </si>
  <si>
    <t>X-roll electromagnetic clutch</t>
  </si>
  <si>
    <t>OTHC</t>
    <phoneticPr fontId="1"/>
  </si>
  <si>
    <t>Tロール糊付け軸</t>
    <rPh sb="4" eb="6">
      <t>ノリヅ</t>
    </rPh>
    <rPh sb="7" eb="8">
      <t>ジク</t>
    </rPh>
    <phoneticPr fontId="1"/>
  </si>
  <si>
    <t>T-roll gluing shaft</t>
  </si>
  <si>
    <t>OTHC</t>
    <phoneticPr fontId="1"/>
  </si>
  <si>
    <t>(未割付け)</t>
    <rPh sb="1" eb="4">
      <t>ミワリツ</t>
    </rPh>
    <phoneticPr fontId="1"/>
  </si>
  <si>
    <t>(Unassigned)</t>
  </si>
  <si>
    <t>箔ロウリール部</t>
    <rPh sb="0" eb="1">
      <t>ハク</t>
    </rPh>
    <rPh sb="6" eb="7">
      <t>ブ</t>
    </rPh>
    <phoneticPr fontId="1"/>
  </si>
  <si>
    <t>Foil wax reel section</t>
  </si>
  <si>
    <t>巻取り軸芯前後</t>
    <phoneticPr fontId="1"/>
  </si>
  <si>
    <t>RCP6S-SA7R-WA-56P-16-150-SE-S-B-MR　</t>
  </si>
  <si>
    <t>ロボシリンダー</t>
  </si>
  <si>
    <t>Workpiece transportation X-shaft</t>
  </si>
  <si>
    <t>RCP6S-SA4R-WA-35P-5-500-SE-S-ML</t>
  </si>
  <si>
    <t>Workpiece transportation Y-shaft</t>
  </si>
  <si>
    <t>RCP6S-SA4R-WA-35P-5-150-SE-S-MR</t>
  </si>
  <si>
    <t>Workpiece  rotation</t>
  </si>
  <si>
    <t xml:space="preserve">RCS2-RTC12L-A-150-30-360-T2-S-L </t>
  </si>
  <si>
    <t>ロボシリンダー(ロータリ)</t>
  </si>
  <si>
    <t>ワークチャック</t>
  </si>
  <si>
    <t xml:space="preserve">Workpiece  chuck </t>
  </si>
  <si>
    <t>RCP2-GRHB-I-42P-2-40-P1-S</t>
  </si>
  <si>
    <t>ロボシリンダー(グリッパ)</t>
  </si>
  <si>
    <t>Welding support up/down</t>
  </si>
  <si>
    <t>Welding torch up/down</t>
  </si>
  <si>
    <t xml:space="preserve">RCP6S-SA6C-WA-42P-3-50-SE-S-B </t>
  </si>
  <si>
    <t>ワーク搬送X軸</t>
  </si>
  <si>
    <t>ワーク搬送Y軸</t>
  </si>
  <si>
    <t>ワーク回転</t>
  </si>
  <si>
    <t>溶接補助</t>
  </si>
  <si>
    <t>溶接トーチ上下</t>
  </si>
  <si>
    <t>平板張力軸</t>
    <rPh sb="0" eb="2">
      <t>ヒライタ</t>
    </rPh>
    <rPh sb="2" eb="4">
      <t>チョウリョク</t>
    </rPh>
    <rPh sb="4" eb="5">
      <t>ジク</t>
    </rPh>
    <phoneticPr fontId="1"/>
  </si>
  <si>
    <t>Flat tension axis</t>
    <phoneticPr fontId="1"/>
  </si>
  <si>
    <t>SV3-M040AK</t>
    <phoneticPr fontId="1"/>
  </si>
  <si>
    <t>サーボモータ</t>
  </si>
  <si>
    <t>平板チャック軸</t>
    <rPh sb="0" eb="2">
      <t>ヒライタ</t>
    </rPh>
    <rPh sb="6" eb="7">
      <t>ジク</t>
    </rPh>
    <phoneticPr fontId="1"/>
  </si>
  <si>
    <t>平板チャック前後軸</t>
    <rPh sb="0" eb="2">
      <t>ヒライタ</t>
    </rPh>
    <rPh sb="6" eb="8">
      <t>ゼンゴ</t>
    </rPh>
    <rPh sb="8" eb="9">
      <t>ジク</t>
    </rPh>
    <phoneticPr fontId="1"/>
  </si>
  <si>
    <t>Flat plate chuck front and rear shafts</t>
  </si>
  <si>
    <t>RCP4-GRSWL-I-42P-28-30-P3-M-AC1</t>
    <phoneticPr fontId="1"/>
  </si>
  <si>
    <t>RCP6-TA6C-WA-42P-12-125-P3-X07-CJB-1</t>
    <phoneticPr fontId="1"/>
  </si>
  <si>
    <t>Flat plate chuck shaft</t>
    <phoneticPr fontId="1"/>
  </si>
  <si>
    <t>Flat tension axis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</si>
</sst>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177" fontId="12" fillId="0" borderId="3" xfId="0" applyNumberFormat="1" applyFont="1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177" fontId="9" fillId="0" borderId="6" xfId="0" applyNumberFormat="1" applyFont="1" applyBorder="1" applyAlignment="1">
      <alignment horizontal="center" vertical="center"/>
    </xf>
    <xf numFmtId="177" fontId="10" fillId="0" borderId="6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1" fillId="3" borderId="11" xfId="0" applyFont="1" applyFill="1" applyBorder="1" applyAlignment="1">
      <alignment horizontal="center" vertical="top"/>
    </xf>
    <xf numFmtId="0" fontId="11" fillId="3" borderId="12" xfId="0" applyFont="1" applyFill="1" applyBorder="1" applyAlignment="1">
      <alignment horizontal="center" vertical="top"/>
    </xf>
    <xf numFmtId="177" fontId="11" fillId="3" borderId="12" xfId="0" applyNumberFormat="1" applyFont="1" applyFill="1" applyBorder="1" applyAlignment="1">
      <alignment horizontal="center" vertical="top"/>
    </xf>
    <xf numFmtId="0" fontId="13" fillId="0" borderId="0" xfId="0" applyFont="1">
      <alignment vertical="center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204304</xdr:rowOff>
    </xdr:from>
    <xdr:to>
      <xdr:col>0</xdr:col>
      <xdr:colOff>496957</xdr:colOff>
      <xdr:row>1</xdr:row>
      <xdr:rowOff>0</xdr:rowOff>
    </xdr:to>
    <xdr:sp macro="" textlink="$A$77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73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1"/>
  <sheetViews>
    <sheetView tabSelected="1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H21" sqref="H21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7" width="18.33203125" style="31" customWidth="1"/>
    <col min="18" max="18" width="3.58203125" customWidth="1"/>
  </cols>
  <sheetData>
    <row r="1" spans="1:18" s="4" customFormat="1" ht="30" customHeight="1" x14ac:dyDescent="0.55000000000000004">
      <c r="A1" s="38" t="s">
        <v>102</v>
      </c>
      <c r="B1" s="38" t="s">
        <v>113</v>
      </c>
      <c r="C1" s="38" t="s">
        <v>120</v>
      </c>
      <c r="D1" s="39" t="s">
        <v>103</v>
      </c>
      <c r="E1" s="39" t="s">
        <v>104</v>
      </c>
      <c r="F1" s="39" t="s">
        <v>105</v>
      </c>
      <c r="G1" s="39" t="s">
        <v>146</v>
      </c>
      <c r="H1" s="39" t="s">
        <v>10</v>
      </c>
      <c r="I1" s="39" t="s">
        <v>7</v>
      </c>
      <c r="J1" s="39" t="s">
        <v>3</v>
      </c>
      <c r="K1" s="39" t="s">
        <v>213</v>
      </c>
      <c r="L1" s="39" t="s">
        <v>5</v>
      </c>
      <c r="M1" s="40" t="s">
        <v>112</v>
      </c>
      <c r="N1" s="40" t="s">
        <v>231</v>
      </c>
      <c r="O1" s="40" t="s">
        <v>230</v>
      </c>
      <c r="P1" s="41" t="s">
        <v>271</v>
      </c>
      <c r="Q1" s="41" t="s">
        <v>272</v>
      </c>
      <c r="R1" s="40"/>
    </row>
    <row r="2" spans="1:18" x14ac:dyDescent="0.55000000000000004">
      <c r="A2" s="27">
        <v>38</v>
      </c>
      <c r="B2" s="5" t="s">
        <v>117</v>
      </c>
      <c r="C2" s="5">
        <v>1</v>
      </c>
      <c r="D2" s="28">
        <v>7</v>
      </c>
      <c r="E2" s="28" t="s">
        <v>91</v>
      </c>
      <c r="F2" s="28" t="s">
        <v>132</v>
      </c>
      <c r="G2" s="28" t="s">
        <v>147</v>
      </c>
      <c r="H2" s="28" t="s">
        <v>20</v>
      </c>
      <c r="I2" s="28" t="s">
        <v>21</v>
      </c>
      <c r="J2" s="28" t="s">
        <v>215</v>
      </c>
      <c r="K2" s="28" t="s">
        <v>214</v>
      </c>
      <c r="L2" s="28">
        <v>1</v>
      </c>
      <c r="M2" s="29"/>
      <c r="N2" s="29"/>
      <c r="O2" s="29"/>
      <c r="P2" s="32">
        <v>46069.554861111108</v>
      </c>
      <c r="Q2" s="32">
        <v>46069.554861111108</v>
      </c>
      <c r="R2" s="6"/>
    </row>
    <row r="3" spans="1:18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239</v>
      </c>
      <c r="H3" s="12" t="s">
        <v>14</v>
      </c>
      <c r="I3" s="12" t="s">
        <v>13</v>
      </c>
      <c r="J3" s="17" t="s">
        <v>215</v>
      </c>
      <c r="K3" s="12" t="s">
        <v>214</v>
      </c>
      <c r="L3" s="12">
        <v>1</v>
      </c>
      <c r="M3" s="24"/>
      <c r="N3" s="24"/>
      <c r="O3" s="24"/>
      <c r="P3" s="33">
        <v>46069.554861111108</v>
      </c>
      <c r="Q3" s="33">
        <v>46069.554861111108</v>
      </c>
      <c r="R3" s="10"/>
    </row>
    <row r="4" spans="1:18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148</v>
      </c>
      <c r="H4" s="12" t="s">
        <v>14</v>
      </c>
      <c r="I4" s="12" t="s">
        <v>13</v>
      </c>
      <c r="J4" s="17" t="s">
        <v>215</v>
      </c>
      <c r="K4" s="12" t="s">
        <v>214</v>
      </c>
      <c r="L4" s="12">
        <v>1</v>
      </c>
      <c r="M4" s="24"/>
      <c r="N4" s="24"/>
      <c r="O4" s="24"/>
      <c r="P4" s="33">
        <v>46069.554861111108</v>
      </c>
      <c r="Q4" s="33">
        <v>46069.554861111108</v>
      </c>
      <c r="R4" s="10"/>
    </row>
    <row r="5" spans="1:18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149</v>
      </c>
      <c r="H5" s="12" t="s">
        <v>14</v>
      </c>
      <c r="I5" s="12" t="s">
        <v>13</v>
      </c>
      <c r="J5" s="17" t="s">
        <v>215</v>
      </c>
      <c r="K5" s="12" t="s">
        <v>214</v>
      </c>
      <c r="L5" s="12">
        <v>1</v>
      </c>
      <c r="M5" s="24"/>
      <c r="N5" s="24"/>
      <c r="O5" s="24"/>
      <c r="P5" s="33">
        <v>46069.554861111108</v>
      </c>
      <c r="Q5" s="33">
        <v>46069.554861111108</v>
      </c>
      <c r="R5" s="10"/>
    </row>
    <row r="6" spans="1:18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242</v>
      </c>
      <c r="G6" s="8" t="s">
        <v>150</v>
      </c>
      <c r="H6" s="8" t="s">
        <v>1</v>
      </c>
      <c r="I6" s="8" t="s">
        <v>11</v>
      </c>
      <c r="J6" s="8" t="s">
        <v>2</v>
      </c>
      <c r="K6" s="8" t="s">
        <v>218</v>
      </c>
      <c r="L6" s="8">
        <v>1</v>
      </c>
      <c r="M6" s="10"/>
      <c r="N6" s="10"/>
      <c r="O6" s="10"/>
      <c r="P6" s="34">
        <v>46069.554861111108</v>
      </c>
      <c r="Q6" s="34">
        <v>46069.554861111108</v>
      </c>
      <c r="R6" s="10"/>
    </row>
    <row r="7" spans="1:18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130</v>
      </c>
      <c r="G7" s="8" t="s">
        <v>151</v>
      </c>
      <c r="H7" s="8" t="s">
        <v>0</v>
      </c>
      <c r="I7" s="8" t="s">
        <v>11</v>
      </c>
      <c r="J7" s="8" t="s">
        <v>2</v>
      </c>
      <c r="K7" s="8" t="s">
        <v>218</v>
      </c>
      <c r="L7" s="8">
        <v>1</v>
      </c>
      <c r="M7" s="10"/>
      <c r="N7" s="10"/>
      <c r="O7" s="10"/>
      <c r="P7" s="34">
        <v>46069.554861111108</v>
      </c>
      <c r="Q7" s="34">
        <v>46069.554861111108</v>
      </c>
      <c r="R7" s="10"/>
    </row>
    <row r="8" spans="1:18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129</v>
      </c>
      <c r="G8" s="8" t="s">
        <v>152</v>
      </c>
      <c r="H8" s="8" t="s">
        <v>28</v>
      </c>
      <c r="I8" s="8" t="s">
        <v>11</v>
      </c>
      <c r="J8" s="8" t="s">
        <v>2</v>
      </c>
      <c r="K8" s="8" t="s">
        <v>218</v>
      </c>
      <c r="L8" s="8">
        <v>1</v>
      </c>
      <c r="M8" s="10"/>
      <c r="N8" s="10"/>
      <c r="O8" s="10"/>
      <c r="P8" s="34">
        <v>46069.554861111108</v>
      </c>
      <c r="Q8" s="34">
        <v>46069.554861111108</v>
      </c>
      <c r="R8" s="10"/>
    </row>
    <row r="9" spans="1:18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257</v>
      </c>
      <c r="G9" s="8" t="s">
        <v>259</v>
      </c>
      <c r="H9" s="8" t="s">
        <v>106</v>
      </c>
      <c r="I9" s="8" t="s">
        <v>15</v>
      </c>
      <c r="J9" s="8" t="s">
        <v>2</v>
      </c>
      <c r="K9" s="8" t="s">
        <v>218</v>
      </c>
      <c r="L9" s="8">
        <v>1</v>
      </c>
      <c r="M9" s="10"/>
      <c r="N9" s="10"/>
      <c r="O9" s="10"/>
      <c r="P9" s="34">
        <v>46069.554861111108</v>
      </c>
      <c r="Q9" s="34">
        <v>46069.554861111108</v>
      </c>
      <c r="R9" s="10"/>
    </row>
    <row r="10" spans="1:18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258</v>
      </c>
      <c r="G10" s="8" t="s">
        <v>260</v>
      </c>
      <c r="H10" s="8" t="s">
        <v>107</v>
      </c>
      <c r="I10" s="8" t="s">
        <v>15</v>
      </c>
      <c r="J10" s="8" t="s">
        <v>2</v>
      </c>
      <c r="K10" s="8" t="s">
        <v>218</v>
      </c>
      <c r="L10" s="8">
        <v>1</v>
      </c>
      <c r="M10" s="10"/>
      <c r="N10" s="10"/>
      <c r="O10" s="10"/>
      <c r="P10" s="34">
        <v>46069.554861111108</v>
      </c>
      <c r="Q10" s="34">
        <v>46069.554861111108</v>
      </c>
      <c r="R10" s="10"/>
    </row>
    <row r="11" spans="1:18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131</v>
      </c>
      <c r="G11" s="8" t="s">
        <v>153</v>
      </c>
      <c r="H11" s="8"/>
      <c r="I11" s="8"/>
      <c r="J11" s="8"/>
      <c r="K11" s="8"/>
      <c r="L11" s="8"/>
      <c r="M11" s="10"/>
      <c r="N11" s="10"/>
      <c r="O11" s="10"/>
      <c r="P11" s="34">
        <v>46069.554861111108</v>
      </c>
      <c r="Q11" s="34">
        <v>46069.554861111108</v>
      </c>
      <c r="R11" s="10"/>
    </row>
    <row r="12" spans="1:18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133</v>
      </c>
      <c r="G12" s="8" t="s">
        <v>154</v>
      </c>
      <c r="H12" s="8"/>
      <c r="I12" s="8"/>
      <c r="J12" s="8"/>
      <c r="K12" s="8"/>
      <c r="L12" s="8"/>
      <c r="M12" s="10"/>
      <c r="N12" s="10"/>
      <c r="O12" s="10"/>
      <c r="P12" s="34">
        <v>46069.554861111108</v>
      </c>
      <c r="Q12" s="34">
        <v>46069.554861111108</v>
      </c>
      <c r="R12" s="10"/>
    </row>
    <row r="13" spans="1:18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134</v>
      </c>
      <c r="G13" s="8" t="s">
        <v>155</v>
      </c>
      <c r="H13" s="8"/>
      <c r="I13" s="8"/>
      <c r="J13" s="8"/>
      <c r="K13" s="8"/>
      <c r="L13" s="8"/>
      <c r="M13" s="10"/>
      <c r="N13" s="10"/>
      <c r="O13" s="10"/>
      <c r="P13" s="34">
        <v>46069.554861111108</v>
      </c>
      <c r="Q13" s="34">
        <v>46069.554861111108</v>
      </c>
      <c r="R13" s="10"/>
    </row>
    <row r="14" spans="1:18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156</v>
      </c>
      <c r="H14" s="8" t="s">
        <v>31</v>
      </c>
      <c r="I14" s="8" t="s">
        <v>32</v>
      </c>
      <c r="J14" s="8" t="s">
        <v>217</v>
      </c>
      <c r="K14" s="8" t="s">
        <v>216</v>
      </c>
      <c r="L14" s="8">
        <v>1</v>
      </c>
      <c r="M14" s="10"/>
      <c r="N14" s="10"/>
      <c r="O14" s="10"/>
      <c r="P14" s="34">
        <v>46069.554861111108</v>
      </c>
      <c r="Q14" s="34">
        <v>46069.554861111108</v>
      </c>
      <c r="R14" s="10"/>
    </row>
    <row r="15" spans="1:18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157</v>
      </c>
      <c r="H15" s="8" t="s">
        <v>33</v>
      </c>
      <c r="I15" s="8" t="s">
        <v>32</v>
      </c>
      <c r="J15" s="8" t="s">
        <v>217</v>
      </c>
      <c r="K15" s="8" t="s">
        <v>216</v>
      </c>
      <c r="L15" s="8">
        <v>1</v>
      </c>
      <c r="M15" s="10"/>
      <c r="N15" s="10"/>
      <c r="O15" s="10"/>
      <c r="P15" s="34">
        <v>46069.554861111108</v>
      </c>
      <c r="Q15" s="34">
        <v>46069.554861111108</v>
      </c>
      <c r="R15" s="10"/>
    </row>
    <row r="16" spans="1:18" x14ac:dyDescent="0.55000000000000004">
      <c r="A16" s="7">
        <v>41</v>
      </c>
      <c r="B16" s="7" t="s">
        <v>123</v>
      </c>
      <c r="C16" s="7">
        <v>15</v>
      </c>
      <c r="D16" s="8">
        <v>10</v>
      </c>
      <c r="E16" s="8" t="s">
        <v>273</v>
      </c>
      <c r="F16" s="8" t="s">
        <v>268</v>
      </c>
      <c r="G16" s="8" t="s">
        <v>269</v>
      </c>
      <c r="H16" s="8" t="s">
        <v>270</v>
      </c>
      <c r="I16" s="8"/>
      <c r="J16" s="8" t="s">
        <v>214</v>
      </c>
      <c r="K16" s="8" t="s">
        <v>214</v>
      </c>
      <c r="L16" s="8"/>
      <c r="M16" s="10"/>
      <c r="N16" s="10"/>
      <c r="O16" s="10"/>
      <c r="P16" s="34">
        <v>46069.554861111108</v>
      </c>
      <c r="Q16" s="34">
        <v>46170.413888888892</v>
      </c>
      <c r="R16" s="10"/>
    </row>
    <row r="17" spans="1:18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315</v>
      </c>
      <c r="G17" s="8" t="s">
        <v>325</v>
      </c>
      <c r="H17" s="8" t="s">
        <v>33</v>
      </c>
      <c r="I17" s="8" t="s">
        <v>318</v>
      </c>
      <c r="J17" s="8" t="s">
        <v>216</v>
      </c>
      <c r="K17" s="8" t="s">
        <v>216</v>
      </c>
      <c r="L17" s="8"/>
      <c r="M17" s="10"/>
      <c r="N17" s="10"/>
      <c r="O17" s="10"/>
      <c r="P17" s="34">
        <v>46069.554861111108</v>
      </c>
      <c r="Q17" s="34">
        <v>46170.413888888892</v>
      </c>
      <c r="R17" s="10"/>
    </row>
    <row r="18" spans="1:18" x14ac:dyDescent="0.55000000000000004">
      <c r="A18" s="7">
        <v>59</v>
      </c>
      <c r="B18" s="7" t="s">
        <v>116</v>
      </c>
      <c r="C18" s="7">
        <v>17</v>
      </c>
      <c r="D18" s="8"/>
      <c r="E18" s="8"/>
      <c r="F18" s="8" t="s">
        <v>319</v>
      </c>
      <c r="G18" s="8" t="s">
        <v>324</v>
      </c>
      <c r="H18" s="8" t="s">
        <v>322</v>
      </c>
      <c r="I18" s="8"/>
      <c r="J18" s="8" t="s">
        <v>218</v>
      </c>
      <c r="K18" s="8" t="s">
        <v>218</v>
      </c>
      <c r="L18" s="8"/>
      <c r="M18" s="10"/>
      <c r="N18" s="10"/>
      <c r="O18" s="10"/>
      <c r="P18" s="34">
        <v>46170.415277777778</v>
      </c>
      <c r="Q18" s="34">
        <v>46170.415277777778</v>
      </c>
      <c r="R18" s="10"/>
    </row>
    <row r="19" spans="1:18" x14ac:dyDescent="0.55000000000000004">
      <c r="A19" s="7">
        <v>66</v>
      </c>
      <c r="B19" s="7" t="s">
        <v>116</v>
      </c>
      <c r="C19" s="7">
        <v>18</v>
      </c>
      <c r="D19" s="8"/>
      <c r="E19" s="8"/>
      <c r="F19" s="8" t="s">
        <v>320</v>
      </c>
      <c r="G19" s="8" t="s">
        <v>321</v>
      </c>
      <c r="H19" s="8" t="s">
        <v>323</v>
      </c>
      <c r="I19" s="8"/>
      <c r="J19" s="8" t="s">
        <v>218</v>
      </c>
      <c r="K19" s="8" t="s">
        <v>218</v>
      </c>
      <c r="L19" s="8"/>
      <c r="M19" s="10"/>
      <c r="N19" s="10"/>
      <c r="O19" s="10"/>
      <c r="P19" s="34">
        <v>46170.415277777778</v>
      </c>
      <c r="Q19" s="34">
        <v>46170.415277777778</v>
      </c>
      <c r="R19" s="10"/>
    </row>
    <row r="20" spans="1:18" x14ac:dyDescent="0.55000000000000004">
      <c r="A20" s="7">
        <v>67</v>
      </c>
      <c r="B20" s="7" t="s">
        <v>116</v>
      </c>
      <c r="C20" s="7">
        <v>19</v>
      </c>
      <c r="D20" s="8"/>
      <c r="E20" s="8"/>
      <c r="F20" s="8" t="s">
        <v>310</v>
      </c>
      <c r="G20" s="8" t="s">
        <v>296</v>
      </c>
      <c r="H20" s="42" t="s">
        <v>297</v>
      </c>
      <c r="I20" s="8" t="s">
        <v>295</v>
      </c>
      <c r="J20" s="8" t="s">
        <v>218</v>
      </c>
      <c r="K20" s="8" t="s">
        <v>218</v>
      </c>
      <c r="L20" s="8">
        <v>1</v>
      </c>
      <c r="M20" s="10"/>
      <c r="N20" s="10"/>
      <c r="O20" s="10"/>
      <c r="P20" s="34">
        <v>46139</v>
      </c>
      <c r="Q20" s="34">
        <v>46139</v>
      </c>
      <c r="R20" s="10"/>
    </row>
    <row r="21" spans="1:18" x14ac:dyDescent="0.55000000000000004">
      <c r="A21" s="7">
        <v>68</v>
      </c>
      <c r="B21" s="7" t="s">
        <v>116</v>
      </c>
      <c r="C21" s="7">
        <v>20</v>
      </c>
      <c r="D21" s="8"/>
      <c r="E21" s="8"/>
      <c r="F21" s="8" t="s">
        <v>311</v>
      </c>
      <c r="G21" s="8" t="s">
        <v>298</v>
      </c>
      <c r="H21" s="42" t="s">
        <v>299</v>
      </c>
      <c r="I21" s="8" t="s">
        <v>295</v>
      </c>
      <c r="J21" s="8" t="s">
        <v>218</v>
      </c>
      <c r="K21" s="8" t="s">
        <v>218</v>
      </c>
      <c r="L21" s="8">
        <v>1</v>
      </c>
      <c r="M21" s="10"/>
      <c r="N21" s="10"/>
      <c r="O21" s="10"/>
      <c r="P21" s="34">
        <v>46139</v>
      </c>
      <c r="Q21" s="34">
        <v>46139</v>
      </c>
      <c r="R21" s="10"/>
    </row>
    <row r="22" spans="1:18" x14ac:dyDescent="0.55000000000000004">
      <c r="A22" s="7">
        <v>69</v>
      </c>
      <c r="B22" s="7" t="s">
        <v>116</v>
      </c>
      <c r="C22" s="7">
        <v>21</v>
      </c>
      <c r="D22" s="8"/>
      <c r="E22" s="8"/>
      <c r="F22" s="8" t="s">
        <v>312</v>
      </c>
      <c r="G22" s="8" t="s">
        <v>300</v>
      </c>
      <c r="H22" s="42" t="s">
        <v>301</v>
      </c>
      <c r="I22" s="8" t="s">
        <v>302</v>
      </c>
      <c r="J22" s="8" t="s">
        <v>218</v>
      </c>
      <c r="K22" s="8" t="s">
        <v>218</v>
      </c>
      <c r="L22" s="8">
        <v>1</v>
      </c>
      <c r="M22" s="10"/>
      <c r="N22" s="10"/>
      <c r="O22" s="10"/>
      <c r="P22" s="34">
        <v>46139</v>
      </c>
      <c r="Q22" s="34">
        <v>46139</v>
      </c>
      <c r="R22" s="10"/>
    </row>
    <row r="23" spans="1:18" x14ac:dyDescent="0.55000000000000004">
      <c r="A23" s="7">
        <v>70</v>
      </c>
      <c r="B23" s="7" t="s">
        <v>116</v>
      </c>
      <c r="C23" s="7">
        <v>22</v>
      </c>
      <c r="D23" s="8"/>
      <c r="E23" s="8"/>
      <c r="F23" s="8" t="s">
        <v>303</v>
      </c>
      <c r="G23" s="8" t="s">
        <v>304</v>
      </c>
      <c r="H23" s="42" t="s">
        <v>305</v>
      </c>
      <c r="I23" s="8" t="s">
        <v>306</v>
      </c>
      <c r="J23" s="8" t="s">
        <v>218</v>
      </c>
      <c r="K23" s="8" t="s">
        <v>218</v>
      </c>
      <c r="L23" s="8">
        <v>1</v>
      </c>
      <c r="M23" s="10"/>
      <c r="N23" s="10"/>
      <c r="O23" s="10"/>
      <c r="P23" s="34">
        <v>46139</v>
      </c>
      <c r="Q23" s="34">
        <v>46139</v>
      </c>
      <c r="R23" s="10"/>
    </row>
    <row r="24" spans="1:18" x14ac:dyDescent="0.55000000000000004">
      <c r="A24" s="7">
        <v>71</v>
      </c>
      <c r="B24" s="7" t="s">
        <v>116</v>
      </c>
      <c r="C24" s="7">
        <v>23</v>
      </c>
      <c r="D24" s="8"/>
      <c r="E24" s="8"/>
      <c r="F24" s="8" t="s">
        <v>313</v>
      </c>
      <c r="G24" s="8" t="s">
        <v>307</v>
      </c>
      <c r="H24" s="42" t="s">
        <v>294</v>
      </c>
      <c r="I24" s="8" t="s">
        <v>295</v>
      </c>
      <c r="J24" s="8" t="s">
        <v>218</v>
      </c>
      <c r="K24" s="8" t="s">
        <v>218</v>
      </c>
      <c r="L24" s="8">
        <v>1</v>
      </c>
      <c r="M24" s="10"/>
      <c r="N24" s="10"/>
      <c r="O24" s="10"/>
      <c r="P24" s="34">
        <v>46139</v>
      </c>
      <c r="Q24" s="34">
        <v>46139</v>
      </c>
      <c r="R24" s="10"/>
    </row>
    <row r="25" spans="1:18" x14ac:dyDescent="0.55000000000000004">
      <c r="A25" s="7">
        <v>72</v>
      </c>
      <c r="B25" s="7" t="s">
        <v>116</v>
      </c>
      <c r="C25" s="7">
        <v>24</v>
      </c>
      <c r="D25" s="8"/>
      <c r="E25" s="8"/>
      <c r="F25" s="8" t="s">
        <v>314</v>
      </c>
      <c r="G25" s="8" t="s">
        <v>308</v>
      </c>
      <c r="H25" s="42" t="s">
        <v>309</v>
      </c>
      <c r="I25" s="8" t="s">
        <v>295</v>
      </c>
      <c r="J25" s="8" t="s">
        <v>218</v>
      </c>
      <c r="K25" s="8" t="s">
        <v>218</v>
      </c>
      <c r="L25" s="8">
        <v>1</v>
      </c>
      <c r="M25" s="10"/>
      <c r="N25" s="10"/>
      <c r="O25" s="10"/>
      <c r="P25" s="34">
        <v>46139</v>
      </c>
      <c r="Q25" s="34">
        <v>46139</v>
      </c>
      <c r="R25" s="10"/>
    </row>
    <row r="26" spans="1:18" x14ac:dyDescent="0.55000000000000004">
      <c r="A26" s="7">
        <v>73</v>
      </c>
      <c r="B26" s="7" t="s">
        <v>116</v>
      </c>
      <c r="C26" s="7">
        <v>25</v>
      </c>
      <c r="D26" s="8"/>
      <c r="E26" s="8"/>
      <c r="F26" s="8" t="s">
        <v>315</v>
      </c>
      <c r="G26" s="8" t="s">
        <v>316</v>
      </c>
      <c r="H26" s="42" t="s">
        <v>317</v>
      </c>
      <c r="I26" s="8" t="s">
        <v>318</v>
      </c>
      <c r="J26" s="8" t="s">
        <v>216</v>
      </c>
      <c r="K26" s="8" t="s">
        <v>216</v>
      </c>
      <c r="L26" s="8"/>
      <c r="M26" s="10"/>
      <c r="N26" s="10"/>
      <c r="O26" s="10"/>
      <c r="P26" s="34">
        <v>46143.497916666667</v>
      </c>
      <c r="Q26" s="34">
        <v>46143.497916666667</v>
      </c>
      <c r="R26" s="10"/>
    </row>
    <row r="27" spans="1:18" x14ac:dyDescent="0.55000000000000004">
      <c r="A27" s="7">
        <v>1</v>
      </c>
      <c r="B27" s="7" t="s">
        <v>115</v>
      </c>
      <c r="C27" s="7">
        <v>1</v>
      </c>
      <c r="D27" s="8">
        <v>1</v>
      </c>
      <c r="E27" s="8" t="s">
        <v>99</v>
      </c>
      <c r="F27" s="8" t="s">
        <v>293</v>
      </c>
      <c r="G27" s="8" t="s">
        <v>158</v>
      </c>
      <c r="H27" s="8" t="s">
        <v>61</v>
      </c>
      <c r="I27" s="8" t="s">
        <v>62</v>
      </c>
      <c r="J27" s="8" t="s">
        <v>4</v>
      </c>
      <c r="K27" s="8" t="s">
        <v>219</v>
      </c>
      <c r="L27" s="8">
        <v>1</v>
      </c>
      <c r="M27" s="10"/>
      <c r="N27" s="10">
        <v>0</v>
      </c>
      <c r="O27" s="10">
        <v>0</v>
      </c>
      <c r="P27" s="34">
        <v>46069.554861111108</v>
      </c>
      <c r="Q27" s="34">
        <v>46069.554861111108</v>
      </c>
      <c r="R27" s="10"/>
    </row>
    <row r="28" spans="1:18" x14ac:dyDescent="0.55000000000000004">
      <c r="A28" s="7">
        <v>46</v>
      </c>
      <c r="B28" s="7" t="s">
        <v>114</v>
      </c>
      <c r="C28" s="7">
        <v>2</v>
      </c>
      <c r="D28" s="8"/>
      <c r="E28" s="8"/>
      <c r="F28" s="8" t="s">
        <v>277</v>
      </c>
      <c r="G28" s="8" t="s">
        <v>279</v>
      </c>
      <c r="H28" s="8" t="s">
        <v>200</v>
      </c>
      <c r="I28" s="8"/>
      <c r="J28" s="8"/>
      <c r="K28" s="8"/>
      <c r="L28" s="8"/>
      <c r="M28" s="10"/>
      <c r="N28" s="10">
        <v>0</v>
      </c>
      <c r="O28" s="10">
        <v>5</v>
      </c>
      <c r="P28" s="34">
        <v>46069.554861111108</v>
      </c>
      <c r="Q28" s="34">
        <v>46069.554861111108</v>
      </c>
      <c r="R28" s="10"/>
    </row>
    <row r="29" spans="1:18" x14ac:dyDescent="0.55000000000000004">
      <c r="A29" s="7">
        <v>47</v>
      </c>
      <c r="B29" s="7" t="s">
        <v>114</v>
      </c>
      <c r="C29" s="7">
        <v>3</v>
      </c>
      <c r="D29" s="8"/>
      <c r="E29" s="8"/>
      <c r="F29" s="8" t="s">
        <v>278</v>
      </c>
      <c r="G29" s="8" t="s">
        <v>280</v>
      </c>
      <c r="H29" s="8" t="s">
        <v>200</v>
      </c>
      <c r="I29" s="8"/>
      <c r="J29" s="8"/>
      <c r="K29" s="8"/>
      <c r="L29" s="8"/>
      <c r="M29" s="10"/>
      <c r="N29" s="10">
        <v>0</v>
      </c>
      <c r="O29" s="10">
        <v>6</v>
      </c>
      <c r="P29" s="34">
        <v>46069.554861111108</v>
      </c>
      <c r="Q29" s="34">
        <v>46069.554861111108</v>
      </c>
      <c r="R29" s="10"/>
    </row>
    <row r="30" spans="1:18" x14ac:dyDescent="0.55000000000000004">
      <c r="A30" s="7">
        <v>2</v>
      </c>
      <c r="B30" s="7" t="s">
        <v>115</v>
      </c>
      <c r="C30" s="7">
        <v>4</v>
      </c>
      <c r="D30" s="8">
        <v>2</v>
      </c>
      <c r="E30" s="8" t="s">
        <v>137</v>
      </c>
      <c r="F30" s="8" t="s">
        <v>240</v>
      </c>
      <c r="G30" s="8" t="s">
        <v>241</v>
      </c>
      <c r="H30" s="8" t="s">
        <v>63</v>
      </c>
      <c r="I30" s="9" t="s">
        <v>64</v>
      </c>
      <c r="J30" s="8" t="s">
        <v>4</v>
      </c>
      <c r="K30" s="8" t="s">
        <v>219</v>
      </c>
      <c r="L30" s="8">
        <v>1</v>
      </c>
      <c r="M30" s="10"/>
      <c r="N30" s="10">
        <v>0</v>
      </c>
      <c r="O30" s="10">
        <v>7</v>
      </c>
      <c r="P30" s="34">
        <v>46069.554861111108</v>
      </c>
      <c r="Q30" s="34">
        <v>46069.554861111108</v>
      </c>
      <c r="R30" s="10"/>
    </row>
    <row r="31" spans="1:18" x14ac:dyDescent="0.55000000000000004">
      <c r="A31" s="7">
        <v>4</v>
      </c>
      <c r="B31" s="7" t="s">
        <v>115</v>
      </c>
      <c r="C31" s="7">
        <v>5</v>
      </c>
      <c r="D31" s="8">
        <v>5</v>
      </c>
      <c r="E31" s="8" t="s">
        <v>93</v>
      </c>
      <c r="F31" s="8" t="s">
        <v>145</v>
      </c>
      <c r="G31" s="8" t="s">
        <v>159</v>
      </c>
      <c r="H31" s="8" t="s">
        <v>67</v>
      </c>
      <c r="I31" s="8" t="s">
        <v>68</v>
      </c>
      <c r="J31" s="8" t="s">
        <v>4</v>
      </c>
      <c r="K31" s="8" t="s">
        <v>219</v>
      </c>
      <c r="L31" s="8">
        <v>1</v>
      </c>
      <c r="M31" s="10"/>
      <c r="N31" s="10">
        <v>0</v>
      </c>
      <c r="O31" s="10">
        <v>1</v>
      </c>
      <c r="P31" s="34">
        <v>46069.554861111108</v>
      </c>
      <c r="Q31" s="34">
        <v>46069.554861111108</v>
      </c>
      <c r="R31" s="10"/>
    </row>
    <row r="32" spans="1:18" x14ac:dyDescent="0.55000000000000004">
      <c r="A32" s="7">
        <v>3</v>
      </c>
      <c r="B32" s="7" t="s">
        <v>115</v>
      </c>
      <c r="C32" s="7">
        <v>6</v>
      </c>
      <c r="D32" s="8">
        <v>5</v>
      </c>
      <c r="E32" s="8" t="s">
        <v>93</v>
      </c>
      <c r="F32" s="8" t="s">
        <v>144</v>
      </c>
      <c r="G32" s="8" t="s">
        <v>160</v>
      </c>
      <c r="H32" s="8" t="s">
        <v>65</v>
      </c>
      <c r="I32" s="8" t="s">
        <v>66</v>
      </c>
      <c r="J32" s="8" t="s">
        <v>4</v>
      </c>
      <c r="K32" s="8" t="s">
        <v>219</v>
      </c>
      <c r="L32" s="8">
        <v>1</v>
      </c>
      <c r="M32" s="10"/>
      <c r="N32" s="10">
        <v>0</v>
      </c>
      <c r="O32" s="10">
        <v>8</v>
      </c>
      <c r="P32" s="34">
        <v>46069.554861111108</v>
      </c>
      <c r="Q32" s="34">
        <v>46069.554861111108</v>
      </c>
      <c r="R32" s="10"/>
    </row>
    <row r="33" spans="1:18" x14ac:dyDescent="0.55000000000000004">
      <c r="A33" s="7">
        <v>8</v>
      </c>
      <c r="B33" s="7" t="s">
        <v>115</v>
      </c>
      <c r="C33" s="7">
        <v>7</v>
      </c>
      <c r="D33" s="8">
        <v>6</v>
      </c>
      <c r="E33" s="8" t="s">
        <v>98</v>
      </c>
      <c r="F33" s="8" t="s">
        <v>140</v>
      </c>
      <c r="G33" s="8" t="s">
        <v>161</v>
      </c>
      <c r="H33" s="8" t="s">
        <v>69</v>
      </c>
      <c r="I33" s="8" t="s">
        <v>70</v>
      </c>
      <c r="J33" s="8" t="s">
        <v>4</v>
      </c>
      <c r="K33" s="8" t="s">
        <v>219</v>
      </c>
      <c r="L33" s="11">
        <v>1</v>
      </c>
      <c r="M33" s="21"/>
      <c r="N33" s="21">
        <v>0</v>
      </c>
      <c r="O33" s="21">
        <v>9</v>
      </c>
      <c r="P33" s="34">
        <v>46069.554861111108</v>
      </c>
      <c r="Q33" s="34">
        <v>46069.554861111108</v>
      </c>
      <c r="R33" s="10"/>
    </row>
    <row r="34" spans="1:18" x14ac:dyDescent="0.55000000000000004">
      <c r="A34" s="7">
        <v>7</v>
      </c>
      <c r="B34" s="7" t="s">
        <v>115</v>
      </c>
      <c r="C34" s="7">
        <v>8</v>
      </c>
      <c r="D34" s="8">
        <v>7</v>
      </c>
      <c r="E34" s="8" t="s">
        <v>92</v>
      </c>
      <c r="F34" s="8" t="s">
        <v>142</v>
      </c>
      <c r="G34" s="8" t="s">
        <v>162</v>
      </c>
      <c r="H34" s="8" t="s">
        <v>73</v>
      </c>
      <c r="I34" s="8" t="s">
        <v>70</v>
      </c>
      <c r="J34" s="8" t="s">
        <v>4</v>
      </c>
      <c r="K34" s="8" t="s">
        <v>219</v>
      </c>
      <c r="L34" s="11">
        <v>1</v>
      </c>
      <c r="M34" s="21"/>
      <c r="N34" s="21">
        <v>0</v>
      </c>
      <c r="O34" s="21">
        <v>10</v>
      </c>
      <c r="P34" s="34">
        <v>46069.554861111108</v>
      </c>
      <c r="Q34" s="34">
        <v>46069.554861111108</v>
      </c>
      <c r="R34" s="10"/>
    </row>
    <row r="35" spans="1:18" x14ac:dyDescent="0.55000000000000004">
      <c r="A35" s="7">
        <v>6</v>
      </c>
      <c r="B35" s="7" t="s">
        <v>115</v>
      </c>
      <c r="C35" s="7">
        <v>9</v>
      </c>
      <c r="D35" s="8">
        <v>7</v>
      </c>
      <c r="E35" s="8" t="s">
        <v>92</v>
      </c>
      <c r="F35" s="8" t="s">
        <v>121</v>
      </c>
      <c r="G35" s="8" t="s">
        <v>163</v>
      </c>
      <c r="H35" s="8" t="s">
        <v>71</v>
      </c>
      <c r="I35" s="8" t="s">
        <v>72</v>
      </c>
      <c r="J35" s="8" t="s">
        <v>4</v>
      </c>
      <c r="K35" s="8" t="s">
        <v>219</v>
      </c>
      <c r="L35" s="11">
        <v>1</v>
      </c>
      <c r="M35" s="21"/>
      <c r="N35" s="21">
        <v>0</v>
      </c>
      <c r="O35" s="21">
        <v>11</v>
      </c>
      <c r="P35" s="34">
        <v>46069.554861111108</v>
      </c>
      <c r="Q35" s="34">
        <v>46069.554861111108</v>
      </c>
      <c r="R35" s="10"/>
    </row>
    <row r="36" spans="1:18" x14ac:dyDescent="0.55000000000000004">
      <c r="A36" s="7">
        <v>5</v>
      </c>
      <c r="B36" s="7" t="s">
        <v>115</v>
      </c>
      <c r="C36" s="7">
        <v>10</v>
      </c>
      <c r="D36" s="8">
        <v>8</v>
      </c>
      <c r="E36" s="8" t="s">
        <v>100</v>
      </c>
      <c r="F36" s="8" t="s">
        <v>141</v>
      </c>
      <c r="G36" s="8" t="s">
        <v>164</v>
      </c>
      <c r="H36" s="8" t="s">
        <v>69</v>
      </c>
      <c r="I36" s="8" t="s">
        <v>70</v>
      </c>
      <c r="J36" s="8" t="s">
        <v>4</v>
      </c>
      <c r="K36" s="8" t="s">
        <v>219</v>
      </c>
      <c r="L36" s="11">
        <v>1</v>
      </c>
      <c r="M36" s="21"/>
      <c r="N36" s="21">
        <v>0</v>
      </c>
      <c r="O36" s="21">
        <v>12</v>
      </c>
      <c r="P36" s="34">
        <v>46069.554861111108</v>
      </c>
      <c r="Q36" s="34">
        <v>46069.554861111108</v>
      </c>
      <c r="R36" s="10"/>
    </row>
    <row r="37" spans="1:18" x14ac:dyDescent="0.55000000000000004">
      <c r="A37" s="7">
        <v>10</v>
      </c>
      <c r="B37" s="7" t="s">
        <v>115</v>
      </c>
      <c r="C37" s="7">
        <v>11</v>
      </c>
      <c r="D37" s="12">
        <v>9</v>
      </c>
      <c r="E37" s="12" t="s">
        <v>95</v>
      </c>
      <c r="F37" s="12" t="s">
        <v>135</v>
      </c>
      <c r="G37" s="12" t="s">
        <v>165</v>
      </c>
      <c r="H37" s="12" t="s">
        <v>75</v>
      </c>
      <c r="I37" s="12" t="s">
        <v>70</v>
      </c>
      <c r="J37" s="12" t="s">
        <v>4</v>
      </c>
      <c r="K37" s="12" t="s">
        <v>219</v>
      </c>
      <c r="L37" s="13">
        <v>1</v>
      </c>
      <c r="M37" s="22"/>
      <c r="N37" s="22">
        <v>0</v>
      </c>
      <c r="O37" s="22">
        <v>2</v>
      </c>
      <c r="P37" s="35">
        <v>46069.554861111108</v>
      </c>
      <c r="Q37" s="35">
        <v>46069.554861111108</v>
      </c>
      <c r="R37" s="10"/>
    </row>
    <row r="38" spans="1:18" x14ac:dyDescent="0.55000000000000004">
      <c r="A38" s="7">
        <v>9</v>
      </c>
      <c r="B38" s="7" t="s">
        <v>115</v>
      </c>
      <c r="C38" s="7">
        <v>12</v>
      </c>
      <c r="D38" s="8">
        <v>9</v>
      </c>
      <c r="E38" s="8" t="s">
        <v>95</v>
      </c>
      <c r="F38" s="8" t="s">
        <v>138</v>
      </c>
      <c r="G38" s="8" t="s">
        <v>166</v>
      </c>
      <c r="H38" s="8" t="s">
        <v>74</v>
      </c>
      <c r="I38" s="8" t="s">
        <v>70</v>
      </c>
      <c r="J38" s="8" t="s">
        <v>4</v>
      </c>
      <c r="K38" s="8" t="s">
        <v>219</v>
      </c>
      <c r="L38" s="11">
        <v>1</v>
      </c>
      <c r="M38" s="21"/>
      <c r="N38" s="21">
        <v>0</v>
      </c>
      <c r="O38" s="21">
        <v>13</v>
      </c>
      <c r="P38" s="34">
        <v>46069.554861111108</v>
      </c>
      <c r="Q38" s="34">
        <v>46069.554861111108</v>
      </c>
      <c r="R38" s="10"/>
    </row>
    <row r="39" spans="1:18" x14ac:dyDescent="0.55000000000000004">
      <c r="A39" s="7">
        <v>11</v>
      </c>
      <c r="B39" s="7" t="s">
        <v>115</v>
      </c>
      <c r="C39" s="7">
        <v>13</v>
      </c>
      <c r="D39" s="12">
        <v>11</v>
      </c>
      <c r="E39" s="12" t="s">
        <v>97</v>
      </c>
      <c r="F39" s="12" t="s">
        <v>136</v>
      </c>
      <c r="G39" s="12" t="s">
        <v>167</v>
      </c>
      <c r="H39" s="12" t="s">
        <v>75</v>
      </c>
      <c r="I39" s="12" t="s">
        <v>70</v>
      </c>
      <c r="J39" s="12" t="s">
        <v>4</v>
      </c>
      <c r="K39" s="12" t="s">
        <v>219</v>
      </c>
      <c r="L39" s="13">
        <v>1</v>
      </c>
      <c r="M39" s="22"/>
      <c r="N39" s="22">
        <v>0</v>
      </c>
      <c r="O39" s="22">
        <v>3</v>
      </c>
      <c r="P39" s="35">
        <v>46069.554861111108</v>
      </c>
      <c r="Q39" s="35">
        <v>46069.554861111108</v>
      </c>
      <c r="R39" s="10"/>
    </row>
    <row r="40" spans="1:18" x14ac:dyDescent="0.55000000000000004">
      <c r="A40" s="7">
        <v>13</v>
      </c>
      <c r="B40" s="7" t="s">
        <v>115</v>
      </c>
      <c r="C40" s="7">
        <v>14</v>
      </c>
      <c r="D40" s="8">
        <v>11</v>
      </c>
      <c r="E40" s="8" t="s">
        <v>97</v>
      </c>
      <c r="F40" s="8" t="s">
        <v>139</v>
      </c>
      <c r="G40" s="8" t="s">
        <v>168</v>
      </c>
      <c r="H40" s="8" t="s">
        <v>76</v>
      </c>
      <c r="I40" s="8" t="s">
        <v>70</v>
      </c>
      <c r="J40" s="8" t="s">
        <v>4</v>
      </c>
      <c r="K40" s="8" t="s">
        <v>219</v>
      </c>
      <c r="L40" s="11">
        <v>1</v>
      </c>
      <c r="M40" s="21"/>
      <c r="N40" s="21">
        <v>0</v>
      </c>
      <c r="O40" s="21">
        <v>4</v>
      </c>
      <c r="P40" s="34">
        <v>46069.554861111108</v>
      </c>
      <c r="Q40" s="34">
        <v>46069.554861111108</v>
      </c>
      <c r="R40" s="10"/>
    </row>
    <row r="41" spans="1:18" x14ac:dyDescent="0.55000000000000004">
      <c r="A41" s="7">
        <v>14</v>
      </c>
      <c r="B41" s="7" t="s">
        <v>115</v>
      </c>
      <c r="C41" s="7">
        <v>15</v>
      </c>
      <c r="D41" s="12">
        <v>11</v>
      </c>
      <c r="E41" s="12" t="s">
        <v>96</v>
      </c>
      <c r="F41" s="12" t="s">
        <v>237</v>
      </c>
      <c r="G41" s="12" t="s">
        <v>238</v>
      </c>
      <c r="H41" s="12" t="s">
        <v>77</v>
      </c>
      <c r="I41" s="12" t="s">
        <v>78</v>
      </c>
      <c r="J41" s="12" t="s">
        <v>4</v>
      </c>
      <c r="K41" s="12" t="s">
        <v>219</v>
      </c>
      <c r="L41" s="13">
        <v>1</v>
      </c>
      <c r="M41" s="22"/>
      <c r="N41" s="22">
        <v>0</v>
      </c>
      <c r="O41" s="22">
        <v>14</v>
      </c>
      <c r="P41" s="35">
        <v>46069.554861111108</v>
      </c>
      <c r="Q41" s="35">
        <v>46069.554861111108</v>
      </c>
      <c r="R41" s="10"/>
    </row>
    <row r="42" spans="1:18" x14ac:dyDescent="0.55000000000000004">
      <c r="A42" s="7">
        <v>15</v>
      </c>
      <c r="B42" s="7" t="s">
        <v>115</v>
      </c>
      <c r="C42" s="7">
        <v>16</v>
      </c>
      <c r="D42" s="12">
        <v>11</v>
      </c>
      <c r="E42" s="12" t="s">
        <v>96</v>
      </c>
      <c r="F42" s="12" t="s">
        <v>143</v>
      </c>
      <c r="G42" s="12" t="s">
        <v>169</v>
      </c>
      <c r="H42" s="12" t="s">
        <v>77</v>
      </c>
      <c r="I42" s="12" t="s">
        <v>78</v>
      </c>
      <c r="J42" s="12" t="s">
        <v>4</v>
      </c>
      <c r="K42" s="12" t="s">
        <v>219</v>
      </c>
      <c r="L42" s="13">
        <v>1</v>
      </c>
      <c r="M42" s="22"/>
      <c r="N42" s="22">
        <v>0</v>
      </c>
      <c r="O42" s="22">
        <v>15</v>
      </c>
      <c r="P42" s="35">
        <v>46069.554861111108</v>
      </c>
      <c r="Q42" s="35">
        <v>46069.554861111108</v>
      </c>
      <c r="R42" s="10"/>
    </row>
    <row r="43" spans="1:18" x14ac:dyDescent="0.55000000000000004">
      <c r="A43" s="7">
        <v>48</v>
      </c>
      <c r="B43" s="7" t="s">
        <v>114</v>
      </c>
      <c r="C43" s="7">
        <v>17</v>
      </c>
      <c r="D43" s="8"/>
      <c r="E43" s="8"/>
      <c r="F43" s="8" t="s">
        <v>201</v>
      </c>
      <c r="G43" s="8" t="s">
        <v>232</v>
      </c>
      <c r="H43" s="8" t="s">
        <v>51</v>
      </c>
      <c r="I43" s="8"/>
      <c r="J43" s="8"/>
      <c r="K43" s="8"/>
      <c r="L43" s="8"/>
      <c r="M43" s="10"/>
      <c r="N43" s="10">
        <v>1</v>
      </c>
      <c r="O43" s="10">
        <v>0</v>
      </c>
      <c r="P43" s="34">
        <v>46069.554861111108</v>
      </c>
      <c r="Q43" s="34">
        <v>46069.554861111108</v>
      </c>
      <c r="R43" s="10"/>
    </row>
    <row r="44" spans="1:18" x14ac:dyDescent="0.55000000000000004">
      <c r="A44" s="7">
        <v>49</v>
      </c>
      <c r="B44" s="7" t="s">
        <v>114</v>
      </c>
      <c r="C44" s="7">
        <v>18</v>
      </c>
      <c r="D44" s="8"/>
      <c r="E44" s="8"/>
      <c r="F44" s="8" t="s">
        <v>202</v>
      </c>
      <c r="G44" s="8" t="s">
        <v>233</v>
      </c>
      <c r="H44" s="8" t="s">
        <v>51</v>
      </c>
      <c r="I44" s="8"/>
      <c r="J44" s="8"/>
      <c r="K44" s="8"/>
      <c r="L44" s="8"/>
      <c r="M44" s="10"/>
      <c r="N44" s="10">
        <v>1</v>
      </c>
      <c r="O44" s="10">
        <v>1</v>
      </c>
      <c r="P44" s="34">
        <v>46069.554861111108</v>
      </c>
      <c r="Q44" s="34">
        <v>46069.554861111108</v>
      </c>
      <c r="R44" s="10"/>
    </row>
    <row r="45" spans="1:18" x14ac:dyDescent="0.55000000000000004">
      <c r="A45" s="7">
        <v>50</v>
      </c>
      <c r="B45" s="7" t="s">
        <v>114</v>
      </c>
      <c r="C45" s="7">
        <v>19</v>
      </c>
      <c r="D45" s="8"/>
      <c r="E45" s="8"/>
      <c r="F45" s="8" t="s">
        <v>204</v>
      </c>
      <c r="G45" s="8" t="s">
        <v>234</v>
      </c>
      <c r="H45" s="8" t="s">
        <v>203</v>
      </c>
      <c r="I45" s="8"/>
      <c r="J45" s="8"/>
      <c r="K45" s="8"/>
      <c r="L45" s="8"/>
      <c r="M45" s="10"/>
      <c r="N45" s="10">
        <v>1</v>
      </c>
      <c r="O45" s="10">
        <v>2</v>
      </c>
      <c r="P45" s="34">
        <v>46069.554861111108</v>
      </c>
      <c r="Q45" s="34">
        <v>46069.554861111108</v>
      </c>
      <c r="R45" s="10"/>
    </row>
    <row r="46" spans="1:18" x14ac:dyDescent="0.55000000000000004">
      <c r="A46" s="7">
        <v>58</v>
      </c>
      <c r="B46" s="7" t="s">
        <v>114</v>
      </c>
      <c r="C46" s="7">
        <v>20</v>
      </c>
      <c r="D46" s="8">
        <v>7</v>
      </c>
      <c r="E46" s="8" t="s">
        <v>92</v>
      </c>
      <c r="F46" s="8" t="s">
        <v>263</v>
      </c>
      <c r="G46" s="8" t="s">
        <v>265</v>
      </c>
      <c r="H46" s="8" t="s">
        <v>264</v>
      </c>
      <c r="I46" s="8" t="s">
        <v>267</v>
      </c>
      <c r="J46" s="8" t="s">
        <v>266</v>
      </c>
      <c r="K46" s="8" t="s">
        <v>266</v>
      </c>
      <c r="L46" s="8"/>
      <c r="M46" s="10"/>
      <c r="N46" s="10"/>
      <c r="O46" s="10"/>
      <c r="P46" s="34">
        <v>46069.554861111108</v>
      </c>
      <c r="Q46" s="34">
        <v>46069.554861111108</v>
      </c>
      <c r="R46" s="10"/>
    </row>
    <row r="47" spans="1:18" x14ac:dyDescent="0.55000000000000004">
      <c r="A47" s="26">
        <v>12</v>
      </c>
      <c r="B47" s="26" t="s">
        <v>115</v>
      </c>
      <c r="C47" s="26"/>
      <c r="D47" s="14">
        <v>11</v>
      </c>
      <c r="E47" s="14" t="s">
        <v>97</v>
      </c>
      <c r="F47" s="14"/>
      <c r="G47" s="14"/>
      <c r="H47" s="14" t="s">
        <v>75</v>
      </c>
      <c r="I47" s="14" t="s">
        <v>70</v>
      </c>
      <c r="J47" s="14" t="s">
        <v>4</v>
      </c>
      <c r="K47" s="14" t="s">
        <v>219</v>
      </c>
      <c r="L47" s="15">
        <v>1</v>
      </c>
      <c r="M47" s="23" t="s">
        <v>118</v>
      </c>
      <c r="N47" s="23"/>
      <c r="O47" s="23"/>
      <c r="P47" s="36">
        <v>46069.554861111108</v>
      </c>
      <c r="Q47" s="36">
        <v>46069.554861111108</v>
      </c>
      <c r="R47" s="10"/>
    </row>
    <row r="48" spans="1:18" x14ac:dyDescent="0.55000000000000004">
      <c r="A48" s="26">
        <v>16</v>
      </c>
      <c r="B48" s="26" t="s">
        <v>115</v>
      </c>
      <c r="C48" s="26"/>
      <c r="D48" s="14">
        <v>11</v>
      </c>
      <c r="E48" s="14" t="s">
        <v>96</v>
      </c>
      <c r="F48" s="14"/>
      <c r="G48" s="14"/>
      <c r="H48" s="14" t="s">
        <v>77</v>
      </c>
      <c r="I48" s="14" t="s">
        <v>78</v>
      </c>
      <c r="J48" s="14" t="s">
        <v>4</v>
      </c>
      <c r="K48" s="14" t="s">
        <v>219</v>
      </c>
      <c r="L48" s="15">
        <v>1</v>
      </c>
      <c r="M48" s="23" t="s">
        <v>118</v>
      </c>
      <c r="N48" s="23"/>
      <c r="O48" s="23"/>
      <c r="P48" s="36">
        <v>46069.554861111108</v>
      </c>
      <c r="Q48" s="36">
        <v>46069.554861111108</v>
      </c>
      <c r="R48" s="10"/>
    </row>
    <row r="49" spans="1:18" x14ac:dyDescent="0.55000000000000004">
      <c r="A49" s="26">
        <v>17</v>
      </c>
      <c r="B49" s="26" t="s">
        <v>115</v>
      </c>
      <c r="C49" s="26"/>
      <c r="D49" s="14">
        <v>11</v>
      </c>
      <c r="E49" s="14" t="s">
        <v>96</v>
      </c>
      <c r="F49" s="14"/>
      <c r="G49" s="14"/>
      <c r="H49" s="14" t="s">
        <v>77</v>
      </c>
      <c r="I49" s="14" t="s">
        <v>78</v>
      </c>
      <c r="J49" s="14" t="s">
        <v>4</v>
      </c>
      <c r="K49" s="14" t="s">
        <v>219</v>
      </c>
      <c r="L49" s="15">
        <v>1</v>
      </c>
      <c r="M49" s="23" t="s">
        <v>118</v>
      </c>
      <c r="N49" s="23"/>
      <c r="O49" s="23"/>
      <c r="P49" s="36">
        <v>46069.554861111108</v>
      </c>
      <c r="Q49" s="36">
        <v>46069.554861111108</v>
      </c>
      <c r="R49" s="10"/>
    </row>
    <row r="50" spans="1:18" x14ac:dyDescent="0.55000000000000004">
      <c r="A50" s="7">
        <v>21</v>
      </c>
      <c r="B50" s="7" t="s">
        <v>122</v>
      </c>
      <c r="C50" s="7">
        <v>1</v>
      </c>
      <c r="D50" s="8">
        <v>1</v>
      </c>
      <c r="E50" s="8" t="s">
        <v>99</v>
      </c>
      <c r="F50" s="8" t="s">
        <v>128</v>
      </c>
      <c r="G50" s="8" t="s">
        <v>197</v>
      </c>
      <c r="H50" s="8" t="s">
        <v>30</v>
      </c>
      <c r="I50" s="8" t="s">
        <v>29</v>
      </c>
      <c r="J50" s="8" t="s">
        <v>2</v>
      </c>
      <c r="K50" s="8" t="s">
        <v>218</v>
      </c>
      <c r="L50" s="8">
        <v>1</v>
      </c>
      <c r="M50" s="10"/>
      <c r="N50" s="10"/>
      <c r="O50" s="10"/>
      <c r="P50" s="34">
        <v>46069.554861111108</v>
      </c>
      <c r="Q50" s="34">
        <v>46069.554861111108</v>
      </c>
      <c r="R50" s="10"/>
    </row>
    <row r="51" spans="1:18" x14ac:dyDescent="0.55000000000000004">
      <c r="A51" s="7">
        <v>24</v>
      </c>
      <c r="B51" s="7" t="s">
        <v>119</v>
      </c>
      <c r="C51" s="7"/>
      <c r="D51" s="8">
        <v>3</v>
      </c>
      <c r="E51" s="8" t="s">
        <v>94</v>
      </c>
      <c r="F51" s="8" t="s">
        <v>90</v>
      </c>
      <c r="G51" s="8"/>
      <c r="H51" s="8" t="s">
        <v>6</v>
      </c>
      <c r="I51" s="8" t="s">
        <v>8</v>
      </c>
      <c r="J51" s="8" t="s">
        <v>217</v>
      </c>
      <c r="K51" s="8" t="s">
        <v>216</v>
      </c>
      <c r="L51" s="8">
        <v>1</v>
      </c>
      <c r="M51" s="10"/>
      <c r="N51" s="10"/>
      <c r="O51" s="10"/>
      <c r="P51" s="34">
        <v>46069.554861111108</v>
      </c>
      <c r="Q51" s="34">
        <v>46069.554861111108</v>
      </c>
      <c r="R51" s="10"/>
    </row>
    <row r="52" spans="1:18" x14ac:dyDescent="0.55000000000000004">
      <c r="A52" s="7">
        <v>25</v>
      </c>
      <c r="B52" s="7" t="s">
        <v>119</v>
      </c>
      <c r="C52" s="7"/>
      <c r="D52" s="8">
        <v>3</v>
      </c>
      <c r="E52" s="8" t="s">
        <v>94</v>
      </c>
      <c r="F52" s="8" t="s">
        <v>90</v>
      </c>
      <c r="G52" s="8"/>
      <c r="H52" s="8" t="s">
        <v>60</v>
      </c>
      <c r="I52" s="8" t="s">
        <v>9</v>
      </c>
      <c r="J52" s="8" t="s">
        <v>217</v>
      </c>
      <c r="K52" s="8" t="s">
        <v>216</v>
      </c>
      <c r="L52" s="8">
        <v>1</v>
      </c>
      <c r="M52" s="10"/>
      <c r="N52" s="10"/>
      <c r="O52" s="10"/>
      <c r="P52" s="34">
        <v>46069.554861111108</v>
      </c>
      <c r="Q52" s="34">
        <v>46069.554861111108</v>
      </c>
      <c r="R52" s="10"/>
    </row>
    <row r="53" spans="1:18" x14ac:dyDescent="0.55000000000000004">
      <c r="A53" s="7">
        <v>29</v>
      </c>
      <c r="B53" s="7" t="s">
        <v>119</v>
      </c>
      <c r="C53" s="7"/>
      <c r="D53" s="8">
        <v>7</v>
      </c>
      <c r="E53" s="8" t="s">
        <v>92</v>
      </c>
      <c r="F53" s="8"/>
      <c r="G53" s="8"/>
      <c r="H53" s="8" t="s">
        <v>22</v>
      </c>
      <c r="I53" s="8" t="s">
        <v>23</v>
      </c>
      <c r="J53" s="8" t="s">
        <v>217</v>
      </c>
      <c r="K53" s="8" t="s">
        <v>216</v>
      </c>
      <c r="L53" s="8">
        <v>3</v>
      </c>
      <c r="M53" s="10"/>
      <c r="N53" s="10"/>
      <c r="O53" s="10"/>
      <c r="P53" s="34">
        <v>46069.554861111108</v>
      </c>
      <c r="Q53" s="34">
        <v>46069.554861111108</v>
      </c>
      <c r="R53" s="10"/>
    </row>
    <row r="54" spans="1:18" x14ac:dyDescent="0.55000000000000004">
      <c r="A54" s="7">
        <v>30</v>
      </c>
      <c r="B54" s="7" t="s">
        <v>119</v>
      </c>
      <c r="C54" s="7"/>
      <c r="D54" s="8">
        <v>1</v>
      </c>
      <c r="E54" s="8" t="s">
        <v>99</v>
      </c>
      <c r="F54" s="8" t="s">
        <v>108</v>
      </c>
      <c r="G54" s="8"/>
      <c r="H54" s="8" t="s">
        <v>25</v>
      </c>
      <c r="I54" s="8" t="s">
        <v>24</v>
      </c>
      <c r="J54" s="8" t="s">
        <v>217</v>
      </c>
      <c r="K54" s="8" t="s">
        <v>216</v>
      </c>
      <c r="L54" s="8">
        <v>1</v>
      </c>
      <c r="M54" s="10" t="s">
        <v>57</v>
      </c>
      <c r="N54" s="10"/>
      <c r="O54" s="10"/>
      <c r="P54" s="34">
        <v>46069.554861111108</v>
      </c>
      <c r="Q54" s="34">
        <v>46069.554861111108</v>
      </c>
      <c r="R54" s="10"/>
    </row>
    <row r="55" spans="1:18" x14ac:dyDescent="0.55000000000000004">
      <c r="A55" s="7">
        <v>34</v>
      </c>
      <c r="B55" s="7" t="s">
        <v>119</v>
      </c>
      <c r="C55" s="7"/>
      <c r="D55" s="8">
        <v>1</v>
      </c>
      <c r="E55" s="8" t="s">
        <v>99</v>
      </c>
      <c r="F55" s="8" t="s">
        <v>109</v>
      </c>
      <c r="G55" s="8"/>
      <c r="H55" s="8" t="s">
        <v>35</v>
      </c>
      <c r="I55" s="16" t="s">
        <v>36</v>
      </c>
      <c r="J55" s="8" t="s">
        <v>217</v>
      </c>
      <c r="K55" s="8" t="s">
        <v>216</v>
      </c>
      <c r="L55" s="8">
        <v>1</v>
      </c>
      <c r="M55" s="10" t="s">
        <v>34</v>
      </c>
      <c r="N55" s="10"/>
      <c r="O55" s="10"/>
      <c r="P55" s="34">
        <v>46069.554861111108</v>
      </c>
      <c r="Q55" s="34">
        <v>46069.554861111108</v>
      </c>
      <c r="R55" s="10"/>
    </row>
    <row r="56" spans="1:18" x14ac:dyDescent="0.55000000000000004">
      <c r="A56" s="7">
        <v>26</v>
      </c>
      <c r="B56" s="7"/>
      <c r="C56" s="7"/>
      <c r="D56" s="8">
        <v>1</v>
      </c>
      <c r="E56" s="8" t="s">
        <v>99</v>
      </c>
      <c r="F56" s="8"/>
      <c r="G56" s="8"/>
      <c r="H56" s="8" t="s">
        <v>58</v>
      </c>
      <c r="I56" s="8" t="s">
        <v>59</v>
      </c>
      <c r="J56" s="8" t="s">
        <v>217</v>
      </c>
      <c r="K56" s="8" t="s">
        <v>216</v>
      </c>
      <c r="L56" s="8">
        <v>1</v>
      </c>
      <c r="M56" s="10"/>
      <c r="N56" s="10"/>
      <c r="O56" s="10"/>
      <c r="P56" s="34">
        <v>46069.554861111108</v>
      </c>
      <c r="Q56" s="34">
        <v>46069.554861111108</v>
      </c>
      <c r="R56" s="10"/>
    </row>
    <row r="57" spans="1:18" x14ac:dyDescent="0.55000000000000004">
      <c r="A57" s="7">
        <v>27</v>
      </c>
      <c r="B57" s="7"/>
      <c r="C57" s="7"/>
      <c r="D57" s="8">
        <v>5</v>
      </c>
      <c r="E57" s="8" t="s">
        <v>93</v>
      </c>
      <c r="F57" s="8"/>
      <c r="G57" s="8"/>
      <c r="H57" s="8" t="s">
        <v>18</v>
      </c>
      <c r="I57" s="8" t="s">
        <v>19</v>
      </c>
      <c r="J57" s="8" t="s">
        <v>217</v>
      </c>
      <c r="K57" s="8" t="s">
        <v>216</v>
      </c>
      <c r="L57" s="8">
        <v>1</v>
      </c>
      <c r="M57" s="10"/>
      <c r="N57" s="10"/>
      <c r="O57" s="10"/>
      <c r="P57" s="34">
        <v>46069.554861111108</v>
      </c>
      <c r="Q57" s="34">
        <v>46069.554861111108</v>
      </c>
      <c r="R57" s="10"/>
    </row>
    <row r="58" spans="1:18" x14ac:dyDescent="0.55000000000000004">
      <c r="A58" s="7">
        <v>28</v>
      </c>
      <c r="B58" s="7"/>
      <c r="C58" s="7"/>
      <c r="D58" s="8">
        <v>5</v>
      </c>
      <c r="E58" s="8" t="s">
        <v>93</v>
      </c>
      <c r="F58" s="8"/>
      <c r="G58" s="8"/>
      <c r="H58" s="8" t="s">
        <v>16</v>
      </c>
      <c r="I58" s="8" t="s">
        <v>17</v>
      </c>
      <c r="J58" s="8" t="s">
        <v>217</v>
      </c>
      <c r="K58" s="8" t="s">
        <v>216</v>
      </c>
      <c r="L58" s="8">
        <v>1</v>
      </c>
      <c r="M58" s="10"/>
      <c r="N58" s="10"/>
      <c r="O58" s="10"/>
      <c r="P58" s="34">
        <v>46069.554861111108</v>
      </c>
      <c r="Q58" s="34">
        <v>46069.554861111108</v>
      </c>
      <c r="R58" s="10"/>
    </row>
    <row r="59" spans="1:18" x14ac:dyDescent="0.55000000000000004">
      <c r="A59" s="7">
        <v>31</v>
      </c>
      <c r="B59" s="7"/>
      <c r="C59" s="7"/>
      <c r="D59" s="8">
        <v>3</v>
      </c>
      <c r="E59" s="8" t="s">
        <v>94</v>
      </c>
      <c r="F59" s="8"/>
      <c r="G59" s="8"/>
      <c r="H59" s="8" t="s">
        <v>27</v>
      </c>
      <c r="I59" s="8" t="s">
        <v>26</v>
      </c>
      <c r="J59" s="8" t="s">
        <v>217</v>
      </c>
      <c r="K59" s="8" t="s">
        <v>216</v>
      </c>
      <c r="L59" s="8">
        <v>1</v>
      </c>
      <c r="M59" s="10" t="s">
        <v>57</v>
      </c>
      <c r="N59" s="10"/>
      <c r="O59" s="10"/>
      <c r="P59" s="34">
        <v>46069.554861111108</v>
      </c>
      <c r="Q59" s="34">
        <v>46069.554861111108</v>
      </c>
      <c r="R59" s="10"/>
    </row>
    <row r="60" spans="1:18" x14ac:dyDescent="0.55000000000000004">
      <c r="A60" s="7">
        <v>39</v>
      </c>
      <c r="B60" s="7"/>
      <c r="C60" s="7"/>
      <c r="D60" s="8">
        <v>7</v>
      </c>
      <c r="E60" s="8" t="s">
        <v>92</v>
      </c>
      <c r="F60" s="8"/>
      <c r="G60" s="8"/>
      <c r="H60" s="8" t="s">
        <v>27</v>
      </c>
      <c r="I60" s="8" t="s">
        <v>26</v>
      </c>
      <c r="J60" s="8" t="s">
        <v>217</v>
      </c>
      <c r="K60" s="8" t="s">
        <v>216</v>
      </c>
      <c r="L60" s="8">
        <v>1</v>
      </c>
      <c r="M60" s="10"/>
      <c r="N60" s="10"/>
      <c r="O60" s="10"/>
      <c r="P60" s="34">
        <v>46069.554861111108</v>
      </c>
      <c r="Q60" s="34">
        <v>46069.554861111108</v>
      </c>
      <c r="R60" s="10"/>
    </row>
    <row r="61" spans="1:18" x14ac:dyDescent="0.55000000000000004">
      <c r="A61" s="7">
        <v>51</v>
      </c>
      <c r="B61" s="7" t="s">
        <v>256</v>
      </c>
      <c r="C61" s="7">
        <v>1</v>
      </c>
      <c r="D61" s="8"/>
      <c r="E61" s="8"/>
      <c r="F61" s="8" t="s">
        <v>243</v>
      </c>
      <c r="G61" s="8" t="s">
        <v>249</v>
      </c>
      <c r="H61" s="8"/>
      <c r="I61" s="8"/>
      <c r="J61" s="8"/>
      <c r="K61" s="8"/>
      <c r="L61" s="8"/>
      <c r="M61" s="10"/>
      <c r="N61" s="10"/>
      <c r="O61" s="10"/>
      <c r="P61" s="34">
        <v>46069.554861111108</v>
      </c>
      <c r="Q61" s="34">
        <v>46069.554861111108</v>
      </c>
      <c r="R61" s="10"/>
    </row>
    <row r="62" spans="1:18" x14ac:dyDescent="0.55000000000000004">
      <c r="A62" s="7">
        <v>52</v>
      </c>
      <c r="B62" s="7" t="s">
        <v>256</v>
      </c>
      <c r="C62" s="7">
        <v>2</v>
      </c>
      <c r="D62" s="8"/>
      <c r="E62" s="8"/>
      <c r="F62" s="8" t="s">
        <v>244</v>
      </c>
      <c r="G62" s="8" t="s">
        <v>250</v>
      </c>
      <c r="H62" s="8"/>
      <c r="I62" s="8"/>
      <c r="J62" s="8"/>
      <c r="K62" s="8"/>
      <c r="L62" s="8"/>
      <c r="M62" s="10"/>
      <c r="N62" s="10"/>
      <c r="O62" s="10"/>
      <c r="P62" s="34">
        <v>46069.554861111108</v>
      </c>
      <c r="Q62" s="34">
        <v>46069.554861111108</v>
      </c>
      <c r="R62" s="10"/>
    </row>
    <row r="63" spans="1:18" x14ac:dyDescent="0.55000000000000004">
      <c r="A63" s="7">
        <v>53</v>
      </c>
      <c r="B63" s="7" t="s">
        <v>256</v>
      </c>
      <c r="C63" s="7">
        <v>3</v>
      </c>
      <c r="D63" s="8"/>
      <c r="E63" s="8"/>
      <c r="F63" s="8" t="s">
        <v>245</v>
      </c>
      <c r="G63" s="8" t="s">
        <v>251</v>
      </c>
      <c r="H63" s="8"/>
      <c r="I63" s="8"/>
      <c r="J63" s="8"/>
      <c r="K63" s="8"/>
      <c r="L63" s="8"/>
      <c r="M63" s="10"/>
      <c r="N63" s="10"/>
      <c r="O63" s="10"/>
      <c r="P63" s="34">
        <v>46069.554861111108</v>
      </c>
      <c r="Q63" s="34">
        <v>46069.554861111108</v>
      </c>
      <c r="R63" s="10"/>
    </row>
    <row r="64" spans="1:18" x14ac:dyDescent="0.55000000000000004">
      <c r="A64" s="7">
        <v>54</v>
      </c>
      <c r="B64" s="7" t="s">
        <v>256</v>
      </c>
      <c r="C64" s="7">
        <v>4</v>
      </c>
      <c r="D64" s="8"/>
      <c r="E64" s="8"/>
      <c r="F64" s="8" t="s">
        <v>246</v>
      </c>
      <c r="G64" s="8" t="s">
        <v>252</v>
      </c>
      <c r="H64" s="8"/>
      <c r="I64" s="8"/>
      <c r="J64" s="8"/>
      <c r="K64" s="8"/>
      <c r="L64" s="8"/>
      <c r="M64" s="10"/>
      <c r="N64" s="10"/>
      <c r="O64" s="10"/>
      <c r="P64" s="34">
        <v>46069.554861111108</v>
      </c>
      <c r="Q64" s="34">
        <v>46069.554861111108</v>
      </c>
      <c r="R64" s="10"/>
    </row>
    <row r="65" spans="1:18" x14ac:dyDescent="0.55000000000000004">
      <c r="A65" s="7">
        <v>55</v>
      </c>
      <c r="B65" s="7" t="s">
        <v>256</v>
      </c>
      <c r="C65" s="7">
        <v>5</v>
      </c>
      <c r="D65" s="8"/>
      <c r="E65" s="8"/>
      <c r="F65" s="8" t="s">
        <v>247</v>
      </c>
      <c r="G65" s="8" t="s">
        <v>253</v>
      </c>
      <c r="H65" s="8"/>
      <c r="I65" s="8"/>
      <c r="J65" s="8"/>
      <c r="K65" s="8"/>
      <c r="L65" s="8"/>
      <c r="M65" s="10"/>
      <c r="N65" s="10"/>
      <c r="O65" s="10"/>
      <c r="P65" s="34">
        <v>46069.554861111108</v>
      </c>
      <c r="Q65" s="34">
        <v>46069.554861111108</v>
      </c>
      <c r="R65" s="10"/>
    </row>
    <row r="66" spans="1:18" x14ac:dyDescent="0.55000000000000004">
      <c r="A66" s="7">
        <v>56</v>
      </c>
      <c r="B66" s="7" t="s">
        <v>256</v>
      </c>
      <c r="C66" s="7">
        <v>6</v>
      </c>
      <c r="D66" s="8"/>
      <c r="E66" s="8"/>
      <c r="F66" s="8" t="s">
        <v>248</v>
      </c>
      <c r="G66" s="8" t="s">
        <v>254</v>
      </c>
      <c r="H66" s="8"/>
      <c r="I66" s="8"/>
      <c r="J66" s="8"/>
      <c r="K66" s="8"/>
      <c r="L66" s="8"/>
      <c r="M66" s="10"/>
      <c r="N66" s="10"/>
      <c r="O66" s="10"/>
      <c r="P66" s="34">
        <v>46069.554861111108</v>
      </c>
      <c r="Q66" s="34">
        <v>46069.554861111108</v>
      </c>
      <c r="R66" s="10"/>
    </row>
    <row r="67" spans="1:18" x14ac:dyDescent="0.55000000000000004">
      <c r="A67" s="7">
        <v>60</v>
      </c>
      <c r="B67" s="7" t="s">
        <v>274</v>
      </c>
      <c r="C67" s="7">
        <v>7</v>
      </c>
      <c r="D67" s="8"/>
      <c r="E67" s="8"/>
      <c r="F67" s="8" t="s">
        <v>275</v>
      </c>
      <c r="G67" s="8" t="s">
        <v>276</v>
      </c>
      <c r="H67" s="8"/>
      <c r="I67" s="8"/>
      <c r="J67" s="8"/>
      <c r="K67" s="8"/>
      <c r="L67" s="8"/>
      <c r="M67" s="10"/>
      <c r="N67" s="10"/>
      <c r="O67" s="10"/>
      <c r="P67" s="34">
        <v>46069.809027777781</v>
      </c>
      <c r="Q67" s="34">
        <v>46069.809027777781</v>
      </c>
      <c r="R67" s="10"/>
    </row>
    <row r="68" spans="1:18" x14ac:dyDescent="0.55000000000000004">
      <c r="A68" s="7">
        <v>65</v>
      </c>
      <c r="B68" s="7" t="s">
        <v>274</v>
      </c>
      <c r="C68" s="7">
        <v>8</v>
      </c>
      <c r="D68" s="8"/>
      <c r="E68" s="8"/>
      <c r="F68" s="8" t="s">
        <v>291</v>
      </c>
      <c r="G68" s="8" t="s">
        <v>292</v>
      </c>
      <c r="H68" s="8"/>
      <c r="I68" s="8"/>
      <c r="J68" s="8"/>
      <c r="K68" s="8"/>
      <c r="L68" s="8"/>
      <c r="M68" s="10"/>
      <c r="N68" s="10"/>
      <c r="O68" s="10"/>
      <c r="P68" s="34">
        <v>46085.347222222219</v>
      </c>
      <c r="Q68" s="34">
        <v>46085.347222222219</v>
      </c>
      <c r="R68" s="10"/>
    </row>
    <row r="69" spans="1:18" x14ac:dyDescent="0.55000000000000004">
      <c r="A69" s="7">
        <v>57</v>
      </c>
      <c r="B69" s="7" t="s">
        <v>281</v>
      </c>
      <c r="C69" s="7">
        <v>1</v>
      </c>
      <c r="D69" s="8"/>
      <c r="E69" s="8"/>
      <c r="F69" s="8" t="s">
        <v>261</v>
      </c>
      <c r="G69" s="8" t="s">
        <v>262</v>
      </c>
      <c r="H69" s="8"/>
      <c r="I69" s="8"/>
      <c r="J69" s="8"/>
      <c r="K69" s="8"/>
      <c r="L69" s="8"/>
      <c r="M69" s="10"/>
      <c r="N69" s="10"/>
      <c r="O69" s="10"/>
      <c r="P69" s="34">
        <v>46069.554861111108</v>
      </c>
      <c r="Q69" s="34">
        <v>46077.372916666667</v>
      </c>
      <c r="R69" s="10"/>
    </row>
    <row r="70" spans="1:18" x14ac:dyDescent="0.55000000000000004">
      <c r="A70" s="7">
        <v>61</v>
      </c>
      <c r="B70" s="7" t="s">
        <v>282</v>
      </c>
      <c r="C70" s="7">
        <v>2</v>
      </c>
      <c r="D70" s="8"/>
      <c r="E70" s="8"/>
      <c r="F70" s="8" t="s">
        <v>283</v>
      </c>
      <c r="G70" s="8" t="s">
        <v>284</v>
      </c>
      <c r="H70" s="8"/>
      <c r="I70" s="8"/>
      <c r="J70" s="8"/>
      <c r="K70" s="8"/>
      <c r="L70" s="8"/>
      <c r="M70" s="10"/>
      <c r="N70" s="10"/>
      <c r="O70" s="10"/>
      <c r="P70" s="34">
        <v>46077.372916666667</v>
      </c>
      <c r="Q70" s="34">
        <v>46077.372916666667</v>
      </c>
      <c r="R70" s="10"/>
    </row>
    <row r="71" spans="1:18" x14ac:dyDescent="0.55000000000000004">
      <c r="A71" s="7">
        <v>62</v>
      </c>
      <c r="B71" s="7" t="s">
        <v>285</v>
      </c>
      <c r="C71" s="7">
        <v>1</v>
      </c>
      <c r="D71" s="8"/>
      <c r="E71" s="8"/>
      <c r="F71" s="8" t="s">
        <v>289</v>
      </c>
      <c r="G71" s="8" t="s">
        <v>290</v>
      </c>
      <c r="H71" s="8"/>
      <c r="I71" s="8"/>
      <c r="J71" s="8"/>
      <c r="K71" s="8"/>
      <c r="L71" s="8"/>
      <c r="M71" s="10"/>
      <c r="N71" s="10"/>
      <c r="O71" s="10"/>
      <c r="P71" s="34">
        <v>46083.387499999997</v>
      </c>
      <c r="Q71" s="34">
        <v>46083.387499999997</v>
      </c>
      <c r="R71" s="10"/>
    </row>
    <row r="72" spans="1:18" x14ac:dyDescent="0.55000000000000004">
      <c r="A72" s="7">
        <v>63</v>
      </c>
      <c r="B72" s="7" t="s">
        <v>285</v>
      </c>
      <c r="C72" s="7">
        <v>2</v>
      </c>
      <c r="D72" s="8"/>
      <c r="E72" s="8"/>
      <c r="F72" s="8" t="s">
        <v>289</v>
      </c>
      <c r="G72" s="8" t="s">
        <v>290</v>
      </c>
      <c r="H72" s="8"/>
      <c r="I72" s="8"/>
      <c r="J72" s="8"/>
      <c r="K72" s="8"/>
      <c r="L72" s="8"/>
      <c r="M72" s="10"/>
      <c r="N72" s="10"/>
      <c r="O72" s="10"/>
      <c r="P72" s="34">
        <v>46083.387499999997</v>
      </c>
      <c r="Q72" s="34">
        <v>46083.387499999997</v>
      </c>
      <c r="R72" s="10"/>
    </row>
    <row r="73" spans="1:18" x14ac:dyDescent="0.55000000000000004">
      <c r="A73" s="7">
        <v>64</v>
      </c>
      <c r="B73" s="7" t="s">
        <v>285</v>
      </c>
      <c r="C73" s="7">
        <v>3</v>
      </c>
      <c r="D73" s="8"/>
      <c r="E73" s="8"/>
      <c r="F73" s="8" t="s">
        <v>286</v>
      </c>
      <c r="G73" s="8" t="s">
        <v>287</v>
      </c>
      <c r="H73" s="8"/>
      <c r="I73" s="8"/>
      <c r="J73" s="8"/>
      <c r="K73" s="8"/>
      <c r="L73" s="8"/>
      <c r="M73" s="10"/>
      <c r="N73" s="10"/>
      <c r="O73" s="10"/>
      <c r="P73" s="34">
        <v>46083.363888888889</v>
      </c>
      <c r="Q73" s="34">
        <v>46083.363888888889</v>
      </c>
      <c r="R73" s="10"/>
    </row>
    <row r="74" spans="1:18" x14ac:dyDescent="0.55000000000000004">
      <c r="A74" s="18"/>
      <c r="B74" s="18"/>
      <c r="C74" s="18"/>
      <c r="D74" s="19"/>
      <c r="E74" s="19"/>
      <c r="F74" s="19"/>
      <c r="G74" s="19"/>
      <c r="H74" s="19"/>
      <c r="I74" s="19"/>
      <c r="J74" s="19"/>
      <c r="K74" s="19"/>
      <c r="L74" s="19"/>
      <c r="M74" s="20"/>
      <c r="N74" s="20"/>
      <c r="O74" s="20"/>
      <c r="P74" s="37"/>
      <c r="Q74" s="37"/>
      <c r="R74" s="20"/>
    </row>
    <row r="76" spans="1:18" x14ac:dyDescent="0.55000000000000004">
      <c r="A76" t="s">
        <v>111</v>
      </c>
      <c r="D76" t="s">
        <v>110</v>
      </c>
    </row>
    <row r="77" spans="1:18" x14ac:dyDescent="0.55000000000000004">
      <c r="A77">
        <f>MAX(A$2:A$74)</f>
        <v>73</v>
      </c>
      <c r="D77">
        <f>MAX(D$2:D$74)</f>
        <v>11</v>
      </c>
    </row>
    <row r="78" spans="1:18" x14ac:dyDescent="0.55000000000000004">
      <c r="A78" t="s">
        <v>193</v>
      </c>
      <c r="B78" t="s">
        <v>117</v>
      </c>
      <c r="C78" t="s">
        <v>116</v>
      </c>
    </row>
    <row r="79" spans="1:18" x14ac:dyDescent="0.55000000000000004">
      <c r="A79">
        <f>ROW(A75)-ROW(A1)-1</f>
        <v>73</v>
      </c>
      <c r="B79">
        <f>COUNTIF(B$2:B$74,B78)</f>
        <v>25</v>
      </c>
      <c r="C79" s="25">
        <f>_xlfn.MAXIFS(C$2:C$74,$B$2:$B$74,C78)</f>
        <v>25</v>
      </c>
    </row>
    <row r="80" spans="1:18" x14ac:dyDescent="0.55000000000000004">
      <c r="B80" t="s">
        <v>114</v>
      </c>
      <c r="C80" t="s">
        <v>114</v>
      </c>
    </row>
    <row r="81" spans="2:18" x14ac:dyDescent="0.55000000000000004">
      <c r="B81">
        <f>COUNTIF(B$2:B$74,B80)</f>
        <v>23</v>
      </c>
      <c r="C81" s="25">
        <f>_xlfn.MAXIFS(C$2:C$74,$B$2:$B$74,C80)</f>
        <v>20</v>
      </c>
    </row>
    <row r="84" spans="2:18" x14ac:dyDescent="0.55000000000000004">
      <c r="H84" s="2" t="s">
        <v>37</v>
      </c>
      <c r="L84">
        <v>1</v>
      </c>
      <c r="R84" t="s">
        <v>79</v>
      </c>
    </row>
    <row r="85" spans="2:18" x14ac:dyDescent="0.55000000000000004">
      <c r="H85" t="s">
        <v>56</v>
      </c>
      <c r="I85" t="s">
        <v>53</v>
      </c>
      <c r="J85" t="s">
        <v>52</v>
      </c>
      <c r="L85">
        <v>1</v>
      </c>
      <c r="R85" t="s">
        <v>79</v>
      </c>
    </row>
    <row r="87" spans="2:18" x14ac:dyDescent="0.55000000000000004">
      <c r="H87" s="2" t="s">
        <v>38</v>
      </c>
    </row>
    <row r="88" spans="2:18" x14ac:dyDescent="0.55000000000000004">
      <c r="H88" t="s">
        <v>82</v>
      </c>
      <c r="I88" t="s">
        <v>84</v>
      </c>
      <c r="J88" t="s">
        <v>80</v>
      </c>
      <c r="L88">
        <v>1</v>
      </c>
      <c r="R88" t="s">
        <v>79</v>
      </c>
    </row>
    <row r="90" spans="2:18" x14ac:dyDescent="0.55000000000000004">
      <c r="H90" s="2" t="s">
        <v>39</v>
      </c>
    </row>
    <row r="91" spans="2:18" x14ac:dyDescent="0.55000000000000004">
      <c r="H91" t="s">
        <v>83</v>
      </c>
      <c r="I91" t="s">
        <v>84</v>
      </c>
      <c r="J91" t="s">
        <v>81</v>
      </c>
      <c r="L91">
        <v>1</v>
      </c>
      <c r="R91" t="s">
        <v>79</v>
      </c>
    </row>
    <row r="93" spans="2:18" x14ac:dyDescent="0.55000000000000004">
      <c r="H93" s="2" t="s">
        <v>40</v>
      </c>
    </row>
    <row r="94" spans="2:18" x14ac:dyDescent="0.55000000000000004">
      <c r="H94" t="s">
        <v>42</v>
      </c>
      <c r="I94" t="s">
        <v>43</v>
      </c>
      <c r="J94" t="s">
        <v>12</v>
      </c>
      <c r="L94">
        <v>1</v>
      </c>
      <c r="R94" t="s">
        <v>87</v>
      </c>
    </row>
    <row r="95" spans="2:18" x14ac:dyDescent="0.55000000000000004">
      <c r="H95" t="s">
        <v>45</v>
      </c>
      <c r="I95" s="1" t="s">
        <v>54</v>
      </c>
      <c r="J95" t="s">
        <v>44</v>
      </c>
      <c r="L95">
        <v>2</v>
      </c>
      <c r="R95" t="s">
        <v>87</v>
      </c>
    </row>
    <row r="97" spans="8:18" x14ac:dyDescent="0.55000000000000004">
      <c r="H97" s="2" t="s">
        <v>41</v>
      </c>
    </row>
    <row r="98" spans="8:18" x14ac:dyDescent="0.55000000000000004">
      <c r="H98" t="s">
        <v>46</v>
      </c>
      <c r="I98" t="s">
        <v>47</v>
      </c>
      <c r="J98" t="s">
        <v>12</v>
      </c>
      <c r="L98">
        <v>1</v>
      </c>
      <c r="R98" t="s">
        <v>87</v>
      </c>
    </row>
    <row r="99" spans="8:18" x14ac:dyDescent="0.55000000000000004">
      <c r="H99" t="s">
        <v>50</v>
      </c>
      <c r="I99" s="3" t="s">
        <v>48</v>
      </c>
      <c r="J99" t="s">
        <v>49</v>
      </c>
      <c r="L99">
        <v>1</v>
      </c>
      <c r="R99" t="s">
        <v>87</v>
      </c>
    </row>
    <row r="100" spans="8:18" x14ac:dyDescent="0.55000000000000004">
      <c r="H100" t="s">
        <v>51</v>
      </c>
      <c r="I100" t="s">
        <v>55</v>
      </c>
      <c r="J100" t="s">
        <v>4</v>
      </c>
      <c r="L100">
        <v>2</v>
      </c>
      <c r="R100" t="s">
        <v>87</v>
      </c>
    </row>
    <row r="101" spans="8:18" x14ac:dyDescent="0.55000000000000004">
      <c r="H101" t="s">
        <v>85</v>
      </c>
      <c r="I101" t="s">
        <v>86</v>
      </c>
      <c r="J101" t="s">
        <v>88</v>
      </c>
      <c r="L101">
        <v>1</v>
      </c>
      <c r="R101" t="s">
        <v>87</v>
      </c>
    </row>
  </sheetData>
  <autoFilter ref="A1:R60" xr:uid="{48D32264-F25D-40E9-9C76-26E43E79C8CC}">
    <sortState xmlns:xlrd2="http://schemas.microsoft.com/office/spreadsheetml/2017/richdata2" ref="A2:R60">
      <sortCondition ref="B1:B60"/>
    </sortState>
  </autoFilter>
  <phoneticPr fontId="1"/>
  <conditionalFormatting sqref="A2:R74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225</v>
      </c>
      <c r="J1" t="s">
        <v>221</v>
      </c>
      <c r="L1" t="s">
        <v>222</v>
      </c>
      <c r="N1" t="s">
        <v>223</v>
      </c>
      <c r="P1" t="s">
        <v>224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0" customFormat="1" x14ac:dyDescent="0.55000000000000004">
      <c r="A2" s="30" t="s">
        <v>206</v>
      </c>
      <c r="E2" s="30" t="s">
        <v>211</v>
      </c>
      <c r="F2" s="30" t="s">
        <v>102</v>
      </c>
      <c r="G2" s="30" t="s">
        <v>192</v>
      </c>
      <c r="H2" s="30" t="s">
        <v>210</v>
      </c>
      <c r="J2" s="30" t="s">
        <v>184</v>
      </c>
      <c r="L2" s="30" t="s">
        <v>185</v>
      </c>
      <c r="N2" s="30" t="s">
        <v>195</v>
      </c>
      <c r="P2" s="30" t="s">
        <v>212</v>
      </c>
      <c r="X2" s="30" t="s">
        <v>196</v>
      </c>
      <c r="Y2" s="30" t="s">
        <v>187</v>
      </c>
      <c r="Z2" s="30" t="s">
        <v>188</v>
      </c>
      <c r="AA2" s="30" t="s">
        <v>189</v>
      </c>
      <c r="AB2" s="30" t="s">
        <v>190</v>
      </c>
      <c r="AC2" s="30" t="s">
        <v>191</v>
      </c>
      <c r="AD2" s="30" t="s">
        <v>190</v>
      </c>
      <c r="AE2" s="30" t="s">
        <v>198</v>
      </c>
      <c r="AF2" s="30" t="s">
        <v>199</v>
      </c>
      <c r="AG2" s="30" t="s">
        <v>220</v>
      </c>
      <c r="AH2" s="30" t="s">
        <v>199</v>
      </c>
      <c r="AI2" s="30" t="s">
        <v>208</v>
      </c>
      <c r="AJ2" s="30" t="s">
        <v>209</v>
      </c>
      <c r="AK2" s="30" t="s">
        <v>205</v>
      </c>
    </row>
    <row r="3" spans="1:37" x14ac:dyDescent="0.55000000000000004">
      <c r="A3" t="s">
        <v>179</v>
      </c>
      <c r="B3" t="str" cm="1">
        <f t="array" aca="1" ref="B3" ca="1">CELL("filename")</f>
        <v>C:\tk\prj\hg-0025-0016\git\unit01\kv-x520\doc\[kv_script_conv_info.xlsx]info_index</v>
      </c>
      <c r="E3" t="s">
        <v>117</v>
      </c>
      <c r="F3">
        <f>COUNTIF(E$3:E3,E3)</f>
        <v>1</v>
      </c>
      <c r="H3" cm="1">
        <f t="array" ref="H3:H202">IFERROR(MATCH($E$3:$E$202&amp;$F$3:$F$202,info_index!$B$2:$B$74&amp;info_index!$C$2:$C$74,0),"")</f>
        <v>1</v>
      </c>
      <c r="I3" t="str" cm="1">
        <f t="array" aca="1" ref="I3:I202" ca="1">IF(LEN(_xlfn.ANCHORARRAY(H3)),INDEX(OFFSET(info_index!$F$2:$F$74,0,$B$23),MATCH($E$3:$E$202&amp;$F$3:$F$202,info_index!$B$2:$B$74&amp;info_index!$C$2:$C$74,0)&amp;"",1),"")</f>
        <v>Foil wax reel shaft</v>
      </c>
      <c r="J3" t="str" cm="1">
        <f t="array" aca="1" ref="J3:J202" ca="1">IF(LEN(_xlfn.ANCHORARRAY($H3)),IF(LEN(_xlfn.ANCHORARRAY(I3)),_xlfn.ANCHORARRAY(I3),"unknown"),"")</f>
        <v>Foil wax reel shaft</v>
      </c>
      <c r="L3" t="str" cm="1">
        <f t="array" aca="1" ref="L3:L202" ca="1">IF(LEN(_xlfn.ANCHORARRAY(J3)),"【"&amp;E3:E202&amp;F3:F202&amp;"】 "&amp;_xlfn.ANCHORARRAY(J3),"")</f>
        <v>【axis1】 Foil wax reel shaft</v>
      </c>
      <c r="M3" t="str" cm="1">
        <f t="array" ref="M3:M202">IFERROR(INDEX(info_index!$H$2:$H$74,MATCH($E$3:$E$202&amp;$F$3:$F$202,info_index!$B$2:$B$74&amp;info_index!$C$2:$C$74,0),1)&amp;"","")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IF(LEN(_xlfn.ANCHORARRAY(H3)),INDEX(OFFSET(info_index!$J$2:$J$74,0,$B$23),MATCH($E$3:$E$202&amp;$F$3:$F$202,info_index!$B$2:$B$74&amp;info_index!$C$2:$C$74,0),1)&amp;"","")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//Foil wax reel shaft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//Foil wax reel shaft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//Foil wax reel shaft
	IF uiInfoIdx = 1 THEN
		IF strInfoKey = 'name' THEN
			strRt	:= 'Foil wax reel shaft';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//Foil wax reel shaft
	IF uiInfoIdx = 1 THEN
		IF strInfoKey = 'name' THEN
			strRt	:= 'Foil wax reel shaft';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//Foil wax reel shaft
	IF uiInfoIdx = 1 THEN
		IF strInfoKey = 'name' THEN
			strRt	:= 'Foil wax reel shaft';
		ELSIF strInfoKey = 'index_name' THEN
			strRt	:= '【axis1】 Foil wax reel shaft';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Flat sheet feed shaft</v>
      </c>
      <c r="J4" t="str">
        <f ca="1"/>
        <v>Flat sheet feed shaft</v>
      </c>
      <c r="L4" t="str">
        <f ca="1"/>
        <v>【axis2】 Flat sheet feed shaft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//Flat sheet feed shaft
	ELSIF uiInfoIdx = 2 THEN</v>
      </c>
      <c r="AA4" t="str">
        <f ca="1"/>
        <v xml:space="preserve">
	//Flat sheet feed shaft
	ELSIF uiInfoIdx = 2 THEN
		IF strInfoKey = 'name' THEN</v>
      </c>
      <c r="AB4" t="str">
        <f ca="1"/>
        <v xml:space="preserve">
	//Flat sheet feed shaft
	ELSIF uiInfoIdx = 2 THEN
		IF strInfoKey = 'name' THEN
			strRt	:= 'Flat sheet feed shaft';</v>
      </c>
      <c r="AC4" t="str">
        <f ca="1"/>
        <v xml:space="preserve">
	//Flat sheet feed shaft
	ELSIF uiInfoIdx = 2 THEN
		IF strInfoKey = 'name' THEN
			strRt	:= 'Flat sheet feed shaft';
		ELSIF strInfoKey = 'index_name' THEN</v>
      </c>
      <c r="AD4" t="str">
        <f ca="1"/>
        <v xml:space="preserve">
	//Flat sheet feed shaft
	ELSIF uiInfoIdx = 2 THEN
		IF strInfoKey = 'name' THEN
			strRt	:= 'Flat sheet feed shaft';
		ELSIF strInfoKey = 'index_name' THEN
			strRt	:= '【axis2】 Flat sheet feed shaft';</v>
      </c>
      <c r="AE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</v>
      </c>
      <c r="AF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</v>
      </c>
      <c r="AG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</v>
      </c>
      <c r="AH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</v>
      </c>
      <c r="AI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J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K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176</v>
      </c>
      <c r="B5" t="str">
        <f ca="1">"このスクリプトは "&amp;B3&amp;" によって生成されました。"</f>
        <v>このスクリプトは C:\tk\prj\hg-0025-0016\git\unit01\kv-x520\doc\[kv_script_conv_info.xlsx]info_index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Foil wax feed shaft</v>
      </c>
      <c r="J5" t="str">
        <f ca="1"/>
        <v>Foil wax feed shaft</v>
      </c>
      <c r="L5" t="str">
        <f ca="1"/>
        <v>【axis3】 Foil wax feed shaft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//Foil wax feed shaft
	ELSIF uiInfoIdx = 3 THEN</v>
      </c>
      <c r="AA5" t="str">
        <f ca="1"/>
        <v xml:space="preserve">
	//Foil wax feed shaft
	ELSIF uiInfoIdx = 3 THEN
		IF strInfoKey = 'name' THEN</v>
      </c>
      <c r="AB5" t="str">
        <f ca="1"/>
        <v xml:space="preserve">
	//Foil wax feed shaft
	ELSIF uiInfoIdx = 3 THEN
		IF strInfoKey = 'name' THEN
			strRt	:= 'Foil wax feed shaft';</v>
      </c>
      <c r="AC5" t="str">
        <f ca="1"/>
        <v xml:space="preserve">
	//Foil wax feed shaft
	ELSIF uiInfoIdx = 3 THEN
		IF strInfoKey = 'name' THEN
			strRt	:= 'Foil wax feed shaft';
		ELSIF strInfoKey = 'index_name' THEN</v>
      </c>
      <c r="AD5" t="str">
        <f ca="1"/>
        <v xml:space="preserve">
	//Foil wax feed shaft
	ELSIF uiInfoIdx = 3 THEN
		IF strInfoKey = 'name' THEN
			strRt	:= 'Foil wax feed shaft';
		ELSIF strInfoKey = 'index_name' THEN
			strRt	:= '【axis3】 Foil wax feed shaft';</v>
      </c>
      <c r="AE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</v>
      </c>
      <c r="AF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</v>
      </c>
      <c r="AG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</v>
      </c>
      <c r="AH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</v>
      </c>
      <c r="AI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J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K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177</v>
      </c>
      <c r="B6" t="s">
        <v>178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Corrugated sheet feed</v>
      </c>
      <c r="J6" t="str">
        <f ca="1"/>
        <v>Corrugated sheet feed</v>
      </c>
      <c r="L6" t="str">
        <f ca="1"/>
        <v>【axis4】 Corrugated sheet feed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//Corrugated sheet feed
	ELSIF uiInfoIdx = 4 THEN</v>
      </c>
      <c r="AA6" t="str">
        <f ca="1"/>
        <v xml:space="preserve">
	//Corrugated sheet feed
	ELSIF uiInfoIdx = 4 THEN
		IF strInfoKey = 'name' THEN</v>
      </c>
      <c r="AB6" t="str">
        <f ca="1"/>
        <v xml:space="preserve">
	//Corrugated sheet feed
	ELSIF uiInfoIdx = 4 THEN
		IF strInfoKey = 'name' THEN
			strRt	:= 'Corrugated sheet feed';</v>
      </c>
      <c r="AC6" t="str">
        <f ca="1"/>
        <v xml:space="preserve">
	//Corrugated sheet feed
	ELSIF uiInfoIdx = 4 THEN
		IF strInfoKey = 'name' THEN
			strRt	:= 'Corrugated sheet feed';
		ELSIF strInfoKey = 'index_name' THEN</v>
      </c>
      <c r="AD6" t="str">
        <f ca="1"/>
        <v xml:space="preserve">
	//Corrugated sheet feed
	ELSIF uiInfoIdx = 4 THEN
		IF strInfoKey = 'name' THEN
			strRt	:= 'Corrugated sheet feed';
		ELSIF strInfoKey = 'index_name' THEN
			strRt	:= '【axis4】 Corrugated sheet feed';</v>
      </c>
      <c r="AE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</v>
      </c>
      <c r="AF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</v>
      </c>
      <c r="AG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</v>
      </c>
      <c r="AH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</v>
      </c>
      <c r="AI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J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K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170</v>
      </c>
      <c r="B7" t="s">
        <v>171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Workpiece discharge up/down shaft</v>
      </c>
      <c r="J7" t="str">
        <f ca="1"/>
        <v>Workpiece discharge up/down shaft</v>
      </c>
      <c r="L7" t="str">
        <f ca="1"/>
        <v>【axis5】 Workpiece discharge up/down shaft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//Workpiece discharge up/down shaft
	ELSIF uiInfoIdx = 5 THEN</v>
      </c>
      <c r="AA7" t="str">
        <f ca="1"/>
        <v xml:space="preserve">
	//Workpiece discharge up/down shaft
	ELSIF uiInfoIdx = 5 THEN
		IF strInfoKey = 'name' THEN</v>
      </c>
      <c r="AB7" t="str">
        <f ca="1"/>
        <v xml:space="preserve">
	//Workpiece discharge up/down shaft
	ELSIF uiInfoIdx = 5 THEN
		IF strInfoKey = 'name' THEN
			strRt	:= 'Workpiece discharge up/down shaft';</v>
      </c>
      <c r="AC7" t="str">
        <f ca="1"/>
        <v xml:space="preserve">
	//Workpiece discharge up/down shaft
	ELSIF uiInfoIdx = 5 THEN
		IF strInfoKey = 'name' THEN
			strRt	:= 'Workpiece discharge up/down shaft';
		ELSIF strInfoKey = 'index_name' THEN</v>
      </c>
      <c r="AD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</v>
      </c>
      <c r="AE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</v>
      </c>
      <c r="AF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</v>
      </c>
      <c r="AG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</v>
      </c>
      <c r="AH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</v>
      </c>
      <c r="AI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J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K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172</v>
      </c>
      <c r="B8" t="s">
        <v>173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Circumference measuring probe up/down shaft</v>
      </c>
      <c r="J8" t="str">
        <f ca="1"/>
        <v>Circumference measuring probe up/down shaft</v>
      </c>
      <c r="L8" t="str">
        <f ca="1"/>
        <v>【axis6】 Circumference measuring probe up/down shaft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//Circumference measuring probe up/down shaft
	ELSIF uiInfoIdx = 6 THEN</v>
      </c>
      <c r="AA8" t="str">
        <f ca="1"/>
        <v xml:space="preserve">
	//Circumference measuring probe up/down shaft
	ELSIF uiInfoIdx = 6 THEN
		IF strInfoKey = 'name' THEN</v>
      </c>
      <c r="AB8" t="str">
        <f ca="1"/>
        <v xml:space="preserve">
	//Circumference measuring probe up/down shaft
	ELSIF uiInfoIdx = 6 THEN
		IF strInfoKey = 'name' THEN
			strRt	:= 'Circumference measuring probe up/down shaft';</v>
      </c>
      <c r="AC8" t="str">
        <f ca="1"/>
        <v xml:space="preserve">
	//Circumference measuring probe up/down shaft
	ELSIF uiInfoIdx = 6 THEN
		IF strInfoKey = 'name' THEN
			strRt	:= 'Circumference measuring probe up/down shaft';
		ELSIF strInfoKey = 'index_name' THEN</v>
      </c>
      <c r="AD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</v>
      </c>
      <c r="AE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</v>
      </c>
      <c r="AF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</v>
      </c>
      <c r="AG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</v>
      </c>
      <c r="AH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</v>
      </c>
      <c r="AI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J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K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174</v>
      </c>
      <c r="B9" t="s">
        <v>175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Workpiece (discharge) chuck shaft</v>
      </c>
      <c r="J9" t="str">
        <f ca="1"/>
        <v>Workpiece (discharge) chuck shaft</v>
      </c>
      <c r="L9" t="str">
        <f ca="1"/>
        <v>【axis7】 Workpiece (discharge) chuck shaft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//Workpiece (discharge) chuck shaft
	ELSIF uiInfoIdx = 7 THEN</v>
      </c>
      <c r="AA9" t="str">
        <f ca="1"/>
        <v xml:space="preserve">
	//Workpiece (discharge) chuck shaft
	ELSIF uiInfoIdx = 7 THEN
		IF strInfoKey = 'name' THEN</v>
      </c>
      <c r="AB9" t="str">
        <f ca="1"/>
        <v xml:space="preserve">
	//Workpiece (discharge) chuck shaft
	ELSIF uiInfoIdx = 7 THEN
		IF strInfoKey = 'name' THEN
			strRt	:= 'Workpiece (discharge) chuck shaft';</v>
      </c>
      <c r="AC9" t="str">
        <f ca="1"/>
        <v xml:space="preserve">
	//Workpiece (discharge) chuck shaft
	ELSIF uiInfoIdx = 7 THEN
		IF strInfoKey = 'name' THEN
			strRt	:= 'Workpiece (discharge) chuck shaft';
		ELSIF strInfoKey = 'index_name' THEN</v>
      </c>
      <c r="AD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</v>
      </c>
      <c r="AE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</v>
      </c>
      <c r="AF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</v>
      </c>
      <c r="AG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</v>
      </c>
      <c r="AH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</v>
      </c>
      <c r="AI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J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K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Welding torch forward/backward</v>
      </c>
      <c r="J10" t="str">
        <f ca="1"/>
        <v>Welding torch forward/backward</v>
      </c>
      <c r="L10" t="str">
        <f ca="1"/>
        <v>【axis8】 Welding torch forward/backward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//Welding torch forward/backward
	ELSIF uiInfoIdx = 8 THEN</v>
      </c>
      <c r="AA10" t="str">
        <f ca="1"/>
        <v xml:space="preserve">
	//Welding torch forward/backward
	ELSIF uiInfoIdx = 8 THEN
		IF strInfoKey = 'name' THEN</v>
      </c>
      <c r="AB10" t="str">
        <f ca="1"/>
        <v xml:space="preserve">
	//Welding torch forward/backward
	ELSIF uiInfoIdx = 8 THEN
		IF strInfoKey = 'name' THEN
			strRt	:= 'Welding torch forward/backward';</v>
      </c>
      <c r="AC10" t="str">
        <f ca="1"/>
        <v xml:space="preserve">
	//Welding torch forward/backward
	ELSIF uiInfoIdx = 8 THEN
		IF strInfoKey = 'name' THEN
			strRt	:= 'Welding torch forward/backward';
		ELSIF strInfoKey = 'index_name' THEN</v>
      </c>
      <c r="AD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</v>
      </c>
      <c r="AE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</v>
      </c>
      <c r="AF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</v>
      </c>
      <c r="AG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</v>
      </c>
      <c r="AH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</v>
      </c>
      <c r="AI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Welding torch up/down</v>
      </c>
      <c r="J11" t="str">
        <f ca="1"/>
        <v>Welding torch up/down</v>
      </c>
      <c r="L11" t="str">
        <f ca="1"/>
        <v>【axis9】 Welding torch up/down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//Welding torch up/down
	ELSIF uiInfoIdx = 9 THEN</v>
      </c>
      <c r="AA11" t="str">
        <f ca="1"/>
        <v xml:space="preserve">
	//Welding torch up/down
	ELSIF uiInfoIdx = 9 THEN
		IF strInfoKey = 'name' THEN</v>
      </c>
      <c r="AB11" t="str">
        <f ca="1"/>
        <v xml:space="preserve">
	//Welding torch up/down
	ELSIF uiInfoIdx = 9 THEN
		IF strInfoKey = 'name' THEN
			strRt	:= 'Welding torch up/down';</v>
      </c>
      <c r="AC11" t="str">
        <f ca="1"/>
        <v xml:space="preserve">
	//Welding torch up/down
	ELSIF uiInfoIdx = 9 THEN
		IF strInfoKey = 'name' THEN
			strRt	:= 'Welding torch up/down';
		ELSIF strInfoKey = 'index_name' THEN</v>
      </c>
      <c r="AD11" t="str">
        <f ca="1"/>
        <v xml:space="preserve">
	//Welding torch up/down
	ELSIF uiInfoIdx = 9 THEN
		IF strInfoKey = 'name' THEN
			strRt	:= 'Welding torch up/down';
		ELSIF strInfoKey = 'index_name' THEN
			strRt	:= '【axis9】 Welding torch up/down';</v>
      </c>
      <c r="AE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</v>
      </c>
      <c r="AF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</v>
      </c>
      <c r="AG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</v>
      </c>
      <c r="AH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</v>
      </c>
      <c r="AI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Binder supply pump motor</v>
      </c>
      <c r="J12" t="str">
        <f ca="1"/>
        <v>Binder supply pump motor</v>
      </c>
      <c r="L12" t="str">
        <f ca="1"/>
        <v>【axis10】 Binder supply pump motor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//Binder supply pump motor
	ELSIF uiInfoIdx = 10 THEN</v>
      </c>
      <c r="AA12" t="str">
        <f ca="1"/>
        <v xml:space="preserve">
	//Binder supply pump motor
	ELSIF uiInfoIdx = 10 THEN
		IF strInfoKey = 'name' THEN</v>
      </c>
      <c r="AB12" t="str">
        <f ca="1"/>
        <v xml:space="preserve">
	//Binder supply pump motor
	ELSIF uiInfoIdx = 10 THEN
		IF strInfoKey = 'name' THEN
			strRt	:= 'Binder supply pump motor';</v>
      </c>
      <c r="AC12" t="str">
        <f ca="1"/>
        <v xml:space="preserve">
	//Binder supply pump motor
	ELSIF uiInfoIdx = 10 THEN
		IF strInfoKey = 'name' THEN
			strRt	:= 'Binder supply pump motor';
		ELSIF strInfoKey = 'index_name' THEN</v>
      </c>
      <c r="AD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</v>
      </c>
      <c r="AE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</v>
      </c>
      <c r="AF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</v>
      </c>
      <c r="AG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</v>
      </c>
      <c r="AH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</v>
      </c>
      <c r="AI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J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K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180</v>
      </c>
      <c r="B13" t="str">
        <f ca="1">$AK$205</f>
        <v>//このスクリプトは C:\tk\prj\hg-0025-0016\git\unit01\kv-x520\doc\[kv_script_conv_info.xlsx]info_index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
			strRt	:= 'OrientalMotor';
		ELSE
			uiErrCode	:= 3;
		END_IF;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
			strRt	:= 'KEYENCE';
		ELSE
			uiErrCode	:= 3;
		END_IF;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
	//Workpiece transportation X-shaft
	ELSIF uiInfoIdx = 19 THEN
		IF strInfoKey = 'name' THEN
			strRt	:= 'Workpiece transportation X-shaft';
		ELSIF strInfoKey = 'index_name' THEN
			strRt	:= '【axis19】 Workpiece transportation X-shaft';
		ELSIF strInfoKey = 'model' THEN
			strRt	:= 'RCP6S-SA4R-WA-35P-5-500-SE-S-ML';
		ELSIF strInfoKey = 'mf' THEN
			strRt	:= 'IAI';
		ELSE
			uiErrCode	:= 3;
		END_IF;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
			strRt	:= 'KEYENCE';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
	ELSE
		uiErrCode	:= 2;
	END_IF;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
	ELSE
		uiErrCode	:= 2;
	END_IF;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
	ELSE
		uiErrCode	:= 2;
	END_IF;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
	//Foil wax reel section
	ELSIF uiInfoIdx = 8 THEN
		IF strInfoKey = 'name' THEN
			strRt	:= 'Foil wax reel section';
		ELSIF strInfoKey = 'index_name' THEN
			strRt	:= '【unit8】 Foil wax reel section';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Corrugated sheet reel motor</v>
      </c>
      <c r="J13" t="str">
        <f ca="1"/>
        <v>Corrugated sheet reel motor</v>
      </c>
      <c r="L13" t="str">
        <f ca="1"/>
        <v>【axis11】 Corrugated sheet reel motor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//Corrugated sheet reel motor
	ELSIF uiInfoIdx = 11 THEN</v>
      </c>
      <c r="AA13" t="str">
        <f ca="1"/>
        <v xml:space="preserve">
	//Corrugated sheet reel motor
	ELSIF uiInfoIdx = 11 THEN
		IF strInfoKey = 'name' THEN</v>
      </c>
      <c r="AB13" t="str">
        <f ca="1"/>
        <v xml:space="preserve">
	//Corrugated sheet reel motor
	ELSIF uiInfoIdx = 11 THEN
		IF strInfoKey = 'name' THEN
			strRt	:= 'Corrugated sheet reel motor';</v>
      </c>
      <c r="AC13" t="str">
        <f ca="1"/>
        <v xml:space="preserve">
	//Corrugated sheet reel motor
	ELSIF uiInfoIdx = 11 THEN
		IF strInfoKey = 'name' THEN
			strRt	:= 'Corrugated sheet reel motor';
		ELSIF strInfoKey = 'index_name' THEN</v>
      </c>
      <c r="AD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</v>
      </c>
      <c r="AE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</v>
      </c>
      <c r="AF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</v>
      </c>
      <c r="AG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</v>
      </c>
      <c r="AH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</v>
      </c>
      <c r="AI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J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K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226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Flat sheet reel motor</v>
      </c>
      <c r="J14" t="str">
        <f ca="1"/>
        <v>Flat sheet reel motor</v>
      </c>
      <c r="L14" t="str">
        <f ca="1"/>
        <v>【axis12】 Flat sheet reel motor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//Flat sheet reel motor
	ELSIF uiInfoIdx = 12 THEN</v>
      </c>
      <c r="AA14" t="str">
        <f ca="1"/>
        <v xml:space="preserve">
	//Flat sheet reel motor
	ELSIF uiInfoIdx = 12 THEN
		IF strInfoKey = 'name' THEN</v>
      </c>
      <c r="AB14" t="str">
        <f ca="1"/>
        <v xml:space="preserve">
	//Flat sheet reel motor
	ELSIF uiInfoIdx = 12 THEN
		IF strInfoKey = 'name' THEN
			strRt	:= 'Flat sheet reel motor';</v>
      </c>
      <c r="AC14" t="str">
        <f ca="1"/>
        <v xml:space="preserve">
	//Flat sheet reel motor
	ELSIF uiInfoIdx = 12 THEN
		IF strInfoKey = 'name' THEN
			strRt	:= 'Flat sheet reel motor';
		ELSIF strInfoKey = 'index_name' THEN</v>
      </c>
      <c r="AD14" t="str">
        <f ca="1"/>
        <v xml:space="preserve">
	//Flat sheet reel motor
	ELSIF uiInfoIdx = 12 THEN
		IF strInfoKey = 'name' THEN
			strRt	:= 'Flat sheet reel motor';
		ELSIF strInfoKey = 'index_name' THEN
			strRt	:= '【axis12】 Flat sheet reel motor';</v>
      </c>
      <c r="AE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</v>
      </c>
      <c r="AF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</v>
      </c>
      <c r="AG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</v>
      </c>
      <c r="AH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</v>
      </c>
      <c r="AI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J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K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Winding main shaft</v>
      </c>
      <c r="J15" t="str">
        <f ca="1"/>
        <v>Winding main shaft</v>
      </c>
      <c r="L15" t="str">
        <f ca="1"/>
        <v>【axis13】 Winding main shaft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//Winding main shaft
	ELSIF uiInfoIdx = 13 THEN</v>
      </c>
      <c r="AA15" t="str">
        <f ca="1"/>
        <v xml:space="preserve">
	//Winding main shaft
	ELSIF uiInfoIdx = 13 THEN
		IF strInfoKey = 'name' THEN</v>
      </c>
      <c r="AB15" t="str">
        <f ca="1"/>
        <v xml:space="preserve">
	//Winding main shaft
	ELSIF uiInfoIdx = 13 THEN
		IF strInfoKey = 'name' THEN
			strRt	:= 'Winding main shaft';</v>
      </c>
      <c r="AC15" t="str">
        <f ca="1"/>
        <v xml:space="preserve">
	//Winding main shaft
	ELSIF uiInfoIdx = 13 THEN
		IF strInfoKey = 'name' THEN
			strRt	:= 'Winding main shaft';
		ELSIF strInfoKey = 'index_name' THEN</v>
      </c>
      <c r="AD15" t="str">
        <f ca="1"/>
        <v xml:space="preserve">
	//Winding main shaft
	ELSIF uiInfoIdx = 13 THEN
		IF strInfoKey = 'name' THEN
			strRt	:= 'Winding main shaft';
		ELSIF strInfoKey = 'index_name' THEN
			strRt	:= '【axis13】 Winding main shaft';</v>
      </c>
      <c r="AE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</v>
      </c>
      <c r="AF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</v>
      </c>
      <c r="AG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</v>
      </c>
      <c r="AH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</v>
      </c>
      <c r="AI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J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K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Workpiece width adjustment shaft</v>
      </c>
      <c r="J16" t="str">
        <f ca="1"/>
        <v>Workpiece width adjustment shaft</v>
      </c>
      <c r="L16" t="str">
        <f ca="1"/>
        <v>【axis14】 Workpiece width adjustment shaft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//Workpiece width adjustment shaft
	ELSIF uiInfoIdx = 14 THEN</v>
      </c>
      <c r="AA16" t="str">
        <f ca="1"/>
        <v xml:space="preserve">
	//Workpiece width adjustment shaft
	ELSIF uiInfoIdx = 14 THEN
		IF strInfoKey = 'name' THEN</v>
      </c>
      <c r="AB16" t="str">
        <f ca="1"/>
        <v xml:space="preserve">
	//Workpiece width adjustment shaft
	ELSIF uiInfoIdx = 14 THEN
		IF strInfoKey = 'name' THEN
			strRt	:= 'Workpiece width adjustment shaft';</v>
      </c>
      <c r="AC16" t="str">
        <f ca="1"/>
        <v xml:space="preserve">
	//Workpiece width adjustment shaft
	ELSIF uiInfoIdx = 14 THEN
		IF strInfoKey = 'name' THEN
			strRt	:= 'Workpiece width adjustment shaft';
		ELSIF strInfoKey = 'index_name' THEN</v>
      </c>
      <c r="AD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</v>
      </c>
      <c r="AE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</v>
      </c>
      <c r="AF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</v>
      </c>
      <c r="AG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</v>
      </c>
      <c r="AH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</v>
      </c>
      <c r="AI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J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K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Corrugated sheet auxiliary shaft</v>
      </c>
      <c r="J17" t="str">
        <f ca="1"/>
        <v>Corrugated sheet auxiliary shaft</v>
      </c>
      <c r="L17" t="str">
        <f ca="1"/>
        <v>【axis15】 Corrugated sheet auxiliary shaft</v>
      </c>
      <c r="M17" t="str">
        <v>AZM15AK</v>
      </c>
      <c r="N17" t="str">
        <v>AZM15AK</v>
      </c>
      <c r="O17" t="str">
        <f ca="1"/>
        <v>OrientalMotor</v>
      </c>
      <c r="P17" t="str">
        <f ca="1"/>
        <v>OrientalMotor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//Corrugated sheet auxiliary shaft
	ELSIF uiInfoIdx = 15 THEN</v>
      </c>
      <c r="AA17" t="str">
        <f ca="1"/>
        <v xml:space="preserve">
	//Corrugated sheet auxiliary shaft
	ELSIF uiInfoIdx = 15 THEN
		IF strInfoKey = 'name' THEN</v>
      </c>
      <c r="AB17" t="str">
        <f ca="1"/>
        <v xml:space="preserve">
	//Corrugated sheet auxiliary shaft
	ELSIF uiInfoIdx = 15 THEN
		IF strInfoKey = 'name' THEN
			strRt	:= 'Corrugated sheet auxiliary shaft';</v>
      </c>
      <c r="AC17" t="str">
        <f ca="1"/>
        <v xml:space="preserve">
	//Corrugated sheet auxiliary shaft
	ELSIF uiInfoIdx = 15 THEN
		IF strInfoKey = 'name' THEN
			strRt	:= 'Corrugated sheet auxiliary shaft';
		ELSIF strInfoKey = 'index_name' THEN</v>
      </c>
      <c r="AD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</v>
      </c>
      <c r="AE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</v>
      </c>
      <c r="AF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</v>
      </c>
      <c r="AG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</v>
      </c>
      <c r="AH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
			strRt	:= 'OrientalMotor';</v>
      </c>
      <c r="AI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
			strRt	:= 'OrientalMotor';
		ELSE
			uiErrCode	:= 3;
		END_IF;</v>
      </c>
      <c r="AJ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
			strRt	:= 'OrientalMotor';
		ELSE
			uiErrCode	:= 3;
		END_IF;</v>
      </c>
      <c r="AK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
			strRt	:= 'OrientalMotor';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Flat tension axis</v>
      </c>
      <c r="J18" t="str">
        <f ca="1"/>
        <v>Flat tension axis</v>
      </c>
      <c r="L18" t="str">
        <f ca="1"/>
        <v>【axis16】 Flat tension axis</v>
      </c>
      <c r="M18" t="str">
        <v>SV3-M040AK</v>
      </c>
      <c r="N18" t="str">
        <v>SV3-M040AK</v>
      </c>
      <c r="O18" t="str">
        <f ca="1"/>
        <v>KEYENCE</v>
      </c>
      <c r="P18" t="str">
        <f ca="1"/>
        <v>KEYENCE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//Flat tension axis
	ELSIF uiInfoIdx = 16 THEN</v>
      </c>
      <c r="AA18" t="str">
        <f ca="1"/>
        <v xml:space="preserve">
	//Flat tension axis
	ELSIF uiInfoIdx = 16 THEN
		IF strInfoKey = 'name' THEN</v>
      </c>
      <c r="AB18" t="str">
        <f ca="1"/>
        <v xml:space="preserve">
	//Flat tension axis
	ELSIF uiInfoIdx = 16 THEN
		IF strInfoKey = 'name' THEN
			strRt	:= 'Flat tension axis';</v>
      </c>
      <c r="AC18" t="str">
        <f ca="1"/>
        <v xml:space="preserve">
	//Flat tension axis
	ELSIF uiInfoIdx = 16 THEN
		IF strInfoKey = 'name' THEN
			strRt	:= 'Flat tension axis';
		ELSIF strInfoKey = 'index_name' THEN</v>
      </c>
      <c r="AD18" t="str">
        <f ca="1"/>
        <v xml:space="preserve">
	//Flat tension axis
	ELSIF uiInfoIdx = 16 THEN
		IF strInfoKey = 'name' THEN
			strRt	:= 'Flat tension axis';
		ELSIF strInfoKey = 'index_name' THEN
			strRt	:= '【axis16】 Flat tension axis';</v>
      </c>
      <c r="AE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</v>
      </c>
      <c r="AF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
			strRt	:= 'SV3-M040AK';</v>
      </c>
      <c r="AG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</v>
      </c>
      <c r="AH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
			strRt	:= 'KEYENCE';</v>
      </c>
      <c r="AI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
			strRt	:= 'KEYENCE';
		ELSE
			uiErrCode	:= 3;
		END_IF;</v>
      </c>
      <c r="AJ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
			strRt	:= 'KEYENCE';
		ELSE
			uiErrCode	:= 3;
		END_IF;</v>
      </c>
      <c r="AK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
			strRt	:= 'KEYENCE';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>
        <v>17</v>
      </c>
      <c r="I19" t="str">
        <f ca="1"/>
        <v>Flat plate chuck shaft</v>
      </c>
      <c r="J19" t="str">
        <f ca="1"/>
        <v>Flat plate chuck shaft</v>
      </c>
      <c r="L19" t="str">
        <f ca="1"/>
        <v>【axis17】 Flat plate chuck shaft</v>
      </c>
      <c r="M19" t="str">
        <v>RCP4-GRSWL-I-42P-28-30-P3-M-AC1</v>
      </c>
      <c r="N19" t="str">
        <v>RCP4-GRSWL-I-42P-28-30-P3-M-AC1</v>
      </c>
      <c r="O19" t="str">
        <f ca="1"/>
        <v>IAI</v>
      </c>
      <c r="P19" t="str">
        <f ca="1"/>
        <v>IAI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//Flat plate chuck shaft
	ELSIF uiInfoIdx = 17 THEN</v>
      </c>
      <c r="AA19" t="str">
        <f ca="1"/>
        <v xml:space="preserve">
	//Flat plate chuck shaft
	ELSIF uiInfoIdx = 17 THEN
		IF strInfoKey = 'name' THEN</v>
      </c>
      <c r="AB19" t="str">
        <f ca="1"/>
        <v xml:space="preserve">
	//Flat plate chuck shaft
	ELSIF uiInfoIdx = 17 THEN
		IF strInfoKey = 'name' THEN
			strRt	:= 'Flat plate chuck shaft';</v>
      </c>
      <c r="AC19" t="str">
        <f ca="1"/>
        <v xml:space="preserve">
	//Flat plate chuck shaft
	ELSIF uiInfoIdx = 17 THEN
		IF strInfoKey = 'name' THEN
			strRt	:= 'Flat plate chuck shaft';
		ELSIF strInfoKey = 'index_name' THEN</v>
      </c>
      <c r="AD19" t="str">
        <f ca="1"/>
        <v xml:space="preserve">
	//Flat plate chuck shaft
	ELSIF uiInfoIdx = 17 THEN
		IF strInfoKey = 'name' THEN
			strRt	:= 'Flat plate chuck shaft';
		ELSIF strInfoKey = 'index_name' THEN
			strRt	:= '【axis17】 Flat plate chuck shaft';</v>
      </c>
      <c r="AE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</v>
      </c>
      <c r="AF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</v>
      </c>
      <c r="AG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</v>
      </c>
      <c r="AH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</v>
      </c>
      <c r="AI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</v>
      </c>
      <c r="AJ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</v>
      </c>
      <c r="AK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</v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>
        <v>18</v>
      </c>
      <c r="I20" t="str">
        <f ca="1"/>
        <v>Flat plate chuck front and rear shafts</v>
      </c>
      <c r="J20" t="str">
        <f ca="1"/>
        <v>Flat plate chuck front and rear shafts</v>
      </c>
      <c r="L20" t="str">
        <f ca="1"/>
        <v>【axis18】 Flat plate chuck front and rear shafts</v>
      </c>
      <c r="M20" t="str">
        <v>RCP6-TA6C-WA-42P-12-125-P3-X07-CJB-1</v>
      </c>
      <c r="N20" t="str">
        <v>RCP6-TA6C-WA-42P-12-125-P3-X07-CJB-1</v>
      </c>
      <c r="O20" t="str">
        <f ca="1"/>
        <v>IAI</v>
      </c>
      <c r="P20" t="str">
        <f ca="1"/>
        <v>IAI</v>
      </c>
      <c r="X20" t="str">
        <f ca="1"/>
        <v xml:space="preserve">
</v>
      </c>
      <c r="Y20" t="str">
        <f ca="1"/>
        <v xml:space="preserve">
</v>
      </c>
      <c r="Z20" t="str">
        <f ca="1"/>
        <v xml:space="preserve">
	//Flat plate chuck front and rear shafts
	ELSIF uiInfoIdx = 18 THEN</v>
      </c>
      <c r="AA20" t="str">
        <f ca="1"/>
        <v xml:space="preserve">
	//Flat plate chuck front and rear shafts
	ELSIF uiInfoIdx = 18 THEN
		IF strInfoKey = 'name' THEN</v>
      </c>
      <c r="AB20" t="str">
        <f ca="1"/>
        <v xml:space="preserve">
	//Flat plate chuck front and rear shafts
	ELSIF uiInfoIdx = 18 THEN
		IF strInfoKey = 'name' THEN
			strRt	:= 'Flat plate chuck front and rear shafts';</v>
      </c>
      <c r="AC20" t="str">
        <f ca="1"/>
        <v xml:space="preserve">
	//Flat plate chuck front and rear shafts
	ELSIF uiInfoIdx = 18 THEN
		IF strInfoKey = 'name' THEN
			strRt	:= 'Flat plate chuck front and rear shafts';
		ELSIF strInfoKey = 'index_name' THEN</v>
      </c>
      <c r="AD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</v>
      </c>
      <c r="AE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</v>
      </c>
      <c r="AF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</v>
      </c>
      <c r="AG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</v>
      </c>
      <c r="AH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</v>
      </c>
      <c r="AI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</v>
      </c>
      <c r="AJ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</v>
      </c>
      <c r="AK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</v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>
        <v>19</v>
      </c>
      <c r="I21" t="str">
        <f ca="1"/>
        <v>Workpiece transportation X-shaft</v>
      </c>
      <c r="J21" t="str">
        <f ca="1"/>
        <v>Workpiece transportation X-shaft</v>
      </c>
      <c r="L21" t="str">
        <f ca="1"/>
        <v>【axis19】 Workpiece transportation X-shaft</v>
      </c>
      <c r="M21" t="str">
        <v>RCP6S-SA4R-WA-35P-5-500-SE-S-ML</v>
      </c>
      <c r="N21" t="str">
        <v>RCP6S-SA4R-WA-35P-5-500-SE-S-ML</v>
      </c>
      <c r="O21" t="str">
        <f ca="1"/>
        <v>IAI</v>
      </c>
      <c r="P21" t="str">
        <f ca="1"/>
        <v>IAI</v>
      </c>
      <c r="X21" t="str">
        <f ca="1"/>
        <v xml:space="preserve">
</v>
      </c>
      <c r="Y21" t="str">
        <f ca="1"/>
        <v xml:space="preserve">
</v>
      </c>
      <c r="Z21" t="str">
        <f ca="1"/>
        <v xml:space="preserve">
	//Workpiece transportation X-shaft
	ELSIF uiInfoIdx = 19 THEN</v>
      </c>
      <c r="AA21" t="str">
        <f ca="1"/>
        <v xml:space="preserve">
	//Workpiece transportation X-shaft
	ELSIF uiInfoIdx = 19 THEN
		IF strInfoKey = 'name' THEN</v>
      </c>
      <c r="AB21" t="str">
        <f ca="1"/>
        <v xml:space="preserve">
	//Workpiece transportation X-shaft
	ELSIF uiInfoIdx = 19 THEN
		IF strInfoKey = 'name' THEN
			strRt	:= 'Workpiece transportation X-shaft';</v>
      </c>
      <c r="AC21" t="str">
        <f ca="1"/>
        <v xml:space="preserve">
	//Workpiece transportation X-shaft
	ELSIF uiInfoIdx = 19 THEN
		IF strInfoKey = 'name' THEN
			strRt	:= 'Workpiece transportation X-shaft';
		ELSIF strInfoKey = 'index_name' THEN</v>
      </c>
      <c r="AD21" t="str">
        <f ca="1"/>
        <v xml:space="preserve">
	//Workpiece transportation X-shaft
	ELSIF uiInfoIdx = 19 THEN
		IF strInfoKey = 'name' THEN
			strRt	:= 'Workpiece transportation X-shaft';
		ELSIF strInfoKey = 'index_name' THEN
			strRt	:= '【axis19】 Workpiece transportation X-shaft';</v>
      </c>
      <c r="AE21" t="str">
        <f ca="1"/>
        <v xml:space="preserve">
	//Workpiece transportation X-shaft
	ELSIF uiInfoIdx = 19 THEN
		IF strInfoKey = 'name' THEN
			strRt	:= 'Workpiece transportation X-shaft';
		ELSIF strInfoKey = 'index_name' THEN
			strRt	:= '【axis19】 Workpiece transportation X-shaft';
		ELSIF strInfoKey = 'model' THEN</v>
      </c>
      <c r="AF21" t="str">
        <f ca="1"/>
        <v xml:space="preserve">
	//Workpiece transportation X-shaft
	ELSIF uiInfoIdx = 19 THEN
		IF strInfoKey = 'name' THEN
			strRt	:= 'Workpiece transportation X-shaft';
		ELSIF strInfoKey = 'index_name' THEN
			strRt	:= '【axis19】 Workpiece transportation X-shaft';
		ELSIF strInfoKey = 'model' THEN
			strRt	:= 'RCP6S-SA4R-WA-35P-5-500-SE-S-ML';</v>
      </c>
      <c r="AG21" t="str">
        <f ca="1"/>
        <v xml:space="preserve">
	//Workpiece transportation X-shaft
	ELSIF uiInfoIdx = 19 THEN
		IF strInfoKey = 'name' THEN
			strRt	:= 'Workpiece transportation X-shaft';
		ELSIF strInfoKey = 'index_name' THEN
			strRt	:= '【axis19】 Workpiece transportation X-shaft';
		ELSIF strInfoKey = 'model' THEN
			strRt	:= 'RCP6S-SA4R-WA-35P-5-500-SE-S-ML';
		ELSIF strInfoKey = 'mf' THEN</v>
      </c>
      <c r="AH21" t="str">
        <f ca="1"/>
        <v xml:space="preserve">
	//Workpiece transportation X-shaft
	ELSIF uiInfoIdx = 19 THEN
		IF strInfoKey = 'name' THEN
			strRt	:= 'Workpiece transportation X-shaft';
		ELSIF strInfoKey = 'index_name' THEN
			strRt	:= '【axis19】 Workpiece transportation X-shaft';
		ELSIF strInfoKey = 'model' THEN
			strRt	:= 'RCP6S-SA4R-WA-35P-5-500-SE-S-ML';
		ELSIF strInfoKey = 'mf' THEN
			strRt	:= 'IAI';</v>
      </c>
      <c r="AI21" t="str">
        <f ca="1"/>
        <v xml:space="preserve">
	//Workpiece transportation X-shaft
	ELSIF uiInfoIdx = 19 THEN
		IF strInfoKey = 'name' THEN
			strRt	:= 'Workpiece transportation X-shaft';
		ELSIF strInfoKey = 'index_name' THEN
			strRt	:= '【axis19】 Workpiece transportation X-shaft';
		ELSIF strInfoKey = 'model' THEN
			strRt	:= 'RCP6S-SA4R-WA-35P-5-500-SE-S-ML';
		ELSIF strInfoKey = 'mf' THEN
			strRt	:= 'IAI';
		ELSE
			uiErrCode	:= 3;
		END_IF;</v>
      </c>
      <c r="AJ21" t="str">
        <f ca="1"/>
        <v xml:space="preserve">
	//Workpiece transportation X-shaft
	ELSIF uiInfoIdx = 19 THEN
		IF strInfoKey = 'name' THEN
			strRt	:= 'Workpiece transportation X-shaft';
		ELSIF strInfoKey = 'index_name' THEN
			strRt	:= '【axis19】 Workpiece transportation X-shaft';
		ELSIF strInfoKey = 'model' THEN
			strRt	:= 'RCP6S-SA4R-WA-35P-5-500-SE-S-ML';
		ELSIF strInfoKey = 'mf' THEN
			strRt	:= 'IAI';
		ELSE
			uiErrCode	:= 3;
		END_IF;</v>
      </c>
      <c r="AK21" t="str">
        <f ca="1"/>
        <v xml:space="preserve">
	//Workpiece transportation X-shaft
	ELSIF uiInfoIdx = 19 THEN
		IF strInfoKey = 'name' THEN
			strRt	:= 'Workpiece transportation X-shaft';
		ELSIF strInfoKey = 'index_name' THEN
			strRt	:= '【axis19】 Workpiece transportation X-shaft';
		ELSIF strInfoKey = 'model' THEN
			strRt	:= 'RCP6S-SA4R-WA-35P-5-500-SE-S-ML';
		ELSIF strInfoKey = 'mf' THEN
			strRt	:= 'IAI';
		ELSE
			uiErrCode	:= 3;
		END_IF;</v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>
        <v>20</v>
      </c>
      <c r="I22" t="str">
        <f ca="1"/>
        <v>Workpiece transportation Y-shaft</v>
      </c>
      <c r="J22" t="str">
        <f ca="1"/>
        <v>Workpiece transportation Y-shaft</v>
      </c>
      <c r="L22" t="str">
        <f ca="1"/>
        <v>【axis20】 Workpiece transportation Y-shaft</v>
      </c>
      <c r="M22" t="str">
        <v>RCP6S-SA4R-WA-35P-5-150-SE-S-MR</v>
      </c>
      <c r="N22" t="str">
        <v>RCP6S-SA4R-WA-35P-5-150-SE-S-MR</v>
      </c>
      <c r="O22" t="str">
        <f ca="1"/>
        <v>IAI</v>
      </c>
      <c r="P22" t="str">
        <f ca="1"/>
        <v>IAI</v>
      </c>
      <c r="X22" t="str">
        <f ca="1"/>
        <v xml:space="preserve">
</v>
      </c>
      <c r="Y22" t="str">
        <f ca="1"/>
        <v xml:space="preserve">
</v>
      </c>
      <c r="Z22" t="str">
        <f ca="1"/>
        <v xml:space="preserve">
	//Workpiece transportation Y-shaft
	ELSIF uiInfoIdx = 20 THEN</v>
      </c>
      <c r="AA22" t="str">
        <f ca="1"/>
        <v xml:space="preserve">
	//Workpiece transportation Y-shaft
	ELSIF uiInfoIdx = 20 THEN
		IF strInfoKey = 'name' THEN</v>
      </c>
      <c r="AB22" t="str">
        <f ca="1"/>
        <v xml:space="preserve">
	//Workpiece transportation Y-shaft
	ELSIF uiInfoIdx = 20 THEN
		IF strInfoKey = 'name' THEN
			strRt	:= 'Workpiece transportation Y-shaft';</v>
      </c>
      <c r="AC22" t="str">
        <f ca="1"/>
        <v xml:space="preserve">
	//Workpiece transportation Y-shaft
	ELSIF uiInfoIdx = 20 THEN
		IF strInfoKey = 'name' THEN
			strRt	:= 'Workpiece transportation Y-shaft';
		ELSIF strInfoKey = 'index_name' THEN</v>
      </c>
      <c r="AD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</v>
      </c>
      <c r="AE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</v>
      </c>
      <c r="AF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</v>
      </c>
      <c r="AG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</v>
      </c>
      <c r="AH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</v>
      </c>
      <c r="AI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  <c r="AJ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  <c r="AK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</row>
    <row r="23" spans="1:37" x14ac:dyDescent="0.55000000000000004">
      <c r="A23" t="s">
        <v>194</v>
      </c>
      <c r="B23">
        <v>1</v>
      </c>
      <c r="E23" t="str">
        <f t="shared" si="0"/>
        <v>axis</v>
      </c>
      <c r="F23">
        <f>COUNTIF(E$3:E23,E23)</f>
        <v>21</v>
      </c>
      <c r="G23" t="str">
        <v/>
      </c>
      <c r="H23">
        <v>21</v>
      </c>
      <c r="I23" t="str">
        <f ca="1"/>
        <v>Workpiece  rotation</v>
      </c>
      <c r="J23" t="str">
        <f ca="1"/>
        <v>Workpiece  rotation</v>
      </c>
      <c r="L23" t="str">
        <f ca="1"/>
        <v>【axis21】 Workpiece  rotation</v>
      </c>
      <c r="M23" t="str">
        <v xml:space="preserve">RCS2-RTC12L-A-150-30-360-T2-S-L </v>
      </c>
      <c r="N23" t="str">
        <v xml:space="preserve">RCS2-RTC12L-A-150-30-360-T2-S-L </v>
      </c>
      <c r="O23" t="str">
        <f ca="1"/>
        <v>IAI</v>
      </c>
      <c r="P23" t="str">
        <f ca="1"/>
        <v>IAI</v>
      </c>
      <c r="X23" t="str">
        <f ca="1"/>
        <v xml:space="preserve">
</v>
      </c>
      <c r="Y23" t="str">
        <f ca="1"/>
        <v xml:space="preserve">
</v>
      </c>
      <c r="Z23" t="str">
        <f ca="1"/>
        <v xml:space="preserve">
	//Workpiece  rotation
	ELSIF uiInfoIdx = 21 THEN</v>
      </c>
      <c r="AA23" t="str">
        <f ca="1"/>
        <v xml:space="preserve">
	//Workpiece  rotation
	ELSIF uiInfoIdx = 21 THEN
		IF strInfoKey = 'name' THEN</v>
      </c>
      <c r="AB23" t="str">
        <f ca="1"/>
        <v xml:space="preserve">
	//Workpiece  rotation
	ELSIF uiInfoIdx = 21 THEN
		IF strInfoKey = 'name' THEN
			strRt	:= 'Workpiece  rotation';</v>
      </c>
      <c r="AC23" t="str">
        <f ca="1"/>
        <v xml:space="preserve">
	//Workpiece  rotation
	ELSIF uiInfoIdx = 21 THEN
		IF strInfoKey = 'name' THEN
			strRt	:= 'Workpiece  rotation';
		ELSIF strInfoKey = 'index_name' THEN</v>
      </c>
      <c r="AD23" t="str">
        <f ca="1"/>
        <v xml:space="preserve">
	//Workpiece  rotation
	ELSIF uiInfoIdx = 21 THEN
		IF strInfoKey = 'name' THEN
			strRt	:= 'Workpiece  rotation';
		ELSIF strInfoKey = 'index_name' THEN
			strRt	:= '【axis21】 Workpiece  rotation';</v>
      </c>
      <c r="AE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</v>
      </c>
      <c r="AF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</v>
      </c>
      <c r="AG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</v>
      </c>
      <c r="AH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</v>
      </c>
      <c r="AI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  <c r="AJ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  <c r="AK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>
        <v>22</v>
      </c>
      <c r="I24" t="str">
        <f ca="1"/>
        <v xml:space="preserve">Workpiece  chuck </v>
      </c>
      <c r="J24" t="str">
        <f ca="1"/>
        <v xml:space="preserve">Workpiece  chuck </v>
      </c>
      <c r="L24" t="str">
        <f ca="1"/>
        <v xml:space="preserve">【axis22】 Workpiece  chuck </v>
      </c>
      <c r="M24" t="str">
        <v>RCP2-GRHB-I-42P-2-40-P1-S</v>
      </c>
      <c r="N24" t="str">
        <v>RCP2-GRHB-I-42P-2-40-P1-S</v>
      </c>
      <c r="O24" t="str">
        <f ca="1"/>
        <v>IAI</v>
      </c>
      <c r="P24" t="str">
        <f ca="1"/>
        <v>IAI</v>
      </c>
      <c r="X24" t="str">
        <f ca="1"/>
        <v xml:space="preserve">
</v>
      </c>
      <c r="Y24" t="str">
        <f ca="1"/>
        <v xml:space="preserve">
</v>
      </c>
      <c r="Z24" t="str">
        <f ca="1"/>
        <v xml:space="preserve">
	//Workpiece  chuck 
	ELSIF uiInfoIdx = 22 THEN</v>
      </c>
      <c r="AA24" t="str">
        <f ca="1"/>
        <v xml:space="preserve">
	//Workpiece  chuck 
	ELSIF uiInfoIdx = 22 THEN
		IF strInfoKey = 'name' THEN</v>
      </c>
      <c r="AB24" t="str">
        <f ca="1"/>
        <v xml:space="preserve">
	//Workpiece  chuck 
	ELSIF uiInfoIdx = 22 THEN
		IF strInfoKey = 'name' THEN
			strRt	:= 'Workpiece  chuck ';</v>
      </c>
      <c r="AC24" t="str">
        <f ca="1"/>
        <v xml:space="preserve">
	//Workpiece  chuck 
	ELSIF uiInfoIdx = 22 THEN
		IF strInfoKey = 'name' THEN
			strRt	:= 'Workpiece  chuck ';
		ELSIF strInfoKey = 'index_name' THEN</v>
      </c>
      <c r="AD24" t="str">
        <f ca="1"/>
        <v xml:space="preserve">
	//Workpiece  chuck 
	ELSIF uiInfoIdx = 22 THEN
		IF strInfoKey = 'name' THEN
			strRt	:= 'Workpiece  chuck ';
		ELSIF strInfoKey = 'index_name' THEN
			strRt	:= '【axis22】 Workpiece  chuck ';</v>
      </c>
      <c r="AE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</v>
      </c>
      <c r="AF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</v>
      </c>
      <c r="AG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</v>
      </c>
      <c r="AH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</v>
      </c>
      <c r="AI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  <c r="AJ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  <c r="AK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</row>
    <row r="25" spans="1:37" x14ac:dyDescent="0.55000000000000004">
      <c r="A25" t="s">
        <v>186</v>
      </c>
      <c r="B25" t="s">
        <v>227</v>
      </c>
      <c r="E25" t="str">
        <f t="shared" si="0"/>
        <v>axis</v>
      </c>
      <c r="F25">
        <f>COUNTIF(E$3:E25,E25)</f>
        <v>23</v>
      </c>
      <c r="G25" t="str">
        <v/>
      </c>
      <c r="H25">
        <v>23</v>
      </c>
      <c r="I25" t="str">
        <f ca="1"/>
        <v>Welding support up/down</v>
      </c>
      <c r="J25" t="str">
        <f ca="1"/>
        <v>Welding support up/down</v>
      </c>
      <c r="L25" t="str">
        <f ca="1"/>
        <v>【axis23】 Welding support up/down</v>
      </c>
      <c r="M25" t="str">
        <v>RCP6S-SA7R-WA-56P-16-150-SE-S-B-MR　</v>
      </c>
      <c r="N25" t="str">
        <v>RCP6S-SA7R-WA-56P-16-150-SE-S-B-MR　</v>
      </c>
      <c r="O25" t="str">
        <f ca="1"/>
        <v>IAI</v>
      </c>
      <c r="P25" t="str">
        <f ca="1"/>
        <v>IAI</v>
      </c>
      <c r="X25" t="str">
        <f ca="1"/>
        <v xml:space="preserve">
</v>
      </c>
      <c r="Y25" t="str">
        <f ca="1"/>
        <v xml:space="preserve">
</v>
      </c>
      <c r="Z25" t="str">
        <f ca="1"/>
        <v xml:space="preserve">
	//Welding support up/down
	ELSIF uiInfoIdx = 23 THEN</v>
      </c>
      <c r="AA25" t="str">
        <f ca="1"/>
        <v xml:space="preserve">
	//Welding support up/down
	ELSIF uiInfoIdx = 23 THEN
		IF strInfoKey = 'name' THEN</v>
      </c>
      <c r="AB25" t="str">
        <f ca="1"/>
        <v xml:space="preserve">
	//Welding support up/down
	ELSIF uiInfoIdx = 23 THEN
		IF strInfoKey = 'name' THEN
			strRt	:= 'Welding support up/down';</v>
      </c>
      <c r="AC25" t="str">
        <f ca="1"/>
        <v xml:space="preserve">
	//Welding support up/down
	ELSIF uiInfoIdx = 23 THEN
		IF strInfoKey = 'name' THEN
			strRt	:= 'Welding support up/down';
		ELSIF strInfoKey = 'index_name' THEN</v>
      </c>
      <c r="AD25" t="str">
        <f ca="1"/>
        <v xml:space="preserve">
	//Welding support up/down
	ELSIF uiInfoIdx = 23 THEN
		IF strInfoKey = 'name' THEN
			strRt	:= 'Welding support up/down';
		ELSIF strInfoKey = 'index_name' THEN
			strRt	:= '【axis23】 Welding support up/down';</v>
      </c>
      <c r="AE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</v>
      </c>
      <c r="AF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</v>
      </c>
      <c r="AG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</v>
      </c>
      <c r="AH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</v>
      </c>
      <c r="AI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  <c r="AJ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  <c r="AK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</row>
    <row r="26" spans="1:37" x14ac:dyDescent="0.55000000000000004">
      <c r="A26" t="s">
        <v>182</v>
      </c>
      <c r="B26" t="s">
        <v>228</v>
      </c>
      <c r="E26" t="str">
        <f t="shared" si="0"/>
        <v>axis</v>
      </c>
      <c r="F26">
        <f>COUNTIF(E$3:E26,E26)</f>
        <v>24</v>
      </c>
      <c r="G26" t="str">
        <v/>
      </c>
      <c r="H26">
        <v>24</v>
      </c>
      <c r="I26" t="str">
        <f ca="1"/>
        <v>Welding torch up/down</v>
      </c>
      <c r="J26" t="str">
        <f ca="1"/>
        <v>Welding torch up/down</v>
      </c>
      <c r="L26" t="str">
        <f ca="1"/>
        <v>【axis24】 Welding torch up/down</v>
      </c>
      <c r="M26" t="str">
        <v xml:space="preserve">RCP6S-SA6C-WA-42P-3-50-SE-S-B </v>
      </c>
      <c r="N26" t="str">
        <v xml:space="preserve">RCP6S-SA6C-WA-42P-3-50-SE-S-B </v>
      </c>
      <c r="O26" t="str">
        <f ca="1"/>
        <v>IAI</v>
      </c>
      <c r="P26" t="str">
        <f ca="1"/>
        <v>IAI</v>
      </c>
      <c r="X26" t="str">
        <f ca="1"/>
        <v xml:space="preserve">
</v>
      </c>
      <c r="Y26" t="str">
        <f ca="1"/>
        <v xml:space="preserve">
</v>
      </c>
      <c r="Z26" t="str">
        <f ca="1"/>
        <v xml:space="preserve">
	//Welding torch up/down
	ELSIF uiInfoIdx = 24 THEN</v>
      </c>
      <c r="AA26" t="str">
        <f ca="1"/>
        <v xml:space="preserve">
	//Welding torch up/down
	ELSIF uiInfoIdx = 24 THEN
		IF strInfoKey = 'name' THEN</v>
      </c>
      <c r="AB26" t="str">
        <f ca="1"/>
        <v xml:space="preserve">
	//Welding torch up/down
	ELSIF uiInfoIdx = 24 THEN
		IF strInfoKey = 'name' THEN
			strRt	:= 'Welding torch up/down';</v>
      </c>
      <c r="AC26" t="str">
        <f ca="1"/>
        <v xml:space="preserve">
	//Welding torch up/down
	ELSIF uiInfoIdx = 24 THEN
		IF strInfoKey = 'name' THEN
			strRt	:= 'Welding torch up/down';
		ELSIF strInfoKey = 'index_name' THEN</v>
      </c>
      <c r="AD26" t="str">
        <f ca="1"/>
        <v xml:space="preserve">
	//Welding torch up/down
	ELSIF uiInfoIdx = 24 THEN
		IF strInfoKey = 'name' THEN
			strRt	:= 'Welding torch up/down';
		ELSIF strInfoKey = 'index_name' THEN
			strRt	:= '【axis24】 Welding torch up/down';</v>
      </c>
      <c r="AE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</v>
      </c>
      <c r="AF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</v>
      </c>
      <c r="AG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</v>
      </c>
      <c r="AH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</v>
      </c>
      <c r="AI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  <c r="AJ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  <c r="AK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</row>
    <row r="27" spans="1:37" x14ac:dyDescent="0.55000000000000004">
      <c r="A27" t="s">
        <v>183</v>
      </c>
      <c r="B27" t="s">
        <v>229</v>
      </c>
      <c r="E27" t="str">
        <f t="shared" si="0"/>
        <v>axis</v>
      </c>
      <c r="F27">
        <f>COUNTIF(E$3:E27,E27)</f>
        <v>25</v>
      </c>
      <c r="G27" t="str">
        <v/>
      </c>
      <c r="H27">
        <v>25</v>
      </c>
      <c r="I27" t="str">
        <f ca="1"/>
        <v>Flat tension axis</v>
      </c>
      <c r="J27" t="str">
        <f ca="1"/>
        <v>Flat tension axis</v>
      </c>
      <c r="L27" t="str">
        <f ca="1"/>
        <v>【axis25】 Flat tension axis</v>
      </c>
      <c r="M27" t="str">
        <v>SV3-M040AK</v>
      </c>
      <c r="N27" t="str">
        <v>SV3-M040AK</v>
      </c>
      <c r="O27" t="str">
        <f ca="1"/>
        <v>KEYENCE</v>
      </c>
      <c r="P27" t="str">
        <f ca="1"/>
        <v>KEYENCE</v>
      </c>
      <c r="X27" t="str">
        <f ca="1"/>
        <v xml:space="preserve">
</v>
      </c>
      <c r="Y27" t="str">
        <f ca="1"/>
        <v xml:space="preserve">
</v>
      </c>
      <c r="Z27" t="str">
        <f ca="1"/>
        <v xml:space="preserve">
	//Flat tension axis
	ELSIF uiInfoIdx = 25 THEN</v>
      </c>
      <c r="AA27" t="str">
        <f ca="1"/>
        <v xml:space="preserve">
	//Flat tension axis
	ELSIF uiInfoIdx = 25 THEN
		IF strInfoKey = 'name' THEN</v>
      </c>
      <c r="AB27" t="str">
        <f ca="1"/>
        <v xml:space="preserve">
	//Flat tension axis
	ELSIF uiInfoIdx = 25 THEN
		IF strInfoKey = 'name' THEN
			strRt	:= 'Flat tension axis';</v>
      </c>
      <c r="AC27" t="str">
        <f ca="1"/>
        <v xml:space="preserve">
	//Flat tension axis
	ELSIF uiInfoIdx = 25 THEN
		IF strInfoKey = 'name' THEN
			strRt	:= 'Flat tension axis';
		ELSIF strInfoKey = 'index_name' THEN</v>
      </c>
      <c r="AD27" t="str">
        <f ca="1"/>
        <v xml:space="preserve">
	//Flat tension axis
	ELSIF uiInfoIdx = 25 THEN
		IF strInfoKey = 'name' THEN
			strRt	:= 'Flat tension axis';
		ELSIF strInfoKey = 'index_name' THEN
			strRt	:= '【axis25】 Flat tension axis';</v>
      </c>
      <c r="AE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</v>
      </c>
      <c r="AF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
			strRt	:= 'SV3-M040AK';</v>
      </c>
      <c r="AG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</v>
      </c>
      <c r="AH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
			strRt	:= 'KEYENCE';</v>
      </c>
      <c r="AI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
			strRt	:= 'KEYENCE';
		ELSE
			uiErrCode	:= 3;
		END_IF;</v>
      </c>
      <c r="AJ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
			strRt	:= 'KEYENCE';
		ELSE
			uiErrCode	:= 3;
		END_IF;</v>
      </c>
      <c r="AK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
			strRt	:= 'KEYENCE';
		ELSE
			uiErrCode	:= 3;
		END_IF;</v>
      </c>
    </row>
    <row r="28" spans="1:37" x14ac:dyDescent="0.55000000000000004">
      <c r="A28" t="s">
        <v>181</v>
      </c>
      <c r="B28" t="s">
        <v>235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207</v>
      </c>
      <c r="B29" t="s">
        <v>236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49</v>
      </c>
      <c r="I43" t="str">
        <f ca="1"/>
        <v>Workpiece discharge front and rear axis</v>
      </c>
      <c r="J43" t="str">
        <f ca="1"/>
        <v>Workpiece discharge front and rear axis</v>
      </c>
      <c r="L43" t="str">
        <f ca="1"/>
        <v>【EC1】 Workpiece discharge front and rear axis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//Workpiece discharge front and rear axis
	IF uiInfoIdx = 1 THEN</v>
      </c>
      <c r="AA43" t="str">
        <f ca="1"/>
        <v xml:space="preserve">
//EC
ELSIF strInfoType = 'EC' THEN
	//Workpiece discharge front and rear axis
	IF uiInfoIdx = 1 THEN
		IF strInfoKey = 'name' THEN</v>
      </c>
      <c r="AB43" t="str">
        <f ca="1"/>
        <v xml:space="preserve">
//EC
ELSIF strInfoType = 'EC' THEN
	//Workpiece discharge front and rear axis
	IF uiInfoIdx = 1 THEN
		IF strInfoKey = 'name' THEN
			strRt	:= 'Workpiece discharge front and rear axis';</v>
      </c>
      <c r="AC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</v>
      </c>
      <c r="AD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</v>
      </c>
      <c r="AE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</v>
      </c>
      <c r="AF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</v>
      </c>
      <c r="AG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</v>
      </c>
      <c r="AH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</v>
      </c>
      <c r="AI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26</v>
      </c>
      <c r="I63" t="str">
        <f ca="1"/>
        <v>Winding shaft center forward/backward</v>
      </c>
      <c r="J63" t="str">
        <f ca="1"/>
        <v>Winding shaft center forward/backward</v>
      </c>
      <c r="L63" t="str">
        <f ca="1"/>
        <v>【cylinder1】 Winding shaft center forward/backward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//Winding shaft center forward/backward
	IF uiInfoIdx = 1 THEN</v>
      </c>
      <c r="AA63" t="str">
        <f ca="1"/>
        <v xml:space="preserve">
//cylinder
ELSIF strInfoType = 'cylinder' THEN
	//Winding shaft center forward/backward
	IF uiInfoIdx = 1 THEN
		IF strInfoKey = 'name' THEN</v>
      </c>
      <c r="AB63" t="str">
        <f ca="1"/>
        <v xml:space="preserve">
//cylinder
ELSIF strInfoType = 'cylinder' THEN
	//Winding shaft center forward/backward
	IF uiInfoIdx = 1 THEN
		IF strInfoKey = 'name' THEN
			strRt	:= 'Winding shaft center forward/backward';</v>
      </c>
      <c r="AC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</v>
      </c>
      <c r="AD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</v>
      </c>
      <c r="AE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</v>
      </c>
      <c r="AF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</v>
      </c>
      <c r="AG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</v>
      </c>
      <c r="AH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</v>
      </c>
      <c r="AI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27</v>
      </c>
      <c r="I64" t="str">
        <f ca="1"/>
        <v>T-roll gluing ① Lower roll</v>
      </c>
      <c r="J64" t="str">
        <f ca="1"/>
        <v>T-roll gluing ① Lower roll</v>
      </c>
      <c r="L64" t="str">
        <f ca="1"/>
        <v>【cylinder2】 T-roll gluing ① Lower roll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//T-roll gluing ① Lower roll
	ELSIF uiInfoIdx = 2 THEN</v>
      </c>
      <c r="AA64" t="str">
        <f ca="1"/>
        <v xml:space="preserve">
	//T-roll gluing ① Lower roll
	ELSIF uiInfoIdx = 2 THEN
		IF strInfoKey = 'name' THEN</v>
      </c>
      <c r="AB64" t="str">
        <f ca="1"/>
        <v xml:space="preserve">
	//T-roll gluing ① Lower roll
	ELSIF uiInfoIdx = 2 THEN
		IF strInfoKey = 'name' THEN
			strRt	:= 'T-roll gluing ① Lower roll';</v>
      </c>
      <c r="AC64" t="str">
        <f ca="1"/>
        <v xml:space="preserve">
	//T-roll gluing ① Lower roll
	ELSIF uiInfoIdx = 2 THEN
		IF strInfoKey = 'name' THEN
			strRt	:= 'T-roll gluing ① Lower roll';
		ELSIF strInfoKey = 'index_name' THEN</v>
      </c>
      <c r="AD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</v>
      </c>
      <c r="AE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</v>
      </c>
      <c r="AF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</v>
      </c>
      <c r="AG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</v>
      </c>
      <c r="AH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</v>
      </c>
      <c r="AI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</v>
      </c>
      <c r="AJ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</v>
      </c>
      <c r="AK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28</v>
      </c>
      <c r="I65" t="str">
        <f ca="1"/>
        <v>T-roll gluing ② Upper roll</v>
      </c>
      <c r="J65" t="str">
        <f ca="1"/>
        <v>T-roll gluing ② Upper roll</v>
      </c>
      <c r="L65" t="str">
        <f ca="1"/>
        <v>【cylinder3】 T-roll gluing ② Upper roll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//T-roll gluing ② Upper roll
	ELSIF uiInfoIdx = 3 THEN</v>
      </c>
      <c r="AA65" t="str">
        <f ca="1"/>
        <v xml:space="preserve">
	//T-roll gluing ② Upper roll
	ELSIF uiInfoIdx = 3 THEN
		IF strInfoKey = 'name' THEN</v>
      </c>
      <c r="AB65" t="str">
        <f ca="1"/>
        <v xml:space="preserve">
	//T-roll gluing ② Upper roll
	ELSIF uiInfoIdx = 3 THEN
		IF strInfoKey = 'name' THEN
			strRt	:= 'T-roll gluing ② Upper roll';</v>
      </c>
      <c r="AC65" t="str">
        <f ca="1"/>
        <v xml:space="preserve">
	//T-roll gluing ② Upper roll
	ELSIF uiInfoIdx = 3 THEN
		IF strInfoKey = 'name' THEN
			strRt	:= 'T-roll gluing ② Upper roll';
		ELSIF strInfoKey = 'index_name' THEN</v>
      </c>
      <c r="AD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</v>
      </c>
      <c r="AE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</v>
      </c>
      <c r="AF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</v>
      </c>
      <c r="AG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</v>
      </c>
      <c r="AH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</v>
      </c>
      <c r="AI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</v>
      </c>
      <c r="AJ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</v>
      </c>
      <c r="AK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29</v>
      </c>
      <c r="I66" t="str">
        <f ca="1"/>
        <v>Flat auxiliary plate</v>
      </c>
      <c r="J66" t="str">
        <f ca="1"/>
        <v>Flat auxiliary plate</v>
      </c>
      <c r="L66" t="str">
        <f ca="1"/>
        <v>【cylinder4】 Flat auxiliary plate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//Flat auxiliary plate
	ELSIF uiInfoIdx = 4 THEN</v>
      </c>
      <c r="AA66" t="str">
        <f ca="1"/>
        <v xml:space="preserve">
	//Flat auxiliary plate
	ELSIF uiInfoIdx = 4 THEN
		IF strInfoKey = 'name' THEN</v>
      </c>
      <c r="AB66" t="str">
        <f ca="1"/>
        <v xml:space="preserve">
	//Flat auxiliary plate
	ELSIF uiInfoIdx = 4 THEN
		IF strInfoKey = 'name' THEN
			strRt	:= 'Flat auxiliary plate';</v>
      </c>
      <c r="AC66" t="str">
        <f ca="1"/>
        <v xml:space="preserve">
	//Flat auxiliary plate
	ELSIF uiInfoIdx = 4 THEN
		IF strInfoKey = 'name' THEN
			strRt	:= 'Flat auxiliary plate';
		ELSIF strInfoKey = 'index_name' THEN</v>
      </c>
      <c r="AD66" t="str">
        <f ca="1"/>
        <v xml:space="preserve">
	//Flat auxiliary plate
	ELSIF uiInfoIdx = 4 THEN
		IF strInfoKey = 'name' THEN
			strRt	:= 'Flat auxiliary plate';
		ELSIF strInfoKey = 'index_name' THEN
			strRt	:= '【cylinder4】 Flat auxiliary plate';</v>
      </c>
      <c r="AE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</v>
      </c>
      <c r="AF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</v>
      </c>
      <c r="AG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</v>
      </c>
      <c r="AH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</v>
      </c>
      <c r="AI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  <c r="AJ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  <c r="AK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30</v>
      </c>
      <c r="I67" t="str">
        <f ca="1"/>
        <v>Flat sheet chuck (hand) forward/backward</v>
      </c>
      <c r="J67" t="str">
        <f ca="1"/>
        <v>Flat sheet chuck (hand) forward/backward</v>
      </c>
      <c r="L67" t="str">
        <f ca="1"/>
        <v>【cylinder5】 Flat sheet chuck (hand) forward/backward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//Flat sheet chuck (hand) forward/backward
	ELSIF uiInfoIdx = 5 THEN</v>
      </c>
      <c r="AA67" t="str">
        <f ca="1"/>
        <v xml:space="preserve">
	//Flat sheet chuck (hand) forward/backward
	ELSIF uiInfoIdx = 5 THEN
		IF strInfoKey = 'name' THEN</v>
      </c>
      <c r="AB67" t="str">
        <f ca="1"/>
        <v xml:space="preserve">
	//Flat sheet chuck (hand) forward/backward
	ELSIF uiInfoIdx = 5 THEN
		IF strInfoKey = 'name' THEN
			strRt	:= 'Flat sheet chuck (hand) forward/backward';</v>
      </c>
      <c r="AC67" t="str">
        <f ca="1"/>
        <v xml:space="preserve">
	//Flat sheet chuck (hand) forward/backward
	ELSIF uiInfoIdx = 5 THEN
		IF strInfoKey = 'name' THEN
			strRt	:= 'Flat sheet chuck (hand) forward/backward';
		ELSIF strInfoKey = 'index_name' THEN</v>
      </c>
      <c r="AD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</v>
      </c>
      <c r="AE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</v>
      </c>
      <c r="AF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</v>
      </c>
      <c r="AG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</v>
      </c>
      <c r="AH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</v>
      </c>
      <c r="AI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J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K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31</v>
      </c>
      <c r="I68" t="str">
        <f ca="1"/>
        <v>Flat sheet chuck open/close</v>
      </c>
      <c r="J68" t="str">
        <f ca="1"/>
        <v>Flat sheet chuck open/close</v>
      </c>
      <c r="L68" t="str">
        <f ca="1"/>
        <v>【cylinder6】 Flat sheet chuck open/close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//Flat sheet chuck open/close
	ELSIF uiInfoIdx = 6 THEN</v>
      </c>
      <c r="AA68" t="str">
        <f ca="1"/>
        <v xml:space="preserve">
	//Flat sheet chuck open/close
	ELSIF uiInfoIdx = 6 THEN
		IF strInfoKey = 'name' THEN</v>
      </c>
      <c r="AB68" t="str">
        <f ca="1"/>
        <v xml:space="preserve">
	//Flat sheet chuck open/close
	ELSIF uiInfoIdx = 6 THEN
		IF strInfoKey = 'name' THEN
			strRt	:= 'Flat sheet chuck open/close';</v>
      </c>
      <c r="AC68" t="str">
        <f ca="1"/>
        <v xml:space="preserve">
	//Flat sheet chuck open/close
	ELSIF uiInfoIdx = 6 THEN
		IF strInfoKey = 'name' THEN
			strRt	:= 'Flat sheet chuck open/close';
		ELSIF strInfoKey = 'index_name' THEN</v>
      </c>
      <c r="AD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</v>
      </c>
      <c r="AE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</v>
      </c>
      <c r="AF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</v>
      </c>
      <c r="AG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</v>
      </c>
      <c r="AH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</v>
      </c>
      <c r="AI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J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K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32</v>
      </c>
      <c r="I69" t="str">
        <f ca="1"/>
        <v>Flat sheet clamp up/down ①</v>
      </c>
      <c r="J69" t="str">
        <f ca="1"/>
        <v>Flat sheet clamp up/down ①</v>
      </c>
      <c r="L69" t="str">
        <f ca="1"/>
        <v>【cylinder7】 Flat sheet clamp up/down 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//Flat sheet clamp up/down ①
	ELSIF uiInfoIdx = 7 THEN</v>
      </c>
      <c r="AA69" t="str">
        <f ca="1"/>
        <v xml:space="preserve">
	//Flat sheet clamp up/down ①
	ELSIF uiInfoIdx = 7 THEN
		IF strInfoKey = 'name' THEN</v>
      </c>
      <c r="AB69" t="str">
        <f ca="1"/>
        <v xml:space="preserve">
	//Flat sheet clamp up/down ①
	ELSIF uiInfoIdx = 7 THEN
		IF strInfoKey = 'name' THEN
			strRt	:= 'Flat sheet clamp up/down ①';</v>
      </c>
      <c r="AC69" t="str">
        <f ca="1"/>
        <v xml:space="preserve">
	//Flat sheet clamp up/down ①
	ELSIF uiInfoIdx = 7 THEN
		IF strInfoKey = 'name' THEN
			strRt	:= 'Flat sheet clamp up/down ①';
		ELSIF strInfoKey = 'index_name' THEN</v>
      </c>
      <c r="AD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</v>
      </c>
      <c r="AE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</v>
      </c>
      <c r="AF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</v>
      </c>
      <c r="AG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</v>
      </c>
      <c r="AH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</v>
      </c>
      <c r="AI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  <c r="AJ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  <c r="AK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33</v>
      </c>
      <c r="I70" t="str">
        <f ca="1"/>
        <v>Foil wax clamp up/down</v>
      </c>
      <c r="J70" t="str">
        <f ca="1"/>
        <v>Foil wax clamp up/down</v>
      </c>
      <c r="L70" t="str">
        <f ca="1"/>
        <v>【cylinder8】 Foil wax clamp up/down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//Foil wax clamp up/down
	ELSIF uiInfoIdx = 8 THEN</v>
      </c>
      <c r="AA70" t="str">
        <f ca="1"/>
        <v xml:space="preserve">
	//Foil wax clamp up/down
	ELSIF uiInfoIdx = 8 THEN
		IF strInfoKey = 'name' THEN</v>
      </c>
      <c r="AB70" t="str">
        <f ca="1"/>
        <v xml:space="preserve">
	//Foil wax clamp up/down
	ELSIF uiInfoIdx = 8 THEN
		IF strInfoKey = 'name' THEN
			strRt	:= 'Foil wax clamp up/down';</v>
      </c>
      <c r="AC70" t="str">
        <f ca="1"/>
        <v xml:space="preserve">
	//Foil wax clamp up/down
	ELSIF uiInfoIdx = 8 THEN
		IF strInfoKey = 'name' THEN
			strRt	:= 'Foil wax clamp up/down';
		ELSIF strInfoKey = 'index_name' THEN</v>
      </c>
      <c r="AD70" t="str">
        <f ca="1"/>
        <v xml:space="preserve">
	//Foil wax clamp up/down
	ELSIF uiInfoIdx = 8 THEN
		IF strInfoKey = 'name' THEN
			strRt	:= 'Foil wax clamp up/down';
		ELSIF strInfoKey = 'index_name' THEN
			strRt	:= '【cylinder8】 Foil wax clamp up/down';</v>
      </c>
      <c r="AE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</v>
      </c>
      <c r="AF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</v>
      </c>
      <c r="AG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</v>
      </c>
      <c r="AH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</v>
      </c>
      <c r="AI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J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K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34</v>
      </c>
      <c r="I71" t="str">
        <f ca="1"/>
        <v>Foil wax cut</v>
      </c>
      <c r="J71" t="str">
        <f ca="1"/>
        <v>Foil wax cut</v>
      </c>
      <c r="L71" t="str">
        <f ca="1"/>
        <v>【cylinder9】 Foil wax cut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//Foil wax cut
	ELSIF uiInfoIdx = 9 THEN</v>
      </c>
      <c r="AA71" t="str">
        <f ca="1"/>
        <v xml:space="preserve">
	//Foil wax cut
	ELSIF uiInfoIdx = 9 THEN
		IF strInfoKey = 'name' THEN</v>
      </c>
      <c r="AB71" t="str">
        <f ca="1"/>
        <v xml:space="preserve">
	//Foil wax cut
	ELSIF uiInfoIdx = 9 THEN
		IF strInfoKey = 'name' THEN
			strRt	:= 'Foil wax cut';</v>
      </c>
      <c r="AC71" t="str">
        <f ca="1"/>
        <v xml:space="preserve">
	//Foil wax cut
	ELSIF uiInfoIdx = 9 THEN
		IF strInfoKey = 'name' THEN
			strRt	:= 'Foil wax cut';
		ELSIF strInfoKey = 'index_name' THEN</v>
      </c>
      <c r="AD71" t="str">
        <f ca="1"/>
        <v xml:space="preserve">
	//Foil wax cut
	ELSIF uiInfoIdx = 9 THEN
		IF strInfoKey = 'name' THEN
			strRt	:= 'Foil wax cut';
		ELSIF strInfoKey = 'index_name' THEN
			strRt	:= '【cylinder9】 Foil wax cut';</v>
      </c>
      <c r="AE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</v>
      </c>
      <c r="AF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</v>
      </c>
      <c r="AG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</v>
      </c>
      <c r="AH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</v>
      </c>
      <c r="AI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J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K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35</v>
      </c>
      <c r="I72" t="str">
        <f ca="1"/>
        <v>Corrugated sheet clamp</v>
      </c>
      <c r="J72" t="str">
        <f ca="1"/>
        <v>Corrugated sheet clamp</v>
      </c>
      <c r="L72" t="str">
        <f ca="1"/>
        <v>【cylinder10】 Corrugated sheet clamp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//Corrugated sheet clamp
	ELSIF uiInfoIdx = 10 THEN</v>
      </c>
      <c r="AA72" t="str">
        <f ca="1"/>
        <v xml:space="preserve">
	//Corrugated sheet clamp
	ELSIF uiInfoIdx = 10 THEN
		IF strInfoKey = 'name' THEN</v>
      </c>
      <c r="AB72" t="str">
        <f ca="1"/>
        <v xml:space="preserve">
	//Corrugated sheet clamp
	ELSIF uiInfoIdx = 10 THEN
		IF strInfoKey = 'name' THEN
			strRt	:= 'Corrugated sheet clamp';</v>
      </c>
      <c r="AC72" t="str">
        <f ca="1"/>
        <v xml:space="preserve">
	//Corrugated sheet clamp
	ELSIF uiInfoIdx = 10 THEN
		IF strInfoKey = 'name' THEN
			strRt	:= 'Corrugated sheet clamp';
		ELSIF strInfoKey = 'index_name' THEN</v>
      </c>
      <c r="AD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</v>
      </c>
      <c r="AE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</v>
      </c>
      <c r="AF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</v>
      </c>
      <c r="AG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</v>
      </c>
      <c r="AH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</v>
      </c>
      <c r="AI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J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K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36</v>
      </c>
      <c r="I73" t="str">
        <f ca="1"/>
        <v>Flat sheet cutter blade push-out</v>
      </c>
      <c r="J73" t="str">
        <f ca="1"/>
        <v>Flat sheet cutter blade push-out</v>
      </c>
      <c r="L73" t="str">
        <f ca="1"/>
        <v>【cylinder11】 Flat sheet cutter blade push-out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//Flat sheet cutter blade push-out
	ELSIF uiInfoIdx = 11 THEN</v>
      </c>
      <c r="AA73" t="str">
        <f ca="1"/>
        <v xml:space="preserve">
	//Flat sheet cutter blade push-out
	ELSIF uiInfoIdx = 11 THEN
		IF strInfoKey = 'name' THEN</v>
      </c>
      <c r="AB73" t="str">
        <f ca="1"/>
        <v xml:space="preserve">
	//Flat sheet cutter blade push-out
	ELSIF uiInfoIdx = 11 THEN
		IF strInfoKey = 'name' THEN
			strRt	:= 'Flat sheet cutter blade push-out';</v>
      </c>
      <c r="AC73" t="str">
        <f ca="1"/>
        <v xml:space="preserve">
	//Flat sheet cutter blade push-out
	ELSIF uiInfoIdx = 11 THEN
		IF strInfoKey = 'name' THEN
			strRt	:= 'Flat sheet cutter blade push-out';
		ELSIF strInfoKey = 'index_name' THEN</v>
      </c>
      <c r="AD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</v>
      </c>
      <c r="AE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</v>
      </c>
      <c r="AF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</v>
      </c>
      <c r="AG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</v>
      </c>
      <c r="AH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</v>
      </c>
      <c r="AI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J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K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37</v>
      </c>
      <c r="I74" t="str">
        <f ca="1"/>
        <v>Flat sheet cutter blade open/close</v>
      </c>
      <c r="J74" t="str">
        <f ca="1"/>
        <v>Flat sheet cutter blade open/close</v>
      </c>
      <c r="L74" t="str">
        <f ca="1"/>
        <v>【cylinder12】 Flat sheet cutter blade open/close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//Flat sheet cutter blade open/close
	ELSIF uiInfoIdx = 12 THEN</v>
      </c>
      <c r="AA74" t="str">
        <f ca="1"/>
        <v xml:space="preserve">
	//Flat sheet cutter blade open/close
	ELSIF uiInfoIdx = 12 THEN
		IF strInfoKey = 'name' THEN</v>
      </c>
      <c r="AB74" t="str">
        <f ca="1"/>
        <v xml:space="preserve">
	//Flat sheet cutter blade open/close
	ELSIF uiInfoIdx = 12 THEN
		IF strInfoKey = 'name' THEN
			strRt	:= 'Flat sheet cutter blade open/close';</v>
      </c>
      <c r="AC74" t="str">
        <f ca="1"/>
        <v xml:space="preserve">
	//Flat sheet cutter blade open/close
	ELSIF uiInfoIdx = 12 THEN
		IF strInfoKey = 'name' THEN
			strRt	:= 'Flat sheet cutter blade open/close';
		ELSIF strInfoKey = 'index_name' THEN</v>
      </c>
      <c r="AD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</v>
      </c>
      <c r="AE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</v>
      </c>
      <c r="AF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</v>
      </c>
      <c r="AG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</v>
      </c>
      <c r="AH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</v>
      </c>
      <c r="AI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J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K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38</v>
      </c>
      <c r="I75" t="str">
        <f ca="1"/>
        <v>Corrugated sheet cutter blade push-out</v>
      </c>
      <c r="J75" t="str">
        <f ca="1"/>
        <v>Corrugated sheet cutter blade push-out</v>
      </c>
      <c r="L75" t="str">
        <f ca="1"/>
        <v>【cylinder13】 Corrugated sheet cutter blade push-out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//Corrugated sheet cutter blade push-out
	ELSIF uiInfoIdx = 13 THEN</v>
      </c>
      <c r="AA75" t="str">
        <f ca="1"/>
        <v xml:space="preserve">
	//Corrugated sheet cutter blade push-out
	ELSIF uiInfoIdx = 13 THEN
		IF strInfoKey = 'name' THEN</v>
      </c>
      <c r="AB75" t="str">
        <f ca="1"/>
        <v xml:space="preserve">
	//Corrugated sheet cutter blade push-out
	ELSIF uiInfoIdx = 13 THEN
		IF strInfoKey = 'name' THEN
			strRt	:= 'Corrugated sheet cutter blade push-out';</v>
      </c>
      <c r="AC75" t="str">
        <f ca="1"/>
        <v xml:space="preserve">
	//Corrugated sheet cutter blade push-out
	ELSIF uiInfoIdx = 13 THEN
		IF strInfoKey = 'name' THEN
			strRt	:= 'Corrugated sheet cutter blade push-out';
		ELSIF strInfoKey = 'index_name' THEN</v>
      </c>
      <c r="AD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</v>
      </c>
      <c r="AE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</v>
      </c>
      <c r="AF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</v>
      </c>
      <c r="AG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</v>
      </c>
      <c r="AH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</v>
      </c>
      <c r="AI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J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K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39</v>
      </c>
      <c r="I76" t="str">
        <f ca="1"/>
        <v>Corrugated sheet cutter blade open/close</v>
      </c>
      <c r="J76" t="str">
        <f ca="1"/>
        <v>Corrugated sheet cutter blade open/close</v>
      </c>
      <c r="L76" t="str">
        <f ca="1"/>
        <v>【cylinder14】 Corrugated sheet cutter blade open/close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//Corrugated sheet cutter blade open/close
	ELSIF uiInfoIdx = 14 THEN</v>
      </c>
      <c r="AA76" t="str">
        <f ca="1"/>
        <v xml:space="preserve">
	//Corrugated sheet cutter blade open/close
	ELSIF uiInfoIdx = 14 THEN
		IF strInfoKey = 'name' THEN</v>
      </c>
      <c r="AB76" t="str">
        <f ca="1"/>
        <v xml:space="preserve">
	//Corrugated sheet cutter blade open/close
	ELSIF uiInfoIdx = 14 THEN
		IF strInfoKey = 'name' THEN
			strRt	:= 'Corrugated sheet cutter blade open/close';</v>
      </c>
      <c r="AC76" t="str">
        <f ca="1"/>
        <v xml:space="preserve">
	//Corrugated sheet cutter blade open/close
	ELSIF uiInfoIdx = 14 THEN
		IF strInfoKey = 'name' THEN
			strRt	:= 'Corrugated sheet cutter blade open/close';
		ELSIF strInfoKey = 'index_name' THEN</v>
      </c>
      <c r="AD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</v>
      </c>
      <c r="AE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</v>
      </c>
      <c r="AF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</v>
      </c>
      <c r="AG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</v>
      </c>
      <c r="AH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</v>
      </c>
      <c r="AI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J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K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40</v>
      </c>
      <c r="I77" t="str">
        <f ca="1"/>
        <v>Corrugated sheet cutter auxiliary</v>
      </c>
      <c r="J77" t="str">
        <f ca="1"/>
        <v>Corrugated sheet cutter auxiliary</v>
      </c>
      <c r="L77" t="str">
        <f ca="1"/>
        <v>【cylinder15】 Corrugated sheet cutter auxiliary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//Corrugated sheet cutter auxiliary
	ELSIF uiInfoIdx = 15 THEN</v>
      </c>
      <c r="AA77" t="str">
        <f ca="1"/>
        <v xml:space="preserve">
	//Corrugated sheet cutter auxiliary
	ELSIF uiInfoIdx = 15 THEN
		IF strInfoKey = 'name' THEN</v>
      </c>
      <c r="AB77" t="str">
        <f ca="1"/>
        <v xml:space="preserve">
	//Corrugated sheet cutter auxiliary
	ELSIF uiInfoIdx = 15 THEN
		IF strInfoKey = 'name' THEN
			strRt	:= 'Corrugated sheet cutter auxiliary';</v>
      </c>
      <c r="AC77" t="str">
        <f ca="1"/>
        <v xml:space="preserve">
	//Corrugated sheet cutter auxiliary
	ELSIF uiInfoIdx = 15 THEN
		IF strInfoKey = 'name' THEN
			strRt	:= 'Corrugated sheet cutter auxiliary';
		ELSIF strInfoKey = 'index_name' THEN</v>
      </c>
      <c r="AD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</v>
      </c>
      <c r="AE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</v>
      </c>
      <c r="AF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</v>
      </c>
      <c r="AG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</v>
      </c>
      <c r="AH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</v>
      </c>
      <c r="AI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J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K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41</v>
      </c>
      <c r="I78" t="str">
        <f ca="1"/>
        <v>Corrugated sheet cutter auxiliary L</v>
      </c>
      <c r="J78" t="str">
        <f ca="1"/>
        <v>Corrugated sheet cutter auxiliary L</v>
      </c>
      <c r="L78" t="str">
        <f ca="1"/>
        <v>【cylinder16】 Corrugated sheet cutter auxiliary 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//Corrugated sheet cutter auxiliary L
	ELSIF uiInfoIdx = 16 THEN</v>
      </c>
      <c r="AA78" t="str">
        <f ca="1"/>
        <v xml:space="preserve">
	//Corrugated sheet cutter auxiliary L
	ELSIF uiInfoIdx = 16 THEN
		IF strInfoKey = 'name' THEN</v>
      </c>
      <c r="AB78" t="str">
        <f ca="1"/>
        <v xml:space="preserve">
	//Corrugated sheet cutter auxiliary L
	ELSIF uiInfoIdx = 16 THEN
		IF strInfoKey = 'name' THEN
			strRt	:= 'Corrugated sheet cutter auxiliary L';</v>
      </c>
      <c r="AC78" t="str">
        <f ca="1"/>
        <v xml:space="preserve">
	//Corrugated sheet cutter auxiliary L
	ELSIF uiInfoIdx = 16 THEN
		IF strInfoKey = 'name' THEN
			strRt	:= 'Corrugated sheet cutter auxiliary L';
		ELSIF strInfoKey = 'index_name' THEN</v>
      </c>
      <c r="AD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</v>
      </c>
      <c r="AE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</v>
      </c>
      <c r="AF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</v>
      </c>
      <c r="AG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</v>
      </c>
      <c r="AH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</v>
      </c>
      <c r="AI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J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K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42</v>
      </c>
      <c r="I79" t="str">
        <f ca="1"/>
        <v>X-roll gluing ①</v>
      </c>
      <c r="J79" t="str">
        <f ca="1"/>
        <v>X-roll gluing ①</v>
      </c>
      <c r="L79" t="str">
        <f ca="1"/>
        <v>【cylinder17】 X-roll gluing 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//X-roll gluing ①
	ELSIF uiInfoIdx = 17 THEN</v>
      </c>
      <c r="AA79" t="str">
        <f ca="1"/>
        <v xml:space="preserve">
	//X-roll gluing ①
	ELSIF uiInfoIdx = 17 THEN
		IF strInfoKey = 'name' THEN</v>
      </c>
      <c r="AB79" t="str">
        <f ca="1"/>
        <v xml:space="preserve">
	//X-roll gluing ①
	ELSIF uiInfoIdx = 17 THEN
		IF strInfoKey = 'name' THEN
			strRt	:= 'X-roll gluing ①';</v>
      </c>
      <c r="AC79" t="str">
        <f ca="1"/>
        <v xml:space="preserve">
	//X-roll gluing ①
	ELSIF uiInfoIdx = 17 THEN
		IF strInfoKey = 'name' THEN
			strRt	:= 'X-roll gluing ①';
		ELSIF strInfoKey = 'index_name' THEN</v>
      </c>
      <c r="AD79" t="str">
        <f ca="1"/>
        <v xml:space="preserve">
	//X-roll gluing ①
	ELSIF uiInfoIdx = 17 THEN
		IF strInfoKey = 'name' THEN
			strRt	:= 'X-roll gluing ①';
		ELSIF strInfoKey = 'index_name' THEN
			strRt	:= '【cylinder17】 X-roll gluing ①';</v>
      </c>
      <c r="AE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</v>
      </c>
      <c r="AF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</v>
      </c>
      <c r="AG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</v>
      </c>
      <c r="AH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</v>
      </c>
      <c r="AI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J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K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43</v>
      </c>
      <c r="I80" t="str">
        <f ca="1"/>
        <v>X-roll gluing ②</v>
      </c>
      <c r="J80" t="str">
        <f ca="1"/>
        <v>X-roll gluing ②</v>
      </c>
      <c r="L80" t="str">
        <f ca="1"/>
        <v>【cylinder18】 X-roll gluing 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//X-roll gluing ②
	ELSIF uiInfoIdx = 18 THEN</v>
      </c>
      <c r="AA80" t="str">
        <f ca="1"/>
        <v xml:space="preserve">
	//X-roll gluing ②
	ELSIF uiInfoIdx = 18 THEN
		IF strInfoKey = 'name' THEN</v>
      </c>
      <c r="AB80" t="str">
        <f ca="1"/>
        <v xml:space="preserve">
	//X-roll gluing ②
	ELSIF uiInfoIdx = 18 THEN
		IF strInfoKey = 'name' THEN
			strRt	:= 'X-roll gluing ②';</v>
      </c>
      <c r="AC80" t="str">
        <f ca="1"/>
        <v xml:space="preserve">
	//X-roll gluing ②
	ELSIF uiInfoIdx = 18 THEN
		IF strInfoKey = 'name' THEN
			strRt	:= 'X-roll gluing ②';
		ELSIF strInfoKey = 'index_name' THEN</v>
      </c>
      <c r="AD80" t="str">
        <f ca="1"/>
        <v xml:space="preserve">
	//X-roll gluing ②
	ELSIF uiInfoIdx = 18 THEN
		IF strInfoKey = 'name' THEN
			strRt	:= 'X-roll gluing ②';
		ELSIF strInfoKey = 'index_name' THEN
			strRt	:= '【cylinder18】 X-roll gluing ②';</v>
      </c>
      <c r="AE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</v>
      </c>
      <c r="AF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</v>
      </c>
      <c r="AG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</v>
      </c>
      <c r="AH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</v>
      </c>
      <c r="AI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J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K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44</v>
      </c>
      <c r="I81" t="str">
        <f ca="1"/>
        <v>X-roll flat plate pressing</v>
      </c>
      <c r="J81" t="str">
        <f ca="1"/>
        <v>X-roll flat plate pressing</v>
      </c>
      <c r="L81" t="str">
        <f ca="1"/>
        <v>【cylinder19】 X-roll flat plate pressing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//X-roll flat plate pressing
	ELSIF uiInfoIdx = 19 THEN</v>
      </c>
      <c r="AA81" t="str">
        <f ca="1"/>
        <v xml:space="preserve">
	//X-roll flat plate pressing
	ELSIF uiInfoIdx = 19 THEN
		IF strInfoKey = 'name' THEN</v>
      </c>
      <c r="AB81" t="str">
        <f ca="1"/>
        <v xml:space="preserve">
	//X-roll flat plate pressing
	ELSIF uiInfoIdx = 19 THEN
		IF strInfoKey = 'name' THEN
			strRt	:= 'X-roll flat plate pressing';</v>
      </c>
      <c r="AC81" t="str">
        <f ca="1"/>
        <v xml:space="preserve">
	//X-roll flat plate pressing
	ELSIF uiInfoIdx = 19 THEN
		IF strInfoKey = 'name' THEN
			strRt	:= 'X-roll flat plate pressing';
		ELSIF strInfoKey = 'index_name' THEN</v>
      </c>
      <c r="AD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</v>
      </c>
      <c r="AE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</v>
      </c>
      <c r="AF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</v>
      </c>
      <c r="AG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</v>
      </c>
      <c r="AH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</v>
      </c>
      <c r="AI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J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K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>
        <v>45</v>
      </c>
      <c r="I82" t="str">
        <f ca="1"/>
        <v>Foil wax reel fixing</v>
      </c>
      <c r="J82" t="str">
        <f ca="1"/>
        <v>Foil wax reel fixing</v>
      </c>
      <c r="L82" t="str">
        <f ca="1"/>
        <v>【cylinder20】 Foil wax reel fixing</v>
      </c>
      <c r="M82" t="str">
        <v>MGPM12-20Z-M9BL</v>
      </c>
      <c r="N82" t="str">
        <v>MGPM12-20Z-M9BL</v>
      </c>
      <c r="O82" t="str">
        <f ca="1"/>
        <v>MISUMI</v>
      </c>
      <c r="P82" t="str">
        <f ca="1"/>
        <v>MISUMI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//Foil wax reel fixing
	ELSIF uiInfoIdx = 20 THEN</v>
      </c>
      <c r="AA82" t="str">
        <f ca="1"/>
        <v xml:space="preserve">
	//Foil wax reel fixing
	ELSIF uiInfoIdx = 20 THEN
		IF strInfoKey = 'name' THEN</v>
      </c>
      <c r="AB82" t="str">
        <f ca="1"/>
        <v xml:space="preserve">
	//Foil wax reel fixing
	ELSIF uiInfoIdx = 20 THEN
		IF strInfoKey = 'name' THEN
			strRt	:= 'Foil wax reel fixing';</v>
      </c>
      <c r="AC82" t="str">
        <f ca="1"/>
        <v xml:space="preserve">
	//Foil wax reel fixing
	ELSIF uiInfoIdx = 20 THEN
		IF strInfoKey = 'name' THEN
			strRt	:= 'Foil wax reel fixing';
		ELSIF strInfoKey = 'index_name' THEN</v>
      </c>
      <c r="AD82" t="str">
        <f ca="1"/>
        <v xml:space="preserve">
	//Foil wax reel fixing
	ELSIF uiInfoIdx = 20 THEN
		IF strInfoKey = 'name' THEN
			strRt	:= 'Foil wax reel fixing';
		ELSIF strInfoKey = 'index_name' THEN
			strRt	:= '【cylinder20】 Foil wax reel fixing';</v>
      </c>
      <c r="AE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</v>
      </c>
      <c r="AF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</v>
      </c>
      <c r="AG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</v>
      </c>
      <c r="AH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</v>
      </c>
      <c r="AI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  <c r="AJ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  <c r="AK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>●</v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 xml:space="preserve">
	ELSE
		uiErrCode	:= 2;
	END_IF;</v>
      </c>
      <c r="AK85" t="str">
        <f ca="1"/>
        <v xml:space="preserve">
	ELSE
		uiErrCode	:= 2;
	END_IF;</v>
      </c>
    </row>
    <row r="86" spans="5:37" x14ac:dyDescent="0.55000000000000004">
      <c r="E86" t="s">
        <v>281</v>
      </c>
      <c r="F86">
        <f>COUNTIF(E$3:E86,E86)</f>
        <v>1</v>
      </c>
      <c r="G86" t="str">
        <v/>
      </c>
      <c r="H86">
        <v>68</v>
      </c>
      <c r="I86" t="str">
        <f ca="1"/>
        <v>welding machine</v>
      </c>
      <c r="J86" t="str">
        <f ca="1"/>
        <v>welding machine</v>
      </c>
      <c r="L86" t="str">
        <f ca="1"/>
        <v>【OTH1】 welding machine</v>
      </c>
      <c r="M86" t="str">
        <v/>
      </c>
      <c r="N86" t="str">
        <v>unknown</v>
      </c>
      <c r="O86" t="str">
        <f ca="1"/>
        <v/>
      </c>
      <c r="P86" t="str">
        <f ca="1"/>
        <v>unknown</v>
      </c>
      <c r="X86" t="str">
        <f ca="1"/>
        <v xml:space="preserve">
//OTH</v>
      </c>
      <c r="Y86" t="str">
        <f ca="1"/>
        <v xml:space="preserve">
//OTH
ELSIF strInfoType = 'OTH' THEN</v>
      </c>
      <c r="Z86" t="str">
        <f ca="1"/>
        <v xml:space="preserve">
//OTH
ELSIF strInfoType = 'OTH' THEN
	//welding machine
	IF uiInfoIdx = 1 THEN</v>
      </c>
      <c r="AA86" t="str">
        <f ca="1"/>
        <v xml:space="preserve">
//OTH
ELSIF strInfoType = 'OTH' THEN
	//welding machine
	IF uiInfoIdx = 1 THEN
		IF strInfoKey = 'name' THEN</v>
      </c>
      <c r="AB86" t="str">
        <f ca="1"/>
        <v xml:space="preserve">
//OTH
ELSIF strInfoType = 'OTH' THEN
	//welding machine
	IF uiInfoIdx = 1 THEN
		IF strInfoKey = 'name' THEN
			strRt	:= 'welding machine';</v>
      </c>
      <c r="AC86" t="str">
        <f ca="1"/>
        <v xml:space="preserve">
//OTH
ELSIF strInfoType = 'OTH' THEN
	//welding machine
	IF uiInfoIdx = 1 THEN
		IF strInfoKey = 'name' THEN
			strRt	:= 'welding machine';
		ELSIF strInfoKey = 'index_name' THEN</v>
      </c>
      <c r="AD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</v>
      </c>
      <c r="AE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</v>
      </c>
      <c r="AF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</v>
      </c>
      <c r="AG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</v>
      </c>
      <c r="AH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</v>
      </c>
      <c r="AI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  <c r="AJ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  <c r="AK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</row>
    <row r="87" spans="5:37" x14ac:dyDescent="0.55000000000000004">
      <c r="E87" t="str">
        <f t="shared" si="1"/>
        <v>OTH</v>
      </c>
      <c r="F87">
        <f>COUNTIF(E$3:E87,E87)</f>
        <v>2</v>
      </c>
      <c r="G87" t="str">
        <v/>
      </c>
      <c r="H87">
        <v>69</v>
      </c>
      <c r="I87" t="str">
        <f ca="1"/>
        <v>X-roll electromagnetic clutch</v>
      </c>
      <c r="J87" t="str">
        <f ca="1"/>
        <v>X-roll electromagnetic clutch</v>
      </c>
      <c r="L87" t="str">
        <f ca="1"/>
        <v>【OTH2】 X-roll electromagnetic clutch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X87" t="str">
        <f ca="1"/>
        <v xml:space="preserve">
</v>
      </c>
      <c r="Y87" t="str">
        <f ca="1"/>
        <v xml:space="preserve">
</v>
      </c>
      <c r="Z87" t="str">
        <f ca="1"/>
        <v xml:space="preserve">
	//X-roll electromagnetic clutch
	ELSIF uiInfoIdx = 2 THEN</v>
      </c>
      <c r="AA87" t="str">
        <f ca="1"/>
        <v xml:space="preserve">
	//X-roll electromagnetic clutch
	ELSIF uiInfoIdx = 2 THEN
		IF strInfoKey = 'name' THEN</v>
      </c>
      <c r="AB87" t="str">
        <f ca="1"/>
        <v xml:space="preserve">
	//X-roll electromagnetic clutch
	ELSIF uiInfoIdx = 2 THEN
		IF strInfoKey = 'name' THEN
			strRt	:= 'X-roll electromagnetic clutch';</v>
      </c>
      <c r="AC87" t="str">
        <f ca="1"/>
        <v xml:space="preserve">
	//X-roll electromagnetic clutch
	ELSIF uiInfoIdx = 2 THEN
		IF strInfoKey = 'name' THEN
			strRt	:= 'X-roll electromagnetic clutch';
		ELSIF strInfoKey = 'index_name' THEN</v>
      </c>
      <c r="AD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</v>
      </c>
      <c r="AE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</v>
      </c>
      <c r="AF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</v>
      </c>
      <c r="AG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</v>
      </c>
      <c r="AH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</v>
      </c>
      <c r="AI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  <c r="AJ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  <c r="AK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1"/>
        <v>OTH</v>
      </c>
      <c r="F88">
        <f>COUNTIF(E$3:E88,E88)</f>
        <v>3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OTH</v>
      </c>
      <c r="F89">
        <f>COUNTIF(E$3:E89,E89)</f>
        <v>4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OTH</v>
      </c>
      <c r="F90">
        <f>COUNTIF(E$3:E90,E90)</f>
        <v>5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OTH</v>
      </c>
      <c r="F91">
        <f>COUNTIF(E$3:E91,E91)</f>
        <v>6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OTH</v>
      </c>
      <c r="F92">
        <f>COUNTIF(E$3:E92,E92)</f>
        <v>7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OTH</v>
      </c>
      <c r="F93">
        <f>COUNTIF(E$3:E93,E93)</f>
        <v>8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OTH</v>
      </c>
      <c r="F94">
        <f>COUNTIF(E$3:E94,E94)</f>
        <v>9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OTH</v>
      </c>
      <c r="F95">
        <f>COUNTIF(E$3:E95,E95)</f>
        <v>10</v>
      </c>
      <c r="G95" t="str">
        <v>●</v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 xml:space="preserve">
	ELSE
		uiErrCode	:= 2;
	END_IF;</v>
      </c>
      <c r="AK95" t="str">
        <f ca="1"/>
        <v xml:space="preserve">
	ELSE
		uiErrCode	:= 2;
	END_IF;</v>
      </c>
    </row>
    <row r="96" spans="5:37" x14ac:dyDescent="0.55000000000000004">
      <c r="E96" t="s">
        <v>288</v>
      </c>
      <c r="F96">
        <f>COUNTIF(E$3:E96,E96)</f>
        <v>1</v>
      </c>
      <c r="G96" t="str">
        <v/>
      </c>
      <c r="H96">
        <v>70</v>
      </c>
      <c r="I96" t="str">
        <f ca="1"/>
        <v>(Unassigned)</v>
      </c>
      <c r="J96" t="str">
        <f ca="1"/>
        <v>(Unassigned)</v>
      </c>
      <c r="L96" t="str">
        <f ca="1"/>
        <v>【OTHC1】 (Unassigned)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//OTHC</v>
      </c>
      <c r="Y96" t="str">
        <f ca="1"/>
        <v xml:space="preserve">
//OTHC
ELSIF strInfoType = 'OTHC' THEN</v>
      </c>
      <c r="Z96" t="str">
        <f ca="1"/>
        <v xml:space="preserve">
//OTHC
ELSIF strInfoType = 'OTHC' THEN
	//(Unassigned)
	IF uiInfoIdx = 1 THEN</v>
      </c>
      <c r="AA96" t="str">
        <f ca="1"/>
        <v xml:space="preserve">
//OTHC
ELSIF strInfoType = 'OTHC' THEN
	//(Unassigned)
	IF uiInfoIdx = 1 THEN
		IF strInfoKey = 'name' THEN</v>
      </c>
      <c r="AB96" t="str">
        <f ca="1"/>
        <v xml:space="preserve">
//OTHC
ELSIF strInfoType = 'OTHC' THEN
	//(Unassigned)
	IF uiInfoIdx = 1 THEN
		IF strInfoKey = 'name' THEN
			strRt	:= '(Unassigned)';</v>
      </c>
      <c r="AC96" t="str">
        <f ca="1"/>
        <v xml:space="preserve">
//OTHC
ELSIF strInfoType = 'OTHC' THEN
	//(Unassigned)
	IF uiInfoIdx = 1 THEN
		IF strInfoKey = 'name' THEN
			strRt	:= '(Unassigned)';
		ELSIF strInfoKey = 'index_name' THEN</v>
      </c>
      <c r="AD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</v>
      </c>
      <c r="AE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</v>
      </c>
      <c r="AF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</v>
      </c>
      <c r="AG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</v>
      </c>
      <c r="AH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</v>
      </c>
      <c r="AI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  <c r="AJ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  <c r="AK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OTHC</v>
      </c>
      <c r="F97">
        <f>COUNTIF(E$3:E97,E97)</f>
        <v>2</v>
      </c>
      <c r="G97" t="str">
        <v/>
      </c>
      <c r="H97">
        <v>71</v>
      </c>
      <c r="I97" t="str">
        <f ca="1"/>
        <v>(Unassigned)</v>
      </c>
      <c r="J97" t="str">
        <f ca="1"/>
        <v>(Unassigned)</v>
      </c>
      <c r="L97" t="str">
        <f ca="1"/>
        <v>【OTHC2】 (Unassigned)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//(Unassigned)
	ELSIF uiInfoIdx = 2 THEN</v>
      </c>
      <c r="AA97" t="str">
        <f ca="1"/>
        <v xml:space="preserve">
	//(Unassigned)
	ELSIF uiInfoIdx = 2 THEN
		IF strInfoKey = 'name' THEN</v>
      </c>
      <c r="AB97" t="str">
        <f ca="1"/>
        <v xml:space="preserve">
	//(Unassigned)
	ELSIF uiInfoIdx = 2 THEN
		IF strInfoKey = 'name' THEN
			strRt	:= '(Unassigned)';</v>
      </c>
      <c r="AC97" t="str">
        <f ca="1"/>
        <v xml:space="preserve">
	//(Unassigned)
	ELSIF uiInfoIdx = 2 THEN
		IF strInfoKey = 'name' THEN
			strRt	:= '(Unassigned)';
		ELSIF strInfoKey = 'index_name' THEN</v>
      </c>
      <c r="AD97" t="str">
        <f ca="1"/>
        <v xml:space="preserve">
	//(Unassigned)
	ELSIF uiInfoIdx = 2 THEN
		IF strInfoKey = 'name' THEN
			strRt	:= '(Unassigned)';
		ELSIF strInfoKey = 'index_name' THEN
			strRt	:= '【OTHC2】 (Unassigned)';</v>
      </c>
      <c r="AE97" t="str">
        <f ca="1"/>
        <v xml:space="preserve">
	//(Unassigned)
	ELSIF uiInfoIdx = 2 THEN
		IF strInfoKey = 'name' THEN
			strRt	:= '(Unassigned)';
		ELSIF strInfoKey = 'index_name' THEN
			strRt	:= '【OTHC2】 (Unassigned)';
		ELSIF strInfoKey = 'model' THEN</v>
      </c>
      <c r="AF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</v>
      </c>
      <c r="AG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</v>
      </c>
      <c r="AH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</v>
      </c>
      <c r="AI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  <c r="AJ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  <c r="AK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OTHC</v>
      </c>
      <c r="F98">
        <f>COUNTIF(E$3:E98,E98)</f>
        <v>3</v>
      </c>
      <c r="G98" t="str">
        <v/>
      </c>
      <c r="H98">
        <v>72</v>
      </c>
      <c r="I98" t="str">
        <f ca="1"/>
        <v>T-roll gluing shaft</v>
      </c>
      <c r="J98" t="str">
        <f ca="1"/>
        <v>T-roll gluing shaft</v>
      </c>
      <c r="L98" t="str">
        <f ca="1"/>
        <v>【OTHC3】 T-roll gluing shaft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//T-roll gluing shaft
	ELSIF uiInfoIdx = 3 THEN</v>
      </c>
      <c r="AA98" t="str">
        <f ca="1"/>
        <v xml:space="preserve">
	//T-roll gluing shaft
	ELSIF uiInfoIdx = 3 THEN
		IF strInfoKey = 'name' THEN</v>
      </c>
      <c r="AB98" t="str">
        <f ca="1"/>
        <v xml:space="preserve">
	//T-roll gluing shaft
	ELSIF uiInfoIdx = 3 THEN
		IF strInfoKey = 'name' THEN
			strRt	:= 'T-roll gluing shaft';</v>
      </c>
      <c r="AC98" t="str">
        <f ca="1"/>
        <v xml:space="preserve">
	//T-roll gluing shaft
	ELSIF uiInfoIdx = 3 THEN
		IF strInfoKey = 'name' THEN
			strRt	:= 'T-roll gluing shaft';
		ELSIF strInfoKey = 'index_name' THEN</v>
      </c>
      <c r="AD98" t="str">
        <f ca="1"/>
        <v xml:space="preserve">
	//T-roll gluing shaft
	ELSIF uiInfoIdx = 3 THEN
		IF strInfoKey = 'name' THEN
			strRt	:= 'T-roll gluing shaft';
		ELSIF strInfoKey = 'index_name' THEN
			strRt	:= '【OTHC3】 T-roll gluing shaft';</v>
      </c>
      <c r="AE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</v>
      </c>
      <c r="AF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</v>
      </c>
      <c r="AG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</v>
      </c>
      <c r="AH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</v>
      </c>
      <c r="AI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</v>
      </c>
      <c r="AJ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</v>
      </c>
      <c r="AK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1"/>
        <v>OTHC</v>
      </c>
      <c r="F99">
        <f>COUNTIF(E$3:E99,E99)</f>
        <v>4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OTHC</v>
      </c>
      <c r="F100">
        <f>COUNTIF(E$3:E100,E100)</f>
        <v>5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OTHC</v>
      </c>
      <c r="F101">
        <f>COUNTIF(E$3:E101,E101)</f>
        <v>6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OTHC</v>
      </c>
      <c r="F102">
        <f>COUNTIF(E$3:E102,E102)</f>
        <v>7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OTHC</v>
      </c>
      <c r="F103">
        <f>COUNTIF(E$3:E103,E103)</f>
        <v>8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OTHC</v>
      </c>
      <c r="F104">
        <f>COUNTIF(E$3:E104,E104)</f>
        <v>9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OTHC</v>
      </c>
      <c r="F105">
        <f>COUNTIF(E$3:E105,E105)</f>
        <v>10</v>
      </c>
      <c r="G105" t="str">
        <v>●</v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 xml:space="preserve">
	ELSE
		uiErrCode	:= 2;
	END_IF;</v>
      </c>
      <c r="AK105" t="str">
        <f ca="1"/>
        <v xml:space="preserve">
	ELSE
		uiErrCode	:= 2;
	END_IF;</v>
      </c>
    </row>
    <row r="106" spans="5:37" x14ac:dyDescent="0.55000000000000004">
      <c r="E106" t="s">
        <v>255</v>
      </c>
      <c r="F106">
        <f>COUNTIF(E$3:E106,E106)</f>
        <v>1</v>
      </c>
      <c r="G106" t="str">
        <v/>
      </c>
      <c r="H106">
        <v>60</v>
      </c>
      <c r="I106" t="str">
        <f ca="1"/>
        <v>Flat Sheet Supply</v>
      </c>
      <c r="J106" t="str">
        <f ca="1"/>
        <v>Flat Sheet Supply</v>
      </c>
      <c r="L106" t="str">
        <f ca="1"/>
        <v>【unit1】 Flat Sheet Supply</v>
      </c>
      <c r="M106" t="str">
        <v/>
      </c>
      <c r="N106" t="str">
        <v>unknown</v>
      </c>
      <c r="O106" t="str">
        <f ca="1"/>
        <v/>
      </c>
      <c r="P106" t="str">
        <f ca="1"/>
        <v>unknown</v>
      </c>
      <c r="X106" t="str">
        <f ca="1"/>
        <v xml:space="preserve">
//unit</v>
      </c>
      <c r="Y106" t="str">
        <f ca="1"/>
        <v xml:space="preserve">
//unit
ELSIF strInfoType = 'unit' THEN</v>
      </c>
      <c r="Z106" t="str">
        <f ca="1"/>
        <v xml:space="preserve">
//unit
ELSIF strInfoType = 'unit' THEN
	//Flat Sheet Supply
	IF uiInfoIdx = 1 THEN</v>
      </c>
      <c r="AA106" t="str">
        <f ca="1"/>
        <v xml:space="preserve">
//unit
ELSIF strInfoType = 'unit' THEN
	//Flat Sheet Supply
	IF uiInfoIdx = 1 THEN
		IF strInfoKey = 'name' THEN</v>
      </c>
      <c r="AB106" t="str">
        <f ca="1"/>
        <v xml:space="preserve">
//unit
ELSIF strInfoType = 'unit' THEN
	//Flat Sheet Supply
	IF uiInfoIdx = 1 THEN
		IF strInfoKey = 'name' THEN
			strRt	:= 'Flat Sheet Supply';</v>
      </c>
      <c r="AC106" t="str">
        <f ca="1"/>
        <v xml:space="preserve">
//unit
ELSIF strInfoType = 'unit' THEN
	//Flat Sheet Supply
	IF uiInfoIdx = 1 THEN
		IF strInfoKey = 'name' THEN
			strRt	:= 'Flat Sheet Supply';
		ELSIF strInfoKey = 'index_name' THEN</v>
      </c>
      <c r="AD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</v>
      </c>
      <c r="AE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</v>
      </c>
      <c r="AF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</v>
      </c>
      <c r="AG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</v>
      </c>
      <c r="AH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</v>
      </c>
      <c r="AI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  <c r="AJ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  <c r="AK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</row>
    <row r="107" spans="5:37" x14ac:dyDescent="0.55000000000000004">
      <c r="E107" t="str">
        <f t="shared" si="1"/>
        <v>unit</v>
      </c>
      <c r="F107">
        <f>COUNTIF(E$3:E107,E107)</f>
        <v>2</v>
      </c>
      <c r="G107" t="str">
        <v/>
      </c>
      <c r="H107">
        <v>61</v>
      </c>
      <c r="I107" t="str">
        <f ca="1"/>
        <v>Corrugated Sheet Supply</v>
      </c>
      <c r="J107" t="str">
        <f ca="1"/>
        <v>Corrugated Sheet Supply</v>
      </c>
      <c r="L107" t="str">
        <f ca="1"/>
        <v>【unit2】 Corrugated Sheet Supply</v>
      </c>
      <c r="M107" t="str">
        <v/>
      </c>
      <c r="N107" t="str">
        <v>unknown</v>
      </c>
      <c r="O107" t="str">
        <f ca="1"/>
        <v/>
      </c>
      <c r="P107" t="str">
        <f ca="1"/>
        <v>unknown</v>
      </c>
      <c r="X107" t="str">
        <f ca="1"/>
        <v xml:space="preserve">
</v>
      </c>
      <c r="Y107" t="str">
        <f ca="1"/>
        <v xml:space="preserve">
</v>
      </c>
      <c r="Z107" t="str">
        <f ca="1"/>
        <v xml:space="preserve">
	//Corrugated Sheet Supply
	ELSIF uiInfoIdx = 2 THEN</v>
      </c>
      <c r="AA107" t="str">
        <f ca="1"/>
        <v xml:space="preserve">
	//Corrugated Sheet Supply
	ELSIF uiInfoIdx = 2 THEN
		IF strInfoKey = 'name' THEN</v>
      </c>
      <c r="AB107" t="str">
        <f ca="1"/>
        <v xml:space="preserve">
	//Corrugated Sheet Supply
	ELSIF uiInfoIdx = 2 THEN
		IF strInfoKey = 'name' THEN
			strRt	:= 'Corrugated Sheet Supply';</v>
      </c>
      <c r="AC107" t="str">
        <f ca="1"/>
        <v xml:space="preserve">
	//Corrugated Sheet Supply
	ELSIF uiInfoIdx = 2 THEN
		IF strInfoKey = 'name' THEN
			strRt	:= 'Corrugated Sheet Supply';
		ELSIF strInfoKey = 'index_name' THEN</v>
      </c>
      <c r="AD107" t="str">
        <f ca="1"/>
        <v xml:space="preserve">
	//Corrugated Sheet Supply
	ELSIF uiInfoIdx = 2 THEN
		IF strInfoKey = 'name' THEN
			strRt	:= 'Corrugated Sheet Supply';
		ELSIF strInfoKey = 'index_name' THEN
			strRt	:= '【unit2】 Corrugated Sheet Supply';</v>
      </c>
      <c r="AE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</v>
      </c>
      <c r="AF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</v>
      </c>
      <c r="AG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</v>
      </c>
      <c r="AH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</v>
      </c>
      <c r="AI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  <c r="AJ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  <c r="AK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</row>
    <row r="108" spans="5:37" x14ac:dyDescent="0.55000000000000004">
      <c r="E108" t="str">
        <f t="shared" si="1"/>
        <v>unit</v>
      </c>
      <c r="F108">
        <f>COUNTIF(E$3:E108,E108)</f>
        <v>3</v>
      </c>
      <c r="G108" t="str">
        <v/>
      </c>
      <c r="H108">
        <v>62</v>
      </c>
      <c r="I108" t="str">
        <f ca="1"/>
        <v>Foil Wax Supply</v>
      </c>
      <c r="J108" t="str">
        <f ca="1"/>
        <v>Foil Wax Supply</v>
      </c>
      <c r="L108" t="str">
        <f ca="1"/>
        <v>【unit3】 Foil Wax Supply</v>
      </c>
      <c r="M108" t="str">
        <v/>
      </c>
      <c r="N108" t="str">
        <v>unknown</v>
      </c>
      <c r="O108" t="str">
        <f ca="1"/>
        <v/>
      </c>
      <c r="P108" t="str">
        <f ca="1"/>
        <v>unknown</v>
      </c>
      <c r="X108" t="str">
        <f ca="1"/>
        <v xml:space="preserve">
</v>
      </c>
      <c r="Y108" t="str">
        <f ca="1"/>
        <v xml:space="preserve">
</v>
      </c>
      <c r="Z108" t="str">
        <f ca="1"/>
        <v xml:space="preserve">
	//Foil Wax Supply
	ELSIF uiInfoIdx = 3 THEN</v>
      </c>
      <c r="AA108" t="str">
        <f ca="1"/>
        <v xml:space="preserve">
	//Foil Wax Supply
	ELSIF uiInfoIdx = 3 THEN
		IF strInfoKey = 'name' THEN</v>
      </c>
      <c r="AB108" t="str">
        <f ca="1"/>
        <v xml:space="preserve">
	//Foil Wax Supply
	ELSIF uiInfoIdx = 3 THEN
		IF strInfoKey = 'name' THEN
			strRt	:= 'Foil Wax Supply';</v>
      </c>
      <c r="AC108" t="str">
        <f ca="1"/>
        <v xml:space="preserve">
	//Foil Wax Supply
	ELSIF uiInfoIdx = 3 THEN
		IF strInfoKey = 'name' THEN
			strRt	:= 'Foil Wax Supply';
		ELSIF strInfoKey = 'index_name' THEN</v>
      </c>
      <c r="AD108" t="str">
        <f ca="1"/>
        <v xml:space="preserve">
	//Foil Wax Supply
	ELSIF uiInfoIdx = 3 THEN
		IF strInfoKey = 'name' THEN
			strRt	:= 'Foil Wax Supply';
		ELSIF strInfoKey = 'index_name' THEN
			strRt	:= '【unit3】 Foil Wax Supply';</v>
      </c>
      <c r="AE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</v>
      </c>
      <c r="AF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</v>
      </c>
      <c r="AG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</v>
      </c>
      <c r="AH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</v>
      </c>
      <c r="AI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  <c r="AJ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  <c r="AK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</row>
    <row r="109" spans="5:37" x14ac:dyDescent="0.55000000000000004">
      <c r="E109" t="str">
        <f t="shared" si="1"/>
        <v>unit</v>
      </c>
      <c r="F109">
        <f>COUNTIF(E$3:E109,E109)</f>
        <v>4</v>
      </c>
      <c r="G109" t="str">
        <v/>
      </c>
      <c r="H109">
        <v>63</v>
      </c>
      <c r="I109" t="str">
        <f ca="1"/>
        <v>Winding Shaft</v>
      </c>
      <c r="J109" t="str">
        <f ca="1"/>
        <v>Winding Shaft</v>
      </c>
      <c r="L109" t="str">
        <f ca="1"/>
        <v>【unit4】 Winding Shaft</v>
      </c>
      <c r="M109" t="str">
        <v/>
      </c>
      <c r="N109" t="str">
        <v>unknown</v>
      </c>
      <c r="O109" t="str">
        <f ca="1"/>
        <v/>
      </c>
      <c r="P109" t="str">
        <f ca="1"/>
        <v>unknown</v>
      </c>
      <c r="X109" t="str">
        <f ca="1"/>
        <v xml:space="preserve">
</v>
      </c>
      <c r="Y109" t="str">
        <f ca="1"/>
        <v xml:space="preserve">
</v>
      </c>
      <c r="Z109" t="str">
        <f ca="1"/>
        <v xml:space="preserve">
	//Winding Shaft
	ELSIF uiInfoIdx = 4 THEN</v>
      </c>
      <c r="AA109" t="str">
        <f ca="1"/>
        <v xml:space="preserve">
	//Winding Shaft
	ELSIF uiInfoIdx = 4 THEN
		IF strInfoKey = 'name' THEN</v>
      </c>
      <c r="AB109" t="str">
        <f ca="1"/>
        <v xml:space="preserve">
	//Winding Shaft
	ELSIF uiInfoIdx = 4 THEN
		IF strInfoKey = 'name' THEN
			strRt	:= 'Winding Shaft';</v>
      </c>
      <c r="AC109" t="str">
        <f ca="1"/>
        <v xml:space="preserve">
	//Winding Shaft
	ELSIF uiInfoIdx = 4 THEN
		IF strInfoKey = 'name' THEN
			strRt	:= 'Winding Shaft';
		ELSIF strInfoKey = 'index_name' THEN</v>
      </c>
      <c r="AD109" t="str">
        <f ca="1"/>
        <v xml:space="preserve">
	//Winding Shaft
	ELSIF uiInfoIdx = 4 THEN
		IF strInfoKey = 'name' THEN
			strRt	:= 'Winding Shaft';
		ELSIF strInfoKey = 'index_name' THEN
			strRt	:= '【unit4】 Winding Shaft';</v>
      </c>
      <c r="AE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</v>
      </c>
      <c r="AF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</v>
      </c>
      <c r="AG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</v>
      </c>
      <c r="AH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</v>
      </c>
      <c r="AI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  <c r="AJ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  <c r="AK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</row>
    <row r="110" spans="5:37" x14ac:dyDescent="0.55000000000000004">
      <c r="E110" t="str">
        <f t="shared" si="1"/>
        <v>unit</v>
      </c>
      <c r="F110">
        <f>COUNTIF(E$3:E110,E110)</f>
        <v>5</v>
      </c>
      <c r="G110" t="str">
        <v/>
      </c>
      <c r="H110">
        <v>64</v>
      </c>
      <c r="I110" t="str">
        <f ca="1"/>
        <v>Welding</v>
      </c>
      <c r="J110" t="str">
        <f ca="1"/>
        <v>Welding</v>
      </c>
      <c r="L110" t="str">
        <f ca="1"/>
        <v>【unit5】 Welding</v>
      </c>
      <c r="M110" t="str">
        <v/>
      </c>
      <c r="N110" t="str">
        <v>unknown</v>
      </c>
      <c r="O110" t="str">
        <f ca="1"/>
        <v/>
      </c>
      <c r="P110" t="str">
        <f ca="1"/>
        <v>unknown</v>
      </c>
      <c r="X110" t="str">
        <f ca="1"/>
        <v xml:space="preserve">
</v>
      </c>
      <c r="Y110" t="str">
        <f ca="1"/>
        <v xml:space="preserve">
</v>
      </c>
      <c r="Z110" t="str">
        <f ca="1"/>
        <v xml:space="preserve">
	//Welding
	ELSIF uiInfoIdx = 5 THEN</v>
      </c>
      <c r="AA110" t="str">
        <f ca="1"/>
        <v xml:space="preserve">
	//Welding
	ELSIF uiInfoIdx = 5 THEN
		IF strInfoKey = 'name' THEN</v>
      </c>
      <c r="AB110" t="str">
        <f ca="1"/>
        <v xml:space="preserve">
	//Welding
	ELSIF uiInfoIdx = 5 THEN
		IF strInfoKey = 'name' THEN
			strRt	:= 'Welding';</v>
      </c>
      <c r="AC110" t="str">
        <f ca="1"/>
        <v xml:space="preserve">
	//Welding
	ELSIF uiInfoIdx = 5 THEN
		IF strInfoKey = 'name' THEN
			strRt	:= 'Welding';
		ELSIF strInfoKey = 'index_name' THEN</v>
      </c>
      <c r="AD110" t="str">
        <f ca="1"/>
        <v xml:space="preserve">
	//Welding
	ELSIF uiInfoIdx = 5 THEN
		IF strInfoKey = 'name' THEN
			strRt	:= 'Welding';
		ELSIF strInfoKey = 'index_name' THEN
			strRt	:= '【unit5】 Welding';</v>
      </c>
      <c r="AE110" t="str">
        <f ca="1"/>
        <v xml:space="preserve">
	//Welding
	ELSIF uiInfoIdx = 5 THEN
		IF strInfoKey = 'name' THEN
			strRt	:= 'Welding';
		ELSIF strInfoKey = 'index_name' THEN
			strRt	:= '【unit5】 Welding';
		ELSIF strInfoKey = 'model' THEN</v>
      </c>
      <c r="AF110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</v>
      </c>
      <c r="AG110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</v>
      </c>
      <c r="AH110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</v>
      </c>
      <c r="AI110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  <c r="AJ110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  <c r="AK110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</row>
    <row r="111" spans="5:37" x14ac:dyDescent="0.55000000000000004">
      <c r="E111" t="str">
        <f t="shared" si="1"/>
        <v>unit</v>
      </c>
      <c r="F111">
        <f>COUNTIF(E$3:E111,E111)</f>
        <v>6</v>
      </c>
      <c r="G111" t="str">
        <v/>
      </c>
      <c r="H111">
        <v>65</v>
      </c>
      <c r="I111" t="str">
        <f ca="1"/>
        <v>Discharge</v>
      </c>
      <c r="J111" t="str">
        <f ca="1"/>
        <v>Discharge</v>
      </c>
      <c r="L111" t="str">
        <f ca="1"/>
        <v>【unit6】 Discharge</v>
      </c>
      <c r="M111" t="str">
        <v/>
      </c>
      <c r="N111" t="str">
        <v>unknown</v>
      </c>
      <c r="O111" t="str">
        <f ca="1"/>
        <v/>
      </c>
      <c r="P111" t="str">
        <f ca="1"/>
        <v>unknown</v>
      </c>
      <c r="X111" t="str">
        <f ca="1"/>
        <v xml:space="preserve">
</v>
      </c>
      <c r="Y111" t="str">
        <f ca="1"/>
        <v xml:space="preserve">
</v>
      </c>
      <c r="Z111" t="str">
        <f ca="1"/>
        <v xml:space="preserve">
	//Discharge
	ELSIF uiInfoIdx = 6 THEN</v>
      </c>
      <c r="AA111" t="str">
        <f ca="1"/>
        <v xml:space="preserve">
	//Discharge
	ELSIF uiInfoIdx = 6 THEN
		IF strInfoKey = 'name' THEN</v>
      </c>
      <c r="AB111" t="str">
        <f ca="1"/>
        <v xml:space="preserve">
	//Discharge
	ELSIF uiInfoIdx = 6 THEN
		IF strInfoKey = 'name' THEN
			strRt	:= 'Discharge';</v>
      </c>
      <c r="AC111" t="str">
        <f ca="1"/>
        <v xml:space="preserve">
	//Discharge
	ELSIF uiInfoIdx = 6 THEN
		IF strInfoKey = 'name' THEN
			strRt	:= 'Discharge';
		ELSIF strInfoKey = 'index_name' THEN</v>
      </c>
      <c r="AD111" t="str">
        <f ca="1"/>
        <v xml:space="preserve">
	//Discharge
	ELSIF uiInfoIdx = 6 THEN
		IF strInfoKey = 'name' THEN
			strRt	:= 'Discharge';
		ELSIF strInfoKey = 'index_name' THEN
			strRt	:= '【unit6】 Discharge';</v>
      </c>
      <c r="AE111" t="str">
        <f ca="1"/>
        <v xml:space="preserve">
	//Discharge
	ELSIF uiInfoIdx = 6 THEN
		IF strInfoKey = 'name' THEN
			strRt	:= 'Discharge';
		ELSIF strInfoKey = 'index_name' THEN
			strRt	:= '【unit6】 Discharge';
		ELSIF strInfoKey = 'model' THEN</v>
      </c>
      <c r="AF111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</v>
      </c>
      <c r="AG111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</v>
      </c>
      <c r="AH111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</v>
      </c>
      <c r="AI111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  <c r="AJ111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  <c r="AK111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</row>
    <row r="112" spans="5:37" x14ac:dyDescent="0.55000000000000004">
      <c r="E112" t="str">
        <f t="shared" si="1"/>
        <v>unit</v>
      </c>
      <c r="F112">
        <f>COUNTIF(E$3:E112,E112)</f>
        <v>7</v>
      </c>
      <c r="G112" t="str">
        <v/>
      </c>
      <c r="H112">
        <v>66</v>
      </c>
      <c r="I112" t="str">
        <f ca="1"/>
        <v>X-roll section</v>
      </c>
      <c r="J112" t="str">
        <f ca="1"/>
        <v>X-roll section</v>
      </c>
      <c r="L112" t="str">
        <f ca="1"/>
        <v>【unit7】 X-roll section</v>
      </c>
      <c r="M112" t="str">
        <v/>
      </c>
      <c r="N112" t="str">
        <v>unknown</v>
      </c>
      <c r="O112" t="str">
        <f ca="1"/>
        <v/>
      </c>
      <c r="P112" t="str">
        <f ca="1"/>
        <v>unknown</v>
      </c>
      <c r="X112" t="str">
        <f ca="1"/>
        <v xml:space="preserve">
</v>
      </c>
      <c r="Y112" t="str">
        <f ca="1"/>
        <v xml:space="preserve">
</v>
      </c>
      <c r="Z112" t="str">
        <f ca="1"/>
        <v xml:space="preserve">
	//X-roll section
	ELSIF uiInfoIdx = 7 THEN</v>
      </c>
      <c r="AA112" t="str">
        <f ca="1"/>
        <v xml:space="preserve">
	//X-roll section
	ELSIF uiInfoIdx = 7 THEN
		IF strInfoKey = 'name' THEN</v>
      </c>
      <c r="AB112" t="str">
        <f ca="1"/>
        <v xml:space="preserve">
	//X-roll section
	ELSIF uiInfoIdx = 7 THEN
		IF strInfoKey = 'name' THEN
			strRt	:= 'X-roll section';</v>
      </c>
      <c r="AC112" t="str">
        <f ca="1"/>
        <v xml:space="preserve">
	//X-roll section
	ELSIF uiInfoIdx = 7 THEN
		IF strInfoKey = 'name' THEN
			strRt	:= 'X-roll section';
		ELSIF strInfoKey = 'index_name' THEN</v>
      </c>
      <c r="AD112" t="str">
        <f ca="1"/>
        <v xml:space="preserve">
	//X-roll section
	ELSIF uiInfoIdx = 7 THEN
		IF strInfoKey = 'name' THEN
			strRt	:= 'X-roll section';
		ELSIF strInfoKey = 'index_name' THEN
			strRt	:= '【unit7】 X-roll section';</v>
      </c>
      <c r="AE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</v>
      </c>
      <c r="AF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</v>
      </c>
      <c r="AG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</v>
      </c>
      <c r="AH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</v>
      </c>
      <c r="AI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</v>
      </c>
      <c r="AJ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</v>
      </c>
      <c r="AK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</v>
      </c>
    </row>
    <row r="113" spans="5:37" x14ac:dyDescent="0.55000000000000004">
      <c r="E113" t="str">
        <f t="shared" si="1"/>
        <v>unit</v>
      </c>
      <c r="F113">
        <f>COUNTIF(E$3:E113,E113)</f>
        <v>8</v>
      </c>
      <c r="G113" t="str">
        <v/>
      </c>
      <c r="H113">
        <v>67</v>
      </c>
      <c r="I113" t="str">
        <f ca="1"/>
        <v>Foil wax reel section</v>
      </c>
      <c r="J113" t="str">
        <f ca="1"/>
        <v>Foil wax reel section</v>
      </c>
      <c r="L113" t="str">
        <f ca="1"/>
        <v>【unit8】 Foil wax reel section</v>
      </c>
      <c r="M113" t="str">
        <v/>
      </c>
      <c r="N113" t="str">
        <v>unknown</v>
      </c>
      <c r="O113" t="str">
        <f ca="1"/>
        <v/>
      </c>
      <c r="P113" t="str">
        <f ca="1"/>
        <v>unknown</v>
      </c>
      <c r="X113" t="str">
        <f ca="1"/>
        <v xml:space="preserve">
</v>
      </c>
      <c r="Y113" t="str">
        <f ca="1"/>
        <v xml:space="preserve">
</v>
      </c>
      <c r="Z113" t="str">
        <f ca="1"/>
        <v xml:space="preserve">
	//Foil wax reel section
	ELSIF uiInfoIdx = 8 THEN</v>
      </c>
      <c r="AA113" t="str">
        <f ca="1"/>
        <v xml:space="preserve">
	//Foil wax reel section
	ELSIF uiInfoIdx = 8 THEN
		IF strInfoKey = 'name' THEN</v>
      </c>
      <c r="AB113" t="str">
        <f ca="1"/>
        <v xml:space="preserve">
	//Foil wax reel section
	ELSIF uiInfoIdx = 8 THEN
		IF strInfoKey = 'name' THEN
			strRt	:= 'Foil wax reel section';</v>
      </c>
      <c r="AC113" t="str">
        <f ca="1"/>
        <v xml:space="preserve">
	//Foil wax reel section
	ELSIF uiInfoIdx = 8 THEN
		IF strInfoKey = 'name' THEN
			strRt	:= 'Foil wax reel section';
		ELSIF strInfoKey = 'index_name' THEN</v>
      </c>
      <c r="AD113" t="str">
        <f ca="1"/>
        <v xml:space="preserve">
	//Foil wax reel section
	ELSIF uiInfoIdx = 8 THEN
		IF strInfoKey = 'name' THEN
			strRt	:= 'Foil wax reel section';
		ELSIF strInfoKey = 'index_name' THEN
			strRt	:= '【unit8】 Foil wax reel section';</v>
      </c>
      <c r="AE113" t="str">
        <f ca="1"/>
        <v xml:space="preserve">
	//Foil wax reel section
	ELSIF uiInfoIdx = 8 THEN
		IF strInfoKey = 'name' THEN
			strRt	:= 'Foil wax reel section';
		ELSIF strInfoKey = 'index_name' THEN
			strRt	:= '【unit8】 Foil wax reel section';
		ELSIF strInfoKey = 'model' THEN</v>
      </c>
      <c r="AF113" t="str">
        <f ca="1"/>
        <v xml:space="preserve">
	//Foil wax reel section
	ELSIF uiInfoIdx = 8 THEN
		IF strInfoKey = 'name' THEN
			strRt	:= 'Foil wax reel section';
		ELSIF strInfoKey = 'index_name' THEN
			strRt	:= '【unit8】 Foil wax reel section';
		ELSIF strInfoKey = 'model' THEN
			strRt	:= 'unknown';</v>
      </c>
      <c r="AG113" t="str">
        <f ca="1"/>
        <v xml:space="preserve">
	//Foil wax reel section
	ELSIF uiInfoIdx = 8 THEN
		IF strInfoKey = 'name' THEN
			strRt	:= 'Foil wax reel section';
		ELSIF strInfoKey = 'index_name' THEN
			strRt	:= '【unit8】 Foil wax reel section';
		ELSIF strInfoKey = 'model' THEN
			strRt	:= 'unknown';
		ELSIF strInfoKey = 'mf' THEN</v>
      </c>
      <c r="AH113" t="str">
        <f ca="1"/>
        <v xml:space="preserve">
	//Foil wax reel section
	ELSIF uiInfoIdx = 8 THEN
		IF strInfoKey = 'name' THEN
			strRt	:= 'Foil wax reel section';
		ELSIF strInfoKey = 'index_name' THEN
			strRt	:= '【unit8】 Foil wax reel section';
		ELSIF strInfoKey = 'model' THEN
			strRt	:= 'unknown';
		ELSIF strInfoKey = 'mf' THEN
			strRt	:= 'unknown';</v>
      </c>
      <c r="AI113" t="str">
        <f ca="1"/>
        <v xml:space="preserve">
	//Foil wax reel section
	ELSIF uiInfoIdx = 8 THEN
		IF strInfoKey = 'name' THEN
			strRt	:= 'Foil wax reel section';
		ELSIF strInfoKey = 'index_name' THEN
			strRt	:= '【unit8】 Foil wax reel section';
		ELSIF strInfoKey = 'model' THEN
			strRt	:= 'unknown';
		ELSIF strInfoKey = 'mf' THEN
			strRt	:= 'unknown';
		ELSE
			uiErrCode	:= 3;
		END_IF;</v>
      </c>
      <c r="AJ113" t="str">
        <f ca="1"/>
        <v xml:space="preserve">
	//Foil wax reel section
	ELSIF uiInfoIdx = 8 THEN
		IF strInfoKey = 'name' THEN
			strRt	:= 'Foil wax reel section';
		ELSIF strInfoKey = 'index_name' THEN
			strRt	:= '【unit8】 Foil wax reel section';
		ELSIF strInfoKey = 'model' THEN
			strRt	:= 'unknown';
		ELSIF strInfoKey = 'mf' THEN
			strRt	:= 'unknown';
		ELSE
			uiErrCode	:= 3;
		END_IF;</v>
      </c>
      <c r="AK113" t="str">
        <f ca="1"/>
        <v xml:space="preserve">
	//Foil wax reel section
	ELSIF uiInfoIdx = 8 THEN
		IF strInfoKey = 'name' THEN
			strRt	:= 'Foil wax reel section';
		ELSIF strInfoKey = 'index_name' THEN
			strRt	:= '【unit8】 Foil wax reel section';
		ELSIF strInfoKey = 'model' THEN
			strRt	:= 'unknown';
		ELSIF strInfoKey = 'mf' THEN
			strRt	:= 'unknown';
		ELSE
			uiErrCode	:= 3;
		END_IF;</v>
      </c>
    </row>
    <row r="114" spans="5:37" x14ac:dyDescent="0.55000000000000004">
      <c r="E114" t="str">
        <f t="shared" si="1"/>
        <v>unit</v>
      </c>
      <c r="F114">
        <f>COUNTIF(E$3:E114,E114)</f>
        <v>9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10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11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12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13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14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15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16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17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18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19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20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21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22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23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24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25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26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27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28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29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30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31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32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33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34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35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36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37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38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39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40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41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42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43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44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45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46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47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48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49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50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51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52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53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54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55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56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57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58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59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60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61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62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63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64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65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66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67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68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69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70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71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72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73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74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75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76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77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78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79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80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81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82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83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84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85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86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87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88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89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90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91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92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93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94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95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96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97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C:\tk\prj\hg-0025-0016\git\unit01\kv-x520\doc\[kv_script_conv_info.xlsx]info_index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
			strRt	:= 'OrientalMotor';
		ELSE
			uiErrCode	:= 3;
		END_IF;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
			strRt	:= 'KEYENCE';
		ELSE
			uiErrCode	:= 3;
		END_IF;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
	//Workpiece transportation X-shaft
	ELSIF uiInfoIdx = 19 THEN
		IF strInfoKey = 'name' THEN
			strRt	:= 'Workpiece transportation X-shaft';
		ELSIF strInfoKey = 'index_name' THEN
			strRt	:= '【axis19】 Workpiece transportation X-shaft';
		ELSIF strInfoKey = 'model' THEN
			strRt	:= 'RCP6S-SA4R-WA-35P-5-500-SE-S-ML';
		ELSIF strInfoKey = 'mf' THEN
			strRt	:= 'IAI';
		ELSE
			uiErrCode	:= 3;
		END_IF;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
			strRt	:= 'KEYENCE';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
	ELSE
		uiErrCode	:= 2;
	END_IF;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
	ELSE
		uiErrCode	:= 2;
	END_IF;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
	ELSE
		uiErrCode	:= 2;
	END_IF;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
	//Foil wax reel section
	ELSIF uiInfoIdx = 8 THEN
		IF strInfoKey = 'name' THEN
			strRt	:= 'Foil wax reel section';
		ELSIF strInfoKey = 'index_name' THEN
			strRt	:= '【unit8】 Foil wax reel section';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2026-06-01T10:57:19Z</dcterms:modified>
</cp:coreProperties>
</file>