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E13A8FEB-01A9-40E3-B9D2-36B1D94D9209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2" i="3" l="1"/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71" i="1"/>
  <c r="C73" i="1"/>
  <c r="C71" i="1"/>
  <c r="B73" i="1"/>
  <c r="B71" i="1"/>
  <c r="D69" i="1"/>
  <c r="A69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F105" i="3" l="1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<sst xmlns="http://schemas.openxmlformats.org/spreadsheetml/2006/main" count="505" uniqueCount="299">
  <si>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</si>
  <si>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</si>
  <si>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</si>
  <si>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</si>
  <si>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</si>
  <si>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</si>
  <si>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</si>
  <si>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</si>
  <si>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</si>
  <si>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</si>
  <si>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</si>
  <si>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</si>
  <si>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</si>
  <si>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</si>
  <si>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</si>
  <si>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</si>
  <si>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</si>
  <si>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</si>
  <si>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</si>
  <si>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</si>
  <si>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</si>
  <si>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</si>
  <si>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</si>
  <si>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</si>
  <si>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</si>
  <si>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</si>
  <si>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</si>
  <si>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</si>
  <si>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</si>
  <si>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</si>
  <si>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</si>
  <si>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</si>
  <si>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</si>
  <si>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</si>
  <si>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</si>
  <si>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</si>
  <si>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</si>
  <si>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</si>
  <si>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</si>
  <si>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</si>
  <si>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</si>
  <si>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</si>
  <si>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</si>
  <si>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</si>
  <si>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</si>
  <si>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</si>
  <si>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</si>
  <si>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</si>
  <si>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</si>
  <si>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</si>
  <si>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</si>
  <si>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</si>
  <si>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</si>
  <si>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</si>
  <si>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</si>
  <si>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</si>
  <si>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</si>
  <si>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</si>
  <si>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</si>
  <si>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</si>
  <si>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</si>
  <si>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</si>
  <si>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</si>
  <si>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</si>
  <si>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</si>
  <si>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</si>
  <si>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</si>
  <si>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</si>
  <si>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</si>
  <si>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</si>
  <si>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</si>
  <si>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</si>
  <si>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</si>
  <si>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</si>
  <si>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</si>
  <si>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</si>
  <si>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</si>
  <si>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</si>
  <si>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</si>
  <si>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</si>
  <si>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</si>
  <si>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</si>
  <si>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</si>
  <si>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</si>
  <si>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</si>
  <si>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</si>
  <si>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</si>
  <si>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</si>
  <si>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</si>
  <si>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</si>
  <si>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</si>
  <si>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</si>
  <si>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</si>
  <si>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</si>
  <si>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</si>
  <si>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</si>
  <si>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</si>
  <si>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</si>
  <si>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</si>
  <si>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</si>
  <si>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</si>
  <si>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</si>
  <si>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</si>
  <si>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</si>
  <si>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</si>
  <si>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</si>
  <si>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</si>
  <si>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</si>
  <si>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</si>
  <si>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</si>
  <si>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</si>
  <si>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</si>
  <si>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</si>
  <si>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</si>
  <si>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</si>
  <si>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</si>
  <si>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</si>
  <si>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</si>
  <si>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</si>
  <si>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</si>
  <si>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</si>
  <si>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</si>
  <si>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</si>
  <si>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</si>
  <si>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</si>
  <si>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</si>
  <si>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</si>
  <si>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</si>
  <si>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</si>
  <si>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</si>
  <si>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</si>
  <si>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</si>
  <si>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</si>
  <si>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</si>
  <si>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</si>
  <si>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</si>
  <si>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</si>
  <si>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</si>
  <si>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</si>
  <si>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</si>
  <si>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</si>
  <si>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</si>
  <si>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</si>
  <si>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</si>
  <si>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</si>
  <si>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</si>
  <si>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</si>
  <si>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</si>
  <si>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</si>
  <si>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</si>
  <si>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</si>
  <si>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</si>
  <si>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</si>
  <si>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</si>
  <si>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</si>
  <si>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</si>
  <si>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</si>
  <si>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</si>
  <si>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</si>
  <si>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</si>
  <si>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</si>
  <si>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</si>
  <si>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</si>
  <si>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</si>
  <si>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</si>
  <si>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</si>
  <si>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</si>
  <si>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</si>
  <si>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</si>
  <si>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</si>
  <si>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</si>
  <si>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</si>
  <si>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</si>
  <si>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</si>
  <si>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</si>
  <si>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</si>
  <si>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</si>
  <si>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</si>
  <si>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</si>
  <si>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</si>
  <si>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</si>
  <si>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</si>
  <si>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</si>
  <si>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</si>
  <si>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</si>
  <si>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</si>
  <si>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</si>
  <si>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</si>
  <si>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</si>
  <si>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</si>
  <si>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</si>
  <si>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</si>
  <si>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</si>
  <si>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</si>
  <si>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</si>
  <si>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</si>
  <si>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</si>
  <si>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</si>
  <si>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</si>
  <si>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</si>
  <si>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</si>
  <si>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</si>
  <si>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</si>
  <si>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</si>
  <si>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</si>
  <si>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</si>
  <si>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</si>
  <si>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</si>
  <si>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</si>
  <si>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</si>
  <si>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</si>
  <si>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</si>
  <si>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</si>
  <si>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</si>
  <si>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</si>
  <si>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</si>
  <si>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</si>
  <si>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</si>
  <si>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</si>
  <si>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</si>
  <si>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</si>
  <si>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</si>
  <si>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</si>
  <si>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</si>
  <si>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</si>
  <si>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</si>
  <si>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</si>
  <si>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</si>
  <si>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</si>
  <si>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</si>
  <si>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</si>
  <si>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</si>
  <si>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</si>
  <si>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</si>
  <si>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</si>
  <si>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</si>
  <si>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</si>
  <si>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</si>
  <si>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</si>
  <si>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</si>
  <si>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</si>
  <si>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</si>
  <si>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</si>
  <si>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</si>
  <si>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</si>
  <si>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</si>
  <si>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</si>
  <si>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</si>
  <si>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</si>
  <si>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</si>
  <si>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</si>
  <si>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</si>
  <si>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</si>
  <si>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</si>
  <si>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</si>
  <si>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</si>
  <si>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</si>
  <si>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</si>
  <si>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</si>
  <si>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</si>
  <si>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</si>
  <si>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</si>
  <si>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</si>
  <si>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</si>
  <si>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</si>
  <si>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</si>
  <si>
    <t>溶接機</t>
    <rPh sb="0" eb="3">
      <t>ヨウセツキ</t>
    </rPh>
    <phoneticPr fontId="1"/>
  </si>
  <si>
    <t>welding machine</t>
    <phoneticPr fontId="1"/>
  </si>
  <si>
    <t>箔ロウリール固定</t>
    <rPh sb="0" eb="1">
      <t>ハク</t>
    </rPh>
    <rPh sb="6" eb="8">
      <t>コテイ</t>
    </rPh>
    <phoneticPr fontId="1"/>
  </si>
  <si>
    <t>MGPM12-20Z-M9BL</t>
  </si>
  <si>
    <t>Foil wax reel fixing</t>
  </si>
  <si>
    <t>MISUMI</t>
    <phoneticPr fontId="1"/>
  </si>
  <si>
    <t>ガイド付薄形シリンダ MGPシリーズ</t>
    <phoneticPr fontId="1"/>
  </si>
  <si>
    <t>波板補助軸</t>
    <rPh sb="0" eb="2">
      <t>ナミイタ</t>
    </rPh>
    <rPh sb="2" eb="4">
      <t>ホジョ</t>
    </rPh>
    <rPh sb="4" eb="5">
      <t>ジク</t>
    </rPh>
    <phoneticPr fontId="1"/>
  </si>
  <si>
    <t>Corrugated sheet auxiliary shaft</t>
  </si>
  <si>
    <t>AZM15AK</t>
  </si>
  <si>
    <t>作成日時</t>
    <rPh sb="0" eb="2">
      <t>サクセイ</t>
    </rPh>
    <rPh sb="2" eb="4">
      <t>ニチジ</t>
    </rPh>
    <phoneticPr fontId="1"/>
  </si>
  <si>
    <t>更新日時</t>
    <rPh sb="0" eb="2">
      <t>コウシン</t>
    </rPh>
    <rPh sb="2" eb="4">
      <t>ニチジ</t>
    </rPh>
    <phoneticPr fontId="1"/>
  </si>
  <si>
    <t>波板供給</t>
  </si>
  <si>
    <t>unit</t>
  </si>
  <si>
    <t>Xロール部</t>
    <rPh sb="4" eb="5">
      <t>ブ</t>
    </rPh>
    <phoneticPr fontId="1"/>
  </si>
  <si>
    <t>X-roll section</t>
  </si>
  <si>
    <t>Tロール糊付け①下ロール</t>
    <rPh sb="4" eb="6">
      <t>ノリヅ</t>
    </rPh>
    <rPh sb="8" eb="9">
      <t>シタ</t>
    </rPh>
    <phoneticPr fontId="1"/>
  </si>
  <si>
    <t>Tロール糊付け②上ロール</t>
    <rPh sb="4" eb="6">
      <t>ノリヅ</t>
    </rPh>
    <rPh sb="8" eb="9">
      <t>ウエ</t>
    </rPh>
    <phoneticPr fontId="1"/>
  </si>
  <si>
    <t>T-roll gluing ① Lower roll</t>
  </si>
  <si>
    <t>T-roll gluing ② Upper roll</t>
  </si>
  <si>
    <t>OTH</t>
    <phoneticPr fontId="1"/>
  </si>
  <si>
    <t>OTH</t>
    <phoneticPr fontId="1"/>
  </si>
  <si>
    <t>Xロール電磁クラッチ</t>
    <rPh sb="4" eb="6">
      <t>デンジ</t>
    </rPh>
    <phoneticPr fontId="1"/>
  </si>
  <si>
    <t>X-roll electromagnetic clutch</t>
  </si>
  <si>
    <t>OTHC</t>
    <phoneticPr fontId="1"/>
  </si>
  <si>
    <t>Tロール糊付け軸</t>
    <rPh sb="4" eb="6">
      <t>ノリヅ</t>
    </rPh>
    <rPh sb="7" eb="8">
      <t>ジク</t>
    </rPh>
    <phoneticPr fontId="1"/>
  </si>
  <si>
    <t>T-roll gluing shaft</t>
  </si>
  <si>
    <t>OTHC</t>
    <phoneticPr fontId="1"/>
  </si>
  <si>
    <t>(未割付け)</t>
    <rPh sb="1" eb="4">
      <t>ミワリツ</t>
    </rPh>
    <phoneticPr fontId="1"/>
  </si>
  <si>
    <t>(Unassigned)</t>
  </si>
  <si>
    <t>箔ロウリール部</t>
    <rPh sb="0" eb="1">
      <t>ハク</t>
    </rPh>
    <rPh sb="6" eb="7">
      <t>ブ</t>
    </rPh>
    <phoneticPr fontId="1"/>
  </si>
  <si>
    <t>Foil wax reel section</t>
  </si>
  <si>
    <t>巻取り軸芯前後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</si>
</sst>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(MAX)&quot;"/>
    <numFmt numFmtId="177" formatCode="yy/mm/dd"/>
  </numFmts>
  <fonts count="1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  <xf numFmtId="177" fontId="0" fillId="0" borderId="0" xfId="0" applyNumberFormat="1">
      <alignment vertical="center"/>
    </xf>
    <xf numFmtId="177" fontId="12" fillId="0" borderId="3" xfId="0" applyNumberFormat="1" applyFont="1" applyBorder="1" applyAlignment="1">
      <alignment horizontal="center" vertical="center"/>
    </xf>
    <xf numFmtId="177" fontId="8" fillId="0" borderId="6" xfId="0" applyNumberFormat="1" applyFont="1" applyBorder="1" applyAlignment="1">
      <alignment horizontal="center" vertical="center"/>
    </xf>
    <xf numFmtId="177" fontId="0" fillId="0" borderId="6" xfId="0" applyNumberFormat="1" applyBorder="1" applyAlignment="1">
      <alignment horizontal="center" vertical="center"/>
    </xf>
    <xf numFmtId="177" fontId="9" fillId="0" borderId="6" xfId="0" applyNumberFormat="1" applyFont="1" applyBorder="1" applyAlignment="1">
      <alignment horizontal="center" vertical="center"/>
    </xf>
    <xf numFmtId="177" fontId="10" fillId="0" borderId="6" xfId="0" applyNumberFormat="1" applyFont="1" applyBorder="1" applyAlignment="1">
      <alignment horizontal="center" vertical="center"/>
    </xf>
    <xf numFmtId="177" fontId="0" fillId="0" borderId="9" xfId="0" applyNumberFormat="1" applyBorder="1" applyAlignment="1">
      <alignment horizontal="center" vertical="center"/>
    </xf>
    <xf numFmtId="0" fontId="11" fillId="3" borderId="10" xfId="0" applyFont="1" applyFill="1" applyBorder="1" applyAlignment="1">
      <alignment horizontal="center" vertical="top"/>
    </xf>
    <xf numFmtId="0" fontId="11" fillId="3" borderId="11" xfId="0" applyFont="1" applyFill="1" applyBorder="1" applyAlignment="1">
      <alignment horizontal="center" vertical="top"/>
    </xf>
    <xf numFmtId="0" fontId="11" fillId="3" borderId="12" xfId="0" applyFont="1" applyFill="1" applyBorder="1" applyAlignment="1">
      <alignment horizontal="center" vertical="top"/>
    </xf>
    <xf numFmtId="177" fontId="11" fillId="3" borderId="12" xfId="0" applyNumberFormat="1" applyFont="1" applyFill="1" applyBorder="1" applyAlignment="1">
      <alignment horizontal="center" vertical="top"/>
    </xf>
    <xf numFmtId="0" fontId="13" fillId="0" borderId="0" xfId="0" applyFont="1">
      <alignment vertical="center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204304</xdr:rowOff>
    </xdr:from>
    <xdr:to>
      <xdr:col>0</xdr:col>
      <xdr:colOff>496957</xdr:colOff>
      <xdr:row>1</xdr:row>
      <xdr:rowOff>0</xdr:rowOff>
    </xdr:to>
    <xdr:sp macro="" textlink="$A$69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0" y="204304"/>
          <a:ext cx="496957" cy="176696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65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3"/>
  <sheetViews>
    <sheetView tabSelected="1" zoomScaleNormal="100" workbookViewId="0">
      <pane xSplit="3" ySplit="1" topLeftCell="D29" activePane="bottomRight" state="frozen"/>
      <selection pane="topRight" activeCell="D1" sqref="D1"/>
      <selection pane="bottomLeft" activeCell="A2" sqref="A2"/>
      <selection pane="bottomRight" activeCell="F42" sqref="F42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7" width="18.33203125" style="31" customWidth="1"/>
    <col min="18" max="18" width="3.58203125" customWidth="1"/>
  </cols>
  <sheetData>
    <row r="1" spans="1:18" s="4" customFormat="1" ht="30" customHeight="1" x14ac:dyDescent="0.55000000000000004">
      <c r="A1" s="38" t="s">
        <v>102</v>
      </c>
      <c r="B1" s="38" t="s">
        <v>113</v>
      </c>
      <c r="C1" s="38" t="s">
        <v>120</v>
      </c>
      <c r="D1" s="39" t="s">
        <v>103</v>
      </c>
      <c r="E1" s="39" t="s">
        <v>104</v>
      </c>
      <c r="F1" s="39" t="s">
        <v>105</v>
      </c>
      <c r="G1" s="39" t="s">
        <v>149</v>
      </c>
      <c r="H1" s="39" t="s">
        <v>10</v>
      </c>
      <c r="I1" s="39" t="s">
        <v>7</v>
      </c>
      <c r="J1" s="39" t="s">
        <v>3</v>
      </c>
      <c r="K1" s="39" t="s">
        <v>218</v>
      </c>
      <c r="L1" s="39" t="s">
        <v>5</v>
      </c>
      <c r="M1" s="40" t="s">
        <v>112</v>
      </c>
      <c r="N1" s="40" t="s">
        <v>236</v>
      </c>
      <c r="O1" s="40" t="s">
        <v>235</v>
      </c>
      <c r="P1" s="41" t="s">
        <v>276</v>
      </c>
      <c r="Q1" s="41" t="s">
        <v>277</v>
      </c>
      <c r="R1" s="40"/>
    </row>
    <row r="2" spans="1:18" x14ac:dyDescent="0.55000000000000004">
      <c r="A2" s="27">
        <v>38</v>
      </c>
      <c r="B2" s="5" t="s">
        <v>117</v>
      </c>
      <c r="C2" s="5">
        <v>1</v>
      </c>
      <c r="D2" s="28">
        <v>7</v>
      </c>
      <c r="E2" s="28" t="s">
        <v>91</v>
      </c>
      <c r="F2" s="28" t="s">
        <v>133</v>
      </c>
      <c r="G2" s="28" t="s">
        <v>150</v>
      </c>
      <c r="H2" s="28" t="s">
        <v>20</v>
      </c>
      <c r="I2" s="28" t="s">
        <v>21</v>
      </c>
      <c r="J2" s="28" t="s">
        <v>220</v>
      </c>
      <c r="K2" s="28" t="s">
        <v>219</v>
      </c>
      <c r="L2" s="28">
        <v>1</v>
      </c>
      <c r="M2" s="29"/>
      <c r="N2" s="29"/>
      <c r="O2" s="29"/>
      <c r="P2" s="32">
        <v>46069.554861111108</v>
      </c>
      <c r="Q2" s="32">
        <v>46069.554861111108</v>
      </c>
      <c r="R2" s="6"/>
    </row>
    <row r="3" spans="1:18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244</v>
      </c>
      <c r="H3" s="12" t="s">
        <v>14</v>
      </c>
      <c r="I3" s="12" t="s">
        <v>13</v>
      </c>
      <c r="J3" s="17" t="s">
        <v>220</v>
      </c>
      <c r="K3" s="12" t="s">
        <v>219</v>
      </c>
      <c r="L3" s="12">
        <v>1</v>
      </c>
      <c r="M3" s="24"/>
      <c r="N3" s="24"/>
      <c r="O3" s="24"/>
      <c r="P3" s="33">
        <v>46069.554861111108</v>
      </c>
      <c r="Q3" s="33">
        <v>46069.554861111108</v>
      </c>
      <c r="R3" s="10"/>
    </row>
    <row r="4" spans="1:18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151</v>
      </c>
      <c r="H4" s="12" t="s">
        <v>14</v>
      </c>
      <c r="I4" s="12" t="s">
        <v>13</v>
      </c>
      <c r="J4" s="17" t="s">
        <v>220</v>
      </c>
      <c r="K4" s="12" t="s">
        <v>219</v>
      </c>
      <c r="L4" s="12">
        <v>1</v>
      </c>
      <c r="M4" s="24"/>
      <c r="N4" s="24"/>
      <c r="O4" s="24"/>
      <c r="P4" s="33">
        <v>46069.554861111108</v>
      </c>
      <c r="Q4" s="33">
        <v>46069.554861111108</v>
      </c>
      <c r="R4" s="10"/>
    </row>
    <row r="5" spans="1:18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152</v>
      </c>
      <c r="H5" s="12" t="s">
        <v>14</v>
      </c>
      <c r="I5" s="12" t="s">
        <v>13</v>
      </c>
      <c r="J5" s="17" t="s">
        <v>220</v>
      </c>
      <c r="K5" s="12" t="s">
        <v>219</v>
      </c>
      <c r="L5" s="12">
        <v>1</v>
      </c>
      <c r="M5" s="24"/>
      <c r="N5" s="24"/>
      <c r="O5" s="24"/>
      <c r="P5" s="33">
        <v>46069.554861111108</v>
      </c>
      <c r="Q5" s="33">
        <v>46069.554861111108</v>
      </c>
      <c r="R5" s="10"/>
    </row>
    <row r="6" spans="1:18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247</v>
      </c>
      <c r="G6" s="8" t="s">
        <v>153</v>
      </c>
      <c r="H6" s="8" t="s">
        <v>1</v>
      </c>
      <c r="I6" s="8" t="s">
        <v>11</v>
      </c>
      <c r="J6" s="8" t="s">
        <v>2</v>
      </c>
      <c r="K6" s="8" t="s">
        <v>223</v>
      </c>
      <c r="L6" s="8">
        <v>1</v>
      </c>
      <c r="M6" s="10"/>
      <c r="N6" s="10"/>
      <c r="O6" s="10"/>
      <c r="P6" s="34">
        <v>46069.554861111108</v>
      </c>
      <c r="Q6" s="34">
        <v>46069.554861111108</v>
      </c>
      <c r="R6" s="10"/>
    </row>
    <row r="7" spans="1:18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154</v>
      </c>
      <c r="H7" s="8" t="s">
        <v>0</v>
      </c>
      <c r="I7" s="8" t="s">
        <v>11</v>
      </c>
      <c r="J7" s="8" t="s">
        <v>2</v>
      </c>
      <c r="K7" s="8" t="s">
        <v>223</v>
      </c>
      <c r="L7" s="8">
        <v>1</v>
      </c>
      <c r="M7" s="10"/>
      <c r="N7" s="10"/>
      <c r="O7" s="10"/>
      <c r="P7" s="34">
        <v>46069.554861111108</v>
      </c>
      <c r="Q7" s="34">
        <v>46069.554861111108</v>
      </c>
      <c r="R7" s="10"/>
    </row>
    <row r="8" spans="1:18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155</v>
      </c>
      <c r="H8" s="8" t="s">
        <v>28</v>
      </c>
      <c r="I8" s="8" t="s">
        <v>11</v>
      </c>
      <c r="J8" s="8" t="s">
        <v>2</v>
      </c>
      <c r="K8" s="8" t="s">
        <v>223</v>
      </c>
      <c r="L8" s="8">
        <v>1</v>
      </c>
      <c r="M8" s="10"/>
      <c r="N8" s="10"/>
      <c r="O8" s="10"/>
      <c r="P8" s="34">
        <v>46069.554861111108</v>
      </c>
      <c r="Q8" s="34">
        <v>46069.554861111108</v>
      </c>
      <c r="R8" s="10"/>
    </row>
    <row r="9" spans="1:18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262</v>
      </c>
      <c r="G9" s="8" t="s">
        <v>264</v>
      </c>
      <c r="H9" s="8" t="s">
        <v>106</v>
      </c>
      <c r="I9" s="8" t="s">
        <v>15</v>
      </c>
      <c r="J9" s="8" t="s">
        <v>2</v>
      </c>
      <c r="K9" s="8" t="s">
        <v>223</v>
      </c>
      <c r="L9" s="8">
        <v>1</v>
      </c>
      <c r="M9" s="10"/>
      <c r="N9" s="10"/>
      <c r="O9" s="10"/>
      <c r="P9" s="34">
        <v>46069.554861111108</v>
      </c>
      <c r="Q9" s="34">
        <v>46069.554861111108</v>
      </c>
      <c r="R9" s="10"/>
    </row>
    <row r="10" spans="1:18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263</v>
      </c>
      <c r="G10" s="8" t="s">
        <v>265</v>
      </c>
      <c r="H10" s="8" t="s">
        <v>107</v>
      </c>
      <c r="I10" s="8" t="s">
        <v>15</v>
      </c>
      <c r="J10" s="8" t="s">
        <v>2</v>
      </c>
      <c r="K10" s="8" t="s">
        <v>223</v>
      </c>
      <c r="L10" s="8">
        <v>1</v>
      </c>
      <c r="M10" s="10"/>
      <c r="N10" s="10"/>
      <c r="O10" s="10"/>
      <c r="P10" s="34">
        <v>46069.554861111108</v>
      </c>
      <c r="Q10" s="34">
        <v>46069.554861111108</v>
      </c>
      <c r="R10" s="10"/>
    </row>
    <row r="11" spans="1:18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156</v>
      </c>
      <c r="H11" s="8"/>
      <c r="I11" s="8"/>
      <c r="J11" s="8"/>
      <c r="K11" s="8"/>
      <c r="L11" s="8"/>
      <c r="M11" s="10"/>
      <c r="N11" s="10"/>
      <c r="O11" s="10"/>
      <c r="P11" s="34">
        <v>46069.554861111108</v>
      </c>
      <c r="Q11" s="34">
        <v>46069.554861111108</v>
      </c>
      <c r="R11" s="10"/>
    </row>
    <row r="12" spans="1:18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157</v>
      </c>
      <c r="H12" s="8"/>
      <c r="I12" s="8"/>
      <c r="J12" s="8"/>
      <c r="K12" s="8"/>
      <c r="L12" s="8"/>
      <c r="M12" s="10"/>
      <c r="N12" s="10"/>
      <c r="O12" s="10"/>
      <c r="P12" s="34">
        <v>46069.554861111108</v>
      </c>
      <c r="Q12" s="34">
        <v>46069.554861111108</v>
      </c>
      <c r="R12" s="10"/>
    </row>
    <row r="13" spans="1:18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158</v>
      </c>
      <c r="H13" s="8"/>
      <c r="I13" s="8"/>
      <c r="J13" s="8"/>
      <c r="K13" s="8"/>
      <c r="L13" s="8"/>
      <c r="M13" s="10"/>
      <c r="N13" s="10"/>
      <c r="O13" s="10"/>
      <c r="P13" s="34">
        <v>46069.554861111108</v>
      </c>
      <c r="Q13" s="34">
        <v>46069.554861111108</v>
      </c>
      <c r="R13" s="10"/>
    </row>
    <row r="14" spans="1:18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159</v>
      </c>
      <c r="H14" s="8" t="s">
        <v>31</v>
      </c>
      <c r="I14" s="8" t="s">
        <v>32</v>
      </c>
      <c r="J14" s="8" t="s">
        <v>222</v>
      </c>
      <c r="K14" s="8" t="s">
        <v>221</v>
      </c>
      <c r="L14" s="8">
        <v>1</v>
      </c>
      <c r="M14" s="10"/>
      <c r="N14" s="10"/>
      <c r="O14" s="10"/>
      <c r="P14" s="34">
        <v>46069.554861111108</v>
      </c>
      <c r="Q14" s="34">
        <v>46069.554861111108</v>
      </c>
      <c r="R14" s="10"/>
    </row>
    <row r="15" spans="1:18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160</v>
      </c>
      <c r="H15" s="8" t="s">
        <v>33</v>
      </c>
      <c r="I15" s="8" t="s">
        <v>32</v>
      </c>
      <c r="J15" s="8" t="s">
        <v>222</v>
      </c>
      <c r="K15" s="8" t="s">
        <v>221</v>
      </c>
      <c r="L15" s="8">
        <v>1</v>
      </c>
      <c r="M15" s="10"/>
      <c r="N15" s="10"/>
      <c r="O15" s="10"/>
      <c r="P15" s="34">
        <v>46069.554861111108</v>
      </c>
      <c r="Q15" s="34">
        <v>46069.554861111108</v>
      </c>
      <c r="R15" s="10"/>
    </row>
    <row r="16" spans="1:18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161</v>
      </c>
      <c r="H16" s="8" t="s">
        <v>137</v>
      </c>
      <c r="I16" s="8"/>
      <c r="J16" s="8"/>
      <c r="K16" s="8"/>
      <c r="L16" s="8"/>
      <c r="M16" s="10"/>
      <c r="N16" s="10"/>
      <c r="O16" s="10"/>
      <c r="P16" s="34">
        <v>46069.554861111108</v>
      </c>
      <c r="Q16" s="34">
        <v>46069.554861111108</v>
      </c>
      <c r="R16" s="10"/>
    </row>
    <row r="17" spans="1:18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162</v>
      </c>
      <c r="H17" s="8" t="s">
        <v>137</v>
      </c>
      <c r="I17" s="8"/>
      <c r="J17" s="8"/>
      <c r="K17" s="8"/>
      <c r="L17" s="8"/>
      <c r="M17" s="10"/>
      <c r="N17" s="10"/>
      <c r="O17" s="10"/>
      <c r="P17" s="34">
        <v>46069.554861111108</v>
      </c>
      <c r="Q17" s="34">
        <v>46069.554861111108</v>
      </c>
      <c r="R17" s="10"/>
    </row>
    <row r="18" spans="1:18" x14ac:dyDescent="0.55000000000000004">
      <c r="A18" s="7">
        <v>59</v>
      </c>
      <c r="B18" s="7" t="s">
        <v>116</v>
      </c>
      <c r="C18" s="7">
        <v>17</v>
      </c>
      <c r="D18" s="8">
        <v>10</v>
      </c>
      <c r="E18" s="8" t="s">
        <v>278</v>
      </c>
      <c r="F18" s="8" t="s">
        <v>273</v>
      </c>
      <c r="G18" s="8" t="s">
        <v>274</v>
      </c>
      <c r="H18" s="42" t="s">
        <v>275</v>
      </c>
      <c r="I18" s="8"/>
      <c r="J18" s="8" t="s">
        <v>219</v>
      </c>
      <c r="K18" s="8" t="s">
        <v>219</v>
      </c>
      <c r="L18" s="8"/>
      <c r="M18" s="10"/>
      <c r="N18" s="10"/>
      <c r="O18" s="10"/>
      <c r="P18" s="34">
        <v>46069.554861111108</v>
      </c>
      <c r="Q18" s="34">
        <v>46069.554861111108</v>
      </c>
      <c r="R18" s="10"/>
    </row>
    <row r="19" spans="1:18" x14ac:dyDescent="0.55000000000000004">
      <c r="A19" s="7">
        <v>1</v>
      </c>
      <c r="B19" s="7" t="s">
        <v>115</v>
      </c>
      <c r="C19" s="7">
        <v>1</v>
      </c>
      <c r="D19" s="8">
        <v>1</v>
      </c>
      <c r="E19" s="8" t="s">
        <v>99</v>
      </c>
      <c r="F19" s="8" t="s">
        <v>298</v>
      </c>
      <c r="G19" s="8" t="s">
        <v>163</v>
      </c>
      <c r="H19" s="8" t="s">
        <v>61</v>
      </c>
      <c r="I19" s="8" t="s">
        <v>62</v>
      </c>
      <c r="J19" s="8" t="s">
        <v>4</v>
      </c>
      <c r="K19" s="8" t="s">
        <v>224</v>
      </c>
      <c r="L19" s="8">
        <v>1</v>
      </c>
      <c r="M19" s="10"/>
      <c r="N19" s="10">
        <v>0</v>
      </c>
      <c r="O19" s="10">
        <v>0</v>
      </c>
      <c r="P19" s="34">
        <v>46069.554861111108</v>
      </c>
      <c r="Q19" s="34">
        <v>46069.554861111108</v>
      </c>
      <c r="R19" s="10"/>
    </row>
    <row r="20" spans="1:18" x14ac:dyDescent="0.55000000000000004">
      <c r="A20" s="7">
        <v>46</v>
      </c>
      <c r="B20" s="7" t="s">
        <v>114</v>
      </c>
      <c r="C20" s="7">
        <v>2</v>
      </c>
      <c r="D20" s="8"/>
      <c r="E20" s="8"/>
      <c r="F20" s="8" t="s">
        <v>282</v>
      </c>
      <c r="G20" s="8" t="s">
        <v>284</v>
      </c>
      <c r="H20" s="8" t="s">
        <v>205</v>
      </c>
      <c r="I20" s="8"/>
      <c r="J20" s="8"/>
      <c r="K20" s="8"/>
      <c r="L20" s="8"/>
      <c r="M20" s="10"/>
      <c r="N20" s="10">
        <v>0</v>
      </c>
      <c r="O20" s="10">
        <v>5</v>
      </c>
      <c r="P20" s="34">
        <v>46069.554861111108</v>
      </c>
      <c r="Q20" s="34">
        <v>46069.554861111108</v>
      </c>
      <c r="R20" s="10"/>
    </row>
    <row r="21" spans="1:18" x14ac:dyDescent="0.55000000000000004">
      <c r="A21" s="7">
        <v>47</v>
      </c>
      <c r="B21" s="7" t="s">
        <v>114</v>
      </c>
      <c r="C21" s="7">
        <v>3</v>
      </c>
      <c r="D21" s="8"/>
      <c r="E21" s="8"/>
      <c r="F21" s="8" t="s">
        <v>283</v>
      </c>
      <c r="G21" s="8" t="s">
        <v>285</v>
      </c>
      <c r="H21" s="8" t="s">
        <v>205</v>
      </c>
      <c r="I21" s="8"/>
      <c r="J21" s="8"/>
      <c r="K21" s="8"/>
      <c r="L21" s="8"/>
      <c r="M21" s="10"/>
      <c r="N21" s="10">
        <v>0</v>
      </c>
      <c r="O21" s="10">
        <v>6</v>
      </c>
      <c r="P21" s="34">
        <v>46069.554861111108</v>
      </c>
      <c r="Q21" s="34">
        <v>46069.554861111108</v>
      </c>
      <c r="R21" s="10"/>
    </row>
    <row r="22" spans="1:18" x14ac:dyDescent="0.55000000000000004">
      <c r="A22" s="7">
        <v>2</v>
      </c>
      <c r="B22" s="7" t="s">
        <v>115</v>
      </c>
      <c r="C22" s="7">
        <v>4</v>
      </c>
      <c r="D22" s="8">
        <v>2</v>
      </c>
      <c r="E22" s="8" t="s">
        <v>140</v>
      </c>
      <c r="F22" s="8" t="s">
        <v>245</v>
      </c>
      <c r="G22" s="8" t="s">
        <v>246</v>
      </c>
      <c r="H22" s="8" t="s">
        <v>63</v>
      </c>
      <c r="I22" s="9" t="s">
        <v>64</v>
      </c>
      <c r="J22" s="8" t="s">
        <v>4</v>
      </c>
      <c r="K22" s="8" t="s">
        <v>224</v>
      </c>
      <c r="L22" s="8">
        <v>1</v>
      </c>
      <c r="M22" s="10"/>
      <c r="N22" s="10">
        <v>0</v>
      </c>
      <c r="O22" s="10">
        <v>7</v>
      </c>
      <c r="P22" s="34">
        <v>46069.554861111108</v>
      </c>
      <c r="Q22" s="34">
        <v>46069.554861111108</v>
      </c>
      <c r="R22" s="10"/>
    </row>
    <row r="23" spans="1:18" x14ac:dyDescent="0.55000000000000004">
      <c r="A23" s="7">
        <v>4</v>
      </c>
      <c r="B23" s="7" t="s">
        <v>115</v>
      </c>
      <c r="C23" s="7">
        <v>5</v>
      </c>
      <c r="D23" s="8">
        <v>5</v>
      </c>
      <c r="E23" s="8" t="s">
        <v>93</v>
      </c>
      <c r="F23" s="8" t="s">
        <v>148</v>
      </c>
      <c r="G23" s="8" t="s">
        <v>164</v>
      </c>
      <c r="H23" s="8" t="s">
        <v>67</v>
      </c>
      <c r="I23" s="8" t="s">
        <v>68</v>
      </c>
      <c r="J23" s="8" t="s">
        <v>4</v>
      </c>
      <c r="K23" s="8" t="s">
        <v>224</v>
      </c>
      <c r="L23" s="8">
        <v>1</v>
      </c>
      <c r="M23" s="10"/>
      <c r="N23" s="10">
        <v>0</v>
      </c>
      <c r="O23" s="10">
        <v>1</v>
      </c>
      <c r="P23" s="34">
        <v>46069.554861111108</v>
      </c>
      <c r="Q23" s="34">
        <v>46069.554861111108</v>
      </c>
      <c r="R23" s="10"/>
    </row>
    <row r="24" spans="1:18" x14ac:dyDescent="0.55000000000000004">
      <c r="A24" s="7">
        <v>3</v>
      </c>
      <c r="B24" s="7" t="s">
        <v>115</v>
      </c>
      <c r="C24" s="7">
        <v>6</v>
      </c>
      <c r="D24" s="8">
        <v>5</v>
      </c>
      <c r="E24" s="8" t="s">
        <v>93</v>
      </c>
      <c r="F24" s="8" t="s">
        <v>147</v>
      </c>
      <c r="G24" s="8" t="s">
        <v>165</v>
      </c>
      <c r="H24" s="8" t="s">
        <v>65</v>
      </c>
      <c r="I24" s="8" t="s">
        <v>66</v>
      </c>
      <c r="J24" s="8" t="s">
        <v>4</v>
      </c>
      <c r="K24" s="8" t="s">
        <v>224</v>
      </c>
      <c r="L24" s="8">
        <v>1</v>
      </c>
      <c r="M24" s="10"/>
      <c r="N24" s="10">
        <v>0</v>
      </c>
      <c r="O24" s="10">
        <v>8</v>
      </c>
      <c r="P24" s="34">
        <v>46069.554861111108</v>
      </c>
      <c r="Q24" s="34">
        <v>46069.554861111108</v>
      </c>
      <c r="R24" s="10"/>
    </row>
    <row r="25" spans="1:18" x14ac:dyDescent="0.55000000000000004">
      <c r="A25" s="7">
        <v>8</v>
      </c>
      <c r="B25" s="7" t="s">
        <v>115</v>
      </c>
      <c r="C25" s="7">
        <v>7</v>
      </c>
      <c r="D25" s="8">
        <v>6</v>
      </c>
      <c r="E25" s="8" t="s">
        <v>98</v>
      </c>
      <c r="F25" s="8" t="s">
        <v>143</v>
      </c>
      <c r="G25" s="8" t="s">
        <v>166</v>
      </c>
      <c r="H25" s="8" t="s">
        <v>69</v>
      </c>
      <c r="I25" s="8" t="s">
        <v>70</v>
      </c>
      <c r="J25" s="8" t="s">
        <v>4</v>
      </c>
      <c r="K25" s="8" t="s">
        <v>224</v>
      </c>
      <c r="L25" s="11">
        <v>1</v>
      </c>
      <c r="M25" s="21"/>
      <c r="N25" s="21">
        <v>0</v>
      </c>
      <c r="O25" s="21">
        <v>9</v>
      </c>
      <c r="P25" s="34">
        <v>46069.554861111108</v>
      </c>
      <c r="Q25" s="34">
        <v>46069.554861111108</v>
      </c>
      <c r="R25" s="10"/>
    </row>
    <row r="26" spans="1:18" x14ac:dyDescent="0.55000000000000004">
      <c r="A26" s="7">
        <v>7</v>
      </c>
      <c r="B26" s="7" t="s">
        <v>115</v>
      </c>
      <c r="C26" s="7">
        <v>8</v>
      </c>
      <c r="D26" s="8">
        <v>7</v>
      </c>
      <c r="E26" s="8" t="s">
        <v>92</v>
      </c>
      <c r="F26" s="8" t="s">
        <v>145</v>
      </c>
      <c r="G26" s="8" t="s">
        <v>167</v>
      </c>
      <c r="H26" s="8" t="s">
        <v>73</v>
      </c>
      <c r="I26" s="8" t="s">
        <v>70</v>
      </c>
      <c r="J26" s="8" t="s">
        <v>4</v>
      </c>
      <c r="K26" s="8" t="s">
        <v>224</v>
      </c>
      <c r="L26" s="11">
        <v>1</v>
      </c>
      <c r="M26" s="21"/>
      <c r="N26" s="21">
        <v>0</v>
      </c>
      <c r="O26" s="21">
        <v>10</v>
      </c>
      <c r="P26" s="34">
        <v>46069.554861111108</v>
      </c>
      <c r="Q26" s="34">
        <v>46069.554861111108</v>
      </c>
      <c r="R26" s="10"/>
    </row>
    <row r="27" spans="1:18" x14ac:dyDescent="0.55000000000000004">
      <c r="A27" s="7">
        <v>6</v>
      </c>
      <c r="B27" s="7" t="s">
        <v>115</v>
      </c>
      <c r="C27" s="7">
        <v>9</v>
      </c>
      <c r="D27" s="8">
        <v>7</v>
      </c>
      <c r="E27" s="8" t="s">
        <v>92</v>
      </c>
      <c r="F27" s="8" t="s">
        <v>121</v>
      </c>
      <c r="G27" s="8" t="s">
        <v>168</v>
      </c>
      <c r="H27" s="8" t="s">
        <v>71</v>
      </c>
      <c r="I27" s="8" t="s">
        <v>72</v>
      </c>
      <c r="J27" s="8" t="s">
        <v>4</v>
      </c>
      <c r="K27" s="8" t="s">
        <v>224</v>
      </c>
      <c r="L27" s="11">
        <v>1</v>
      </c>
      <c r="M27" s="21"/>
      <c r="N27" s="21">
        <v>0</v>
      </c>
      <c r="O27" s="21">
        <v>11</v>
      </c>
      <c r="P27" s="34">
        <v>46069.554861111108</v>
      </c>
      <c r="Q27" s="34">
        <v>46069.554861111108</v>
      </c>
      <c r="R27" s="10"/>
    </row>
    <row r="28" spans="1:18" x14ac:dyDescent="0.55000000000000004">
      <c r="A28" s="7">
        <v>5</v>
      </c>
      <c r="B28" s="7" t="s">
        <v>115</v>
      </c>
      <c r="C28" s="7">
        <v>10</v>
      </c>
      <c r="D28" s="8">
        <v>8</v>
      </c>
      <c r="E28" s="8" t="s">
        <v>100</v>
      </c>
      <c r="F28" s="8" t="s">
        <v>144</v>
      </c>
      <c r="G28" s="8" t="s">
        <v>169</v>
      </c>
      <c r="H28" s="8" t="s">
        <v>69</v>
      </c>
      <c r="I28" s="8" t="s">
        <v>70</v>
      </c>
      <c r="J28" s="8" t="s">
        <v>4</v>
      </c>
      <c r="K28" s="8" t="s">
        <v>224</v>
      </c>
      <c r="L28" s="11">
        <v>1</v>
      </c>
      <c r="M28" s="21"/>
      <c r="N28" s="21">
        <v>0</v>
      </c>
      <c r="O28" s="21">
        <v>12</v>
      </c>
      <c r="P28" s="34">
        <v>46069.554861111108</v>
      </c>
      <c r="Q28" s="34">
        <v>46069.554861111108</v>
      </c>
      <c r="R28" s="10"/>
    </row>
    <row r="29" spans="1:18" x14ac:dyDescent="0.55000000000000004">
      <c r="A29" s="7">
        <v>10</v>
      </c>
      <c r="B29" s="7" t="s">
        <v>115</v>
      </c>
      <c r="C29" s="7">
        <v>11</v>
      </c>
      <c r="D29" s="12">
        <v>9</v>
      </c>
      <c r="E29" s="12" t="s">
        <v>95</v>
      </c>
      <c r="F29" s="12" t="s">
        <v>138</v>
      </c>
      <c r="G29" s="12" t="s">
        <v>170</v>
      </c>
      <c r="H29" s="12" t="s">
        <v>75</v>
      </c>
      <c r="I29" s="12" t="s">
        <v>70</v>
      </c>
      <c r="J29" s="12" t="s">
        <v>4</v>
      </c>
      <c r="K29" s="12" t="s">
        <v>224</v>
      </c>
      <c r="L29" s="13">
        <v>1</v>
      </c>
      <c r="M29" s="22"/>
      <c r="N29" s="22">
        <v>0</v>
      </c>
      <c r="O29" s="22">
        <v>2</v>
      </c>
      <c r="P29" s="35">
        <v>46069.554861111108</v>
      </c>
      <c r="Q29" s="35">
        <v>46069.554861111108</v>
      </c>
      <c r="R29" s="10"/>
    </row>
    <row r="30" spans="1:18" x14ac:dyDescent="0.55000000000000004">
      <c r="A30" s="7">
        <v>9</v>
      </c>
      <c r="B30" s="7" t="s">
        <v>115</v>
      </c>
      <c r="C30" s="7">
        <v>12</v>
      </c>
      <c r="D30" s="8">
        <v>9</v>
      </c>
      <c r="E30" s="8" t="s">
        <v>95</v>
      </c>
      <c r="F30" s="8" t="s">
        <v>141</v>
      </c>
      <c r="G30" s="8" t="s">
        <v>171</v>
      </c>
      <c r="H30" s="8" t="s">
        <v>74</v>
      </c>
      <c r="I30" s="8" t="s">
        <v>70</v>
      </c>
      <c r="J30" s="8" t="s">
        <v>4</v>
      </c>
      <c r="K30" s="8" t="s">
        <v>224</v>
      </c>
      <c r="L30" s="11">
        <v>1</v>
      </c>
      <c r="M30" s="21"/>
      <c r="N30" s="21">
        <v>0</v>
      </c>
      <c r="O30" s="21">
        <v>13</v>
      </c>
      <c r="P30" s="34">
        <v>46069.554861111108</v>
      </c>
      <c r="Q30" s="34">
        <v>46069.554861111108</v>
      </c>
      <c r="R30" s="10"/>
    </row>
    <row r="31" spans="1:18" x14ac:dyDescent="0.55000000000000004">
      <c r="A31" s="7">
        <v>11</v>
      </c>
      <c r="B31" s="7" t="s">
        <v>115</v>
      </c>
      <c r="C31" s="7">
        <v>13</v>
      </c>
      <c r="D31" s="12">
        <v>11</v>
      </c>
      <c r="E31" s="12" t="s">
        <v>97</v>
      </c>
      <c r="F31" s="12" t="s">
        <v>139</v>
      </c>
      <c r="G31" s="12" t="s">
        <v>172</v>
      </c>
      <c r="H31" s="12" t="s">
        <v>75</v>
      </c>
      <c r="I31" s="12" t="s">
        <v>70</v>
      </c>
      <c r="J31" s="12" t="s">
        <v>4</v>
      </c>
      <c r="K31" s="12" t="s">
        <v>224</v>
      </c>
      <c r="L31" s="13">
        <v>1</v>
      </c>
      <c r="M31" s="22"/>
      <c r="N31" s="22">
        <v>0</v>
      </c>
      <c r="O31" s="22">
        <v>3</v>
      </c>
      <c r="P31" s="35">
        <v>46069.554861111108</v>
      </c>
      <c r="Q31" s="35">
        <v>46069.554861111108</v>
      </c>
      <c r="R31" s="10"/>
    </row>
    <row r="32" spans="1:18" x14ac:dyDescent="0.55000000000000004">
      <c r="A32" s="7">
        <v>13</v>
      </c>
      <c r="B32" s="7" t="s">
        <v>115</v>
      </c>
      <c r="C32" s="7">
        <v>14</v>
      </c>
      <c r="D32" s="8">
        <v>11</v>
      </c>
      <c r="E32" s="8" t="s">
        <v>97</v>
      </c>
      <c r="F32" s="8" t="s">
        <v>142</v>
      </c>
      <c r="G32" s="8" t="s">
        <v>173</v>
      </c>
      <c r="H32" s="8" t="s">
        <v>76</v>
      </c>
      <c r="I32" s="8" t="s">
        <v>70</v>
      </c>
      <c r="J32" s="8" t="s">
        <v>4</v>
      </c>
      <c r="K32" s="8" t="s">
        <v>224</v>
      </c>
      <c r="L32" s="11">
        <v>1</v>
      </c>
      <c r="M32" s="21"/>
      <c r="N32" s="21">
        <v>0</v>
      </c>
      <c r="O32" s="21">
        <v>4</v>
      </c>
      <c r="P32" s="34">
        <v>46069.554861111108</v>
      </c>
      <c r="Q32" s="34">
        <v>46069.554861111108</v>
      </c>
      <c r="R32" s="10"/>
    </row>
    <row r="33" spans="1:18" x14ac:dyDescent="0.55000000000000004">
      <c r="A33" s="7">
        <v>14</v>
      </c>
      <c r="B33" s="7" t="s">
        <v>115</v>
      </c>
      <c r="C33" s="7">
        <v>15</v>
      </c>
      <c r="D33" s="12">
        <v>11</v>
      </c>
      <c r="E33" s="12" t="s">
        <v>96</v>
      </c>
      <c r="F33" s="12" t="s">
        <v>242</v>
      </c>
      <c r="G33" s="12" t="s">
        <v>243</v>
      </c>
      <c r="H33" s="12" t="s">
        <v>77</v>
      </c>
      <c r="I33" s="12" t="s">
        <v>78</v>
      </c>
      <c r="J33" s="12" t="s">
        <v>4</v>
      </c>
      <c r="K33" s="12" t="s">
        <v>224</v>
      </c>
      <c r="L33" s="13">
        <v>1</v>
      </c>
      <c r="M33" s="22"/>
      <c r="N33" s="22">
        <v>0</v>
      </c>
      <c r="O33" s="22">
        <v>14</v>
      </c>
      <c r="P33" s="35">
        <v>46069.554861111108</v>
      </c>
      <c r="Q33" s="35">
        <v>46069.554861111108</v>
      </c>
      <c r="R33" s="10"/>
    </row>
    <row r="34" spans="1:18" x14ac:dyDescent="0.55000000000000004">
      <c r="A34" s="7">
        <v>15</v>
      </c>
      <c r="B34" s="7" t="s">
        <v>115</v>
      </c>
      <c r="C34" s="7">
        <v>16</v>
      </c>
      <c r="D34" s="12">
        <v>11</v>
      </c>
      <c r="E34" s="12" t="s">
        <v>96</v>
      </c>
      <c r="F34" s="12" t="s">
        <v>146</v>
      </c>
      <c r="G34" s="12" t="s">
        <v>174</v>
      </c>
      <c r="H34" s="12" t="s">
        <v>77</v>
      </c>
      <c r="I34" s="12" t="s">
        <v>78</v>
      </c>
      <c r="J34" s="12" t="s">
        <v>4</v>
      </c>
      <c r="K34" s="12" t="s">
        <v>224</v>
      </c>
      <c r="L34" s="13">
        <v>1</v>
      </c>
      <c r="M34" s="22"/>
      <c r="N34" s="22">
        <v>0</v>
      </c>
      <c r="O34" s="22">
        <v>15</v>
      </c>
      <c r="P34" s="35">
        <v>46069.554861111108</v>
      </c>
      <c r="Q34" s="35">
        <v>46069.554861111108</v>
      </c>
      <c r="R34" s="10"/>
    </row>
    <row r="35" spans="1:18" x14ac:dyDescent="0.55000000000000004">
      <c r="A35" s="7">
        <v>48</v>
      </c>
      <c r="B35" s="7" t="s">
        <v>114</v>
      </c>
      <c r="C35" s="7">
        <v>17</v>
      </c>
      <c r="D35" s="8"/>
      <c r="E35" s="8"/>
      <c r="F35" s="8" t="s">
        <v>206</v>
      </c>
      <c r="G35" s="8" t="s">
        <v>237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0</v>
      </c>
      <c r="P35" s="34">
        <v>46069.554861111108</v>
      </c>
      <c r="Q35" s="34">
        <v>46069.554861111108</v>
      </c>
      <c r="R35" s="10"/>
    </row>
    <row r="36" spans="1:18" x14ac:dyDescent="0.55000000000000004">
      <c r="A36" s="7">
        <v>49</v>
      </c>
      <c r="B36" s="7" t="s">
        <v>114</v>
      </c>
      <c r="C36" s="7">
        <v>18</v>
      </c>
      <c r="D36" s="8"/>
      <c r="E36" s="8"/>
      <c r="F36" s="8" t="s">
        <v>207</v>
      </c>
      <c r="G36" s="8" t="s">
        <v>238</v>
      </c>
      <c r="H36" s="8" t="s">
        <v>51</v>
      </c>
      <c r="I36" s="8"/>
      <c r="J36" s="8"/>
      <c r="K36" s="8"/>
      <c r="L36" s="8"/>
      <c r="M36" s="10"/>
      <c r="N36" s="10">
        <v>1</v>
      </c>
      <c r="O36" s="10">
        <v>1</v>
      </c>
      <c r="P36" s="34">
        <v>46069.554861111108</v>
      </c>
      <c r="Q36" s="34">
        <v>46069.554861111108</v>
      </c>
      <c r="R36" s="10"/>
    </row>
    <row r="37" spans="1:18" x14ac:dyDescent="0.55000000000000004">
      <c r="A37" s="7">
        <v>50</v>
      </c>
      <c r="B37" s="7" t="s">
        <v>114</v>
      </c>
      <c r="C37" s="7">
        <v>19</v>
      </c>
      <c r="D37" s="8"/>
      <c r="E37" s="8"/>
      <c r="F37" s="8" t="s">
        <v>209</v>
      </c>
      <c r="G37" s="8" t="s">
        <v>239</v>
      </c>
      <c r="H37" s="8" t="s">
        <v>208</v>
      </c>
      <c r="I37" s="8"/>
      <c r="J37" s="8"/>
      <c r="K37" s="8"/>
      <c r="L37" s="8"/>
      <c r="M37" s="10"/>
      <c r="N37" s="10">
        <v>1</v>
      </c>
      <c r="O37" s="10">
        <v>2</v>
      </c>
      <c r="P37" s="34">
        <v>46069.554861111108</v>
      </c>
      <c r="Q37" s="34">
        <v>46069.554861111108</v>
      </c>
      <c r="R37" s="10"/>
    </row>
    <row r="38" spans="1:18" x14ac:dyDescent="0.55000000000000004">
      <c r="A38" s="7">
        <v>58</v>
      </c>
      <c r="B38" s="7" t="s">
        <v>114</v>
      </c>
      <c r="C38" s="7">
        <v>20</v>
      </c>
      <c r="D38" s="8">
        <v>7</v>
      </c>
      <c r="E38" s="8" t="s">
        <v>92</v>
      </c>
      <c r="F38" s="8" t="s">
        <v>268</v>
      </c>
      <c r="G38" s="8" t="s">
        <v>270</v>
      </c>
      <c r="H38" s="8" t="s">
        <v>269</v>
      </c>
      <c r="I38" s="8" t="s">
        <v>272</v>
      </c>
      <c r="J38" s="8" t="s">
        <v>271</v>
      </c>
      <c r="K38" s="8" t="s">
        <v>271</v>
      </c>
      <c r="L38" s="8"/>
      <c r="M38" s="10"/>
      <c r="N38" s="10"/>
      <c r="O38" s="10"/>
      <c r="P38" s="34">
        <v>46069.554861111108</v>
      </c>
      <c r="Q38" s="34">
        <v>46069.554861111108</v>
      </c>
      <c r="R38" s="10"/>
    </row>
    <row r="39" spans="1:18" x14ac:dyDescent="0.55000000000000004">
      <c r="A39" s="26">
        <v>12</v>
      </c>
      <c r="B39" s="26" t="s">
        <v>115</v>
      </c>
      <c r="C39" s="26"/>
      <c r="D39" s="14">
        <v>11</v>
      </c>
      <c r="E39" s="14" t="s">
        <v>97</v>
      </c>
      <c r="F39" s="14"/>
      <c r="G39" s="14"/>
      <c r="H39" s="14" t="s">
        <v>75</v>
      </c>
      <c r="I39" s="14" t="s">
        <v>70</v>
      </c>
      <c r="J39" s="14" t="s">
        <v>4</v>
      </c>
      <c r="K39" s="14" t="s">
        <v>224</v>
      </c>
      <c r="L39" s="15">
        <v>1</v>
      </c>
      <c r="M39" s="23" t="s">
        <v>118</v>
      </c>
      <c r="N39" s="23"/>
      <c r="O39" s="23"/>
      <c r="P39" s="36">
        <v>46069.554861111108</v>
      </c>
      <c r="Q39" s="36">
        <v>46069.554861111108</v>
      </c>
      <c r="R39" s="10"/>
    </row>
    <row r="40" spans="1:18" x14ac:dyDescent="0.55000000000000004">
      <c r="A40" s="26">
        <v>16</v>
      </c>
      <c r="B40" s="26" t="s">
        <v>115</v>
      </c>
      <c r="C40" s="26"/>
      <c r="D40" s="14">
        <v>11</v>
      </c>
      <c r="E40" s="14" t="s">
        <v>96</v>
      </c>
      <c r="F40" s="14"/>
      <c r="G40" s="14"/>
      <c r="H40" s="14" t="s">
        <v>77</v>
      </c>
      <c r="I40" s="14" t="s">
        <v>78</v>
      </c>
      <c r="J40" s="14" t="s">
        <v>4</v>
      </c>
      <c r="K40" s="14" t="s">
        <v>224</v>
      </c>
      <c r="L40" s="15">
        <v>1</v>
      </c>
      <c r="M40" s="23" t="s">
        <v>118</v>
      </c>
      <c r="N40" s="23"/>
      <c r="O40" s="23"/>
      <c r="P40" s="36">
        <v>46069.554861111108</v>
      </c>
      <c r="Q40" s="36">
        <v>46069.554861111108</v>
      </c>
      <c r="R40" s="10"/>
    </row>
    <row r="41" spans="1:18" x14ac:dyDescent="0.55000000000000004">
      <c r="A41" s="26">
        <v>17</v>
      </c>
      <c r="B41" s="26" t="s">
        <v>115</v>
      </c>
      <c r="C41" s="26"/>
      <c r="D41" s="14">
        <v>11</v>
      </c>
      <c r="E41" s="14" t="s">
        <v>96</v>
      </c>
      <c r="F41" s="14"/>
      <c r="G41" s="14"/>
      <c r="H41" s="14" t="s">
        <v>77</v>
      </c>
      <c r="I41" s="14" t="s">
        <v>78</v>
      </c>
      <c r="J41" s="14" t="s">
        <v>4</v>
      </c>
      <c r="K41" s="14" t="s">
        <v>224</v>
      </c>
      <c r="L41" s="15">
        <v>1</v>
      </c>
      <c r="M41" s="23" t="s">
        <v>118</v>
      </c>
      <c r="N41" s="23"/>
      <c r="O41" s="23"/>
      <c r="P41" s="36">
        <v>46069.554861111108</v>
      </c>
      <c r="Q41" s="36">
        <v>46069.554861111108</v>
      </c>
      <c r="R41" s="10"/>
    </row>
    <row r="42" spans="1:18" x14ac:dyDescent="0.55000000000000004">
      <c r="A42" s="7">
        <v>21</v>
      </c>
      <c r="B42" s="7" t="s">
        <v>122</v>
      </c>
      <c r="C42" s="7">
        <v>1</v>
      </c>
      <c r="D42" s="8">
        <v>1</v>
      </c>
      <c r="E42" s="8" t="s">
        <v>99</v>
      </c>
      <c r="F42" s="8" t="s">
        <v>129</v>
      </c>
      <c r="G42" s="8" t="s">
        <v>202</v>
      </c>
      <c r="H42" s="8" t="s">
        <v>30</v>
      </c>
      <c r="I42" s="8" t="s">
        <v>29</v>
      </c>
      <c r="J42" s="8" t="s">
        <v>2</v>
      </c>
      <c r="K42" s="8" t="s">
        <v>223</v>
      </c>
      <c r="L42" s="8">
        <v>1</v>
      </c>
      <c r="M42" s="10"/>
      <c r="N42" s="10"/>
      <c r="O42" s="10"/>
      <c r="P42" s="34">
        <v>46069.554861111108</v>
      </c>
      <c r="Q42" s="34">
        <v>46069.554861111108</v>
      </c>
      <c r="R42" s="10"/>
    </row>
    <row r="43" spans="1:18" x14ac:dyDescent="0.55000000000000004">
      <c r="A43" s="7">
        <v>24</v>
      </c>
      <c r="B43" s="7" t="s">
        <v>119</v>
      </c>
      <c r="C43" s="7"/>
      <c r="D43" s="8">
        <v>3</v>
      </c>
      <c r="E43" s="8" t="s">
        <v>94</v>
      </c>
      <c r="F43" s="8" t="s">
        <v>90</v>
      </c>
      <c r="G43" s="8"/>
      <c r="H43" s="8" t="s">
        <v>6</v>
      </c>
      <c r="I43" s="8" t="s">
        <v>8</v>
      </c>
      <c r="J43" s="8" t="s">
        <v>222</v>
      </c>
      <c r="K43" s="8" t="s">
        <v>221</v>
      </c>
      <c r="L43" s="8">
        <v>1</v>
      </c>
      <c r="M43" s="10"/>
      <c r="N43" s="10"/>
      <c r="O43" s="10"/>
      <c r="P43" s="34">
        <v>46069.554861111108</v>
      </c>
      <c r="Q43" s="34">
        <v>46069.554861111108</v>
      </c>
      <c r="R43" s="10"/>
    </row>
    <row r="44" spans="1:18" x14ac:dyDescent="0.55000000000000004">
      <c r="A44" s="7">
        <v>25</v>
      </c>
      <c r="B44" s="7" t="s">
        <v>119</v>
      </c>
      <c r="C44" s="7"/>
      <c r="D44" s="8">
        <v>3</v>
      </c>
      <c r="E44" s="8" t="s">
        <v>94</v>
      </c>
      <c r="F44" s="8" t="s">
        <v>90</v>
      </c>
      <c r="G44" s="8"/>
      <c r="H44" s="8" t="s">
        <v>60</v>
      </c>
      <c r="I44" s="8" t="s">
        <v>9</v>
      </c>
      <c r="J44" s="8" t="s">
        <v>222</v>
      </c>
      <c r="K44" s="8" t="s">
        <v>221</v>
      </c>
      <c r="L44" s="8">
        <v>1</v>
      </c>
      <c r="M44" s="10"/>
      <c r="N44" s="10"/>
      <c r="O44" s="10"/>
      <c r="P44" s="34">
        <v>46069.554861111108</v>
      </c>
      <c r="Q44" s="34">
        <v>46069.554861111108</v>
      </c>
      <c r="R44" s="10"/>
    </row>
    <row r="45" spans="1:18" x14ac:dyDescent="0.55000000000000004">
      <c r="A45" s="7">
        <v>29</v>
      </c>
      <c r="B45" s="7" t="s">
        <v>119</v>
      </c>
      <c r="C45" s="7"/>
      <c r="D45" s="8">
        <v>7</v>
      </c>
      <c r="E45" s="8" t="s">
        <v>92</v>
      </c>
      <c r="F45" s="8"/>
      <c r="G45" s="8"/>
      <c r="H45" s="8" t="s">
        <v>22</v>
      </c>
      <c r="I45" s="8" t="s">
        <v>23</v>
      </c>
      <c r="J45" s="8" t="s">
        <v>222</v>
      </c>
      <c r="K45" s="8" t="s">
        <v>221</v>
      </c>
      <c r="L45" s="8">
        <v>3</v>
      </c>
      <c r="M45" s="10"/>
      <c r="N45" s="10"/>
      <c r="O45" s="10"/>
      <c r="P45" s="34">
        <v>46069.554861111108</v>
      </c>
      <c r="Q45" s="34">
        <v>46069.554861111108</v>
      </c>
      <c r="R45" s="10"/>
    </row>
    <row r="46" spans="1:18" x14ac:dyDescent="0.55000000000000004">
      <c r="A46" s="7">
        <v>30</v>
      </c>
      <c r="B46" s="7" t="s">
        <v>119</v>
      </c>
      <c r="C46" s="7"/>
      <c r="D46" s="8">
        <v>1</v>
      </c>
      <c r="E46" s="8" t="s">
        <v>99</v>
      </c>
      <c r="F46" s="8" t="s">
        <v>108</v>
      </c>
      <c r="G46" s="8"/>
      <c r="H46" s="8" t="s">
        <v>25</v>
      </c>
      <c r="I46" s="8" t="s">
        <v>24</v>
      </c>
      <c r="J46" s="8" t="s">
        <v>222</v>
      </c>
      <c r="K46" s="8" t="s">
        <v>221</v>
      </c>
      <c r="L46" s="8">
        <v>1</v>
      </c>
      <c r="M46" s="10" t="s">
        <v>57</v>
      </c>
      <c r="N46" s="10"/>
      <c r="O46" s="10"/>
      <c r="P46" s="34">
        <v>46069.554861111108</v>
      </c>
      <c r="Q46" s="34">
        <v>46069.554861111108</v>
      </c>
      <c r="R46" s="10"/>
    </row>
    <row r="47" spans="1:18" x14ac:dyDescent="0.55000000000000004">
      <c r="A47" s="7">
        <v>34</v>
      </c>
      <c r="B47" s="7" t="s">
        <v>119</v>
      </c>
      <c r="C47" s="7"/>
      <c r="D47" s="8">
        <v>1</v>
      </c>
      <c r="E47" s="8" t="s">
        <v>99</v>
      </c>
      <c r="F47" s="8" t="s">
        <v>109</v>
      </c>
      <c r="G47" s="8"/>
      <c r="H47" s="8" t="s">
        <v>35</v>
      </c>
      <c r="I47" s="16" t="s">
        <v>36</v>
      </c>
      <c r="J47" s="8" t="s">
        <v>222</v>
      </c>
      <c r="K47" s="8" t="s">
        <v>221</v>
      </c>
      <c r="L47" s="8">
        <v>1</v>
      </c>
      <c r="M47" s="10" t="s">
        <v>34</v>
      </c>
      <c r="N47" s="10"/>
      <c r="O47" s="10"/>
      <c r="P47" s="34">
        <v>46069.554861111108</v>
      </c>
      <c r="Q47" s="34">
        <v>46069.554861111108</v>
      </c>
      <c r="R47" s="10"/>
    </row>
    <row r="48" spans="1:18" x14ac:dyDescent="0.55000000000000004">
      <c r="A48" s="7">
        <v>26</v>
      </c>
      <c r="B48" s="7"/>
      <c r="C48" s="7"/>
      <c r="D48" s="8">
        <v>1</v>
      </c>
      <c r="E48" s="8" t="s">
        <v>99</v>
      </c>
      <c r="F48" s="8"/>
      <c r="G48" s="8"/>
      <c r="H48" s="8" t="s">
        <v>58</v>
      </c>
      <c r="I48" s="8" t="s">
        <v>59</v>
      </c>
      <c r="J48" s="8" t="s">
        <v>222</v>
      </c>
      <c r="K48" s="8" t="s">
        <v>221</v>
      </c>
      <c r="L48" s="8">
        <v>1</v>
      </c>
      <c r="M48" s="10"/>
      <c r="N48" s="10"/>
      <c r="O48" s="10"/>
      <c r="P48" s="34">
        <v>46069.554861111108</v>
      </c>
      <c r="Q48" s="34">
        <v>46069.554861111108</v>
      </c>
      <c r="R48" s="10"/>
    </row>
    <row r="49" spans="1:18" x14ac:dyDescent="0.55000000000000004">
      <c r="A49" s="7">
        <v>27</v>
      </c>
      <c r="B49" s="7"/>
      <c r="C49" s="7"/>
      <c r="D49" s="8">
        <v>5</v>
      </c>
      <c r="E49" s="8" t="s">
        <v>93</v>
      </c>
      <c r="F49" s="8"/>
      <c r="G49" s="8"/>
      <c r="H49" s="8" t="s">
        <v>18</v>
      </c>
      <c r="I49" s="8" t="s">
        <v>19</v>
      </c>
      <c r="J49" s="8" t="s">
        <v>222</v>
      </c>
      <c r="K49" s="8" t="s">
        <v>221</v>
      </c>
      <c r="L49" s="8">
        <v>1</v>
      </c>
      <c r="M49" s="10"/>
      <c r="N49" s="10"/>
      <c r="O49" s="10"/>
      <c r="P49" s="34">
        <v>46069.554861111108</v>
      </c>
      <c r="Q49" s="34">
        <v>46069.554861111108</v>
      </c>
      <c r="R49" s="10"/>
    </row>
    <row r="50" spans="1:18" x14ac:dyDescent="0.55000000000000004">
      <c r="A50" s="7">
        <v>28</v>
      </c>
      <c r="B50" s="7"/>
      <c r="C50" s="7"/>
      <c r="D50" s="8">
        <v>5</v>
      </c>
      <c r="E50" s="8" t="s">
        <v>93</v>
      </c>
      <c r="F50" s="8"/>
      <c r="G50" s="8"/>
      <c r="H50" s="8" t="s">
        <v>16</v>
      </c>
      <c r="I50" s="8" t="s">
        <v>17</v>
      </c>
      <c r="J50" s="8" t="s">
        <v>222</v>
      </c>
      <c r="K50" s="8" t="s">
        <v>221</v>
      </c>
      <c r="L50" s="8">
        <v>1</v>
      </c>
      <c r="M50" s="10"/>
      <c r="N50" s="10"/>
      <c r="O50" s="10"/>
      <c r="P50" s="34">
        <v>46069.554861111108</v>
      </c>
      <c r="Q50" s="34">
        <v>46069.554861111108</v>
      </c>
      <c r="R50" s="10"/>
    </row>
    <row r="51" spans="1:18" x14ac:dyDescent="0.55000000000000004">
      <c r="A51" s="7">
        <v>31</v>
      </c>
      <c r="B51" s="7"/>
      <c r="C51" s="7"/>
      <c r="D51" s="8">
        <v>3</v>
      </c>
      <c r="E51" s="8" t="s">
        <v>94</v>
      </c>
      <c r="F51" s="8"/>
      <c r="G51" s="8"/>
      <c r="H51" s="8" t="s">
        <v>27</v>
      </c>
      <c r="I51" s="8" t="s">
        <v>26</v>
      </c>
      <c r="J51" s="8" t="s">
        <v>222</v>
      </c>
      <c r="K51" s="8" t="s">
        <v>221</v>
      </c>
      <c r="L51" s="8">
        <v>1</v>
      </c>
      <c r="M51" s="10" t="s">
        <v>57</v>
      </c>
      <c r="N51" s="10"/>
      <c r="O51" s="10"/>
      <c r="P51" s="34">
        <v>46069.554861111108</v>
      </c>
      <c r="Q51" s="34">
        <v>46069.554861111108</v>
      </c>
      <c r="R51" s="10"/>
    </row>
    <row r="52" spans="1:18" x14ac:dyDescent="0.55000000000000004">
      <c r="A52" s="7">
        <v>39</v>
      </c>
      <c r="B52" s="7"/>
      <c r="C52" s="7"/>
      <c r="D52" s="8">
        <v>7</v>
      </c>
      <c r="E52" s="8" t="s">
        <v>92</v>
      </c>
      <c r="F52" s="8"/>
      <c r="G52" s="8"/>
      <c r="H52" s="8" t="s">
        <v>27</v>
      </c>
      <c r="I52" s="8" t="s">
        <v>26</v>
      </c>
      <c r="J52" s="8" t="s">
        <v>222</v>
      </c>
      <c r="K52" s="8" t="s">
        <v>221</v>
      </c>
      <c r="L52" s="8">
        <v>1</v>
      </c>
      <c r="M52" s="10"/>
      <c r="N52" s="10"/>
      <c r="O52" s="10"/>
      <c r="P52" s="34">
        <v>46069.554861111108</v>
      </c>
      <c r="Q52" s="34">
        <v>46069.554861111108</v>
      </c>
      <c r="R52" s="10"/>
    </row>
    <row r="53" spans="1:18" x14ac:dyDescent="0.55000000000000004">
      <c r="A53" s="7">
        <v>51</v>
      </c>
      <c r="B53" s="7" t="s">
        <v>261</v>
      </c>
      <c r="C53" s="7">
        <v>1</v>
      </c>
      <c r="D53" s="8"/>
      <c r="E53" s="8"/>
      <c r="F53" s="8" t="s">
        <v>248</v>
      </c>
      <c r="G53" s="8" t="s">
        <v>254</v>
      </c>
      <c r="H53" s="8"/>
      <c r="I53" s="8"/>
      <c r="J53" s="8"/>
      <c r="K53" s="8"/>
      <c r="L53" s="8"/>
      <c r="M53" s="10"/>
      <c r="N53" s="10"/>
      <c r="O53" s="10"/>
      <c r="P53" s="34">
        <v>46069.554861111108</v>
      </c>
      <c r="Q53" s="34">
        <v>46069.554861111108</v>
      </c>
      <c r="R53" s="10"/>
    </row>
    <row r="54" spans="1:18" x14ac:dyDescent="0.55000000000000004">
      <c r="A54" s="7">
        <v>52</v>
      </c>
      <c r="B54" s="7" t="s">
        <v>261</v>
      </c>
      <c r="C54" s="7">
        <v>2</v>
      </c>
      <c r="D54" s="8"/>
      <c r="E54" s="8"/>
      <c r="F54" s="8" t="s">
        <v>249</v>
      </c>
      <c r="G54" s="8" t="s">
        <v>255</v>
      </c>
      <c r="H54" s="8"/>
      <c r="I54" s="8"/>
      <c r="J54" s="8"/>
      <c r="K54" s="8"/>
      <c r="L54" s="8"/>
      <c r="M54" s="10"/>
      <c r="N54" s="10"/>
      <c r="O54" s="10"/>
      <c r="P54" s="34">
        <v>46069.554861111108</v>
      </c>
      <c r="Q54" s="34">
        <v>46069.554861111108</v>
      </c>
      <c r="R54" s="10"/>
    </row>
    <row r="55" spans="1:18" x14ac:dyDescent="0.55000000000000004">
      <c r="A55" s="7">
        <v>53</v>
      </c>
      <c r="B55" s="7" t="s">
        <v>261</v>
      </c>
      <c r="C55" s="7">
        <v>3</v>
      </c>
      <c r="D55" s="8"/>
      <c r="E55" s="8"/>
      <c r="F55" s="8" t="s">
        <v>250</v>
      </c>
      <c r="G55" s="8" t="s">
        <v>256</v>
      </c>
      <c r="H55" s="8"/>
      <c r="I55" s="8"/>
      <c r="J55" s="8"/>
      <c r="K55" s="8"/>
      <c r="L55" s="8"/>
      <c r="M55" s="10"/>
      <c r="N55" s="10"/>
      <c r="O55" s="10"/>
      <c r="P55" s="34">
        <v>46069.554861111108</v>
      </c>
      <c r="Q55" s="34">
        <v>46069.554861111108</v>
      </c>
      <c r="R55" s="10"/>
    </row>
    <row r="56" spans="1:18" x14ac:dyDescent="0.55000000000000004">
      <c r="A56" s="7">
        <v>54</v>
      </c>
      <c r="B56" s="7" t="s">
        <v>261</v>
      </c>
      <c r="C56" s="7">
        <v>4</v>
      </c>
      <c r="D56" s="8"/>
      <c r="E56" s="8"/>
      <c r="F56" s="8" t="s">
        <v>251</v>
      </c>
      <c r="G56" s="8" t="s">
        <v>257</v>
      </c>
      <c r="H56" s="8"/>
      <c r="I56" s="8"/>
      <c r="J56" s="8"/>
      <c r="K56" s="8"/>
      <c r="L56" s="8"/>
      <c r="M56" s="10"/>
      <c r="N56" s="10"/>
      <c r="O56" s="10"/>
      <c r="P56" s="34">
        <v>46069.554861111108</v>
      </c>
      <c r="Q56" s="34">
        <v>46069.554861111108</v>
      </c>
      <c r="R56" s="10"/>
    </row>
    <row r="57" spans="1:18" x14ac:dyDescent="0.55000000000000004">
      <c r="A57" s="7">
        <v>55</v>
      </c>
      <c r="B57" s="7" t="s">
        <v>261</v>
      </c>
      <c r="C57" s="7">
        <v>5</v>
      </c>
      <c r="D57" s="8"/>
      <c r="E57" s="8"/>
      <c r="F57" s="8" t="s">
        <v>252</v>
      </c>
      <c r="G57" s="8" t="s">
        <v>258</v>
      </c>
      <c r="H57" s="8"/>
      <c r="I57" s="8"/>
      <c r="J57" s="8"/>
      <c r="K57" s="8"/>
      <c r="L57" s="8"/>
      <c r="M57" s="10"/>
      <c r="N57" s="10"/>
      <c r="O57" s="10"/>
      <c r="P57" s="34">
        <v>46069.554861111108</v>
      </c>
      <c r="Q57" s="34">
        <v>46069.554861111108</v>
      </c>
      <c r="R57" s="10"/>
    </row>
    <row r="58" spans="1:18" x14ac:dyDescent="0.55000000000000004">
      <c r="A58" s="7">
        <v>56</v>
      </c>
      <c r="B58" s="7" t="s">
        <v>261</v>
      </c>
      <c r="C58" s="7">
        <v>6</v>
      </c>
      <c r="D58" s="8"/>
      <c r="E58" s="8"/>
      <c r="F58" s="8" t="s">
        <v>253</v>
      </c>
      <c r="G58" s="8" t="s">
        <v>259</v>
      </c>
      <c r="H58" s="8"/>
      <c r="I58" s="8"/>
      <c r="J58" s="8"/>
      <c r="K58" s="8"/>
      <c r="L58" s="8"/>
      <c r="M58" s="10"/>
      <c r="N58" s="10"/>
      <c r="O58" s="10"/>
      <c r="P58" s="34">
        <v>46069.554861111108</v>
      </c>
      <c r="Q58" s="34">
        <v>46069.554861111108</v>
      </c>
      <c r="R58" s="10"/>
    </row>
    <row r="59" spans="1:18" x14ac:dyDescent="0.55000000000000004">
      <c r="A59" s="7">
        <v>60</v>
      </c>
      <c r="B59" s="7" t="s">
        <v>279</v>
      </c>
      <c r="C59" s="7">
        <v>7</v>
      </c>
      <c r="D59" s="8"/>
      <c r="E59" s="8"/>
      <c r="F59" s="8" t="s">
        <v>280</v>
      </c>
      <c r="G59" s="8" t="s">
        <v>281</v>
      </c>
      <c r="H59" s="8"/>
      <c r="I59" s="8"/>
      <c r="J59" s="8"/>
      <c r="K59" s="8"/>
      <c r="L59" s="8"/>
      <c r="M59" s="10"/>
      <c r="N59" s="10"/>
      <c r="O59" s="10"/>
      <c r="P59" s="34">
        <v>46069.809027777781</v>
      </c>
      <c r="Q59" s="34">
        <v>46069.809027777781</v>
      </c>
      <c r="R59" s="10"/>
    </row>
    <row r="60" spans="1:18" x14ac:dyDescent="0.55000000000000004">
      <c r="A60" s="7">
        <v>65</v>
      </c>
      <c r="B60" s="7" t="s">
        <v>279</v>
      </c>
      <c r="C60" s="7">
        <v>8</v>
      </c>
      <c r="D60" s="8"/>
      <c r="E60" s="8"/>
      <c r="F60" s="8" t="s">
        <v>296</v>
      </c>
      <c r="G60" s="8" t="s">
        <v>297</v>
      </c>
      <c r="H60" s="8"/>
      <c r="I60" s="8"/>
      <c r="J60" s="8"/>
      <c r="K60" s="8"/>
      <c r="L60" s="8"/>
      <c r="M60" s="10"/>
      <c r="N60" s="10"/>
      <c r="O60" s="10"/>
      <c r="P60" s="34">
        <v>46085.347222222219</v>
      </c>
      <c r="Q60" s="34">
        <v>46085.347222222219</v>
      </c>
      <c r="R60" s="10"/>
    </row>
    <row r="61" spans="1:18" x14ac:dyDescent="0.55000000000000004">
      <c r="A61" s="7">
        <v>57</v>
      </c>
      <c r="B61" s="7" t="s">
        <v>286</v>
      </c>
      <c r="C61" s="7">
        <v>1</v>
      </c>
      <c r="D61" s="8"/>
      <c r="E61" s="8"/>
      <c r="F61" s="8" t="s">
        <v>266</v>
      </c>
      <c r="G61" s="8" t="s">
        <v>267</v>
      </c>
      <c r="H61" s="8"/>
      <c r="I61" s="8"/>
      <c r="J61" s="8"/>
      <c r="K61" s="8"/>
      <c r="L61" s="8"/>
      <c r="M61" s="10"/>
      <c r="N61" s="10"/>
      <c r="O61" s="10"/>
      <c r="P61" s="34">
        <v>46069.554861111108</v>
      </c>
      <c r="Q61" s="34">
        <v>46077.372916666667</v>
      </c>
      <c r="R61" s="10"/>
    </row>
    <row r="62" spans="1:18" x14ac:dyDescent="0.55000000000000004">
      <c r="A62" s="7">
        <v>61</v>
      </c>
      <c r="B62" s="7" t="s">
        <v>287</v>
      </c>
      <c r="C62" s="7">
        <v>2</v>
      </c>
      <c r="D62" s="8"/>
      <c r="E62" s="8"/>
      <c r="F62" s="8" t="s">
        <v>288</v>
      </c>
      <c r="G62" s="8" t="s">
        <v>289</v>
      </c>
      <c r="H62" s="8"/>
      <c r="I62" s="8"/>
      <c r="J62" s="8"/>
      <c r="K62" s="8"/>
      <c r="L62" s="8"/>
      <c r="M62" s="10"/>
      <c r="N62" s="10"/>
      <c r="O62" s="10"/>
      <c r="P62" s="34">
        <v>46077.372916666667</v>
      </c>
      <c r="Q62" s="34">
        <v>46077.372916666667</v>
      </c>
      <c r="R62" s="10"/>
    </row>
    <row r="63" spans="1:18" x14ac:dyDescent="0.55000000000000004">
      <c r="A63" s="7">
        <v>62</v>
      </c>
      <c r="B63" s="7" t="s">
        <v>290</v>
      </c>
      <c r="C63" s="7">
        <v>1</v>
      </c>
      <c r="D63" s="8"/>
      <c r="E63" s="8"/>
      <c r="F63" s="8" t="s">
        <v>294</v>
      </c>
      <c r="G63" s="8" t="s">
        <v>295</v>
      </c>
      <c r="H63" s="8"/>
      <c r="I63" s="8"/>
      <c r="J63" s="8"/>
      <c r="K63" s="8"/>
      <c r="L63" s="8"/>
      <c r="M63" s="10"/>
      <c r="N63" s="10"/>
      <c r="O63" s="10"/>
      <c r="P63" s="34">
        <v>46083.387499999997</v>
      </c>
      <c r="Q63" s="34">
        <v>46083.387499999997</v>
      </c>
      <c r="R63" s="10"/>
    </row>
    <row r="64" spans="1:18" x14ac:dyDescent="0.55000000000000004">
      <c r="A64" s="7">
        <v>63</v>
      </c>
      <c r="B64" s="7" t="s">
        <v>290</v>
      </c>
      <c r="C64" s="7">
        <v>2</v>
      </c>
      <c r="D64" s="8"/>
      <c r="E64" s="8"/>
      <c r="F64" s="8" t="s">
        <v>294</v>
      </c>
      <c r="G64" s="8" t="s">
        <v>295</v>
      </c>
      <c r="H64" s="8"/>
      <c r="I64" s="8"/>
      <c r="J64" s="8"/>
      <c r="K64" s="8"/>
      <c r="L64" s="8"/>
      <c r="M64" s="10"/>
      <c r="N64" s="10"/>
      <c r="O64" s="10"/>
      <c r="P64" s="34">
        <v>46083.387499999997</v>
      </c>
      <c r="Q64" s="34">
        <v>46083.387499999997</v>
      </c>
      <c r="R64" s="10"/>
    </row>
    <row r="65" spans="1:18" x14ac:dyDescent="0.55000000000000004">
      <c r="A65" s="7">
        <v>64</v>
      </c>
      <c r="B65" s="7" t="s">
        <v>290</v>
      </c>
      <c r="C65" s="7">
        <v>3</v>
      </c>
      <c r="D65" s="8"/>
      <c r="E65" s="8"/>
      <c r="F65" s="8" t="s">
        <v>291</v>
      </c>
      <c r="G65" s="8" t="s">
        <v>292</v>
      </c>
      <c r="H65" s="8"/>
      <c r="I65" s="8"/>
      <c r="J65" s="8"/>
      <c r="K65" s="8"/>
      <c r="L65" s="8"/>
      <c r="M65" s="10"/>
      <c r="N65" s="10"/>
      <c r="O65" s="10"/>
      <c r="P65" s="34">
        <v>46083.363888888889</v>
      </c>
      <c r="Q65" s="34">
        <v>46083.363888888889</v>
      </c>
      <c r="R65" s="10"/>
    </row>
    <row r="66" spans="1:18" x14ac:dyDescent="0.55000000000000004">
      <c r="A66" s="18"/>
      <c r="B66" s="18"/>
      <c r="C66" s="18"/>
      <c r="D66" s="19"/>
      <c r="E66" s="19"/>
      <c r="F66" s="19"/>
      <c r="G66" s="19"/>
      <c r="H66" s="19"/>
      <c r="I66" s="19"/>
      <c r="J66" s="19"/>
      <c r="K66" s="19"/>
      <c r="L66" s="19"/>
      <c r="M66" s="20"/>
      <c r="N66" s="20"/>
      <c r="O66" s="20"/>
      <c r="P66" s="37"/>
      <c r="Q66" s="37"/>
      <c r="R66" s="20"/>
    </row>
    <row r="68" spans="1:18" x14ac:dyDescent="0.55000000000000004">
      <c r="A68" t="s">
        <v>111</v>
      </c>
      <c r="D68" t="s">
        <v>110</v>
      </c>
    </row>
    <row r="69" spans="1:18" x14ac:dyDescent="0.55000000000000004">
      <c r="A69">
        <f>MAX(A$2:A$66)</f>
        <v>65</v>
      </c>
      <c r="D69">
        <f>MAX(D$2:D$66)</f>
        <v>11</v>
      </c>
    </row>
    <row r="70" spans="1:18" x14ac:dyDescent="0.55000000000000004">
      <c r="A70" t="s">
        <v>198</v>
      </c>
      <c r="B70" t="s">
        <v>117</v>
      </c>
      <c r="C70" t="s">
        <v>116</v>
      </c>
    </row>
    <row r="71" spans="1:18" x14ac:dyDescent="0.55000000000000004">
      <c r="A71">
        <f>ROW(A67)-ROW(A1)-1</f>
        <v>65</v>
      </c>
      <c r="B71">
        <f>COUNTIF(B$2:B$66,B70)</f>
        <v>17</v>
      </c>
      <c r="C71" s="25">
        <f>_xlfn.MAXIFS(C$2:C$66,$B$2:$B$66,C70)</f>
        <v>17</v>
      </c>
    </row>
    <row r="72" spans="1:18" x14ac:dyDescent="0.55000000000000004">
      <c r="B72" t="s">
        <v>114</v>
      </c>
      <c r="C72" t="s">
        <v>114</v>
      </c>
    </row>
    <row r="73" spans="1:18" x14ac:dyDescent="0.55000000000000004">
      <c r="B73">
        <f>COUNTIF(B$2:B$66,B72)</f>
        <v>23</v>
      </c>
      <c r="C73" s="25">
        <f>_xlfn.MAXIFS(C$2:C$66,$B$2:$B$66,C72)</f>
        <v>20</v>
      </c>
    </row>
    <row r="76" spans="1:18" x14ac:dyDescent="0.55000000000000004">
      <c r="H76" s="2" t="s">
        <v>37</v>
      </c>
      <c r="L76">
        <v>1</v>
      </c>
      <c r="R76" t="s">
        <v>79</v>
      </c>
    </row>
    <row r="77" spans="1:18" x14ac:dyDescent="0.55000000000000004">
      <c r="H77" t="s">
        <v>56</v>
      </c>
      <c r="I77" t="s">
        <v>53</v>
      </c>
      <c r="J77" t="s">
        <v>52</v>
      </c>
      <c r="L77">
        <v>1</v>
      </c>
      <c r="R77" t="s">
        <v>79</v>
      </c>
    </row>
    <row r="79" spans="1:18" x14ac:dyDescent="0.55000000000000004">
      <c r="H79" s="2" t="s">
        <v>38</v>
      </c>
    </row>
    <row r="80" spans="1:18" x14ac:dyDescent="0.55000000000000004">
      <c r="H80" t="s">
        <v>82</v>
      </c>
      <c r="I80" t="s">
        <v>84</v>
      </c>
      <c r="J80" t="s">
        <v>80</v>
      </c>
      <c r="L80">
        <v>1</v>
      </c>
      <c r="R80" t="s">
        <v>79</v>
      </c>
    </row>
    <row r="82" spans="8:18" x14ac:dyDescent="0.55000000000000004">
      <c r="H82" s="2" t="s">
        <v>39</v>
      </c>
    </row>
    <row r="83" spans="8:18" x14ac:dyDescent="0.55000000000000004">
      <c r="H83" t="s">
        <v>83</v>
      </c>
      <c r="I83" t="s">
        <v>84</v>
      </c>
      <c r="J83" t="s">
        <v>81</v>
      </c>
      <c r="L83">
        <v>1</v>
      </c>
      <c r="R83" t="s">
        <v>79</v>
      </c>
    </row>
    <row r="85" spans="8:18" x14ac:dyDescent="0.55000000000000004">
      <c r="H85" s="2" t="s">
        <v>40</v>
      </c>
    </row>
    <row r="86" spans="8:18" x14ac:dyDescent="0.55000000000000004">
      <c r="H86" t="s">
        <v>42</v>
      </c>
      <c r="I86" t="s">
        <v>43</v>
      </c>
      <c r="J86" t="s">
        <v>12</v>
      </c>
      <c r="L86">
        <v>1</v>
      </c>
      <c r="R86" t="s">
        <v>87</v>
      </c>
    </row>
    <row r="87" spans="8:18" x14ac:dyDescent="0.55000000000000004">
      <c r="H87" t="s">
        <v>45</v>
      </c>
      <c r="I87" s="1" t="s">
        <v>54</v>
      </c>
      <c r="J87" t="s">
        <v>44</v>
      </c>
      <c r="L87">
        <v>2</v>
      </c>
      <c r="R87" t="s">
        <v>87</v>
      </c>
    </row>
    <row r="89" spans="8:18" x14ac:dyDescent="0.55000000000000004">
      <c r="H89" s="2" t="s">
        <v>41</v>
      </c>
    </row>
    <row r="90" spans="8:18" x14ac:dyDescent="0.55000000000000004">
      <c r="H90" t="s">
        <v>46</v>
      </c>
      <c r="I90" t="s">
        <v>47</v>
      </c>
      <c r="J90" t="s">
        <v>12</v>
      </c>
      <c r="L90">
        <v>1</v>
      </c>
      <c r="R90" t="s">
        <v>87</v>
      </c>
    </row>
    <row r="91" spans="8:18" x14ac:dyDescent="0.55000000000000004">
      <c r="H91" t="s">
        <v>50</v>
      </c>
      <c r="I91" s="3" t="s">
        <v>48</v>
      </c>
      <c r="J91" t="s">
        <v>49</v>
      </c>
      <c r="L91">
        <v>1</v>
      </c>
      <c r="R91" t="s">
        <v>87</v>
      </c>
    </row>
    <row r="92" spans="8:18" x14ac:dyDescent="0.55000000000000004">
      <c r="H92" t="s">
        <v>51</v>
      </c>
      <c r="I92" t="s">
        <v>55</v>
      </c>
      <c r="J92" t="s">
        <v>4</v>
      </c>
      <c r="L92">
        <v>2</v>
      </c>
      <c r="R92" t="s">
        <v>87</v>
      </c>
    </row>
    <row r="93" spans="8:18" x14ac:dyDescent="0.55000000000000004">
      <c r="H93" t="s">
        <v>85</v>
      </c>
      <c r="I93" t="s">
        <v>86</v>
      </c>
      <c r="J93" t="s">
        <v>88</v>
      </c>
      <c r="L93">
        <v>1</v>
      </c>
      <c r="R93" t="s">
        <v>87</v>
      </c>
    </row>
  </sheetData>
  <autoFilter ref="A1:R52" xr:uid="{48D32264-F25D-40E9-9C76-26E43E79C8CC}">
    <sortState xmlns:xlrd2="http://schemas.microsoft.com/office/spreadsheetml/2017/richdata2" ref="A2:R52">
      <sortCondition ref="B1:B52"/>
    </sortState>
  </autoFilter>
  <phoneticPr fontId="1"/>
  <conditionalFormatting sqref="A2:R17 A18:G18 I18:R18 A19:R66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B13" sqref="B13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230</v>
      </c>
      <c r="J1" t="s">
        <v>226</v>
      </c>
      <c r="L1" t="s">
        <v>227</v>
      </c>
      <c r="N1" t="s">
        <v>228</v>
      </c>
      <c r="P1" t="s">
        <v>229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0" customFormat="1" x14ac:dyDescent="0.55000000000000004">
      <c r="A2" s="30" t="s">
        <v>211</v>
      </c>
      <c r="E2" s="30" t="s">
        <v>216</v>
      </c>
      <c r="F2" s="30" t="s">
        <v>102</v>
      </c>
      <c r="G2" s="30" t="s">
        <v>197</v>
      </c>
      <c r="H2" s="30" t="s">
        <v>215</v>
      </c>
      <c r="J2" s="30" t="s">
        <v>189</v>
      </c>
      <c r="L2" s="30" t="s">
        <v>190</v>
      </c>
      <c r="N2" s="30" t="s">
        <v>200</v>
      </c>
      <c r="P2" s="30" t="s">
        <v>217</v>
      </c>
      <c r="X2" s="30" t="s">
        <v>201</v>
      </c>
      <c r="Y2" s="30" t="s">
        <v>192</v>
      </c>
      <c r="Z2" s="30" t="s">
        <v>193</v>
      </c>
      <c r="AA2" s="30" t="s">
        <v>194</v>
      </c>
      <c r="AB2" s="30" t="s">
        <v>195</v>
      </c>
      <c r="AC2" s="30" t="s">
        <v>196</v>
      </c>
      <c r="AD2" s="30" t="s">
        <v>195</v>
      </c>
      <c r="AE2" s="30" t="s">
        <v>203</v>
      </c>
      <c r="AF2" s="30" t="s">
        <v>204</v>
      </c>
      <c r="AG2" s="30" t="s">
        <v>225</v>
      </c>
      <c r="AH2" s="30" t="s">
        <v>204</v>
      </c>
      <c r="AI2" s="30" t="s">
        <v>213</v>
      </c>
      <c r="AJ2" s="30" t="s">
        <v>214</v>
      </c>
      <c r="AK2" s="30" t="s">
        <v>210</v>
      </c>
    </row>
    <row r="3" spans="1:37" x14ac:dyDescent="0.55000000000000004">
      <c r="A3" t="s">
        <v>184</v>
      </c>
      <c r="B3" t="str" cm="1">
        <f t="array" aca="1" ref="B3" ca="1">CELL("filename")</f>
        <v>C:\tk\prj\hg-0025-0016\git\kv-x520\doc\[kv_script_conv_info.xlsx]info_index</v>
      </c>
      <c r="E3" t="s">
        <v>117</v>
      </c>
      <c r="F3">
        <f>COUNTIF(E$3:E3,E3)</f>
        <v>1</v>
      </c>
      <c r="H3" cm="1">
        <f t="array" ref="H3:H202">IFERROR(MATCH($E$3:$E$202&amp;$F$3:$F$202,info_index!$B$2:$B$66&amp;info_index!$C$2:$C$66,0),"")</f>
        <v>1</v>
      </c>
      <c r="I3" t="str" cm="1">
        <f t="array" aca="1" ref="I3:I202" ca="1">IF(LEN(_xlfn.ANCHORARRAY(H3)),INDEX(OFFSET(info_index!$F$2:$F$66,0,$B$23),MATCH($E$3:$E$202&amp;$F$3:$F$202,info_index!$B$2:$B$66&amp;info_index!$C$2:$C$66,0)&amp;"",1),"")</f>
        <v>箔ロウリール軸</v>
      </c>
      <c r="J3" t="str" cm="1">
        <f t="array" aca="1" ref="J3:J202" ca="1">IF(LEN(_xlfn.ANCHORARRAY($H3)),IF(LEN(_xlfn.ANCHORARRAY(I3)),_xlfn.ANCHORARRAY(I3),"unknown"),"")</f>
        <v>箔ロウリール軸</v>
      </c>
      <c r="L3" t="str" cm="1">
        <f t="array" aca="1" ref="L3:L202" ca="1">IF(LEN(_xlfn.ANCHORARRAY(J3)),"【"&amp;E3:E202&amp;F3:F202&amp;"】 "&amp;_xlfn.ANCHORARRAY(J3),"")</f>
        <v>【axis1】 箔ロウリール軸</v>
      </c>
      <c r="M3" t="str" cm="1">
        <f t="array" ref="M3:M202">IFERROR(INDEX(info_index!$H$2:$H$66,MATCH($E$3:$E$202&amp;$F$3:$F$202,info_index!$B$2:$B$66&amp;info_index!$C$2:$C$66,0),1)&amp;"","")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IF(LEN(_xlfn.ANCHORARRAY(H3)),INDEX(OFFSET(info_index!$J$2:$J$66,0,$B$23),MATCH($E$3:$E$202&amp;$F$3:$F$202,info_index!$B$2:$B$66&amp;info_index!$C$2:$C$66,0),1)&amp;"","")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//箔ロウリール軸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//箔ロウリール軸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//箔ロウリール軸
	IF uiInfoIdx = 1 THEN
		IF strInfoKey = 'name' THEN
			strRt	:= '箔ロウリール軸';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//箔ロウリール軸
	IF uiInfoIdx = 1 THEN
		IF strInfoKey = 'name' THEN
			strRt	:= '箔ロウリール軸';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//箔ロウリール軸
	IF uiInfoIdx = 1 THEN
		IF strInfoKey = 'name' THEN
			strRt	:= '箔ロウリール軸';
		ELSIF strInfoKey = 'index_name' THEN
			strRt	:= '【axis1】 箔ロウリール軸';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平板送り軸</v>
      </c>
      <c r="J4" t="str">
        <f ca="1"/>
        <v>平板送り軸</v>
      </c>
      <c r="L4" t="str">
        <f ca="1"/>
        <v>【axis2】 平板送り軸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//平板送り軸
	ELSIF uiInfoIdx = 2 THEN</v>
      </c>
      <c r="AA4" t="str">
        <f ca="1"/>
        <v xml:space="preserve">
	//平板送り軸
	ELSIF uiInfoIdx = 2 THEN
		IF strInfoKey = 'name' THEN</v>
      </c>
      <c r="AB4" t="str">
        <f ca="1"/>
        <v xml:space="preserve">
	//平板送り軸
	ELSIF uiInfoIdx = 2 THEN
		IF strInfoKey = 'name' THEN
			strRt	:= '平板送り軸';</v>
      </c>
      <c r="AC4" t="str">
        <f ca="1"/>
        <v xml:space="preserve">
	//平板送り軸
	ELSIF uiInfoIdx = 2 THEN
		IF strInfoKey = 'name' THEN
			strRt	:= '平板送り軸';
		ELSIF strInfoKey = 'index_name' THEN</v>
      </c>
      <c r="AD4" t="str">
        <f ca="1"/>
        <v xml:space="preserve">
	//平板送り軸
	ELSIF uiInfoIdx = 2 THEN
		IF strInfoKey = 'name' THEN
			strRt	:= '平板送り軸';
		ELSIF strInfoKey = 'index_name' THEN
			strRt	:= '【axis2】 平板送り軸';</v>
      </c>
      <c r="AE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</v>
      </c>
      <c r="AF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</v>
      </c>
      <c r="AG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</v>
      </c>
      <c r="AH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</v>
      </c>
      <c r="AI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J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  <c r="AK4" t="str">
        <f ca="1"/>
        <v xml:space="preserve">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181</v>
      </c>
      <c r="B5" t="str">
        <f ca="1">"このスクリプトは "&amp;B3&amp;" によって生成されました。"</f>
        <v>このスクリプトは C:\tk\prj\hg-0025-0016\git\kv-x520\doc\[kv_script_conv_info.xlsx]info_index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箔ロウ送り軸</v>
      </c>
      <c r="J5" t="str">
        <f ca="1"/>
        <v>箔ロウ送り軸</v>
      </c>
      <c r="L5" t="str">
        <f ca="1"/>
        <v>【axis3】 箔ロウ送り軸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//箔ロウ送り軸
	ELSIF uiInfoIdx = 3 THEN</v>
      </c>
      <c r="AA5" t="str">
        <f ca="1"/>
        <v xml:space="preserve">
	//箔ロウ送り軸
	ELSIF uiInfoIdx = 3 THEN
		IF strInfoKey = 'name' THEN</v>
      </c>
      <c r="AB5" t="str">
        <f ca="1"/>
        <v xml:space="preserve">
	//箔ロウ送り軸
	ELSIF uiInfoIdx = 3 THEN
		IF strInfoKey = 'name' THEN
			strRt	:= '箔ロウ送り軸';</v>
      </c>
      <c r="AC5" t="str">
        <f ca="1"/>
        <v xml:space="preserve">
	//箔ロウ送り軸
	ELSIF uiInfoIdx = 3 THEN
		IF strInfoKey = 'name' THEN
			strRt	:= '箔ロウ送り軸';
		ELSIF strInfoKey = 'index_name' THEN</v>
      </c>
      <c r="AD5" t="str">
        <f ca="1"/>
        <v xml:space="preserve">
	//箔ロウ送り軸
	ELSIF uiInfoIdx = 3 THEN
		IF strInfoKey = 'name' THEN
			strRt	:= '箔ロウ送り軸';
		ELSIF strInfoKey = 'index_name' THEN
			strRt	:= '【axis3】 箔ロウ送り軸';</v>
      </c>
      <c r="AE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</v>
      </c>
      <c r="AF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</v>
      </c>
      <c r="AG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</v>
      </c>
      <c r="AH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</v>
      </c>
      <c r="AI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J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  <c r="AK5" t="str">
        <f ca="1"/>
        <v xml:space="preserve">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182</v>
      </c>
      <c r="B6" t="s">
        <v>183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波板送り</v>
      </c>
      <c r="J6" t="str">
        <f ca="1"/>
        <v>波板送り</v>
      </c>
      <c r="L6" t="str">
        <f ca="1"/>
        <v>【axis4】 波板送り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//波板送り
	ELSIF uiInfoIdx = 4 THEN</v>
      </c>
      <c r="AA6" t="str">
        <f ca="1"/>
        <v xml:space="preserve">
	//波板送り
	ELSIF uiInfoIdx = 4 THEN
		IF strInfoKey = 'name' THEN</v>
      </c>
      <c r="AB6" t="str">
        <f ca="1"/>
        <v xml:space="preserve">
	//波板送り
	ELSIF uiInfoIdx = 4 THEN
		IF strInfoKey = 'name' THEN
			strRt	:= '波板送り';</v>
      </c>
      <c r="AC6" t="str">
        <f ca="1"/>
        <v xml:space="preserve">
	//波板送り
	ELSIF uiInfoIdx = 4 THEN
		IF strInfoKey = 'name' THEN
			strRt	:= '波板送り';
		ELSIF strInfoKey = 'index_name' THEN</v>
      </c>
      <c r="AD6" t="str">
        <f ca="1"/>
        <v xml:space="preserve">
	//波板送り
	ELSIF uiInfoIdx = 4 THEN
		IF strInfoKey = 'name' THEN
			strRt	:= '波板送り';
		ELSIF strInfoKey = 'index_name' THEN
			strRt	:= '【axis4】 波板送り';</v>
      </c>
      <c r="AE6" t="str">
        <f ca="1"/>
        <v xml:space="preserve">
	//波板送り
	ELSIF uiInfoIdx = 4 THEN
		IF strInfoKey = 'name' THEN
			strRt	:= '波板送り';
		ELSIF strInfoKey = 'index_name' THEN
			strRt	:= '【axis4】 波板送り';
		ELSIF strInfoKey = 'model' THEN</v>
      </c>
      <c r="AF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</v>
      </c>
      <c r="AG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</v>
      </c>
      <c r="AH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</v>
      </c>
      <c r="AI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J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  <c r="AK6" t="str">
        <f ca="1"/>
        <v xml:space="preserve">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175</v>
      </c>
      <c r="B7" t="s">
        <v>176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ワーク排出上下軸</v>
      </c>
      <c r="J7" t="str">
        <f ca="1"/>
        <v>ワーク排出上下軸</v>
      </c>
      <c r="L7" t="str">
        <f ca="1"/>
        <v>【axis5】 ワーク排出上下軸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//ワーク排出上下軸
	ELSIF uiInfoIdx = 5 THEN</v>
      </c>
      <c r="AA7" t="str">
        <f ca="1"/>
        <v xml:space="preserve">
	//ワーク排出上下軸
	ELSIF uiInfoIdx = 5 THEN
		IF strInfoKey = 'name' THEN</v>
      </c>
      <c r="AB7" t="str">
        <f ca="1"/>
        <v xml:space="preserve">
	//ワーク排出上下軸
	ELSIF uiInfoIdx = 5 THEN
		IF strInfoKey = 'name' THEN
			strRt	:= 'ワーク排出上下軸';</v>
      </c>
      <c r="AC7" t="str">
        <f ca="1"/>
        <v xml:space="preserve">
	//ワーク排出上下軸
	ELSIF uiInfoIdx = 5 THEN
		IF strInfoKey = 'name' THEN
			strRt	:= 'ワーク排出上下軸';
		ELSIF strInfoKey = 'index_name' THEN</v>
      </c>
      <c r="AD7" t="str">
        <f ca="1"/>
        <v xml:space="preserve">
	//ワーク排出上下軸
	ELSIF uiInfoIdx = 5 THEN
		IF strInfoKey = 'name' THEN
			strRt	:= 'ワーク排出上下軸';
		ELSIF strInfoKey = 'index_name' THEN
			strRt	:= '【axis5】 ワーク排出上下軸';</v>
      </c>
      <c r="AE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</v>
      </c>
      <c r="AF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</v>
      </c>
      <c r="AG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</v>
      </c>
      <c r="AH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</v>
      </c>
      <c r="AI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J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  <c r="AK7" t="str">
        <f ca="1"/>
        <v xml:space="preserve">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177</v>
      </c>
      <c r="B8" t="s">
        <v>178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周長測定子上下軸</v>
      </c>
      <c r="J8" t="str">
        <f ca="1"/>
        <v>周長測定子上下軸</v>
      </c>
      <c r="L8" t="str">
        <f ca="1"/>
        <v>【axis6】 周長測定子上下軸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//周長測定子上下軸
	ELSIF uiInfoIdx = 6 THEN</v>
      </c>
      <c r="AA8" t="str">
        <f ca="1"/>
        <v xml:space="preserve">
	//周長測定子上下軸
	ELSIF uiInfoIdx = 6 THEN
		IF strInfoKey = 'name' THEN</v>
      </c>
      <c r="AB8" t="str">
        <f ca="1"/>
        <v xml:space="preserve">
	//周長測定子上下軸
	ELSIF uiInfoIdx = 6 THEN
		IF strInfoKey = 'name' THEN
			strRt	:= '周長測定子上下軸';</v>
      </c>
      <c r="AC8" t="str">
        <f ca="1"/>
        <v xml:space="preserve">
	//周長測定子上下軸
	ELSIF uiInfoIdx = 6 THEN
		IF strInfoKey = 'name' THEN
			strRt	:= '周長測定子上下軸';
		ELSIF strInfoKey = 'index_name' THEN</v>
      </c>
      <c r="AD8" t="str">
        <f ca="1"/>
        <v xml:space="preserve">
	//周長測定子上下軸
	ELSIF uiInfoIdx = 6 THEN
		IF strInfoKey = 'name' THEN
			strRt	:= '周長測定子上下軸';
		ELSIF strInfoKey = 'index_name' THEN
			strRt	:= '【axis6】 周長測定子上下軸';</v>
      </c>
      <c r="AE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</v>
      </c>
      <c r="AF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</v>
      </c>
      <c r="AG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</v>
      </c>
      <c r="AH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</v>
      </c>
      <c r="AI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J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  <c r="AK8" t="str">
        <f ca="1"/>
        <v xml:space="preserve">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179</v>
      </c>
      <c r="B9" t="s">
        <v>180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ワーク(排出)チャック軸</v>
      </c>
      <c r="J9" t="str">
        <f ca="1"/>
        <v>ワーク(排出)チャック軸</v>
      </c>
      <c r="L9" t="str">
        <f ca="1"/>
        <v>【axis7】 ワーク(排出)チャック軸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//ワーク(排出)チャック軸
	ELSIF uiInfoIdx = 7 THEN</v>
      </c>
      <c r="AA9" t="str">
        <f ca="1"/>
        <v xml:space="preserve">
	//ワーク(排出)チャック軸
	ELSIF uiInfoIdx = 7 THEN
		IF strInfoKey = 'name' THEN</v>
      </c>
      <c r="AB9" t="str">
        <f ca="1"/>
        <v xml:space="preserve">
	//ワーク(排出)チャック軸
	ELSIF uiInfoIdx = 7 THEN
		IF strInfoKey = 'name' THEN
			strRt	:= 'ワーク(排出)チャック軸';</v>
      </c>
      <c r="AC9" t="str">
        <f ca="1"/>
        <v xml:space="preserve">
	//ワーク(排出)チャック軸
	ELSIF uiInfoIdx = 7 THEN
		IF strInfoKey = 'name' THEN
			strRt	:= 'ワーク(排出)チャック軸';
		ELSIF strInfoKey = 'index_name' THEN</v>
      </c>
      <c r="AD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</v>
      </c>
      <c r="AE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</v>
      </c>
      <c r="AF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</v>
      </c>
      <c r="AG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</v>
      </c>
      <c r="AH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</v>
      </c>
      <c r="AI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J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  <c r="AK9" t="str">
        <f ca="1"/>
        <v xml:space="preserve">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溶接トーチ前後</v>
      </c>
      <c r="J10" t="str">
        <f ca="1"/>
        <v>溶接トーチ前後</v>
      </c>
      <c r="L10" t="str">
        <f ca="1"/>
        <v>【axis8】 溶接トーチ前後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//溶接トーチ前後
	ELSIF uiInfoIdx = 8 THEN</v>
      </c>
      <c r="AA10" t="str">
        <f ca="1"/>
        <v xml:space="preserve">
	//溶接トーチ前後
	ELSIF uiInfoIdx = 8 THEN
		IF strInfoKey = 'name' THEN</v>
      </c>
      <c r="AB10" t="str">
        <f ca="1"/>
        <v xml:space="preserve">
	//溶接トーチ前後
	ELSIF uiInfoIdx = 8 THEN
		IF strInfoKey = 'name' THEN
			strRt	:= '溶接トーチ前後';</v>
      </c>
      <c r="AC10" t="str">
        <f ca="1"/>
        <v xml:space="preserve">
	//溶接トーチ前後
	ELSIF uiInfoIdx = 8 THEN
		IF strInfoKey = 'name' THEN
			strRt	:= '溶接トーチ前後';
		ELSIF strInfoKey = 'index_name' THEN</v>
      </c>
      <c r="AD10" t="str">
        <f ca="1"/>
        <v xml:space="preserve">
	//溶接トーチ前後
	ELSIF uiInfoIdx = 8 THEN
		IF strInfoKey = 'name' THEN
			strRt	:= '溶接トーチ前後';
		ELSIF strInfoKey = 'index_name' THEN
			strRt	:= '【axis8】 溶接トーチ前後';</v>
      </c>
      <c r="AE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</v>
      </c>
      <c r="AF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</v>
      </c>
      <c r="AG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</v>
      </c>
      <c r="AH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</v>
      </c>
      <c r="AI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溶接トーチ上下</v>
      </c>
      <c r="J11" t="str">
        <f ca="1"/>
        <v>溶接トーチ上下</v>
      </c>
      <c r="L11" t="str">
        <f ca="1"/>
        <v>【axis9】 溶接トーチ上下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//溶接トーチ上下
	ELSIF uiInfoIdx = 9 THEN</v>
      </c>
      <c r="AA11" t="str">
        <f ca="1"/>
        <v xml:space="preserve">
	//溶接トーチ上下
	ELSIF uiInfoIdx = 9 THEN
		IF strInfoKey = 'name' THEN</v>
      </c>
      <c r="AB11" t="str">
        <f ca="1"/>
        <v xml:space="preserve">
	//溶接トーチ上下
	ELSIF uiInfoIdx = 9 THEN
		IF strInfoKey = 'name' THEN
			strRt	:= '溶接トーチ上下';</v>
      </c>
      <c r="AC11" t="str">
        <f ca="1"/>
        <v xml:space="preserve">
	//溶接トーチ上下
	ELSIF uiInfoIdx = 9 THEN
		IF strInfoKey = 'name' THEN
			strRt	:= '溶接トーチ上下';
		ELSIF strInfoKey = 'index_name' THEN</v>
      </c>
      <c r="AD11" t="str">
        <f ca="1"/>
        <v xml:space="preserve">
	//溶接トーチ上下
	ELSIF uiInfoIdx = 9 THEN
		IF strInfoKey = 'name' THEN
			strRt	:= '溶接トーチ上下';
		ELSIF strInfoKey = 'index_name' THEN
			strRt	:= '【axis9】 溶接トーチ上下';</v>
      </c>
      <c r="AE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</v>
      </c>
      <c r="AF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</v>
      </c>
      <c r="AG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</v>
      </c>
      <c r="AH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</v>
      </c>
      <c r="AI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バインダー供給ポンプモータ</v>
      </c>
      <c r="J12" t="str">
        <f ca="1"/>
        <v>バインダー供給ポンプモータ</v>
      </c>
      <c r="L12" t="str">
        <f ca="1"/>
        <v>【axis10】 バインダー供給ポンプモータ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//バインダー供給ポンプモータ
	ELSIF uiInfoIdx = 10 THEN</v>
      </c>
      <c r="AA12" t="str">
        <f ca="1"/>
        <v xml:space="preserve">
	//バインダー供給ポンプモータ
	ELSIF uiInfoIdx = 10 THEN
		IF strInfoKey = 'name' THEN</v>
      </c>
      <c r="AB12" t="str">
        <f ca="1"/>
        <v xml:space="preserve">
	//バインダー供給ポンプモータ
	ELSIF uiInfoIdx = 10 THEN
		IF strInfoKey = 'name' THEN
			strRt	:= 'バインダー供給ポンプモータ';</v>
      </c>
      <c r="AC12" t="str">
        <f ca="1"/>
        <v xml:space="preserve">
	//バインダー供給ポンプモータ
	ELSIF uiInfoIdx = 10 THEN
		IF strInfoKey = 'name' THEN
			strRt	:= 'バインダー供給ポンプモータ';
		ELSIF strInfoKey = 'index_name' THEN</v>
      </c>
      <c r="AD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</v>
      </c>
      <c r="AE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</v>
      </c>
      <c r="AF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</v>
      </c>
      <c r="AG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</v>
      </c>
      <c r="AH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</v>
      </c>
      <c r="AI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J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  <c r="AK12" t="str">
        <f ca="1"/>
        <v xml:space="preserve">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185</v>
      </c>
      <c r="B13" t="str">
        <f ca="1">$AK$205</f>
        <v>//このスクリプトは C:\tk\prj\hg-0025-0016\git\kv-x520\doc\[kv_script_conv_info.xlsx]info_index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波板リールモータ</v>
      </c>
      <c r="J13" t="str">
        <f ca="1"/>
        <v>波板リールモータ</v>
      </c>
      <c r="L13" t="str">
        <f ca="1"/>
        <v>【axis11】 波板リールモータ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//波板リールモータ
	ELSIF uiInfoIdx = 11 THEN</v>
      </c>
      <c r="AA13" t="str">
        <f ca="1"/>
        <v xml:space="preserve">
	//波板リールモータ
	ELSIF uiInfoIdx = 11 THEN
		IF strInfoKey = 'name' THEN</v>
      </c>
      <c r="AB13" t="str">
        <f ca="1"/>
        <v xml:space="preserve">
	//波板リールモータ
	ELSIF uiInfoIdx = 11 THEN
		IF strInfoKey = 'name' THEN
			strRt	:= '波板リールモータ';</v>
      </c>
      <c r="AC13" t="str">
        <f ca="1"/>
        <v xml:space="preserve">
	//波板リールモータ
	ELSIF uiInfoIdx = 11 THEN
		IF strInfoKey = 'name' THEN
			strRt	:= '波板リールモータ';
		ELSIF strInfoKey = 'index_name' THEN</v>
      </c>
      <c r="AD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</v>
      </c>
      <c r="AE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</v>
      </c>
      <c r="AF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</v>
      </c>
      <c r="AG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</v>
      </c>
      <c r="AH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</v>
      </c>
      <c r="AI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J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  <c r="AK13" t="str">
        <f ca="1"/>
        <v xml:space="preserve">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231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平板リールモータ</v>
      </c>
      <c r="J14" t="str">
        <f ca="1"/>
        <v>平板リールモータ</v>
      </c>
      <c r="L14" t="str">
        <f ca="1"/>
        <v>【axis12】 平板リールモータ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//平板リールモータ
	ELSIF uiInfoIdx = 12 THEN</v>
      </c>
      <c r="AA14" t="str">
        <f ca="1"/>
        <v xml:space="preserve">
	//平板リールモータ
	ELSIF uiInfoIdx = 12 THEN
		IF strInfoKey = 'name' THEN</v>
      </c>
      <c r="AB14" t="str">
        <f ca="1"/>
        <v xml:space="preserve">
	//平板リールモータ
	ELSIF uiInfoIdx = 12 THEN
		IF strInfoKey = 'name' THEN
			strRt	:= '平板リールモータ';</v>
      </c>
      <c r="AC14" t="str">
        <f ca="1"/>
        <v xml:space="preserve">
	//平板リールモータ
	ELSIF uiInfoIdx = 12 THEN
		IF strInfoKey = 'name' THEN
			strRt	:= '平板リールモータ';
		ELSIF strInfoKey = 'index_name' THEN</v>
      </c>
      <c r="AD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</v>
      </c>
      <c r="AE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</v>
      </c>
      <c r="AF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</v>
      </c>
      <c r="AG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</v>
      </c>
      <c r="AH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</v>
      </c>
      <c r="AI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J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  <c r="AK14" t="str">
        <f ca="1"/>
        <v xml:space="preserve">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巻取り主軸</v>
      </c>
      <c r="J15" t="str">
        <f ca="1"/>
        <v>巻取り主軸</v>
      </c>
      <c r="L15" t="str">
        <f ca="1"/>
        <v>【axis13】 巻取り主軸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//巻取り主軸
	ELSIF uiInfoIdx = 13 THEN</v>
      </c>
      <c r="AA15" t="str">
        <f ca="1"/>
        <v xml:space="preserve">
	//巻取り主軸
	ELSIF uiInfoIdx = 13 THEN
		IF strInfoKey = 'name' THEN</v>
      </c>
      <c r="AB15" t="str">
        <f ca="1"/>
        <v xml:space="preserve">
	//巻取り主軸
	ELSIF uiInfoIdx = 13 THEN
		IF strInfoKey = 'name' THEN
			strRt	:= '巻取り主軸';</v>
      </c>
      <c r="AC15" t="str">
        <f ca="1"/>
        <v xml:space="preserve">
	//巻取り主軸
	ELSIF uiInfoIdx = 13 THEN
		IF strInfoKey = 'name' THEN
			strRt	:= '巻取り主軸';
		ELSIF strInfoKey = 'index_name' THEN</v>
      </c>
      <c r="AD15" t="str">
        <f ca="1"/>
        <v xml:space="preserve">
	//巻取り主軸
	ELSIF uiInfoIdx = 13 THEN
		IF strInfoKey = 'name' THEN
			strRt	:= '巻取り主軸';
		ELSIF strInfoKey = 'index_name' THEN
			strRt	:= '【axis13】 巻取り主軸';</v>
      </c>
      <c r="AE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</v>
      </c>
      <c r="AF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</v>
      </c>
      <c r="AG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</v>
      </c>
      <c r="AH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</v>
      </c>
      <c r="AI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J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  <c r="AK15" t="str">
        <f ca="1"/>
        <v xml:space="preserve">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ワーク幅調整軸</v>
      </c>
      <c r="J16" t="str">
        <f ca="1"/>
        <v>ワーク幅調整軸</v>
      </c>
      <c r="L16" t="str">
        <f ca="1"/>
        <v>【axis14】 ワーク幅調整軸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//ワーク幅調整軸
	ELSIF uiInfoIdx = 14 THEN</v>
      </c>
      <c r="AA16" t="str">
        <f ca="1"/>
        <v xml:space="preserve">
	//ワーク幅調整軸
	ELSIF uiInfoIdx = 14 THEN
		IF strInfoKey = 'name' THEN</v>
      </c>
      <c r="AB16" t="str">
        <f ca="1"/>
        <v xml:space="preserve">
	//ワーク幅調整軸
	ELSIF uiInfoIdx = 14 THEN
		IF strInfoKey = 'name' THEN
			strRt	:= 'ワーク幅調整軸';</v>
      </c>
      <c r="AC16" t="str">
        <f ca="1"/>
        <v xml:space="preserve">
	//ワーク幅調整軸
	ELSIF uiInfoIdx = 14 THEN
		IF strInfoKey = 'name' THEN
			strRt	:= 'ワーク幅調整軸';
		ELSIF strInfoKey = 'index_name' THEN</v>
      </c>
      <c r="AD16" t="str">
        <f ca="1"/>
        <v xml:space="preserve">
	//ワーク幅調整軸
	ELSIF uiInfoIdx = 14 THEN
		IF strInfoKey = 'name' THEN
			strRt	:= 'ワーク幅調整軸';
		ELSIF strInfoKey = 'index_name' THEN
			strRt	:= '【axis14】 ワーク幅調整軸';</v>
      </c>
      <c r="AE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</v>
      </c>
      <c r="AF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</v>
      </c>
      <c r="AG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</v>
      </c>
      <c r="AH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</v>
      </c>
      <c r="AI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J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  <c r="AK16" t="str">
        <f ca="1"/>
        <v xml:space="preserve">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Tロール回転軸</v>
      </c>
      <c r="J17" t="str">
        <f ca="1"/>
        <v>Tロール回転軸</v>
      </c>
      <c r="L17" t="str">
        <f ca="1"/>
        <v>【axis15】 Tロール回転軸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//Tロール回転軸
	ELSIF uiInfoIdx = 15 THEN</v>
      </c>
      <c r="AA17" t="str">
        <f ca="1"/>
        <v xml:space="preserve">
	//Tロール回転軸
	ELSIF uiInfoIdx = 15 THEN
		IF strInfoKey = 'name' THEN</v>
      </c>
      <c r="AB17" t="str">
        <f ca="1"/>
        <v xml:space="preserve">
	//Tロール回転軸
	ELSIF uiInfoIdx = 15 THEN
		IF strInfoKey = 'name' THEN
			strRt	:= 'Tロール回転軸';</v>
      </c>
      <c r="AC17" t="str">
        <f ca="1"/>
        <v xml:space="preserve">
	//Tロール回転軸
	ELSIF uiInfoIdx = 15 THEN
		IF strInfoKey = 'name' THEN
			strRt	:= 'Tロール回転軸';
		ELSIF strInfoKey = 'index_name' THEN</v>
      </c>
      <c r="AD17" t="str">
        <f ca="1"/>
        <v xml:space="preserve">
	//Tロール回転軸
	ELSIF uiInfoIdx = 15 THEN
		IF strInfoKey = 'name' THEN
			strRt	:= 'Tロール回転軸';
		ELSIF strInfoKey = 'index_name' THEN
			strRt	:= '【axis15】 Tロール回転軸';</v>
      </c>
      <c r="AE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</v>
      </c>
      <c r="AF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</v>
      </c>
      <c r="AG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</v>
      </c>
      <c r="AH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</v>
      </c>
      <c r="AI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J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  <c r="AK17" t="str">
        <f ca="1"/>
        <v xml:space="preserve">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ロータユニットXロール回転軸</v>
      </c>
      <c r="J18" t="str">
        <f ca="1"/>
        <v>ロータユニットXロール回転軸</v>
      </c>
      <c r="L18" t="str">
        <f ca="1"/>
        <v>【axis16】 ロータユニットXロール回転軸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//ロータユニットXロール回転軸
	ELSIF uiInfoIdx = 16 THEN</v>
      </c>
      <c r="AA18" t="str">
        <f ca="1"/>
        <v xml:space="preserve">
	//ロータユニットXロール回転軸
	ELSIF uiInfoIdx = 16 THEN
		IF strInfoKey = 'name' THEN</v>
      </c>
      <c r="AB18" t="str">
        <f ca="1"/>
        <v xml:space="preserve">
	//ロータユニットXロール回転軸
	ELSIF uiInfoIdx = 16 THEN
		IF strInfoKey = 'name' THEN
			strRt	:= 'ロータユニットXロール回転軸';</v>
      </c>
      <c r="AC18" t="str">
        <f ca="1"/>
        <v xml:space="preserve">
	//ロータユニットXロール回転軸
	ELSIF uiInfoIdx = 16 THEN
		IF strInfoKey = 'name' THEN
			strRt	:= 'ロータユニットXロール回転軸';
		ELSIF strInfoKey = 'index_name' THEN</v>
      </c>
      <c r="AD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</v>
      </c>
      <c r="AE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</v>
      </c>
      <c r="AF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</v>
      </c>
      <c r="AG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</v>
      </c>
      <c r="AH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</v>
      </c>
      <c r="AI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J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  <c r="AK18" t="str">
        <f ca="1"/>
        <v xml:space="preserve">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>
        <v>17</v>
      </c>
      <c r="I19" t="str">
        <f ca="1"/>
        <v>波板補助軸</v>
      </c>
      <c r="J19" t="str">
        <f ca="1"/>
        <v>波板補助軸</v>
      </c>
      <c r="L19" t="str">
        <f ca="1"/>
        <v>【axis17】 波板補助軸</v>
      </c>
      <c r="M19" t="str">
        <v>AZM15AK</v>
      </c>
      <c r="N19" t="str">
        <v>AZM15AK</v>
      </c>
      <c r="O19" t="str">
        <f ca="1"/>
        <v>OrientalMotor</v>
      </c>
      <c r="P19" t="str">
        <f ca="1"/>
        <v>OrientalMotor</v>
      </c>
      <c r="X19" t="str">
        <f ca="1"/>
        <v xml:space="preserve">
</v>
      </c>
      <c r="Y19" t="str">
        <f ca="1"/>
        <v xml:space="preserve">
</v>
      </c>
      <c r="Z19" t="str">
        <f ca="1"/>
        <v xml:space="preserve">
	//波板補助軸
	ELSIF uiInfoIdx = 17 THEN</v>
      </c>
      <c r="AA19" t="str">
        <f ca="1"/>
        <v xml:space="preserve">
	//波板補助軸
	ELSIF uiInfoIdx = 17 THEN
		IF strInfoKey = 'name' THEN</v>
      </c>
      <c r="AB19" t="str">
        <f ca="1"/>
        <v xml:space="preserve">
	//波板補助軸
	ELSIF uiInfoIdx = 17 THEN
		IF strInfoKey = 'name' THEN
			strRt	:= '波板補助軸';</v>
      </c>
      <c r="AC19" t="str">
        <f ca="1"/>
        <v xml:space="preserve">
	//波板補助軸
	ELSIF uiInfoIdx = 17 THEN
		IF strInfoKey = 'name' THEN
			strRt	:= '波板補助軸';
		ELSIF strInfoKey = 'index_name' THEN</v>
      </c>
      <c r="AD19" t="str">
        <f ca="1"/>
        <v xml:space="preserve">
	//波板補助軸
	ELSIF uiInfoIdx = 17 THEN
		IF strInfoKey = 'name' THEN
			strRt	:= '波板補助軸';
		ELSIF strInfoKey = 'index_name' THEN
			strRt	:= '【axis17】 波板補助軸';</v>
      </c>
      <c r="AE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</v>
      </c>
      <c r="AF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</v>
      </c>
      <c r="AG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</v>
      </c>
      <c r="AH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</v>
      </c>
      <c r="AI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J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  <c r="AK19" t="str">
        <f ca="1"/>
        <v xml:space="preserve">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</v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199</v>
      </c>
      <c r="B23">
        <v>0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191</v>
      </c>
      <c r="B25" t="s">
        <v>232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187</v>
      </c>
      <c r="B26" t="s">
        <v>233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188</v>
      </c>
      <c r="B27" t="s">
        <v>234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186</v>
      </c>
      <c r="B28" t="s">
        <v>240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212</v>
      </c>
      <c r="B29" t="s">
        <v>241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41</v>
      </c>
      <c r="I43" t="str">
        <f ca="1"/>
        <v>ワーク排出前後軸</v>
      </c>
      <c r="J43" t="str">
        <f ca="1"/>
        <v>ワーク排出前後軸</v>
      </c>
      <c r="L43" t="str">
        <f ca="1"/>
        <v>【EC1】 ワーク排出前後軸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//ワーク排出前後軸
	IF uiInfoIdx = 1 THEN</v>
      </c>
      <c r="AA43" t="str">
        <f ca="1"/>
        <v xml:space="preserve">
//EC
ELSIF strInfoType = 'EC' THEN
	//ワーク排出前後軸
	IF uiInfoIdx = 1 THEN
		IF strInfoKey = 'name' THEN</v>
      </c>
      <c r="AB43" t="str">
        <f ca="1"/>
        <v xml:space="preserve">
//EC
ELSIF strInfoType = 'EC' THEN
	//ワーク排出前後軸
	IF uiInfoIdx = 1 THEN
		IF strInfoKey = 'name' THEN
			strRt	:= 'ワーク排出前後軸';</v>
      </c>
      <c r="AC43" t="str">
        <f ca="1"/>
        <v xml:space="preserve">
//EC
ELSIF strInfoType = 'EC' THEN
	//ワーク排出前後軸
	IF uiInfoIdx = 1 THEN
		IF strInfoKey = 'name' THEN
			strRt	:= 'ワーク排出前後軸';
		ELSIF strInfoKey = 'index_name' THEN</v>
      </c>
      <c r="AD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</v>
      </c>
      <c r="AE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</v>
      </c>
      <c r="AF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</v>
      </c>
      <c r="AG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</v>
      </c>
      <c r="AH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</v>
      </c>
      <c r="AI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18</v>
      </c>
      <c r="I63" t="str">
        <f ca="1"/>
        <v>巻取り軸芯前後</v>
      </c>
      <c r="J63" t="str">
        <f ca="1"/>
        <v>巻取り軸芯前後</v>
      </c>
      <c r="L63" t="str">
        <f ca="1"/>
        <v>【cylinder1】 巻取り軸芯前後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//巻取り軸芯前後
	IF uiInfoIdx = 1 THEN</v>
      </c>
      <c r="AA63" t="str">
        <f ca="1"/>
        <v xml:space="preserve">
//cylinder
ELSIF strInfoType = 'cylinder' THEN
	//巻取り軸芯前後
	IF uiInfoIdx = 1 THEN
		IF strInfoKey = 'name' THEN</v>
      </c>
      <c r="AB63" t="str">
        <f ca="1"/>
        <v xml:space="preserve">
//cylinder
ELSIF strInfoType = 'cylinder' THEN
	//巻取り軸芯前後
	IF uiInfoIdx = 1 THEN
		IF strInfoKey = 'name' THEN
			strRt	:= '巻取り軸芯前後';</v>
      </c>
      <c r="AC63" t="str">
        <f ca="1"/>
        <v xml:space="preserve">
//cylinder
ELSIF strInfoType = 'cylinder' THEN
	//巻取り軸芯前後
	IF uiInfoIdx = 1 THEN
		IF strInfoKey = 'name' THEN
			strRt	:= '巻取り軸芯前後';
		ELSIF strInfoKey = 'index_name' THEN</v>
      </c>
      <c r="AD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</v>
      </c>
      <c r="AE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</v>
      </c>
      <c r="AF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</v>
      </c>
      <c r="AG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</v>
      </c>
      <c r="AH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</v>
      </c>
      <c r="AI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19</v>
      </c>
      <c r="I64" t="str">
        <f ca="1"/>
        <v>Tロール糊付け①下ロール</v>
      </c>
      <c r="J64" t="str">
        <f ca="1"/>
        <v>Tロール糊付け①下ロール</v>
      </c>
      <c r="L64" t="str">
        <f ca="1"/>
        <v>【cylinder2】 Tロール糊付け①下ロール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//Tロール糊付け①下ロール
	ELSIF uiInfoIdx = 2 THEN</v>
      </c>
      <c r="AA64" t="str">
        <f ca="1"/>
        <v xml:space="preserve">
	//Tロール糊付け①下ロール
	ELSIF uiInfoIdx = 2 THEN
		IF strInfoKey = 'name' THEN</v>
      </c>
      <c r="AB64" t="str">
        <f ca="1"/>
        <v xml:space="preserve">
	//Tロール糊付け①下ロール
	ELSIF uiInfoIdx = 2 THEN
		IF strInfoKey = 'name' THEN
			strRt	:= 'Tロール糊付け①下ロール';</v>
      </c>
      <c r="AC64" t="str">
        <f ca="1"/>
        <v xml:space="preserve">
	//Tロール糊付け①下ロール
	ELSIF uiInfoIdx = 2 THEN
		IF strInfoKey = 'name' THEN
			strRt	:= 'Tロール糊付け①下ロール';
		ELSIF strInfoKey = 'index_name' THEN</v>
      </c>
      <c r="AD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</v>
      </c>
      <c r="AE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</v>
      </c>
      <c r="AF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</v>
      </c>
      <c r="AG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</v>
      </c>
      <c r="AH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</v>
      </c>
      <c r="AI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J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  <c r="AK64" t="str">
        <f ca="1"/>
        <v xml:space="preserve">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20</v>
      </c>
      <c r="I65" t="str">
        <f ca="1"/>
        <v>Tロール糊付け②上ロール</v>
      </c>
      <c r="J65" t="str">
        <f ca="1"/>
        <v>Tロール糊付け②上ロール</v>
      </c>
      <c r="L65" t="str">
        <f ca="1"/>
        <v>【cylinder3】 Tロール糊付け②上ロール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//Tロール糊付け②上ロール
	ELSIF uiInfoIdx = 3 THEN</v>
      </c>
      <c r="AA65" t="str">
        <f ca="1"/>
        <v xml:space="preserve">
	//Tロール糊付け②上ロール
	ELSIF uiInfoIdx = 3 THEN
		IF strInfoKey = 'name' THEN</v>
      </c>
      <c r="AB65" t="str">
        <f ca="1"/>
        <v xml:space="preserve">
	//Tロール糊付け②上ロール
	ELSIF uiInfoIdx = 3 THEN
		IF strInfoKey = 'name' THEN
			strRt	:= 'Tロール糊付け②上ロール';</v>
      </c>
      <c r="AC65" t="str">
        <f ca="1"/>
        <v xml:space="preserve">
	//Tロール糊付け②上ロール
	ELSIF uiInfoIdx = 3 THEN
		IF strInfoKey = 'name' THEN
			strRt	:= 'Tロール糊付け②上ロール';
		ELSIF strInfoKey = 'index_name' THEN</v>
      </c>
      <c r="AD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</v>
      </c>
      <c r="AE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</v>
      </c>
      <c r="AF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</v>
      </c>
      <c r="AG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</v>
      </c>
      <c r="AH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</v>
      </c>
      <c r="AI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J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  <c r="AK65" t="str">
        <f ca="1"/>
        <v xml:space="preserve">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21</v>
      </c>
      <c r="I66" t="str">
        <f ca="1"/>
        <v>平板補助プレート</v>
      </c>
      <c r="J66" t="str">
        <f ca="1"/>
        <v>平板補助プレート</v>
      </c>
      <c r="L66" t="str">
        <f ca="1"/>
        <v>【cylinder4】 平板補助プレート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//平板補助プレート
	ELSIF uiInfoIdx = 4 THEN</v>
      </c>
      <c r="AA66" t="str">
        <f ca="1"/>
        <v xml:space="preserve">
	//平板補助プレート
	ELSIF uiInfoIdx = 4 THEN
		IF strInfoKey = 'name' THEN</v>
      </c>
      <c r="AB66" t="str">
        <f ca="1"/>
        <v xml:space="preserve">
	//平板補助プレート
	ELSIF uiInfoIdx = 4 THEN
		IF strInfoKey = 'name' THEN
			strRt	:= '平板補助プレート';</v>
      </c>
      <c r="AC66" t="str">
        <f ca="1"/>
        <v xml:space="preserve">
	//平板補助プレート
	ELSIF uiInfoIdx = 4 THEN
		IF strInfoKey = 'name' THEN
			strRt	:= '平板補助プレート';
		ELSIF strInfoKey = 'index_name' THEN</v>
      </c>
      <c r="AD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</v>
      </c>
      <c r="AE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</v>
      </c>
      <c r="AF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</v>
      </c>
      <c r="AG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</v>
      </c>
      <c r="AH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</v>
      </c>
      <c r="AI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J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  <c r="AK66" t="str">
        <f ca="1"/>
        <v xml:space="preserve">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22</v>
      </c>
      <c r="I67" t="str">
        <f ca="1"/>
        <v>平板チャック(ハンド)前後</v>
      </c>
      <c r="J67" t="str">
        <f ca="1"/>
        <v>平板チャック(ハンド)前後</v>
      </c>
      <c r="L67" t="str">
        <f ca="1"/>
        <v>【cylinder5】 平板チャック(ハンド)前後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//平板チャック(ハンド)前後
	ELSIF uiInfoIdx = 5 THEN</v>
      </c>
      <c r="AA67" t="str">
        <f ca="1"/>
        <v xml:space="preserve">
	//平板チャック(ハンド)前後
	ELSIF uiInfoIdx = 5 THEN
		IF strInfoKey = 'name' THEN</v>
      </c>
      <c r="AB67" t="str">
        <f ca="1"/>
        <v xml:space="preserve">
	//平板チャック(ハンド)前後
	ELSIF uiInfoIdx = 5 THEN
		IF strInfoKey = 'name' THEN
			strRt	:= '平板チャック(ハンド)前後';</v>
      </c>
      <c r="AC67" t="str">
        <f ca="1"/>
        <v xml:space="preserve">
	//平板チャック(ハンド)前後
	ELSIF uiInfoIdx = 5 THEN
		IF strInfoKey = 'name' THEN
			strRt	:= '平板チャック(ハンド)前後';
		ELSIF strInfoKey = 'index_name' THEN</v>
      </c>
      <c r="AD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</v>
      </c>
      <c r="AE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</v>
      </c>
      <c r="AF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</v>
      </c>
      <c r="AG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</v>
      </c>
      <c r="AH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</v>
      </c>
      <c r="AI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J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  <c r="AK67" t="str">
        <f ca="1"/>
        <v xml:space="preserve">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23</v>
      </c>
      <c r="I68" t="str">
        <f ca="1"/>
        <v>平板チャック開閉</v>
      </c>
      <c r="J68" t="str">
        <f ca="1"/>
        <v>平板チャック開閉</v>
      </c>
      <c r="L68" t="str">
        <f ca="1"/>
        <v>【cylinder6】 平板チャック開閉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//平板チャック開閉
	ELSIF uiInfoIdx = 6 THEN</v>
      </c>
      <c r="AA68" t="str">
        <f ca="1"/>
        <v xml:space="preserve">
	//平板チャック開閉
	ELSIF uiInfoIdx = 6 THEN
		IF strInfoKey = 'name' THEN</v>
      </c>
      <c r="AB68" t="str">
        <f ca="1"/>
        <v xml:space="preserve">
	//平板チャック開閉
	ELSIF uiInfoIdx = 6 THEN
		IF strInfoKey = 'name' THEN
			strRt	:= '平板チャック開閉';</v>
      </c>
      <c r="AC68" t="str">
        <f ca="1"/>
        <v xml:space="preserve">
	//平板チャック開閉
	ELSIF uiInfoIdx = 6 THEN
		IF strInfoKey = 'name' THEN
			strRt	:= '平板チャック開閉';
		ELSIF strInfoKey = 'index_name' THEN</v>
      </c>
      <c r="AD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</v>
      </c>
      <c r="AE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</v>
      </c>
      <c r="AF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</v>
      </c>
      <c r="AG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</v>
      </c>
      <c r="AH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</v>
      </c>
      <c r="AI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J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  <c r="AK68" t="str">
        <f ca="1"/>
        <v xml:space="preserve">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24</v>
      </c>
      <c r="I69" t="str">
        <f ca="1"/>
        <v>平板押え上下①</v>
      </c>
      <c r="J69" t="str">
        <f ca="1"/>
        <v>平板押え上下①</v>
      </c>
      <c r="L69" t="str">
        <f ca="1"/>
        <v>【cylinder7】 平板押え上下①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//平板押え上下①
	ELSIF uiInfoIdx = 7 THEN</v>
      </c>
      <c r="AA69" t="str">
        <f ca="1"/>
        <v xml:space="preserve">
	//平板押え上下①
	ELSIF uiInfoIdx = 7 THEN
		IF strInfoKey = 'name' THEN</v>
      </c>
      <c r="AB69" t="str">
        <f ca="1"/>
        <v xml:space="preserve">
	//平板押え上下①
	ELSIF uiInfoIdx = 7 THEN
		IF strInfoKey = 'name' THEN
			strRt	:= '平板押え上下①';</v>
      </c>
      <c r="AC69" t="str">
        <f ca="1"/>
        <v xml:space="preserve">
	//平板押え上下①
	ELSIF uiInfoIdx = 7 THEN
		IF strInfoKey = 'name' THEN
			strRt	:= '平板押え上下①';
		ELSIF strInfoKey = 'index_name' THEN</v>
      </c>
      <c r="AD69" t="str">
        <f ca="1"/>
        <v xml:space="preserve">
	//平板押え上下①
	ELSIF uiInfoIdx = 7 THEN
		IF strInfoKey = 'name' THEN
			strRt	:= '平板押え上下①';
		ELSIF strInfoKey = 'index_name' THEN
			strRt	:= '【cylinder7】 平板押え上下①';</v>
      </c>
      <c r="AE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</v>
      </c>
      <c r="AF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</v>
      </c>
      <c r="AG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</v>
      </c>
      <c r="AH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</v>
      </c>
      <c r="AI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J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  <c r="AK69" t="str">
        <f ca="1"/>
        <v xml:space="preserve">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25</v>
      </c>
      <c r="I70" t="str">
        <f ca="1"/>
        <v>箔ロウ押え上下</v>
      </c>
      <c r="J70" t="str">
        <f ca="1"/>
        <v>箔ロウ押え上下</v>
      </c>
      <c r="L70" t="str">
        <f ca="1"/>
        <v>【cylinder8】 箔ロウ押え上下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//箔ロウ押え上下
	ELSIF uiInfoIdx = 8 THEN</v>
      </c>
      <c r="AA70" t="str">
        <f ca="1"/>
        <v xml:space="preserve">
	//箔ロウ押え上下
	ELSIF uiInfoIdx = 8 THEN
		IF strInfoKey = 'name' THEN</v>
      </c>
      <c r="AB70" t="str">
        <f ca="1"/>
        <v xml:space="preserve">
	//箔ロウ押え上下
	ELSIF uiInfoIdx = 8 THEN
		IF strInfoKey = 'name' THEN
			strRt	:= '箔ロウ押え上下';</v>
      </c>
      <c r="AC70" t="str">
        <f ca="1"/>
        <v xml:space="preserve">
	//箔ロウ押え上下
	ELSIF uiInfoIdx = 8 THEN
		IF strInfoKey = 'name' THEN
			strRt	:= '箔ロウ押え上下';
		ELSIF strInfoKey = 'index_name' THEN</v>
      </c>
      <c r="AD70" t="str">
        <f ca="1"/>
        <v xml:space="preserve">
	//箔ロウ押え上下
	ELSIF uiInfoIdx = 8 THEN
		IF strInfoKey = 'name' THEN
			strRt	:= '箔ロウ押え上下';
		ELSIF strInfoKey = 'index_name' THEN
			strRt	:= '【cylinder8】 箔ロウ押え上下';</v>
      </c>
      <c r="AE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</v>
      </c>
      <c r="AF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</v>
      </c>
      <c r="AG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</v>
      </c>
      <c r="AH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</v>
      </c>
      <c r="AI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J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  <c r="AK70" t="str">
        <f ca="1"/>
        <v xml:space="preserve">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26</v>
      </c>
      <c r="I71" t="str">
        <f ca="1"/>
        <v>箔ロウカット</v>
      </c>
      <c r="J71" t="str">
        <f ca="1"/>
        <v>箔ロウカット</v>
      </c>
      <c r="L71" t="str">
        <f ca="1"/>
        <v>【cylinder9】 箔ロウカット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//箔ロウカット
	ELSIF uiInfoIdx = 9 THEN</v>
      </c>
      <c r="AA71" t="str">
        <f ca="1"/>
        <v xml:space="preserve">
	//箔ロウカット
	ELSIF uiInfoIdx = 9 THEN
		IF strInfoKey = 'name' THEN</v>
      </c>
      <c r="AB71" t="str">
        <f ca="1"/>
        <v xml:space="preserve">
	//箔ロウカット
	ELSIF uiInfoIdx = 9 THEN
		IF strInfoKey = 'name' THEN
			strRt	:= '箔ロウカット';</v>
      </c>
      <c r="AC71" t="str">
        <f ca="1"/>
        <v xml:space="preserve">
	//箔ロウカット
	ELSIF uiInfoIdx = 9 THEN
		IF strInfoKey = 'name' THEN
			strRt	:= '箔ロウカット';
		ELSIF strInfoKey = 'index_name' THEN</v>
      </c>
      <c r="AD71" t="str">
        <f ca="1"/>
        <v xml:space="preserve">
	//箔ロウカット
	ELSIF uiInfoIdx = 9 THEN
		IF strInfoKey = 'name' THEN
			strRt	:= '箔ロウカット';
		ELSIF strInfoKey = 'index_name' THEN
			strRt	:= '【cylinder9】 箔ロウカット';</v>
      </c>
      <c r="AE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</v>
      </c>
      <c r="AF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</v>
      </c>
      <c r="AG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</v>
      </c>
      <c r="AH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</v>
      </c>
      <c r="AI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J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  <c r="AK71" t="str">
        <f ca="1"/>
        <v xml:space="preserve">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27</v>
      </c>
      <c r="I72" t="str">
        <f ca="1"/>
        <v>波板押え</v>
      </c>
      <c r="J72" t="str">
        <f ca="1"/>
        <v>波板押え</v>
      </c>
      <c r="L72" t="str">
        <f ca="1"/>
        <v>【cylinder10】 波板押え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//波板押え
	ELSIF uiInfoIdx = 10 THEN</v>
      </c>
      <c r="AA72" t="str">
        <f ca="1"/>
        <v xml:space="preserve">
	//波板押え
	ELSIF uiInfoIdx = 10 THEN
		IF strInfoKey = 'name' THEN</v>
      </c>
      <c r="AB72" t="str">
        <f ca="1"/>
        <v xml:space="preserve">
	//波板押え
	ELSIF uiInfoIdx = 10 THEN
		IF strInfoKey = 'name' THEN
			strRt	:= '波板押え';</v>
      </c>
      <c r="AC72" t="str">
        <f ca="1"/>
        <v xml:space="preserve">
	//波板押え
	ELSIF uiInfoIdx = 10 THEN
		IF strInfoKey = 'name' THEN
			strRt	:= '波板押え';
		ELSIF strInfoKey = 'index_name' THEN</v>
      </c>
      <c r="AD72" t="str">
        <f ca="1"/>
        <v xml:space="preserve">
	//波板押え
	ELSIF uiInfoIdx = 10 THEN
		IF strInfoKey = 'name' THEN
			strRt	:= '波板押え';
		ELSIF strInfoKey = 'index_name' THEN
			strRt	:= '【cylinder10】 波板押え';</v>
      </c>
      <c r="AE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</v>
      </c>
      <c r="AF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</v>
      </c>
      <c r="AG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</v>
      </c>
      <c r="AH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</v>
      </c>
      <c r="AI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J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  <c r="AK72" t="str">
        <f ca="1"/>
        <v xml:space="preserve">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28</v>
      </c>
      <c r="I73" t="str">
        <f ca="1"/>
        <v>平板カット刃押出し</v>
      </c>
      <c r="J73" t="str">
        <f ca="1"/>
        <v>平板カット刃押出し</v>
      </c>
      <c r="L73" t="str">
        <f ca="1"/>
        <v>【cylinder11】 平板カット刃押出し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//平板カット刃押出し
	ELSIF uiInfoIdx = 11 THEN</v>
      </c>
      <c r="AA73" t="str">
        <f ca="1"/>
        <v xml:space="preserve">
	//平板カット刃押出し
	ELSIF uiInfoIdx = 11 THEN
		IF strInfoKey = 'name' THEN</v>
      </c>
      <c r="AB73" t="str">
        <f ca="1"/>
        <v xml:space="preserve">
	//平板カット刃押出し
	ELSIF uiInfoIdx = 11 THEN
		IF strInfoKey = 'name' THEN
			strRt	:= '平板カット刃押出し';</v>
      </c>
      <c r="AC73" t="str">
        <f ca="1"/>
        <v xml:space="preserve">
	//平板カット刃押出し
	ELSIF uiInfoIdx = 11 THEN
		IF strInfoKey = 'name' THEN
			strRt	:= '平板カット刃押出し';
		ELSIF strInfoKey = 'index_name' THEN</v>
      </c>
      <c r="AD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</v>
      </c>
      <c r="AE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</v>
      </c>
      <c r="AF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</v>
      </c>
      <c r="AG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</v>
      </c>
      <c r="AH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</v>
      </c>
      <c r="AI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J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  <c r="AK73" t="str">
        <f ca="1"/>
        <v xml:space="preserve">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29</v>
      </c>
      <c r="I74" t="str">
        <f ca="1"/>
        <v>平板カット刃開閉</v>
      </c>
      <c r="J74" t="str">
        <f ca="1"/>
        <v>平板カット刃開閉</v>
      </c>
      <c r="L74" t="str">
        <f ca="1"/>
        <v>【cylinder12】 平板カット刃開閉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//平板カット刃開閉
	ELSIF uiInfoIdx = 12 THEN</v>
      </c>
      <c r="AA74" t="str">
        <f ca="1"/>
        <v xml:space="preserve">
	//平板カット刃開閉
	ELSIF uiInfoIdx = 12 THEN
		IF strInfoKey = 'name' THEN</v>
      </c>
      <c r="AB74" t="str">
        <f ca="1"/>
        <v xml:space="preserve">
	//平板カット刃開閉
	ELSIF uiInfoIdx = 12 THEN
		IF strInfoKey = 'name' THEN
			strRt	:= '平板カット刃開閉';</v>
      </c>
      <c r="AC74" t="str">
        <f ca="1"/>
        <v xml:space="preserve">
	//平板カット刃開閉
	ELSIF uiInfoIdx = 12 THEN
		IF strInfoKey = 'name' THEN
			strRt	:= '平板カット刃開閉';
		ELSIF strInfoKey = 'index_name' THEN</v>
      </c>
      <c r="AD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</v>
      </c>
      <c r="AE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</v>
      </c>
      <c r="AF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</v>
      </c>
      <c r="AG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</v>
      </c>
      <c r="AH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</v>
      </c>
      <c r="AI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J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  <c r="AK74" t="str">
        <f ca="1"/>
        <v xml:space="preserve">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30</v>
      </c>
      <c r="I75" t="str">
        <f ca="1"/>
        <v>波板カット刃押出し</v>
      </c>
      <c r="J75" t="str">
        <f ca="1"/>
        <v>波板カット刃押出し</v>
      </c>
      <c r="L75" t="str">
        <f ca="1"/>
        <v>【cylinder13】 波板カット刃押出し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//波板カット刃押出し
	ELSIF uiInfoIdx = 13 THEN</v>
      </c>
      <c r="AA75" t="str">
        <f ca="1"/>
        <v xml:space="preserve">
	//波板カット刃押出し
	ELSIF uiInfoIdx = 13 THEN
		IF strInfoKey = 'name' THEN</v>
      </c>
      <c r="AB75" t="str">
        <f ca="1"/>
        <v xml:space="preserve">
	//波板カット刃押出し
	ELSIF uiInfoIdx = 13 THEN
		IF strInfoKey = 'name' THEN
			strRt	:= '波板カット刃押出し';</v>
      </c>
      <c r="AC75" t="str">
        <f ca="1"/>
        <v xml:space="preserve">
	//波板カット刃押出し
	ELSIF uiInfoIdx = 13 THEN
		IF strInfoKey = 'name' THEN
			strRt	:= '波板カット刃押出し';
		ELSIF strInfoKey = 'index_name' THEN</v>
      </c>
      <c r="AD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</v>
      </c>
      <c r="AE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</v>
      </c>
      <c r="AF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</v>
      </c>
      <c r="AG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</v>
      </c>
      <c r="AH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</v>
      </c>
      <c r="AI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J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  <c r="AK75" t="str">
        <f ca="1"/>
        <v xml:space="preserve">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31</v>
      </c>
      <c r="I76" t="str">
        <f ca="1"/>
        <v>波板カット刃開閉</v>
      </c>
      <c r="J76" t="str">
        <f ca="1"/>
        <v>波板カット刃開閉</v>
      </c>
      <c r="L76" t="str">
        <f ca="1"/>
        <v>【cylinder14】 波板カット刃開閉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//波板カット刃開閉
	ELSIF uiInfoIdx = 14 THEN</v>
      </c>
      <c r="AA76" t="str">
        <f ca="1"/>
        <v xml:space="preserve">
	//波板カット刃開閉
	ELSIF uiInfoIdx = 14 THEN
		IF strInfoKey = 'name' THEN</v>
      </c>
      <c r="AB76" t="str">
        <f ca="1"/>
        <v xml:space="preserve">
	//波板カット刃開閉
	ELSIF uiInfoIdx = 14 THEN
		IF strInfoKey = 'name' THEN
			strRt	:= '波板カット刃開閉';</v>
      </c>
      <c r="AC76" t="str">
        <f ca="1"/>
        <v xml:space="preserve">
	//波板カット刃開閉
	ELSIF uiInfoIdx = 14 THEN
		IF strInfoKey = 'name' THEN
			strRt	:= '波板カット刃開閉';
		ELSIF strInfoKey = 'index_name' THEN</v>
      </c>
      <c r="AD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</v>
      </c>
      <c r="AE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</v>
      </c>
      <c r="AF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</v>
      </c>
      <c r="AG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</v>
      </c>
      <c r="AH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</v>
      </c>
      <c r="AI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J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  <c r="AK76" t="str">
        <f ca="1"/>
        <v xml:space="preserve">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32</v>
      </c>
      <c r="I77" t="str">
        <f ca="1"/>
        <v>波板カット補助</v>
      </c>
      <c r="J77" t="str">
        <f ca="1"/>
        <v>波板カット補助</v>
      </c>
      <c r="L77" t="str">
        <f ca="1"/>
        <v>【cylinder15】 波板カット補助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//波板カット補助
	ELSIF uiInfoIdx = 15 THEN</v>
      </c>
      <c r="AA77" t="str">
        <f ca="1"/>
        <v xml:space="preserve">
	//波板カット補助
	ELSIF uiInfoIdx = 15 THEN
		IF strInfoKey = 'name' THEN</v>
      </c>
      <c r="AB77" t="str">
        <f ca="1"/>
        <v xml:space="preserve">
	//波板カット補助
	ELSIF uiInfoIdx = 15 THEN
		IF strInfoKey = 'name' THEN
			strRt	:= '波板カット補助';</v>
      </c>
      <c r="AC77" t="str">
        <f ca="1"/>
        <v xml:space="preserve">
	//波板カット補助
	ELSIF uiInfoIdx = 15 THEN
		IF strInfoKey = 'name' THEN
			strRt	:= '波板カット補助';
		ELSIF strInfoKey = 'index_name' THEN</v>
      </c>
      <c r="AD77" t="str">
        <f ca="1"/>
        <v xml:space="preserve">
	//波板カット補助
	ELSIF uiInfoIdx = 15 THEN
		IF strInfoKey = 'name' THEN
			strRt	:= '波板カット補助';
		ELSIF strInfoKey = 'index_name' THEN
			strRt	:= '【cylinder15】 波板カット補助';</v>
      </c>
      <c r="AE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</v>
      </c>
      <c r="AF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</v>
      </c>
      <c r="AG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</v>
      </c>
      <c r="AH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</v>
      </c>
      <c r="AI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J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  <c r="AK77" t="str">
        <f ca="1"/>
        <v xml:space="preserve">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33</v>
      </c>
      <c r="I78" t="str">
        <f ca="1"/>
        <v>波板カット補助L</v>
      </c>
      <c r="J78" t="str">
        <f ca="1"/>
        <v>波板カット補助L</v>
      </c>
      <c r="L78" t="str">
        <f ca="1"/>
        <v>【cylinder16】 波板カット補助L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//波板カット補助L
	ELSIF uiInfoIdx = 16 THEN</v>
      </c>
      <c r="AA78" t="str">
        <f ca="1"/>
        <v xml:space="preserve">
	//波板カット補助L
	ELSIF uiInfoIdx = 16 THEN
		IF strInfoKey = 'name' THEN</v>
      </c>
      <c r="AB78" t="str">
        <f ca="1"/>
        <v xml:space="preserve">
	//波板カット補助L
	ELSIF uiInfoIdx = 16 THEN
		IF strInfoKey = 'name' THEN
			strRt	:= '波板カット補助L';</v>
      </c>
      <c r="AC78" t="str">
        <f ca="1"/>
        <v xml:space="preserve">
	//波板カット補助L
	ELSIF uiInfoIdx = 16 THEN
		IF strInfoKey = 'name' THEN
			strRt	:= '波板カット補助L';
		ELSIF strInfoKey = 'index_name' THEN</v>
      </c>
      <c r="AD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</v>
      </c>
      <c r="AE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</v>
      </c>
      <c r="AF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</v>
      </c>
      <c r="AG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</v>
      </c>
      <c r="AH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</v>
      </c>
      <c r="AI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J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  <c r="AK78" t="str">
        <f ca="1"/>
        <v xml:space="preserve">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34</v>
      </c>
      <c r="I79" t="str">
        <f ca="1"/>
        <v>Xロール糊付け①</v>
      </c>
      <c r="J79" t="str">
        <f ca="1"/>
        <v>Xロール糊付け①</v>
      </c>
      <c r="L79" t="str">
        <f ca="1"/>
        <v>【cylinder17】 Xロール糊付け①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//Xロール糊付け①
	ELSIF uiInfoIdx = 17 THEN</v>
      </c>
      <c r="AA79" t="str">
        <f ca="1"/>
        <v xml:space="preserve">
	//Xロール糊付け①
	ELSIF uiInfoIdx = 17 THEN
		IF strInfoKey = 'name' THEN</v>
      </c>
      <c r="AB79" t="str">
        <f ca="1"/>
        <v xml:space="preserve">
	//Xロール糊付け①
	ELSIF uiInfoIdx = 17 THEN
		IF strInfoKey = 'name' THEN
			strRt	:= 'Xロール糊付け①';</v>
      </c>
      <c r="AC79" t="str">
        <f ca="1"/>
        <v xml:space="preserve">
	//Xロール糊付け①
	ELSIF uiInfoIdx = 17 THEN
		IF strInfoKey = 'name' THEN
			strRt	:= 'Xロール糊付け①';
		ELSIF strInfoKey = 'index_name' THEN</v>
      </c>
      <c r="AD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</v>
      </c>
      <c r="AE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</v>
      </c>
      <c r="AF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</v>
      </c>
      <c r="AG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</v>
      </c>
      <c r="AH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</v>
      </c>
      <c r="AI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J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  <c r="AK79" t="str">
        <f ca="1"/>
        <v xml:space="preserve">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35</v>
      </c>
      <c r="I80" t="str">
        <f ca="1"/>
        <v>Xロール糊付け②</v>
      </c>
      <c r="J80" t="str">
        <f ca="1"/>
        <v>Xロール糊付け②</v>
      </c>
      <c r="L80" t="str">
        <f ca="1"/>
        <v>【cylinder18】 Xロール糊付け②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//Xロール糊付け②
	ELSIF uiInfoIdx = 18 THEN</v>
      </c>
      <c r="AA80" t="str">
        <f ca="1"/>
        <v xml:space="preserve">
	//Xロール糊付け②
	ELSIF uiInfoIdx = 18 THEN
		IF strInfoKey = 'name' THEN</v>
      </c>
      <c r="AB80" t="str">
        <f ca="1"/>
        <v xml:space="preserve">
	//Xロール糊付け②
	ELSIF uiInfoIdx = 18 THEN
		IF strInfoKey = 'name' THEN
			strRt	:= 'Xロール糊付け②';</v>
      </c>
      <c r="AC80" t="str">
        <f ca="1"/>
        <v xml:space="preserve">
	//Xロール糊付け②
	ELSIF uiInfoIdx = 18 THEN
		IF strInfoKey = 'name' THEN
			strRt	:= 'Xロール糊付け②';
		ELSIF strInfoKey = 'index_name' THEN</v>
      </c>
      <c r="AD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</v>
      </c>
      <c r="AE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</v>
      </c>
      <c r="AF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</v>
      </c>
      <c r="AG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</v>
      </c>
      <c r="AH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</v>
      </c>
      <c r="AI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J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  <c r="AK80" t="str">
        <f ca="1"/>
        <v xml:space="preserve">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36</v>
      </c>
      <c r="I81" t="str">
        <f ca="1"/>
        <v>Xロール平板押付</v>
      </c>
      <c r="J81" t="str">
        <f ca="1"/>
        <v>Xロール平板押付</v>
      </c>
      <c r="L81" t="str">
        <f ca="1"/>
        <v>【cylinder19】 Xロール平板押付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//Xロール平板押付
	ELSIF uiInfoIdx = 19 THEN</v>
      </c>
      <c r="AA81" t="str">
        <f ca="1"/>
        <v xml:space="preserve">
	//Xロール平板押付
	ELSIF uiInfoIdx = 19 THEN
		IF strInfoKey = 'name' THEN</v>
      </c>
      <c r="AB81" t="str">
        <f ca="1"/>
        <v xml:space="preserve">
	//Xロール平板押付
	ELSIF uiInfoIdx = 19 THEN
		IF strInfoKey = 'name' THEN
			strRt	:= 'Xロール平板押付';</v>
      </c>
      <c r="AC81" t="str">
        <f ca="1"/>
        <v xml:space="preserve">
	//Xロール平板押付
	ELSIF uiInfoIdx = 19 THEN
		IF strInfoKey = 'name' THEN
			strRt	:= 'Xロール平板押付';
		ELSIF strInfoKey = 'index_name' THEN</v>
      </c>
      <c r="AD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</v>
      </c>
      <c r="AE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</v>
      </c>
      <c r="AF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</v>
      </c>
      <c r="AG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</v>
      </c>
      <c r="AH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</v>
      </c>
      <c r="AI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J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  <c r="AK81" t="str">
        <f ca="1"/>
        <v xml:space="preserve">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>
        <v>37</v>
      </c>
      <c r="I82" t="str">
        <f ca="1"/>
        <v>箔ロウリール固定</v>
      </c>
      <c r="J82" t="str">
        <f ca="1"/>
        <v>箔ロウリール固定</v>
      </c>
      <c r="L82" t="str">
        <f ca="1"/>
        <v>【cylinder20】 箔ロウリール固定</v>
      </c>
      <c r="M82" t="str">
        <v>MGPM12-20Z-M9BL</v>
      </c>
      <c r="N82" t="str">
        <v>MGPM12-20Z-M9BL</v>
      </c>
      <c r="O82" t="str">
        <f ca="1"/>
        <v>MISUMI</v>
      </c>
      <c r="P82" t="str">
        <f ca="1"/>
        <v>MISUMI</v>
      </c>
      <c r="X82" t="str">
        <f ca="1"/>
        <v xml:space="preserve">
</v>
      </c>
      <c r="Y82" t="str">
        <f ca="1"/>
        <v xml:space="preserve">
</v>
      </c>
      <c r="Z82" t="str">
        <f ca="1"/>
        <v xml:space="preserve">
	//箔ロウリール固定
	ELSIF uiInfoIdx = 20 THEN</v>
      </c>
      <c r="AA82" t="str">
        <f ca="1"/>
        <v xml:space="preserve">
	//箔ロウリール固定
	ELSIF uiInfoIdx = 20 THEN
		IF strInfoKey = 'name' THEN</v>
      </c>
      <c r="AB82" t="str">
        <f ca="1"/>
        <v xml:space="preserve">
	//箔ロウリール固定
	ELSIF uiInfoIdx = 20 THEN
		IF strInfoKey = 'name' THEN
			strRt	:= '箔ロウリール固定';</v>
      </c>
      <c r="AC82" t="str">
        <f ca="1"/>
        <v xml:space="preserve">
	//箔ロウリール固定
	ELSIF uiInfoIdx = 20 THEN
		IF strInfoKey = 'name' THEN
			strRt	:= '箔ロウリール固定';
		ELSIF strInfoKey = 'index_name' THEN</v>
      </c>
      <c r="AD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</v>
      </c>
      <c r="AE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</v>
      </c>
      <c r="AF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</v>
      </c>
      <c r="AG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</v>
      </c>
      <c r="AH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</v>
      </c>
      <c r="AI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J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  <c r="AK82" t="str">
        <f ca="1"/>
        <v xml:space="preserve">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</v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>●</v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 xml:space="preserve">
	ELSE
		uiErrCode	:= 2;
	END_IF;</v>
      </c>
      <c r="AK85" t="str">
        <f ca="1"/>
        <v xml:space="preserve">
	ELSE
		uiErrCode	:= 2;
	END_IF;</v>
      </c>
    </row>
    <row r="86" spans="5:37" x14ac:dyDescent="0.55000000000000004">
      <c r="E86" t="s">
        <v>286</v>
      </c>
      <c r="F86">
        <f>COUNTIF(E$3:E86,E86)</f>
        <v>1</v>
      </c>
      <c r="G86" t="str">
        <v/>
      </c>
      <c r="H86">
        <v>60</v>
      </c>
      <c r="I86" t="str">
        <f ca="1"/>
        <v>溶接機</v>
      </c>
      <c r="J86" t="str">
        <f ca="1"/>
        <v>溶接機</v>
      </c>
      <c r="L86" t="str">
        <f ca="1"/>
        <v>【OTH1】 溶接機</v>
      </c>
      <c r="M86" t="str">
        <v/>
      </c>
      <c r="N86" t="str">
        <v>unknown</v>
      </c>
      <c r="O86" t="str">
        <f ca="1"/>
        <v/>
      </c>
      <c r="P86" t="str">
        <f ca="1"/>
        <v>unknown</v>
      </c>
      <c r="X86" t="str">
        <f ca="1"/>
        <v xml:space="preserve">
//OTH</v>
      </c>
      <c r="Y86" t="str">
        <f ca="1"/>
        <v xml:space="preserve">
//OTH
ELSIF strInfoType = 'OTH' THEN</v>
      </c>
      <c r="Z86" t="str">
        <f ca="1"/>
        <v xml:space="preserve">
//OTH
ELSIF strInfoType = 'OTH' THEN
	//溶接機
	IF uiInfoIdx = 1 THEN</v>
      </c>
      <c r="AA86" t="str">
        <f ca="1"/>
        <v xml:space="preserve">
//OTH
ELSIF strInfoType = 'OTH' THEN
	//溶接機
	IF uiInfoIdx = 1 THEN
		IF strInfoKey = 'name' THEN</v>
      </c>
      <c r="AB86" t="str">
        <f ca="1"/>
        <v xml:space="preserve">
//OTH
ELSIF strInfoType = 'OTH' THEN
	//溶接機
	IF uiInfoIdx = 1 THEN
		IF strInfoKey = 'name' THEN
			strRt	:= '溶接機';</v>
      </c>
      <c r="AC86" t="str">
        <f ca="1"/>
        <v xml:space="preserve">
//OTH
ELSIF strInfoType = 'OTH' THEN
	//溶接機
	IF uiInfoIdx = 1 THEN
		IF strInfoKey = 'name' THEN
			strRt	:= '溶接機';
		ELSIF strInfoKey = 'index_name' THEN</v>
      </c>
      <c r="AD86" t="str">
        <f ca="1"/>
        <v xml:space="preserve">
//OTH
ELSIF strInfoType = 'OTH' THEN
	//溶接機
	IF uiInfoIdx = 1 THEN
		IF strInfoKey = 'name' THEN
			strRt	:= '溶接機';
		ELSIF strInfoKey = 'index_name' THEN
			strRt	:= '【OTH1】 溶接機';</v>
      </c>
      <c r="AE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</v>
      </c>
      <c r="AF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</v>
      </c>
      <c r="AG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</v>
      </c>
      <c r="AH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</v>
      </c>
      <c r="AI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J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  <c r="AK86" t="str">
        <f ca="1"/>
        <v xml:space="preserve">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</v>
      </c>
    </row>
    <row r="87" spans="5:37" x14ac:dyDescent="0.55000000000000004">
      <c r="E87" t="str">
        <f t="shared" si="1"/>
        <v>OTH</v>
      </c>
      <c r="F87">
        <f>COUNTIF(E$3:E87,E87)</f>
        <v>2</v>
      </c>
      <c r="G87" t="str">
        <v/>
      </c>
      <c r="H87">
        <v>61</v>
      </c>
      <c r="I87" t="str">
        <f ca="1"/>
        <v>Xロール電磁クラッチ</v>
      </c>
      <c r="J87" t="str">
        <f ca="1"/>
        <v>Xロール電磁クラッチ</v>
      </c>
      <c r="L87" t="str">
        <f ca="1"/>
        <v>【OTH2】 Xロール電磁クラッチ</v>
      </c>
      <c r="M87" t="str">
        <v/>
      </c>
      <c r="N87" t="str">
        <v>unknown</v>
      </c>
      <c r="O87" t="str">
        <f ca="1"/>
        <v/>
      </c>
      <c r="P87" t="str">
        <f ca="1"/>
        <v>unknown</v>
      </c>
      <c r="X87" t="str">
        <f ca="1"/>
        <v xml:space="preserve">
</v>
      </c>
      <c r="Y87" t="str">
        <f ca="1"/>
        <v xml:space="preserve">
</v>
      </c>
      <c r="Z87" t="str">
        <f ca="1"/>
        <v xml:space="preserve">
	//Xロール電磁クラッチ
	ELSIF uiInfoIdx = 2 THEN</v>
      </c>
      <c r="AA87" t="str">
        <f ca="1"/>
        <v xml:space="preserve">
	//Xロール電磁クラッチ
	ELSIF uiInfoIdx = 2 THEN
		IF strInfoKey = 'name' THEN</v>
      </c>
      <c r="AB87" t="str">
        <f ca="1"/>
        <v xml:space="preserve">
	//Xロール電磁クラッチ
	ELSIF uiInfoIdx = 2 THEN
		IF strInfoKey = 'name' THEN
			strRt	:= 'Xロール電磁クラッチ';</v>
      </c>
      <c r="AC87" t="str">
        <f ca="1"/>
        <v xml:space="preserve">
	//Xロール電磁クラッチ
	ELSIF uiInfoIdx = 2 THEN
		IF strInfoKey = 'name' THEN
			strRt	:= 'Xロール電磁クラッチ';
		ELSIF strInfoKey = 'index_name' THEN</v>
      </c>
      <c r="AD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</v>
      </c>
      <c r="AE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</v>
      </c>
      <c r="AF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</v>
      </c>
      <c r="AG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</v>
      </c>
      <c r="AH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</v>
      </c>
      <c r="AI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J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  <c r="AK87" t="str">
        <f ca="1"/>
        <v xml:space="preserve">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</v>
      </c>
    </row>
    <row r="88" spans="5:37" x14ac:dyDescent="0.55000000000000004">
      <c r="E88" t="str">
        <f t="shared" si="1"/>
        <v>OTH</v>
      </c>
      <c r="F88">
        <f>COUNTIF(E$3:E88,E88)</f>
        <v>3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OTH</v>
      </c>
      <c r="F89">
        <f>COUNTIF(E$3:E89,E89)</f>
        <v>4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OTH</v>
      </c>
      <c r="F90">
        <f>COUNTIF(E$3:E90,E90)</f>
        <v>5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OTH</v>
      </c>
      <c r="F91">
        <f>COUNTIF(E$3:E91,E91)</f>
        <v>6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OTH</v>
      </c>
      <c r="F92">
        <f>COUNTIF(E$3:E92,E92)</f>
        <v>7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OTH</v>
      </c>
      <c r="F93">
        <f>COUNTIF(E$3:E93,E93)</f>
        <v>8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OTH</v>
      </c>
      <c r="F94">
        <f>COUNTIF(E$3:E94,E94)</f>
        <v>9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OTH</v>
      </c>
      <c r="F95">
        <f>COUNTIF(E$3:E95,E95)</f>
        <v>10</v>
      </c>
      <c r="G95" t="str">
        <v>●</v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 xml:space="preserve">
	ELSE
		uiErrCode	:= 2;
	END_IF;</v>
      </c>
      <c r="AK95" t="str">
        <f ca="1"/>
        <v xml:space="preserve">
	ELSE
		uiErrCode	:= 2;
	END_IF;</v>
      </c>
    </row>
    <row r="96" spans="5:37" x14ac:dyDescent="0.55000000000000004">
      <c r="E96" t="s">
        <v>293</v>
      </c>
      <c r="F96">
        <f>COUNTIF(E$3:E96,E96)</f>
        <v>1</v>
      </c>
      <c r="G96" t="str">
        <v/>
      </c>
      <c r="H96">
        <v>62</v>
      </c>
      <c r="I96" t="str">
        <f ca="1"/>
        <v>(未割付け)</v>
      </c>
      <c r="J96" t="str">
        <f ca="1"/>
        <v>(未割付け)</v>
      </c>
      <c r="L96" t="str">
        <f ca="1"/>
        <v>【OTHC1】 (未割付け)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//OTHC</v>
      </c>
      <c r="Y96" t="str">
        <f ca="1"/>
        <v xml:space="preserve">
//OTHC
ELSIF strInfoType = 'OTHC' THEN</v>
      </c>
      <c r="Z96" t="str">
        <f ca="1"/>
        <v xml:space="preserve">
//OTHC
ELSIF strInfoType = 'OTHC' THEN
	//(未割付け)
	IF uiInfoIdx = 1 THEN</v>
      </c>
      <c r="AA96" t="str">
        <f ca="1"/>
        <v xml:space="preserve">
//OTHC
ELSIF strInfoType = 'OTHC' THEN
	//(未割付け)
	IF uiInfoIdx = 1 THEN
		IF strInfoKey = 'name' THEN</v>
      </c>
      <c r="AB96" t="str">
        <f ca="1"/>
        <v xml:space="preserve">
//OTHC
ELSIF strInfoType = 'OTHC' THEN
	//(未割付け)
	IF uiInfoIdx = 1 THEN
		IF strInfoKey = 'name' THEN
			strRt	:= '(未割付け)';</v>
      </c>
      <c r="AC96" t="str">
        <f ca="1"/>
        <v xml:space="preserve">
//OTHC
ELSIF strInfoType = 'OTHC' THEN
	//(未割付け)
	IF uiInfoIdx = 1 THEN
		IF strInfoKey = 'name' THEN
			strRt	:= '(未割付け)';
		ELSIF strInfoKey = 'index_name' THEN</v>
      </c>
      <c r="AD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</v>
      </c>
      <c r="AE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</v>
      </c>
      <c r="AF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</v>
      </c>
      <c r="AG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</v>
      </c>
      <c r="AH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</v>
      </c>
      <c r="AI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J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  <c r="AK96" t="str">
        <f ca="1"/>
        <v xml:space="preserve">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OTHC</v>
      </c>
      <c r="F97">
        <f>COUNTIF(E$3:E97,E97)</f>
        <v>2</v>
      </c>
      <c r="G97" t="str">
        <v/>
      </c>
      <c r="H97">
        <v>63</v>
      </c>
      <c r="I97" t="str">
        <f ca="1"/>
        <v>(未割付け)</v>
      </c>
      <c r="J97" t="str">
        <f ca="1"/>
        <v>(未割付け)</v>
      </c>
      <c r="L97" t="str">
        <f ca="1"/>
        <v>【OTHC2】 (未割付け)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//(未割付け)
	ELSIF uiInfoIdx = 2 THEN</v>
      </c>
      <c r="AA97" t="str">
        <f ca="1"/>
        <v xml:space="preserve">
	//(未割付け)
	ELSIF uiInfoIdx = 2 THEN
		IF strInfoKey = 'name' THEN</v>
      </c>
      <c r="AB97" t="str">
        <f ca="1"/>
        <v xml:space="preserve">
	//(未割付け)
	ELSIF uiInfoIdx = 2 THEN
		IF strInfoKey = 'name' THEN
			strRt	:= '(未割付け)';</v>
      </c>
      <c r="AC97" t="str">
        <f ca="1"/>
        <v xml:space="preserve">
	//(未割付け)
	ELSIF uiInfoIdx = 2 THEN
		IF strInfoKey = 'name' THEN
			strRt	:= '(未割付け)';
		ELSIF strInfoKey = 'index_name' THEN</v>
      </c>
      <c r="AD97" t="str">
        <f ca="1"/>
        <v xml:space="preserve">
	//(未割付け)
	ELSIF uiInfoIdx = 2 THEN
		IF strInfoKey = 'name' THEN
			strRt	:= '(未割付け)';
		ELSIF strInfoKey = 'index_name' THEN
			strRt	:= '【OTHC2】 (未割付け)';</v>
      </c>
      <c r="AE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</v>
      </c>
      <c r="AF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</v>
      </c>
      <c r="AG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</v>
      </c>
      <c r="AH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</v>
      </c>
      <c r="AI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J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  <c r="AK97" t="str">
        <f ca="1"/>
        <v xml:space="preserve">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OTHC</v>
      </c>
      <c r="F98">
        <f>COUNTIF(E$3:E98,E98)</f>
        <v>3</v>
      </c>
      <c r="G98" t="str">
        <v/>
      </c>
      <c r="H98">
        <v>64</v>
      </c>
      <c r="I98" t="str">
        <f ca="1"/>
        <v>Tロール糊付け軸</v>
      </c>
      <c r="J98" t="str">
        <f ca="1"/>
        <v>Tロール糊付け軸</v>
      </c>
      <c r="L98" t="str">
        <f ca="1"/>
        <v>【OTHC3】 Tロール糊付け軸</v>
      </c>
      <c r="M98" t="str">
        <v/>
      </c>
      <c r="N98" t="str">
        <v>unknown</v>
      </c>
      <c r="O98" t="str">
        <f ca="1"/>
        <v/>
      </c>
      <c r="P98" t="str">
        <f ca="1"/>
        <v>unknown</v>
      </c>
      <c r="X98" t="str">
        <f ca="1"/>
        <v xml:space="preserve">
</v>
      </c>
      <c r="Y98" t="str">
        <f ca="1"/>
        <v xml:space="preserve">
</v>
      </c>
      <c r="Z98" t="str">
        <f ca="1"/>
        <v xml:space="preserve">
	//Tロール糊付け軸
	ELSIF uiInfoIdx = 3 THEN</v>
      </c>
      <c r="AA98" t="str">
        <f ca="1"/>
        <v xml:space="preserve">
	//Tロール糊付け軸
	ELSIF uiInfoIdx = 3 THEN
		IF strInfoKey = 'name' THEN</v>
      </c>
      <c r="AB98" t="str">
        <f ca="1"/>
        <v xml:space="preserve">
	//Tロール糊付け軸
	ELSIF uiInfoIdx = 3 THEN
		IF strInfoKey = 'name' THEN
			strRt	:= 'Tロール糊付け軸';</v>
      </c>
      <c r="AC98" t="str">
        <f ca="1"/>
        <v xml:space="preserve">
	//Tロール糊付け軸
	ELSIF uiInfoIdx = 3 THEN
		IF strInfoKey = 'name' THEN
			strRt	:= 'Tロール糊付け軸';
		ELSIF strInfoKey = 'index_name' THEN</v>
      </c>
      <c r="AD98" t="str">
        <f ca="1"/>
        <v xml:space="preserve">
	//Tロール糊付け軸
	ELSIF uiInfoIdx = 3 THEN
		IF strInfoKey = 'name' THEN
			strRt	:= 'Tロール糊付け軸';
		ELSIF strInfoKey = 'index_name' THEN
			strRt	:= '【OTHC3】 Tロール糊付け軸';</v>
      </c>
      <c r="AE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</v>
      </c>
      <c r="AF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</v>
      </c>
      <c r="AG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</v>
      </c>
      <c r="AH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</v>
      </c>
      <c r="AI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J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  <c r="AK98" t="str">
        <f ca="1"/>
        <v xml:space="preserve">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</v>
      </c>
    </row>
    <row r="99" spans="5:37" x14ac:dyDescent="0.55000000000000004">
      <c r="E99" t="str">
        <f t="shared" si="1"/>
        <v>OTHC</v>
      </c>
      <c r="F99">
        <f>COUNTIF(E$3:E99,E99)</f>
        <v>4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OTHC</v>
      </c>
      <c r="F100">
        <f>COUNTIF(E$3:E100,E100)</f>
        <v>5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OTHC</v>
      </c>
      <c r="F101">
        <f>COUNTIF(E$3:E101,E101)</f>
        <v>6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OTHC</v>
      </c>
      <c r="F102">
        <f>COUNTIF(E$3:E102,E102)</f>
        <v>7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OTHC</v>
      </c>
      <c r="F103">
        <f>COUNTIF(E$3:E103,E103)</f>
        <v>8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OTHC</v>
      </c>
      <c r="F104">
        <f>COUNTIF(E$3:E104,E104)</f>
        <v>9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OTHC</v>
      </c>
      <c r="F105">
        <f>COUNTIF(E$3:E105,E105)</f>
        <v>10</v>
      </c>
      <c r="G105" t="str">
        <v>●</v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 xml:space="preserve">
	ELSE
		uiErrCode	:= 2;
	END_IF;</v>
      </c>
      <c r="AK105" t="str">
        <f ca="1"/>
        <v xml:space="preserve">
	ELSE
		uiErrCode	:= 2;
	END_IF;</v>
      </c>
    </row>
    <row r="106" spans="5:37" x14ac:dyDescent="0.55000000000000004">
      <c r="E106" t="s">
        <v>260</v>
      </c>
      <c r="F106">
        <f>COUNTIF(E$3:E106,E106)</f>
        <v>1</v>
      </c>
      <c r="G106" t="str">
        <v/>
      </c>
      <c r="H106">
        <v>52</v>
      </c>
      <c r="I106" t="str">
        <f ca="1"/>
        <v>平板供給部</v>
      </c>
      <c r="J106" t="str">
        <f ca="1"/>
        <v>平板供給部</v>
      </c>
      <c r="L106" t="str">
        <f ca="1"/>
        <v>【unit1】 平板供給部</v>
      </c>
      <c r="M106" t="str">
        <v/>
      </c>
      <c r="N106" t="str">
        <v>unknown</v>
      </c>
      <c r="O106" t="str">
        <f ca="1"/>
        <v/>
      </c>
      <c r="P106" t="str">
        <f ca="1"/>
        <v>unknown</v>
      </c>
      <c r="X106" t="str">
        <f ca="1"/>
        <v xml:space="preserve">
//unit</v>
      </c>
      <c r="Y106" t="str">
        <f ca="1"/>
        <v xml:space="preserve">
//unit
ELSIF strInfoType = 'unit' THEN</v>
      </c>
      <c r="Z106" t="str">
        <f ca="1"/>
        <v xml:space="preserve">
//unit
ELSIF strInfoType = 'unit' THEN
	//平板供給部
	IF uiInfoIdx = 1 THEN</v>
      </c>
      <c r="AA106" t="str">
        <f ca="1"/>
        <v xml:space="preserve">
//unit
ELSIF strInfoType = 'unit' THEN
	//平板供給部
	IF uiInfoIdx = 1 THEN
		IF strInfoKey = 'name' THEN</v>
      </c>
      <c r="AB106" t="str">
        <f ca="1"/>
        <v xml:space="preserve">
//unit
ELSIF strInfoType = 'unit' THEN
	//平板供給部
	IF uiInfoIdx = 1 THEN
		IF strInfoKey = 'name' THEN
			strRt	:= '平板供給部';</v>
      </c>
      <c r="AC106" t="str">
        <f ca="1"/>
        <v xml:space="preserve">
//unit
ELSIF strInfoType = 'unit' THEN
	//平板供給部
	IF uiInfoIdx = 1 THEN
		IF strInfoKey = 'name' THEN
			strRt	:= '平板供給部';
		ELSIF strInfoKey = 'index_name' THEN</v>
      </c>
      <c r="AD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</v>
      </c>
      <c r="AE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</v>
      </c>
      <c r="AF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</v>
      </c>
      <c r="AG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</v>
      </c>
      <c r="AH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</v>
      </c>
      <c r="AI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J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  <c r="AK106" t="str">
        <f ca="1"/>
        <v xml:space="preserve">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</v>
      </c>
    </row>
    <row r="107" spans="5:37" x14ac:dyDescent="0.55000000000000004">
      <c r="E107" t="str">
        <f t="shared" si="1"/>
        <v>unit</v>
      </c>
      <c r="F107">
        <f>COUNTIF(E$3:E107,E107)</f>
        <v>2</v>
      </c>
      <c r="G107" t="str">
        <v/>
      </c>
      <c r="H107">
        <v>53</v>
      </c>
      <c r="I107" t="str">
        <f ca="1"/>
        <v>波板供給部</v>
      </c>
      <c r="J107" t="str">
        <f ca="1"/>
        <v>波板供給部</v>
      </c>
      <c r="L107" t="str">
        <f ca="1"/>
        <v>【unit2】 波板供給部</v>
      </c>
      <c r="M107" t="str">
        <v/>
      </c>
      <c r="N107" t="str">
        <v>unknown</v>
      </c>
      <c r="O107" t="str">
        <f ca="1"/>
        <v/>
      </c>
      <c r="P107" t="str">
        <f ca="1"/>
        <v>unknown</v>
      </c>
      <c r="X107" t="str">
        <f ca="1"/>
        <v xml:space="preserve">
</v>
      </c>
      <c r="Y107" t="str">
        <f ca="1"/>
        <v xml:space="preserve">
</v>
      </c>
      <c r="Z107" t="str">
        <f ca="1"/>
        <v xml:space="preserve">
	//波板供給部
	ELSIF uiInfoIdx = 2 THEN</v>
      </c>
      <c r="AA107" t="str">
        <f ca="1"/>
        <v xml:space="preserve">
	//波板供給部
	ELSIF uiInfoIdx = 2 THEN
		IF strInfoKey = 'name' THEN</v>
      </c>
      <c r="AB107" t="str">
        <f ca="1"/>
        <v xml:space="preserve">
	//波板供給部
	ELSIF uiInfoIdx = 2 THEN
		IF strInfoKey = 'name' THEN
			strRt	:= '波板供給部';</v>
      </c>
      <c r="AC107" t="str">
        <f ca="1"/>
        <v xml:space="preserve">
	//波板供給部
	ELSIF uiInfoIdx = 2 THEN
		IF strInfoKey = 'name' THEN
			strRt	:= '波板供給部';
		ELSIF strInfoKey = 'index_name' THEN</v>
      </c>
      <c r="AD107" t="str">
        <f ca="1"/>
        <v xml:space="preserve">
	//波板供給部
	ELSIF uiInfoIdx = 2 THEN
		IF strInfoKey = 'name' THEN
			strRt	:= '波板供給部';
		ELSIF strInfoKey = 'index_name' THEN
			strRt	:= '【unit2】 波板供給部';</v>
      </c>
      <c r="AE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</v>
      </c>
      <c r="AF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</v>
      </c>
      <c r="AG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</v>
      </c>
      <c r="AH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</v>
      </c>
      <c r="AI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J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  <c r="AK107" t="str">
        <f ca="1"/>
        <v xml:space="preserve">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</v>
      </c>
    </row>
    <row r="108" spans="5:37" x14ac:dyDescent="0.55000000000000004">
      <c r="E108" t="str">
        <f t="shared" si="1"/>
        <v>unit</v>
      </c>
      <c r="F108">
        <f>COUNTIF(E$3:E108,E108)</f>
        <v>3</v>
      </c>
      <c r="G108" t="str">
        <v/>
      </c>
      <c r="H108">
        <v>54</v>
      </c>
      <c r="I108" t="str">
        <f ca="1"/>
        <v>箔ロウ供給部</v>
      </c>
      <c r="J108" t="str">
        <f ca="1"/>
        <v>箔ロウ供給部</v>
      </c>
      <c r="L108" t="str">
        <f ca="1"/>
        <v>【unit3】 箔ロウ供給部</v>
      </c>
      <c r="M108" t="str">
        <v/>
      </c>
      <c r="N108" t="str">
        <v>unknown</v>
      </c>
      <c r="O108" t="str">
        <f ca="1"/>
        <v/>
      </c>
      <c r="P108" t="str">
        <f ca="1"/>
        <v>unknown</v>
      </c>
      <c r="X108" t="str">
        <f ca="1"/>
        <v xml:space="preserve">
</v>
      </c>
      <c r="Y108" t="str">
        <f ca="1"/>
        <v xml:space="preserve">
</v>
      </c>
      <c r="Z108" t="str">
        <f ca="1"/>
        <v xml:space="preserve">
	//箔ロウ供給部
	ELSIF uiInfoIdx = 3 THEN</v>
      </c>
      <c r="AA108" t="str">
        <f ca="1"/>
        <v xml:space="preserve">
	//箔ロウ供給部
	ELSIF uiInfoIdx = 3 THEN
		IF strInfoKey = 'name' THEN</v>
      </c>
      <c r="AB108" t="str">
        <f ca="1"/>
        <v xml:space="preserve">
	//箔ロウ供給部
	ELSIF uiInfoIdx = 3 THEN
		IF strInfoKey = 'name' THEN
			strRt	:= '箔ロウ供給部';</v>
      </c>
      <c r="AC108" t="str">
        <f ca="1"/>
        <v xml:space="preserve">
	//箔ロウ供給部
	ELSIF uiInfoIdx = 3 THEN
		IF strInfoKey = 'name' THEN
			strRt	:= '箔ロウ供給部';
		ELSIF strInfoKey = 'index_name' THEN</v>
      </c>
      <c r="AD108" t="str">
        <f ca="1"/>
        <v xml:space="preserve">
	//箔ロウ供給部
	ELSIF uiInfoIdx = 3 THEN
		IF strInfoKey = 'name' THEN
			strRt	:= '箔ロウ供給部';
		ELSIF strInfoKey = 'index_name' THEN
			strRt	:= '【unit3】 箔ロウ供給部';</v>
      </c>
      <c r="AE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</v>
      </c>
      <c r="AF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</v>
      </c>
      <c r="AG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</v>
      </c>
      <c r="AH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</v>
      </c>
      <c r="AI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J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  <c r="AK108" t="str">
        <f ca="1"/>
        <v xml:space="preserve">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</v>
      </c>
    </row>
    <row r="109" spans="5:37" x14ac:dyDescent="0.55000000000000004">
      <c r="E109" t="str">
        <f t="shared" si="1"/>
        <v>unit</v>
      </c>
      <c r="F109">
        <f>COUNTIF(E$3:E109,E109)</f>
        <v>4</v>
      </c>
      <c r="G109" t="str">
        <v/>
      </c>
      <c r="H109">
        <v>55</v>
      </c>
      <c r="I109" t="str">
        <f ca="1"/>
        <v>巻取り軸部</v>
      </c>
      <c r="J109" t="str">
        <f ca="1"/>
        <v>巻取り軸部</v>
      </c>
      <c r="L109" t="str">
        <f ca="1"/>
        <v>【unit4】 巻取り軸部</v>
      </c>
      <c r="M109" t="str">
        <v/>
      </c>
      <c r="N109" t="str">
        <v>unknown</v>
      </c>
      <c r="O109" t="str">
        <f ca="1"/>
        <v/>
      </c>
      <c r="P109" t="str">
        <f ca="1"/>
        <v>unknown</v>
      </c>
      <c r="X109" t="str">
        <f ca="1"/>
        <v xml:space="preserve">
</v>
      </c>
      <c r="Y109" t="str">
        <f ca="1"/>
        <v xml:space="preserve">
</v>
      </c>
      <c r="Z109" t="str">
        <f ca="1"/>
        <v xml:space="preserve">
	//巻取り軸部
	ELSIF uiInfoIdx = 4 THEN</v>
      </c>
      <c r="AA109" t="str">
        <f ca="1"/>
        <v xml:space="preserve">
	//巻取り軸部
	ELSIF uiInfoIdx = 4 THEN
		IF strInfoKey = 'name' THEN</v>
      </c>
      <c r="AB109" t="str">
        <f ca="1"/>
        <v xml:space="preserve">
	//巻取り軸部
	ELSIF uiInfoIdx = 4 THEN
		IF strInfoKey = 'name' THEN
			strRt	:= '巻取り軸部';</v>
      </c>
      <c r="AC109" t="str">
        <f ca="1"/>
        <v xml:space="preserve">
	//巻取り軸部
	ELSIF uiInfoIdx = 4 THEN
		IF strInfoKey = 'name' THEN
			strRt	:= '巻取り軸部';
		ELSIF strInfoKey = 'index_name' THEN</v>
      </c>
      <c r="AD109" t="str">
        <f ca="1"/>
        <v xml:space="preserve">
	//巻取り軸部
	ELSIF uiInfoIdx = 4 THEN
		IF strInfoKey = 'name' THEN
			strRt	:= '巻取り軸部';
		ELSIF strInfoKey = 'index_name' THEN
			strRt	:= '【unit4】 巻取り軸部';</v>
      </c>
      <c r="AE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</v>
      </c>
      <c r="AF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</v>
      </c>
      <c r="AG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</v>
      </c>
      <c r="AH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</v>
      </c>
      <c r="AI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J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  <c r="AK109" t="str">
        <f ca="1"/>
        <v xml:space="preserve">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</v>
      </c>
    </row>
    <row r="110" spans="5:37" x14ac:dyDescent="0.55000000000000004">
      <c r="E110" t="str">
        <f t="shared" si="1"/>
        <v>unit</v>
      </c>
      <c r="F110">
        <f>COUNTIF(E$3:E110,E110)</f>
        <v>5</v>
      </c>
      <c r="G110" t="str">
        <v/>
      </c>
      <c r="H110">
        <v>56</v>
      </c>
      <c r="I110" t="str">
        <f ca="1"/>
        <v>溶接部</v>
      </c>
      <c r="J110" t="str">
        <f ca="1"/>
        <v>溶接部</v>
      </c>
      <c r="L110" t="str">
        <f ca="1"/>
        <v>【unit5】 溶接部</v>
      </c>
      <c r="M110" t="str">
        <v/>
      </c>
      <c r="N110" t="str">
        <v>unknown</v>
      </c>
      <c r="O110" t="str">
        <f ca="1"/>
        <v/>
      </c>
      <c r="P110" t="str">
        <f ca="1"/>
        <v>unknown</v>
      </c>
      <c r="X110" t="str">
        <f ca="1"/>
        <v xml:space="preserve">
</v>
      </c>
      <c r="Y110" t="str">
        <f ca="1"/>
        <v xml:space="preserve">
</v>
      </c>
      <c r="Z110" t="str">
        <f ca="1"/>
        <v xml:space="preserve">
	//溶接部
	ELSIF uiInfoIdx = 5 THEN</v>
      </c>
      <c r="AA110" t="str">
        <f ca="1"/>
        <v xml:space="preserve">
	//溶接部
	ELSIF uiInfoIdx = 5 THEN
		IF strInfoKey = 'name' THEN</v>
      </c>
      <c r="AB110" t="str">
        <f ca="1"/>
        <v xml:space="preserve">
	//溶接部
	ELSIF uiInfoIdx = 5 THEN
		IF strInfoKey = 'name' THEN
			strRt	:= '溶接部';</v>
      </c>
      <c r="AC110" t="str">
        <f ca="1"/>
        <v xml:space="preserve">
	//溶接部
	ELSIF uiInfoIdx = 5 THEN
		IF strInfoKey = 'name' THEN
			strRt	:= '溶接部';
		ELSIF strInfoKey = 'index_name' THEN</v>
      </c>
      <c r="AD110" t="str">
        <f ca="1"/>
        <v xml:space="preserve">
	//溶接部
	ELSIF uiInfoIdx = 5 THEN
		IF strInfoKey = 'name' THEN
			strRt	:= '溶接部';
		ELSIF strInfoKey = 'index_name' THEN
			strRt	:= '【unit5】 溶接部';</v>
      </c>
      <c r="AE110" t="str">
        <f ca="1"/>
        <v xml:space="preserve">
	//溶接部
	ELSIF uiInfoIdx = 5 THEN
		IF strInfoKey = 'name' THEN
			strRt	:= '溶接部';
		ELSIF strInfoKey = 'index_name' THEN
			strRt	:= '【unit5】 溶接部';
		ELSIF strInfoKey = 'model' THEN</v>
      </c>
      <c r="AF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</v>
      </c>
      <c r="AG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</v>
      </c>
      <c r="AH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</v>
      </c>
      <c r="AI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J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  <c r="AK110" t="str">
        <f ca="1"/>
        <v xml:space="preserve">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</v>
      </c>
    </row>
    <row r="111" spans="5:37" x14ac:dyDescent="0.55000000000000004">
      <c r="E111" t="str">
        <f t="shared" si="1"/>
        <v>unit</v>
      </c>
      <c r="F111">
        <f>COUNTIF(E$3:E111,E111)</f>
        <v>6</v>
      </c>
      <c r="G111" t="str">
        <v/>
      </c>
      <c r="H111">
        <v>57</v>
      </c>
      <c r="I111" t="str">
        <f ca="1"/>
        <v>排出部</v>
      </c>
      <c r="J111" t="str">
        <f ca="1"/>
        <v>排出部</v>
      </c>
      <c r="L111" t="str">
        <f ca="1"/>
        <v>【unit6】 排出部</v>
      </c>
      <c r="M111" t="str">
        <v/>
      </c>
      <c r="N111" t="str">
        <v>unknown</v>
      </c>
      <c r="O111" t="str">
        <f ca="1"/>
        <v/>
      </c>
      <c r="P111" t="str">
        <f ca="1"/>
        <v>unknown</v>
      </c>
      <c r="X111" t="str">
        <f ca="1"/>
        <v xml:space="preserve">
</v>
      </c>
      <c r="Y111" t="str">
        <f ca="1"/>
        <v xml:space="preserve">
</v>
      </c>
      <c r="Z111" t="str">
        <f ca="1"/>
        <v xml:space="preserve">
	//排出部
	ELSIF uiInfoIdx = 6 THEN</v>
      </c>
      <c r="AA111" t="str">
        <f ca="1"/>
        <v xml:space="preserve">
	//排出部
	ELSIF uiInfoIdx = 6 THEN
		IF strInfoKey = 'name' THEN</v>
      </c>
      <c r="AB111" t="str">
        <f ca="1"/>
        <v xml:space="preserve">
	//排出部
	ELSIF uiInfoIdx = 6 THEN
		IF strInfoKey = 'name' THEN
			strRt	:= '排出部';</v>
      </c>
      <c r="AC111" t="str">
        <f ca="1"/>
        <v xml:space="preserve">
	//排出部
	ELSIF uiInfoIdx = 6 THEN
		IF strInfoKey = 'name' THEN
			strRt	:= '排出部';
		ELSIF strInfoKey = 'index_name' THEN</v>
      </c>
      <c r="AD111" t="str">
        <f ca="1"/>
        <v xml:space="preserve">
	//排出部
	ELSIF uiInfoIdx = 6 THEN
		IF strInfoKey = 'name' THEN
			strRt	:= '排出部';
		ELSIF strInfoKey = 'index_name' THEN
			strRt	:= '【unit6】 排出部';</v>
      </c>
      <c r="AE111" t="str">
        <f ca="1"/>
        <v xml:space="preserve">
	//排出部
	ELSIF uiInfoIdx = 6 THEN
		IF strInfoKey = 'name' THEN
			strRt	:= '排出部';
		ELSIF strInfoKey = 'index_name' THEN
			strRt	:= '【unit6】 排出部';
		ELSIF strInfoKey = 'model' THEN</v>
      </c>
      <c r="AF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</v>
      </c>
      <c r="AG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</v>
      </c>
      <c r="AH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</v>
      </c>
      <c r="AI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J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  <c r="AK111" t="str">
        <f ca="1"/>
        <v xml:space="preserve">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</v>
      </c>
    </row>
    <row r="112" spans="5:37" x14ac:dyDescent="0.55000000000000004">
      <c r="E112" t="str">
        <f t="shared" si="1"/>
        <v>unit</v>
      </c>
      <c r="F112">
        <f>COUNTIF(E$3:E112,E112)</f>
        <v>7</v>
      </c>
      <c r="G112" t="str">
        <v/>
      </c>
      <c r="H112">
        <v>58</v>
      </c>
      <c r="I112" t="str">
        <f ca="1"/>
        <v>Xロール部</v>
      </c>
      <c r="J112" t="str">
        <f ca="1"/>
        <v>Xロール部</v>
      </c>
      <c r="L112" t="str">
        <f ca="1"/>
        <v>【unit7】 Xロール部</v>
      </c>
      <c r="M112" t="str">
        <v/>
      </c>
      <c r="N112" t="str">
        <v>unknown</v>
      </c>
      <c r="O112" t="str">
        <f ca="1"/>
        <v/>
      </c>
      <c r="P112" t="str">
        <f ca="1"/>
        <v>unknown</v>
      </c>
      <c r="X112" t="str">
        <f ca="1"/>
        <v xml:space="preserve">
</v>
      </c>
      <c r="Y112" t="str">
        <f ca="1"/>
        <v xml:space="preserve">
</v>
      </c>
      <c r="Z112" t="str">
        <f ca="1"/>
        <v xml:space="preserve">
	//Xロール部
	ELSIF uiInfoIdx = 7 THEN</v>
      </c>
      <c r="AA112" t="str">
        <f ca="1"/>
        <v xml:space="preserve">
	//Xロール部
	ELSIF uiInfoIdx = 7 THEN
		IF strInfoKey = 'name' THEN</v>
      </c>
      <c r="AB112" t="str">
        <f ca="1"/>
        <v xml:space="preserve">
	//Xロール部
	ELSIF uiInfoIdx = 7 THEN
		IF strInfoKey = 'name' THEN
			strRt	:= 'Xロール部';</v>
      </c>
      <c r="AC112" t="str">
        <f ca="1"/>
        <v xml:space="preserve">
	//Xロール部
	ELSIF uiInfoIdx = 7 THEN
		IF strInfoKey = 'name' THEN
			strRt	:= 'Xロール部';
		ELSIF strInfoKey = 'index_name' THEN</v>
      </c>
      <c r="AD112" t="str">
        <f ca="1"/>
        <v xml:space="preserve">
	//Xロール部
	ELSIF uiInfoIdx = 7 THEN
		IF strInfoKey = 'name' THEN
			strRt	:= 'Xロール部';
		ELSIF strInfoKey = 'index_name' THEN
			strRt	:= '【unit7】 Xロール部';</v>
      </c>
      <c r="AE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</v>
      </c>
      <c r="AF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</v>
      </c>
      <c r="AG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</v>
      </c>
      <c r="AH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</v>
      </c>
      <c r="AI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J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  <c r="AK112" t="str">
        <f ca="1"/>
        <v xml:space="preserve">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</v>
      </c>
    </row>
    <row r="113" spans="5:37" x14ac:dyDescent="0.55000000000000004">
      <c r="E113" t="str">
        <f t="shared" si="1"/>
        <v>unit</v>
      </c>
      <c r="F113">
        <f>COUNTIF(E$3:E113,E113)</f>
        <v>8</v>
      </c>
      <c r="G113" t="str">
        <v/>
      </c>
      <c r="H113">
        <v>59</v>
      </c>
      <c r="I113" t="str">
        <f ca="1"/>
        <v>箔ロウリール部</v>
      </c>
      <c r="J113" t="str">
        <f ca="1"/>
        <v>箔ロウリール部</v>
      </c>
      <c r="L113" t="str">
        <f ca="1"/>
        <v>【unit8】 箔ロウリール部</v>
      </c>
      <c r="M113" t="str">
        <v/>
      </c>
      <c r="N113" t="str">
        <v>unknown</v>
      </c>
      <c r="O113" t="str">
        <f ca="1"/>
        <v/>
      </c>
      <c r="P113" t="str">
        <f ca="1"/>
        <v>unknown</v>
      </c>
      <c r="X113" t="str">
        <f ca="1"/>
        <v xml:space="preserve">
</v>
      </c>
      <c r="Y113" t="str">
        <f ca="1"/>
        <v xml:space="preserve">
</v>
      </c>
      <c r="Z113" t="str">
        <f ca="1"/>
        <v xml:space="preserve">
	//箔ロウリール部
	ELSIF uiInfoIdx = 8 THEN</v>
      </c>
      <c r="AA113" t="str">
        <f ca="1"/>
        <v xml:space="preserve">
	//箔ロウリール部
	ELSIF uiInfoIdx = 8 THEN
		IF strInfoKey = 'name' THEN</v>
      </c>
      <c r="AB113" t="str">
        <f ca="1"/>
        <v xml:space="preserve">
	//箔ロウリール部
	ELSIF uiInfoIdx = 8 THEN
		IF strInfoKey = 'name' THEN
			strRt	:= '箔ロウリール部';</v>
      </c>
      <c r="AC113" t="str">
        <f ca="1"/>
        <v xml:space="preserve">
	//箔ロウリール部
	ELSIF uiInfoIdx = 8 THEN
		IF strInfoKey = 'name' THEN
			strRt	:= '箔ロウリール部';
		ELSIF strInfoKey = 'index_name' THEN</v>
      </c>
      <c r="AD113" t="str">
        <f ca="1"/>
        <v xml:space="preserve">
	//箔ロウリール部
	ELSIF uiInfoIdx = 8 THEN
		IF strInfoKey = 'name' THEN
			strRt	:= '箔ロウリール部';
		ELSIF strInfoKey = 'index_name' THEN
			strRt	:= '【unit8】 箔ロウリール部';</v>
      </c>
      <c r="AE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</v>
      </c>
      <c r="AF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</v>
      </c>
      <c r="AG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</v>
      </c>
      <c r="AH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</v>
      </c>
      <c r="AI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J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  <c r="AK113" t="str">
        <f ca="1"/>
        <v xml:space="preserve">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</v>
      </c>
    </row>
    <row r="114" spans="5:37" x14ac:dyDescent="0.55000000000000004">
      <c r="E114" t="str">
        <f t="shared" si="1"/>
        <v>unit</v>
      </c>
      <c r="F114">
        <f>COUNTIF(E$3:E114,E114)</f>
        <v>9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10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11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12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13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14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15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16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17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18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19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20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21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22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23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24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25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26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27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28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29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30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31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32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33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34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35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36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37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38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39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40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41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42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43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44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45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46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47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48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49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50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51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52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53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54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55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56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57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58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59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60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61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62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63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64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65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66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67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68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69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70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71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72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73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74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75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76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77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78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79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80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81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82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83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84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85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86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87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88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89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90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91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92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93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94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95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96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97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C:\tk\prj\hg-0025-0016\git\kv-x520\doc\[kv_script_conv_info.xlsx]info_index によって生成されました。
//axis
IF strInfoType = 'axis' THEN
	//箔ロウリール軸
	IF uiInfoIdx = 1 THEN
		IF strInfoKey = 'name' THEN
			strRt	:= '箔ロウリール軸';
		ELSIF strInfoKey = 'index_name' THEN
			strRt	:= '【axis1】 箔ロウリール軸';
		ELSIF strInfoKey = 'model' THEN
			strRt	:= '5TK20GN-CW2J+5GN180K';
		ELSIF strInfoKey = 'mf' THEN
			strRt	:= 'OrientalMotor';
		ELSE
			uiErrCode	:= 3;
		END_IF;
	//平板送り軸
	ELSIF uiInfoIdx = 2 THEN
		IF strInfoKey = 'name' THEN
			strRt	:= '平板送り軸';
		ELSIF strInfoKey = 'index_name' THEN
			strRt	:= '【axis2】 平板送り軸';
		ELSIF strInfoKey = 'model' THEN
			strRt	:= 'AZM46AC-HP9+AZD-CEP+CC070VZR';
		ELSIF strInfoKey = 'mf' THEN
			strRt	:= 'OrientalMotor';
		ELSE
			uiErrCode	:= 3;
		END_IF;
	//箔ロウ送り軸
	ELSIF uiInfoIdx = 3 THEN
		IF strInfoKey = 'name' THEN
			strRt	:= '箔ロウ送り軸';
		ELSIF strInfoKey = 'index_name' THEN
			strRt	:= '【axis3】 箔ロウ送り軸';
		ELSIF strInfoKey = 'model' THEN
			strRt	:= 'AZM46AC-HP9+AZD-CEP+CC070VZR';
		ELSIF strInfoKey = 'mf' THEN
			strRt	:= 'OrientalMotor';
		ELSE
			uiErrCode	:= 3;
		END_IF;
	//波板送り
	ELSIF uiInfoIdx = 4 THEN
		IF strInfoKey = 'name' THEN
			strRt	:= '波板送り';
		ELSIF strInfoKey = 'index_name' THEN
			strRt	:= '【axis4】 波板送り';
		ELSIF strInfoKey = 'model' THEN
			strRt	:= 'AZM46AC-HP9+AZD-CEP+CC070VZR';
		ELSIF strInfoKey = 'mf' THEN
			strRt	:= 'OrientalMotor';
		ELSE
			uiErrCode	:= 3;
		END_IF;
	//ワーク排出上下軸
	ELSIF uiInfoIdx = 5 THEN
		IF strInfoKey = 'name' THEN
			strRt	:= 'ワーク排出上下軸';
		ELSIF strInfoKey = 'index_name' THEN
			strRt	:= '【axis5】 ワーク排出上下軸';
		ELSIF strInfoKey = 'model' THEN
			strRt	:= 'RCP6-SA7R-WA-56P-16-400-P5-S-B-MR';
		ELSIF strInfoKey = 'mf' THEN
			strRt	:= 'IAI';
		ELSE
			uiErrCode	:= 3;
		END_IF;
	//周長測定子上下軸
	ELSIF uiInfoIdx = 6 THEN
		IF strInfoKey = 'name' THEN
			strRt	:= '周長測定子上下軸';
		ELSIF strInfoKey = 'index_name' THEN
			strRt	:= '【axis6】 周長測定子上下軸';
		ELSIF strInfoKey = 'model' THEN
			strRt	:= 'RCA2-GS3NA-I-10-2-50-A6-M-K1';
		ELSIF strInfoKey = 'mf' THEN
			strRt	:= 'IAI';
		ELSE
			uiErrCode	:= 3;
		END_IF;
	//ワーク(排出)チャック軸
	ELSIF uiInfoIdx = 7 THEN
		IF strInfoKey = 'name' THEN
			strRt	:= 'ワーク(排出)チャック軸';
		ELSIF strInfoKey = 'index_name' THEN
			strRt	:= '【axis7】 ワーク(排出)チャック軸';
		ELSIF strInfoKey = 'model' THEN
			strRt	:= 'RCP6-SA4R-WA-35P-16-150-P5-X07-MR-NM';
		ELSIF strInfoKey = 'mf' THEN
			strRt	:= 'IAI';
		ELSE
			uiErrCode	:= 3;
		END_IF;
	//溶接トーチ前後
	ELSIF uiInfoIdx = 8 THEN
		IF strInfoKey = 'name' THEN
			strRt	:= '溶接トーチ前後';
		ELSIF strInfoKey = 'index_name' THEN
			strRt	:= '【axis8】 溶接トーチ前後';
		ELSIF strInfoKey = 'model' THEN
			strRt	:= 'ICSB2-YSA2M-WA-20AQ-20AQBNM-T4-5L-SC/ISB【ISPB】-SXM-WA-60-8-②-T4-⑧-③';
		ELSIF strInfoKey = 'mf' THEN
			strRt	:= 'IAI';
		ELSE
			uiErrCode	:= 3;
		END_IF;
	//溶接トーチ上下
	ELSIF uiInfoIdx = 9 THEN
		IF strInfoKey = 'name' THEN
			strRt	:= '溶接トーチ上下';
		ELSIF strInfoKey = 'index_name' THEN
			strRt	:= '【axis9】 溶接トーチ上下';
		ELSIF strInfoKey = 'model' THEN
			strRt	:= 'ICSB2-YSA2M-WA-20AQ-20AQBNM-T4-5L-SC/ISB【ISPB】-SXM-WA-60-4-④-T4-⑧-⑤';
		ELSIF strInfoKey = 'mf' THEN
			strRt	:= 'IAI';
		ELSE
			uiErrCode	:= 3;
		END_IF;
	//バインダー供給ポンプモータ
	ELSIF uiInfoIdx = 10 THEN
		IF strInfoKey = 'name' THEN
			strRt	:= 'バインダー供給ポンプモータ';
		ELSIF strInfoKey = 'index_name' THEN
			strRt	:= '【axis10】 バインダー供給ポンプモータ';
		ELSIF strInfoKey = 'model' THEN
			strRt	:= 'unknown';
		ELSIF strInfoKey = 'mf' THEN
			strRt	:= 'unknown';
		ELSE
			uiErrCode	:= 3;
		END_IF;
	//波板リールモータ
	ELSIF uiInfoIdx = 11 THEN
		IF strInfoKey = 'name' THEN
			strRt	:= '波板リールモータ';
		ELSIF strInfoKey = 'index_name' THEN
			strRt	:= '【axis11】 波板リールモータ';
		ELSIF strInfoKey = 'model' THEN
			strRt	:= 'unknown';
		ELSIF strInfoKey = 'mf' THEN
			strRt	:= 'unknown';
		ELSE
			uiErrCode	:= 3;
		END_IF;
	//平板リールモータ
	ELSIF uiInfoIdx = 12 THEN
		IF strInfoKey = 'name' THEN
			strRt	:= '平板リールモータ';
		ELSIF strInfoKey = 'index_name' THEN
			strRt	:= '【axis12】 平板リールモータ';
		ELSIF strInfoKey = 'model' THEN
			strRt	:= 'unknown';
		ELSIF strInfoKey = 'mf' THEN
			strRt	:= 'unknown';
		ELSE
			uiErrCode	:= 3;
		END_IF;
	//巻取り主軸
	ELSIF uiInfoIdx = 13 THEN
		IF strInfoKey = 'name' THEN
			strRt	:= '巻取り主軸';
		ELSIF strInfoKey = 'index_name' THEN
			strRt	:= '【axis13】 巻取り主軸';
		ELSIF strInfoKey = 'model' THEN
			strRt	:= 'SV3-B075AK';
		ELSIF strInfoKey = 'mf' THEN
			strRt	:= 'KEYENCE';
		ELSE
			uiErrCode	:= 3;
		END_IF;
	//ワーク幅調整軸
	ELSIF uiInfoIdx = 14 THEN
		IF strInfoKey = 'name' THEN
			strRt	:= 'ワーク幅調整軸';
		ELSIF strInfoKey = 'index_name' THEN
			strRt	:= '【axis14】 ワーク幅調整軸';
		ELSIF strInfoKey = 'model' THEN
			strRt	:= 'SV3-M040AK';
		ELSIF strInfoKey = 'mf' THEN
			strRt	:= 'KEYENCE';
		ELSE
			uiErrCode	:= 3;
		END_IF;
	//Tロール回転軸
	ELSIF uiInfoIdx = 15 THEN
		IF strInfoKey = 'name' THEN
			strRt	:= 'Tロール回転軸';
		ELSIF strInfoKey = 'index_name' THEN
			strRt	:= '【axis15】 Tロール回転軸';
		ELSIF strInfoKey = 'model' THEN
			strRt	:= 'M540-402';
		ELSIF strInfoKey = 'mf' THEN
			strRt	:= 'unknown';
		ELSE
			uiErrCode	:= 3;
		END_IF;
	//ロータユニットXロール回転軸
	ELSIF uiInfoIdx = 16 THEN
		IF strInfoKey = 'name' THEN
			strRt	:= 'ロータユニットXロール回転軸';
		ELSIF strInfoKey = 'index_name' THEN
			strRt	:= '【axis16】 ロータユニットXロール回転軸';
		ELSIF strInfoKey = 'model' THEN
			strRt	:= 'M540-402';
		ELSIF strInfoKey = 'mf' THEN
			strRt	:= 'unknown';
		ELSE
			uiErrCode	:= 3;
		END_IF;
	//波板補助軸
	ELSIF uiInfoIdx = 17 THEN
		IF strInfoKey = 'name' THEN
			strRt	:= '波板補助軸';
		ELSIF strInfoKey = 'index_name' THEN
			strRt	:= '【axis17】 波板補助軸';
		ELSIF strInfoKey = 'model' THEN
			strRt	:= 'AZM15AK';
		ELSIF strInfoKey = 'mf' THEN
			strRt	:= 'OrientalMotor';
		ELSE
			uiErrCode	:= 3;
		END_IF;
	ELSE
		uiErrCode	:= 2;
	END_IF;
//EC
ELSIF strInfoType = 'EC' THEN
	//ワーク排出前後軸
	IF uiInfoIdx = 1 THEN
		IF strInfoKey = 'name' THEN
			strRt	:= 'ワーク排出前後軸';
		ELSIF strInfoKey = 'index_name' THEN
			strRt	:= '【EC1】 ワーク排出前後軸';
		ELSIF strInfoKey = 'model' THEN
			strRt	:= 'EC-S4HR-200-7-ML-TMD2';
		ELSIF strInfoKey = 'mf' THEN
			strRt	:= 'IAI';
		ELSE
			uiErrCode	:= 3;
		END_IF;
	ELSE
		uiErrCode	:= 2;
	END_IF;
//cylinder
ELSIF strInfoType = 'cylinder' THEN
	//巻取り軸芯前後
	IF uiInfoIdx = 1 THEN
		IF strInfoKey = 'name' THEN
			strRt	:= '巻取り軸芯前後';
		ELSIF strInfoKey = 'index_name' THEN
			strRt	:= '【cylinder1】 巻取り軸芯前後';
		ELSIF strInfoKey = 'model' THEN
			strRt	:= 'CDQ2A63-200DCZ-M9BVZ';
		ELSIF strInfoKey = 'mf' THEN
			strRt	:= 'SMC';
		ELSE
			uiErrCode	:= 3;
		END_IF;
	//Tロール糊付け①下ロール
	ELSIF uiInfoIdx = 2 THEN
		IF strInfoKey = 'name' THEN
			strRt	:= 'Tロール糊付け①下ロール';
		ELSIF strInfoKey = 'index_name' THEN
			strRt	:= '【cylinder2】 Tロール糊付け①下ロール';
		ELSIF strInfoKey = 'model' THEN
			strRt	:= 'CDAS16×10-B-R';
		ELSIF strInfoKey = 'mf' THEN
			strRt	:= 'unknown';
		ELSE
			uiErrCode	:= 3;
		END_IF;
	//Tロール糊付け②上ロール
	ELSIF uiInfoIdx = 3 THEN
		IF strInfoKey = 'name' THEN
			strRt	:= 'Tロール糊付け②上ロール';
		ELSIF strInfoKey = 'index_name' THEN
			strRt	:= '【cylinder3】 Tロール糊付け②上ロール';
		ELSIF strInfoKey = 'model' THEN
			strRt	:= 'CDAS16×10-B-R';
		ELSIF strInfoKey = 'mf' THEN
			strRt	:= 'unknown';
		ELSE
			uiErrCode	:= 3;
		END_IF;
	//平板補助プレート
	ELSIF uiInfoIdx = 4 THEN
		IF strInfoKey = 'name' THEN
			strRt	:= '平板補助プレート';
		ELSIF strInfoKey = 'index_name' THEN
			strRt	:= '【cylinder4】 平板補助プレート';
		ELSIF strInfoKey = 'model' THEN
			strRt	:= 'CDJ2D16-45Z-W-M9BWZ-B';
		ELSIF strInfoKey = 'mf' THEN
			strRt	:= 'SMC';
		ELSE
			uiErrCode	:= 3;
		END_IF;
	//平板チャック(ハンド)前後
	ELSIF uiInfoIdx = 5 THEN
		IF strInfoKey = 'name' THEN
			strRt	:= '平板チャック(ハンド)前後';
		ELSIF strInfoKey = 'index_name' THEN
			strRt	:= '【cylinder5】 平板チャック(ハンド)前後';
		ELSIF strInfoKey = 'model' THEN
			strRt	:= 'MXQ20-50A-M9BZ';
		ELSIF strInfoKey = 'mf' THEN
			strRt	:= 'SMC';
		ELSE
			uiErrCode	:= 3;
		END_IF;
	//平板チャック開閉
	ELSIF uiInfoIdx = 6 THEN
		IF strInfoKey = 'name' THEN
			strRt	:= '平板チャック開閉';
		ELSIF strInfoKey = 'index_name' THEN
			strRt	:= '【cylinder6】 平板チャック開閉';
		ELSIF strInfoKey = 'model' THEN
			strRt	:= 'MHF2-16D1-M9BL-X83C1';
		ELSIF strInfoKey = 'mf' THEN
			strRt	:= 'SMC';
		ELSE
			uiErrCode	:= 3;
		END_IF;
	//平板押え上下①
	ELSIF uiInfoIdx = 7 THEN
		IF strInfoKey = 'name' THEN
			strRt	:= '平板押え上下①';
		ELSIF strInfoKey = 'index_name' THEN
			strRt	:= '【cylinder7】 平板押え上下①';
		ELSIF strInfoKey = 'model' THEN
			strRt	:= 'CDQ2B25-20DZ-M9BVM';
		ELSIF strInfoKey = 'mf' THEN
			strRt	:= 'SMC';
		ELSE
			uiErrCode	:= 3;
		END_IF;
	//箔ロウ押え上下
	ELSIF uiInfoIdx = 8 THEN
		IF strInfoKey = 'name' THEN
			strRt	:= '箔ロウ押え上下';
		ELSIF strInfoKey = 'index_name' THEN
			strRt	:= '【cylinder8】 箔ロウ押え上下';
		ELSIF strInfoKey = 'model' THEN
			strRt	:= 'CDQ2D25-20DMZ-M9BM';
		ELSIF strInfoKey = 'mf' THEN
			strRt	:= 'SMC';
		ELSE
			uiErrCode	:= 3;
		END_IF;
	//箔ロウカット
	ELSIF uiInfoIdx = 9 THEN
		IF strInfoKey = 'name' THEN
			strRt	:= '箔ロウカット';
		ELSIF strInfoKey = 'index_name' THEN
			strRt	:= '【cylinder9】 箔ロウカット';
		ELSIF strInfoKey = 'model' THEN
			strRt	:= 'CDQSKB16-10DM-M9NWVZ';
		ELSIF strInfoKey = 'mf' THEN
			strRt	:= 'SMC';
		ELSE
			uiErrCode	:= 3;
		END_IF;
	//波板押え
	ELSIF uiInfoIdx = 10 THEN
		IF strInfoKey = 'name' THEN
			strRt	:= '波板押え';
		ELSIF strInfoKey = 'index_name' THEN
			strRt	:= '【cylinder10】 波板押え';
		ELSIF strInfoKey = 'model' THEN
			strRt	:= 'CDQ2B25-20DZ-M9BVM';
		ELSIF strInfoKey = 'mf' THEN
			strRt	:= 'SMC';
		ELSE
			uiErrCode	:= 3;
		END_IF;
	//平板カット刃押出し
	ELSIF uiInfoIdx = 11 THEN
		IF strInfoKey = 'name' THEN
			strRt	:= '平板カット刃押出し';
		ELSIF strInfoKey = 'index_name' THEN
			strRt	:= '【cylinder11】 平板カット刃押出し';
		ELSIF strInfoKey = 'model' THEN
			strRt	:= 'CD55B32-105-M9BZ';
		ELSIF strInfoKey = 'mf' THEN
			strRt	:= 'SMC';
		ELSE
			uiErrCode	:= 3;
		END_IF;
	//平板カット刃開閉
	ELSIF uiInfoIdx = 12 THEN
		IF strInfoKey = 'name' THEN
			strRt	:= '平板カット刃開閉';
		ELSIF strInfoKey = 'index_name' THEN
			strRt	:= '【cylinder12】 平板カット刃開閉';
		ELSIF strInfoKey = 'model' THEN
			strRt	:= 'CDQ2B25-10DMZ-L-A93M';
		ELSIF strInfoKey = 'mf' THEN
			strRt	:= 'SMC';
		ELSE
			uiErrCode	:= 3;
		END_IF;
	//波板カット刃押出し
	ELSIF uiInfoIdx = 13 THEN
		IF strInfoKey = 'name' THEN
			strRt	:= '波板カット刃押出し';
		ELSIF strInfoKey = 'index_name' THEN
			strRt	:= '【cylinder13】 波板カット刃押出し';
		ELSIF strInfoKey = 'model' THEN
			strRt	:= 'CD55B32-105-M9BZ';
		ELSIF strInfoKey = 'mf' THEN
			strRt	:= 'SMC';
		ELSE
			uiErrCode	:= 3;
		END_IF;
	//波板カット刃開閉
	ELSIF uiInfoIdx = 14 THEN
		IF strInfoKey = 'name' THEN
			strRt	:= '波板カット刃開閉';
		ELSIF strInfoKey = 'index_name' THEN
			strRt	:= '【cylinder14】 波板カット刃開閉';
		ELSIF strInfoKey = 'model' THEN
			strRt	:= 'CDQ2B40M-15DMZ-M9BZ';
		ELSIF strInfoKey = 'mf' THEN
			strRt	:= 'SMC';
		ELSE
			uiErrCode	:= 3;
		END_IF;
	//波板カット補助
	ELSIF uiInfoIdx = 15 THEN
		IF strInfoKey = 'name' THEN
			strRt	:= '波板カット補助';
		ELSIF strInfoKey = 'index_name' THEN
			strRt	:= '【cylinder15】 波板カット補助';
		ELSIF strInfoKey = 'model' THEN
			strRt	:= 'CXSJM10P-10-M9BL';
		ELSIF strInfoKey = 'mf' THEN
			strRt	:= 'SMC';
		ELSE
			uiErrCode	:= 3;
		END_IF;
	//波板カット補助L
	ELSIF uiInfoIdx = 16 THEN
		IF strInfoKey = 'name' THEN
			strRt	:= '波板カット補助L';
		ELSIF strInfoKey = 'index_name' THEN
			strRt	:= '【cylinder16】 波板カット補助L';
		ELSIF strInfoKey = 'model' THEN
			strRt	:= 'CXSJM10P-10-M9BL';
		ELSIF strInfoKey = 'mf' THEN
			strRt	:= 'SMC';
		ELSE
			uiErrCode	:= 3;
		END_IF;
	//Xロール糊付け①
	ELSIF uiInfoIdx = 17 THEN
		IF strInfoKey = 'name' THEN
			strRt	:= 'Xロール糊付け①';
		ELSIF strInfoKey = 'index_name' THEN
			strRt	:= '【cylinder17】 Xロール糊付け①';
		ELSIF strInfoKey = 'model' THEN
			strRt	:= 'CDM2RA20-25Z-M9BWV';
		ELSIF strInfoKey = 'mf' THEN
			strRt	:= 'unknown';
		ELSE
			uiErrCode	:= 3;
		END_IF;
	//Xロール糊付け②
	ELSIF uiInfoIdx = 18 THEN
		IF strInfoKey = 'name' THEN
			strRt	:= 'Xロール糊付け②';
		ELSIF strInfoKey = 'index_name' THEN
			strRt	:= '【cylinder18】 Xロール糊付け②';
		ELSIF strInfoKey = 'model' THEN
			strRt	:= 'CDM2RA20-25Z-M9BWV';
		ELSIF strInfoKey = 'mf' THEN
			strRt	:= 'unknown';
		ELSE
			uiErrCode	:= 3;
		END_IF;
	//Xロール平板押付
	ELSIF uiInfoIdx = 19 THEN
		IF strInfoKey = 'name' THEN
			strRt	:= 'Xロール平板押付';
		ELSIF strInfoKey = 'index_name' THEN
			strRt	:= '【cylinder19】 Xロール平板押付';
		ELSIF strInfoKey = 'model' THEN
			strRt	:= '不明';
		ELSIF strInfoKey = 'mf' THEN
			strRt	:= 'unknown';
		ELSE
			uiErrCode	:= 3;
		END_IF;
	//箔ロウリール固定
	ELSIF uiInfoIdx = 20 THEN
		IF strInfoKey = 'name' THEN
			strRt	:= '箔ロウリール固定';
		ELSIF strInfoKey = 'index_name' THEN
			strRt	:= '【cylinder20】 箔ロウリール固定';
		ELSIF strInfoKey = 'model' THEN
			strRt	:= 'MGPM12-20Z-M9BL';
		ELSIF strInfoKey = 'mf' THEN
			strRt	:= 'MISUMI';
		ELSE
			uiErrCode	:= 3;
		END_IF;
	ELSE
		uiErrCode	:= 2;
	END_IF;
//OTH
ELSIF strInfoType = 'OTH' THEN
	//溶接機
	IF uiInfoIdx = 1 THEN
		IF strInfoKey = 'name' THEN
			strRt	:= '溶接機';
		ELSIF strInfoKey = 'index_name' THEN
			strRt	:= '【OTH1】 溶接機';
		ELSIF strInfoKey = 'model' THEN
			strRt	:= 'unknown';
		ELSIF strInfoKey = 'mf' THEN
			strRt	:= 'unknown';
		ELSE
			uiErrCode	:= 3;
		END_IF;
	//Xロール電磁クラッチ
	ELSIF uiInfoIdx = 2 THEN
		IF strInfoKey = 'name' THEN
			strRt	:= 'Xロール電磁クラッチ';
		ELSIF strInfoKey = 'index_name' THEN
			strRt	:= '【OTH2】 Xロール電磁クラッチ';
		ELSIF strInfoKey = 'model' THEN
			strRt	:= 'unknown';
		ELSIF strInfoKey = 'mf' THEN
			strRt	:= 'unknown';
		ELSE
			uiErrCode	:= 3;
		END_IF;
	ELSE
		uiErrCode	:= 2;
	END_IF;
//OTHC
ELSIF strInfoType = 'OTHC' THEN
	//(未割付け)
	IF uiInfoIdx = 1 THEN
		IF strInfoKey = 'name' THEN
			strRt	:= '(未割付け)';
		ELSIF strInfoKey = 'index_name' THEN
			strRt	:= '【OTHC1】 (未割付け)';
		ELSIF strInfoKey = 'model' THEN
			strRt	:= 'unknown';
		ELSIF strInfoKey = 'mf' THEN
			strRt	:= 'unknown';
		ELSE
			uiErrCode	:= 3;
		END_IF;
	//(未割付け)
	ELSIF uiInfoIdx = 2 THEN
		IF strInfoKey = 'name' THEN
			strRt	:= '(未割付け)';
		ELSIF strInfoKey = 'index_name' THEN
			strRt	:= '【OTHC2】 (未割付け)';
		ELSIF strInfoKey = 'model' THEN
			strRt	:= 'unknown';
		ELSIF strInfoKey = 'mf' THEN
			strRt	:= 'unknown';
		ELSE
			uiErrCode	:= 3;
		END_IF;
	//Tロール糊付け軸
	ELSIF uiInfoIdx = 3 THEN
		IF strInfoKey = 'name' THEN
			strRt	:= 'Tロール糊付け軸';
		ELSIF strInfoKey = 'index_name' THEN
			strRt	:= '【OTHC3】 Tロール糊付け軸';
		ELSIF strInfoKey = 'model' THEN
			strRt	:= 'unknown';
		ELSIF strInfoKey = 'mf' THEN
			strRt	:= 'unknown';
		ELSE
			uiErrCode	:= 3;
		END_IF;
	ELSE
		uiErrCode	:= 2;
	END_IF;
//unit
ELSIF strInfoType = 'unit' THEN
	//平板供給部
	IF uiInfoIdx = 1 THEN
		IF strInfoKey = 'name' THEN
			strRt	:= '平板供給部';
		ELSIF strInfoKey = 'index_name' THEN
			strRt	:= '【unit1】 平板供給部';
		ELSIF strInfoKey = 'model' THEN
			strRt	:= 'unknown';
		ELSIF strInfoKey = 'mf' THEN
			strRt	:= 'unknown';
		ELSE
			uiErrCode	:= 3;
		END_IF;
	//波板供給部
	ELSIF uiInfoIdx = 2 THEN
		IF strInfoKey = 'name' THEN
			strRt	:= '波板供給部';
		ELSIF strInfoKey = 'index_name' THEN
			strRt	:= '【unit2】 波板供給部';
		ELSIF strInfoKey = 'model' THEN
			strRt	:= 'unknown';
		ELSIF strInfoKey = 'mf' THEN
			strRt	:= 'unknown';
		ELSE
			uiErrCode	:= 3;
		END_IF;
	//箔ロウ供給部
	ELSIF uiInfoIdx = 3 THEN
		IF strInfoKey = 'name' THEN
			strRt	:= '箔ロウ供給部';
		ELSIF strInfoKey = 'index_name' THEN
			strRt	:= '【unit3】 箔ロウ供給部';
		ELSIF strInfoKey = 'model' THEN
			strRt	:= 'unknown';
		ELSIF strInfoKey = 'mf' THEN
			strRt	:= 'unknown';
		ELSE
			uiErrCode	:= 3;
		END_IF;
	//巻取り軸部
	ELSIF uiInfoIdx = 4 THEN
		IF strInfoKey = 'name' THEN
			strRt	:= '巻取り軸部';
		ELSIF strInfoKey = 'index_name' THEN
			strRt	:= '【unit4】 巻取り軸部';
		ELSIF strInfoKey = 'model' THEN
			strRt	:= 'unknown';
		ELSIF strInfoKey = 'mf' THEN
			strRt	:= 'unknown';
		ELSE
			uiErrCode	:= 3;
		END_IF;
	//溶接部
	ELSIF uiInfoIdx = 5 THEN
		IF strInfoKey = 'name' THEN
			strRt	:= '溶接部';
		ELSIF strInfoKey = 'index_name' THEN
			strRt	:= '【unit5】 溶接部';
		ELSIF strInfoKey = 'model' THEN
			strRt	:= 'unknown';
		ELSIF strInfoKey = 'mf' THEN
			strRt	:= 'unknown';
		ELSE
			uiErrCode	:= 3;
		END_IF;
	//排出部
	ELSIF uiInfoIdx = 6 THEN
		IF strInfoKey = 'name' THEN
			strRt	:= '排出部';
		ELSIF strInfoKey = 'index_name' THEN
			strRt	:= '【unit6】 排出部';
		ELSIF strInfoKey = 'model' THEN
			strRt	:= 'unknown';
		ELSIF strInfoKey = 'mf' THEN
			strRt	:= 'unknown';
		ELSE
			uiErrCode	:= 3;
		END_IF;
	//Xロール部
	ELSIF uiInfoIdx = 7 THEN
		IF strInfoKey = 'name' THEN
			strRt	:= 'Xロール部';
		ELSIF strInfoKey = 'index_name' THEN
			strRt	:= '【unit7】 Xロール部';
		ELSIF strInfoKey = 'model' THEN
			strRt	:= 'unknown';
		ELSIF strInfoKey = 'mf' THEN
			strRt	:= 'unknown';
		ELSE
			uiErrCode	:= 3;
		END_IF;
	//箔ロウリール部
	ELSIF uiInfoIdx = 8 THEN
		IF strInfoKey = 'name' THEN
			strRt	:= '箔ロウリール部';
		ELSIF strInfoKey = 'index_name' THEN
			strRt	:= '【unit8】 箔ロウリール部';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2026-03-10T13:20:52Z</dcterms:modified>
</cp:coreProperties>
</file>