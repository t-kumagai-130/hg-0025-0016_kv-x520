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unit01\kv-x520\doc\"/>
    </mc:Choice>
  </mc:AlternateContent>
  <xr:revisionPtr revIDLastSave="0" documentId="13_ncr:1_{459A2834-1346-4A16-8C5D-65AED61C45ED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  <sheet name="Additional Terms" sheetId="4" r:id="rId3"/>
  </sheets>
  <definedNames>
    <definedName name="_xlnm._FilterDatabase" localSheetId="0" hidden="1">info_index!$D$2:$Z$73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M2" i="1"/>
  <c r="AC73" i="1"/>
  <c r="AB73" i="1"/>
  <c r="AC72" i="1"/>
  <c r="AB72" i="1"/>
  <c r="AC71" i="1"/>
  <c r="AB71" i="1"/>
  <c r="AC70" i="1"/>
  <c r="AB70" i="1"/>
  <c r="AC69" i="1"/>
  <c r="AB69" i="1"/>
  <c r="AC68" i="1"/>
  <c r="AB68" i="1"/>
  <c r="AC67" i="1"/>
  <c r="AB67" i="1"/>
  <c r="AC66" i="1"/>
  <c r="AB66" i="1"/>
  <c r="AC65" i="1"/>
  <c r="AB65" i="1"/>
  <c r="AC64" i="1"/>
  <c r="AB64" i="1"/>
  <c r="AC63" i="1"/>
  <c r="AB63" i="1"/>
  <c r="AC62" i="1"/>
  <c r="AB62" i="1"/>
  <c r="AC61" i="1"/>
  <c r="AB61" i="1"/>
  <c r="AC60" i="1"/>
  <c r="AB60" i="1"/>
  <c r="AC59" i="1"/>
  <c r="AB59" i="1"/>
  <c r="AC58" i="1"/>
  <c r="AB58" i="1"/>
  <c r="AC57" i="1"/>
  <c r="AB57" i="1"/>
  <c r="AC56" i="1"/>
  <c r="AB56" i="1"/>
  <c r="AC55" i="1"/>
  <c r="AB55" i="1"/>
  <c r="AC54" i="1"/>
  <c r="AB54" i="1"/>
  <c r="AC53" i="1"/>
  <c r="AB53" i="1"/>
  <c r="AC52" i="1"/>
  <c r="AB52" i="1"/>
  <c r="AC51" i="1"/>
  <c r="AB51" i="1"/>
  <c r="AC50" i="1"/>
  <c r="AB50" i="1"/>
  <c r="AC49" i="1"/>
  <c r="AB49" i="1"/>
  <c r="AC48" i="1"/>
  <c r="AB48" i="1"/>
  <c r="AC47" i="1"/>
  <c r="AB47" i="1"/>
  <c r="AC46" i="1"/>
  <c r="AB46" i="1"/>
  <c r="AC45" i="1"/>
  <c r="AB45" i="1"/>
  <c r="AC44" i="1"/>
  <c r="AB44" i="1"/>
  <c r="AC43" i="1"/>
  <c r="AB43" i="1"/>
  <c r="AC42" i="1"/>
  <c r="AB42" i="1"/>
  <c r="AC41" i="1"/>
  <c r="AB41" i="1"/>
  <c r="AC40" i="1"/>
  <c r="AB40" i="1"/>
  <c r="AC39" i="1"/>
  <c r="AB39" i="1"/>
  <c r="AC38" i="1"/>
  <c r="AB38" i="1"/>
  <c r="AC37" i="1"/>
  <c r="AB37" i="1"/>
  <c r="AC36" i="1"/>
  <c r="AB36" i="1"/>
  <c r="AC35" i="1"/>
  <c r="AB35" i="1"/>
  <c r="AC34" i="1"/>
  <c r="AB34" i="1"/>
  <c r="AC33" i="1"/>
  <c r="AB33" i="1"/>
  <c r="AC32" i="1"/>
  <c r="AB32" i="1"/>
  <c r="AC31" i="1"/>
  <c r="AB31" i="1"/>
  <c r="AC30" i="1"/>
  <c r="AB30" i="1"/>
  <c r="AC29" i="1"/>
  <c r="AB29" i="1"/>
  <c r="AC28" i="1"/>
  <c r="AB28" i="1"/>
  <c r="AC27" i="1"/>
  <c r="AB27" i="1"/>
  <c r="AC26" i="1"/>
  <c r="AB26" i="1"/>
  <c r="AC25" i="1"/>
  <c r="AB25" i="1"/>
  <c r="AC24" i="1"/>
  <c r="AB24" i="1"/>
  <c r="AC23" i="1"/>
  <c r="AB23" i="1"/>
  <c r="AC22" i="1"/>
  <c r="AB22" i="1"/>
  <c r="AC21" i="1"/>
  <c r="AB21" i="1"/>
  <c r="AC20" i="1"/>
  <c r="AB20" i="1"/>
  <c r="AC19" i="1"/>
  <c r="AB19" i="1"/>
  <c r="AC18" i="1"/>
  <c r="AB18" i="1"/>
  <c r="AC17" i="1"/>
  <c r="AB17" i="1"/>
  <c r="AC16" i="1"/>
  <c r="AB16" i="1"/>
  <c r="AC15" i="1"/>
  <c r="AB15" i="1"/>
  <c r="AC14" i="1"/>
  <c r="AB14" i="1"/>
  <c r="AC13" i="1"/>
  <c r="AB13" i="1"/>
  <c r="AC12" i="1"/>
  <c r="AB12" i="1"/>
  <c r="AC11" i="1"/>
  <c r="AB11" i="1"/>
  <c r="AC10" i="1"/>
  <c r="AB10" i="1"/>
  <c r="AC9" i="1"/>
  <c r="AB9" i="1"/>
  <c r="AC8" i="1"/>
  <c r="AB8" i="1"/>
  <c r="AC7" i="1"/>
  <c r="AB7" i="1"/>
  <c r="AC6" i="1"/>
  <c r="AB6" i="1"/>
  <c r="AC5" i="1"/>
  <c r="AB5" i="1"/>
  <c r="AC4" i="1"/>
  <c r="AB4" i="1"/>
  <c r="AC3" i="1"/>
  <c r="AB3" i="1"/>
  <c r="J2" i="1"/>
  <c r="I2" i="1"/>
  <c r="B44" i="3"/>
  <c r="L2" i="1"/>
  <c r="K2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D3" i="1"/>
  <c r="AA2" i="3" l="1"/>
  <c r="AC2" i="3" s="1"/>
  <c r="AE2" i="3" s="1"/>
  <c r="AG2" i="3" s="1"/>
  <c r="AI2" i="3" s="1"/>
  <c r="B15" i="3" s="1"/>
  <c r="E65" i="3" l="1"/>
  <c r="E45" i="3"/>
  <c r="E46" i="3" s="1"/>
  <c r="B4" i="3" a="1"/>
  <c r="B4" i="3" s="1"/>
  <c r="B6" i="3" s="1"/>
  <c r="E5" i="3"/>
  <c r="E6" i="3" s="1"/>
  <c r="F4" i="3"/>
  <c r="D78" i="1"/>
  <c r="F80" i="1"/>
  <c r="F78" i="1"/>
  <c r="E80" i="1"/>
  <c r="E78" i="1"/>
  <c r="G76" i="1"/>
  <c r="D76" i="1"/>
  <c r="F5" i="3" l="1"/>
  <c r="E47" i="3"/>
  <c r="E66" i="3"/>
  <c r="F6" i="3"/>
  <c r="E7" i="3"/>
  <c r="E67" i="3" l="1"/>
  <c r="E48" i="3"/>
  <c r="F7" i="3"/>
  <c r="E8" i="3"/>
  <c r="F8" i="3" l="1"/>
  <c r="E9" i="3"/>
  <c r="E49" i="3"/>
  <c r="E68" i="3"/>
  <c r="E50" i="3" l="1"/>
  <c r="E10" i="3"/>
  <c r="F9" i="3"/>
  <c r="E69" i="3"/>
  <c r="F10" i="3" l="1"/>
  <c r="E11" i="3"/>
  <c r="E51" i="3"/>
  <c r="E70" i="3"/>
  <c r="E71" i="3" l="1"/>
  <c r="E52" i="3"/>
  <c r="E12" i="3"/>
  <c r="F11" i="3"/>
  <c r="F12" i="3" l="1"/>
  <c r="E13" i="3"/>
  <c r="E53" i="3"/>
  <c r="E72" i="3"/>
  <c r="E73" i="3" l="1"/>
  <c r="E54" i="3"/>
  <c r="E14" i="3"/>
  <c r="F13" i="3"/>
  <c r="E15" i="3" l="1"/>
  <c r="F14" i="3"/>
  <c r="E55" i="3"/>
  <c r="E74" i="3"/>
  <c r="E56" i="3" l="1"/>
  <c r="E75" i="3"/>
  <c r="F15" i="3"/>
  <c r="E16" i="3"/>
  <c r="E76" i="3" l="1"/>
  <c r="E17" i="3"/>
  <c r="F16" i="3"/>
  <c r="E57" i="3"/>
  <c r="F17" i="3" l="1"/>
  <c r="E18" i="3"/>
  <c r="E58" i="3"/>
  <c r="E77" i="3"/>
  <c r="E78" i="3" l="1"/>
  <c r="E19" i="3"/>
  <c r="F18" i="3"/>
  <c r="E59" i="3"/>
  <c r="E20" i="3" l="1"/>
  <c r="F19" i="3"/>
  <c r="E60" i="3"/>
  <c r="E79" i="3"/>
  <c r="E61" i="3" l="1"/>
  <c r="E80" i="3"/>
  <c r="F20" i="3"/>
  <c r="E21" i="3"/>
  <c r="E22" i="3" l="1"/>
  <c r="F21" i="3"/>
  <c r="E81" i="3"/>
  <c r="E62" i="3"/>
  <c r="E63" i="3" l="1"/>
  <c r="E82" i="3"/>
  <c r="F22" i="3"/>
  <c r="E23" i="3"/>
  <c r="E83" i="3" l="1"/>
  <c r="F23" i="3"/>
  <c r="E24" i="3"/>
  <c r="E84" i="3" l="1"/>
  <c r="E25" i="3"/>
  <c r="F24" i="3"/>
  <c r="F25" i="3" l="1"/>
  <c r="E26" i="3"/>
  <c r="E85" i="3"/>
  <c r="E86" i="3" l="1"/>
  <c r="E27" i="3"/>
  <c r="F26" i="3"/>
  <c r="F27" i="3" l="1"/>
  <c r="E28" i="3"/>
  <c r="E88" i="3" l="1"/>
  <c r="E29" i="3"/>
  <c r="F28" i="3"/>
  <c r="E30" i="3" l="1"/>
  <c r="F29" i="3"/>
  <c r="E89" i="3"/>
  <c r="E90" i="3" l="1"/>
  <c r="F30" i="3"/>
  <c r="E31" i="3"/>
  <c r="E32" i="3" l="1"/>
  <c r="F31" i="3"/>
  <c r="E91" i="3"/>
  <c r="E92" i="3" l="1"/>
  <c r="E93" i="3" s="1"/>
  <c r="E33" i="3"/>
  <c r="F32" i="3"/>
  <c r="E34" i="3" l="1"/>
  <c r="F33" i="3"/>
  <c r="E94" i="3" l="1"/>
  <c r="E35" i="3"/>
  <c r="F34" i="3"/>
  <c r="F35" i="3" l="1"/>
  <c r="E36" i="3"/>
  <c r="E95" i="3"/>
  <c r="E96" i="3" l="1"/>
  <c r="F36" i="3"/>
  <c r="E37" i="3"/>
  <c r="E38" i="3" l="1"/>
  <c r="F37" i="3"/>
  <c r="E98" i="3" l="1"/>
  <c r="F38" i="3"/>
  <c r="E39" i="3"/>
  <c r="E40" i="3" l="1"/>
  <c r="F39" i="3"/>
  <c r="E99" i="3"/>
  <c r="E100" i="3" l="1"/>
  <c r="E41" i="3"/>
  <c r="F40" i="3"/>
  <c r="F41" i="3" l="1"/>
  <c r="E42" i="3"/>
  <c r="E101" i="3"/>
  <c r="E43" i="3" l="1"/>
  <c r="F99" i="3" s="1"/>
  <c r="F42" i="3"/>
  <c r="E102" i="3"/>
  <c r="F101" i="3" l="1"/>
  <c r="F93" i="3"/>
  <c r="F95" i="3"/>
  <c r="F97" i="3"/>
  <c r="E103" i="3"/>
  <c r="F102" i="3"/>
  <c r="F43" i="3"/>
  <c r="F45" i="3"/>
  <c r="F46" i="3"/>
  <c r="F44" i="3"/>
  <c r="F47" i="3"/>
  <c r="F48" i="3"/>
  <c r="F49" i="3"/>
  <c r="F50" i="3"/>
  <c r="F51" i="3"/>
  <c r="F53" i="3"/>
  <c r="F55" i="3"/>
  <c r="F52" i="3"/>
  <c r="F54" i="3"/>
  <c r="F73" i="3"/>
  <c r="F78" i="3"/>
  <c r="F76" i="3"/>
  <c r="F57" i="3"/>
  <c r="F56" i="3"/>
  <c r="F77" i="3"/>
  <c r="F81" i="3"/>
  <c r="F58" i="3"/>
  <c r="F59" i="3"/>
  <c r="F79" i="3"/>
  <c r="F82" i="3"/>
  <c r="F62" i="3"/>
  <c r="F60" i="3"/>
  <c r="F61" i="3"/>
  <c r="F72" i="3"/>
  <c r="F80" i="3"/>
  <c r="F64" i="3"/>
  <c r="F67" i="3"/>
  <c r="F68" i="3"/>
  <c r="F74" i="3"/>
  <c r="F66" i="3"/>
  <c r="F69" i="3"/>
  <c r="F71" i="3"/>
  <c r="F75" i="3"/>
  <c r="F83" i="3"/>
  <c r="F70" i="3"/>
  <c r="F65" i="3"/>
  <c r="F63" i="3"/>
  <c r="F87" i="3"/>
  <c r="F84" i="3"/>
  <c r="F85" i="3"/>
  <c r="F86" i="3"/>
  <c r="F88" i="3"/>
  <c r="F89" i="3"/>
  <c r="F90" i="3"/>
  <c r="F91" i="3"/>
  <c r="F96" i="3"/>
  <c r="F92" i="3"/>
  <c r="F94" i="3"/>
  <c r="F100" i="3"/>
  <c r="F98" i="3"/>
  <c r="F103" i="3" l="1"/>
  <c r="E104" i="3"/>
  <c r="F104" i="3" l="1"/>
  <c r="E105" i="3"/>
  <c r="F105" i="3" l="1"/>
  <c r="E106" i="3"/>
  <c r="F106" i="3" l="1"/>
  <c r="E108" i="3" l="1"/>
  <c r="F107" i="3"/>
  <c r="F108" i="3" l="1"/>
  <c r="E109" i="3"/>
  <c r="E110" i="3" l="1"/>
  <c r="F109" i="3"/>
  <c r="E111" i="3" l="1"/>
  <c r="F110" i="3"/>
  <c r="F111" i="3" l="1"/>
  <c r="E112" i="3"/>
  <c r="F112" i="3" l="1"/>
  <c r="E113" i="3"/>
  <c r="F113" i="3" l="1"/>
  <c r="E114" i="3"/>
  <c r="E115" i="3" l="1"/>
  <c r="F114" i="3"/>
  <c r="E116" i="3" l="1"/>
  <c r="F115" i="3"/>
  <c r="F116" i="3" l="1"/>
  <c r="E117" i="3"/>
  <c r="E118" i="3" l="1"/>
  <c r="F117" i="3"/>
  <c r="E119" i="3" l="1"/>
  <c r="F118" i="3"/>
  <c r="F119" i="3" l="1"/>
  <c r="E120" i="3"/>
  <c r="F120" i="3" l="1"/>
  <c r="E121" i="3"/>
  <c r="F121" i="3" l="1"/>
  <c r="E122" i="3"/>
  <c r="E123" i="3" l="1"/>
  <c r="F122" i="3"/>
  <c r="E124" i="3" l="1"/>
  <c r="F123" i="3"/>
  <c r="F124" i="3" l="1"/>
  <c r="E125" i="3"/>
  <c r="E126" i="3" l="1"/>
  <c r="F125" i="3"/>
  <c r="E127" i="3" l="1"/>
  <c r="F126" i="3"/>
  <c r="F127" i="3" l="1"/>
  <c r="E128" i="3"/>
  <c r="F128" i="3" l="1"/>
  <c r="E129" i="3"/>
  <c r="F129" i="3" l="1"/>
  <c r="E130" i="3"/>
  <c r="E131" i="3" l="1"/>
  <c r="F130" i="3"/>
  <c r="E132" i="3" l="1"/>
  <c r="F131" i="3"/>
  <c r="F132" i="3" l="1"/>
  <c r="E133" i="3"/>
  <c r="E134" i="3" l="1"/>
  <c r="F133" i="3"/>
  <c r="E135" i="3" l="1"/>
  <c r="F134" i="3"/>
  <c r="F135" i="3" l="1"/>
  <c r="E136" i="3"/>
  <c r="F136" i="3" l="1"/>
  <c r="E137" i="3"/>
  <c r="F137" i="3" l="1"/>
  <c r="E138" i="3"/>
  <c r="E139" i="3" l="1"/>
  <c r="F138" i="3"/>
  <c r="E140" i="3" l="1"/>
  <c r="F139" i="3"/>
  <c r="F140" i="3" l="1"/>
  <c r="E141" i="3"/>
  <c r="E142" i="3" l="1"/>
  <c r="F141" i="3"/>
  <c r="E143" i="3" l="1"/>
  <c r="F142" i="3"/>
  <c r="F143" i="3" l="1"/>
  <c r="E144" i="3"/>
  <c r="F144" i="3" l="1"/>
  <c r="E145" i="3"/>
  <c r="F145" i="3" l="1"/>
  <c r="E146" i="3"/>
  <c r="E147" i="3" l="1"/>
  <c r="F146" i="3"/>
  <c r="E148" i="3" l="1"/>
  <c r="F147" i="3"/>
  <c r="F148" i="3" l="1"/>
  <c r="E149" i="3"/>
  <c r="E150" i="3" l="1"/>
  <c r="F149" i="3"/>
  <c r="E151" i="3" l="1"/>
  <c r="F150" i="3"/>
  <c r="F151" i="3" l="1"/>
  <c r="E152" i="3"/>
  <c r="F152" i="3" l="1"/>
  <c r="E153" i="3"/>
  <c r="F153" i="3" l="1"/>
  <c r="E154" i="3"/>
  <c r="E155" i="3" l="1"/>
  <c r="F154" i="3"/>
  <c r="E156" i="3" l="1"/>
  <c r="F155" i="3"/>
  <c r="F156" i="3" l="1"/>
  <c r="E157" i="3"/>
  <c r="E158" i="3" l="1"/>
  <c r="F157" i="3"/>
  <c r="E159" i="3" l="1"/>
  <c r="F158" i="3"/>
  <c r="F159" i="3" l="1"/>
  <c r="E160" i="3"/>
  <c r="F160" i="3" l="1"/>
  <c r="E161" i="3"/>
  <c r="F161" i="3" l="1"/>
  <c r="E162" i="3"/>
  <c r="E163" i="3" l="1"/>
  <c r="F162" i="3"/>
  <c r="E164" i="3" l="1"/>
  <c r="F163" i="3"/>
  <c r="F164" i="3" l="1"/>
  <c r="E165" i="3"/>
  <c r="E166" i="3" l="1"/>
  <c r="F165" i="3"/>
  <c r="E167" i="3" l="1"/>
  <c r="F166" i="3"/>
  <c r="F167" i="3" l="1"/>
  <c r="E168" i="3"/>
  <c r="F168" i="3" l="1"/>
  <c r="E169" i="3"/>
  <c r="F169" i="3" l="1"/>
  <c r="E170" i="3"/>
  <c r="E171" i="3" l="1"/>
  <c r="F170" i="3"/>
  <c r="E172" i="3" l="1"/>
  <c r="F171" i="3"/>
  <c r="F172" i="3" l="1"/>
  <c r="E173" i="3"/>
  <c r="E174" i="3" l="1"/>
  <c r="F173" i="3"/>
  <c r="E175" i="3" l="1"/>
  <c r="F174" i="3"/>
  <c r="F175" i="3" l="1"/>
  <c r="E176" i="3"/>
  <c r="F176" i="3" l="1"/>
  <c r="E177" i="3"/>
  <c r="F177" i="3" l="1"/>
  <c r="E178" i="3"/>
  <c r="E179" i="3" l="1"/>
  <c r="F178" i="3"/>
  <c r="E180" i="3" l="1"/>
  <c r="F179" i="3"/>
  <c r="F180" i="3" l="1"/>
  <c r="E181" i="3"/>
  <c r="E182" i="3" l="1"/>
  <c r="F181" i="3"/>
  <c r="E183" i="3" l="1"/>
  <c r="F182" i="3"/>
  <c r="F183" i="3" l="1"/>
  <c r="E184" i="3"/>
  <c r="F184" i="3" l="1"/>
  <c r="E185" i="3"/>
  <c r="F185" i="3" l="1"/>
  <c r="E186" i="3"/>
  <c r="E187" i="3" l="1"/>
  <c r="F186" i="3"/>
  <c r="E188" i="3" l="1"/>
  <c r="F187" i="3"/>
  <c r="F188" i="3" l="1"/>
  <c r="E189" i="3"/>
  <c r="E190" i="3" l="1"/>
  <c r="F189" i="3"/>
  <c r="F190" i="3" l="1"/>
  <c r="E191" i="3"/>
  <c r="F191" i="3" l="1"/>
  <c r="E192" i="3"/>
  <c r="E193" i="3" l="1"/>
  <c r="F192" i="3"/>
  <c r="F193" i="3" l="1"/>
  <c r="E194" i="3"/>
  <c r="E195" i="3" l="1"/>
  <c r="F194" i="3"/>
  <c r="E196" i="3" l="1"/>
  <c r="F195" i="3"/>
  <c r="F196" i="3" l="1"/>
  <c r="E197" i="3"/>
  <c r="E198" i="3" l="1"/>
  <c r="F197" i="3"/>
  <c r="F198" i="3" l="1"/>
  <c r="E199" i="3"/>
  <c r="F199" i="3" l="1"/>
  <c r="E200" i="3"/>
  <c r="E201" i="3" l="1"/>
  <c r="F200" i="3"/>
  <c r="F201" i="3" l="1"/>
  <c r="E202" i="3"/>
  <c r="E203" i="3" l="1"/>
  <c r="F202" i="3"/>
  <c r="F203" i="3" l="1"/>
  <c r="H4" i="3" s="1" a="1"/>
  <c r="H4" i="3" s="1"/>
  <c r="O4" i="3" s="1" a="1"/>
  <c r="O4" i="3" s="1"/>
  <c r="P4" i="3" s="1" a="1"/>
  <c r="P4" i="3" s="1"/>
  <c r="I4" i="3" l="1" a="1"/>
  <c r="I4" i="3" s="1"/>
  <c r="M4" i="3" a="1"/>
  <c r="M4" i="3" s="1"/>
  <c r="N4" i="3" s="1" a="1"/>
  <c r="N4" i="3" s="1"/>
  <c r="G5" i="3" a="1"/>
  <c r="G5" i="3" s="1"/>
  <c r="J4" i="3" l="1" a="1"/>
  <c r="J4" i="3" s="1"/>
  <c r="X4" i="3" l="1" a="1"/>
  <c r="X4" i="3" s="1"/>
  <c r="Y4" i="3" s="1" a="1"/>
  <c r="Y4" i="3" s="1"/>
  <c r="L4" i="3" a="1"/>
  <c r="S8" i="3" s="1"/>
  <c r="S203" i="3" l="1"/>
  <c r="S195" i="3"/>
  <c r="S187" i="3"/>
  <c r="S179" i="3"/>
  <c r="S171" i="3"/>
  <c r="S163" i="3"/>
  <c r="S155" i="3"/>
  <c r="S147" i="3"/>
  <c r="S139" i="3"/>
  <c r="S131" i="3"/>
  <c r="S123" i="3"/>
  <c r="S115" i="3"/>
  <c r="S107" i="3"/>
  <c r="S99" i="3"/>
  <c r="S91" i="3"/>
  <c r="S83" i="3"/>
  <c r="S75" i="3"/>
  <c r="S67" i="3"/>
  <c r="S59" i="3"/>
  <c r="S51" i="3"/>
  <c r="S43" i="3"/>
  <c r="S35" i="3"/>
  <c r="S27" i="3"/>
  <c r="S19" i="3"/>
  <c r="S11" i="3"/>
  <c r="S148" i="3"/>
  <c r="S202" i="3"/>
  <c r="S194" i="3"/>
  <c r="S186" i="3"/>
  <c r="S178" i="3"/>
  <c r="S170" i="3"/>
  <c r="S162" i="3"/>
  <c r="S154" i="3"/>
  <c r="S146" i="3"/>
  <c r="S138" i="3"/>
  <c r="S130" i="3"/>
  <c r="S122" i="3"/>
  <c r="S114" i="3"/>
  <c r="S106" i="3"/>
  <c r="S98" i="3"/>
  <c r="S90" i="3"/>
  <c r="S82" i="3"/>
  <c r="S74" i="3"/>
  <c r="S66" i="3"/>
  <c r="S58" i="3"/>
  <c r="S50" i="3"/>
  <c r="S42" i="3"/>
  <c r="S34" i="3"/>
  <c r="S26" i="3"/>
  <c r="S18" i="3"/>
  <c r="S10" i="3"/>
  <c r="S156" i="3"/>
  <c r="S201" i="3"/>
  <c r="S193" i="3"/>
  <c r="S185" i="3"/>
  <c r="S177" i="3"/>
  <c r="S169" i="3"/>
  <c r="S161" i="3"/>
  <c r="S153" i="3"/>
  <c r="S145" i="3"/>
  <c r="S137" i="3"/>
  <c r="S129" i="3"/>
  <c r="S121" i="3"/>
  <c r="S113" i="3"/>
  <c r="S105" i="3"/>
  <c r="S97" i="3"/>
  <c r="S89" i="3"/>
  <c r="S81" i="3"/>
  <c r="S73" i="3"/>
  <c r="S65" i="3"/>
  <c r="S57" i="3"/>
  <c r="S49" i="3"/>
  <c r="S41" i="3"/>
  <c r="S33" i="3"/>
  <c r="S25" i="3"/>
  <c r="S17" i="3"/>
  <c r="S9" i="3"/>
  <c r="S164" i="3"/>
  <c r="S200" i="3"/>
  <c r="S192" i="3"/>
  <c r="S184" i="3"/>
  <c r="S176" i="3"/>
  <c r="S168" i="3"/>
  <c r="S160" i="3"/>
  <c r="S152" i="3"/>
  <c r="S144" i="3"/>
  <c r="S136" i="3"/>
  <c r="S128" i="3"/>
  <c r="S120" i="3"/>
  <c r="S112" i="3"/>
  <c r="S104" i="3"/>
  <c r="S96" i="3"/>
  <c r="S88" i="3"/>
  <c r="S80" i="3"/>
  <c r="S72" i="3"/>
  <c r="S64" i="3"/>
  <c r="S56" i="3"/>
  <c r="S48" i="3"/>
  <c r="S40" i="3"/>
  <c r="S32" i="3"/>
  <c r="S24" i="3"/>
  <c r="S16" i="3"/>
  <c r="S188" i="3"/>
  <c r="S199" i="3"/>
  <c r="S191" i="3"/>
  <c r="S183" i="3"/>
  <c r="S175" i="3"/>
  <c r="S167" i="3"/>
  <c r="S159" i="3"/>
  <c r="S151" i="3"/>
  <c r="S143" i="3"/>
  <c r="S135" i="3"/>
  <c r="S127" i="3"/>
  <c r="S119" i="3"/>
  <c r="S111" i="3"/>
  <c r="S103" i="3"/>
  <c r="S95" i="3"/>
  <c r="S87" i="3"/>
  <c r="S79" i="3"/>
  <c r="S71" i="3"/>
  <c r="S63" i="3"/>
  <c r="S55" i="3"/>
  <c r="S47" i="3"/>
  <c r="S39" i="3"/>
  <c r="S31" i="3"/>
  <c r="S23" i="3"/>
  <c r="S15" i="3"/>
  <c r="S7" i="3"/>
  <c r="S196" i="3"/>
  <c r="S198" i="3"/>
  <c r="S190" i="3"/>
  <c r="S182" i="3"/>
  <c r="S174" i="3"/>
  <c r="S166" i="3"/>
  <c r="S158" i="3"/>
  <c r="S150" i="3"/>
  <c r="S142" i="3"/>
  <c r="S134" i="3"/>
  <c r="S126" i="3"/>
  <c r="S118" i="3"/>
  <c r="S110" i="3"/>
  <c r="S102" i="3"/>
  <c r="S94" i="3"/>
  <c r="S86" i="3"/>
  <c r="S78" i="3"/>
  <c r="S70" i="3"/>
  <c r="S62" i="3"/>
  <c r="S54" i="3"/>
  <c r="S46" i="3"/>
  <c r="S38" i="3"/>
  <c r="S30" i="3"/>
  <c r="S22" i="3"/>
  <c r="S14" i="3"/>
  <c r="S6" i="3"/>
  <c r="S180" i="3"/>
  <c r="S132" i="3"/>
  <c r="S116" i="3"/>
  <c r="S100" i="3"/>
  <c r="S84" i="3"/>
  <c r="S68" i="3"/>
  <c r="S52" i="3"/>
  <c r="S36" i="3"/>
  <c r="S20" i="3"/>
  <c r="S197" i="3"/>
  <c r="S189" i="3"/>
  <c r="S181" i="3"/>
  <c r="S173" i="3"/>
  <c r="S165" i="3"/>
  <c r="S157" i="3"/>
  <c r="S149" i="3"/>
  <c r="S141" i="3"/>
  <c r="S133" i="3"/>
  <c r="S125" i="3"/>
  <c r="S117" i="3"/>
  <c r="S109" i="3"/>
  <c r="S101" i="3"/>
  <c r="S93" i="3"/>
  <c r="S85" i="3"/>
  <c r="S77" i="3"/>
  <c r="S69" i="3"/>
  <c r="S61" i="3"/>
  <c r="S53" i="3"/>
  <c r="S45" i="3"/>
  <c r="S37" i="3"/>
  <c r="S29" i="3"/>
  <c r="S21" i="3"/>
  <c r="S13" i="3"/>
  <c r="S5" i="3"/>
  <c r="S172" i="3"/>
  <c r="S140" i="3"/>
  <c r="S124" i="3"/>
  <c r="S108" i="3"/>
  <c r="S92" i="3"/>
  <c r="S76" i="3"/>
  <c r="S60" i="3"/>
  <c r="S44" i="3"/>
  <c r="S28" i="3"/>
  <c r="S12" i="3"/>
  <c r="L4" i="3"/>
  <c r="S4" i="3" s="1"/>
  <c r="Z4" i="3" a="1"/>
  <c r="Z4" i="3" s="1"/>
  <c r="AA4" i="3" s="1" a="1"/>
  <c r="AA4" i="3" s="1"/>
  <c r="AB4" i="3" s="1" a="1"/>
  <c r="AB4" i="3" s="1"/>
  <c r="AC4" i="3" s="1" a="1"/>
  <c r="AC4" i="3" s="1"/>
  <c r="AD4" i="3" s="1" a="1"/>
  <c r="AD4" i="3" s="1"/>
  <c r="AE4" i="3" s="1" a="1"/>
  <c r="AE4" i="3" s="1"/>
  <c r="AF4" i="3" s="1" a="1"/>
  <c r="AF4" i="3" s="1"/>
  <c r="AG4" i="3" s="1" a="1"/>
  <c r="AG4" i="3" s="1"/>
  <c r="AH4" i="3" s="1" a="1"/>
  <c r="AH4" i="3" s="1"/>
  <c r="AI4" i="3" s="1" a="1"/>
  <c r="AI4" i="3" s="1"/>
  <c r="S2" i="3" l="1"/>
  <c r="AJ4" i="3" a="1"/>
  <c r="AJ4" i="3" s="1"/>
  <c r="AK4" i="3" l="1" a="1"/>
  <c r="AK4" i="3" s="1"/>
  <c r="AK206" i="3" s="1"/>
  <c r="B1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<sst xmlns="http://schemas.openxmlformats.org/spreadsheetml/2006/main" count="764" uniqueCount="461">
  <si>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</si>
  <si>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</si>
  <si>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</si>
  <si>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</si>
  <si>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</si>
  <si>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</si>
  <si>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</si>
  <si>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</si>
  <si>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</si>
  <si>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</si>
  <si>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</si>
  <si>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</si>
  <si>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</si>
  <si>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</si>
  <si>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</si>
  <si>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</si>
  <si>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FU-54TZ</t>
  </si>
  <si>
    <t>ファイバセンサ　フラット金具</t>
  </si>
  <si>
    <t>5TK20GN-CW2J+5GN180K</t>
  </si>
  <si>
    <t>トルクモーター TMシリーズ</t>
  </si>
  <si>
    <t>EV-112M</t>
  </si>
  <si>
    <t>LR-XH100</t>
  </si>
  <si>
    <t>CMOSレーザセンサ アンプ分離型 アンプユニット ケーブルタイプ</t>
  </si>
  <si>
    <t>LR-XN11N</t>
  </si>
  <si>
    <t>RCP6-SA4R-WA-35P-16-150-P5-X07-MR-NM</t>
  </si>
  <si>
    <t>EC-S4HR-200-7-ML-TMD2</t>
  </si>
  <si>
    <t>SV3-B075AK</t>
  </si>
  <si>
    <t>サーボモータ</t>
    <phoneticPr fontId="1"/>
  </si>
  <si>
    <t>SV3-M040AK</t>
  </si>
  <si>
    <t>LR-ZB250AN</t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</si>
  <si>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</si>
  <si>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</si>
  <si>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</si>
  <si>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</si>
  <si>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</si>
  <si>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</si>
  <si>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</si>
  <si>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</si>
  <si>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</si>
  <si>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</si>
  <si>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</si>
  <si>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</si>
  <si>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</si>
  <si>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</si>
  <si>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</si>
  <si>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</si>
  <si>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</si>
  <si>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</si>
  <si>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</si>
  <si>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</si>
  <si>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EtherNet/IP対応通信ﾕﾆｯﾄ</t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</si>
  <si>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</si>
  <si>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</si>
  <si>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</si>
  <si>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</si>
  <si>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</si>
  <si>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MXQ20-50A-M9BZ</t>
  </si>
  <si>
    <t>CDQ2B25-20DZ-M9BVM</t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</si>
  <si>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</si>
  <si>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</si>
  <si>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</si>
  <si>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</si>
  <si>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</si>
  <si>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</si>
  <si>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</si>
  <si>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</si>
  <si>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</si>
  <si>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</si>
  <si>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</si>
  <si>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</si>
  <si>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</si>
  <si>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</si>
  <si>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</si>
  <si>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</si>
  <si>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</si>
  <si>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</si>
  <si>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</si>
  <si>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</si>
  <si>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</si>
  <si>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波板カット</t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</si>
  <si>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</si>
  <si>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</si>
  <si>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</si>
  <si>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</si>
  <si>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</si>
  <si>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</si>
  <si>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</si>
  <si>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</si>
  <si>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</si>
  <si>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</si>
  <si>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</si>
  <si>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</si>
  <si>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</si>
  <si>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</si>
  <si>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</si>
  <si>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</si>
  <si>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</si>
  <si>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</si>
  <si>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</si>
  <si>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</si>
  <si>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</si>
  <si>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</si>
  <si>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</si>
  <si>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</si>
  <si>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</si>
  <si>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</si>
  <si>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</si>
  <si>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</si>
  <si>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</si>
  <si>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</si>
  <si>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平板フラップ開閉</t>
  </si>
  <si>
    <t>平板カット刃開閉</t>
  </si>
  <si>
    <t>波板カット刃開閉</t>
  </si>
  <si>
    <t>箔ロウ押え上下</t>
  </si>
  <si>
    <t>平板チャック開閉</t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</si>
  <si>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</si>
  <si>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</si>
  <si>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</si>
  <si>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</si>
  <si>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</si>
  <si>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</si>
  <si>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</si>
  <si>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</si>
  <si>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</si>
  <si>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</si>
  <si>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</si>
  <si>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</si>
  <si>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</si>
  <si>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</si>
  <si>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</si>
  <si>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</si>
  <si>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</si>
  <si>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</si>
  <si>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</si>
  <si>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</si>
  <si>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</si>
  <si>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</si>
  <si>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</si>
  <si>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</si>
  <si>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</si>
  <si>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</si>
  <si>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</si>
  <si>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</si>
  <si>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</si>
  <si>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</si>
  <si>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CDAS16×10-B-R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</si>
  <si>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</si>
  <si>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</si>
  <si>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</si>
  <si>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</si>
  <si>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</si>
  <si>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</si>
  <si>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</si>
  <si>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</si>
  <si>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</si>
  <si>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</si>
  <si>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</si>
  <si>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</si>
  <si>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</si>
  <si>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</si>
  <si>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</si>
  <si>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</si>
  <si>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</si>
  <si>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</si>
  <si>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</si>
  <si>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</si>
  <si>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</si>
  <si>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</si>
  <si>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</si>
  <si>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</si>
  <si>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</si>
  <si>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</si>
  <si>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</si>
  <si>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</si>
  <si>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</si>
  <si>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ワーク排出上下軸</t>
    <phoneticPr fontId="1"/>
  </si>
  <si>
    <t>平板供給部</t>
  </si>
  <si>
    <t>波板供給部</t>
  </si>
  <si>
    <t>箔ロウ供給部</t>
  </si>
  <si>
    <t>溶接部</t>
  </si>
  <si>
    <t>排出部</t>
  </si>
  <si>
    <t>unit</t>
    <phoneticPr fontId="1"/>
  </si>
  <si>
    <t>MGPM12-20Z-M9BL</t>
  </si>
  <si>
    <t>波板補助軸</t>
    <rPh sb="0" eb="2">
      <t>ナミイタ</t>
    </rPh>
    <rPh sb="2" eb="4">
      <t>ホジョ</t>
    </rPh>
    <rPh sb="4" eb="5">
      <t>ジク</t>
    </rPh>
    <phoneticPr fontId="1"/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</si>
  <si>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</si>
  <si>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</si>
  <si>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</si>
  <si>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</si>
  <si>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</si>
  <si>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OTH</t>
    <phoneticPr fontId="1"/>
  </si>
  <si>
    <t>OTHC</t>
    <phoneticPr fontId="1"/>
  </si>
  <si>
    <t>(Unassigned)</t>
  </si>
  <si>
    <t>RCP6S-SA7R-WA-56P-16-150-SE-S-B-MR　</t>
  </si>
  <si>
    <t>ロボシリンダー</t>
  </si>
  <si>
    <t>Workpiece transportation Y-shaft</t>
  </si>
  <si>
    <t>RCP6S-SA4R-WA-35P-5-150-SE-S-MR</t>
  </si>
  <si>
    <t>Workpiece  rotation</t>
  </si>
  <si>
    <t xml:space="preserve">RCS2-RTC12L-A-150-30-360-T2-S-L </t>
  </si>
  <si>
    <t>ロボシリンダー(ロータリ)</t>
  </si>
  <si>
    <t>ワークチャック</t>
  </si>
  <si>
    <t xml:space="preserve">Workpiece  chuck </t>
  </si>
  <si>
    <t>RCP2-GRHB-I-42P-2-40-P1-S</t>
  </si>
  <si>
    <t>ロボシリンダー(グリッパ)</t>
  </si>
  <si>
    <t>Welding support up/down</t>
  </si>
  <si>
    <t>Welding torch up/down</t>
  </si>
  <si>
    <t xml:space="preserve">RCP6S-SA6C-WA-42P-3-50-SE-S-B </t>
  </si>
  <si>
    <t>ワーク搬送Y軸</t>
  </si>
  <si>
    <t>ワーク回転</t>
  </si>
  <si>
    <t>溶接補助</t>
  </si>
  <si>
    <t>溶接トーチ上下</t>
  </si>
  <si>
    <t>平板張力軸</t>
    <rPh sb="0" eb="2">
      <t>ヒライタ</t>
    </rPh>
    <rPh sb="2" eb="4">
      <t>チョウリョク</t>
    </rPh>
    <rPh sb="4" eb="5">
      <t>ジク</t>
    </rPh>
    <phoneticPr fontId="1"/>
  </si>
  <si>
    <t>サーボモータ</t>
  </si>
  <si>
    <t>平板チャック軸</t>
    <rPh sb="0" eb="2">
      <t>ヒライタ</t>
    </rPh>
    <rPh sb="6" eb="7">
      <t>ジク</t>
    </rPh>
    <phoneticPr fontId="1"/>
  </si>
  <si>
    <t>平板チャック前後軸</t>
    <rPh sb="0" eb="2">
      <t>ヒライタ</t>
    </rPh>
    <rPh sb="6" eb="8">
      <t>ゼンゴ</t>
    </rPh>
    <rPh sb="8" eb="9">
      <t>ジク</t>
    </rPh>
    <phoneticPr fontId="1"/>
  </si>
  <si>
    <t>RCP4-GRSWL-I-42P-28-30-P3-M-AC1</t>
    <phoneticPr fontId="1"/>
  </si>
  <si>
    <t>RCP6-TA6C-WA-42P-12-125-P3-X07-CJB-1</t>
    <phoneticPr fontId="1"/>
  </si>
  <si>
    <t>波板張力軸</t>
    <rPh sb="0" eb="2">
      <t>ナミイタ</t>
    </rPh>
    <rPh sb="2" eb="4">
      <t>チョウリョク</t>
    </rPh>
    <rPh sb="4" eb="5">
      <t>ジク</t>
    </rPh>
    <phoneticPr fontId="1"/>
  </si>
  <si>
    <t>Flat Sheet Feeder</t>
  </si>
  <si>
    <t>Corrugated Sheet Feeder</t>
  </si>
  <si>
    <t>Brazing Foil Feeder</t>
  </si>
  <si>
    <t>Winding Spindle</t>
  </si>
  <si>
    <t>Welding Unit</t>
  </si>
  <si>
    <t>Discharge Unit</t>
  </si>
  <si>
    <t>Xロール部</t>
  </si>
  <si>
    <t>X-Roll Unit</t>
  </si>
  <si>
    <t>箔ロウリール部</t>
  </si>
  <si>
    <t>Brazing Foil Reel</t>
  </si>
  <si>
    <t>波板送り軸</t>
  </si>
  <si>
    <t>波板送り軸</t>
    <rPh sb="0" eb="2">
      <t>ナミイタ</t>
    </rPh>
    <rPh sb="2" eb="3">
      <t>オク</t>
    </rPh>
    <rPh sb="4" eb="5">
      <t>ジク</t>
    </rPh>
    <phoneticPr fontId="1"/>
  </si>
  <si>
    <t>ワーク排出上下軸</t>
  </si>
  <si>
    <t>溶接トーチ前後軸</t>
  </si>
  <si>
    <t>溶接トーチ前後軸</t>
    <rPh sb="0" eb="2">
      <t>ヨウセツ</t>
    </rPh>
    <rPh sb="5" eb="7">
      <t>ゼンゴ</t>
    </rPh>
    <phoneticPr fontId="1"/>
  </si>
  <si>
    <t>溶接トーチ上下軸</t>
  </si>
  <si>
    <t>溶接トーチ上下軸</t>
    <rPh sb="0" eb="2">
      <t>ヨウセツ</t>
    </rPh>
    <rPh sb="5" eb="7">
      <t>ジョウゲ</t>
    </rPh>
    <phoneticPr fontId="1"/>
  </si>
  <si>
    <t>巻取り主軸</t>
  </si>
  <si>
    <t>ベース</t>
  </si>
  <si>
    <t>巻取り軸芯前後</t>
  </si>
  <si>
    <t>平板補助プレート</t>
  </si>
  <si>
    <t>平板クランプ</t>
  </si>
  <si>
    <t>エアスライドテーブル</t>
  </si>
  <si>
    <t>薄型エアチャック</t>
  </si>
  <si>
    <t>平板供給</t>
  </si>
  <si>
    <t>平板押え上下</t>
  </si>
  <si>
    <t>薄型シリンダ</t>
  </si>
  <si>
    <t>箔ロウカット</t>
  </si>
  <si>
    <t>平板カッター</t>
  </si>
  <si>
    <t>平板カット刃押出し</t>
  </si>
  <si>
    <t>波板カット刃押出し</t>
  </si>
  <si>
    <t>波板カット補助</t>
  </si>
  <si>
    <t>波板カット補助L</t>
  </si>
  <si>
    <t>Xロール平板押付</t>
  </si>
  <si>
    <t>不明</t>
  </si>
  <si>
    <t>箔ロウリール固定</t>
  </si>
  <si>
    <t>ガイド付薄形シリンダ MGPシリーズ</t>
  </si>
  <si>
    <t>MISUMI</t>
  </si>
  <si>
    <t>段取り替え部品</t>
  </si>
  <si>
    <t>EC</t>
  </si>
  <si>
    <t>ワーク排出前後軸</t>
  </si>
  <si>
    <t>エレシリンダー</t>
  </si>
  <si>
    <t>sense</t>
  </si>
  <si>
    <t>ワーク排出/周長測定</t>
  </si>
  <si>
    <t>排出測定</t>
  </si>
  <si>
    <t>GT2-71N（+GT2-CHP5M　ケーブル）</t>
  </si>
  <si>
    <t>アンプユニット</t>
  </si>
  <si>
    <t>近接センサー</t>
  </si>
  <si>
    <t>波板在荷センサ(候補1)</t>
  </si>
  <si>
    <t>CMOSレーザセンサ</t>
  </si>
  <si>
    <t>1台追加の可能性あり</t>
  </si>
  <si>
    <t>波板在荷センサ(候補2)</t>
  </si>
  <si>
    <t>アンプ内蔵CMOSレーザセンサ角型 反射型 ケーブルタイプ 250mm</t>
  </si>
  <si>
    <t>在庫品</t>
  </si>
  <si>
    <t>DL-EP1</t>
  </si>
  <si>
    <t>デジタルファイバアンプ</t>
  </si>
  <si>
    <t>OTH</t>
  </si>
  <si>
    <t>溶接機</t>
  </si>
  <si>
    <t>Xロール電磁クラッチ</t>
  </si>
  <si>
    <t>OTHC</t>
  </si>
  <si>
    <t>(未割付け)</t>
  </si>
  <si>
    <t>Tロール糊付け軸</t>
  </si>
  <si>
    <t>Brazing Foil Reel Axis</t>
  </si>
  <si>
    <t>Flat Sheet Feed Axis</t>
  </si>
  <si>
    <t>Brazing Foil Feed Axis</t>
  </si>
  <si>
    <t>Corrugated Sheet Feed Axis</t>
  </si>
  <si>
    <t>Workpiece Discharge Lift Axis</t>
  </si>
  <si>
    <t>Circumference Probe Lift Axis</t>
  </si>
  <si>
    <t>Workpiece Discharge Chuck Axis</t>
  </si>
  <si>
    <t>Welding Torch F/B Axis</t>
  </si>
  <si>
    <t>Welding Torch U/D Axis</t>
  </si>
  <si>
    <t>Workpiece Width Adjustment Axis</t>
  </si>
  <si>
    <t>Corrugated Sheet Support Axis</t>
  </si>
  <si>
    <t>Flat Sheet Tension Axis</t>
  </si>
  <si>
    <t>Flat Sheet Chuck Axis</t>
  </si>
  <si>
    <t>Flat Sheet Chuck F/B Axis</t>
  </si>
  <si>
    <t>Corrugated Sheet Tension Axis</t>
  </si>
  <si>
    <t>表示文字数</t>
    <rPh sb="0" eb="2">
      <t>ヒョウジ</t>
    </rPh>
    <rPh sb="2" eb="5">
      <t>モジスウ</t>
    </rPh>
    <phoneticPr fontId="1"/>
  </si>
  <si>
    <t>文字数オーバー(index_name)</t>
    <rPh sb="0" eb="3">
      <t>モジスウ</t>
    </rPh>
    <phoneticPr fontId="1"/>
  </si>
  <si>
    <t>オーバータイトル数</t>
    <rPh sb="8" eb="9">
      <t>スウ</t>
    </rPh>
    <phoneticPr fontId="1"/>
  </si>
  <si>
    <t>Tロール糊付け下ロール</t>
    <phoneticPr fontId="1"/>
  </si>
  <si>
    <t>Tロール糊付け上ロール</t>
    <phoneticPr fontId="1"/>
  </si>
  <si>
    <t>Xロール糊付け左ロール</t>
    <rPh sb="7" eb="8">
      <t>ヒダリ</t>
    </rPh>
    <phoneticPr fontId="1"/>
  </si>
  <si>
    <t>Xロール糊付け右ロール</t>
    <rPh sb="7" eb="8">
      <t>ミギ</t>
    </rPh>
    <phoneticPr fontId="1"/>
  </si>
  <si>
    <t>T-Roll Gluing Lower Roll</t>
  </si>
  <si>
    <t>T-Roll Gluing Upper Roll</t>
  </si>
  <si>
    <t>Flat Sheet Support Plate</t>
  </si>
  <si>
    <t>Flat Sheet Chuck Open/Close</t>
  </si>
  <si>
    <t>Brazing Foil Cutter</t>
  </si>
  <si>
    <t>Flat Sheet Cutter Blade Extend</t>
  </si>
  <si>
    <t>Flat Sheet Cutter Blade Open/Close</t>
  </si>
  <si>
    <t>Corrugated Sheet Cutter Blade Extend</t>
  </si>
  <si>
    <t>Corrugated Sheet Cutter Blade Open/Close</t>
  </si>
  <si>
    <t>Corrugated Sheet Cutter Support</t>
  </si>
  <si>
    <t>Corrugated Sheet Cutter Support L</t>
  </si>
  <si>
    <t>X-Roll Gluing Left Roll</t>
  </si>
  <si>
    <t>X-Roll Gluing Right Roll</t>
  </si>
  <si>
    <t>X-Roll Flat Sheet Press</t>
  </si>
  <si>
    <t>Brazing Foil Reel Lock</t>
  </si>
  <si>
    <t>Workpiece Discharge F/B</t>
  </si>
  <si>
    <t>緒言</t>
    <rPh sb="0" eb="2">
      <t>ショゲン</t>
    </rPh>
    <phoneticPr fontId="1"/>
  </si>
  <si>
    <t>短縮機器名(EN)</t>
  </si>
  <si>
    <t>文字数オーバー</t>
    <rPh sb="0" eb="3">
      <t>モジスウ</t>
    </rPh>
    <phoneticPr fontId="1"/>
  </si>
  <si>
    <t>文字数オーバー(EN)</t>
    <rPh sb="0" eb="3">
      <t>モジスウ</t>
    </rPh>
    <phoneticPr fontId="1"/>
  </si>
  <si>
    <t>箔ロウリール軸</t>
  </si>
  <si>
    <t>平板送り軸</t>
  </si>
  <si>
    <t>箔ロウ送り軸</t>
  </si>
  <si>
    <t>排出チャック軸</t>
  </si>
  <si>
    <t>波板リールM</t>
  </si>
  <si>
    <t>平板リールM</t>
  </si>
  <si>
    <t>ワーク幅調整軸</t>
  </si>
  <si>
    <t>波板補助軸</t>
  </si>
  <si>
    <t>平板張力軸</t>
  </si>
  <si>
    <t>Flat Sheet Feed Ax</t>
  </si>
  <si>
    <t>Brazing Foil Feed</t>
  </si>
  <si>
    <t>Corr Sheet Feed Ax</t>
  </si>
  <si>
    <t>Work Disch Lift</t>
  </si>
  <si>
    <t>Circum Probe Lift</t>
  </si>
  <si>
    <t>Discharge Chuck Ax</t>
  </si>
  <si>
    <t>Weld Torch F/B Ax</t>
  </si>
  <si>
    <t>Weld Torch U/D Ax</t>
  </si>
  <si>
    <t>Binder Pump Motor</t>
  </si>
  <si>
    <t>Corr Sheet Reel M</t>
  </si>
  <si>
    <t>Flat Sheet Reel M</t>
  </si>
  <si>
    <t>Work Width Adj Ax</t>
  </si>
  <si>
    <t>Corr Sheet Aux Ax</t>
  </si>
  <si>
    <t>Flat Sheet Tens Ax</t>
  </si>
  <si>
    <t>Tロール糊下ロール</t>
  </si>
  <si>
    <t>Tロール糊上ロール</t>
  </si>
  <si>
    <t>平板チャック前後</t>
  </si>
  <si>
    <t>平板刃押出し</t>
  </si>
  <si>
    <t>平板刃開閉</t>
  </si>
  <si>
    <t>波板刃押出し</t>
  </si>
  <si>
    <t>波板刃開閉</t>
  </si>
  <si>
    <t>Xロール左ロール</t>
  </si>
  <si>
    <t>Xロール右ロール</t>
  </si>
  <si>
    <t>Wind Shaft Ctr F/B</t>
  </si>
  <si>
    <t>T-Roll Glue Lower</t>
  </si>
  <si>
    <t>T-Roll Glue Upper</t>
  </si>
  <si>
    <t>Flat Sheet Sup Plt</t>
  </si>
  <si>
    <t>Flat Chuck F/B</t>
  </si>
  <si>
    <t>Flat Chuck O/C</t>
  </si>
  <si>
    <t>Flat Clamp U/D</t>
  </si>
  <si>
    <t>Foil Clamp U/D</t>
  </si>
  <si>
    <t>Brazing Foil Cut</t>
  </si>
  <si>
    <t>Flat Cutter Extend</t>
  </si>
  <si>
    <t>Flat Cutter O/C</t>
  </si>
  <si>
    <t>Corr Cutter Extend</t>
  </si>
  <si>
    <t>Corr Cutter O/C</t>
  </si>
  <si>
    <t>Corr Cut Supp L</t>
  </si>
  <si>
    <t>X-Roll Left Roll</t>
  </si>
  <si>
    <t>X-Roll Right Roll</t>
  </si>
  <si>
    <t>X-Roll Flat Press</t>
  </si>
  <si>
    <t>Foil Reel Lock</t>
  </si>
  <si>
    <t>Work Discharge F/B</t>
  </si>
  <si>
    <t>波板押え上下</t>
    <rPh sb="4" eb="6">
      <t>ジョウゲ</t>
    </rPh>
    <phoneticPr fontId="1"/>
  </si>
  <si>
    <t>Corr Clamp U/D</t>
    <phoneticPr fontId="1"/>
  </si>
  <si>
    <t>箔ロウカット</t>
    <phoneticPr fontId="1"/>
  </si>
  <si>
    <t>平板チャック前後</t>
    <phoneticPr fontId="1"/>
  </si>
  <si>
    <t>巻取り軸芯前後</t>
    <phoneticPr fontId="1"/>
  </si>
  <si>
    <t>Winding Spindle Center Forward/Backward</t>
  </si>
  <si>
    <t>Flat Sheet Chuck (Hand) Forward/Backward</t>
  </si>
  <si>
    <t>Flat Sheet Clamp Up/Down</t>
  </si>
  <si>
    <t>Brazing Foil Clamp Up/Down</t>
  </si>
  <si>
    <t>Corrugated Sheet Clamp Up/Down</t>
  </si>
  <si>
    <t>短縮機器名</t>
    <phoneticPr fontId="1"/>
  </si>
  <si>
    <t>短縮機器表示名最大文字列[byte]</t>
    <rPh sb="0" eb="2">
      <t>タンシュク</t>
    </rPh>
    <rPh sb="2" eb="4">
      <t>キキ</t>
    </rPh>
    <rPh sb="4" eb="7">
      <t>ヒョウジメイ</t>
    </rPh>
    <rPh sb="7" eb="9">
      <t>サイダイ</t>
    </rPh>
    <rPh sb="9" eb="12">
      <t>モジレツ</t>
    </rPh>
    <phoneticPr fontId="1"/>
  </si>
  <si>
    <t>通常機器名最大文字列[byte]</t>
    <rPh sb="0" eb="2">
      <t>ツウジョウ</t>
    </rPh>
    <rPh sb="2" eb="5">
      <t>キキメイ</t>
    </rPh>
    <rPh sb="5" eb="7">
      <t>サイダイ</t>
    </rPh>
    <rPh sb="7" eb="9">
      <t>モジ</t>
    </rPh>
    <rPh sb="9" eb="10">
      <t>レツ</t>
    </rPh>
    <phoneticPr fontId="1"/>
  </si>
  <si>
    <t>文字数オーバー</t>
  </si>
  <si>
    <t>文字数オーバー(EN)</t>
  </si>
  <si>
    <t>Corr Cut Support</t>
    <phoneticPr fontId="1"/>
  </si>
  <si>
    <t>意味</t>
  </si>
  <si>
    <t>推奨略語</t>
  </si>
  <si>
    <t>Axis</t>
  </si>
  <si>
    <t>Ax</t>
  </si>
  <si>
    <t>Workpiece</t>
  </si>
  <si>
    <t>Work</t>
  </si>
  <si>
    <t>Discharge</t>
  </si>
  <si>
    <t>Disch</t>
  </si>
  <si>
    <t>Corrugated Sheet</t>
  </si>
  <si>
    <t>Corr</t>
  </si>
  <si>
    <t>Adjustment</t>
  </si>
  <si>
    <t>Adj</t>
  </si>
  <si>
    <t>Auxiliary</t>
  </si>
  <si>
    <t>Aux</t>
  </si>
  <si>
    <t>Center</t>
  </si>
  <si>
    <t>Ctr</t>
  </si>
  <si>
    <t>Support</t>
  </si>
  <si>
    <t>Supp</t>
  </si>
  <si>
    <t>Open/Close</t>
  </si>
  <si>
    <t>O/C</t>
  </si>
  <si>
    <t>Forward/Backward</t>
  </si>
  <si>
    <t>F/B</t>
  </si>
  <si>
    <t>Up/Down</t>
  </si>
  <si>
    <t>U/D</t>
  </si>
  <si>
    <t>Motor</t>
  </si>
  <si>
    <t>M</t>
  </si>
  <si>
    <t>Extend</t>
    <phoneticPr fontId="1"/>
  </si>
  <si>
    <t>(FAにおける)押出し動作。(例)Cutter Blade Extend.</t>
    <rPh sb="15" eb="16">
      <t>レイ</t>
    </rPh>
    <phoneticPr fontId="1"/>
  </si>
  <si>
    <t>平板チャック開閉</t>
    <phoneticPr fontId="1"/>
  </si>
  <si>
    <t>Welding Machine</t>
  </si>
  <si>
    <t>X-Roll Electromagnetic Clutch</t>
  </si>
  <si>
    <t>T-Roll Gluing Axis</t>
  </si>
  <si>
    <t>Weld Machine</t>
  </si>
  <si>
    <t>X-Roll EM Clutch</t>
  </si>
  <si>
    <t>Unassigned</t>
  </si>
  <si>
    <t>T-Roll Glue Axis</t>
  </si>
  <si>
    <t>ワーク排出前後軸</t>
    <phoneticPr fontId="1"/>
  </si>
  <si>
    <t>Flat Sheet Chuck Forward/Backward Axis</t>
  </si>
  <si>
    <t>Flat Chuck Axis</t>
  </si>
  <si>
    <t>Corr Tension Axis</t>
    <phoneticPr fontId="1"/>
  </si>
  <si>
    <t>Flat Chuck F/B Ax</t>
    <phoneticPr fontId="1"/>
  </si>
  <si>
    <t>バインダ供給ポンプ</t>
    <phoneticPr fontId="1"/>
  </si>
  <si>
    <t>Xロールクラッチ</t>
    <phoneticPr fontId="1"/>
  </si>
  <si>
    <t>Flat Sheet Feed</t>
  </si>
  <si>
    <t>Corr Sheet Feed</t>
  </si>
  <si>
    <t>Braz Foil Feed</t>
  </si>
  <si>
    <t>Braz Foil Reel</t>
  </si>
  <si>
    <t>アイコン表示</t>
    <rPh sb="4" eb="6">
      <t>ヒョウジ</t>
    </rPh>
    <phoneticPr fontId="1"/>
  </si>
  <si>
    <t>アイコン表示(EN)</t>
    <rPh sb="4" eb="6">
      <t>ヒョウジ</t>
    </rPh>
    <phoneticPr fontId="1"/>
  </si>
  <si>
    <t>Corr Feed</t>
  </si>
  <si>
    <t>Braz Feed</t>
  </si>
  <si>
    <t>X-Roll</t>
  </si>
  <si>
    <t>Braz Reel</t>
  </si>
  <si>
    <t>アイコン表示名最大文字列[byte]</t>
    <rPh sb="4" eb="7">
      <t>ヒョウジメイ</t>
    </rPh>
    <rPh sb="7" eb="9">
      <t>サイダイ</t>
    </rPh>
    <rPh sb="9" eb="12">
      <t>モジレツ</t>
    </rPh>
    <phoneticPr fontId="1"/>
  </si>
  <si>
    <t>Flat Feed</t>
    <phoneticPr fontId="1"/>
  </si>
  <si>
    <t>平板供給部</t>
    <phoneticPr fontId="1"/>
  </si>
  <si>
    <t>波板供給部</t>
    <phoneticPr fontId="1"/>
  </si>
  <si>
    <t>箔ﾛｳ供給部</t>
    <phoneticPr fontId="1"/>
  </si>
  <si>
    <t>巻取り部</t>
  </si>
  <si>
    <t>巻取り部</t>
    <phoneticPr fontId="1"/>
  </si>
  <si>
    <t>Winding Unit</t>
    <phoneticPr fontId="1"/>
  </si>
  <si>
    <t>Wind</t>
    <phoneticPr fontId="1"/>
  </si>
  <si>
    <t>Weld Unit</t>
    <phoneticPr fontId="1"/>
  </si>
  <si>
    <t>Wind Unit</t>
    <phoneticPr fontId="1"/>
  </si>
  <si>
    <t>Discharge Unit</t>
    <phoneticPr fontId="1"/>
  </si>
  <si>
    <t>Weld</t>
    <phoneticPr fontId="1"/>
  </si>
  <si>
    <t>Disch</t>
    <phoneticPr fontId="1"/>
  </si>
  <si>
    <t>溶接部</t>
    <phoneticPr fontId="1"/>
  </si>
  <si>
    <t>排出部</t>
    <phoneticPr fontId="1"/>
  </si>
  <si>
    <t>使用中</t>
    <rPh sb="0" eb="3">
      <t>シヨウチュウ</t>
    </rPh>
    <phoneticPr fontId="1"/>
  </si>
  <si>
    <t>●</t>
    <phoneticPr fontId="1"/>
  </si>
  <si>
    <t>X-Roll Tower Unit</t>
  </si>
  <si>
    <t>Brazing Foil Reel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</si>
</sst>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7" fillId="0" borderId="0" xfId="0" applyFont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176" fontId="0" fillId="0" borderId="0" xfId="0" applyNumberFormat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7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0" fontId="7" fillId="3" borderId="12" xfId="0" applyFont="1" applyFill="1" applyBorder="1" applyAlignment="1">
      <alignment horizontal="center" vertical="top"/>
    </xf>
    <xf numFmtId="0" fontId="8" fillId="0" borderId="4" xfId="0" applyFont="1" applyBorder="1">
      <alignment vertical="center"/>
    </xf>
    <xf numFmtId="0" fontId="8" fillId="0" borderId="5" xfId="0" applyFont="1" applyBorder="1" applyAlignment="1">
      <alignment horizontal="right" vertical="center"/>
    </xf>
    <xf numFmtId="177" fontId="8" fillId="0" borderId="2" xfId="0" applyNumberFormat="1" applyFont="1" applyBorder="1" applyAlignment="1">
      <alignment horizontal="center" vertical="center"/>
    </xf>
    <xf numFmtId="177" fontId="8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left" vertical="center"/>
    </xf>
    <xf numFmtId="177" fontId="0" fillId="0" borderId="5" xfId="0" applyNumberFormat="1" applyBorder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top" shrinkToFit="1"/>
    </xf>
    <xf numFmtId="0" fontId="7" fillId="3" borderId="11" xfId="0" applyFont="1" applyFill="1" applyBorder="1" applyAlignment="1">
      <alignment horizontal="center" vertical="top" shrinkToFit="1"/>
    </xf>
    <xf numFmtId="0" fontId="7" fillId="3" borderId="12" xfId="0" applyFont="1" applyFill="1" applyBorder="1" applyAlignment="1">
      <alignment horizontal="center" vertical="top" shrinkToFit="1"/>
    </xf>
    <xf numFmtId="177" fontId="7" fillId="3" borderId="12" xfId="0" applyNumberFormat="1" applyFont="1" applyFill="1" applyBorder="1" applyAlignment="1">
      <alignment horizontal="center" vertical="top" shrinkToFit="1"/>
    </xf>
  </cellXfs>
  <cellStyles count="1">
    <cellStyle name="標準" xfId="0" builtinId="0"/>
  </cellStyles>
  <dxfs count="7">
    <dxf>
      <fill>
        <patternFill>
          <bgColor rgb="FFFFCCCC"/>
        </patternFill>
      </fill>
    </dxf>
    <dxf>
      <font>
        <color rgb="FFFF7C80"/>
      </font>
    </dxf>
    <dxf>
      <fill>
        <patternFill patternType="lightUp">
          <fgColor rgb="FF33CCCC"/>
        </patternFill>
      </fill>
    </dxf>
    <dxf>
      <font>
        <color rgb="FFFF5050"/>
      </font>
    </dxf>
    <dxf>
      <font>
        <color rgb="FFFF5050"/>
      </font>
    </dxf>
    <dxf>
      <fill>
        <patternFill>
          <bgColor theme="0" tint="-4.9989318521683403E-2"/>
        </patternFill>
      </fill>
    </dxf>
    <dxf>
      <font>
        <color rgb="FF0099CC"/>
      </font>
    </dxf>
  </dxfs>
  <tableStyles count="0" defaultTableStyle="TableStyleMedium2" defaultPivotStyle="PivotStyleLight16"/>
  <colors>
    <mruColors>
      <color rgb="FFFF5050"/>
      <color rgb="FFFF7C80"/>
      <color rgb="FFFF9999"/>
      <color rgb="FFFFCCCC"/>
      <color rgb="FF0099CC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204304</xdr:rowOff>
    </xdr:from>
    <xdr:to>
      <xdr:col>3</xdr:col>
      <xdr:colOff>496957</xdr:colOff>
      <xdr:row>2</xdr:row>
      <xdr:rowOff>0</xdr:rowOff>
    </xdr:to>
    <xdr:sp macro="" textlink="$D$76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72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AE100"/>
  <sheetViews>
    <sheetView tabSelected="1" zoomScaleNormal="100" workbookViewId="0">
      <pane xSplit="9" ySplit="3" topLeftCell="J55" activePane="bottomRight" state="frozen"/>
      <selection pane="topRight" activeCell="G1" sqref="G1"/>
      <selection pane="bottomLeft" activeCell="A3" sqref="A3"/>
      <selection pane="bottomRight" activeCell="J70" sqref="J70"/>
    </sheetView>
  </sheetViews>
  <sheetFormatPr defaultRowHeight="18" x14ac:dyDescent="0.55000000000000004"/>
  <cols>
    <col min="1" max="1" width="29.58203125" bestFit="1" customWidth="1"/>
    <col min="6" max="6" width="9.1640625" bestFit="1" customWidth="1"/>
    <col min="8" max="8" width="20" bestFit="1" customWidth="1"/>
    <col min="9" max="12" width="31.4140625" customWidth="1"/>
    <col min="13" max="14" width="12.58203125" customWidth="1"/>
    <col min="15" max="15" width="81" bestFit="1" customWidth="1"/>
    <col min="16" max="16" width="71.08203125" customWidth="1"/>
    <col min="17" max="18" width="13.08203125" customWidth="1"/>
    <col min="19" max="22" width="18.33203125" customWidth="1"/>
    <col min="23" max="24" width="18.33203125" style="18" customWidth="1"/>
    <col min="25" max="25" width="18.33203125" customWidth="1"/>
    <col min="26" max="26" width="3.58203125" customWidth="1"/>
  </cols>
  <sheetData>
    <row r="1" spans="1:31" x14ac:dyDescent="0.55000000000000004">
      <c r="I1" t="s">
        <v>87</v>
      </c>
      <c r="J1" t="s">
        <v>115</v>
      </c>
      <c r="K1" t="s">
        <v>382</v>
      </c>
      <c r="L1" t="s">
        <v>318</v>
      </c>
      <c r="M1" t="s">
        <v>435</v>
      </c>
      <c r="N1" t="s">
        <v>436</v>
      </c>
    </row>
    <row r="2" spans="1:31" s="4" customFormat="1" ht="30" customHeight="1" x14ac:dyDescent="0.55000000000000004">
      <c r="A2" s="4" t="s">
        <v>317</v>
      </c>
      <c r="D2" s="27" t="s">
        <v>84</v>
      </c>
      <c r="E2" s="27" t="s">
        <v>93</v>
      </c>
      <c r="F2" s="27" t="s">
        <v>97</v>
      </c>
      <c r="G2" s="28" t="s">
        <v>85</v>
      </c>
      <c r="H2" s="28" t="s">
        <v>86</v>
      </c>
      <c r="I2" s="28" t="str">
        <f>I1&amp;"(Max:"&amp;$B$3&amp;"byte)"</f>
        <v>機器名(Max:64byte)</v>
      </c>
      <c r="J2" s="28" t="str">
        <f>J1&amp;"(Max:"&amp;$B$3&amp;"byte)"</f>
        <v>機器名(EN)(Max:64byte)</v>
      </c>
      <c r="K2" s="28" t="str">
        <f>K1&amp;"(Max:"&amp;$B$4&amp;"byte)"</f>
        <v>短縮機器名(Max:18byte)</v>
      </c>
      <c r="L2" s="28" t="str">
        <f>L1&amp;"(Max:"&amp;$B$4&amp;"byte)"</f>
        <v>短縮機器名(EN)(Max:18byte)</v>
      </c>
      <c r="M2" s="28" t="str">
        <f>M1&amp;"(Max:"&amp;$B$5&amp;"byte)"</f>
        <v>アイコン表示(Max:10byte)</v>
      </c>
      <c r="N2" s="28" t="str">
        <f>N1&amp;"(Max:"&amp;$B$5&amp;"byte)"</f>
        <v>アイコン表示(EN)(Max:10byte)</v>
      </c>
      <c r="O2" s="28" t="s">
        <v>9</v>
      </c>
      <c r="P2" s="28" t="s">
        <v>7</v>
      </c>
      <c r="Q2" s="28" t="s">
        <v>3</v>
      </c>
      <c r="R2" s="28" t="s">
        <v>154</v>
      </c>
      <c r="S2" s="28" t="s">
        <v>5</v>
      </c>
      <c r="T2" s="29" t="s">
        <v>92</v>
      </c>
      <c r="U2" s="29" t="s">
        <v>172</v>
      </c>
      <c r="V2" s="29" t="s">
        <v>171</v>
      </c>
      <c r="W2" s="30" t="s">
        <v>185</v>
      </c>
      <c r="X2" s="30" t="s">
        <v>186</v>
      </c>
      <c r="Y2" s="29" t="s">
        <v>457</v>
      </c>
      <c r="Z2" s="19"/>
      <c r="AB2" s="4" t="s">
        <v>385</v>
      </c>
      <c r="AC2" s="4" t="s">
        <v>386</v>
      </c>
      <c r="AD2" s="4" t="s">
        <v>319</v>
      </c>
      <c r="AE2" s="4" t="s">
        <v>320</v>
      </c>
    </row>
    <row r="3" spans="1:31" x14ac:dyDescent="0.55000000000000004">
      <c r="A3" t="s">
        <v>384</v>
      </c>
      <c r="B3">
        <v>64</v>
      </c>
      <c r="D3" s="15">
        <v>38</v>
      </c>
      <c r="E3" s="16" t="s">
        <v>96</v>
      </c>
      <c r="F3" s="16">
        <v>1</v>
      </c>
      <c r="G3" s="16">
        <v>7</v>
      </c>
      <c r="H3" s="16" t="s">
        <v>76</v>
      </c>
      <c r="I3" s="16" t="s">
        <v>107</v>
      </c>
      <c r="J3" s="16" t="s">
        <v>279</v>
      </c>
      <c r="K3" s="16" t="s">
        <v>321</v>
      </c>
      <c r="L3" s="16" t="s">
        <v>226</v>
      </c>
      <c r="M3" s="16"/>
      <c r="N3" s="16"/>
      <c r="O3" s="16" t="s">
        <v>18</v>
      </c>
      <c r="P3" s="16" t="s">
        <v>19</v>
      </c>
      <c r="Q3" s="16" t="s">
        <v>156</v>
      </c>
      <c r="R3" s="16" t="s">
        <v>155</v>
      </c>
      <c r="S3" s="16">
        <v>1</v>
      </c>
      <c r="T3" s="16"/>
      <c r="U3" s="16"/>
      <c r="V3" s="16"/>
      <c r="W3" s="22">
        <v>46069.554861111108</v>
      </c>
      <c r="X3" s="22">
        <v>46226.618055555555</v>
      </c>
      <c r="Y3" s="16"/>
      <c r="Z3" s="5"/>
      <c r="AB3">
        <f>LENB(I3)-$B$3</f>
        <v>-50</v>
      </c>
      <c r="AC3">
        <f>LENB(J3)-$B$3</f>
        <v>-42</v>
      </c>
      <c r="AD3">
        <f>LENB(K3)-$B$4</f>
        <v>-4</v>
      </c>
      <c r="AE3">
        <f>LENB(L3)-$B$4</f>
        <v>-1</v>
      </c>
    </row>
    <row r="4" spans="1:31" x14ac:dyDescent="0.55000000000000004">
      <c r="A4" t="s">
        <v>383</v>
      </c>
      <c r="B4">
        <v>18</v>
      </c>
      <c r="D4" s="20">
        <v>35</v>
      </c>
      <c r="E4" s="10" t="s">
        <v>96</v>
      </c>
      <c r="F4" s="10">
        <v>2</v>
      </c>
      <c r="G4" s="10">
        <v>6</v>
      </c>
      <c r="H4" s="10" t="s">
        <v>80</v>
      </c>
      <c r="I4" s="10" t="s">
        <v>101</v>
      </c>
      <c r="J4" s="10" t="s">
        <v>280</v>
      </c>
      <c r="K4" s="10" t="s">
        <v>322</v>
      </c>
      <c r="L4" s="10" t="s">
        <v>330</v>
      </c>
      <c r="M4" s="10"/>
      <c r="N4" s="10"/>
      <c r="O4" s="10" t="s">
        <v>13</v>
      </c>
      <c r="P4" s="10" t="s">
        <v>12</v>
      </c>
      <c r="Q4" s="10" t="s">
        <v>156</v>
      </c>
      <c r="R4" s="10" t="s">
        <v>155</v>
      </c>
      <c r="S4" s="10">
        <v>1</v>
      </c>
      <c r="T4" s="10"/>
      <c r="U4" s="10"/>
      <c r="V4" s="10"/>
      <c r="W4" s="23">
        <v>46069.554861111108</v>
      </c>
      <c r="X4" s="23">
        <v>46226.618055555555</v>
      </c>
      <c r="Y4" s="10" t="s">
        <v>458</v>
      </c>
      <c r="Z4" s="8"/>
      <c r="AB4">
        <f t="shared" ref="AB4:AB67" si="0">LENB(I4)-$B$3</f>
        <v>-54</v>
      </c>
      <c r="AC4">
        <f t="shared" ref="AC4:AC67" si="1">LENB(J4)-$B$3</f>
        <v>-44</v>
      </c>
      <c r="AD4">
        <f>LENB(K4)-$B$4</f>
        <v>-8</v>
      </c>
      <c r="AE4">
        <f>LENB(L4)-$B$4</f>
        <v>0</v>
      </c>
    </row>
    <row r="5" spans="1:31" x14ac:dyDescent="0.55000000000000004">
      <c r="A5" t="s">
        <v>441</v>
      </c>
      <c r="B5">
        <v>10</v>
      </c>
      <c r="D5" s="20">
        <v>37</v>
      </c>
      <c r="E5" s="10" t="s">
        <v>96</v>
      </c>
      <c r="F5" s="10">
        <v>3</v>
      </c>
      <c r="G5" s="10">
        <v>7</v>
      </c>
      <c r="H5" s="10" t="s">
        <v>77</v>
      </c>
      <c r="I5" s="10" t="s">
        <v>100</v>
      </c>
      <c r="J5" s="10" t="s">
        <v>281</v>
      </c>
      <c r="K5" s="10" t="s">
        <v>323</v>
      </c>
      <c r="L5" s="10" t="s">
        <v>331</v>
      </c>
      <c r="M5" s="10"/>
      <c r="N5" s="10"/>
      <c r="O5" s="10" t="s">
        <v>13</v>
      </c>
      <c r="P5" s="10" t="s">
        <v>12</v>
      </c>
      <c r="Q5" s="10" t="s">
        <v>156</v>
      </c>
      <c r="R5" s="10" t="s">
        <v>155</v>
      </c>
      <c r="S5" s="10">
        <v>1</v>
      </c>
      <c r="T5" s="10"/>
      <c r="U5" s="10"/>
      <c r="V5" s="10"/>
      <c r="W5" s="23">
        <v>46069.554861111108</v>
      </c>
      <c r="X5" s="23">
        <v>46226.618055555555</v>
      </c>
      <c r="Y5" s="10" t="s">
        <v>458</v>
      </c>
      <c r="Z5" s="8"/>
      <c r="AB5">
        <f t="shared" si="0"/>
        <v>-52</v>
      </c>
      <c r="AC5">
        <f t="shared" si="1"/>
        <v>-42</v>
      </c>
      <c r="AD5">
        <f>LENB(K5)-$B$4</f>
        <v>-6</v>
      </c>
      <c r="AE5">
        <f>LENB(L5)-$B$4</f>
        <v>-1</v>
      </c>
    </row>
    <row r="6" spans="1:31" x14ac:dyDescent="0.55000000000000004">
      <c r="D6" s="20">
        <v>36</v>
      </c>
      <c r="E6" s="10" t="s">
        <v>96</v>
      </c>
      <c r="F6" s="10">
        <v>4</v>
      </c>
      <c r="G6" s="10">
        <v>8</v>
      </c>
      <c r="H6" s="10" t="s">
        <v>82</v>
      </c>
      <c r="I6" s="10" t="s">
        <v>228</v>
      </c>
      <c r="J6" s="10" t="s">
        <v>282</v>
      </c>
      <c r="K6" s="10" t="s">
        <v>227</v>
      </c>
      <c r="L6" s="10" t="s">
        <v>332</v>
      </c>
      <c r="M6" s="10"/>
      <c r="N6" s="10"/>
      <c r="O6" s="10" t="s">
        <v>13</v>
      </c>
      <c r="P6" s="10" t="s">
        <v>12</v>
      </c>
      <c r="Q6" s="10" t="s">
        <v>156</v>
      </c>
      <c r="R6" s="10" t="s">
        <v>155</v>
      </c>
      <c r="S6" s="10">
        <v>1</v>
      </c>
      <c r="T6" s="10"/>
      <c r="U6" s="10"/>
      <c r="V6" s="10"/>
      <c r="W6" s="23">
        <v>46069.554861111108</v>
      </c>
      <c r="X6" s="23">
        <v>46226.618055555555</v>
      </c>
      <c r="Y6" s="10" t="s">
        <v>458</v>
      </c>
      <c r="Z6" s="8"/>
      <c r="AB6">
        <f t="shared" si="0"/>
        <v>-54</v>
      </c>
      <c r="AC6">
        <f t="shared" si="1"/>
        <v>-38</v>
      </c>
      <c r="AD6">
        <f>LENB(K6)-$B$4</f>
        <v>-8</v>
      </c>
      <c r="AE6">
        <f>LENB(L6)-$B$4</f>
        <v>0</v>
      </c>
    </row>
    <row r="7" spans="1:31" x14ac:dyDescent="0.55000000000000004">
      <c r="D7" s="20">
        <v>19</v>
      </c>
      <c r="E7" s="10" t="s">
        <v>96</v>
      </c>
      <c r="F7" s="10">
        <v>5</v>
      </c>
      <c r="G7" s="10">
        <v>3</v>
      </c>
      <c r="H7" s="10" t="s">
        <v>78</v>
      </c>
      <c r="I7" s="10" t="s">
        <v>175</v>
      </c>
      <c r="J7" s="10" t="s">
        <v>283</v>
      </c>
      <c r="K7" s="10" t="s">
        <v>229</v>
      </c>
      <c r="L7" s="10" t="s">
        <v>333</v>
      </c>
      <c r="M7" s="10"/>
      <c r="N7" s="10"/>
      <c r="O7" s="10" t="s">
        <v>1</v>
      </c>
      <c r="P7" s="10" t="s">
        <v>10</v>
      </c>
      <c r="Q7" s="10" t="s">
        <v>2</v>
      </c>
      <c r="R7" s="10" t="s">
        <v>159</v>
      </c>
      <c r="S7" s="10">
        <v>1</v>
      </c>
      <c r="T7" s="10"/>
      <c r="U7" s="10"/>
      <c r="V7" s="10"/>
      <c r="W7" s="23">
        <v>46069.554861111108</v>
      </c>
      <c r="X7" s="23">
        <v>46226.618055555555</v>
      </c>
      <c r="Y7" s="10" t="s">
        <v>458</v>
      </c>
      <c r="Z7" s="8"/>
      <c r="AB7">
        <f t="shared" si="0"/>
        <v>-48</v>
      </c>
      <c r="AC7">
        <f t="shared" si="1"/>
        <v>-35</v>
      </c>
      <c r="AD7">
        <f>LENB(K7)-$B$4</f>
        <v>-2</v>
      </c>
      <c r="AE7">
        <f>LENB(L7)-$B$4</f>
        <v>-3</v>
      </c>
    </row>
    <row r="8" spans="1:31" x14ac:dyDescent="0.55000000000000004">
      <c r="D8" s="20">
        <v>18</v>
      </c>
      <c r="E8" s="10" t="s">
        <v>96</v>
      </c>
      <c r="F8" s="10">
        <v>6</v>
      </c>
      <c r="G8" s="10">
        <v>3</v>
      </c>
      <c r="H8" s="10" t="s">
        <v>78</v>
      </c>
      <c r="I8" s="10" t="s">
        <v>105</v>
      </c>
      <c r="J8" s="10" t="s">
        <v>284</v>
      </c>
      <c r="K8" s="10" t="s">
        <v>105</v>
      </c>
      <c r="L8" s="10" t="s">
        <v>334</v>
      </c>
      <c r="M8" s="10"/>
      <c r="N8" s="10"/>
      <c r="O8" s="10" t="s">
        <v>0</v>
      </c>
      <c r="P8" s="10" t="s">
        <v>10</v>
      </c>
      <c r="Q8" s="10" t="s">
        <v>2</v>
      </c>
      <c r="R8" s="10" t="s">
        <v>159</v>
      </c>
      <c r="S8" s="10">
        <v>1</v>
      </c>
      <c r="T8" s="10"/>
      <c r="U8" s="10"/>
      <c r="V8" s="10"/>
      <c r="W8" s="23">
        <v>46069.554861111108</v>
      </c>
      <c r="X8" s="23">
        <v>46226.618055555555</v>
      </c>
      <c r="Y8" s="10" t="s">
        <v>458</v>
      </c>
      <c r="Z8" s="8"/>
      <c r="AB8">
        <f t="shared" si="0"/>
        <v>-48</v>
      </c>
      <c r="AC8">
        <f t="shared" si="1"/>
        <v>-35</v>
      </c>
      <c r="AD8">
        <f>LENB(K8)-$B$4</f>
        <v>-2</v>
      </c>
      <c r="AE8">
        <f>LENB(L8)-$B$4</f>
        <v>-1</v>
      </c>
    </row>
    <row r="9" spans="1:31" x14ac:dyDescent="0.55000000000000004">
      <c r="D9" s="20">
        <v>20</v>
      </c>
      <c r="E9" s="10" t="s">
        <v>96</v>
      </c>
      <c r="F9" s="10">
        <v>7</v>
      </c>
      <c r="G9" s="10">
        <v>1</v>
      </c>
      <c r="H9" s="10" t="s">
        <v>81</v>
      </c>
      <c r="I9" s="10" t="s">
        <v>104</v>
      </c>
      <c r="J9" s="10" t="s">
        <v>285</v>
      </c>
      <c r="K9" s="10" t="s">
        <v>324</v>
      </c>
      <c r="L9" s="10" t="s">
        <v>335</v>
      </c>
      <c r="M9" s="10"/>
      <c r="N9" s="10"/>
      <c r="O9" s="10" t="s">
        <v>24</v>
      </c>
      <c r="P9" s="10" t="s">
        <v>10</v>
      </c>
      <c r="Q9" s="10" t="s">
        <v>2</v>
      </c>
      <c r="R9" s="10" t="s">
        <v>159</v>
      </c>
      <c r="S9" s="10">
        <v>1</v>
      </c>
      <c r="T9" s="10"/>
      <c r="U9" s="10"/>
      <c r="V9" s="10"/>
      <c r="W9" s="23">
        <v>46069.554861111108</v>
      </c>
      <c r="X9" s="23">
        <v>46226.618055555555</v>
      </c>
      <c r="Y9" s="10" t="s">
        <v>458</v>
      </c>
      <c r="Z9" s="8"/>
      <c r="AB9">
        <f t="shared" si="0"/>
        <v>-42</v>
      </c>
      <c r="AC9">
        <f t="shared" si="1"/>
        <v>-34</v>
      </c>
      <c r="AD9">
        <f>LENB(K9)-$B$4</f>
        <v>-4</v>
      </c>
      <c r="AE9">
        <f>LENB(L9)-$B$4</f>
        <v>0</v>
      </c>
    </row>
    <row r="10" spans="1:31" x14ac:dyDescent="0.55000000000000004">
      <c r="D10" s="20">
        <v>22</v>
      </c>
      <c r="E10" s="10" t="s">
        <v>96</v>
      </c>
      <c r="F10" s="10">
        <v>8</v>
      </c>
      <c r="G10" s="10">
        <v>10</v>
      </c>
      <c r="H10" s="10" t="s">
        <v>83</v>
      </c>
      <c r="I10" s="10" t="s">
        <v>231</v>
      </c>
      <c r="J10" s="10" t="s">
        <v>286</v>
      </c>
      <c r="K10" s="10" t="s">
        <v>230</v>
      </c>
      <c r="L10" s="10" t="s">
        <v>336</v>
      </c>
      <c r="M10" s="10"/>
      <c r="N10" s="10"/>
      <c r="O10" s="10" t="s">
        <v>88</v>
      </c>
      <c r="P10" s="10" t="s">
        <v>14</v>
      </c>
      <c r="Q10" s="10" t="s">
        <v>2</v>
      </c>
      <c r="R10" s="10" t="s">
        <v>159</v>
      </c>
      <c r="S10" s="10">
        <v>1</v>
      </c>
      <c r="T10" s="10"/>
      <c r="U10" s="10"/>
      <c r="V10" s="10"/>
      <c r="W10" s="23">
        <v>46069.554861111108</v>
      </c>
      <c r="X10" s="23">
        <v>46226.618055555555</v>
      </c>
      <c r="Y10" s="10" t="s">
        <v>458</v>
      </c>
      <c r="Z10" s="8"/>
      <c r="AB10">
        <f t="shared" si="0"/>
        <v>-48</v>
      </c>
      <c r="AC10">
        <f t="shared" si="1"/>
        <v>-42</v>
      </c>
      <c r="AD10">
        <f>LENB(K10)-$B$4</f>
        <v>-2</v>
      </c>
      <c r="AE10">
        <f>LENB(L10)-$B$4</f>
        <v>-1</v>
      </c>
    </row>
    <row r="11" spans="1:31" x14ac:dyDescent="0.55000000000000004">
      <c r="D11" s="20">
        <v>23</v>
      </c>
      <c r="E11" s="10" t="s">
        <v>96</v>
      </c>
      <c r="F11" s="10">
        <v>9</v>
      </c>
      <c r="G11" s="10">
        <v>10</v>
      </c>
      <c r="H11" s="10" t="s">
        <v>83</v>
      </c>
      <c r="I11" s="10" t="s">
        <v>233</v>
      </c>
      <c r="J11" s="10" t="s">
        <v>287</v>
      </c>
      <c r="K11" s="10" t="s">
        <v>232</v>
      </c>
      <c r="L11" s="10" t="s">
        <v>337</v>
      </c>
      <c r="M11" s="10"/>
      <c r="N11" s="10"/>
      <c r="O11" s="10" t="s">
        <v>89</v>
      </c>
      <c r="P11" s="10" t="s">
        <v>14</v>
      </c>
      <c r="Q11" s="10" t="s">
        <v>2</v>
      </c>
      <c r="R11" s="10" t="s">
        <v>159</v>
      </c>
      <c r="S11" s="10">
        <v>1</v>
      </c>
      <c r="T11" s="10"/>
      <c r="U11" s="10"/>
      <c r="V11" s="10"/>
      <c r="W11" s="23">
        <v>46069.554861111108</v>
      </c>
      <c r="X11" s="23">
        <v>46226.618055555555</v>
      </c>
      <c r="Y11" s="10" t="s">
        <v>458</v>
      </c>
      <c r="Z11" s="8"/>
      <c r="AB11">
        <f t="shared" si="0"/>
        <v>-48</v>
      </c>
      <c r="AC11">
        <f t="shared" si="1"/>
        <v>-42</v>
      </c>
      <c r="AD11">
        <f>LENB(K11)-$B$4</f>
        <v>-2</v>
      </c>
      <c r="AE11">
        <f>LENB(L11)-$B$4</f>
        <v>-1</v>
      </c>
    </row>
    <row r="12" spans="1:31" x14ac:dyDescent="0.55000000000000004">
      <c r="D12" s="20">
        <v>42</v>
      </c>
      <c r="E12" s="10" t="s">
        <v>95</v>
      </c>
      <c r="F12" s="10">
        <v>10</v>
      </c>
      <c r="G12" s="10"/>
      <c r="H12" s="10"/>
      <c r="I12" s="10" t="s">
        <v>106</v>
      </c>
      <c r="J12" s="10" t="s">
        <v>220</v>
      </c>
      <c r="K12" s="10" t="s">
        <v>429</v>
      </c>
      <c r="L12" s="10" t="s">
        <v>338</v>
      </c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23">
        <v>46069.554861111108</v>
      </c>
      <c r="X12" s="23">
        <v>46227.401388888888</v>
      </c>
      <c r="Y12" s="10"/>
      <c r="Z12" s="8"/>
      <c r="AB12">
        <f t="shared" si="0"/>
        <v>-38</v>
      </c>
      <c r="AC12">
        <f t="shared" si="1"/>
        <v>-49</v>
      </c>
      <c r="AD12">
        <f>LENB(K12)-$B$4</f>
        <v>0</v>
      </c>
      <c r="AE12">
        <f>LENB(L12)-$B$4</f>
        <v>-1</v>
      </c>
    </row>
    <row r="13" spans="1:31" x14ac:dyDescent="0.55000000000000004">
      <c r="D13" s="20">
        <v>43</v>
      </c>
      <c r="E13" s="10" t="s">
        <v>95</v>
      </c>
      <c r="F13" s="10">
        <v>11</v>
      </c>
      <c r="G13" s="10"/>
      <c r="H13" s="10"/>
      <c r="I13" s="10" t="s">
        <v>108</v>
      </c>
      <c r="J13" s="10" t="s">
        <v>288</v>
      </c>
      <c r="K13" s="10" t="s">
        <v>325</v>
      </c>
      <c r="L13" s="10" t="s">
        <v>339</v>
      </c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23">
        <v>46069.554861111108</v>
      </c>
      <c r="X13" s="23">
        <v>46226.618055555555</v>
      </c>
      <c r="Y13" s="10"/>
      <c r="Z13" s="8"/>
      <c r="AB13">
        <f t="shared" si="0"/>
        <v>-48</v>
      </c>
      <c r="AC13">
        <f t="shared" si="1"/>
        <v>-33</v>
      </c>
      <c r="AD13">
        <f>LENB(K13)-$B$4</f>
        <v>-7</v>
      </c>
      <c r="AE13">
        <f>LENB(L13)-$B$4</f>
        <v>-1</v>
      </c>
    </row>
    <row r="14" spans="1:31" x14ac:dyDescent="0.55000000000000004">
      <c r="D14" s="20">
        <v>44</v>
      </c>
      <c r="E14" s="10" t="s">
        <v>95</v>
      </c>
      <c r="F14" s="10">
        <v>12</v>
      </c>
      <c r="G14" s="10"/>
      <c r="H14" s="10"/>
      <c r="I14" s="10" t="s">
        <v>109</v>
      </c>
      <c r="J14" s="10" t="s">
        <v>289</v>
      </c>
      <c r="K14" s="10" t="s">
        <v>326</v>
      </c>
      <c r="L14" s="10" t="s">
        <v>340</v>
      </c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23">
        <v>46069.554861111108</v>
      </c>
      <c r="X14" s="23">
        <v>46226.618055555555</v>
      </c>
      <c r="Y14" s="10"/>
      <c r="Z14" s="8"/>
      <c r="AB14">
        <f t="shared" si="0"/>
        <v>-48</v>
      </c>
      <c r="AC14">
        <f t="shared" si="1"/>
        <v>-35</v>
      </c>
      <c r="AD14">
        <f>LENB(K14)-$B$4</f>
        <v>-7</v>
      </c>
      <c r="AE14">
        <f>LENB(L14)-$B$4</f>
        <v>-1</v>
      </c>
    </row>
    <row r="15" spans="1:31" x14ac:dyDescent="0.55000000000000004">
      <c r="D15" s="20">
        <v>32</v>
      </c>
      <c r="E15" s="10" t="s">
        <v>96</v>
      </c>
      <c r="F15" s="10">
        <v>13</v>
      </c>
      <c r="G15" s="10">
        <v>1</v>
      </c>
      <c r="H15" s="10" t="s">
        <v>81</v>
      </c>
      <c r="I15" s="10" t="s">
        <v>102</v>
      </c>
      <c r="J15" s="10" t="s">
        <v>290</v>
      </c>
      <c r="K15" s="10" t="s">
        <v>234</v>
      </c>
      <c r="L15" s="10" t="s">
        <v>220</v>
      </c>
      <c r="M15" s="10"/>
      <c r="N15" s="10"/>
      <c r="O15" s="10" t="s">
        <v>26</v>
      </c>
      <c r="P15" s="10" t="s">
        <v>27</v>
      </c>
      <c r="Q15" s="10" t="s">
        <v>158</v>
      </c>
      <c r="R15" s="10" t="s">
        <v>157</v>
      </c>
      <c r="S15" s="10">
        <v>1</v>
      </c>
      <c r="T15" s="10"/>
      <c r="U15" s="10"/>
      <c r="V15" s="10"/>
      <c r="W15" s="23">
        <v>46069.554861111108</v>
      </c>
      <c r="X15" s="23">
        <v>46226.618055555555</v>
      </c>
      <c r="Y15" s="10" t="s">
        <v>458</v>
      </c>
      <c r="Z15" s="8"/>
      <c r="AB15">
        <f t="shared" si="0"/>
        <v>-54</v>
      </c>
      <c r="AC15">
        <f t="shared" si="1"/>
        <v>-41</v>
      </c>
      <c r="AD15">
        <f>LENB(K15)-$B$4</f>
        <v>-8</v>
      </c>
      <c r="AE15">
        <f>LENB(L15)-$B$4</f>
        <v>-3</v>
      </c>
    </row>
    <row r="16" spans="1:31" x14ac:dyDescent="0.55000000000000004">
      <c r="D16" s="20">
        <v>33</v>
      </c>
      <c r="E16" s="10" t="s">
        <v>96</v>
      </c>
      <c r="F16" s="10">
        <v>14</v>
      </c>
      <c r="G16" s="10">
        <v>1</v>
      </c>
      <c r="H16" s="10" t="s">
        <v>81</v>
      </c>
      <c r="I16" s="10" t="s">
        <v>103</v>
      </c>
      <c r="J16" s="10" t="s">
        <v>291</v>
      </c>
      <c r="K16" s="10" t="s">
        <v>327</v>
      </c>
      <c r="L16" s="10" t="s">
        <v>341</v>
      </c>
      <c r="M16" s="10"/>
      <c r="N16" s="10"/>
      <c r="O16" s="10" t="s">
        <v>28</v>
      </c>
      <c r="P16" s="10" t="s">
        <v>27</v>
      </c>
      <c r="Q16" s="10" t="s">
        <v>158</v>
      </c>
      <c r="R16" s="10" t="s">
        <v>157</v>
      </c>
      <c r="S16" s="10">
        <v>1</v>
      </c>
      <c r="T16" s="10"/>
      <c r="U16" s="10"/>
      <c r="V16" s="10"/>
      <c r="W16" s="23">
        <v>46069.554861111108</v>
      </c>
      <c r="X16" s="23">
        <v>46226.618055555555</v>
      </c>
      <c r="Y16" s="10" t="s">
        <v>458</v>
      </c>
      <c r="Z16" s="8"/>
      <c r="AB16">
        <f t="shared" si="0"/>
        <v>-50</v>
      </c>
      <c r="AC16">
        <f t="shared" si="1"/>
        <v>-43</v>
      </c>
      <c r="AD16">
        <f>LENB(K16)-$B$4</f>
        <v>-4</v>
      </c>
      <c r="AE16">
        <f>LENB(L16)-$B$4</f>
        <v>-1</v>
      </c>
    </row>
    <row r="17" spans="4:31" x14ac:dyDescent="0.55000000000000004">
      <c r="D17" s="20">
        <v>41</v>
      </c>
      <c r="E17" s="10" t="s">
        <v>99</v>
      </c>
      <c r="F17" s="10">
        <v>15</v>
      </c>
      <c r="G17" s="10">
        <v>10</v>
      </c>
      <c r="H17" s="10" t="s">
        <v>187</v>
      </c>
      <c r="I17" s="10" t="s">
        <v>183</v>
      </c>
      <c r="J17" s="10" t="s">
        <v>292</v>
      </c>
      <c r="K17" s="10" t="s">
        <v>328</v>
      </c>
      <c r="L17" s="10" t="s">
        <v>342</v>
      </c>
      <c r="M17" s="10"/>
      <c r="N17" s="10"/>
      <c r="O17" s="10" t="s">
        <v>184</v>
      </c>
      <c r="P17" s="10"/>
      <c r="Q17" s="10" t="s">
        <v>155</v>
      </c>
      <c r="R17" s="10" t="s">
        <v>155</v>
      </c>
      <c r="S17" s="10"/>
      <c r="T17" s="10"/>
      <c r="U17" s="10"/>
      <c r="V17" s="10"/>
      <c r="W17" s="23">
        <v>46069.554861111108</v>
      </c>
      <c r="X17" s="23">
        <v>46226.618055555555</v>
      </c>
      <c r="Y17" s="10" t="s">
        <v>458</v>
      </c>
      <c r="Z17" s="8"/>
      <c r="AB17">
        <f t="shared" si="0"/>
        <v>-54</v>
      </c>
      <c r="AC17">
        <f t="shared" si="1"/>
        <v>-39</v>
      </c>
      <c r="AD17">
        <f>LENB(K17)-$B$4</f>
        <v>-8</v>
      </c>
      <c r="AE17">
        <f>LENB(L17)-$B$4</f>
        <v>-1</v>
      </c>
    </row>
    <row r="18" spans="4:31" x14ac:dyDescent="0.55000000000000004">
      <c r="D18" s="20">
        <v>45</v>
      </c>
      <c r="E18" s="10" t="s">
        <v>99</v>
      </c>
      <c r="F18" s="10">
        <v>16</v>
      </c>
      <c r="G18" s="10"/>
      <c r="H18" s="10"/>
      <c r="I18" s="10" t="s">
        <v>210</v>
      </c>
      <c r="J18" s="10" t="s">
        <v>293</v>
      </c>
      <c r="K18" s="10" t="s">
        <v>329</v>
      </c>
      <c r="L18" s="10" t="s">
        <v>343</v>
      </c>
      <c r="M18" s="10"/>
      <c r="N18" s="10"/>
      <c r="O18" s="10" t="s">
        <v>28</v>
      </c>
      <c r="P18" s="10" t="s">
        <v>211</v>
      </c>
      <c r="Q18" s="10" t="s">
        <v>157</v>
      </c>
      <c r="R18" s="10" t="s">
        <v>157</v>
      </c>
      <c r="S18" s="10"/>
      <c r="T18" s="10"/>
      <c r="U18" s="10"/>
      <c r="V18" s="10"/>
      <c r="W18" s="23">
        <v>46069.554861111108</v>
      </c>
      <c r="X18" s="23">
        <v>46227.401388888888</v>
      </c>
      <c r="Y18" s="10" t="s">
        <v>458</v>
      </c>
      <c r="Z18" s="8"/>
      <c r="AB18">
        <f t="shared" si="0"/>
        <v>-54</v>
      </c>
      <c r="AC18">
        <f t="shared" si="1"/>
        <v>-35</v>
      </c>
      <c r="AD18">
        <f>LENB(K18)-$B$4</f>
        <v>-8</v>
      </c>
      <c r="AE18">
        <f>LENB(L18)-$B$4</f>
        <v>0</v>
      </c>
    </row>
    <row r="19" spans="4:31" x14ac:dyDescent="0.55000000000000004">
      <c r="D19" s="20">
        <v>59</v>
      </c>
      <c r="E19" s="10" t="s">
        <v>95</v>
      </c>
      <c r="F19" s="10">
        <v>17</v>
      </c>
      <c r="G19" s="10"/>
      <c r="H19" s="10"/>
      <c r="I19" s="10" t="s">
        <v>212</v>
      </c>
      <c r="J19" s="10" t="s">
        <v>291</v>
      </c>
      <c r="K19" s="10" t="s">
        <v>212</v>
      </c>
      <c r="L19" s="10" t="s">
        <v>426</v>
      </c>
      <c r="M19" s="10"/>
      <c r="N19" s="10"/>
      <c r="O19" s="10" t="s">
        <v>214</v>
      </c>
      <c r="P19" s="10"/>
      <c r="Q19" s="10" t="s">
        <v>159</v>
      </c>
      <c r="R19" s="10" t="s">
        <v>159</v>
      </c>
      <c r="S19" s="10"/>
      <c r="T19" s="10"/>
      <c r="U19" s="10"/>
      <c r="V19" s="10"/>
      <c r="W19" s="23">
        <v>46170.415277777778</v>
      </c>
      <c r="X19" s="23">
        <v>46227.401388888888</v>
      </c>
      <c r="Y19" s="10" t="s">
        <v>458</v>
      </c>
      <c r="Z19" s="8"/>
      <c r="AB19">
        <f t="shared" si="0"/>
        <v>-50</v>
      </c>
      <c r="AC19">
        <f t="shared" si="1"/>
        <v>-43</v>
      </c>
      <c r="AD19">
        <f>LENB(K19)-$B$4</f>
        <v>-4</v>
      </c>
      <c r="AE19">
        <f>LENB(L19)-$B$4</f>
        <v>-3</v>
      </c>
    </row>
    <row r="20" spans="4:31" x14ac:dyDescent="0.55000000000000004">
      <c r="D20" s="20">
        <v>66</v>
      </c>
      <c r="E20" s="10" t="s">
        <v>95</v>
      </c>
      <c r="F20" s="10">
        <v>18</v>
      </c>
      <c r="G20" s="10"/>
      <c r="H20" s="10"/>
      <c r="I20" s="10" t="s">
        <v>213</v>
      </c>
      <c r="J20" s="10" t="s">
        <v>425</v>
      </c>
      <c r="K20" s="10" t="s">
        <v>213</v>
      </c>
      <c r="L20" s="10" t="s">
        <v>428</v>
      </c>
      <c r="M20" s="10"/>
      <c r="N20" s="10"/>
      <c r="O20" s="10" t="s">
        <v>215</v>
      </c>
      <c r="P20" s="10"/>
      <c r="Q20" s="10" t="s">
        <v>159</v>
      </c>
      <c r="R20" s="10" t="s">
        <v>159</v>
      </c>
      <c r="S20" s="10"/>
      <c r="T20" s="10"/>
      <c r="U20" s="10"/>
      <c r="V20" s="10"/>
      <c r="W20" s="23">
        <v>46170.415277777778</v>
      </c>
      <c r="X20" s="23">
        <v>46227.401388888888</v>
      </c>
      <c r="Y20" s="10" t="s">
        <v>458</v>
      </c>
      <c r="Z20" s="8"/>
      <c r="AB20">
        <f t="shared" si="0"/>
        <v>-46</v>
      </c>
      <c r="AC20">
        <f t="shared" si="1"/>
        <v>-26</v>
      </c>
      <c r="AD20">
        <f>LENB(K20)-$B$4</f>
        <v>0</v>
      </c>
      <c r="AE20">
        <f>LENB(L20)-$B$4</f>
        <v>-1</v>
      </c>
    </row>
    <row r="21" spans="4:31" x14ac:dyDescent="0.55000000000000004">
      <c r="D21" s="20">
        <v>67</v>
      </c>
      <c r="E21" s="10" t="s">
        <v>95</v>
      </c>
      <c r="F21" s="10">
        <v>19</v>
      </c>
      <c r="G21" s="10"/>
      <c r="H21" s="10"/>
      <c r="I21" s="10" t="s">
        <v>216</v>
      </c>
      <c r="J21" s="10" t="s">
        <v>293</v>
      </c>
      <c r="K21" s="10" t="s">
        <v>216</v>
      </c>
      <c r="L21" s="10" t="s">
        <v>427</v>
      </c>
      <c r="M21" s="10"/>
      <c r="N21" s="10"/>
      <c r="O21" s="10" t="s">
        <v>28</v>
      </c>
      <c r="P21" s="10" t="s">
        <v>193</v>
      </c>
      <c r="Q21" s="10" t="s">
        <v>159</v>
      </c>
      <c r="R21" s="10" t="s">
        <v>159</v>
      </c>
      <c r="S21" s="10">
        <v>1</v>
      </c>
      <c r="T21" s="10"/>
      <c r="U21" s="10"/>
      <c r="V21" s="10"/>
      <c r="W21" s="23">
        <v>46139</v>
      </c>
      <c r="X21" s="23">
        <v>46227.413888888892</v>
      </c>
      <c r="Y21" s="10"/>
      <c r="Z21" s="8"/>
      <c r="AB21">
        <f t="shared" si="0"/>
        <v>-54</v>
      </c>
      <c r="AC21">
        <f t="shared" si="1"/>
        <v>-35</v>
      </c>
      <c r="AD21">
        <f>LENB(K21)-$B$4</f>
        <v>-8</v>
      </c>
      <c r="AE21">
        <f>LENB(L21)-$B$4</f>
        <v>-1</v>
      </c>
    </row>
    <row r="22" spans="4:31" x14ac:dyDescent="0.55000000000000004">
      <c r="D22" s="20">
        <v>68</v>
      </c>
      <c r="E22" s="10" t="s">
        <v>95</v>
      </c>
      <c r="F22" s="10">
        <v>20</v>
      </c>
      <c r="G22" s="10"/>
      <c r="H22" s="10"/>
      <c r="I22" s="10" t="s">
        <v>206</v>
      </c>
      <c r="J22" s="10" t="s">
        <v>194</v>
      </c>
      <c r="K22" s="10"/>
      <c r="L22" s="10"/>
      <c r="M22" s="10"/>
      <c r="N22" s="10"/>
      <c r="O22" s="10" t="s">
        <v>195</v>
      </c>
      <c r="P22" s="10" t="s">
        <v>193</v>
      </c>
      <c r="Q22" s="10" t="s">
        <v>159</v>
      </c>
      <c r="R22" s="10" t="s">
        <v>159</v>
      </c>
      <c r="S22" s="10">
        <v>1</v>
      </c>
      <c r="T22" s="10"/>
      <c r="U22" s="10"/>
      <c r="V22" s="10"/>
      <c r="W22" s="23">
        <v>46139</v>
      </c>
      <c r="X22" s="23">
        <v>46139</v>
      </c>
      <c r="Y22" s="10"/>
      <c r="Z22" s="8"/>
      <c r="AB22">
        <f t="shared" si="0"/>
        <v>-51</v>
      </c>
      <c r="AC22">
        <f t="shared" si="1"/>
        <v>-32</v>
      </c>
      <c r="AD22">
        <f>LENB(K22)-$B$4</f>
        <v>-18</v>
      </c>
      <c r="AE22">
        <f>LENB(L22)-$B$4</f>
        <v>-18</v>
      </c>
    </row>
    <row r="23" spans="4:31" x14ac:dyDescent="0.55000000000000004">
      <c r="D23" s="20">
        <v>69</v>
      </c>
      <c r="E23" s="10" t="s">
        <v>95</v>
      </c>
      <c r="F23" s="10">
        <v>21</v>
      </c>
      <c r="G23" s="10"/>
      <c r="H23" s="10"/>
      <c r="I23" s="10" t="s">
        <v>207</v>
      </c>
      <c r="J23" s="10" t="s">
        <v>196</v>
      </c>
      <c r="K23" s="10"/>
      <c r="L23" s="10"/>
      <c r="M23" s="10"/>
      <c r="N23" s="10"/>
      <c r="O23" s="10" t="s">
        <v>197</v>
      </c>
      <c r="P23" s="10" t="s">
        <v>198</v>
      </c>
      <c r="Q23" s="10" t="s">
        <v>159</v>
      </c>
      <c r="R23" s="10" t="s">
        <v>159</v>
      </c>
      <c r="S23" s="10">
        <v>1</v>
      </c>
      <c r="T23" s="10"/>
      <c r="U23" s="10"/>
      <c r="V23" s="10"/>
      <c r="W23" s="23">
        <v>46139</v>
      </c>
      <c r="X23" s="23">
        <v>46139</v>
      </c>
      <c r="Y23" s="10"/>
      <c r="Z23" s="8"/>
      <c r="AB23">
        <f t="shared" si="0"/>
        <v>-54</v>
      </c>
      <c r="AC23">
        <f t="shared" si="1"/>
        <v>-45</v>
      </c>
      <c r="AD23">
        <f>LENB(K23)-$B$4</f>
        <v>-18</v>
      </c>
      <c r="AE23">
        <f>LENB(L23)-$B$4</f>
        <v>-18</v>
      </c>
    </row>
    <row r="24" spans="4:31" x14ac:dyDescent="0.55000000000000004">
      <c r="D24" s="20">
        <v>70</v>
      </c>
      <c r="E24" s="10" t="s">
        <v>95</v>
      </c>
      <c r="F24" s="10">
        <v>22</v>
      </c>
      <c r="G24" s="10"/>
      <c r="H24" s="10"/>
      <c r="I24" s="10" t="s">
        <v>199</v>
      </c>
      <c r="J24" s="10" t="s">
        <v>200</v>
      </c>
      <c r="K24" s="10"/>
      <c r="L24" s="10"/>
      <c r="M24" s="10"/>
      <c r="N24" s="10"/>
      <c r="O24" s="10" t="s">
        <v>201</v>
      </c>
      <c r="P24" s="10" t="s">
        <v>202</v>
      </c>
      <c r="Q24" s="10" t="s">
        <v>159</v>
      </c>
      <c r="R24" s="10" t="s">
        <v>159</v>
      </c>
      <c r="S24" s="10">
        <v>1</v>
      </c>
      <c r="T24" s="10"/>
      <c r="U24" s="10"/>
      <c r="V24" s="10"/>
      <c r="W24" s="23">
        <v>46139</v>
      </c>
      <c r="X24" s="23">
        <v>46139</v>
      </c>
      <c r="Y24" s="10"/>
      <c r="Z24" s="8"/>
      <c r="AB24">
        <f t="shared" si="0"/>
        <v>-50</v>
      </c>
      <c r="AC24">
        <f t="shared" si="1"/>
        <v>-47</v>
      </c>
      <c r="AD24">
        <f>LENB(K24)-$B$4</f>
        <v>-18</v>
      </c>
      <c r="AE24">
        <f>LENB(L24)-$B$4</f>
        <v>-18</v>
      </c>
    </row>
    <row r="25" spans="4:31" x14ac:dyDescent="0.55000000000000004">
      <c r="D25" s="20">
        <v>71</v>
      </c>
      <c r="E25" s="10" t="s">
        <v>95</v>
      </c>
      <c r="F25" s="10">
        <v>23</v>
      </c>
      <c r="G25" s="10"/>
      <c r="H25" s="10"/>
      <c r="I25" s="10" t="s">
        <v>208</v>
      </c>
      <c r="J25" s="10" t="s">
        <v>203</v>
      </c>
      <c r="K25" s="10"/>
      <c r="L25" s="10"/>
      <c r="M25" s="10"/>
      <c r="N25" s="10"/>
      <c r="O25" s="10" t="s">
        <v>192</v>
      </c>
      <c r="P25" s="10" t="s">
        <v>193</v>
      </c>
      <c r="Q25" s="10" t="s">
        <v>159</v>
      </c>
      <c r="R25" s="10" t="s">
        <v>159</v>
      </c>
      <c r="S25" s="10">
        <v>1</v>
      </c>
      <c r="T25" s="10"/>
      <c r="U25" s="10"/>
      <c r="V25" s="10"/>
      <c r="W25" s="23">
        <v>46139</v>
      </c>
      <c r="X25" s="23">
        <v>46139</v>
      </c>
      <c r="Y25" s="10"/>
      <c r="Z25" s="8"/>
      <c r="AB25">
        <f t="shared" si="0"/>
        <v>-56</v>
      </c>
      <c r="AC25">
        <f t="shared" si="1"/>
        <v>-41</v>
      </c>
      <c r="AD25">
        <f>LENB(K25)-$B$4</f>
        <v>-18</v>
      </c>
      <c r="AE25">
        <f>LENB(L25)-$B$4</f>
        <v>-18</v>
      </c>
    </row>
    <row r="26" spans="4:31" x14ac:dyDescent="0.55000000000000004">
      <c r="D26" s="20">
        <v>72</v>
      </c>
      <c r="E26" s="10" t="s">
        <v>95</v>
      </c>
      <c r="F26" s="10">
        <v>24</v>
      </c>
      <c r="G26" s="10"/>
      <c r="H26" s="10"/>
      <c r="I26" s="10" t="s">
        <v>209</v>
      </c>
      <c r="J26" s="10" t="s">
        <v>204</v>
      </c>
      <c r="K26" s="10"/>
      <c r="L26" s="10"/>
      <c r="M26" s="10"/>
      <c r="N26" s="10"/>
      <c r="O26" s="10" t="s">
        <v>205</v>
      </c>
      <c r="P26" s="10" t="s">
        <v>193</v>
      </c>
      <c r="Q26" s="10" t="s">
        <v>159</v>
      </c>
      <c r="R26" s="10" t="s">
        <v>159</v>
      </c>
      <c r="S26" s="10">
        <v>1</v>
      </c>
      <c r="T26" s="10"/>
      <c r="U26" s="10"/>
      <c r="V26" s="10"/>
      <c r="W26" s="23">
        <v>46139</v>
      </c>
      <c r="X26" s="23">
        <v>46139</v>
      </c>
      <c r="Y26" s="10"/>
      <c r="Z26" s="8"/>
      <c r="AB26">
        <f t="shared" si="0"/>
        <v>-50</v>
      </c>
      <c r="AC26">
        <f t="shared" si="1"/>
        <v>-43</v>
      </c>
      <c r="AD26">
        <f>LENB(K26)-$B$4</f>
        <v>-18</v>
      </c>
      <c r="AE26">
        <f>LENB(L26)-$B$4</f>
        <v>-18</v>
      </c>
    </row>
    <row r="27" spans="4:31" x14ac:dyDescent="0.55000000000000004">
      <c r="D27" s="20">
        <v>1</v>
      </c>
      <c r="E27" s="10" t="s">
        <v>94</v>
      </c>
      <c r="F27" s="10">
        <v>1</v>
      </c>
      <c r="G27" s="10">
        <v>1</v>
      </c>
      <c r="H27" s="10" t="s">
        <v>235</v>
      </c>
      <c r="I27" s="10" t="s">
        <v>376</v>
      </c>
      <c r="J27" s="10" t="s">
        <v>377</v>
      </c>
      <c r="K27" s="10" t="s">
        <v>236</v>
      </c>
      <c r="L27" s="10" t="s">
        <v>353</v>
      </c>
      <c r="M27" s="10"/>
      <c r="N27" s="10"/>
      <c r="O27" s="10" t="s">
        <v>51</v>
      </c>
      <c r="P27" s="10" t="s">
        <v>52</v>
      </c>
      <c r="Q27" s="10" t="s">
        <v>160</v>
      </c>
      <c r="R27" s="10" t="s">
        <v>160</v>
      </c>
      <c r="S27" s="10">
        <v>1</v>
      </c>
      <c r="T27" s="10"/>
      <c r="U27" s="10">
        <v>0</v>
      </c>
      <c r="V27" s="10">
        <v>0</v>
      </c>
      <c r="W27" s="23">
        <v>46069.554861111108</v>
      </c>
      <c r="X27" s="23">
        <v>46227.366666666669</v>
      </c>
      <c r="Y27" s="10" t="s">
        <v>458</v>
      </c>
      <c r="Z27" s="8"/>
      <c r="AB27">
        <f t="shared" si="0"/>
        <v>-50</v>
      </c>
      <c r="AC27">
        <f t="shared" si="1"/>
        <v>-25</v>
      </c>
      <c r="AD27">
        <f>LENB(K27)-$B$4</f>
        <v>-4</v>
      </c>
      <c r="AE27">
        <f>LENB(L27)-$B$4</f>
        <v>0</v>
      </c>
    </row>
    <row r="28" spans="4:31" x14ac:dyDescent="0.55000000000000004">
      <c r="D28" s="20">
        <v>46</v>
      </c>
      <c r="E28" s="10" t="s">
        <v>94</v>
      </c>
      <c r="F28" s="10">
        <v>2</v>
      </c>
      <c r="G28" s="10"/>
      <c r="H28" s="10"/>
      <c r="I28" s="10" t="s">
        <v>297</v>
      </c>
      <c r="J28" s="10" t="s">
        <v>301</v>
      </c>
      <c r="K28" s="10" t="s">
        <v>344</v>
      </c>
      <c r="L28" s="10" t="s">
        <v>354</v>
      </c>
      <c r="M28" s="10"/>
      <c r="N28" s="10"/>
      <c r="O28" s="10" t="s">
        <v>145</v>
      </c>
      <c r="P28" s="10"/>
      <c r="Q28" s="10"/>
      <c r="R28" s="10"/>
      <c r="S28" s="10"/>
      <c r="T28" s="10"/>
      <c r="U28" s="10">
        <v>0</v>
      </c>
      <c r="V28" s="10">
        <v>5</v>
      </c>
      <c r="W28" s="23">
        <v>46069.554861111108</v>
      </c>
      <c r="X28" s="23">
        <v>46227.366666666669</v>
      </c>
      <c r="Y28" s="10" t="s">
        <v>458</v>
      </c>
      <c r="Z28" s="8"/>
      <c r="AB28">
        <f t="shared" si="0"/>
        <v>-43</v>
      </c>
      <c r="AC28">
        <f t="shared" si="1"/>
        <v>-40</v>
      </c>
      <c r="AD28">
        <f>LENB(K28)-$B$4</f>
        <v>-1</v>
      </c>
      <c r="AE28">
        <f>LENB(L28)-$B$4</f>
        <v>-1</v>
      </c>
    </row>
    <row r="29" spans="4:31" x14ac:dyDescent="0.55000000000000004">
      <c r="D29" s="20">
        <v>47</v>
      </c>
      <c r="E29" s="10" t="s">
        <v>94</v>
      </c>
      <c r="F29" s="10">
        <v>3</v>
      </c>
      <c r="G29" s="10"/>
      <c r="H29" s="10"/>
      <c r="I29" s="10" t="s">
        <v>298</v>
      </c>
      <c r="J29" s="10" t="s">
        <v>302</v>
      </c>
      <c r="K29" s="10" t="s">
        <v>345</v>
      </c>
      <c r="L29" s="10" t="s">
        <v>355</v>
      </c>
      <c r="M29" s="10"/>
      <c r="N29" s="10"/>
      <c r="O29" s="10" t="s">
        <v>145</v>
      </c>
      <c r="P29" s="10"/>
      <c r="Q29" s="10"/>
      <c r="R29" s="10"/>
      <c r="S29" s="10"/>
      <c r="T29" s="10"/>
      <c r="U29" s="10">
        <v>0</v>
      </c>
      <c r="V29" s="10">
        <v>6</v>
      </c>
      <c r="W29" s="23">
        <v>46069.554861111108</v>
      </c>
      <c r="X29" s="23">
        <v>46227.366666666669</v>
      </c>
      <c r="Y29" s="10" t="s">
        <v>458</v>
      </c>
      <c r="Z29" s="8"/>
      <c r="AB29">
        <f t="shared" si="0"/>
        <v>-43</v>
      </c>
      <c r="AC29">
        <f t="shared" si="1"/>
        <v>-40</v>
      </c>
      <c r="AD29">
        <f>LENB(K29)-$B$4</f>
        <v>-1</v>
      </c>
      <c r="AE29">
        <f>LENB(L29)-$B$4</f>
        <v>-1</v>
      </c>
    </row>
    <row r="30" spans="4:31" x14ac:dyDescent="0.55000000000000004">
      <c r="D30" s="20">
        <v>2</v>
      </c>
      <c r="E30" s="10" t="s">
        <v>94</v>
      </c>
      <c r="F30" s="10">
        <v>4</v>
      </c>
      <c r="G30" s="10">
        <v>2</v>
      </c>
      <c r="H30" s="10" t="s">
        <v>110</v>
      </c>
      <c r="I30" s="10" t="s">
        <v>237</v>
      </c>
      <c r="J30" s="10" t="s">
        <v>303</v>
      </c>
      <c r="K30" s="10" t="s">
        <v>237</v>
      </c>
      <c r="L30" s="10" t="s">
        <v>356</v>
      </c>
      <c r="M30" s="10"/>
      <c r="N30" s="10"/>
      <c r="O30" s="10" t="s">
        <v>53</v>
      </c>
      <c r="P30" s="10" t="s">
        <v>54</v>
      </c>
      <c r="Q30" s="10" t="s">
        <v>160</v>
      </c>
      <c r="R30" s="10" t="s">
        <v>160</v>
      </c>
      <c r="S30" s="10">
        <v>1</v>
      </c>
      <c r="T30" s="10"/>
      <c r="U30" s="10">
        <v>0</v>
      </c>
      <c r="V30" s="10">
        <v>7</v>
      </c>
      <c r="W30" s="23">
        <v>46069.554861111108</v>
      </c>
      <c r="X30" s="23">
        <v>46227.366666666669</v>
      </c>
      <c r="Y30" s="10" t="s">
        <v>458</v>
      </c>
      <c r="Z30" s="8"/>
      <c r="AB30">
        <f t="shared" si="0"/>
        <v>-48</v>
      </c>
      <c r="AC30">
        <f t="shared" si="1"/>
        <v>-40</v>
      </c>
      <c r="AD30">
        <f>LENB(K30)-$B$4</f>
        <v>-2</v>
      </c>
      <c r="AE30">
        <f>LENB(L30)-$B$4</f>
        <v>0</v>
      </c>
    </row>
    <row r="31" spans="4:31" x14ac:dyDescent="0.55000000000000004">
      <c r="D31" s="20">
        <v>4</v>
      </c>
      <c r="E31" s="10" t="s">
        <v>94</v>
      </c>
      <c r="F31" s="10">
        <v>5</v>
      </c>
      <c r="G31" s="10">
        <v>5</v>
      </c>
      <c r="H31" s="10" t="s">
        <v>238</v>
      </c>
      <c r="I31" s="10" t="s">
        <v>375</v>
      </c>
      <c r="J31" s="10" t="s">
        <v>378</v>
      </c>
      <c r="K31" s="10" t="s">
        <v>346</v>
      </c>
      <c r="L31" s="10" t="s">
        <v>357</v>
      </c>
      <c r="M31" s="10"/>
      <c r="N31" s="10"/>
      <c r="O31" s="10" t="s">
        <v>56</v>
      </c>
      <c r="P31" s="10" t="s">
        <v>239</v>
      </c>
      <c r="Q31" s="10" t="s">
        <v>160</v>
      </c>
      <c r="R31" s="10" t="s">
        <v>160</v>
      </c>
      <c r="S31" s="10">
        <v>1</v>
      </c>
      <c r="T31" s="10"/>
      <c r="U31" s="10">
        <v>0</v>
      </c>
      <c r="V31" s="10">
        <v>1</v>
      </c>
      <c r="W31" s="23">
        <v>46069.554861111108</v>
      </c>
      <c r="X31" s="23">
        <v>46227.366666666669</v>
      </c>
      <c r="Y31" s="10" t="s">
        <v>458</v>
      </c>
      <c r="Z31" s="8"/>
      <c r="AB31">
        <f t="shared" si="0"/>
        <v>-48</v>
      </c>
      <c r="AC31">
        <f t="shared" si="1"/>
        <v>-24</v>
      </c>
      <c r="AD31">
        <f>LENB(K31)-$B$4</f>
        <v>-2</v>
      </c>
      <c r="AE31">
        <f>LENB(L31)-$B$4</f>
        <v>-4</v>
      </c>
    </row>
    <row r="32" spans="4:31" x14ac:dyDescent="0.55000000000000004">
      <c r="D32" s="20">
        <v>3</v>
      </c>
      <c r="E32" s="10" t="s">
        <v>94</v>
      </c>
      <c r="F32" s="10">
        <v>6</v>
      </c>
      <c r="G32" s="10">
        <v>5</v>
      </c>
      <c r="H32" s="10" t="s">
        <v>238</v>
      </c>
      <c r="I32" s="10" t="s">
        <v>114</v>
      </c>
      <c r="J32" s="10" t="s">
        <v>304</v>
      </c>
      <c r="K32" s="10" t="s">
        <v>416</v>
      </c>
      <c r="L32" s="10" t="s">
        <v>358</v>
      </c>
      <c r="M32" s="10"/>
      <c r="N32" s="10"/>
      <c r="O32" s="10" t="s">
        <v>55</v>
      </c>
      <c r="P32" s="10" t="s">
        <v>240</v>
      </c>
      <c r="Q32" s="10" t="s">
        <v>160</v>
      </c>
      <c r="R32" s="10" t="s">
        <v>160</v>
      </c>
      <c r="S32" s="10">
        <v>1</v>
      </c>
      <c r="T32" s="10"/>
      <c r="U32" s="10">
        <v>0</v>
      </c>
      <c r="V32" s="10">
        <v>8</v>
      </c>
      <c r="W32" s="23">
        <v>46069.554861111108</v>
      </c>
      <c r="X32" s="23">
        <v>46227.366666666669</v>
      </c>
      <c r="Y32" s="10" t="s">
        <v>458</v>
      </c>
      <c r="Z32" s="8"/>
      <c r="AB32">
        <f t="shared" si="0"/>
        <v>-48</v>
      </c>
      <c r="AC32">
        <f t="shared" si="1"/>
        <v>-37</v>
      </c>
      <c r="AD32">
        <f>LENB(K32)-$B$4</f>
        <v>-2</v>
      </c>
      <c r="AE32">
        <f>LENB(L32)-$B$4</f>
        <v>-4</v>
      </c>
    </row>
    <row r="33" spans="4:31" x14ac:dyDescent="0.55000000000000004">
      <c r="D33" s="20">
        <v>8</v>
      </c>
      <c r="E33" s="10" t="s">
        <v>94</v>
      </c>
      <c r="F33" s="10">
        <v>7</v>
      </c>
      <c r="G33" s="10">
        <v>6</v>
      </c>
      <c r="H33" s="10" t="s">
        <v>241</v>
      </c>
      <c r="I33" s="10" t="s">
        <v>242</v>
      </c>
      <c r="J33" s="10" t="s">
        <v>379</v>
      </c>
      <c r="K33" s="10" t="s">
        <v>242</v>
      </c>
      <c r="L33" s="10" t="s">
        <v>359</v>
      </c>
      <c r="M33" s="10"/>
      <c r="N33" s="10"/>
      <c r="O33" s="10" t="s">
        <v>57</v>
      </c>
      <c r="P33" s="10" t="s">
        <v>243</v>
      </c>
      <c r="Q33" s="10" t="s">
        <v>160</v>
      </c>
      <c r="R33" s="10" t="s">
        <v>160</v>
      </c>
      <c r="S33" s="10">
        <v>1</v>
      </c>
      <c r="T33" s="10"/>
      <c r="U33" s="10">
        <v>0</v>
      </c>
      <c r="V33" s="10">
        <v>9</v>
      </c>
      <c r="W33" s="23">
        <v>46069.554861111108</v>
      </c>
      <c r="X33" s="23">
        <v>46227.366666666669</v>
      </c>
      <c r="Y33" s="10" t="s">
        <v>458</v>
      </c>
      <c r="Z33" s="8"/>
      <c r="AB33">
        <f t="shared" si="0"/>
        <v>-52</v>
      </c>
      <c r="AC33">
        <f t="shared" si="1"/>
        <v>-40</v>
      </c>
      <c r="AD33">
        <f>LENB(K33)-$B$4</f>
        <v>-6</v>
      </c>
      <c r="AE33">
        <f>LENB(L33)-$B$4</f>
        <v>-4</v>
      </c>
    </row>
    <row r="34" spans="4:31" x14ac:dyDescent="0.55000000000000004">
      <c r="D34" s="20">
        <v>7</v>
      </c>
      <c r="E34" s="10" t="s">
        <v>94</v>
      </c>
      <c r="F34" s="10">
        <v>8</v>
      </c>
      <c r="G34" s="10">
        <v>7</v>
      </c>
      <c r="H34" s="10" t="s">
        <v>76</v>
      </c>
      <c r="I34" s="10" t="s">
        <v>113</v>
      </c>
      <c r="J34" s="10" t="s">
        <v>380</v>
      </c>
      <c r="K34" s="10" t="s">
        <v>113</v>
      </c>
      <c r="L34" s="10" t="s">
        <v>360</v>
      </c>
      <c r="M34" s="10"/>
      <c r="N34" s="10"/>
      <c r="O34" s="10" t="s">
        <v>60</v>
      </c>
      <c r="P34" s="10" t="s">
        <v>243</v>
      </c>
      <c r="Q34" s="10" t="s">
        <v>160</v>
      </c>
      <c r="R34" s="10" t="s">
        <v>160</v>
      </c>
      <c r="S34" s="21">
        <v>1</v>
      </c>
      <c r="T34" s="21"/>
      <c r="U34" s="21">
        <v>0</v>
      </c>
      <c r="V34" s="21">
        <v>10</v>
      </c>
      <c r="W34" s="23">
        <v>46069.554861111108</v>
      </c>
      <c r="X34" s="23">
        <v>46227.366666666669</v>
      </c>
      <c r="Y34" s="21" t="s">
        <v>458</v>
      </c>
      <c r="Z34" s="8"/>
      <c r="AB34">
        <f t="shared" si="0"/>
        <v>-50</v>
      </c>
      <c r="AC34">
        <f t="shared" si="1"/>
        <v>-38</v>
      </c>
      <c r="AD34">
        <f>LENB(K34)-$B$4</f>
        <v>-4</v>
      </c>
      <c r="AE34">
        <f>LENB(L34)-$B$4</f>
        <v>-4</v>
      </c>
    </row>
    <row r="35" spans="4:31" x14ac:dyDescent="0.55000000000000004">
      <c r="D35" s="20">
        <v>6</v>
      </c>
      <c r="E35" s="10" t="s">
        <v>94</v>
      </c>
      <c r="F35" s="10">
        <v>9</v>
      </c>
      <c r="G35" s="10">
        <v>7</v>
      </c>
      <c r="H35" s="10" t="s">
        <v>76</v>
      </c>
      <c r="I35" s="10" t="s">
        <v>244</v>
      </c>
      <c r="J35" s="10" t="s">
        <v>305</v>
      </c>
      <c r="K35" s="10" t="s">
        <v>374</v>
      </c>
      <c r="L35" s="10" t="s">
        <v>361</v>
      </c>
      <c r="M35" s="10"/>
      <c r="N35" s="10"/>
      <c r="O35" s="10" t="s">
        <v>58</v>
      </c>
      <c r="P35" s="10" t="s">
        <v>59</v>
      </c>
      <c r="Q35" s="10" t="s">
        <v>160</v>
      </c>
      <c r="R35" s="10" t="s">
        <v>160</v>
      </c>
      <c r="S35" s="21">
        <v>1</v>
      </c>
      <c r="T35" s="21"/>
      <c r="U35" s="21">
        <v>0</v>
      </c>
      <c r="V35" s="21">
        <v>11</v>
      </c>
      <c r="W35" s="23">
        <v>46069.554861111108</v>
      </c>
      <c r="X35" s="23">
        <v>46227.366666666669</v>
      </c>
      <c r="Y35" s="21" t="s">
        <v>458</v>
      </c>
      <c r="Z35" s="8"/>
      <c r="AB35">
        <f t="shared" si="0"/>
        <v>-52</v>
      </c>
      <c r="AC35">
        <f t="shared" si="1"/>
        <v>-45</v>
      </c>
      <c r="AD35">
        <f>LENB(K35)-$B$4</f>
        <v>-6</v>
      </c>
      <c r="AE35">
        <f>LENB(L35)-$B$4</f>
        <v>-2</v>
      </c>
    </row>
    <row r="36" spans="4:31" x14ac:dyDescent="0.55000000000000004">
      <c r="D36" s="20">
        <v>5</v>
      </c>
      <c r="E36" s="10" t="s">
        <v>94</v>
      </c>
      <c r="F36" s="10">
        <v>10</v>
      </c>
      <c r="G36" s="10">
        <v>8</v>
      </c>
      <c r="H36" s="10" t="s">
        <v>187</v>
      </c>
      <c r="I36" s="10" t="s">
        <v>372</v>
      </c>
      <c r="J36" s="10" t="s">
        <v>381</v>
      </c>
      <c r="K36" s="10" t="s">
        <v>372</v>
      </c>
      <c r="L36" s="10" t="s">
        <v>373</v>
      </c>
      <c r="M36" s="10"/>
      <c r="N36" s="10"/>
      <c r="O36" s="10" t="s">
        <v>57</v>
      </c>
      <c r="P36" s="10" t="s">
        <v>243</v>
      </c>
      <c r="Q36" s="10" t="s">
        <v>160</v>
      </c>
      <c r="R36" s="10" t="s">
        <v>160</v>
      </c>
      <c r="S36" s="21">
        <v>1</v>
      </c>
      <c r="T36" s="21"/>
      <c r="U36" s="21">
        <v>0</v>
      </c>
      <c r="V36" s="21">
        <v>12</v>
      </c>
      <c r="W36" s="23">
        <v>46069.554861111108</v>
      </c>
      <c r="X36" s="23">
        <v>46227.366666666669</v>
      </c>
      <c r="Y36" s="21" t="s">
        <v>458</v>
      </c>
      <c r="Z36" s="8"/>
      <c r="AB36">
        <f t="shared" si="0"/>
        <v>-52</v>
      </c>
      <c r="AC36">
        <f t="shared" si="1"/>
        <v>-34</v>
      </c>
      <c r="AD36">
        <f>LENB(K36)-$B$4</f>
        <v>-6</v>
      </c>
      <c r="AE36">
        <f>LENB(L36)-$B$4</f>
        <v>-4</v>
      </c>
    </row>
    <row r="37" spans="4:31" x14ac:dyDescent="0.55000000000000004">
      <c r="D37" s="20">
        <v>10</v>
      </c>
      <c r="E37" s="10" t="s">
        <v>94</v>
      </c>
      <c r="F37" s="10">
        <v>11</v>
      </c>
      <c r="G37" s="10">
        <v>9</v>
      </c>
      <c r="H37" s="10" t="s">
        <v>245</v>
      </c>
      <c r="I37" s="10" t="s">
        <v>246</v>
      </c>
      <c r="J37" s="10" t="s">
        <v>306</v>
      </c>
      <c r="K37" s="10" t="s">
        <v>347</v>
      </c>
      <c r="L37" s="10" t="s">
        <v>362</v>
      </c>
      <c r="M37" s="10"/>
      <c r="N37" s="10"/>
      <c r="O37" s="10" t="s">
        <v>62</v>
      </c>
      <c r="P37" s="10" t="s">
        <v>243</v>
      </c>
      <c r="Q37" s="10" t="s">
        <v>160</v>
      </c>
      <c r="R37" s="10" t="s">
        <v>160</v>
      </c>
      <c r="S37" s="21">
        <v>1</v>
      </c>
      <c r="T37" s="21"/>
      <c r="U37" s="21">
        <v>0</v>
      </c>
      <c r="V37" s="21">
        <v>2</v>
      </c>
      <c r="W37" s="23">
        <v>46069.554861111108</v>
      </c>
      <c r="X37" s="23">
        <v>46227.366666666669</v>
      </c>
      <c r="Y37" s="21" t="s">
        <v>458</v>
      </c>
      <c r="Z37" s="8"/>
      <c r="AB37">
        <f t="shared" si="0"/>
        <v>-46</v>
      </c>
      <c r="AC37">
        <f t="shared" si="1"/>
        <v>-34</v>
      </c>
      <c r="AD37">
        <f>LENB(K37)-$B$4</f>
        <v>-6</v>
      </c>
      <c r="AE37">
        <f>LENB(L37)-$B$4</f>
        <v>0</v>
      </c>
    </row>
    <row r="38" spans="4:31" x14ac:dyDescent="0.55000000000000004">
      <c r="D38" s="20">
        <v>9</v>
      </c>
      <c r="E38" s="10" t="s">
        <v>94</v>
      </c>
      <c r="F38" s="10">
        <v>12</v>
      </c>
      <c r="G38" s="10">
        <v>9</v>
      </c>
      <c r="H38" s="10" t="s">
        <v>245</v>
      </c>
      <c r="I38" s="10" t="s">
        <v>111</v>
      </c>
      <c r="J38" s="10" t="s">
        <v>307</v>
      </c>
      <c r="K38" s="10" t="s">
        <v>348</v>
      </c>
      <c r="L38" s="10" t="s">
        <v>363</v>
      </c>
      <c r="M38" s="10"/>
      <c r="N38" s="10"/>
      <c r="O38" s="10" t="s">
        <v>61</v>
      </c>
      <c r="P38" s="10" t="s">
        <v>243</v>
      </c>
      <c r="Q38" s="10" t="s">
        <v>160</v>
      </c>
      <c r="R38" s="10" t="s">
        <v>160</v>
      </c>
      <c r="S38" s="21">
        <v>1</v>
      </c>
      <c r="T38" s="21"/>
      <c r="U38" s="21">
        <v>0</v>
      </c>
      <c r="V38" s="21">
        <v>13</v>
      </c>
      <c r="W38" s="23">
        <v>46069.554861111108</v>
      </c>
      <c r="X38" s="23">
        <v>46227.366666666669</v>
      </c>
      <c r="Y38" s="21" t="s">
        <v>458</v>
      </c>
      <c r="Z38" s="8"/>
      <c r="AB38">
        <f t="shared" si="0"/>
        <v>-48</v>
      </c>
      <c r="AC38">
        <f t="shared" si="1"/>
        <v>-30</v>
      </c>
      <c r="AD38">
        <f>LENB(K38)-$B$4</f>
        <v>-8</v>
      </c>
      <c r="AE38">
        <f>LENB(L38)-$B$4</f>
        <v>-3</v>
      </c>
    </row>
    <row r="39" spans="4:31" x14ac:dyDescent="0.55000000000000004">
      <c r="D39" s="20">
        <v>11</v>
      </c>
      <c r="E39" s="10" t="s">
        <v>94</v>
      </c>
      <c r="F39" s="10">
        <v>13</v>
      </c>
      <c r="G39" s="10">
        <v>11</v>
      </c>
      <c r="H39" s="10" t="s">
        <v>79</v>
      </c>
      <c r="I39" s="10" t="s">
        <v>247</v>
      </c>
      <c r="J39" s="10" t="s">
        <v>308</v>
      </c>
      <c r="K39" s="10" t="s">
        <v>349</v>
      </c>
      <c r="L39" s="10" t="s">
        <v>364</v>
      </c>
      <c r="M39" s="10"/>
      <c r="N39" s="10"/>
      <c r="O39" s="10" t="s">
        <v>62</v>
      </c>
      <c r="P39" s="10" t="s">
        <v>243</v>
      </c>
      <c r="Q39" s="10" t="s">
        <v>160</v>
      </c>
      <c r="R39" s="10" t="s">
        <v>160</v>
      </c>
      <c r="S39" s="21">
        <v>1</v>
      </c>
      <c r="T39" s="21"/>
      <c r="U39" s="21">
        <v>0</v>
      </c>
      <c r="V39" s="21">
        <v>3</v>
      </c>
      <c r="W39" s="23">
        <v>46069.554861111108</v>
      </c>
      <c r="X39" s="23">
        <v>46227.366666666669</v>
      </c>
      <c r="Y39" s="21" t="s">
        <v>458</v>
      </c>
      <c r="Z39" s="8"/>
      <c r="AB39">
        <f t="shared" si="0"/>
        <v>-46</v>
      </c>
      <c r="AC39">
        <f t="shared" si="1"/>
        <v>-28</v>
      </c>
      <c r="AD39">
        <f>LENB(K39)-$B$4</f>
        <v>-6</v>
      </c>
      <c r="AE39">
        <f>LENB(L39)-$B$4</f>
        <v>0</v>
      </c>
    </row>
    <row r="40" spans="4:31" x14ac:dyDescent="0.55000000000000004">
      <c r="D40" s="20">
        <v>13</v>
      </c>
      <c r="E40" s="10" t="s">
        <v>94</v>
      </c>
      <c r="F40" s="10">
        <v>14</v>
      </c>
      <c r="G40" s="10">
        <v>11</v>
      </c>
      <c r="H40" s="10" t="s">
        <v>79</v>
      </c>
      <c r="I40" s="10" t="s">
        <v>112</v>
      </c>
      <c r="J40" s="10" t="s">
        <v>309</v>
      </c>
      <c r="K40" s="10" t="s">
        <v>350</v>
      </c>
      <c r="L40" s="10" t="s">
        <v>365</v>
      </c>
      <c r="M40" s="10"/>
      <c r="N40" s="10"/>
      <c r="O40" s="10" t="s">
        <v>63</v>
      </c>
      <c r="P40" s="10" t="s">
        <v>243</v>
      </c>
      <c r="Q40" s="10" t="s">
        <v>160</v>
      </c>
      <c r="R40" s="10" t="s">
        <v>160</v>
      </c>
      <c r="S40" s="21">
        <v>1</v>
      </c>
      <c r="T40" s="21"/>
      <c r="U40" s="21">
        <v>0</v>
      </c>
      <c r="V40" s="21">
        <v>4</v>
      </c>
      <c r="W40" s="23">
        <v>46069.554861111108</v>
      </c>
      <c r="X40" s="23">
        <v>46227.366666666669</v>
      </c>
      <c r="Y40" s="21" t="s">
        <v>458</v>
      </c>
      <c r="Z40" s="8"/>
      <c r="AB40">
        <f t="shared" si="0"/>
        <v>-48</v>
      </c>
      <c r="AC40">
        <f t="shared" si="1"/>
        <v>-24</v>
      </c>
      <c r="AD40">
        <f>LENB(K40)-$B$4</f>
        <v>-8</v>
      </c>
      <c r="AE40">
        <f>LENB(L40)-$B$4</f>
        <v>-3</v>
      </c>
    </row>
    <row r="41" spans="4:31" x14ac:dyDescent="0.55000000000000004">
      <c r="D41" s="20">
        <v>14</v>
      </c>
      <c r="E41" s="10" t="s">
        <v>94</v>
      </c>
      <c r="F41" s="10">
        <v>15</v>
      </c>
      <c r="G41" s="10">
        <v>11</v>
      </c>
      <c r="H41" s="10" t="s">
        <v>79</v>
      </c>
      <c r="I41" s="10" t="s">
        <v>248</v>
      </c>
      <c r="J41" s="10" t="s">
        <v>310</v>
      </c>
      <c r="K41" s="10" t="s">
        <v>248</v>
      </c>
      <c r="L41" s="10" t="s">
        <v>387</v>
      </c>
      <c r="M41" s="10"/>
      <c r="N41" s="10"/>
      <c r="O41" s="10" t="s">
        <v>64</v>
      </c>
      <c r="P41" s="10" t="s">
        <v>65</v>
      </c>
      <c r="Q41" s="10" t="s">
        <v>160</v>
      </c>
      <c r="R41" s="10" t="s">
        <v>160</v>
      </c>
      <c r="S41" s="21">
        <v>1</v>
      </c>
      <c r="T41" s="21"/>
      <c r="U41" s="21">
        <v>0</v>
      </c>
      <c r="V41" s="21">
        <v>14</v>
      </c>
      <c r="W41" s="23">
        <v>46069.554861111108</v>
      </c>
      <c r="X41" s="23">
        <v>46227.366666666669</v>
      </c>
      <c r="Y41" s="21" t="s">
        <v>458</v>
      </c>
      <c r="Z41" s="8"/>
      <c r="AB41">
        <f t="shared" si="0"/>
        <v>-50</v>
      </c>
      <c r="AC41">
        <f t="shared" si="1"/>
        <v>-33</v>
      </c>
      <c r="AD41">
        <f>LENB(K41)-$B$4</f>
        <v>-4</v>
      </c>
      <c r="AE41">
        <f>LENB(L41)-$B$4</f>
        <v>-2</v>
      </c>
    </row>
    <row r="42" spans="4:31" x14ac:dyDescent="0.55000000000000004">
      <c r="D42" s="20">
        <v>15</v>
      </c>
      <c r="E42" s="10" t="s">
        <v>94</v>
      </c>
      <c r="F42" s="10">
        <v>16</v>
      </c>
      <c r="G42" s="10">
        <v>11</v>
      </c>
      <c r="H42" s="10" t="s">
        <v>79</v>
      </c>
      <c r="I42" s="10" t="s">
        <v>249</v>
      </c>
      <c r="J42" s="10" t="s">
        <v>311</v>
      </c>
      <c r="K42" s="10" t="s">
        <v>249</v>
      </c>
      <c r="L42" s="10" t="s">
        <v>366</v>
      </c>
      <c r="M42" s="10"/>
      <c r="N42" s="10"/>
      <c r="O42" s="10" t="s">
        <v>64</v>
      </c>
      <c r="P42" s="10" t="s">
        <v>65</v>
      </c>
      <c r="Q42" s="10" t="s">
        <v>160</v>
      </c>
      <c r="R42" s="10" t="s">
        <v>160</v>
      </c>
      <c r="S42" s="21">
        <v>1</v>
      </c>
      <c r="T42" s="21"/>
      <c r="U42" s="21">
        <v>0</v>
      </c>
      <c r="V42" s="21">
        <v>15</v>
      </c>
      <c r="W42" s="23">
        <v>46069.554861111108</v>
      </c>
      <c r="X42" s="23">
        <v>46227.366666666669</v>
      </c>
      <c r="Y42" s="21"/>
      <c r="Z42" s="8"/>
      <c r="AB42">
        <f t="shared" si="0"/>
        <v>-49</v>
      </c>
      <c r="AC42">
        <f t="shared" si="1"/>
        <v>-31</v>
      </c>
      <c r="AD42">
        <f>LENB(K42)-$B$4</f>
        <v>-3</v>
      </c>
      <c r="AE42">
        <f>LENB(L42)-$B$4</f>
        <v>-3</v>
      </c>
    </row>
    <row r="43" spans="4:31" x14ac:dyDescent="0.55000000000000004">
      <c r="D43" s="20">
        <v>48</v>
      </c>
      <c r="E43" s="10" t="s">
        <v>94</v>
      </c>
      <c r="F43" s="10">
        <v>17</v>
      </c>
      <c r="G43" s="10"/>
      <c r="H43" s="10"/>
      <c r="I43" s="10" t="s">
        <v>299</v>
      </c>
      <c r="J43" s="10" t="s">
        <v>312</v>
      </c>
      <c r="K43" s="10" t="s">
        <v>351</v>
      </c>
      <c r="L43" s="10" t="s">
        <v>367</v>
      </c>
      <c r="M43" s="10"/>
      <c r="N43" s="10"/>
      <c r="O43" s="10" t="s">
        <v>44</v>
      </c>
      <c r="P43" s="10"/>
      <c r="Q43" s="10"/>
      <c r="R43" s="10"/>
      <c r="S43" s="21"/>
      <c r="T43" s="21"/>
      <c r="U43" s="21">
        <v>1</v>
      </c>
      <c r="V43" s="21">
        <v>0</v>
      </c>
      <c r="W43" s="23">
        <v>46069.554861111108</v>
      </c>
      <c r="X43" s="23">
        <v>46227.366666666669</v>
      </c>
      <c r="Y43" s="21" t="s">
        <v>458</v>
      </c>
      <c r="Z43" s="8"/>
      <c r="AB43">
        <f t="shared" si="0"/>
        <v>-43</v>
      </c>
      <c r="AC43">
        <f t="shared" si="1"/>
        <v>-41</v>
      </c>
      <c r="AD43">
        <f>LENB(K43)-$B$4</f>
        <v>-3</v>
      </c>
      <c r="AE43">
        <f>LENB(L43)-$B$4</f>
        <v>-2</v>
      </c>
    </row>
    <row r="44" spans="4:31" x14ac:dyDescent="0.55000000000000004">
      <c r="D44" s="20">
        <v>49</v>
      </c>
      <c r="E44" s="10" t="s">
        <v>94</v>
      </c>
      <c r="F44" s="10">
        <v>18</v>
      </c>
      <c r="G44" s="10"/>
      <c r="H44" s="10"/>
      <c r="I44" s="10" t="s">
        <v>300</v>
      </c>
      <c r="J44" s="10" t="s">
        <v>313</v>
      </c>
      <c r="K44" s="10" t="s">
        <v>352</v>
      </c>
      <c r="L44" s="10" t="s">
        <v>368</v>
      </c>
      <c r="M44" s="10"/>
      <c r="N44" s="10"/>
      <c r="O44" s="10" t="s">
        <v>44</v>
      </c>
      <c r="P44" s="10"/>
      <c r="Q44" s="10"/>
      <c r="R44" s="10"/>
      <c r="S44" s="10"/>
      <c r="T44" s="10"/>
      <c r="U44" s="10">
        <v>1</v>
      </c>
      <c r="V44" s="10">
        <v>1</v>
      </c>
      <c r="W44" s="23">
        <v>46069.554861111108</v>
      </c>
      <c r="X44" s="23">
        <v>46227.366666666669</v>
      </c>
      <c r="Y44" s="10" t="s">
        <v>458</v>
      </c>
      <c r="Z44" s="8"/>
      <c r="AB44">
        <f t="shared" si="0"/>
        <v>-43</v>
      </c>
      <c r="AC44">
        <f t="shared" si="1"/>
        <v>-40</v>
      </c>
      <c r="AD44">
        <f>LENB(K44)-$B$4</f>
        <v>-3</v>
      </c>
      <c r="AE44">
        <f>LENB(L44)-$B$4</f>
        <v>-1</v>
      </c>
    </row>
    <row r="45" spans="4:31" x14ac:dyDescent="0.55000000000000004">
      <c r="D45" s="20">
        <v>50</v>
      </c>
      <c r="E45" s="10" t="s">
        <v>94</v>
      </c>
      <c r="F45" s="10">
        <v>19</v>
      </c>
      <c r="G45" s="10"/>
      <c r="H45" s="10"/>
      <c r="I45" s="10" t="s">
        <v>250</v>
      </c>
      <c r="J45" s="10" t="s">
        <v>314</v>
      </c>
      <c r="K45" s="10" t="s">
        <v>250</v>
      </c>
      <c r="L45" s="10" t="s">
        <v>369</v>
      </c>
      <c r="M45" s="10"/>
      <c r="N45" s="10"/>
      <c r="O45" s="10" t="s">
        <v>251</v>
      </c>
      <c r="P45" s="10"/>
      <c r="Q45" s="10"/>
      <c r="R45" s="10"/>
      <c r="S45" s="10"/>
      <c r="T45" s="10"/>
      <c r="U45" s="10">
        <v>1</v>
      </c>
      <c r="V45" s="10">
        <v>2</v>
      </c>
      <c r="W45" s="23">
        <v>46069.554861111108</v>
      </c>
      <c r="X45" s="23">
        <v>46227.366666666669</v>
      </c>
      <c r="Y45" s="10" t="s">
        <v>458</v>
      </c>
      <c r="Z45" s="8"/>
      <c r="AB45">
        <f t="shared" si="0"/>
        <v>-49</v>
      </c>
      <c r="AC45">
        <f t="shared" si="1"/>
        <v>-41</v>
      </c>
      <c r="AD45">
        <f>LENB(K45)-$B$4</f>
        <v>-3</v>
      </c>
      <c r="AE45">
        <f>LENB(L45)-$B$4</f>
        <v>-1</v>
      </c>
    </row>
    <row r="46" spans="4:31" x14ac:dyDescent="0.55000000000000004">
      <c r="D46" s="20">
        <v>58</v>
      </c>
      <c r="E46" s="10" t="s">
        <v>94</v>
      </c>
      <c r="F46" s="10">
        <v>20</v>
      </c>
      <c r="G46" s="10">
        <v>7</v>
      </c>
      <c r="H46" s="10" t="s">
        <v>76</v>
      </c>
      <c r="I46" s="10" t="s">
        <v>252</v>
      </c>
      <c r="J46" s="10" t="s">
        <v>315</v>
      </c>
      <c r="K46" s="10" t="s">
        <v>252</v>
      </c>
      <c r="L46" s="10" t="s">
        <v>370</v>
      </c>
      <c r="M46" s="10"/>
      <c r="N46" s="10"/>
      <c r="O46" s="10" t="s">
        <v>182</v>
      </c>
      <c r="P46" s="10" t="s">
        <v>253</v>
      </c>
      <c r="Q46" s="10" t="s">
        <v>254</v>
      </c>
      <c r="R46" s="10" t="s">
        <v>254</v>
      </c>
      <c r="S46" s="10"/>
      <c r="T46" s="10"/>
      <c r="U46" s="10"/>
      <c r="V46" s="10"/>
      <c r="W46" s="23">
        <v>46069.554861111108</v>
      </c>
      <c r="X46" s="23">
        <v>46227.366666666669</v>
      </c>
      <c r="Y46" s="10" t="s">
        <v>458</v>
      </c>
      <c r="Z46" s="8"/>
      <c r="AB46">
        <f t="shared" si="0"/>
        <v>-48</v>
      </c>
      <c r="AC46">
        <f t="shared" si="1"/>
        <v>-42</v>
      </c>
      <c r="AD46">
        <f>LENB(K46)-$B$4</f>
        <v>-2</v>
      </c>
      <c r="AE46">
        <f>LENB(L46)-$B$4</f>
        <v>-4</v>
      </c>
    </row>
    <row r="47" spans="4:31" x14ac:dyDescent="0.55000000000000004">
      <c r="D47" s="20">
        <v>12</v>
      </c>
      <c r="E47" s="10" t="s">
        <v>94</v>
      </c>
      <c r="F47" s="10"/>
      <c r="G47" s="10">
        <v>11</v>
      </c>
      <c r="H47" s="10" t="s">
        <v>79</v>
      </c>
      <c r="I47" s="10"/>
      <c r="J47" s="10"/>
      <c r="K47" s="10"/>
      <c r="L47" s="10"/>
      <c r="M47" s="10"/>
      <c r="N47" s="10"/>
      <c r="O47" s="10" t="s">
        <v>62</v>
      </c>
      <c r="P47" s="10" t="s">
        <v>243</v>
      </c>
      <c r="Q47" s="10" t="s">
        <v>160</v>
      </c>
      <c r="R47" s="10" t="s">
        <v>160</v>
      </c>
      <c r="S47" s="10">
        <v>1</v>
      </c>
      <c r="T47" s="24" t="s">
        <v>255</v>
      </c>
      <c r="U47" s="10"/>
      <c r="V47" s="10"/>
      <c r="W47" s="23">
        <v>46069.554861111108</v>
      </c>
      <c r="X47" s="23">
        <v>46069.554861111108</v>
      </c>
      <c r="Y47" s="24"/>
      <c r="Z47" s="8"/>
      <c r="AB47">
        <f t="shared" si="0"/>
        <v>-64</v>
      </c>
      <c r="AC47">
        <f t="shared" si="1"/>
        <v>-64</v>
      </c>
      <c r="AD47">
        <f>LENB(K47)-$B$4</f>
        <v>-18</v>
      </c>
      <c r="AE47">
        <f>LENB(L47)-$B$4</f>
        <v>-18</v>
      </c>
    </row>
    <row r="48" spans="4:31" x14ac:dyDescent="0.55000000000000004">
      <c r="D48" s="20">
        <v>16</v>
      </c>
      <c r="E48" s="10" t="s">
        <v>94</v>
      </c>
      <c r="F48" s="10"/>
      <c r="G48" s="10">
        <v>11</v>
      </c>
      <c r="H48" s="10" t="s">
        <v>79</v>
      </c>
      <c r="I48" s="10"/>
      <c r="J48" s="10"/>
      <c r="K48" s="10"/>
      <c r="L48" s="10"/>
      <c r="M48" s="10"/>
      <c r="N48" s="10"/>
      <c r="O48" s="10" t="s">
        <v>64</v>
      </c>
      <c r="P48" s="10" t="s">
        <v>65</v>
      </c>
      <c r="Q48" s="10" t="s">
        <v>160</v>
      </c>
      <c r="R48" s="10" t="s">
        <v>160</v>
      </c>
      <c r="S48" s="21">
        <v>1</v>
      </c>
      <c r="T48" s="24" t="s">
        <v>255</v>
      </c>
      <c r="U48" s="21"/>
      <c r="V48" s="21"/>
      <c r="W48" s="23">
        <v>46069.554861111108</v>
      </c>
      <c r="X48" s="23">
        <v>46069.554861111108</v>
      </c>
      <c r="Y48" s="24"/>
      <c r="Z48" s="8"/>
      <c r="AB48">
        <f t="shared" si="0"/>
        <v>-64</v>
      </c>
      <c r="AC48">
        <f t="shared" si="1"/>
        <v>-64</v>
      </c>
      <c r="AD48">
        <f>LENB(K48)-$B$4</f>
        <v>-18</v>
      </c>
      <c r="AE48">
        <f>LENB(L48)-$B$4</f>
        <v>-18</v>
      </c>
    </row>
    <row r="49" spans="4:31" x14ac:dyDescent="0.55000000000000004">
      <c r="D49" s="20">
        <v>17</v>
      </c>
      <c r="E49" s="10" t="s">
        <v>94</v>
      </c>
      <c r="F49" s="10"/>
      <c r="G49" s="10">
        <v>11</v>
      </c>
      <c r="H49" s="10" t="s">
        <v>79</v>
      </c>
      <c r="I49" s="10"/>
      <c r="J49" s="10"/>
      <c r="K49" s="10"/>
      <c r="L49" s="10"/>
      <c r="M49" s="10"/>
      <c r="N49" s="10"/>
      <c r="O49" s="10" t="s">
        <v>64</v>
      </c>
      <c r="P49" s="10" t="s">
        <v>65</v>
      </c>
      <c r="Q49" s="10" t="s">
        <v>160</v>
      </c>
      <c r="R49" s="10" t="s">
        <v>160</v>
      </c>
      <c r="S49" s="21">
        <v>1</v>
      </c>
      <c r="T49" s="24" t="s">
        <v>255</v>
      </c>
      <c r="U49" s="21"/>
      <c r="V49" s="21"/>
      <c r="W49" s="23">
        <v>46069.554861111108</v>
      </c>
      <c r="X49" s="23">
        <v>46069.554861111108</v>
      </c>
      <c r="Y49" s="24"/>
      <c r="Z49" s="8"/>
      <c r="AB49">
        <f t="shared" si="0"/>
        <v>-64</v>
      </c>
      <c r="AC49">
        <f t="shared" si="1"/>
        <v>-64</v>
      </c>
      <c r="AD49">
        <f>LENB(K49)-$B$4</f>
        <v>-18</v>
      </c>
      <c r="AE49">
        <f>LENB(L49)-$B$4</f>
        <v>-18</v>
      </c>
    </row>
    <row r="50" spans="4:31" x14ac:dyDescent="0.55000000000000004">
      <c r="D50" s="20">
        <v>21</v>
      </c>
      <c r="E50" s="10" t="s">
        <v>256</v>
      </c>
      <c r="F50" s="10">
        <v>1</v>
      </c>
      <c r="G50" s="10">
        <v>1</v>
      </c>
      <c r="H50" s="10" t="s">
        <v>235</v>
      </c>
      <c r="I50" s="10" t="s">
        <v>257</v>
      </c>
      <c r="J50" s="10" t="s">
        <v>316</v>
      </c>
      <c r="K50" s="10" t="s">
        <v>424</v>
      </c>
      <c r="L50" s="10" t="s">
        <v>371</v>
      </c>
      <c r="M50" s="10"/>
      <c r="N50" s="10"/>
      <c r="O50" s="10" t="s">
        <v>25</v>
      </c>
      <c r="P50" s="10" t="s">
        <v>258</v>
      </c>
      <c r="Q50" s="10" t="s">
        <v>159</v>
      </c>
      <c r="R50" s="10" t="s">
        <v>159</v>
      </c>
      <c r="S50" s="21">
        <v>1</v>
      </c>
      <c r="T50" s="21"/>
      <c r="U50" s="21"/>
      <c r="V50" s="21"/>
      <c r="W50" s="23">
        <v>46069.554861111108</v>
      </c>
      <c r="X50" s="23">
        <v>46227.366666666669</v>
      </c>
      <c r="Y50" s="21"/>
      <c r="Z50" s="8"/>
      <c r="AB50">
        <f t="shared" si="0"/>
        <v>-48</v>
      </c>
      <c r="AC50">
        <f t="shared" si="1"/>
        <v>-41</v>
      </c>
      <c r="AD50">
        <f>LENB(K50)-$B$4</f>
        <v>-2</v>
      </c>
      <c r="AE50">
        <f>LENB(L50)-$B$4</f>
        <v>0</v>
      </c>
    </row>
    <row r="51" spans="4:31" x14ac:dyDescent="0.55000000000000004">
      <c r="D51" s="20">
        <v>24</v>
      </c>
      <c r="E51" s="10" t="s">
        <v>259</v>
      </c>
      <c r="F51" s="10"/>
      <c r="G51" s="10">
        <v>3</v>
      </c>
      <c r="H51" s="10" t="s">
        <v>260</v>
      </c>
      <c r="I51" s="10" t="s">
        <v>261</v>
      </c>
      <c r="J51" s="10"/>
      <c r="K51" s="10"/>
      <c r="L51" s="10"/>
      <c r="M51" s="10"/>
      <c r="N51" s="10"/>
      <c r="O51" s="10" t="s">
        <v>6</v>
      </c>
      <c r="P51" s="10" t="s">
        <v>8</v>
      </c>
      <c r="Q51" s="10" t="s">
        <v>157</v>
      </c>
      <c r="R51" s="10" t="s">
        <v>157</v>
      </c>
      <c r="S51" s="10">
        <v>1</v>
      </c>
      <c r="T51" s="10"/>
      <c r="U51" s="10"/>
      <c r="V51" s="10"/>
      <c r="W51" s="23">
        <v>46069.554861111108</v>
      </c>
      <c r="X51" s="23">
        <v>46069.554861111108</v>
      </c>
      <c r="Y51" s="10"/>
      <c r="Z51" s="8"/>
      <c r="AB51">
        <f t="shared" si="0"/>
        <v>-56</v>
      </c>
      <c r="AC51">
        <f t="shared" si="1"/>
        <v>-64</v>
      </c>
      <c r="AD51">
        <f>LENB(K51)-$B$4</f>
        <v>-18</v>
      </c>
      <c r="AE51">
        <f>LENB(L51)-$B$4</f>
        <v>-18</v>
      </c>
    </row>
    <row r="52" spans="4:31" x14ac:dyDescent="0.55000000000000004">
      <c r="D52" s="6">
        <v>25</v>
      </c>
      <c r="E52" s="7" t="s">
        <v>259</v>
      </c>
      <c r="F52" s="7"/>
      <c r="G52" s="7">
        <v>3</v>
      </c>
      <c r="H52" s="7" t="s">
        <v>260</v>
      </c>
      <c r="I52" s="7" t="s">
        <v>261</v>
      </c>
      <c r="J52" s="7"/>
      <c r="K52" s="7"/>
      <c r="L52" s="7"/>
      <c r="M52" s="7"/>
      <c r="N52" s="7"/>
      <c r="O52" s="7" t="s">
        <v>262</v>
      </c>
      <c r="P52" s="7" t="s">
        <v>263</v>
      </c>
      <c r="Q52" s="7" t="s">
        <v>157</v>
      </c>
      <c r="R52" s="7" t="s">
        <v>157</v>
      </c>
      <c r="S52" s="7">
        <v>1</v>
      </c>
      <c r="T52" s="7"/>
      <c r="U52" s="7"/>
      <c r="V52" s="7"/>
      <c r="W52" s="25">
        <v>46069.554861111108</v>
      </c>
      <c r="X52" s="25">
        <v>46069.554861111108</v>
      </c>
      <c r="Y52" s="7"/>
      <c r="Z52" s="8"/>
      <c r="AB52">
        <f t="shared" si="0"/>
        <v>-56</v>
      </c>
      <c r="AC52">
        <f t="shared" si="1"/>
        <v>-64</v>
      </c>
      <c r="AD52">
        <f>LENB(K52)-$B$4</f>
        <v>-18</v>
      </c>
      <c r="AE52">
        <f>LENB(L52)-$B$4</f>
        <v>-18</v>
      </c>
    </row>
    <row r="53" spans="4:31" x14ac:dyDescent="0.55000000000000004">
      <c r="D53" s="6">
        <v>29</v>
      </c>
      <c r="E53" s="7" t="s">
        <v>259</v>
      </c>
      <c r="F53" s="7"/>
      <c r="G53" s="7">
        <v>7</v>
      </c>
      <c r="H53" s="7" t="s">
        <v>76</v>
      </c>
      <c r="I53" s="7"/>
      <c r="J53" s="7"/>
      <c r="K53" s="7"/>
      <c r="L53" s="7"/>
      <c r="M53" s="7"/>
      <c r="N53" s="7"/>
      <c r="O53" s="7" t="s">
        <v>20</v>
      </c>
      <c r="P53" s="7" t="s">
        <v>264</v>
      </c>
      <c r="Q53" s="7" t="s">
        <v>157</v>
      </c>
      <c r="R53" s="7" t="s">
        <v>157</v>
      </c>
      <c r="S53" s="7">
        <v>3</v>
      </c>
      <c r="T53" s="7"/>
      <c r="U53" s="7"/>
      <c r="V53" s="7"/>
      <c r="W53" s="25">
        <v>46069.554861111108</v>
      </c>
      <c r="X53" s="25">
        <v>46069.554861111108</v>
      </c>
      <c r="Y53" s="7"/>
      <c r="Z53" s="8"/>
      <c r="AB53">
        <f t="shared" si="0"/>
        <v>-64</v>
      </c>
      <c r="AC53">
        <f t="shared" si="1"/>
        <v>-64</v>
      </c>
      <c r="AD53">
        <f>LENB(K53)-$B$4</f>
        <v>-18</v>
      </c>
      <c r="AE53">
        <f>LENB(L53)-$B$4</f>
        <v>-18</v>
      </c>
    </row>
    <row r="54" spans="4:31" x14ac:dyDescent="0.55000000000000004">
      <c r="D54" s="6">
        <v>30</v>
      </c>
      <c r="E54" s="7" t="s">
        <v>259</v>
      </c>
      <c r="F54" s="7"/>
      <c r="G54" s="7">
        <v>1</v>
      </c>
      <c r="H54" s="7" t="s">
        <v>235</v>
      </c>
      <c r="I54" s="7" t="s">
        <v>265</v>
      </c>
      <c r="J54" s="7"/>
      <c r="K54" s="7"/>
      <c r="L54" s="7"/>
      <c r="M54" s="7"/>
      <c r="N54" s="7"/>
      <c r="O54" s="7" t="s">
        <v>21</v>
      </c>
      <c r="P54" s="7" t="s">
        <v>266</v>
      </c>
      <c r="Q54" s="7" t="s">
        <v>157</v>
      </c>
      <c r="R54" s="7" t="s">
        <v>157</v>
      </c>
      <c r="S54" s="7">
        <v>1</v>
      </c>
      <c r="T54" s="7" t="s">
        <v>267</v>
      </c>
      <c r="U54" s="7"/>
      <c r="V54" s="7"/>
      <c r="W54" s="25">
        <v>46069.554861111108</v>
      </c>
      <c r="X54" s="25">
        <v>46069.554861111108</v>
      </c>
      <c r="Y54" s="7"/>
      <c r="Z54" s="8"/>
      <c r="AB54">
        <f t="shared" si="0"/>
        <v>-43</v>
      </c>
      <c r="AC54">
        <f t="shared" si="1"/>
        <v>-64</v>
      </c>
      <c r="AD54">
        <f>LENB(K54)-$B$4</f>
        <v>-18</v>
      </c>
      <c r="AE54">
        <f>LENB(L54)-$B$4</f>
        <v>-18</v>
      </c>
    </row>
    <row r="55" spans="4:31" x14ac:dyDescent="0.55000000000000004">
      <c r="D55" s="6">
        <v>34</v>
      </c>
      <c r="E55" s="7" t="s">
        <v>259</v>
      </c>
      <c r="F55" s="7"/>
      <c r="G55" s="7">
        <v>1</v>
      </c>
      <c r="H55" s="7" t="s">
        <v>235</v>
      </c>
      <c r="I55" s="7" t="s">
        <v>268</v>
      </c>
      <c r="J55" s="7"/>
      <c r="K55" s="7"/>
      <c r="L55" s="7"/>
      <c r="M55" s="7"/>
      <c r="N55" s="7"/>
      <c r="O55" s="7" t="s">
        <v>29</v>
      </c>
      <c r="P55" s="7" t="s">
        <v>269</v>
      </c>
      <c r="Q55" s="7" t="s">
        <v>157</v>
      </c>
      <c r="R55" s="7" t="s">
        <v>157</v>
      </c>
      <c r="S55" s="7">
        <v>1</v>
      </c>
      <c r="T55" s="7" t="s">
        <v>270</v>
      </c>
      <c r="U55" s="7"/>
      <c r="V55" s="7"/>
      <c r="W55" s="25">
        <v>46069.554861111108</v>
      </c>
      <c r="X55" s="25">
        <v>46069.554861111108</v>
      </c>
      <c r="Y55" s="7"/>
      <c r="Z55" s="8"/>
      <c r="AB55">
        <f t="shared" si="0"/>
        <v>-43</v>
      </c>
      <c r="AC55">
        <f t="shared" si="1"/>
        <v>-64</v>
      </c>
      <c r="AD55">
        <f>LENB(K55)-$B$4</f>
        <v>-18</v>
      </c>
      <c r="AE55">
        <f>LENB(L55)-$B$4</f>
        <v>-18</v>
      </c>
    </row>
    <row r="56" spans="4:31" x14ac:dyDescent="0.55000000000000004">
      <c r="D56" s="6">
        <v>26</v>
      </c>
      <c r="E56" s="7"/>
      <c r="F56" s="7"/>
      <c r="G56" s="7">
        <v>1</v>
      </c>
      <c r="H56" s="7" t="s">
        <v>235</v>
      </c>
      <c r="I56" s="7"/>
      <c r="J56" s="7"/>
      <c r="K56" s="7"/>
      <c r="L56" s="7"/>
      <c r="M56" s="7"/>
      <c r="N56" s="7"/>
      <c r="O56" s="7" t="s">
        <v>271</v>
      </c>
      <c r="P56" s="9" t="s">
        <v>50</v>
      </c>
      <c r="Q56" s="7" t="s">
        <v>157</v>
      </c>
      <c r="R56" s="7" t="s">
        <v>157</v>
      </c>
      <c r="S56" s="7">
        <v>1</v>
      </c>
      <c r="T56" s="7"/>
      <c r="U56" s="7"/>
      <c r="V56" s="7"/>
      <c r="W56" s="25">
        <v>46069.554861111108</v>
      </c>
      <c r="X56" s="25">
        <v>46069.554861111108</v>
      </c>
      <c r="Y56" s="7"/>
      <c r="Z56" s="8"/>
      <c r="AB56">
        <f t="shared" si="0"/>
        <v>-64</v>
      </c>
      <c r="AC56">
        <f t="shared" si="1"/>
        <v>-64</v>
      </c>
      <c r="AD56">
        <f>LENB(K56)-$B$4</f>
        <v>-18</v>
      </c>
      <c r="AE56">
        <f>LENB(L56)-$B$4</f>
        <v>-18</v>
      </c>
    </row>
    <row r="57" spans="4:31" x14ac:dyDescent="0.55000000000000004">
      <c r="D57" s="6">
        <v>27</v>
      </c>
      <c r="E57" s="7"/>
      <c r="F57" s="7"/>
      <c r="G57" s="7">
        <v>5</v>
      </c>
      <c r="H57" s="7" t="s">
        <v>238</v>
      </c>
      <c r="I57" s="7"/>
      <c r="J57" s="7"/>
      <c r="K57" s="7"/>
      <c r="L57" s="7"/>
      <c r="M57" s="7"/>
      <c r="N57" s="7"/>
      <c r="O57" s="7" t="s">
        <v>16</v>
      </c>
      <c r="P57" s="7" t="s">
        <v>17</v>
      </c>
      <c r="Q57" s="7" t="s">
        <v>157</v>
      </c>
      <c r="R57" s="7" t="s">
        <v>157</v>
      </c>
      <c r="S57" s="7">
        <v>1</v>
      </c>
      <c r="T57" s="7"/>
      <c r="U57" s="7"/>
      <c r="V57" s="7"/>
      <c r="W57" s="25">
        <v>46069.554861111108</v>
      </c>
      <c r="X57" s="25">
        <v>46069.554861111108</v>
      </c>
      <c r="Y57" s="7"/>
      <c r="Z57" s="8"/>
      <c r="AB57">
        <f t="shared" si="0"/>
        <v>-64</v>
      </c>
      <c r="AC57">
        <f t="shared" si="1"/>
        <v>-64</v>
      </c>
      <c r="AD57">
        <f>LENB(K57)-$B$4</f>
        <v>-18</v>
      </c>
      <c r="AE57">
        <f>LENB(L57)-$B$4</f>
        <v>-18</v>
      </c>
    </row>
    <row r="58" spans="4:31" x14ac:dyDescent="0.55000000000000004">
      <c r="D58" s="6">
        <v>28</v>
      </c>
      <c r="E58" s="7"/>
      <c r="F58" s="7"/>
      <c r="G58" s="7">
        <v>5</v>
      </c>
      <c r="H58" s="7" t="s">
        <v>238</v>
      </c>
      <c r="I58" s="7"/>
      <c r="J58" s="7"/>
      <c r="K58" s="7"/>
      <c r="L58" s="7"/>
      <c r="M58" s="7"/>
      <c r="N58" s="7"/>
      <c r="O58" s="7" t="s">
        <v>15</v>
      </c>
      <c r="P58" s="7" t="s">
        <v>272</v>
      </c>
      <c r="Q58" s="7" t="s">
        <v>157</v>
      </c>
      <c r="R58" s="7" t="s">
        <v>157</v>
      </c>
      <c r="S58" s="7">
        <v>1</v>
      </c>
      <c r="T58" s="7"/>
      <c r="U58" s="7"/>
      <c r="V58" s="7"/>
      <c r="W58" s="25">
        <v>46069.554861111108</v>
      </c>
      <c r="X58" s="25">
        <v>46069.554861111108</v>
      </c>
      <c r="Y58" s="7"/>
      <c r="Z58" s="8"/>
      <c r="AB58">
        <f t="shared" si="0"/>
        <v>-64</v>
      </c>
      <c r="AC58">
        <f t="shared" si="1"/>
        <v>-64</v>
      </c>
      <c r="AD58">
        <f>LENB(K58)-$B$4</f>
        <v>-18</v>
      </c>
      <c r="AE58">
        <f>LENB(L58)-$B$4</f>
        <v>-18</v>
      </c>
    </row>
    <row r="59" spans="4:31" x14ac:dyDescent="0.55000000000000004">
      <c r="D59" s="6">
        <v>31</v>
      </c>
      <c r="E59" s="7"/>
      <c r="F59" s="7"/>
      <c r="G59" s="7">
        <v>3</v>
      </c>
      <c r="H59" s="7" t="s">
        <v>260</v>
      </c>
      <c r="I59" s="7"/>
      <c r="J59" s="7"/>
      <c r="K59" s="7"/>
      <c r="L59" s="7"/>
      <c r="M59" s="7"/>
      <c r="N59" s="7"/>
      <c r="O59" s="7" t="s">
        <v>23</v>
      </c>
      <c r="P59" s="7" t="s">
        <v>22</v>
      </c>
      <c r="Q59" s="7" t="s">
        <v>157</v>
      </c>
      <c r="R59" s="7" t="s">
        <v>157</v>
      </c>
      <c r="S59" s="7">
        <v>1</v>
      </c>
      <c r="T59" s="7" t="s">
        <v>267</v>
      </c>
      <c r="U59" s="7"/>
      <c r="V59" s="7"/>
      <c r="W59" s="25">
        <v>46069.554861111108</v>
      </c>
      <c r="X59" s="25">
        <v>46069.554861111108</v>
      </c>
      <c r="Y59" s="7"/>
      <c r="Z59" s="8"/>
      <c r="AB59">
        <f t="shared" si="0"/>
        <v>-64</v>
      </c>
      <c r="AC59">
        <f t="shared" si="1"/>
        <v>-64</v>
      </c>
      <c r="AD59">
        <f>LENB(K59)-$B$4</f>
        <v>-18</v>
      </c>
      <c r="AE59">
        <f>LENB(L59)-$B$4</f>
        <v>-18</v>
      </c>
    </row>
    <row r="60" spans="4:31" x14ac:dyDescent="0.55000000000000004">
      <c r="D60" s="6">
        <v>39</v>
      </c>
      <c r="E60" s="7"/>
      <c r="F60" s="7"/>
      <c r="G60" s="7">
        <v>7</v>
      </c>
      <c r="H60" s="7" t="s">
        <v>76</v>
      </c>
      <c r="I60" s="7"/>
      <c r="J60" s="7"/>
      <c r="K60" s="7"/>
      <c r="L60" s="7"/>
      <c r="M60" s="7"/>
      <c r="N60" s="7"/>
      <c r="O60" s="7" t="s">
        <v>23</v>
      </c>
      <c r="P60" s="7" t="s">
        <v>22</v>
      </c>
      <c r="Q60" s="7" t="s">
        <v>157</v>
      </c>
      <c r="R60" s="7" t="s">
        <v>157</v>
      </c>
      <c r="S60" s="7">
        <v>1</v>
      </c>
      <c r="T60" s="7"/>
      <c r="U60" s="7"/>
      <c r="V60" s="7"/>
      <c r="W60" s="25">
        <v>46069.554861111108</v>
      </c>
      <c r="X60" s="25">
        <v>46069.554861111108</v>
      </c>
      <c r="Y60" s="7"/>
      <c r="Z60" s="8"/>
      <c r="AB60">
        <f t="shared" si="0"/>
        <v>-64</v>
      </c>
      <c r="AC60">
        <f t="shared" si="1"/>
        <v>-64</v>
      </c>
      <c r="AD60">
        <f>LENB(K60)-$B$4</f>
        <v>-18</v>
      </c>
      <c r="AE60">
        <f>LENB(L60)-$B$4</f>
        <v>-18</v>
      </c>
    </row>
    <row r="61" spans="4:31" x14ac:dyDescent="0.55000000000000004">
      <c r="D61" s="6">
        <v>51</v>
      </c>
      <c r="E61" s="7" t="s">
        <v>188</v>
      </c>
      <c r="F61" s="7">
        <v>1</v>
      </c>
      <c r="G61" s="7"/>
      <c r="H61" s="7"/>
      <c r="I61" s="7" t="s">
        <v>443</v>
      </c>
      <c r="J61" s="7" t="s">
        <v>217</v>
      </c>
      <c r="K61" s="7" t="s">
        <v>176</v>
      </c>
      <c r="L61" s="7" t="s">
        <v>431</v>
      </c>
      <c r="M61" s="7" t="s">
        <v>443</v>
      </c>
      <c r="N61" s="7" t="s">
        <v>442</v>
      </c>
      <c r="O61" s="7"/>
      <c r="P61" s="7"/>
      <c r="Q61" s="7"/>
      <c r="R61" s="7"/>
      <c r="S61" s="7"/>
      <c r="T61" s="7"/>
      <c r="U61" s="7"/>
      <c r="V61" s="7"/>
      <c r="W61" s="25">
        <v>46069.554861111108</v>
      </c>
      <c r="X61" s="25">
        <v>46226.584027777775</v>
      </c>
      <c r="Y61" s="7" t="s">
        <v>458</v>
      </c>
      <c r="Z61" s="8"/>
      <c r="AB61">
        <f t="shared" si="0"/>
        <v>-54</v>
      </c>
      <c r="AC61">
        <f t="shared" si="1"/>
        <v>-47</v>
      </c>
      <c r="AD61">
        <f>LENB(K61)-$B$4</f>
        <v>-8</v>
      </c>
      <c r="AE61">
        <f>LENB(L61)-$B$4</f>
        <v>-3</v>
      </c>
    </row>
    <row r="62" spans="4:31" x14ac:dyDescent="0.55000000000000004">
      <c r="D62" s="6">
        <v>52</v>
      </c>
      <c r="E62" s="7" t="s">
        <v>188</v>
      </c>
      <c r="F62" s="7">
        <v>2</v>
      </c>
      <c r="G62" s="7"/>
      <c r="H62" s="7"/>
      <c r="I62" s="7" t="s">
        <v>177</v>
      </c>
      <c r="J62" s="7" t="s">
        <v>218</v>
      </c>
      <c r="K62" s="7" t="s">
        <v>177</v>
      </c>
      <c r="L62" s="7" t="s">
        <v>432</v>
      </c>
      <c r="M62" s="7" t="s">
        <v>444</v>
      </c>
      <c r="N62" s="7" t="s">
        <v>437</v>
      </c>
      <c r="O62" s="7"/>
      <c r="P62" s="7"/>
      <c r="Q62" s="7"/>
      <c r="R62" s="7"/>
      <c r="S62" s="7"/>
      <c r="T62" s="7"/>
      <c r="U62" s="7"/>
      <c r="V62" s="7"/>
      <c r="W62" s="25">
        <v>46069.554861111108</v>
      </c>
      <c r="X62" s="25">
        <v>46226.584027777775</v>
      </c>
      <c r="Y62" s="7" t="s">
        <v>458</v>
      </c>
      <c r="Z62" s="8"/>
      <c r="AB62">
        <f t="shared" si="0"/>
        <v>-54</v>
      </c>
      <c r="AC62">
        <f t="shared" si="1"/>
        <v>-41</v>
      </c>
      <c r="AD62">
        <f>LENB(K62)-$B$4</f>
        <v>-8</v>
      </c>
      <c r="AE62">
        <f>LENB(L62)-$B$4</f>
        <v>-3</v>
      </c>
    </row>
    <row r="63" spans="4:31" x14ac:dyDescent="0.55000000000000004">
      <c r="D63" s="6">
        <v>53</v>
      </c>
      <c r="E63" s="7" t="s">
        <v>188</v>
      </c>
      <c r="F63" s="7">
        <v>3</v>
      </c>
      <c r="G63" s="7"/>
      <c r="H63" s="7"/>
      <c r="I63" s="7" t="s">
        <v>178</v>
      </c>
      <c r="J63" s="7" t="s">
        <v>219</v>
      </c>
      <c r="K63" s="7" t="s">
        <v>445</v>
      </c>
      <c r="L63" s="7" t="s">
        <v>433</v>
      </c>
      <c r="M63" s="7" t="s">
        <v>445</v>
      </c>
      <c r="N63" s="7" t="s">
        <v>438</v>
      </c>
      <c r="O63" s="7"/>
      <c r="P63" s="7"/>
      <c r="Q63" s="7"/>
      <c r="R63" s="7"/>
      <c r="S63" s="7"/>
      <c r="T63" s="7"/>
      <c r="U63" s="7"/>
      <c r="V63" s="7"/>
      <c r="W63" s="25">
        <v>46069.554861111108</v>
      </c>
      <c r="X63" s="25">
        <v>46226.584027777775</v>
      </c>
      <c r="Y63" s="7" t="s">
        <v>458</v>
      </c>
      <c r="Z63" s="8"/>
      <c r="AB63">
        <f t="shared" si="0"/>
        <v>-52</v>
      </c>
      <c r="AC63">
        <f t="shared" si="1"/>
        <v>-45</v>
      </c>
      <c r="AD63">
        <f>LENB(K63)-$B$4</f>
        <v>-8</v>
      </c>
      <c r="AE63">
        <f>LENB(L63)-$B$4</f>
        <v>-4</v>
      </c>
    </row>
    <row r="64" spans="4:31" x14ac:dyDescent="0.55000000000000004">
      <c r="D64" s="6">
        <v>54</v>
      </c>
      <c r="E64" s="7" t="s">
        <v>188</v>
      </c>
      <c r="F64" s="7">
        <v>4</v>
      </c>
      <c r="G64" s="7"/>
      <c r="H64" s="7"/>
      <c r="I64" s="7" t="s">
        <v>447</v>
      </c>
      <c r="J64" s="7" t="s">
        <v>448</v>
      </c>
      <c r="K64" s="7" t="s">
        <v>446</v>
      </c>
      <c r="L64" s="7" t="s">
        <v>451</v>
      </c>
      <c r="M64" s="7" t="s">
        <v>447</v>
      </c>
      <c r="N64" s="7" t="s">
        <v>449</v>
      </c>
      <c r="O64" s="7"/>
      <c r="P64" s="7"/>
      <c r="Q64" s="7"/>
      <c r="R64" s="7"/>
      <c r="S64" s="7"/>
      <c r="T64" s="7"/>
      <c r="U64" s="7"/>
      <c r="V64" s="7"/>
      <c r="W64" s="25">
        <v>46069.554861111108</v>
      </c>
      <c r="X64" s="25">
        <v>46226.584027777775</v>
      </c>
      <c r="Y64" s="7" t="s">
        <v>458</v>
      </c>
      <c r="Z64" s="8"/>
      <c r="AB64">
        <f t="shared" si="0"/>
        <v>-56</v>
      </c>
      <c r="AC64">
        <f t="shared" si="1"/>
        <v>-52</v>
      </c>
      <c r="AD64">
        <f>LENB(K64)-$B$4</f>
        <v>-10</v>
      </c>
      <c r="AE64">
        <f>LENB(L64)-$B$4</f>
        <v>-9</v>
      </c>
    </row>
    <row r="65" spans="4:31" x14ac:dyDescent="0.55000000000000004">
      <c r="D65" s="6">
        <v>55</v>
      </c>
      <c r="E65" s="7" t="s">
        <v>188</v>
      </c>
      <c r="F65" s="7">
        <v>5</v>
      </c>
      <c r="G65" s="7"/>
      <c r="H65" s="7"/>
      <c r="I65" s="7" t="s">
        <v>179</v>
      </c>
      <c r="J65" s="7" t="s">
        <v>221</v>
      </c>
      <c r="K65" s="7" t="s">
        <v>179</v>
      </c>
      <c r="L65" s="7" t="s">
        <v>450</v>
      </c>
      <c r="M65" s="7" t="s">
        <v>455</v>
      </c>
      <c r="N65" s="7" t="s">
        <v>453</v>
      </c>
      <c r="O65" s="7"/>
      <c r="P65" s="7"/>
      <c r="Q65" s="7"/>
      <c r="R65" s="7"/>
      <c r="S65" s="7"/>
      <c r="T65" s="7"/>
      <c r="U65" s="7"/>
      <c r="V65" s="7"/>
      <c r="W65" s="25">
        <v>46069.554861111108</v>
      </c>
      <c r="X65" s="25">
        <v>46226.584027777775</v>
      </c>
      <c r="Y65" s="7" t="s">
        <v>458</v>
      </c>
      <c r="Z65" s="8"/>
      <c r="AB65">
        <f t="shared" si="0"/>
        <v>-58</v>
      </c>
      <c r="AC65">
        <f t="shared" si="1"/>
        <v>-52</v>
      </c>
      <c r="AD65">
        <f>LENB(K65)-$B$4</f>
        <v>-12</v>
      </c>
      <c r="AE65">
        <f>LENB(L65)-$B$4</f>
        <v>-9</v>
      </c>
    </row>
    <row r="66" spans="4:31" x14ac:dyDescent="0.55000000000000004">
      <c r="D66" s="6">
        <v>56</v>
      </c>
      <c r="E66" s="7" t="s">
        <v>188</v>
      </c>
      <c r="F66" s="7">
        <v>6</v>
      </c>
      <c r="G66" s="7"/>
      <c r="H66" s="7"/>
      <c r="I66" s="7" t="s">
        <v>180</v>
      </c>
      <c r="J66" s="7" t="s">
        <v>222</v>
      </c>
      <c r="K66" s="7" t="s">
        <v>180</v>
      </c>
      <c r="L66" s="7" t="s">
        <v>452</v>
      </c>
      <c r="M66" s="7" t="s">
        <v>456</v>
      </c>
      <c r="N66" s="7" t="s">
        <v>454</v>
      </c>
      <c r="O66" s="7"/>
      <c r="P66" s="7"/>
      <c r="Q66" s="7"/>
      <c r="R66" s="7"/>
      <c r="S66" s="7"/>
      <c r="T66" s="7"/>
      <c r="U66" s="7"/>
      <c r="V66" s="7"/>
      <c r="W66" s="25">
        <v>46069.554861111108</v>
      </c>
      <c r="X66" s="25">
        <v>46226.584027777775</v>
      </c>
      <c r="Y66" s="7" t="s">
        <v>458</v>
      </c>
      <c r="Z66" s="8"/>
      <c r="AB66">
        <f t="shared" si="0"/>
        <v>-58</v>
      </c>
      <c r="AC66">
        <f t="shared" si="1"/>
        <v>-50</v>
      </c>
      <c r="AD66">
        <f>LENB(K66)-$B$4</f>
        <v>-12</v>
      </c>
      <c r="AE66">
        <f>LENB(L66)-$B$4</f>
        <v>-4</v>
      </c>
    </row>
    <row r="67" spans="4:31" x14ac:dyDescent="0.55000000000000004">
      <c r="D67" s="6">
        <v>60</v>
      </c>
      <c r="E67" s="7" t="s">
        <v>188</v>
      </c>
      <c r="F67" s="7">
        <v>7</v>
      </c>
      <c r="G67" s="7"/>
      <c r="H67" s="7"/>
      <c r="I67" s="7" t="s">
        <v>223</v>
      </c>
      <c r="J67" s="7" t="s">
        <v>459</v>
      </c>
      <c r="K67" s="7"/>
      <c r="L67" s="7" t="s">
        <v>224</v>
      </c>
      <c r="M67" s="7" t="s">
        <v>223</v>
      </c>
      <c r="N67" s="7" t="s">
        <v>439</v>
      </c>
      <c r="O67" s="7"/>
      <c r="P67" s="7"/>
      <c r="Q67" s="7"/>
      <c r="R67" s="7"/>
      <c r="S67" s="7"/>
      <c r="T67" s="7"/>
      <c r="U67" s="7"/>
      <c r="V67" s="7"/>
      <c r="W67" s="25">
        <v>46069.809027777781</v>
      </c>
      <c r="X67" s="25">
        <v>46227.67291666667</v>
      </c>
      <c r="Y67" s="7"/>
      <c r="Z67" s="8"/>
      <c r="AB67">
        <f t="shared" si="0"/>
        <v>-55</v>
      </c>
      <c r="AC67">
        <f t="shared" si="1"/>
        <v>-47</v>
      </c>
      <c r="AD67">
        <f>LENB(K67)-$B$4</f>
        <v>-18</v>
      </c>
      <c r="AE67">
        <f>LENB(L67)-$B$4</f>
        <v>-7</v>
      </c>
    </row>
    <row r="68" spans="4:31" x14ac:dyDescent="0.55000000000000004">
      <c r="D68" s="6">
        <v>65</v>
      </c>
      <c r="E68" s="7" t="s">
        <v>188</v>
      </c>
      <c r="F68" s="7">
        <v>8</v>
      </c>
      <c r="G68" s="7"/>
      <c r="H68" s="7"/>
      <c r="I68" s="7" t="s">
        <v>225</v>
      </c>
      <c r="J68" s="7" t="s">
        <v>460</v>
      </c>
      <c r="K68" s="7"/>
      <c r="L68" s="7" t="s">
        <v>434</v>
      </c>
      <c r="M68" s="7" t="s">
        <v>225</v>
      </c>
      <c r="N68" s="7" t="s">
        <v>440</v>
      </c>
      <c r="O68" s="7"/>
      <c r="P68" s="7"/>
      <c r="Q68" s="7"/>
      <c r="R68" s="7"/>
      <c r="S68" s="7"/>
      <c r="T68" s="7"/>
      <c r="U68" s="7"/>
      <c r="V68" s="7"/>
      <c r="W68" s="25">
        <v>46085.347222222219</v>
      </c>
      <c r="X68" s="25">
        <v>46227.67291666667</v>
      </c>
      <c r="Y68" s="7"/>
      <c r="Z68" s="8"/>
      <c r="AB68">
        <f t="shared" ref="AB68:AB73" si="2">LENB(I68)-$B$3</f>
        <v>-50</v>
      </c>
      <c r="AC68">
        <f t="shared" ref="AC68:AC73" si="3">LENB(J68)-$B$3</f>
        <v>-42</v>
      </c>
      <c r="AD68">
        <f>LENB(K68)-$B$4</f>
        <v>-18</v>
      </c>
      <c r="AE68">
        <f>LENB(L68)-$B$4</f>
        <v>-4</v>
      </c>
    </row>
    <row r="69" spans="4:31" x14ac:dyDescent="0.55000000000000004">
      <c r="D69" s="6">
        <v>57</v>
      </c>
      <c r="E69" s="7" t="s">
        <v>273</v>
      </c>
      <c r="F69" s="7">
        <v>1</v>
      </c>
      <c r="G69" s="7"/>
      <c r="H69" s="7"/>
      <c r="I69" s="7" t="s">
        <v>274</v>
      </c>
      <c r="J69" s="7" t="s">
        <v>417</v>
      </c>
      <c r="K69" s="7" t="s">
        <v>274</v>
      </c>
      <c r="L69" s="7" t="s">
        <v>420</v>
      </c>
      <c r="M69" s="7"/>
      <c r="N69" s="7"/>
      <c r="O69" s="7"/>
      <c r="P69" s="7"/>
      <c r="Q69" s="7"/>
      <c r="R69" s="7"/>
      <c r="S69" s="7"/>
      <c r="T69" s="7"/>
      <c r="U69" s="7"/>
      <c r="V69" s="7"/>
      <c r="W69" s="25">
        <v>46069.554861111108</v>
      </c>
      <c r="X69" s="25">
        <v>46227.4375</v>
      </c>
      <c r="Y69" s="7" t="s">
        <v>458</v>
      </c>
      <c r="Z69" s="8"/>
      <c r="AB69">
        <f t="shared" si="2"/>
        <v>-58</v>
      </c>
      <c r="AC69">
        <f t="shared" si="3"/>
        <v>-49</v>
      </c>
      <c r="AD69">
        <f>LENB(K69)-$B$4</f>
        <v>-12</v>
      </c>
      <c r="AE69">
        <f>LENB(L69)-$B$4</f>
        <v>-6</v>
      </c>
    </row>
    <row r="70" spans="4:31" x14ac:dyDescent="0.55000000000000004">
      <c r="D70" s="6">
        <v>61</v>
      </c>
      <c r="E70" s="7" t="s">
        <v>273</v>
      </c>
      <c r="F70" s="7">
        <v>2</v>
      </c>
      <c r="G70" s="7"/>
      <c r="H70" s="7"/>
      <c r="I70" s="7" t="s">
        <v>275</v>
      </c>
      <c r="J70" s="7" t="s">
        <v>418</v>
      </c>
      <c r="K70" s="7" t="s">
        <v>430</v>
      </c>
      <c r="L70" s="7" t="s">
        <v>421</v>
      </c>
      <c r="M70" s="7"/>
      <c r="N70" s="7"/>
      <c r="O70" s="7"/>
      <c r="P70" s="7"/>
      <c r="Q70" s="7"/>
      <c r="R70" s="7"/>
      <c r="S70" s="7"/>
      <c r="T70" s="7"/>
      <c r="U70" s="7"/>
      <c r="V70" s="7"/>
      <c r="W70" s="25">
        <v>46077.372916666667</v>
      </c>
      <c r="X70" s="25">
        <v>46227.4375</v>
      </c>
      <c r="Y70" s="7" t="s">
        <v>458</v>
      </c>
      <c r="Z70" s="8"/>
      <c r="AB70">
        <f t="shared" si="2"/>
        <v>-45</v>
      </c>
      <c r="AC70">
        <f t="shared" si="3"/>
        <v>-35</v>
      </c>
      <c r="AD70">
        <f>LENB(K70)-$B$4</f>
        <v>-3</v>
      </c>
      <c r="AE70">
        <f>LENB(L70)-$B$4</f>
        <v>-2</v>
      </c>
    </row>
    <row r="71" spans="4:31" x14ac:dyDescent="0.55000000000000004">
      <c r="D71" s="6">
        <v>62</v>
      </c>
      <c r="E71" s="7" t="s">
        <v>276</v>
      </c>
      <c r="F71" s="7">
        <v>1</v>
      </c>
      <c r="G71" s="7"/>
      <c r="H71" s="7"/>
      <c r="I71" s="7" t="s">
        <v>277</v>
      </c>
      <c r="J71" s="7" t="s">
        <v>191</v>
      </c>
      <c r="K71" s="7" t="s">
        <v>277</v>
      </c>
      <c r="L71" s="7" t="s">
        <v>422</v>
      </c>
      <c r="M71" s="7"/>
      <c r="N71" s="7"/>
      <c r="O71" s="7"/>
      <c r="P71" s="7"/>
      <c r="Q71" s="7"/>
      <c r="R71" s="7"/>
      <c r="S71" s="7"/>
      <c r="T71" s="7"/>
      <c r="U71" s="7"/>
      <c r="V71" s="7"/>
      <c r="W71" s="25">
        <v>46083.387499999997</v>
      </c>
      <c r="X71" s="25">
        <v>46227.4375</v>
      </c>
      <c r="Y71" s="7"/>
      <c r="Z71" s="8"/>
      <c r="AB71">
        <f t="shared" si="2"/>
        <v>-54</v>
      </c>
      <c r="AC71">
        <f t="shared" si="3"/>
        <v>-52</v>
      </c>
      <c r="AD71">
        <f>LENB(K71)-$B$4</f>
        <v>-8</v>
      </c>
      <c r="AE71">
        <f>LENB(L71)-$B$4</f>
        <v>-8</v>
      </c>
    </row>
    <row r="72" spans="4:31" x14ac:dyDescent="0.55000000000000004">
      <c r="D72" s="6">
        <v>63</v>
      </c>
      <c r="E72" s="7" t="s">
        <v>276</v>
      </c>
      <c r="F72" s="7">
        <v>2</v>
      </c>
      <c r="G72" s="7"/>
      <c r="H72" s="7"/>
      <c r="I72" s="7" t="s">
        <v>277</v>
      </c>
      <c r="J72" s="7" t="s">
        <v>191</v>
      </c>
      <c r="K72" s="7" t="s">
        <v>277</v>
      </c>
      <c r="L72" s="7" t="s">
        <v>422</v>
      </c>
      <c r="M72" s="7"/>
      <c r="N72" s="7"/>
      <c r="O72" s="7"/>
      <c r="P72" s="7"/>
      <c r="Q72" s="7"/>
      <c r="R72" s="7"/>
      <c r="S72" s="7"/>
      <c r="T72" s="7"/>
      <c r="U72" s="7"/>
      <c r="V72" s="7"/>
      <c r="W72" s="25">
        <v>46083.387499999997</v>
      </c>
      <c r="X72" s="25">
        <v>46227.4375</v>
      </c>
      <c r="Y72" s="7"/>
      <c r="Z72" s="8"/>
      <c r="AB72">
        <f t="shared" si="2"/>
        <v>-54</v>
      </c>
      <c r="AC72">
        <f t="shared" si="3"/>
        <v>-52</v>
      </c>
      <c r="AD72">
        <f>LENB(K72)-$B$4</f>
        <v>-8</v>
      </c>
      <c r="AE72">
        <f>LENB(L72)-$B$4</f>
        <v>-8</v>
      </c>
    </row>
    <row r="73" spans="4:31" x14ac:dyDescent="0.55000000000000004">
      <c r="D73" s="11">
        <v>64</v>
      </c>
      <c r="E73" s="12" t="s">
        <v>276</v>
      </c>
      <c r="F73" s="12">
        <v>3</v>
      </c>
      <c r="G73" s="12"/>
      <c r="H73" s="12"/>
      <c r="I73" s="12" t="s">
        <v>278</v>
      </c>
      <c r="J73" s="12" t="s">
        <v>419</v>
      </c>
      <c r="K73" s="12" t="s">
        <v>278</v>
      </c>
      <c r="L73" s="12" t="s">
        <v>423</v>
      </c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26">
        <v>46083.363888888889</v>
      </c>
      <c r="X73" s="26">
        <v>46227.4375</v>
      </c>
      <c r="Y73" s="12" t="s">
        <v>458</v>
      </c>
      <c r="Z73" s="13"/>
      <c r="AB73">
        <f t="shared" si="2"/>
        <v>-49</v>
      </c>
      <c r="AC73">
        <f t="shared" si="3"/>
        <v>-46</v>
      </c>
      <c r="AD73">
        <f>LENB(K73)-$B$4</f>
        <v>-3</v>
      </c>
      <c r="AE73">
        <f>LENB(L73)-$B$4</f>
        <v>-2</v>
      </c>
    </row>
    <row r="75" spans="4:31" x14ac:dyDescent="0.55000000000000004">
      <c r="D75" t="s">
        <v>91</v>
      </c>
      <c r="G75" t="s">
        <v>90</v>
      </c>
    </row>
    <row r="76" spans="4:31" x14ac:dyDescent="0.55000000000000004">
      <c r="D76">
        <f>MAX(D$3:D$73)</f>
        <v>72</v>
      </c>
      <c r="G76">
        <f>MAX(G$3:G$73)</f>
        <v>11</v>
      </c>
    </row>
    <row r="77" spans="4:31" x14ac:dyDescent="0.55000000000000004">
      <c r="D77" t="s">
        <v>139</v>
      </c>
      <c r="E77" t="s">
        <v>96</v>
      </c>
      <c r="F77" t="s">
        <v>95</v>
      </c>
    </row>
    <row r="78" spans="4:31" x14ac:dyDescent="0.55000000000000004">
      <c r="D78">
        <f>ROW(D74)-ROW(D2)-1</f>
        <v>71</v>
      </c>
      <c r="E78">
        <f>COUNTIF(E$3:E$73,E77)</f>
        <v>24</v>
      </c>
      <c r="F78" s="14">
        <f>_xlfn.MAXIFS(F$3:F$73,$E$3:$E$73,F77)</f>
        <v>24</v>
      </c>
    </row>
    <row r="79" spans="4:31" x14ac:dyDescent="0.55000000000000004">
      <c r="E79" t="s">
        <v>94</v>
      </c>
      <c r="F79" t="s">
        <v>94</v>
      </c>
    </row>
    <row r="80" spans="4:31" x14ac:dyDescent="0.55000000000000004">
      <c r="E80">
        <f>COUNTIF(E$3:E$73,E79)</f>
        <v>23</v>
      </c>
      <c r="F80" s="14">
        <f>_xlfn.MAXIFS(F$3:F$73,$E$3:$E$73,F79)</f>
        <v>20</v>
      </c>
    </row>
    <row r="83" spans="15:26" x14ac:dyDescent="0.55000000000000004">
      <c r="O83" s="2" t="s">
        <v>30</v>
      </c>
      <c r="S83">
        <v>1</v>
      </c>
      <c r="Z83" t="s">
        <v>66</v>
      </c>
    </row>
    <row r="84" spans="15:26" x14ac:dyDescent="0.55000000000000004">
      <c r="O84" t="s">
        <v>49</v>
      </c>
      <c r="P84" t="s">
        <v>46</v>
      </c>
      <c r="Q84" t="s">
        <v>45</v>
      </c>
      <c r="S84">
        <v>1</v>
      </c>
      <c r="Z84" t="s">
        <v>66</v>
      </c>
    </row>
    <row r="86" spans="15:26" x14ac:dyDescent="0.55000000000000004">
      <c r="O86" s="2" t="s">
        <v>31</v>
      </c>
    </row>
    <row r="87" spans="15:26" x14ac:dyDescent="0.55000000000000004">
      <c r="O87" t="s">
        <v>69</v>
      </c>
      <c r="P87" t="s">
        <v>71</v>
      </c>
      <c r="Q87" t="s">
        <v>67</v>
      </c>
      <c r="S87">
        <v>1</v>
      </c>
      <c r="Z87" t="s">
        <v>66</v>
      </c>
    </row>
    <row r="89" spans="15:26" x14ac:dyDescent="0.55000000000000004">
      <c r="O89" s="2" t="s">
        <v>32</v>
      </c>
    </row>
    <row r="90" spans="15:26" x14ac:dyDescent="0.55000000000000004">
      <c r="O90" t="s">
        <v>70</v>
      </c>
      <c r="P90" t="s">
        <v>71</v>
      </c>
      <c r="Q90" t="s">
        <v>68</v>
      </c>
      <c r="S90">
        <v>1</v>
      </c>
      <c r="Z90" t="s">
        <v>66</v>
      </c>
    </row>
    <row r="92" spans="15:26" x14ac:dyDescent="0.55000000000000004">
      <c r="O92" s="2" t="s">
        <v>33</v>
      </c>
    </row>
    <row r="93" spans="15:26" x14ac:dyDescent="0.55000000000000004">
      <c r="O93" t="s">
        <v>35</v>
      </c>
      <c r="P93" t="s">
        <v>36</v>
      </c>
      <c r="Q93" t="s">
        <v>11</v>
      </c>
      <c r="S93">
        <v>1</v>
      </c>
      <c r="Z93" t="s">
        <v>74</v>
      </c>
    </row>
    <row r="94" spans="15:26" x14ac:dyDescent="0.55000000000000004">
      <c r="O94" t="s">
        <v>38</v>
      </c>
      <c r="P94" s="1" t="s">
        <v>47</v>
      </c>
      <c r="Q94" t="s">
        <v>37</v>
      </c>
      <c r="S94">
        <v>2</v>
      </c>
      <c r="Z94" t="s">
        <v>74</v>
      </c>
    </row>
    <row r="96" spans="15:26" x14ac:dyDescent="0.55000000000000004">
      <c r="O96" s="2" t="s">
        <v>34</v>
      </c>
    </row>
    <row r="97" spans="15:26" x14ac:dyDescent="0.55000000000000004">
      <c r="O97" t="s">
        <v>39</v>
      </c>
      <c r="P97" t="s">
        <v>40</v>
      </c>
      <c r="Q97" t="s">
        <v>11</v>
      </c>
      <c r="S97">
        <v>1</v>
      </c>
      <c r="Z97" t="s">
        <v>74</v>
      </c>
    </row>
    <row r="98" spans="15:26" x14ac:dyDescent="0.55000000000000004">
      <c r="O98" t="s">
        <v>43</v>
      </c>
      <c r="P98" s="3" t="s">
        <v>41</v>
      </c>
      <c r="Q98" t="s">
        <v>42</v>
      </c>
      <c r="S98">
        <v>1</v>
      </c>
      <c r="Z98" t="s">
        <v>74</v>
      </c>
    </row>
    <row r="99" spans="15:26" x14ac:dyDescent="0.55000000000000004">
      <c r="O99" t="s">
        <v>44</v>
      </c>
      <c r="P99" t="s">
        <v>48</v>
      </c>
      <c r="Q99" t="s">
        <v>4</v>
      </c>
      <c r="S99">
        <v>2</v>
      </c>
      <c r="Z99" t="s">
        <v>74</v>
      </c>
    </row>
    <row r="100" spans="15:26" x14ac:dyDescent="0.55000000000000004">
      <c r="O100" t="s">
        <v>72</v>
      </c>
      <c r="P100" t="s">
        <v>73</v>
      </c>
      <c r="Q100" t="s">
        <v>75</v>
      </c>
      <c r="S100">
        <v>1</v>
      </c>
      <c r="Z100" t="s">
        <v>74</v>
      </c>
    </row>
  </sheetData>
  <autoFilter ref="D2:Z73" xr:uid="{48D32264-F25D-40E9-9C76-26E43E79C8CC}"/>
  <phoneticPr fontId="1"/>
  <conditionalFormatting sqref="D3:Z73">
    <cfRule type="expression" dxfId="6" priority="9">
      <formula>INT($X3)=TODAY()</formula>
    </cfRule>
    <cfRule type="expression" dxfId="5" priority="10">
      <formula>MOD(ROW(D3),2)=1</formula>
    </cfRule>
  </conditionalFormatting>
  <conditionalFormatting sqref="I3:M73">
    <cfRule type="expression" dxfId="4" priority="4" stopIfTrue="1">
      <formula>0&lt;AB3</formula>
    </cfRule>
  </conditionalFormatting>
  <conditionalFormatting sqref="N3:N73">
    <cfRule type="expression" dxfId="3" priority="1" stopIfTrue="1">
      <formula>0&lt;AF3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6"/>
  <sheetViews>
    <sheetView workbookViewId="0">
      <pane xSplit="6" ySplit="3" topLeftCell="G4" activePane="bottomRight" state="frozen"/>
      <selection activeCell="I12" sqref="I12"/>
      <selection pane="topRight" activeCell="I12" sqref="I12"/>
      <selection pane="bottomLeft" activeCell="I12" sqref="I12"/>
      <selection pane="bottomRight" activeCell="E13" sqref="E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41406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S1" t="s">
        <v>296</v>
      </c>
    </row>
    <row r="2" spans="1:37" x14ac:dyDescent="0.55000000000000004">
      <c r="F2" t="s">
        <v>166</v>
      </c>
      <c r="J2" t="s">
        <v>162</v>
      </c>
      <c r="L2" t="s">
        <v>163</v>
      </c>
      <c r="N2" t="s">
        <v>164</v>
      </c>
      <c r="P2" t="s">
        <v>165</v>
      </c>
      <c r="S2">
        <f ca="1">COUNTIF(S$4:S$203,"&gt;0")</f>
        <v>0</v>
      </c>
      <c r="AA2" t="str">
        <f>IF(LEN(J2),J3&amp;CHAR(9)&amp;":"&amp;J2,"")</f>
        <v>name	:装置内で使用される名称</v>
      </c>
      <c r="AC2" t="str">
        <f>IF(LEN(AA2),AA2,"")&amp;IF(LEN(L2),CHAR(10)&amp;L3&amp;CHAR(9)&amp;":"&amp;L2,"")</f>
        <v>name	:装置内で使用される名称
index_name	:装置内の連番＋名称</v>
      </c>
      <c r="AE2" t="str">
        <f>IF(LEN(AC2),AC2,"")&amp;IF(LEN(N2),CHAR(10)&amp;N3&amp;CHAR(9)&amp;":"&amp;N2,"")</f>
        <v>name	:装置内で使用される名称
index_name	:装置内の連番＋名称
model	:使用される機器の型番</v>
      </c>
      <c r="AG2" t="str">
        <f>IF(LEN(AE2),AE2,"")&amp;IF(LEN(P2),CHAR(10)&amp;P3&amp;CHAR(9)&amp;":"&amp;P2,"")</f>
        <v>name	:装置内で使用される名称
index_name	:装置内の連番＋名称
model	:使用される機器の型番
mf	:使用される機器のメーカー</v>
      </c>
      <c r="AI2" t="str">
        <f>AG2</f>
        <v>name	:装置内で使用される名称
index_name	:装置内の連番＋名称
model	:使用される機器の型番
mf	:使用される機器のメーカー</v>
      </c>
    </row>
    <row r="3" spans="1:37" s="17" customFormat="1" x14ac:dyDescent="0.55000000000000004">
      <c r="A3" s="17" t="s">
        <v>147</v>
      </c>
      <c r="E3" s="17" t="s">
        <v>152</v>
      </c>
      <c r="F3" s="17" t="s">
        <v>84</v>
      </c>
      <c r="G3" s="17" t="s">
        <v>138</v>
      </c>
      <c r="H3" s="17" t="s">
        <v>151</v>
      </c>
      <c r="J3" s="17" t="s">
        <v>130</v>
      </c>
      <c r="L3" s="17" t="s">
        <v>131</v>
      </c>
      <c r="N3" s="17" t="s">
        <v>141</v>
      </c>
      <c r="P3" s="17" t="s">
        <v>153</v>
      </c>
      <c r="S3" s="17" t="s">
        <v>295</v>
      </c>
      <c r="X3" s="17" t="s">
        <v>142</v>
      </c>
      <c r="Y3" s="17" t="s">
        <v>133</v>
      </c>
      <c r="Z3" s="17" t="s">
        <v>134</v>
      </c>
      <c r="AA3" s="17" t="s">
        <v>135</v>
      </c>
      <c r="AB3" s="17" t="s">
        <v>136</v>
      </c>
      <c r="AC3" s="17" t="s">
        <v>137</v>
      </c>
      <c r="AD3" s="17" t="s">
        <v>136</v>
      </c>
      <c r="AE3" s="17" t="s">
        <v>143</v>
      </c>
      <c r="AF3" s="17" t="s">
        <v>144</v>
      </c>
      <c r="AG3" s="17" t="s">
        <v>161</v>
      </c>
      <c r="AH3" s="17" t="s">
        <v>144</v>
      </c>
      <c r="AI3" s="17" t="s">
        <v>149</v>
      </c>
      <c r="AJ3" s="17" t="s">
        <v>150</v>
      </c>
      <c r="AK3" s="17" t="s">
        <v>146</v>
      </c>
    </row>
    <row r="4" spans="1:37" x14ac:dyDescent="0.55000000000000004">
      <c r="A4" t="s">
        <v>125</v>
      </c>
      <c r="B4" t="str" cm="1">
        <f t="array" aca="1" ref="B4" ca="1">CELL("filename")</f>
        <v>C:\tk\prj\hg-0025-0016\git\unit01\kv-x520\doc\[kv_script_conv_info.xlsx]info_index</v>
      </c>
      <c r="E4" t="s">
        <v>96</v>
      </c>
      <c r="F4">
        <f>COUNTIF(E$4:E4,E4)</f>
        <v>1</v>
      </c>
      <c r="H4" cm="1">
        <f t="array" ref="H4:H203">IFERROR(MATCH($E$4:$E$203&amp;$F$4:$F$203,info_index!$E$3:$E$73&amp;info_index!$F$3:$F$73,0),"")</f>
        <v>1</v>
      </c>
      <c r="I4" t="str" cm="1">
        <f t="array" aca="1" ref="I4:I203" ca="1">IF(LEN(_xlfn.ANCHORARRAY(H4)),INDEX(OFFSET(info_index!$I$3:$I$73,0,$B$24),MATCH($E$4:$E$203&amp;$F$4:$F$203,info_index!$E$3:$E$73&amp;info_index!$F$3:$F$73,0)&amp;"",1),"")</f>
        <v>Brazing Foil Reel Axis</v>
      </c>
      <c r="J4" t="str" cm="1">
        <f t="array" aca="1" ref="J4:J203" ca="1">IF(LEN(_xlfn.ANCHORARRAY($H4)),IF(LEN(_xlfn.ANCHORARRAY(I4)),_xlfn.ANCHORARRAY(I4),"unknown"),"")</f>
        <v>Brazing Foil Reel Axis</v>
      </c>
      <c r="L4" t="str" cm="1">
        <f t="array" aca="1" ref="L4:L203" ca="1">IF(LEN(_xlfn.ANCHORARRAY(J4)),"【"&amp;E4:E203&amp;F4:F203&amp;"】 "&amp;_xlfn.ANCHORARRAY(J4),"")</f>
        <v>【axis1】 Brazing Foil Reel Axis</v>
      </c>
      <c r="M4" t="str" cm="1">
        <f t="array" ref="M4:M203">IFERROR(INDEX(info_index!$O$3:$O$73,MATCH($E$4:$E$203&amp;$F$4:$F$203,info_index!$E$3:$E$73&amp;info_index!$F$3:$F$73,0),1)&amp;"","")</f>
        <v>5TK20GN-CW2J+5GN180K</v>
      </c>
      <c r="N4" t="str" cm="1">
        <f t="array" ref="N4:N203">IF(LEN(_xlfn.ANCHORARRAY(H4)),IF(LEN(_xlfn.ANCHORARRAY(M4)),_xlfn.ANCHORARRAY(M4),"unknown"),"")</f>
        <v>5TK20GN-CW2J+5GN180K</v>
      </c>
      <c r="O4" t="str" cm="1">
        <f t="array" aca="1" ref="O4:O203" ca="1">IF(LEN(_xlfn.ANCHORARRAY(H4)),INDEX(OFFSET(info_index!$Q$3:$Q$73,0,$B$24),MATCH($E$4:$E$203&amp;$F$4:$F$203,info_index!$E$3:$E$73&amp;info_index!$F$3:$F$73,0),1)&amp;"","")</f>
        <v>OrientalMotor</v>
      </c>
      <c r="P4" t="str" cm="1">
        <f t="array" aca="1" ref="P4:P203" ca="1">IF(LEN(_xlfn.ANCHORARRAY($H4)),IF(LEN(_xlfn.ANCHORARRAY(O4)),_xlfn.ANCHORARRAY(O4),"unknown"),"")</f>
        <v>OrientalMotor</v>
      </c>
      <c r="S4">
        <f ca="1">LENB(L4)-$B$44</f>
        <v>-32</v>
      </c>
      <c r="X4" t="str" cm="1">
        <f t="array" aca="1" ref="X4:X203" ca="1">IF(LENB(_xlfn.ANCHORARRAY(J4)),IF(ROW($F$4)&lt;ROW($F4:$F203),CHAR(10),"")&amp;IF(1=F4:F203,IF(ROW($F$4)&lt;ROW($F4:$F203),CHAR(10),"")&amp;$B$8&amp;IF(LEN(E4:E203)=0,"名称未設定",E4:E203),""),"")</f>
        <v>//axis</v>
      </c>
      <c r="Y4" t="str" cm="1">
        <f t="array" aca="1" ref="Y4:Y203" ca="1">IF(LEN(_xlfn.ANCHORARRAY(X4)),_xlfn.ANCHORARRAY(X4),"")&amp;IF(LEN(J4:J203),IF(F4:F203=1,CHAR(10)&amp;IF(ROW($F$4)&lt;ROW(F4:F203),"ELSIF ","IF ")&amp;$B$26&amp;" = '"&amp;E4:E203&amp;"' THEN",""),"")</f>
        <v>//axis
IF strInfoType = 'axis' THEN</v>
      </c>
      <c r="Z4" t="str" cm="1">
        <f t="array" aca="1" ref="Z4:Z203" ca="1">IF(LEN(_xlfn.ANCHORARRAY(Y4)),_xlfn.ANCHORARRAY(Y4),"")&amp;IF(LEN(J4:J203),CHAR(10)&amp;CHAR(9)&amp;$B$8&amp;_xlfn.ANCHORARRAY(J4)&amp;CHAR(10)&amp;CHAR(9)&amp;IF(F4:F203=1,"IF ","ELSIF ")&amp;$B$27&amp;" = "&amp;F4:F203&amp;" THEN","")</f>
        <v>//axis
IF strInfoType = 'axis' THEN
	//Brazing Foil Reel Axis
	IF uiInfoIdx = 1 THEN</v>
      </c>
      <c r="AA4" t="str" cm="1">
        <f t="array" aca="1" ref="AA4:AA203" ca="1">IF(LEN(Z4:Z203),Z4:Z203,"")&amp;IF(LEN(J4:J203),CHAR(10)&amp;CHAR(9)&amp;CHAR(9)&amp;"IF "&amp;$B$28&amp;" = '"&amp;$J$3&amp;"' THEN","")</f>
        <v>//axis
IF strInfoType = 'axis' THEN
	//Brazing Foil Reel Axis
	IF uiInfoIdx = 1 THEN
		IF strInfoKey = 'name' THEN</v>
      </c>
      <c r="AB4" t="str" cm="1">
        <f t="array" aca="1" ref="AB4:AB203" ca="1">IF(LEN(AA4:AA203),AA4:AA203,"")&amp;IF(LEN(J4:J203),CHAR(10)&amp;CHAR(9)&amp;CHAR(9)&amp;CHAR(9)&amp;$B$29&amp;CHAR(9)&amp;$B$9&amp;" '"&amp;_xlfn.ANCHORARRAY(J4)&amp;"'"&amp;$B$10,"")</f>
        <v>//axis
IF strInfoType = 'axis' THEN
	//Brazing Foil Reel Axis
	IF uiInfoIdx = 1 THEN
		IF strInfoKey = 'name' THEN
			strRt	:= 'Brazing Foil Reel Axis';</v>
      </c>
      <c r="AC4" t="str" cm="1">
        <f t="array" aca="1" ref="AC4:AC203" ca="1">IF(LEN(AB4:AB203),AB4:AB203,"")&amp;IF(LEN(L4:L203),CHAR(10)&amp;CHAR(9)&amp;CHAR(9)&amp;"ELSIF "&amp;$B$28&amp;" = '"&amp;L$3&amp;"' THEN","")</f>
        <v>//axis
IF strInfoType = 'axis' THEN
	//Brazing Foil Reel Axis
	IF uiInfoIdx = 1 THEN
		IF strInfoKey = 'name' THEN
			strRt	:= 'Brazing Foil Reel Axis';
		ELSIF strInfoKey = 'index_name' THEN</v>
      </c>
      <c r="AD4" t="str" cm="1">
        <f t="array" aca="1" ref="AD4:AD203" ca="1">IF(LEN(AC4:AC203),AC4:AC203,"")&amp;IF(LEN(L4:L203),CHAR(10)&amp;CHAR(9)&amp;CHAR(9)&amp;CHAR(9)&amp;$B$29&amp;CHAR(9)&amp;$B$9&amp;" '"&amp;_xlfn.ANCHORARRAY(L4)&amp;"'"&amp;$B$10,"")</f>
        <v>//axis
IF strInfoType = 'axis' THEN
	//Brazing Foil Reel Axis
	IF uiInfoIdx = 1 THEN
		IF strInfoKey = 'name' THEN
			strRt	:= 'Brazing Foil Reel Axis';
		ELSIF strInfoKey = 'index_name' THEN
			strRt	:= '【axis1】 Brazing Foil Reel Axis';</v>
      </c>
      <c r="AE4" t="str" cm="1">
        <f t="array" aca="1" ref="AE4:AE203" ca="1">IF(LEN(AD4:AD203),AD4:AD203,"")&amp;IF(LEN(N4:N203),CHAR(10)&amp;CHAR(9)&amp;CHAR(9)&amp;"ELSIF "&amp;$B$28&amp;" = '"&amp;N$3&amp;"' THEN","")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</v>
      </c>
      <c r="AF4" t="str" cm="1">
        <f t="array" aca="1" ref="AF4:AF203" ca="1">IF(LEN(AE4:AE203),AE4:AE203,"")&amp;IF(LEN(N4:N203),CHAR(10)&amp;CHAR(9)&amp;CHAR(9)&amp;CHAR(9)&amp;$B$29&amp;CHAR(9)&amp;$B$9&amp;" '"&amp;_xlfn.ANCHORARRAY(N4)&amp;"'"&amp;$B$10,"")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</v>
      </c>
      <c r="AG4" t="str" cm="1">
        <f t="array" aca="1" ref="AG4:AG203" ca="1">IF(LEN(AF4:AF203),AF4:AF203,"")&amp;IF(LEN(P4:P203),CHAR(10)&amp;CHAR(9)&amp;CHAR(9)&amp;"ELSIF "&amp;$B$28&amp;" = '"&amp;P$3&amp;"' THEN","")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</v>
      </c>
      <c r="AH4" t="str" cm="1">
        <f t="array" aca="1" ref="AH4:AH203" ca="1">IF(LEN(AG4:AG203),AG4:AG203,"")&amp;IF(LEN(P4:P203),CHAR(10)&amp;CHAR(9)&amp;CHAR(9)&amp;CHAR(9)&amp;$B$29&amp;CHAR(9)&amp;$B$9&amp;" '"&amp;_xlfn.ANCHORARRAY(P4)&amp;"'"&amp;$B$10,"")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</v>
      </c>
      <c r="AI4" t="str" cm="1">
        <f t="array" aca="1" ref="AI4:AI203" ca="1">IF(LEN(AH4:AH203),AH4:AH203,"")&amp;IF(LEN(J4:J203),CHAR(10)&amp;CHAR(9)&amp;CHAR(9)&amp;"ELSE"&amp;CHAR(10)&amp;CHAR(9)&amp;CHAR(9)&amp;CHAR(9)&amp;$B$30&amp;CHAR(9)&amp;$B$9&amp;" 3"&amp;$B$10&amp;CHAR(10)&amp;CHAR(9)&amp;CHAR(9)&amp;"END_IF"&amp;$B$10,"")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</v>
      </c>
      <c r="AJ4" t="str" cm="1">
        <f t="array" aca="1" ref="AJ4:AJ203" ca="1">IF(LEN(_xlfn.ANCHORARRAY(AI4)),_xlfn.ANCHORARRAY(AI4),"")&amp;IF(G4:G203="●",CHAR(10)&amp;CHAR(9)&amp;"ELSE"&amp;CHAR(10)&amp;CHAR(9)&amp;CHAR(9)&amp;$B$30&amp;CHAR(9)&amp;$B$9&amp;" 2"&amp;$B$10&amp;CHAR(10)&amp;CHAR(9)&amp;"END_IF"&amp;$B$10,"")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</v>
      </c>
      <c r="AK4" t="str" cm="1">
        <f t="array" aca="1" ref="AK4:AK203" ca="1">_xlfn.ANCHORARRAY(AJ4)</f>
        <v>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</v>
      </c>
    </row>
    <row r="5" spans="1:37" x14ac:dyDescent="0.55000000000000004">
      <c r="E5" t="str">
        <f>E4</f>
        <v>axis</v>
      </c>
      <c r="F5">
        <f>COUNTIF(E$4:E5,E5)</f>
        <v>2</v>
      </c>
      <c r="G5" t="str" cm="1">
        <f t="array" ref="G5:G203">IF($F$6:$F$204&lt;F5:F203,"●","")</f>
        <v/>
      </c>
      <c r="H5">
        <v>2</v>
      </c>
      <c r="I5" t="str">
        <f ca="1"/>
        <v>Flat Sheet Feed Axis</v>
      </c>
      <c r="J5" t="str">
        <f ca="1"/>
        <v>Flat Sheet Feed Axis</v>
      </c>
      <c r="L5" t="str">
        <f ca="1"/>
        <v>【axis2】 Flat Sheet Feed Axis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S5">
        <f t="shared" ref="S5:S68" ca="1" si="0">LENB(L5)-$B$44</f>
        <v>-34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//Flat Sheet Feed Axis
	ELSIF uiInfoIdx = 2 THEN</v>
      </c>
      <c r="AA5" t="str">
        <f ca="1"/>
        <v xml:space="preserve">
	//Flat Sheet Feed Axis
	ELSIF uiInfoIdx = 2 THEN
		IF strInfoKey = 'name' THEN</v>
      </c>
      <c r="AB5" t="str">
        <f ca="1"/>
        <v xml:space="preserve">
	//Flat Sheet Feed Axis
	ELSIF uiInfoIdx = 2 THEN
		IF strInfoKey = 'name' THEN
			strRt	:= 'Flat Sheet Feed Axis';</v>
      </c>
      <c r="AC5" t="str">
        <f ca="1"/>
        <v xml:space="preserve">
	//Flat Sheet Feed Axis
	ELSIF uiInfoIdx = 2 THEN
		IF strInfoKey = 'name' THEN
			strRt	:= 'Flat Sheet Feed Axis';
		ELSIF strInfoKey = 'index_name' THEN</v>
      </c>
      <c r="AD5" t="str">
        <f ca="1"/>
        <v xml:space="preserve">
	//Flat Sheet Feed Axis
	ELSIF uiInfoIdx = 2 THEN
		IF strInfoKey = 'name' THEN
			strRt	:= 'Flat Sheet Feed Axis';
		ELSIF strInfoKey = 'index_name' THEN
			strRt	:= '【axis2】 Flat Sheet Feed Axis';</v>
      </c>
      <c r="AE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</v>
      </c>
      <c r="AF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</v>
      </c>
      <c r="AG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</v>
      </c>
      <c r="AH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</v>
      </c>
      <c r="AI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</v>
      </c>
      <c r="AJ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</v>
      </c>
      <c r="AK5" t="str">
        <f ca="1"/>
        <v xml:space="preserve">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122</v>
      </c>
      <c r="B6" t="str">
        <f ca="1">"このスクリプトは "&amp;B4&amp;" によって生成されました。"</f>
        <v>このスクリプトは C:\tk\prj\hg-0025-0016\git\unit01\kv-x520\doc\[kv_script_conv_info.xlsx]info_index によって生成されました。</v>
      </c>
      <c r="E6" t="str">
        <f t="shared" ref="E6:E69" si="1">E5</f>
        <v>axis</v>
      </c>
      <c r="F6">
        <f>COUNTIF(E$4:E6,E6)</f>
        <v>3</v>
      </c>
      <c r="G6" t="str">
        <v/>
      </c>
      <c r="H6">
        <v>3</v>
      </c>
      <c r="I6" t="str">
        <f ca="1"/>
        <v>Brazing Foil Feed Axis</v>
      </c>
      <c r="J6" t="str">
        <f ca="1"/>
        <v>Brazing Foil Feed Axis</v>
      </c>
      <c r="L6" t="str">
        <f ca="1"/>
        <v>【axis3】 Brazing Foil Feed Axis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S6">
        <f t="shared" ca="1" si="0"/>
        <v>-32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//Brazing Foil Feed Axis
	ELSIF uiInfoIdx = 3 THEN</v>
      </c>
      <c r="AA6" t="str">
        <f ca="1"/>
        <v xml:space="preserve">
	//Brazing Foil Feed Axis
	ELSIF uiInfoIdx = 3 THEN
		IF strInfoKey = 'name' THEN</v>
      </c>
      <c r="AB6" t="str">
        <f ca="1"/>
        <v xml:space="preserve">
	//Brazing Foil Feed Axis
	ELSIF uiInfoIdx = 3 THEN
		IF strInfoKey = 'name' THEN
			strRt	:= 'Brazing Foil Feed Axis';</v>
      </c>
      <c r="AC6" t="str">
        <f ca="1"/>
        <v xml:space="preserve">
	//Brazing Foil Feed Axis
	ELSIF uiInfoIdx = 3 THEN
		IF strInfoKey = 'name' THEN
			strRt	:= 'Brazing Foil Feed Axis';
		ELSIF strInfoKey = 'index_name' THEN</v>
      </c>
      <c r="AD6" t="str">
        <f ca="1"/>
        <v xml:space="preserve">
	//Brazing Foil Feed Axis
	ELSIF uiInfoIdx = 3 THEN
		IF strInfoKey = 'name' THEN
			strRt	:= 'Brazing Foil Feed Axis';
		ELSIF strInfoKey = 'index_name' THEN
			strRt	:= '【axis3】 Brazing Foil Feed Axis';</v>
      </c>
      <c r="AE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</v>
      </c>
      <c r="AF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</v>
      </c>
      <c r="AG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</v>
      </c>
      <c r="AH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</v>
      </c>
      <c r="AI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</v>
      </c>
      <c r="AJ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</v>
      </c>
      <c r="AK6" t="str">
        <f ca="1"/>
        <v xml:space="preserve">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123</v>
      </c>
      <c r="B7" t="s">
        <v>124</v>
      </c>
      <c r="E7" t="str">
        <f t="shared" si="1"/>
        <v>axis</v>
      </c>
      <c r="F7">
        <f>COUNTIF(E$4:E7,E7)</f>
        <v>4</v>
      </c>
      <c r="G7" t="str">
        <v/>
      </c>
      <c r="H7">
        <v>4</v>
      </c>
      <c r="I7" t="str">
        <f ca="1"/>
        <v>Corrugated Sheet Feed Axis</v>
      </c>
      <c r="J7" t="str">
        <f ca="1"/>
        <v>Corrugated Sheet Feed Axis</v>
      </c>
      <c r="L7" t="str">
        <f ca="1"/>
        <v>【axis4】 Corrugated Sheet Feed Axis</v>
      </c>
      <c r="M7" t="str">
        <v>AZM46AC-HP9+AZD-CEP+CC070VZR</v>
      </c>
      <c r="N7" t="str">
        <v>AZM46AC-HP9+AZD-CEP+CC070VZR</v>
      </c>
      <c r="O7" t="str">
        <f ca="1"/>
        <v>OrientalMotor</v>
      </c>
      <c r="P7" t="str">
        <f ca="1"/>
        <v>OrientalMotor</v>
      </c>
      <c r="S7">
        <f t="shared" ca="1" si="0"/>
        <v>-28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//Corrugated Sheet Feed Axis
	ELSIF uiInfoIdx = 4 THEN</v>
      </c>
      <c r="AA7" t="str">
        <f ca="1"/>
        <v xml:space="preserve">
	//Corrugated Sheet Feed Axis
	ELSIF uiInfoIdx = 4 THEN
		IF strInfoKey = 'name' THEN</v>
      </c>
      <c r="AB7" t="str">
        <f ca="1"/>
        <v xml:space="preserve">
	//Corrugated Sheet Feed Axis
	ELSIF uiInfoIdx = 4 THEN
		IF strInfoKey = 'name' THEN
			strRt	:= 'Corrugated Sheet Feed Axis';</v>
      </c>
      <c r="AC7" t="str">
        <f ca="1"/>
        <v xml:space="preserve">
	//Corrugated Sheet Feed Axis
	ELSIF uiInfoIdx = 4 THEN
		IF strInfoKey = 'name' THEN
			strRt	:= 'Corrugated Sheet Feed Axis';
		ELSIF strInfoKey = 'index_name' THEN</v>
      </c>
      <c r="AD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</v>
      </c>
      <c r="AE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</v>
      </c>
      <c r="AF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</v>
      </c>
      <c r="AG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</v>
      </c>
      <c r="AH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</v>
      </c>
      <c r="AI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</v>
      </c>
      <c r="AJ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</v>
      </c>
      <c r="AK7" t="str">
        <f ca="1"/>
        <v xml:space="preserve">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</v>
      </c>
    </row>
    <row r="8" spans="1:37" x14ac:dyDescent="0.55000000000000004">
      <c r="A8" t="s">
        <v>116</v>
      </c>
      <c r="B8" t="s">
        <v>117</v>
      </c>
      <c r="E8" t="str">
        <f t="shared" si="1"/>
        <v>axis</v>
      </c>
      <c r="F8">
        <f>COUNTIF(E$4:E8,E8)</f>
        <v>5</v>
      </c>
      <c r="G8" t="str">
        <v/>
      </c>
      <c r="H8">
        <v>5</v>
      </c>
      <c r="I8" t="str">
        <f ca="1"/>
        <v>Workpiece Discharge Lift Axis</v>
      </c>
      <c r="J8" t="str">
        <f ca="1"/>
        <v>Workpiece Discharge Lift Axis</v>
      </c>
      <c r="L8" t="str">
        <f ca="1"/>
        <v>【axis5】 Workpiece Discharge Lift Axis</v>
      </c>
      <c r="M8" t="str">
        <v>RCP6-SA7R-WA-56P-16-400-P5-S-B-MR</v>
      </c>
      <c r="N8" t="str">
        <v>RCP6-SA7R-WA-56P-16-400-P5-S-B-MR</v>
      </c>
      <c r="O8" t="str">
        <f ca="1"/>
        <v>IAI</v>
      </c>
      <c r="P8" t="str">
        <f ca="1"/>
        <v>IAI</v>
      </c>
      <c r="S8">
        <f t="shared" ca="1" si="0"/>
        <v>-25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//Workpiece Discharge Lift Axis
	ELSIF uiInfoIdx = 5 THEN</v>
      </c>
      <c r="AA8" t="str">
        <f ca="1"/>
        <v xml:space="preserve">
	//Workpiece Discharge Lift Axis
	ELSIF uiInfoIdx = 5 THEN
		IF strInfoKey = 'name' THEN</v>
      </c>
      <c r="AB8" t="str">
        <f ca="1"/>
        <v xml:space="preserve">
	//Workpiece Discharge Lift Axis
	ELSIF uiInfoIdx = 5 THEN
		IF strInfoKey = 'name' THEN
			strRt	:= 'Workpiece Discharge Lift Axis';</v>
      </c>
      <c r="AC8" t="str">
        <f ca="1"/>
        <v xml:space="preserve">
	//Workpiece Discharge Lift Axis
	ELSIF uiInfoIdx = 5 THEN
		IF strInfoKey = 'name' THEN
			strRt	:= 'Workpiece Discharge Lift Axis';
		ELSIF strInfoKey = 'index_name' THEN</v>
      </c>
      <c r="AD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</v>
      </c>
      <c r="AE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</v>
      </c>
      <c r="AF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</v>
      </c>
      <c r="AG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</v>
      </c>
      <c r="AH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</v>
      </c>
      <c r="AI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</v>
      </c>
      <c r="AJ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</v>
      </c>
      <c r="AK8" t="str">
        <f ca="1"/>
        <v xml:space="preserve">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</v>
      </c>
    </row>
    <row r="9" spans="1:37" x14ac:dyDescent="0.55000000000000004">
      <c r="A9" t="s">
        <v>118</v>
      </c>
      <c r="B9" t="s">
        <v>119</v>
      </c>
      <c r="E9" t="str">
        <f t="shared" si="1"/>
        <v>axis</v>
      </c>
      <c r="F9">
        <f>COUNTIF(E$4:E9,E9)</f>
        <v>6</v>
      </c>
      <c r="G9" t="str">
        <v/>
      </c>
      <c r="H9">
        <v>6</v>
      </c>
      <c r="I9" t="str">
        <f ca="1"/>
        <v>Circumference Probe Lift Axis</v>
      </c>
      <c r="J9" t="str">
        <f ca="1"/>
        <v>Circumference Probe Lift Axis</v>
      </c>
      <c r="L9" t="str">
        <f ca="1"/>
        <v>【axis6】 Circumference Probe Lift Axis</v>
      </c>
      <c r="M9" t="str">
        <v>RCA2-GS3NA-I-10-2-50-A6-M-K1</v>
      </c>
      <c r="N9" t="str">
        <v>RCA2-GS3NA-I-10-2-50-A6-M-K1</v>
      </c>
      <c r="O9" t="str">
        <f ca="1"/>
        <v>IAI</v>
      </c>
      <c r="P9" t="str">
        <f ca="1"/>
        <v>IAI</v>
      </c>
      <c r="S9">
        <f t="shared" ca="1" si="0"/>
        <v>-25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//Circumference Probe Lift Axis
	ELSIF uiInfoIdx = 6 THEN</v>
      </c>
      <c r="AA9" t="str">
        <f ca="1"/>
        <v xml:space="preserve">
	//Circumference Probe Lift Axis
	ELSIF uiInfoIdx = 6 THEN
		IF strInfoKey = 'name' THEN</v>
      </c>
      <c r="AB9" t="str">
        <f ca="1"/>
        <v xml:space="preserve">
	//Circumference Probe Lift Axis
	ELSIF uiInfoIdx = 6 THEN
		IF strInfoKey = 'name' THEN
			strRt	:= 'Circumference Probe Lift Axis';</v>
      </c>
      <c r="AC9" t="str">
        <f ca="1"/>
        <v xml:space="preserve">
	//Circumference Probe Lift Axis
	ELSIF uiInfoIdx = 6 THEN
		IF strInfoKey = 'name' THEN
			strRt	:= 'Circumference Probe Lift Axis';
		ELSIF strInfoKey = 'index_name' THEN</v>
      </c>
      <c r="AD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</v>
      </c>
      <c r="AE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</v>
      </c>
      <c r="AF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</v>
      </c>
      <c r="AG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</v>
      </c>
      <c r="AH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</v>
      </c>
      <c r="AI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</v>
      </c>
      <c r="AJ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</v>
      </c>
      <c r="AK9" t="str">
        <f ca="1"/>
        <v xml:space="preserve">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</v>
      </c>
    </row>
    <row r="10" spans="1:37" x14ac:dyDescent="0.55000000000000004">
      <c r="A10" t="s">
        <v>120</v>
      </c>
      <c r="B10" t="s">
        <v>121</v>
      </c>
      <c r="E10" t="str">
        <f t="shared" si="1"/>
        <v>axis</v>
      </c>
      <c r="F10">
        <f>COUNTIF(E$4:E10,E10)</f>
        <v>7</v>
      </c>
      <c r="G10" t="str">
        <v/>
      </c>
      <c r="H10">
        <v>7</v>
      </c>
      <c r="I10" t="str">
        <f ca="1"/>
        <v>Workpiece Discharge Chuck Axis</v>
      </c>
      <c r="J10" t="str">
        <f ca="1"/>
        <v>Workpiece Discharge Chuck Axis</v>
      </c>
      <c r="L10" t="str">
        <f ca="1"/>
        <v>【axis7】 Workpiece Discharge Chuck Axis</v>
      </c>
      <c r="M10" t="str">
        <v>RCP6-SA4R-WA-35P-16-150-P5-X07-MR-NM</v>
      </c>
      <c r="N10" t="str">
        <v>RCP6-SA4R-WA-35P-16-150-P5-X07-MR-NM</v>
      </c>
      <c r="O10" t="str">
        <f ca="1"/>
        <v>IAI</v>
      </c>
      <c r="P10" t="str">
        <f ca="1"/>
        <v>IAI</v>
      </c>
      <c r="S10">
        <f t="shared" ca="1" si="0"/>
        <v>-24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//Workpiece Discharge Chuck Axis
	ELSIF uiInfoIdx = 7 THEN</v>
      </c>
      <c r="AA10" t="str">
        <f ca="1"/>
        <v xml:space="preserve">
	//Workpiece Discharge Chuck Axis
	ELSIF uiInfoIdx = 7 THEN
		IF strInfoKey = 'name' THEN</v>
      </c>
      <c r="AB10" t="str">
        <f ca="1"/>
        <v xml:space="preserve">
	//Workpiece Discharge Chuck Axis
	ELSIF uiInfoIdx = 7 THEN
		IF strInfoKey = 'name' THEN
			strRt	:= 'Workpiece Discharge Chuck Axis';</v>
      </c>
      <c r="AC10" t="str">
        <f ca="1"/>
        <v xml:space="preserve">
	//Workpiece Discharge Chuck Axis
	ELSIF uiInfoIdx = 7 THEN
		IF strInfoKey = 'name' THEN
			strRt	:= 'Workpiece Discharge Chuck Axis';
		ELSIF strInfoKey = 'index_name' THEN</v>
      </c>
      <c r="AD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</v>
      </c>
      <c r="AE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</v>
      </c>
      <c r="AF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</v>
      </c>
      <c r="AG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</v>
      </c>
      <c r="AH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</v>
      </c>
      <c r="AI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</v>
      </c>
      <c r="AJ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</v>
      </c>
      <c r="AK10" t="str">
        <f ca="1"/>
        <v xml:space="preserve">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</v>
      </c>
    </row>
    <row r="11" spans="1:37" x14ac:dyDescent="0.55000000000000004">
      <c r="E11" t="str">
        <f t="shared" si="1"/>
        <v>axis</v>
      </c>
      <c r="F11">
        <f>COUNTIF(E$4:E11,E11)</f>
        <v>8</v>
      </c>
      <c r="G11" t="str">
        <v/>
      </c>
      <c r="H11">
        <v>8</v>
      </c>
      <c r="I11" t="str">
        <f ca="1"/>
        <v>Welding Torch F/B Axis</v>
      </c>
      <c r="J11" t="str">
        <f ca="1"/>
        <v>Welding Torch F/B Axis</v>
      </c>
      <c r="L11" t="str">
        <f ca="1"/>
        <v>【axis8】 Welding Torch F/B Axis</v>
      </c>
      <c r="M11" t="str">
        <v>ICSB2-YSA2M-WA-20AQ-20AQBNM-T4-5L-SC/ISB【ISPB】-SXM-WA-60-8-②-T4-⑧-③</v>
      </c>
      <c r="N11" t="str">
        <v>ICSB2-YSA2M-WA-20AQ-20AQBNM-T4-5L-SC/ISB【ISPB】-SXM-WA-60-8-②-T4-⑧-③</v>
      </c>
      <c r="O11" t="str">
        <f ca="1"/>
        <v>IAI</v>
      </c>
      <c r="P11" t="str">
        <f ca="1"/>
        <v>IAI</v>
      </c>
      <c r="S11">
        <f t="shared" ca="1" si="0"/>
        <v>-32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//Welding Torch F/B Axis
	ELSIF uiInfoIdx = 8 THEN</v>
      </c>
      <c r="AA11" t="str">
        <f ca="1"/>
        <v xml:space="preserve">
	//Welding Torch F/B Axis
	ELSIF uiInfoIdx = 8 THEN
		IF strInfoKey = 'name' THEN</v>
      </c>
      <c r="AB11" t="str">
        <f ca="1"/>
        <v xml:space="preserve">
	//Welding Torch F/B Axis
	ELSIF uiInfoIdx = 8 THEN
		IF strInfoKey = 'name' THEN
			strRt	:= 'Welding Torch F/B Axis';</v>
      </c>
      <c r="AC11" t="str">
        <f ca="1"/>
        <v xml:space="preserve">
	//Welding Torch F/B Axis
	ELSIF uiInfoIdx = 8 THEN
		IF strInfoKey = 'name' THEN
			strRt	:= 'Welding Torch F/B Axis';
		ELSIF strInfoKey = 'index_name' THEN</v>
      </c>
      <c r="AD11" t="str">
        <f ca="1"/>
        <v xml:space="preserve">
	//Welding Torch F/B Axis
	ELSIF uiInfoIdx = 8 THEN
		IF strInfoKey = 'name' THEN
			strRt	:= 'Welding Torch F/B Axis';
		ELSIF strInfoKey = 'index_name' THEN
			strRt	:= '【axis8】 Welding Torch F/B Axis';</v>
      </c>
      <c r="AE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</v>
      </c>
      <c r="AF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</v>
      </c>
      <c r="AG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</v>
      </c>
      <c r="AH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</v>
      </c>
      <c r="AI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</v>
      </c>
      <c r="AJ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</v>
      </c>
      <c r="AK11" t="str">
        <f ca="1"/>
        <v xml:space="preserve">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</v>
      </c>
    </row>
    <row r="12" spans="1:37" x14ac:dyDescent="0.55000000000000004">
      <c r="E12" t="str">
        <f t="shared" si="1"/>
        <v>axis</v>
      </c>
      <c r="F12">
        <f>COUNTIF(E$4:E12,E12)</f>
        <v>9</v>
      </c>
      <c r="G12" t="str">
        <v/>
      </c>
      <c r="H12">
        <v>9</v>
      </c>
      <c r="I12" t="str">
        <f ca="1"/>
        <v>Welding Torch U/D Axis</v>
      </c>
      <c r="J12" t="str">
        <f ca="1"/>
        <v>Welding Torch U/D Axis</v>
      </c>
      <c r="L12" t="str">
        <f ca="1"/>
        <v>【axis9】 Welding Torch U/D Axis</v>
      </c>
      <c r="M12" t="str">
        <v>ICSB2-YSA2M-WA-20AQ-20AQBNM-T4-5L-SC/ISB【ISPB】-SXM-WA-60-4-④-T4-⑧-⑤</v>
      </c>
      <c r="N12" t="str">
        <v>ICSB2-YSA2M-WA-20AQ-20AQBNM-T4-5L-SC/ISB【ISPB】-SXM-WA-60-4-④-T4-⑧-⑤</v>
      </c>
      <c r="O12" t="str">
        <f ca="1"/>
        <v>IAI</v>
      </c>
      <c r="P12" t="str">
        <f ca="1"/>
        <v>IAI</v>
      </c>
      <c r="S12">
        <f t="shared" ca="1" si="0"/>
        <v>-32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//Welding Torch U/D Axis
	ELSIF uiInfoIdx = 9 THEN</v>
      </c>
      <c r="AA12" t="str">
        <f ca="1"/>
        <v xml:space="preserve">
	//Welding Torch U/D Axis
	ELSIF uiInfoIdx = 9 THEN
		IF strInfoKey = 'name' THEN</v>
      </c>
      <c r="AB12" t="str">
        <f ca="1"/>
        <v xml:space="preserve">
	//Welding Torch U/D Axis
	ELSIF uiInfoIdx = 9 THEN
		IF strInfoKey = 'name' THEN
			strRt	:= 'Welding Torch U/D Axis';</v>
      </c>
      <c r="AC12" t="str">
        <f ca="1"/>
        <v xml:space="preserve">
	//Welding Torch U/D Axis
	ELSIF uiInfoIdx = 9 THEN
		IF strInfoKey = 'name' THEN
			strRt	:= 'Welding Torch U/D Axis';
		ELSIF strInfoKey = 'index_name' THEN</v>
      </c>
      <c r="AD12" t="str">
        <f ca="1"/>
        <v xml:space="preserve">
	//Welding Torch U/D Axis
	ELSIF uiInfoIdx = 9 THEN
		IF strInfoKey = 'name' THEN
			strRt	:= 'Welding Torch U/D Axis';
		ELSIF strInfoKey = 'index_name' THEN
			strRt	:= '【axis9】 Welding Torch U/D Axis';</v>
      </c>
      <c r="AE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</v>
      </c>
      <c r="AF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</v>
      </c>
      <c r="AG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</v>
      </c>
      <c r="AH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</v>
      </c>
      <c r="AI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</v>
      </c>
      <c r="AJ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</v>
      </c>
      <c r="AK12" t="str">
        <f ca="1"/>
        <v xml:space="preserve">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</v>
      </c>
    </row>
    <row r="13" spans="1:37" x14ac:dyDescent="0.55000000000000004">
      <c r="E13" t="str">
        <f t="shared" si="1"/>
        <v>axis</v>
      </c>
      <c r="F13">
        <f>COUNTIF(E$4:E13,E13)</f>
        <v>10</v>
      </c>
      <c r="G13" t="str">
        <v/>
      </c>
      <c r="H13">
        <v>10</v>
      </c>
      <c r="I13" t="str">
        <f ca="1"/>
        <v>Winding Spindle</v>
      </c>
      <c r="J13" t="str">
        <f ca="1"/>
        <v>Winding Spindle</v>
      </c>
      <c r="L13" t="str">
        <f ca="1"/>
        <v>【axis10】 Winding Spindle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S13">
        <f t="shared" ca="1" si="0"/>
        <v>-38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//Winding Spindle
	ELSIF uiInfoIdx = 10 THEN</v>
      </c>
      <c r="AA13" t="str">
        <f ca="1"/>
        <v xml:space="preserve">
	//Winding Spindle
	ELSIF uiInfoIdx = 10 THEN
		IF strInfoKey = 'name' THEN</v>
      </c>
      <c r="AB13" t="str">
        <f ca="1"/>
        <v xml:space="preserve">
	//Winding Spindle
	ELSIF uiInfoIdx = 10 THEN
		IF strInfoKey = 'name' THEN
			strRt	:= 'Winding Spindle';</v>
      </c>
      <c r="AC13" t="str">
        <f ca="1"/>
        <v xml:space="preserve">
	//Winding Spindle
	ELSIF uiInfoIdx = 10 THEN
		IF strInfoKey = 'name' THEN
			strRt	:= 'Winding Spindle';
		ELSIF strInfoKey = 'index_name' THEN</v>
      </c>
      <c r="AD13" t="str">
        <f ca="1"/>
        <v xml:space="preserve">
	//Winding Spindle
	ELSIF uiInfoIdx = 10 THEN
		IF strInfoKey = 'name' THEN
			strRt	:= 'Winding Spindle';
		ELSIF strInfoKey = 'index_name' THEN
			strRt	:= '【axis10】 Winding Spindle';</v>
      </c>
      <c r="AE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</v>
      </c>
      <c r="AF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</v>
      </c>
      <c r="AG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</v>
      </c>
      <c r="AH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</v>
      </c>
      <c r="AI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</v>
      </c>
      <c r="AJ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</v>
      </c>
      <c r="AK13" t="str">
        <f ca="1"/>
        <v xml:space="preserve">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</v>
      </c>
    </row>
    <row r="14" spans="1:37" x14ac:dyDescent="0.55000000000000004">
      <c r="A14" t="s">
        <v>126</v>
      </c>
      <c r="B14" t="str">
        <f ca="1">$AK$206</f>
        <v>//このスクリプトは C:\tk\prj\hg-0025-0016\git\unit01\kv-x520\doc\[kv_script_conv_info.xlsx]info_index によって生成されました。
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
		ELSIF strInfoKey = 'mf' THEN
			strRt	:= 'IAI';
		ELSE
			uiErrCode	:= 3;
		END_IF;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
		ELSIF strInfoKey = 'mf' THEN
			strRt	:= 'IAI';
		ELSE
			uiErrCode	:= 3;
		END_IF;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
		ELSIF strInfoKey = 'mf' THEN
			strRt	:= 'IAI';
		ELSE
			uiErrCode	:= 3;
		END_IF;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
	ELSE
		uiErrCode	:= 2;
	END_IF;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
	ELSE
		uiErrCode	:= 2;
	END_IF;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
		ELSIF strInfoKey = 'mf' THEN
			strRt	:= 'SMC';
		ELSE
			uiErrCode	:= 3;
		END_IF;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
		ELSIF strInfoKey = 'mf' THEN
			strRt	:= 'SMC';
		ELSE
			uiErrCode	:= 3;
		END_IF;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
		ELSIF strInfoKey = 'mf' THEN
			strRt	:= 'SMC';
		ELSE
			uiErrCode	:= 3;
		END_IF;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Axis
	ELSIF uiInfoIdx = 3 THEN
		IF strInfoKey = 'name' THEN
			strRt	:= 'T-Roll Gluing Axis';
		ELSIF strInfoKey = 'index_name' THEN
			strRt	:= '【OTHC3】 T-Roll Gluing Axis';
		ELSIF strInfoKey = 'model' THEN
			strRt	:= 'unknown';
		ELSIF strInfoKey = 'mf' THEN
			strRt	:= 'unknown';
		ELSE
			uiErrCode	:= 3;
		END_IF;
	ELSE
		uiErrCode	:= 2;
	END_IF;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
	//Winding Unit
	ELSIF uiInfoIdx = 4 THEN
		IF strInfoKey = 'name' THEN
			strRt	:= 'Winding Unit';
		ELSIF strInfoKey = 'index_name' THEN
			strRt	:= '【unit4】 Winding Unit';
		ELSIF strInfoKey = 'model' THEN
			strRt	:= 'unknown';
		ELSIF strInfoKey = 'mf' THEN
			strRt	:= 'unknown';
		ELSE
			uiErrCode	:= 3;
		END_IF;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
	//X-Roll Tower Unit
	ELSIF uiInfoIdx = 7 THEN
		IF strInfoKey = 'name' THEN
			strRt	:= 'X-Roll Tower Unit';
		ELSIF strInfoKey = 'index_name' THEN
			strRt	:= '【unit7】 X-Roll Tower Unit';
		ELSIF strInfoKey = 'model' THEN
			strRt	:= 'unknown';
		ELSIF strInfoKey = 'mf' THEN
			strRt	:= 'unknown';
		ELSE
			uiErrCode	:= 3;
		END_IF;
	//Brazing Foil Reel Unit
	ELSIF uiInfoIdx = 8 THEN
		IF strInfoKey = 'name' THEN
			strRt	:= 'Brazing Foil Reel Unit';
		ELSIF strInfoKey = 'index_name' THEN
			strRt	:= '【unit8】 Brazing Foil Reel Unit';
		ELSIF strInfoKey = 'model' THEN
			strRt	:= 'unknown';
		ELSIF strInfoKey = 'mf' THEN
			strRt	:= 'unknown';
		ELSE
			uiErrCode	:= 3;
		END_IF;
	ELSE
		uiErrCode	:= 2;
	END_IF;
ELSE
	uiErrCode	:= 1;
END_IF;
//-----ここまで生成script-----</v>
      </c>
      <c r="E14" t="str">
        <f t="shared" si="1"/>
        <v>axis</v>
      </c>
      <c r="F14">
        <f>COUNTIF(E$4:E14,E14)</f>
        <v>11</v>
      </c>
      <c r="G14" t="str">
        <v/>
      </c>
      <c r="H14">
        <v>11</v>
      </c>
      <c r="I14" t="str">
        <f ca="1"/>
        <v>Workpiece Width Adjustment Axis</v>
      </c>
      <c r="J14" t="str">
        <f ca="1"/>
        <v>Workpiece Width Adjustment Axis</v>
      </c>
      <c r="L14" t="str">
        <f ca="1"/>
        <v>【axis11】 Workpiece Width Adjustment Axis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S14">
        <f t="shared" ca="1" si="0"/>
        <v>-22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//Workpiece Width Adjustment Axis
	ELSIF uiInfoIdx = 11 THEN</v>
      </c>
      <c r="AA14" t="str">
        <f ca="1"/>
        <v xml:space="preserve">
	//Workpiece Width Adjustment Axis
	ELSIF uiInfoIdx = 11 THEN
		IF strInfoKey = 'name' THEN</v>
      </c>
      <c r="AB14" t="str">
        <f ca="1"/>
        <v xml:space="preserve">
	//Workpiece Width Adjustment Axis
	ELSIF uiInfoIdx = 11 THEN
		IF strInfoKey = 'name' THEN
			strRt	:= 'Workpiece Width Adjustment Axis';</v>
      </c>
      <c r="AC14" t="str">
        <f ca="1"/>
        <v xml:space="preserve">
	//Workpiece Width Adjustment Axis
	ELSIF uiInfoIdx = 11 THEN
		IF strInfoKey = 'name' THEN
			strRt	:= 'Workpiece Width Adjustment Axis';
		ELSIF strInfoKey = 'index_name' THEN</v>
      </c>
      <c r="AD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</v>
      </c>
      <c r="AE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</v>
      </c>
      <c r="AF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</v>
      </c>
      <c r="AG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</v>
      </c>
      <c r="AH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</v>
      </c>
      <c r="AI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</v>
      </c>
      <c r="AJ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</v>
      </c>
      <c r="AK14" t="str">
        <f ca="1"/>
        <v xml:space="preserve">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</v>
      </c>
    </row>
    <row r="15" spans="1:37" x14ac:dyDescent="0.55000000000000004">
      <c r="A15" t="s">
        <v>167</v>
      </c>
      <c r="B15" t="str">
        <f>IF(LEN(AI2),"●"&amp;B28&amp;CHAR(10)&amp;AI2,"")</f>
        <v>●strInfoKey
name	:装置内で使用される名称
index_name	:装置内の連番＋名称
model	:使用される機器の型番
mf	:使用される機器のメーカー</v>
      </c>
      <c r="E15" t="str">
        <f t="shared" si="1"/>
        <v>axis</v>
      </c>
      <c r="F15">
        <f>COUNTIF(E$4:E15,E15)</f>
        <v>12</v>
      </c>
      <c r="G15" t="str">
        <v/>
      </c>
      <c r="H15">
        <v>12</v>
      </c>
      <c r="I15" t="str">
        <f ca="1"/>
        <v>Corrugated Sheet Support Axis</v>
      </c>
      <c r="J15" t="str">
        <f ca="1"/>
        <v>Corrugated Sheet Support Axis</v>
      </c>
      <c r="L15" t="str">
        <f ca="1"/>
        <v>【axis12】 Corrugated Sheet Support Axis</v>
      </c>
      <c r="M15" t="str">
        <v/>
      </c>
      <c r="N15" t="str">
        <v>unknown</v>
      </c>
      <c r="O15" t="str">
        <f ca="1"/>
        <v/>
      </c>
      <c r="P15" t="str">
        <f ca="1"/>
        <v>unknown</v>
      </c>
      <c r="S15">
        <f t="shared" ca="1" si="0"/>
        <v>-24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//Corrugated Sheet Support Axis
	ELSIF uiInfoIdx = 12 THEN</v>
      </c>
      <c r="AA15" t="str">
        <f ca="1"/>
        <v xml:space="preserve">
	//Corrugated Sheet Support Axis
	ELSIF uiInfoIdx = 12 THEN
		IF strInfoKey = 'name' THEN</v>
      </c>
      <c r="AB15" t="str">
        <f ca="1"/>
        <v xml:space="preserve">
	//Corrugated Sheet Support Axis
	ELSIF uiInfoIdx = 12 THEN
		IF strInfoKey = 'name' THEN
			strRt	:= 'Corrugated Sheet Support Axis';</v>
      </c>
      <c r="AC15" t="str">
        <f ca="1"/>
        <v xml:space="preserve">
	//Corrugated Sheet Support Axis
	ELSIF uiInfoIdx = 12 THEN
		IF strInfoKey = 'name' THEN
			strRt	:= 'Corrugated Sheet Support Axis';
		ELSIF strInfoKey = 'index_name' THEN</v>
      </c>
      <c r="AD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</v>
      </c>
      <c r="AE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</v>
      </c>
      <c r="AF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</v>
      </c>
      <c r="AG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</v>
      </c>
      <c r="AH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</v>
      </c>
      <c r="AI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</v>
      </c>
      <c r="AJ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</v>
      </c>
      <c r="AK15" t="str">
        <f ca="1"/>
        <v xml:space="preserve">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</v>
      </c>
    </row>
    <row r="16" spans="1:37" x14ac:dyDescent="0.55000000000000004">
      <c r="E16" t="str">
        <f t="shared" si="1"/>
        <v>axis</v>
      </c>
      <c r="F16">
        <f>COUNTIF(E$4:E16,E16)</f>
        <v>13</v>
      </c>
      <c r="G16" t="str">
        <v/>
      </c>
      <c r="H16">
        <v>13</v>
      </c>
      <c r="I16" t="str">
        <f ca="1"/>
        <v>Flat Sheet Tension Axis</v>
      </c>
      <c r="J16" t="str">
        <f ca="1"/>
        <v>Flat Sheet Tension Axis</v>
      </c>
      <c r="L16" t="str">
        <f ca="1"/>
        <v>【axis13】 Flat Sheet Tension Axis</v>
      </c>
      <c r="M16" t="str">
        <v>SV3-B075AK</v>
      </c>
      <c r="N16" t="str">
        <v>SV3-B075AK</v>
      </c>
      <c r="O16" t="str">
        <f ca="1"/>
        <v>KEYENCE</v>
      </c>
      <c r="P16" t="str">
        <f ca="1"/>
        <v>KEYENCE</v>
      </c>
      <c r="S16">
        <f t="shared" ca="1" si="0"/>
        <v>-30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//Flat Sheet Tension Axis
	ELSIF uiInfoIdx = 13 THEN</v>
      </c>
      <c r="AA16" t="str">
        <f ca="1"/>
        <v xml:space="preserve">
	//Flat Sheet Tension Axis
	ELSIF uiInfoIdx = 13 THEN
		IF strInfoKey = 'name' THEN</v>
      </c>
      <c r="AB16" t="str">
        <f ca="1"/>
        <v xml:space="preserve">
	//Flat Sheet Tension Axis
	ELSIF uiInfoIdx = 13 THEN
		IF strInfoKey = 'name' THEN
			strRt	:= 'Flat Sheet Tension Axis';</v>
      </c>
      <c r="AC16" t="str">
        <f ca="1"/>
        <v xml:space="preserve">
	//Flat Sheet Tension Axis
	ELSIF uiInfoIdx = 13 THEN
		IF strInfoKey = 'name' THEN
			strRt	:= 'Flat Sheet Tension Axis';
		ELSIF strInfoKey = 'index_name' THEN</v>
      </c>
      <c r="AD16" t="str">
        <f ca="1"/>
        <v xml:space="preserve">
	//Flat Sheet Tension Axis
	ELSIF uiInfoIdx = 13 THEN
		IF strInfoKey = 'name' THEN
			strRt	:= 'Flat Sheet Tension Axis';
		ELSIF strInfoKey = 'index_name' THEN
			strRt	:= '【axis13】 Flat Sheet Tension Axis';</v>
      </c>
      <c r="AE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</v>
      </c>
      <c r="AF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</v>
      </c>
      <c r="AG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</v>
      </c>
      <c r="AH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</v>
      </c>
      <c r="AI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</v>
      </c>
      <c r="AJ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</v>
      </c>
      <c r="AK16" t="str">
        <f ca="1"/>
        <v xml:space="preserve">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</v>
      </c>
    </row>
    <row r="17" spans="1:37" x14ac:dyDescent="0.55000000000000004">
      <c r="E17" t="str">
        <f t="shared" si="1"/>
        <v>axis</v>
      </c>
      <c r="F17">
        <f>COUNTIF(E$4:E17,E17)</f>
        <v>14</v>
      </c>
      <c r="G17" t="str">
        <v/>
      </c>
      <c r="H17">
        <v>14</v>
      </c>
      <c r="I17" t="str">
        <f ca="1"/>
        <v>Flat Sheet Chuck Axis</v>
      </c>
      <c r="J17" t="str">
        <f ca="1"/>
        <v>Flat Sheet Chuck Axis</v>
      </c>
      <c r="L17" t="str">
        <f ca="1"/>
        <v>【axis14】 Flat Sheet Chuck Axis</v>
      </c>
      <c r="M17" t="str">
        <v>SV3-M040AK</v>
      </c>
      <c r="N17" t="str">
        <v>SV3-M040AK</v>
      </c>
      <c r="O17" t="str">
        <f ca="1"/>
        <v>KEYENCE</v>
      </c>
      <c r="P17" t="str">
        <f ca="1"/>
        <v>KEYENCE</v>
      </c>
      <c r="S17">
        <f t="shared" ca="1" si="0"/>
        <v>-32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//Flat Sheet Chuck Axis
	ELSIF uiInfoIdx = 14 THEN</v>
      </c>
      <c r="AA17" t="str">
        <f ca="1"/>
        <v xml:space="preserve">
	//Flat Sheet Chuck Axis
	ELSIF uiInfoIdx = 14 THEN
		IF strInfoKey = 'name' THEN</v>
      </c>
      <c r="AB17" t="str">
        <f ca="1"/>
        <v xml:space="preserve">
	//Flat Sheet Chuck Axis
	ELSIF uiInfoIdx = 14 THEN
		IF strInfoKey = 'name' THEN
			strRt	:= 'Flat Sheet Chuck Axis';</v>
      </c>
      <c r="AC17" t="str">
        <f ca="1"/>
        <v xml:space="preserve">
	//Flat Sheet Chuck Axis
	ELSIF uiInfoIdx = 14 THEN
		IF strInfoKey = 'name' THEN
			strRt	:= 'Flat Sheet Chuck Axis';
		ELSIF strInfoKey = 'index_name' THEN</v>
      </c>
      <c r="AD17" t="str">
        <f ca="1"/>
        <v xml:space="preserve">
	//Flat Sheet Chuck Axis
	ELSIF uiInfoIdx = 14 THEN
		IF strInfoKey = 'name' THEN
			strRt	:= 'Flat Sheet Chuck Axis';
		ELSIF strInfoKey = 'index_name' THEN
			strRt	:= '【axis14】 Flat Sheet Chuck Axis';</v>
      </c>
      <c r="AE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</v>
      </c>
      <c r="AF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</v>
      </c>
      <c r="AG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</v>
      </c>
      <c r="AH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</v>
      </c>
      <c r="AI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</v>
      </c>
      <c r="AJ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</v>
      </c>
      <c r="AK17" t="str">
        <f ca="1"/>
        <v xml:space="preserve">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</v>
      </c>
    </row>
    <row r="18" spans="1:37" x14ac:dyDescent="0.55000000000000004">
      <c r="E18" t="str">
        <f t="shared" si="1"/>
        <v>axis</v>
      </c>
      <c r="F18">
        <f>COUNTIF(E$4:E18,E18)</f>
        <v>15</v>
      </c>
      <c r="G18" t="str">
        <v/>
      </c>
      <c r="H18">
        <v>15</v>
      </c>
      <c r="I18" t="str">
        <f ca="1"/>
        <v>Flat Sheet Chuck F/B Axis</v>
      </c>
      <c r="J18" t="str">
        <f ca="1"/>
        <v>Flat Sheet Chuck F/B Axis</v>
      </c>
      <c r="L18" t="str">
        <f ca="1"/>
        <v>【axis15】 Flat Sheet Chuck F/B Axis</v>
      </c>
      <c r="M18" t="str">
        <v>AZM15AK</v>
      </c>
      <c r="N18" t="str">
        <v>AZM15AK</v>
      </c>
      <c r="O18" t="str">
        <f ca="1"/>
        <v>OrientalMotor</v>
      </c>
      <c r="P18" t="str">
        <f ca="1"/>
        <v>OrientalMotor</v>
      </c>
      <c r="S18">
        <f t="shared" ca="1" si="0"/>
        <v>-28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//Flat Sheet Chuck F/B Axis
	ELSIF uiInfoIdx = 15 THEN</v>
      </c>
      <c r="AA18" t="str">
        <f ca="1"/>
        <v xml:space="preserve">
	//Flat Sheet Chuck F/B Axis
	ELSIF uiInfoIdx = 15 THEN
		IF strInfoKey = 'name' THEN</v>
      </c>
      <c r="AB18" t="str">
        <f ca="1"/>
        <v xml:space="preserve">
	//Flat Sheet Chuck F/B Axis
	ELSIF uiInfoIdx = 15 THEN
		IF strInfoKey = 'name' THEN
			strRt	:= 'Flat Sheet Chuck F/B Axis';</v>
      </c>
      <c r="AC18" t="str">
        <f ca="1"/>
        <v xml:space="preserve">
	//Flat Sheet Chuck F/B Axis
	ELSIF uiInfoIdx = 15 THEN
		IF strInfoKey = 'name' THEN
			strRt	:= 'Flat Sheet Chuck F/B Axis';
		ELSIF strInfoKey = 'index_name' THEN</v>
      </c>
      <c r="AD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</v>
      </c>
      <c r="AE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</v>
      </c>
      <c r="AF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</v>
      </c>
      <c r="AG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</v>
      </c>
      <c r="AH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</v>
      </c>
      <c r="AI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</v>
      </c>
      <c r="AJ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</v>
      </c>
      <c r="AK18" t="str">
        <f ca="1"/>
        <v xml:space="preserve">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</v>
      </c>
    </row>
    <row r="19" spans="1:37" x14ac:dyDescent="0.55000000000000004">
      <c r="E19" t="str">
        <f t="shared" si="1"/>
        <v>axis</v>
      </c>
      <c r="F19">
        <f>COUNTIF(E$4:E19,E19)</f>
        <v>16</v>
      </c>
      <c r="G19" t="str">
        <v/>
      </c>
      <c r="H19">
        <v>16</v>
      </c>
      <c r="I19" t="str">
        <f ca="1"/>
        <v>Corrugated Sheet Tension Axis</v>
      </c>
      <c r="J19" t="str">
        <f ca="1"/>
        <v>Corrugated Sheet Tension Axis</v>
      </c>
      <c r="L19" t="str">
        <f ca="1"/>
        <v>【axis16】 Corrugated Sheet Tension Axis</v>
      </c>
      <c r="M19" t="str">
        <v>SV3-M040AK</v>
      </c>
      <c r="N19" t="str">
        <v>SV3-M040AK</v>
      </c>
      <c r="O19" t="str">
        <f ca="1"/>
        <v>KEYENCE</v>
      </c>
      <c r="P19" t="str">
        <f ca="1"/>
        <v>KEYENCE</v>
      </c>
      <c r="S19">
        <f t="shared" ca="1" si="0"/>
        <v>-24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//Corrugated Sheet Tension Axis
	ELSIF uiInfoIdx = 16 THEN</v>
      </c>
      <c r="AA19" t="str">
        <f ca="1"/>
        <v xml:space="preserve">
	//Corrugated Sheet Tension Axis
	ELSIF uiInfoIdx = 16 THEN
		IF strInfoKey = 'name' THEN</v>
      </c>
      <c r="AB19" t="str">
        <f ca="1"/>
        <v xml:space="preserve">
	//Corrugated Sheet Tension Axis
	ELSIF uiInfoIdx = 16 THEN
		IF strInfoKey = 'name' THEN
			strRt	:= 'Corrugated Sheet Tension Axis';</v>
      </c>
      <c r="AC19" t="str">
        <f ca="1"/>
        <v xml:space="preserve">
	//Corrugated Sheet Tension Axis
	ELSIF uiInfoIdx = 16 THEN
		IF strInfoKey = 'name' THEN
			strRt	:= 'Corrugated Sheet Tension Axis';
		ELSIF strInfoKey = 'index_name' THEN</v>
      </c>
      <c r="AD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</v>
      </c>
      <c r="AE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</v>
      </c>
      <c r="AF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</v>
      </c>
      <c r="AG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</v>
      </c>
      <c r="AH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</v>
      </c>
      <c r="AI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</v>
      </c>
      <c r="AJ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</v>
      </c>
      <c r="AK19" t="str">
        <f ca="1"/>
        <v xml:space="preserve">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</v>
      </c>
    </row>
    <row r="20" spans="1:37" x14ac:dyDescent="0.55000000000000004">
      <c r="E20" t="str">
        <f t="shared" si="1"/>
        <v>axis</v>
      </c>
      <c r="F20">
        <f>COUNTIF(E$4:E20,E20)</f>
        <v>17</v>
      </c>
      <c r="G20" t="str">
        <v/>
      </c>
      <c r="H20">
        <v>17</v>
      </c>
      <c r="I20" t="str">
        <f ca="1"/>
        <v>Flat Sheet Chuck Axis</v>
      </c>
      <c r="J20" t="str">
        <f ca="1"/>
        <v>Flat Sheet Chuck Axis</v>
      </c>
      <c r="L20" t="str">
        <f ca="1"/>
        <v>【axis17】 Flat Sheet Chuck Axis</v>
      </c>
      <c r="M20" t="str">
        <v>RCP4-GRSWL-I-42P-28-30-P3-M-AC1</v>
      </c>
      <c r="N20" t="str">
        <v>RCP4-GRSWL-I-42P-28-30-P3-M-AC1</v>
      </c>
      <c r="O20" t="str">
        <f ca="1"/>
        <v>IAI</v>
      </c>
      <c r="P20" t="str">
        <f ca="1"/>
        <v>IAI</v>
      </c>
      <c r="S20">
        <f t="shared" ca="1" si="0"/>
        <v>-32</v>
      </c>
      <c r="X20" t="str">
        <f ca="1"/>
        <v xml:space="preserve">
</v>
      </c>
      <c r="Y20" t="str">
        <f ca="1"/>
        <v xml:space="preserve">
</v>
      </c>
      <c r="Z20" t="str">
        <f ca="1"/>
        <v xml:space="preserve">
	//Flat Sheet Chuck Axis
	ELSIF uiInfoIdx = 17 THEN</v>
      </c>
      <c r="AA20" t="str">
        <f ca="1"/>
        <v xml:space="preserve">
	//Flat Sheet Chuck Axis
	ELSIF uiInfoIdx = 17 THEN
		IF strInfoKey = 'name' THEN</v>
      </c>
      <c r="AB20" t="str">
        <f ca="1"/>
        <v xml:space="preserve">
	//Flat Sheet Chuck Axis
	ELSIF uiInfoIdx = 17 THEN
		IF strInfoKey = 'name' THEN
			strRt	:= 'Flat Sheet Chuck Axis';</v>
      </c>
      <c r="AC20" t="str">
        <f ca="1"/>
        <v xml:space="preserve">
	//Flat Sheet Chuck Axis
	ELSIF uiInfoIdx = 17 THEN
		IF strInfoKey = 'name' THEN
			strRt	:= 'Flat Sheet Chuck Axis';
		ELSIF strInfoKey = 'index_name' THEN</v>
      </c>
      <c r="AD20" t="str">
        <f ca="1"/>
        <v xml:space="preserve">
	//Flat Sheet Chuck Axis
	ELSIF uiInfoIdx = 17 THEN
		IF strInfoKey = 'name' THEN
			strRt	:= 'Flat Sheet Chuck Axis';
		ELSIF strInfoKey = 'index_name' THEN
			strRt	:= '【axis17】 Flat Sheet Chuck Axis';</v>
      </c>
      <c r="AE20" t="str">
        <f ca="1"/>
        <v xml:space="preserve">
	//Flat Sheet Chuck Axis
	ELSIF uiInfoIdx = 17 THEN
		IF strInfoKey = 'name' THEN
			strRt	:= 'Flat Sheet Chuck Axis';
		ELSIF strInfoKey = 'index_name' THEN
			strRt	:= '【axis17】 Flat Sheet Chuck Axis';
		ELSIF strInfoKey = 'model' THEN</v>
      </c>
      <c r="AF20" t="str">
        <f ca="1"/>
        <v xml:space="preserve">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</v>
      </c>
      <c r="AG20" t="str">
        <f ca="1"/>
        <v xml:space="preserve">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
		ELSIF strInfoKey = 'mf' THEN</v>
      </c>
      <c r="AH20" t="str">
        <f ca="1"/>
        <v xml:space="preserve">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
		ELSIF strInfoKey = 'mf' THEN
			strRt	:= 'IAI';</v>
      </c>
      <c r="AI20" t="str">
        <f ca="1"/>
        <v xml:space="preserve">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
		ELSIF strInfoKey = 'mf' THEN
			strRt	:= 'IAI';
		ELSE
			uiErrCode	:= 3;
		END_IF;</v>
      </c>
      <c r="AJ20" t="str">
        <f ca="1"/>
        <v xml:space="preserve">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
		ELSIF strInfoKey = 'mf' THEN
			strRt	:= 'IAI';
		ELSE
			uiErrCode	:= 3;
		END_IF;</v>
      </c>
      <c r="AK20" t="str">
        <f ca="1"/>
        <v xml:space="preserve">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
		ELSIF strInfoKey = 'mf' THEN
			strRt	:= 'IAI';
		ELSE
			uiErrCode	:= 3;
		END_IF;</v>
      </c>
    </row>
    <row r="21" spans="1:37" x14ac:dyDescent="0.55000000000000004">
      <c r="E21" t="str">
        <f t="shared" si="1"/>
        <v>axis</v>
      </c>
      <c r="F21">
        <f>COUNTIF(E$4:E21,E21)</f>
        <v>18</v>
      </c>
      <c r="G21" t="str">
        <v/>
      </c>
      <c r="H21">
        <v>18</v>
      </c>
      <c r="I21" t="str">
        <f ca="1"/>
        <v>Flat Sheet Chuck Forward/Backward Axis</v>
      </c>
      <c r="J21" t="str">
        <f ca="1"/>
        <v>Flat Sheet Chuck Forward/Backward Axis</v>
      </c>
      <c r="L21" t="str">
        <f ca="1"/>
        <v>【axis18】 Flat Sheet Chuck Forward/Backward Axis</v>
      </c>
      <c r="M21" t="str">
        <v>RCP6-TA6C-WA-42P-12-125-P3-X07-CJB-1</v>
      </c>
      <c r="N21" t="str">
        <v>RCP6-TA6C-WA-42P-12-125-P3-X07-CJB-1</v>
      </c>
      <c r="O21" t="str">
        <f ca="1"/>
        <v>IAI</v>
      </c>
      <c r="P21" t="str">
        <f ca="1"/>
        <v>IAI</v>
      </c>
      <c r="S21">
        <f t="shared" ca="1" si="0"/>
        <v>-15</v>
      </c>
      <c r="X21" t="str">
        <f ca="1"/>
        <v xml:space="preserve">
</v>
      </c>
      <c r="Y21" t="str">
        <f ca="1"/>
        <v xml:space="preserve">
</v>
      </c>
      <c r="Z21" t="str">
        <f ca="1"/>
        <v xml:space="preserve">
	//Flat Sheet Chuck Forward/Backward Axis
	ELSIF uiInfoIdx = 18 THEN</v>
      </c>
      <c r="AA21" t="str">
        <f ca="1"/>
        <v xml:space="preserve">
	//Flat Sheet Chuck Forward/Backward Axis
	ELSIF uiInfoIdx = 18 THEN
		IF strInfoKey = 'name' THEN</v>
      </c>
      <c r="AB21" t="str">
        <f ca="1"/>
        <v xml:space="preserve">
	//Flat Sheet Chuck Forward/Backward Axis
	ELSIF uiInfoIdx = 18 THEN
		IF strInfoKey = 'name' THEN
			strRt	:= 'Flat Sheet Chuck Forward/Backward Axis';</v>
      </c>
      <c r="AC21" t="str">
        <f ca="1"/>
        <v xml:space="preserve">
	//Flat Sheet Chuck Forward/Backward Axis
	ELSIF uiInfoIdx = 18 THEN
		IF strInfoKey = 'name' THEN
			strRt	:= 'Flat Sheet Chuck Forward/Backward Axis';
		ELSIF strInfoKey = 'index_name' THEN</v>
      </c>
      <c r="AD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</v>
      </c>
      <c r="AE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</v>
      </c>
      <c r="AF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</v>
      </c>
      <c r="AG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
		ELSIF strInfoKey = 'mf' THEN</v>
      </c>
      <c r="AH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
		ELSIF strInfoKey = 'mf' THEN
			strRt	:= 'IAI';</v>
      </c>
      <c r="AI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
		ELSIF strInfoKey = 'mf' THEN
			strRt	:= 'IAI';
		ELSE
			uiErrCode	:= 3;
		END_IF;</v>
      </c>
      <c r="AJ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
		ELSIF strInfoKey = 'mf' THEN
			strRt	:= 'IAI';
		ELSE
			uiErrCode	:= 3;
		END_IF;</v>
      </c>
      <c r="AK21" t="str">
        <f ca="1"/>
        <v xml:space="preserve">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
		ELSIF strInfoKey = 'mf' THEN
			strRt	:= 'IAI';
		ELSE
			uiErrCode	:= 3;
		END_IF;</v>
      </c>
    </row>
    <row r="22" spans="1:37" x14ac:dyDescent="0.55000000000000004">
      <c r="E22" t="str">
        <f t="shared" si="1"/>
        <v>axis</v>
      </c>
      <c r="F22">
        <f>COUNTIF(E$4:E22,E22)</f>
        <v>19</v>
      </c>
      <c r="G22" t="str">
        <v/>
      </c>
      <c r="H22">
        <v>19</v>
      </c>
      <c r="I22" t="str">
        <f ca="1"/>
        <v>Corrugated Sheet Tension Axis</v>
      </c>
      <c r="J22" t="str">
        <f ca="1"/>
        <v>Corrugated Sheet Tension Axis</v>
      </c>
      <c r="L22" t="str">
        <f ca="1"/>
        <v>【axis19】 Corrugated Sheet Tension Axis</v>
      </c>
      <c r="M22" t="str">
        <v>SV3-M040AK</v>
      </c>
      <c r="N22" t="str">
        <v>SV3-M040AK</v>
      </c>
      <c r="O22" t="str">
        <f ca="1"/>
        <v>IAI</v>
      </c>
      <c r="P22" t="str">
        <f ca="1"/>
        <v>IAI</v>
      </c>
      <c r="S22">
        <f t="shared" ca="1" si="0"/>
        <v>-24</v>
      </c>
      <c r="X22" t="str">
        <f ca="1"/>
        <v xml:space="preserve">
</v>
      </c>
      <c r="Y22" t="str">
        <f ca="1"/>
        <v xml:space="preserve">
</v>
      </c>
      <c r="Z22" t="str">
        <f ca="1"/>
        <v xml:space="preserve">
	//Corrugated Sheet Tension Axis
	ELSIF uiInfoIdx = 19 THEN</v>
      </c>
      <c r="AA22" t="str">
        <f ca="1"/>
        <v xml:space="preserve">
	//Corrugated Sheet Tension Axis
	ELSIF uiInfoIdx = 19 THEN
		IF strInfoKey = 'name' THEN</v>
      </c>
      <c r="AB22" t="str">
        <f ca="1"/>
        <v xml:space="preserve">
	//Corrugated Sheet Tension Axis
	ELSIF uiInfoIdx = 19 THEN
		IF strInfoKey = 'name' THEN
			strRt	:= 'Corrugated Sheet Tension Axis';</v>
      </c>
      <c r="AC22" t="str">
        <f ca="1"/>
        <v xml:space="preserve">
	//Corrugated Sheet Tension Axis
	ELSIF uiInfoIdx = 19 THEN
		IF strInfoKey = 'name' THEN
			strRt	:= 'Corrugated Sheet Tension Axis';
		ELSIF strInfoKey = 'index_name' THEN</v>
      </c>
      <c r="AD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</v>
      </c>
      <c r="AE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
		ELSIF strInfoKey = 'model' THEN</v>
      </c>
      <c r="AF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</v>
      </c>
      <c r="AG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
		ELSIF strInfoKey = 'mf' THEN</v>
      </c>
      <c r="AH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
		ELSIF strInfoKey = 'mf' THEN
			strRt	:= 'IAI';</v>
      </c>
      <c r="AI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
		ELSIF strInfoKey = 'mf' THEN
			strRt	:= 'IAI';
		ELSE
			uiErrCode	:= 3;
		END_IF;</v>
      </c>
      <c r="AJ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
		ELSIF strInfoKey = 'mf' THEN
			strRt	:= 'IAI';
		ELSE
			uiErrCode	:= 3;
		END_IF;</v>
      </c>
      <c r="AK22" t="str">
        <f ca="1"/>
        <v xml:space="preserve">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
		ELSIF strInfoKey = 'mf' THEN
			strRt	:= 'IAI';
		ELSE
			uiErrCode	:= 3;
		END_IF;</v>
      </c>
    </row>
    <row r="23" spans="1:37" x14ac:dyDescent="0.55000000000000004">
      <c r="E23" t="str">
        <f t="shared" si="1"/>
        <v>axis</v>
      </c>
      <c r="F23">
        <f>COUNTIF(E$4:E23,E23)</f>
        <v>20</v>
      </c>
      <c r="G23" t="str">
        <v/>
      </c>
      <c r="H23">
        <v>20</v>
      </c>
      <c r="I23" t="str">
        <f ca="1"/>
        <v>Workpiece transportation Y-shaft</v>
      </c>
      <c r="J23" t="str">
        <f ca="1"/>
        <v>Workpiece transportation Y-shaft</v>
      </c>
      <c r="L23" t="str">
        <f ca="1"/>
        <v>【axis20】 Workpiece transportation Y-shaft</v>
      </c>
      <c r="M23" t="str">
        <v>RCP6S-SA4R-WA-35P-5-150-SE-S-MR</v>
      </c>
      <c r="N23" t="str">
        <v>RCP6S-SA4R-WA-35P-5-150-SE-S-MR</v>
      </c>
      <c r="O23" t="str">
        <f ca="1"/>
        <v>IAI</v>
      </c>
      <c r="P23" t="str">
        <f ca="1"/>
        <v>IAI</v>
      </c>
      <c r="S23">
        <f t="shared" ca="1" si="0"/>
        <v>-21</v>
      </c>
      <c r="X23" t="str">
        <f ca="1"/>
        <v xml:space="preserve">
</v>
      </c>
      <c r="Y23" t="str">
        <f ca="1"/>
        <v xml:space="preserve">
</v>
      </c>
      <c r="Z23" t="str">
        <f ca="1"/>
        <v xml:space="preserve">
	//Workpiece transportation Y-shaft
	ELSIF uiInfoIdx = 20 THEN</v>
      </c>
      <c r="AA23" t="str">
        <f ca="1"/>
        <v xml:space="preserve">
	//Workpiece transportation Y-shaft
	ELSIF uiInfoIdx = 20 THEN
		IF strInfoKey = 'name' THEN</v>
      </c>
      <c r="AB23" t="str">
        <f ca="1"/>
        <v xml:space="preserve">
	//Workpiece transportation Y-shaft
	ELSIF uiInfoIdx = 20 THEN
		IF strInfoKey = 'name' THEN
			strRt	:= 'Workpiece transportation Y-shaft';</v>
      </c>
      <c r="AC23" t="str">
        <f ca="1"/>
        <v xml:space="preserve">
	//Workpiece transportation Y-shaft
	ELSIF uiInfoIdx = 20 THEN
		IF strInfoKey = 'name' THEN
			strRt	:= 'Workpiece transportation Y-shaft';
		ELSIF strInfoKey = 'index_name' THEN</v>
      </c>
      <c r="AD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</v>
      </c>
      <c r="AE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</v>
      </c>
      <c r="AF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</v>
      </c>
      <c r="AG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</v>
      </c>
      <c r="AH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</v>
      </c>
      <c r="AI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  <c r="AJ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  <c r="AK23" t="str">
        <f ca="1"/>
        <v xml:space="preserve">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</v>
      </c>
    </row>
    <row r="24" spans="1:37" x14ac:dyDescent="0.55000000000000004">
      <c r="A24" t="s">
        <v>140</v>
      </c>
      <c r="B24">
        <v>1</v>
      </c>
      <c r="E24" t="str">
        <f t="shared" si="1"/>
        <v>axis</v>
      </c>
      <c r="F24">
        <f>COUNTIF(E$4:E24,E24)</f>
        <v>21</v>
      </c>
      <c r="G24" t="str">
        <v/>
      </c>
      <c r="H24">
        <v>21</v>
      </c>
      <c r="I24" t="str">
        <f ca="1"/>
        <v>Workpiece  rotation</v>
      </c>
      <c r="J24" t="str">
        <f ca="1"/>
        <v>Workpiece  rotation</v>
      </c>
      <c r="L24" t="str">
        <f ca="1"/>
        <v>【axis21】 Workpiece  rotation</v>
      </c>
      <c r="M24" t="str">
        <v xml:space="preserve">RCS2-RTC12L-A-150-30-360-T2-S-L </v>
      </c>
      <c r="N24" t="str">
        <v xml:space="preserve">RCS2-RTC12L-A-150-30-360-T2-S-L </v>
      </c>
      <c r="O24" t="str">
        <f ca="1"/>
        <v>IAI</v>
      </c>
      <c r="P24" t="str">
        <f ca="1"/>
        <v>IAI</v>
      </c>
      <c r="S24">
        <f t="shared" ca="1" si="0"/>
        <v>-34</v>
      </c>
      <c r="X24" t="str">
        <f ca="1"/>
        <v xml:space="preserve">
</v>
      </c>
      <c r="Y24" t="str">
        <f ca="1"/>
        <v xml:space="preserve">
</v>
      </c>
      <c r="Z24" t="str">
        <f ca="1"/>
        <v xml:space="preserve">
	//Workpiece  rotation
	ELSIF uiInfoIdx = 21 THEN</v>
      </c>
      <c r="AA24" t="str">
        <f ca="1"/>
        <v xml:space="preserve">
	//Workpiece  rotation
	ELSIF uiInfoIdx = 21 THEN
		IF strInfoKey = 'name' THEN</v>
      </c>
      <c r="AB24" t="str">
        <f ca="1"/>
        <v xml:space="preserve">
	//Workpiece  rotation
	ELSIF uiInfoIdx = 21 THEN
		IF strInfoKey = 'name' THEN
			strRt	:= 'Workpiece  rotation';</v>
      </c>
      <c r="AC24" t="str">
        <f ca="1"/>
        <v xml:space="preserve">
	//Workpiece  rotation
	ELSIF uiInfoIdx = 21 THEN
		IF strInfoKey = 'name' THEN
			strRt	:= 'Workpiece  rotation';
		ELSIF strInfoKey = 'index_name' THEN</v>
      </c>
      <c r="AD24" t="str">
        <f ca="1"/>
        <v xml:space="preserve">
	//Workpiece  rotation
	ELSIF uiInfoIdx = 21 THEN
		IF strInfoKey = 'name' THEN
			strRt	:= 'Workpiece  rotation';
		ELSIF strInfoKey = 'index_name' THEN
			strRt	:= '【axis21】 Workpiece  rotation';</v>
      </c>
      <c r="AE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</v>
      </c>
      <c r="AF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</v>
      </c>
      <c r="AG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</v>
      </c>
      <c r="AH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</v>
      </c>
      <c r="AI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  <c r="AJ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  <c r="AK24" t="str">
        <f ca="1"/>
        <v xml:space="preserve">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</v>
      </c>
    </row>
    <row r="25" spans="1:37" x14ac:dyDescent="0.55000000000000004">
      <c r="E25" t="str">
        <f t="shared" si="1"/>
        <v>axis</v>
      </c>
      <c r="F25">
        <f>COUNTIF(E$4:E25,E25)</f>
        <v>22</v>
      </c>
      <c r="G25" t="str">
        <v/>
      </c>
      <c r="H25">
        <v>22</v>
      </c>
      <c r="I25" t="str">
        <f ca="1"/>
        <v xml:space="preserve">Workpiece  chuck </v>
      </c>
      <c r="J25" t="str">
        <f ca="1"/>
        <v xml:space="preserve">Workpiece  chuck </v>
      </c>
      <c r="L25" t="str">
        <f ca="1"/>
        <v xml:space="preserve">【axis22】 Workpiece  chuck </v>
      </c>
      <c r="M25" t="str">
        <v>RCP2-GRHB-I-42P-2-40-P1-S</v>
      </c>
      <c r="N25" t="str">
        <v>RCP2-GRHB-I-42P-2-40-P1-S</v>
      </c>
      <c r="O25" t="str">
        <f ca="1"/>
        <v>IAI</v>
      </c>
      <c r="P25" t="str">
        <f ca="1"/>
        <v>IAI</v>
      </c>
      <c r="S25">
        <f t="shared" ca="1" si="0"/>
        <v>-36</v>
      </c>
      <c r="X25" t="str">
        <f ca="1"/>
        <v xml:space="preserve">
</v>
      </c>
      <c r="Y25" t="str">
        <f ca="1"/>
        <v xml:space="preserve">
</v>
      </c>
      <c r="Z25" t="str">
        <f ca="1"/>
        <v xml:space="preserve">
	//Workpiece  chuck 
	ELSIF uiInfoIdx = 22 THEN</v>
      </c>
      <c r="AA25" t="str">
        <f ca="1"/>
        <v xml:space="preserve">
	//Workpiece  chuck 
	ELSIF uiInfoIdx = 22 THEN
		IF strInfoKey = 'name' THEN</v>
      </c>
      <c r="AB25" t="str">
        <f ca="1"/>
        <v xml:space="preserve">
	//Workpiece  chuck 
	ELSIF uiInfoIdx = 22 THEN
		IF strInfoKey = 'name' THEN
			strRt	:= 'Workpiece  chuck ';</v>
      </c>
      <c r="AC25" t="str">
        <f ca="1"/>
        <v xml:space="preserve">
	//Workpiece  chuck 
	ELSIF uiInfoIdx = 22 THEN
		IF strInfoKey = 'name' THEN
			strRt	:= 'Workpiece  chuck ';
		ELSIF strInfoKey = 'index_name' THEN</v>
      </c>
      <c r="AD25" t="str">
        <f ca="1"/>
        <v xml:space="preserve">
	//Workpiece  chuck 
	ELSIF uiInfoIdx = 22 THEN
		IF strInfoKey = 'name' THEN
			strRt	:= 'Workpiece  chuck ';
		ELSIF strInfoKey = 'index_name' THEN
			strRt	:= '【axis22】 Workpiece  chuck ';</v>
      </c>
      <c r="AE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</v>
      </c>
      <c r="AF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</v>
      </c>
      <c r="AG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</v>
      </c>
      <c r="AH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</v>
      </c>
      <c r="AI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  <c r="AJ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  <c r="AK25" t="str">
        <f ca="1"/>
        <v xml:space="preserve">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</v>
      </c>
    </row>
    <row r="26" spans="1:37" x14ac:dyDescent="0.55000000000000004">
      <c r="A26" t="s">
        <v>132</v>
      </c>
      <c r="B26" t="s">
        <v>168</v>
      </c>
      <c r="E26" t="str">
        <f t="shared" si="1"/>
        <v>axis</v>
      </c>
      <c r="F26">
        <f>COUNTIF(E$4:E26,E26)</f>
        <v>23</v>
      </c>
      <c r="G26" t="str">
        <v/>
      </c>
      <c r="H26">
        <v>23</v>
      </c>
      <c r="I26" t="str">
        <f ca="1"/>
        <v>Welding support up/down</v>
      </c>
      <c r="J26" t="str">
        <f ca="1"/>
        <v>Welding support up/down</v>
      </c>
      <c r="L26" t="str">
        <f ca="1"/>
        <v>【axis23】 Welding support up/down</v>
      </c>
      <c r="M26" t="str">
        <v>RCP6S-SA7R-WA-56P-16-150-SE-S-B-MR　</v>
      </c>
      <c r="N26" t="str">
        <v>RCP6S-SA7R-WA-56P-16-150-SE-S-B-MR　</v>
      </c>
      <c r="O26" t="str">
        <f ca="1"/>
        <v>IAI</v>
      </c>
      <c r="P26" t="str">
        <f ca="1"/>
        <v>IAI</v>
      </c>
      <c r="S26">
        <f t="shared" ca="1" si="0"/>
        <v>-30</v>
      </c>
      <c r="X26" t="str">
        <f ca="1"/>
        <v xml:space="preserve">
</v>
      </c>
      <c r="Y26" t="str">
        <f ca="1"/>
        <v xml:space="preserve">
</v>
      </c>
      <c r="Z26" t="str">
        <f ca="1"/>
        <v xml:space="preserve">
	//Welding support up/down
	ELSIF uiInfoIdx = 23 THEN</v>
      </c>
      <c r="AA26" t="str">
        <f ca="1"/>
        <v xml:space="preserve">
	//Welding support up/down
	ELSIF uiInfoIdx = 23 THEN
		IF strInfoKey = 'name' THEN</v>
      </c>
      <c r="AB26" t="str">
        <f ca="1"/>
        <v xml:space="preserve">
	//Welding support up/down
	ELSIF uiInfoIdx = 23 THEN
		IF strInfoKey = 'name' THEN
			strRt	:= 'Welding support up/down';</v>
      </c>
      <c r="AC26" t="str">
        <f ca="1"/>
        <v xml:space="preserve">
	//Welding support up/down
	ELSIF uiInfoIdx = 23 THEN
		IF strInfoKey = 'name' THEN
			strRt	:= 'Welding support up/down';
		ELSIF strInfoKey = 'index_name' THEN</v>
      </c>
      <c r="AD26" t="str">
        <f ca="1"/>
        <v xml:space="preserve">
	//Welding support up/down
	ELSIF uiInfoIdx = 23 THEN
		IF strInfoKey = 'name' THEN
			strRt	:= 'Welding support up/down';
		ELSIF strInfoKey = 'index_name' THEN
			strRt	:= '【axis23】 Welding support up/down';</v>
      </c>
      <c r="AE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</v>
      </c>
      <c r="AF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</v>
      </c>
      <c r="AG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</v>
      </c>
      <c r="AH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</v>
      </c>
      <c r="AI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  <c r="AJ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  <c r="AK26" t="str">
        <f ca="1"/>
        <v xml:space="preserve">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</v>
      </c>
    </row>
    <row r="27" spans="1:37" x14ac:dyDescent="0.55000000000000004">
      <c r="A27" t="s">
        <v>128</v>
      </c>
      <c r="B27" t="s">
        <v>169</v>
      </c>
      <c r="E27" t="str">
        <f t="shared" si="1"/>
        <v>axis</v>
      </c>
      <c r="F27">
        <f>COUNTIF(E$4:E27,E27)</f>
        <v>24</v>
      </c>
      <c r="G27" t="str">
        <v/>
      </c>
      <c r="H27">
        <v>24</v>
      </c>
      <c r="I27" t="str">
        <f ca="1"/>
        <v>Welding torch up/down</v>
      </c>
      <c r="J27" t="str">
        <f ca="1"/>
        <v>Welding torch up/down</v>
      </c>
      <c r="L27" t="str">
        <f ca="1"/>
        <v>【axis24】 Welding torch up/down</v>
      </c>
      <c r="M27" t="str">
        <v xml:space="preserve">RCP6S-SA6C-WA-42P-3-50-SE-S-B </v>
      </c>
      <c r="N27" t="str">
        <v xml:space="preserve">RCP6S-SA6C-WA-42P-3-50-SE-S-B </v>
      </c>
      <c r="O27" t="str">
        <f ca="1"/>
        <v>IAI</v>
      </c>
      <c r="P27" t="str">
        <f ca="1"/>
        <v>IAI</v>
      </c>
      <c r="S27">
        <f t="shared" ca="1" si="0"/>
        <v>-32</v>
      </c>
      <c r="X27" t="str">
        <f ca="1"/>
        <v xml:space="preserve">
</v>
      </c>
      <c r="Y27" t="str">
        <f ca="1"/>
        <v xml:space="preserve">
</v>
      </c>
      <c r="Z27" t="str">
        <f ca="1"/>
        <v xml:space="preserve">
	//Welding torch up/down
	ELSIF uiInfoIdx = 24 THEN</v>
      </c>
      <c r="AA27" t="str">
        <f ca="1"/>
        <v xml:space="preserve">
	//Welding torch up/down
	ELSIF uiInfoIdx = 24 THEN
		IF strInfoKey = 'name' THEN</v>
      </c>
      <c r="AB27" t="str">
        <f ca="1"/>
        <v xml:space="preserve">
	//Welding torch up/down
	ELSIF uiInfoIdx = 24 THEN
		IF strInfoKey = 'name' THEN
			strRt	:= 'Welding torch up/down';</v>
      </c>
      <c r="AC27" t="str">
        <f ca="1"/>
        <v xml:space="preserve">
	//Welding torch up/down
	ELSIF uiInfoIdx = 24 THEN
		IF strInfoKey = 'name' THEN
			strRt	:= 'Welding torch up/down';
		ELSIF strInfoKey = 'index_name' THEN</v>
      </c>
      <c r="AD27" t="str">
        <f ca="1"/>
        <v xml:space="preserve">
	//Welding torch up/down
	ELSIF uiInfoIdx = 24 THEN
		IF strInfoKey = 'name' THEN
			strRt	:= 'Welding torch up/down';
		ELSIF strInfoKey = 'index_name' THEN
			strRt	:= '【axis24】 Welding torch up/down';</v>
      </c>
      <c r="AE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</v>
      </c>
      <c r="AF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</v>
      </c>
      <c r="AG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</v>
      </c>
      <c r="AH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</v>
      </c>
      <c r="AI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  <c r="AJ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  <c r="AK27" t="str">
        <f ca="1"/>
        <v xml:space="preserve">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</v>
      </c>
    </row>
    <row r="28" spans="1:37" x14ac:dyDescent="0.55000000000000004">
      <c r="A28" t="s">
        <v>129</v>
      </c>
      <c r="B28" t="s">
        <v>170</v>
      </c>
      <c r="E28" t="str">
        <f t="shared" si="1"/>
        <v>axis</v>
      </c>
      <c r="F28">
        <f>COUNTIF(E$4:E28,E28)</f>
        <v>25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S28">
        <f t="shared" ca="1" si="0"/>
        <v>-64</v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127</v>
      </c>
      <c r="B29" t="s">
        <v>173</v>
      </c>
      <c r="E29" t="str">
        <f t="shared" si="1"/>
        <v>axis</v>
      </c>
      <c r="F29">
        <f>COUNTIF(E$4:E29,E29)</f>
        <v>26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S29">
        <f t="shared" ca="1" si="0"/>
        <v>-64</v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A30" t="s">
        <v>148</v>
      </c>
      <c r="B30" t="s">
        <v>174</v>
      </c>
      <c r="E30" t="str">
        <f t="shared" si="1"/>
        <v>axis</v>
      </c>
      <c r="F30">
        <f>COUNTIF(E$4:E30,E30)</f>
        <v>27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S30">
        <f t="shared" ca="1" si="0"/>
        <v>-64</v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1"/>
        <v>axis</v>
      </c>
      <c r="F31">
        <f>COUNTIF(E$4:E31,E31)</f>
        <v>28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S31">
        <f t="shared" ca="1" si="0"/>
        <v>-64</v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1"/>
        <v>axis</v>
      </c>
      <c r="F32">
        <f>COUNTIF(E$4:E32,E32)</f>
        <v>29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S32">
        <f t="shared" ca="1" si="0"/>
        <v>-64</v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1:37" x14ac:dyDescent="0.55000000000000004">
      <c r="E33" t="str">
        <f t="shared" si="1"/>
        <v>axis</v>
      </c>
      <c r="F33">
        <f>COUNTIF(E$4:E33,E33)</f>
        <v>30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S33">
        <f t="shared" ca="1" si="0"/>
        <v>-64</v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1:37" x14ac:dyDescent="0.55000000000000004">
      <c r="E34" t="str">
        <f t="shared" si="1"/>
        <v>axis</v>
      </c>
      <c r="F34">
        <f>COUNTIF(E$4:E34,E34)</f>
        <v>31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S34">
        <f t="shared" ca="1" si="0"/>
        <v>-64</v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1:37" x14ac:dyDescent="0.55000000000000004">
      <c r="E35" t="str">
        <f t="shared" si="1"/>
        <v>axis</v>
      </c>
      <c r="F35">
        <f>COUNTIF(E$4:E35,E35)</f>
        <v>32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S35">
        <f t="shared" ca="1" si="0"/>
        <v>-64</v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1:37" x14ac:dyDescent="0.55000000000000004">
      <c r="E36" t="str">
        <f t="shared" si="1"/>
        <v>axis</v>
      </c>
      <c r="F36">
        <f>COUNTIF(E$4:E36,E36)</f>
        <v>33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S36">
        <f t="shared" ca="1" si="0"/>
        <v>-64</v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1:37" x14ac:dyDescent="0.55000000000000004">
      <c r="E37" t="str">
        <f t="shared" si="1"/>
        <v>axis</v>
      </c>
      <c r="F37">
        <f>COUNTIF(E$4:E37,E37)</f>
        <v>34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S37">
        <f t="shared" ca="1" si="0"/>
        <v>-64</v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1:37" x14ac:dyDescent="0.55000000000000004">
      <c r="E38" t="str">
        <f t="shared" si="1"/>
        <v>axis</v>
      </c>
      <c r="F38">
        <f>COUNTIF(E$4:E38,E38)</f>
        <v>35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S38">
        <f t="shared" ca="1" si="0"/>
        <v>-64</v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1:37" x14ac:dyDescent="0.55000000000000004">
      <c r="E39" t="str">
        <f t="shared" si="1"/>
        <v>axis</v>
      </c>
      <c r="F39">
        <f>COUNTIF(E$4:E39,E39)</f>
        <v>36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S39">
        <f t="shared" ca="1" si="0"/>
        <v>-64</v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1:37" x14ac:dyDescent="0.55000000000000004">
      <c r="E40" t="str">
        <f t="shared" si="1"/>
        <v>axis</v>
      </c>
      <c r="F40">
        <f>COUNTIF(E$4:E40,E40)</f>
        <v>37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S40">
        <f t="shared" ca="1" si="0"/>
        <v>-64</v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1:37" x14ac:dyDescent="0.55000000000000004">
      <c r="E41" t="str">
        <f t="shared" si="1"/>
        <v>axis</v>
      </c>
      <c r="F41">
        <f>COUNTIF(E$4:E41,E41)</f>
        <v>38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S41">
        <f t="shared" ca="1" si="0"/>
        <v>-64</v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1:37" x14ac:dyDescent="0.55000000000000004">
      <c r="E42" t="str">
        <f t="shared" si="1"/>
        <v>axis</v>
      </c>
      <c r="F42">
        <f>COUNTIF(E$4:E42,E42)</f>
        <v>39</v>
      </c>
      <c r="G42" t="str">
        <v/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S42">
        <f t="shared" ca="1" si="0"/>
        <v>-64</v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</row>
    <row r="43" spans="1:37" x14ac:dyDescent="0.55000000000000004">
      <c r="E43" t="str">
        <f t="shared" si="1"/>
        <v>axis</v>
      </c>
      <c r="F43">
        <f>COUNTIF(E$4:E43,E43)</f>
        <v>40</v>
      </c>
      <c r="G43" t="str">
        <v>●</v>
      </c>
      <c r="H43" t="str">
        <v/>
      </c>
      <c r="I43" t="str">
        <f ca="1"/>
        <v/>
      </c>
      <c r="J43" t="str">
        <f ca="1"/>
        <v/>
      </c>
      <c r="L43" t="str">
        <f ca="1"/>
        <v/>
      </c>
      <c r="M43" t="str">
        <v/>
      </c>
      <c r="N43" t="str">
        <v/>
      </c>
      <c r="O43" t="str">
        <f ca="1"/>
        <v/>
      </c>
      <c r="P43" t="str">
        <f ca="1"/>
        <v/>
      </c>
      <c r="S43">
        <f t="shared" ca="1" si="0"/>
        <v>-64</v>
      </c>
      <c r="X43" t="str">
        <f ca="1"/>
        <v/>
      </c>
      <c r="Y43" t="str">
        <f ca="1"/>
        <v/>
      </c>
      <c r="Z43" t="str">
        <f ca="1"/>
        <v/>
      </c>
      <c r="AA43" t="str">
        <f ca="1"/>
        <v/>
      </c>
      <c r="AB43" t="str">
        <f ca="1"/>
        <v/>
      </c>
      <c r="AC43" t="str">
        <f ca="1"/>
        <v/>
      </c>
      <c r="AD43" t="str">
        <f ca="1"/>
        <v/>
      </c>
      <c r="AE43" t="str">
        <f ca="1"/>
        <v/>
      </c>
      <c r="AF43" t="str">
        <f ca="1"/>
        <v/>
      </c>
      <c r="AG43" t="str">
        <f ca="1"/>
        <v/>
      </c>
      <c r="AH43" t="str">
        <f ca="1"/>
        <v/>
      </c>
      <c r="AI43" t="str">
        <f ca="1"/>
        <v/>
      </c>
      <c r="AJ43" t="str">
        <f ca="1"/>
        <v xml:space="preserve">
	ELSE
		uiErrCode	:= 2;
	END_IF;</v>
      </c>
      <c r="AK43" t="str">
        <f ca="1"/>
        <v xml:space="preserve">
	ELSE
		uiErrCode	:= 2;
	END_IF;</v>
      </c>
    </row>
    <row r="44" spans="1:37" x14ac:dyDescent="0.55000000000000004">
      <c r="A44" t="s">
        <v>294</v>
      </c>
      <c r="B44">
        <f>info_index!B3</f>
        <v>64</v>
      </c>
      <c r="E44" t="s">
        <v>98</v>
      </c>
      <c r="F44">
        <f>COUNTIF(E$4:E44,E44)</f>
        <v>1</v>
      </c>
      <c r="G44" t="str">
        <v/>
      </c>
      <c r="H44">
        <v>48</v>
      </c>
      <c r="I44" t="str">
        <f ca="1"/>
        <v>Workpiece Discharge F/B</v>
      </c>
      <c r="J44" t="str">
        <f ca="1"/>
        <v>Workpiece Discharge F/B</v>
      </c>
      <c r="L44" t="str">
        <f ca="1"/>
        <v>【EC1】 Workpiece Discharge F/B</v>
      </c>
      <c r="M44" t="str">
        <v>EC-S4HR-200-7-ML-TMD2</v>
      </c>
      <c r="N44" t="str">
        <v>EC-S4HR-200-7-ML-TMD2</v>
      </c>
      <c r="O44" t="str">
        <f ca="1"/>
        <v>IAI</v>
      </c>
      <c r="P44" t="str">
        <f ca="1"/>
        <v>IAI</v>
      </c>
      <c r="S44">
        <f t="shared" ca="1" si="0"/>
        <v>-33</v>
      </c>
      <c r="X44" t="str">
        <f ca="1"/>
        <v xml:space="preserve">
//EC</v>
      </c>
      <c r="Y44" t="str">
        <f ca="1"/>
        <v xml:space="preserve">
//EC
ELSIF strInfoType = 'EC' THEN</v>
      </c>
      <c r="Z44" t="str">
        <f ca="1"/>
        <v xml:space="preserve">
//EC
ELSIF strInfoType = 'EC' THEN
	//Workpiece Discharge F/B
	IF uiInfoIdx = 1 THEN</v>
      </c>
      <c r="AA44" t="str">
        <f ca="1"/>
        <v xml:space="preserve">
//EC
ELSIF strInfoType = 'EC' THEN
	//Workpiece Discharge F/B
	IF uiInfoIdx = 1 THEN
		IF strInfoKey = 'name' THEN</v>
      </c>
      <c r="AB44" t="str">
        <f ca="1"/>
        <v xml:space="preserve">
//EC
ELSIF strInfoType = 'EC' THEN
	//Workpiece Discharge F/B
	IF uiInfoIdx = 1 THEN
		IF strInfoKey = 'name' THEN
			strRt	:= 'Workpiece Discharge F/B';</v>
      </c>
      <c r="AC44" t="str">
        <f ca="1"/>
        <v xml:space="preserve">
//EC
ELSIF strInfoType = 'EC' THEN
	//Workpiece Discharge F/B
	IF uiInfoIdx = 1 THEN
		IF strInfoKey = 'name' THEN
			strRt	:= 'Workpiece Discharge F/B';
		ELSIF strInfoKey = 'index_name' THEN</v>
      </c>
      <c r="AD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</v>
      </c>
      <c r="AE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</v>
      </c>
      <c r="AF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</v>
      </c>
      <c r="AG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</v>
      </c>
      <c r="AH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</v>
      </c>
      <c r="AI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</v>
      </c>
      <c r="AJ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</v>
      </c>
      <c r="AK44" t="str">
        <f ca="1"/>
        <v xml:space="preserve">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</v>
      </c>
    </row>
    <row r="45" spans="1:37" x14ac:dyDescent="0.55000000000000004">
      <c r="E45" t="str">
        <f t="shared" si="1"/>
        <v>EC</v>
      </c>
      <c r="F45">
        <f>COUNTIF(E$4:E45,E45)</f>
        <v>2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S45">
        <f t="shared" ca="1" si="0"/>
        <v>-64</v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1:37" x14ac:dyDescent="0.55000000000000004">
      <c r="E46" t="str">
        <f t="shared" si="1"/>
        <v>EC</v>
      </c>
      <c r="F46">
        <f>COUNTIF(E$4:E46,E46)</f>
        <v>3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S46">
        <f t="shared" ca="1" si="0"/>
        <v>-64</v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1:37" x14ac:dyDescent="0.55000000000000004">
      <c r="E47" t="str">
        <f t="shared" si="1"/>
        <v>EC</v>
      </c>
      <c r="F47">
        <f>COUNTIF(E$4:E47,E47)</f>
        <v>4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S47">
        <f t="shared" ca="1" si="0"/>
        <v>-64</v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1:37" x14ac:dyDescent="0.55000000000000004">
      <c r="E48" t="str">
        <f t="shared" si="1"/>
        <v>EC</v>
      </c>
      <c r="F48">
        <f>COUNTIF(E$4:E48,E48)</f>
        <v>5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S48">
        <f t="shared" ca="1" si="0"/>
        <v>-64</v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1"/>
        <v>EC</v>
      </c>
      <c r="F49">
        <f>COUNTIF(E$4:E49,E49)</f>
        <v>6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S49">
        <f t="shared" ca="1" si="0"/>
        <v>-64</v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1"/>
        <v>EC</v>
      </c>
      <c r="F50">
        <f>COUNTIF(E$4:E50,E50)</f>
        <v>7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S50">
        <f t="shared" ca="1" si="0"/>
        <v>-64</v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1"/>
        <v>EC</v>
      </c>
      <c r="F51">
        <f>COUNTIF(E$4:E51,E51)</f>
        <v>8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S51">
        <f t="shared" ca="1" si="0"/>
        <v>-64</v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1"/>
        <v>EC</v>
      </c>
      <c r="F52">
        <f>COUNTIF(E$4:E52,E52)</f>
        <v>9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S52">
        <f t="shared" ca="1" si="0"/>
        <v>-64</v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1"/>
        <v>EC</v>
      </c>
      <c r="F53">
        <f>COUNTIF(E$4:E53,E53)</f>
        <v>10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S53">
        <f t="shared" ca="1" si="0"/>
        <v>-64</v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1"/>
        <v>EC</v>
      </c>
      <c r="F54">
        <f>COUNTIF(E$4:E54,E54)</f>
        <v>11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S54">
        <f t="shared" ca="1" si="0"/>
        <v>-64</v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1"/>
        <v>EC</v>
      </c>
      <c r="F55">
        <f>COUNTIF(E$4:E55,E55)</f>
        <v>12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S55">
        <f t="shared" ca="1" si="0"/>
        <v>-64</v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1"/>
        <v>EC</v>
      </c>
      <c r="F56">
        <f>COUNTIF(E$4:E56,E56)</f>
        <v>13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S56">
        <f t="shared" ca="1" si="0"/>
        <v>-64</v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1"/>
        <v>EC</v>
      </c>
      <c r="F57">
        <f>COUNTIF(E$4:E57,E57)</f>
        <v>14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S57">
        <f t="shared" ca="1" si="0"/>
        <v>-64</v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1"/>
        <v>EC</v>
      </c>
      <c r="F58">
        <f>COUNTIF(E$4:E58,E58)</f>
        <v>15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S58">
        <f t="shared" ca="1" si="0"/>
        <v>-64</v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1"/>
        <v>EC</v>
      </c>
      <c r="F59">
        <f>COUNTIF(E$4:E59,E59)</f>
        <v>16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S59">
        <f t="shared" ca="1" si="0"/>
        <v>-64</v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1"/>
        <v>EC</v>
      </c>
      <c r="F60">
        <f>COUNTIF(E$4:E60,E60)</f>
        <v>17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S60">
        <f t="shared" ca="1" si="0"/>
        <v>-64</v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1"/>
        <v>EC</v>
      </c>
      <c r="F61">
        <f>COUNTIF(E$4:E61,E61)</f>
        <v>18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S61">
        <f t="shared" ca="1" si="0"/>
        <v>-64</v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1"/>
        <v>EC</v>
      </c>
      <c r="F62">
        <f>COUNTIF(E$4:E62,E62)</f>
        <v>19</v>
      </c>
      <c r="G62" t="str">
        <v/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S62">
        <f t="shared" ca="1" si="0"/>
        <v>-64</v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</row>
    <row r="63" spans="5:37" x14ac:dyDescent="0.55000000000000004">
      <c r="E63" t="str">
        <f t="shared" si="1"/>
        <v>EC</v>
      </c>
      <c r="F63">
        <f>COUNTIF(E$4:E63,E63)</f>
        <v>20</v>
      </c>
      <c r="G63" t="str">
        <v>●</v>
      </c>
      <c r="H63" t="str">
        <v/>
      </c>
      <c r="I63" t="str">
        <f ca="1"/>
        <v/>
      </c>
      <c r="J63" t="str">
        <f ca="1"/>
        <v/>
      </c>
      <c r="L63" t="str">
        <f ca="1"/>
        <v/>
      </c>
      <c r="M63" t="str">
        <v/>
      </c>
      <c r="N63" t="str">
        <v/>
      </c>
      <c r="O63" t="str">
        <f ca="1"/>
        <v/>
      </c>
      <c r="P63" t="str">
        <f ca="1"/>
        <v/>
      </c>
      <c r="S63">
        <f t="shared" ca="1" si="0"/>
        <v>-64</v>
      </c>
      <c r="X63" t="str">
        <f ca="1"/>
        <v/>
      </c>
      <c r="Y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 xml:space="preserve">
	ELSE
		uiErrCode	:= 2;
	END_IF;</v>
      </c>
      <c r="AK63" t="str">
        <f ca="1"/>
        <v xml:space="preserve">
	ELSE
		uiErrCode	:= 2;
	END_IF;</v>
      </c>
    </row>
    <row r="64" spans="5:37" x14ac:dyDescent="0.55000000000000004">
      <c r="E64" t="s">
        <v>94</v>
      </c>
      <c r="F64">
        <f>COUNTIF(E$4:E64,E64)</f>
        <v>1</v>
      </c>
      <c r="G64" t="str">
        <v/>
      </c>
      <c r="H64">
        <v>25</v>
      </c>
      <c r="I64" t="str">
        <f ca="1"/>
        <v>Winding Spindle Center Forward/Backward</v>
      </c>
      <c r="J64" t="str">
        <f ca="1"/>
        <v>Winding Spindle Center Forward/Backward</v>
      </c>
      <c r="L64" t="str">
        <f ca="1"/>
        <v>【cylinder1】 Winding Spindle Center Forward/Backward</v>
      </c>
      <c r="M64" t="str">
        <v>CDQ2A63-200DCZ-M9BVZ</v>
      </c>
      <c r="N64" t="str">
        <v>CDQ2A63-200DCZ-M9BVZ</v>
      </c>
      <c r="O64" t="str">
        <f ca="1"/>
        <v>SMC</v>
      </c>
      <c r="P64" t="str">
        <f ca="1"/>
        <v>SMC</v>
      </c>
      <c r="S64">
        <f t="shared" ca="1" si="0"/>
        <v>-11</v>
      </c>
      <c r="X64" t="str">
        <f ca="1"/>
        <v xml:space="preserve">
//cylinder</v>
      </c>
      <c r="Y64" t="str">
        <f ca="1"/>
        <v xml:space="preserve">
//cylinder
ELSIF strInfoType = 'cylinder' THEN</v>
      </c>
      <c r="Z64" t="str">
        <f ca="1"/>
        <v xml:space="preserve">
//cylinder
ELSIF strInfoType = 'cylinder' THEN
	//Winding Spindle Center Forward/Backward
	IF uiInfoIdx = 1 THEN</v>
      </c>
      <c r="AA64" t="str">
        <f ca="1"/>
        <v xml:space="preserve">
//cylinder
ELSIF strInfoType = 'cylinder' THEN
	//Winding Spindle Center Forward/Backward
	IF uiInfoIdx = 1 THEN
		IF strInfoKey = 'name' THEN</v>
      </c>
      <c r="AB64" t="str">
        <f ca="1"/>
        <v xml:space="preserve">
//cylinder
ELSIF strInfoType = 'cylinder' THEN
	//Winding Spindle Center Forward/Backward
	IF uiInfoIdx = 1 THEN
		IF strInfoKey = 'name' THEN
			strRt	:= 'Winding Spindle Center Forward/Backward';</v>
      </c>
      <c r="AC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</v>
      </c>
      <c r="AD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</v>
      </c>
      <c r="AE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</v>
      </c>
      <c r="AF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</v>
      </c>
      <c r="AG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
		ELSIF strInfoKey = 'mf' THEN</v>
      </c>
      <c r="AH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
		ELSIF strInfoKey = 'mf' THEN
			strRt	:= 'SMC';</v>
      </c>
      <c r="AI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
		ELSIF strInfoKey = 'mf' THEN
			strRt	:= 'SMC';
		ELSE
			uiErrCode	:= 3;
		END_IF;</v>
      </c>
      <c r="AJ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
		ELSIF strInfoKey = 'mf' THEN
			strRt	:= 'SMC';
		ELSE
			uiErrCode	:= 3;
		END_IF;</v>
      </c>
      <c r="AK64" t="str">
        <f ca="1"/>
        <v xml:space="preserve">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
		ELSIF strInfoKey = 'mf' THEN
			strRt	:= 'SMC';
		ELSE
			uiErrCode	:= 3;
		END_IF;</v>
      </c>
    </row>
    <row r="65" spans="5:37" x14ac:dyDescent="0.55000000000000004">
      <c r="E65" t="str">
        <f t="shared" si="1"/>
        <v>cylinder</v>
      </c>
      <c r="F65">
        <f>COUNTIF(E$4:E65,E65)</f>
        <v>2</v>
      </c>
      <c r="G65" t="str">
        <v/>
      </c>
      <c r="H65">
        <v>26</v>
      </c>
      <c r="I65" t="str">
        <f ca="1"/>
        <v>T-Roll Gluing Lower Roll</v>
      </c>
      <c r="J65" t="str">
        <f ca="1"/>
        <v>T-Roll Gluing Lower Roll</v>
      </c>
      <c r="L65" t="str">
        <f ca="1"/>
        <v>【cylinder2】 T-Roll Gluing Lower Roll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S65">
        <f t="shared" ca="1" si="0"/>
        <v>-26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Lower Roll
	ELSIF uiInfoIdx = 2 THEN</v>
      </c>
      <c r="AA65" t="str">
        <f ca="1"/>
        <v xml:space="preserve">
	//T-Roll Gluing Lower Roll
	ELSIF uiInfoIdx = 2 THEN
		IF strInfoKey = 'name' THEN</v>
      </c>
      <c r="AB65" t="str">
        <f ca="1"/>
        <v xml:space="preserve">
	//T-Roll Gluing Lower Roll
	ELSIF uiInfoIdx = 2 THEN
		IF strInfoKey = 'name' THEN
			strRt	:= 'T-Roll Gluing Lower Roll';</v>
      </c>
      <c r="AC65" t="str">
        <f ca="1"/>
        <v xml:space="preserve">
	//T-Roll Gluing Lower Roll
	ELSIF uiInfoIdx = 2 THEN
		IF strInfoKey = 'name' THEN
			strRt	:= 'T-Roll Gluing Lower Roll';
		ELSIF strInfoKey = 'index_name' THEN</v>
      </c>
      <c r="AD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</v>
      </c>
      <c r="AE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</v>
      </c>
      <c r="AF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</v>
      </c>
      <c r="AG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</v>
      </c>
      <c r="AH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</v>
      </c>
      <c r="AI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</v>
      </c>
      <c r="AJ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</v>
      </c>
      <c r="AK65" t="str">
        <f ca="1"/>
        <v xml:space="preserve">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1"/>
        <v>cylinder</v>
      </c>
      <c r="F66">
        <f>COUNTIF(E$4:E66,E66)</f>
        <v>3</v>
      </c>
      <c r="G66" t="str">
        <v/>
      </c>
      <c r="H66">
        <v>27</v>
      </c>
      <c r="I66" t="str">
        <f ca="1"/>
        <v>T-Roll Gluing Upper Roll</v>
      </c>
      <c r="J66" t="str">
        <f ca="1"/>
        <v>T-Roll Gluing Upper Roll</v>
      </c>
      <c r="L66" t="str">
        <f ca="1"/>
        <v>【cylinder3】 T-Roll Gluing Upper Roll</v>
      </c>
      <c r="M66" t="str">
        <v>CDAS16×10-B-R</v>
      </c>
      <c r="N66" t="str">
        <v>CDAS16×10-B-R</v>
      </c>
      <c r="O66" t="str">
        <f ca="1"/>
        <v/>
      </c>
      <c r="P66" t="str">
        <f ca="1"/>
        <v>unknown</v>
      </c>
      <c r="S66">
        <f t="shared" ca="1" si="0"/>
        <v>-26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//T-Roll Gluing Upper Roll
	ELSIF uiInfoIdx = 3 THEN</v>
      </c>
      <c r="AA66" t="str">
        <f ca="1"/>
        <v xml:space="preserve">
	//T-Roll Gluing Upper Roll
	ELSIF uiInfoIdx = 3 THEN
		IF strInfoKey = 'name' THEN</v>
      </c>
      <c r="AB66" t="str">
        <f ca="1"/>
        <v xml:space="preserve">
	//T-Roll Gluing Upper Roll
	ELSIF uiInfoIdx = 3 THEN
		IF strInfoKey = 'name' THEN
			strRt	:= 'T-Roll Gluing Upper Roll';</v>
      </c>
      <c r="AC66" t="str">
        <f ca="1"/>
        <v xml:space="preserve">
	//T-Roll Gluing Upper Roll
	ELSIF uiInfoIdx = 3 THEN
		IF strInfoKey = 'name' THEN
			strRt	:= 'T-Roll Gluing Upper Roll';
		ELSIF strInfoKey = 'index_name' THEN</v>
      </c>
      <c r="AD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</v>
      </c>
      <c r="AE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</v>
      </c>
      <c r="AF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</v>
      </c>
      <c r="AG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</v>
      </c>
      <c r="AH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</v>
      </c>
      <c r="AI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</v>
      </c>
      <c r="AJ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</v>
      </c>
      <c r="AK66" t="str">
        <f ca="1"/>
        <v xml:space="preserve">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</v>
      </c>
    </row>
    <row r="67" spans="5:37" x14ac:dyDescent="0.55000000000000004">
      <c r="E67" t="str">
        <f t="shared" si="1"/>
        <v>cylinder</v>
      </c>
      <c r="F67">
        <f>COUNTIF(E$4:E67,E67)</f>
        <v>4</v>
      </c>
      <c r="G67" t="str">
        <v/>
      </c>
      <c r="H67">
        <v>28</v>
      </c>
      <c r="I67" t="str">
        <f ca="1"/>
        <v>Flat Sheet Support Plate</v>
      </c>
      <c r="J67" t="str">
        <f ca="1"/>
        <v>Flat Sheet Support Plate</v>
      </c>
      <c r="L67" t="str">
        <f ca="1"/>
        <v>【cylinder4】 Flat Sheet Support Plate</v>
      </c>
      <c r="M67" t="str">
        <v>CDJ2D16-45Z-W-M9BWZ-B</v>
      </c>
      <c r="N67" t="str">
        <v>CDJ2D16-45Z-W-M9BWZ-B</v>
      </c>
      <c r="O67" t="str">
        <f ca="1"/>
        <v>SMC</v>
      </c>
      <c r="P67" t="str">
        <f ca="1"/>
        <v>SMC</v>
      </c>
      <c r="S67">
        <f t="shared" ca="1" si="0"/>
        <v>-26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Support Plate
	ELSIF uiInfoIdx = 4 THEN</v>
      </c>
      <c r="AA67" t="str">
        <f ca="1"/>
        <v xml:space="preserve">
	//Flat Sheet Support Plate
	ELSIF uiInfoIdx = 4 THEN
		IF strInfoKey = 'name' THEN</v>
      </c>
      <c r="AB67" t="str">
        <f ca="1"/>
        <v xml:space="preserve">
	//Flat Sheet Support Plate
	ELSIF uiInfoIdx = 4 THEN
		IF strInfoKey = 'name' THEN
			strRt	:= 'Flat Sheet Support Plate';</v>
      </c>
      <c r="AC67" t="str">
        <f ca="1"/>
        <v xml:space="preserve">
	//Flat Sheet Support Plate
	ELSIF uiInfoIdx = 4 THEN
		IF strInfoKey = 'name' THEN
			strRt	:= 'Flat Sheet Support Plate';
		ELSIF strInfoKey = 'index_name' THEN</v>
      </c>
      <c r="AD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</v>
      </c>
      <c r="AE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</v>
      </c>
      <c r="AF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</v>
      </c>
      <c r="AG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</v>
      </c>
      <c r="AH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</v>
      </c>
      <c r="AI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</v>
      </c>
      <c r="AJ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</v>
      </c>
      <c r="AK67" t="str">
        <f ca="1"/>
        <v xml:space="preserve">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</v>
      </c>
    </row>
    <row r="68" spans="5:37" x14ac:dyDescent="0.55000000000000004">
      <c r="E68" t="str">
        <f t="shared" si="1"/>
        <v>cylinder</v>
      </c>
      <c r="F68">
        <f>COUNTIF(E$4:E68,E68)</f>
        <v>5</v>
      </c>
      <c r="G68" t="str">
        <v/>
      </c>
      <c r="H68">
        <v>29</v>
      </c>
      <c r="I68" t="str">
        <f ca="1"/>
        <v>Flat Sheet Chuck (Hand) Forward/Backward</v>
      </c>
      <c r="J68" t="str">
        <f ca="1"/>
        <v>Flat Sheet Chuck (Hand) Forward/Backward</v>
      </c>
      <c r="L68" t="str">
        <f ca="1"/>
        <v>【cylinder5】 Flat Sheet Chuck (Hand) Forward/Backward</v>
      </c>
      <c r="M68" t="str">
        <v>MXQ20-50A-M9BZ</v>
      </c>
      <c r="N68" t="str">
        <v>MXQ20-50A-M9BZ</v>
      </c>
      <c r="O68" t="str">
        <f ca="1"/>
        <v>SMC</v>
      </c>
      <c r="P68" t="str">
        <f ca="1"/>
        <v>SMC</v>
      </c>
      <c r="S68">
        <f t="shared" ca="1" si="0"/>
        <v>-10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(Hand) Forward/Backward
	ELSIF uiInfoIdx = 5 THEN</v>
      </c>
      <c r="AA68" t="str">
        <f ca="1"/>
        <v xml:space="preserve">
	//Flat Sheet Chuck (Hand) Forward/Backward
	ELSIF uiInfoIdx = 5 THEN
		IF strInfoKey = 'name' THEN</v>
      </c>
      <c r="AB68" t="str">
        <f ca="1"/>
        <v xml:space="preserve">
	//Flat Sheet Chuck (Hand) Forward/Backward
	ELSIF uiInfoIdx = 5 THEN
		IF strInfoKey = 'name' THEN
			strRt	:= 'Flat Sheet Chuck (Hand) Forward/Backward';</v>
      </c>
      <c r="AC68" t="str">
        <f ca="1"/>
        <v xml:space="preserve">
	//Flat Sheet Chuck (Hand) Forward/Backward
	ELSIF uiInfoIdx = 5 THEN
		IF strInfoKey = 'name' THEN
			strRt	:= 'Flat Sheet Chuck (Hand) Forward/Backward';
		ELSIF strInfoKey = 'index_name' THEN</v>
      </c>
      <c r="AD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</v>
      </c>
      <c r="AE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</v>
      </c>
      <c r="AF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</v>
      </c>
      <c r="AG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</v>
      </c>
      <c r="AH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</v>
      </c>
      <c r="AI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J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K68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</row>
    <row r="69" spans="5:37" x14ac:dyDescent="0.55000000000000004">
      <c r="E69" t="str">
        <f t="shared" si="1"/>
        <v>cylinder</v>
      </c>
      <c r="F69">
        <f>COUNTIF(E$4:E69,E69)</f>
        <v>6</v>
      </c>
      <c r="G69" t="str">
        <v/>
      </c>
      <c r="H69">
        <v>30</v>
      </c>
      <c r="I69" t="str">
        <f ca="1"/>
        <v>Flat Sheet Chuck Open/Close</v>
      </c>
      <c r="J69" t="str">
        <f ca="1"/>
        <v>Flat Sheet Chuck Open/Close</v>
      </c>
      <c r="L69" t="str">
        <f ca="1"/>
        <v>【cylinder6】 Flat Sheet Chuck Open/Close</v>
      </c>
      <c r="M69" t="str">
        <v>MHF2-16D1-M9BL-X83C1</v>
      </c>
      <c r="N69" t="str">
        <v>MHF2-16D1-M9BL-X83C1</v>
      </c>
      <c r="O69" t="str">
        <f ca="1"/>
        <v>SMC</v>
      </c>
      <c r="P69" t="str">
        <f ca="1"/>
        <v>SMC</v>
      </c>
      <c r="S69">
        <f t="shared" ref="S69:S132" ca="1" si="2">LENB(L69)-$B$44</f>
        <v>-23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Chuck Open/Close
	ELSIF uiInfoIdx = 6 THEN</v>
      </c>
      <c r="AA69" t="str">
        <f ca="1"/>
        <v xml:space="preserve">
	//Flat Sheet Chuck Open/Close
	ELSIF uiInfoIdx = 6 THEN
		IF strInfoKey = 'name' THEN</v>
      </c>
      <c r="AB69" t="str">
        <f ca="1"/>
        <v xml:space="preserve">
	//Flat Sheet Chuck Open/Close
	ELSIF uiInfoIdx = 6 THEN
		IF strInfoKey = 'name' THEN
			strRt	:= 'Flat Sheet Chuck Open/Close';</v>
      </c>
      <c r="AC69" t="str">
        <f ca="1"/>
        <v xml:space="preserve">
	//Flat Sheet Chuck Open/Close
	ELSIF uiInfoIdx = 6 THEN
		IF strInfoKey = 'name' THEN
			strRt	:= 'Flat Sheet Chuck Open/Close';
		ELSIF strInfoKey = 'index_name' THEN</v>
      </c>
      <c r="AD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9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70" spans="5:37" x14ac:dyDescent="0.55000000000000004">
      <c r="E70" t="str">
        <f t="shared" ref="E70:E133" si="3">E69</f>
        <v>cylinder</v>
      </c>
      <c r="F70">
        <f>COUNTIF(E$4:E70,E70)</f>
        <v>7</v>
      </c>
      <c r="G70" t="str">
        <v/>
      </c>
      <c r="H70">
        <v>31</v>
      </c>
      <c r="I70" t="str">
        <f ca="1"/>
        <v>Flat Sheet Clamp Up/Down</v>
      </c>
      <c r="J70" t="str">
        <f ca="1"/>
        <v>Flat Sheet Clamp Up/Down</v>
      </c>
      <c r="L70" t="str">
        <f ca="1"/>
        <v>【cylinder7】 Flat Sheet Clamp Up/Down</v>
      </c>
      <c r="M70" t="str">
        <v>CDQ2B25-20DZ-M9BVM</v>
      </c>
      <c r="N70" t="str">
        <v>CDQ2B25-20DZ-M9BVM</v>
      </c>
      <c r="O70" t="str">
        <f ca="1"/>
        <v>SMC</v>
      </c>
      <c r="P70" t="str">
        <f ca="1"/>
        <v>SMC</v>
      </c>
      <c r="S70">
        <f t="shared" ca="1" si="2"/>
        <v>-26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//Flat Sheet Clamp Up/Down
	ELSIF uiInfoIdx = 7 THEN</v>
      </c>
      <c r="AA70" t="str">
        <f ca="1"/>
        <v xml:space="preserve">
	//Flat Sheet Clamp Up/Down
	ELSIF uiInfoIdx = 7 THEN
		IF strInfoKey = 'name' THEN</v>
      </c>
      <c r="AB70" t="str">
        <f ca="1"/>
        <v xml:space="preserve">
	//Flat Sheet Clamp Up/Down
	ELSIF uiInfoIdx = 7 THEN
		IF strInfoKey = 'name' THEN
			strRt	:= 'Flat Sheet Clamp Up/Down';</v>
      </c>
      <c r="AC70" t="str">
        <f ca="1"/>
        <v xml:space="preserve">
	//Flat Sheet Clamp Up/Down
	ELSIF uiInfoIdx = 7 THEN
		IF strInfoKey = 'name' THEN
			strRt	:= 'Flat Sheet Clamp Up/Down';
		ELSIF strInfoKey = 'index_name' THEN</v>
      </c>
      <c r="AD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</v>
      </c>
      <c r="AE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</v>
      </c>
      <c r="AF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</v>
      </c>
      <c r="AG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</v>
      </c>
      <c r="AH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</v>
      </c>
      <c r="AI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</v>
      </c>
      <c r="AJ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</v>
      </c>
      <c r="AK70" t="str">
        <f ca="1"/>
        <v xml:space="preserve">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</v>
      </c>
    </row>
    <row r="71" spans="5:37" x14ac:dyDescent="0.55000000000000004">
      <c r="E71" t="str">
        <f t="shared" si="3"/>
        <v>cylinder</v>
      </c>
      <c r="F71">
        <f>COUNTIF(E$4:E71,E71)</f>
        <v>8</v>
      </c>
      <c r="G71" t="str">
        <v/>
      </c>
      <c r="H71">
        <v>32</v>
      </c>
      <c r="I71" t="str">
        <f ca="1"/>
        <v>Brazing Foil Clamp Up/Down</v>
      </c>
      <c r="J71" t="str">
        <f ca="1"/>
        <v>Brazing Foil Clamp Up/Down</v>
      </c>
      <c r="L71" t="str">
        <f ca="1"/>
        <v>【cylinder8】 Brazing Foil Clamp Up/Down</v>
      </c>
      <c r="M71" t="str">
        <v>CDQ2D25-20DMZ-M9BM</v>
      </c>
      <c r="N71" t="str">
        <v>CDQ2D25-20DMZ-M9BM</v>
      </c>
      <c r="O71" t="str">
        <f ca="1"/>
        <v>SMC</v>
      </c>
      <c r="P71" t="str">
        <f ca="1"/>
        <v>SMC</v>
      </c>
      <c r="S71">
        <f t="shared" ca="1" si="2"/>
        <v>-24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//Brazing Foil Clamp Up/Down
	ELSIF uiInfoIdx = 8 THEN</v>
      </c>
      <c r="AA71" t="str">
        <f ca="1"/>
        <v xml:space="preserve">
	//Brazing Foil Clamp Up/Down
	ELSIF uiInfoIdx = 8 THEN
		IF strInfoKey = 'name' THEN</v>
      </c>
      <c r="AB71" t="str">
        <f ca="1"/>
        <v xml:space="preserve">
	//Brazing Foil Clamp Up/Down
	ELSIF uiInfoIdx = 8 THEN
		IF strInfoKey = 'name' THEN
			strRt	:= 'Brazing Foil Clamp Up/Down';</v>
      </c>
      <c r="AC71" t="str">
        <f ca="1"/>
        <v xml:space="preserve">
	//Brazing Foil Clamp Up/Down
	ELSIF uiInfoIdx = 8 THEN
		IF strInfoKey = 'name' THEN
			strRt	:= 'Brazing Foil Clamp Up/Down';
		ELSIF strInfoKey = 'index_name' THEN</v>
      </c>
      <c r="AD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</v>
      </c>
      <c r="AE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
		ELSIF strInfoKey = 'model' THEN</v>
      </c>
      <c r="AF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</v>
      </c>
      <c r="AG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
		ELSIF strInfoKey = 'mf' THEN</v>
      </c>
      <c r="AH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
		ELSIF strInfoKey = 'mf' THEN
			strRt	:= 'SMC';</v>
      </c>
      <c r="AI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
		ELSIF strInfoKey = 'mf' THEN
			strRt	:= 'SMC';
		ELSE
			uiErrCode	:= 3;
		END_IF;</v>
      </c>
      <c r="AJ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
		ELSIF strInfoKey = 'mf' THEN
			strRt	:= 'SMC';
		ELSE
			uiErrCode	:= 3;
		END_IF;</v>
      </c>
      <c r="AK71" t="str">
        <f ca="1"/>
        <v xml:space="preserve">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
		ELSIF strInfoKey = 'mf' THEN
			strRt	:= 'SMC';
		ELSE
			uiErrCode	:= 3;
		END_IF;</v>
      </c>
    </row>
    <row r="72" spans="5:37" x14ac:dyDescent="0.55000000000000004">
      <c r="E72" t="str">
        <f t="shared" si="3"/>
        <v>cylinder</v>
      </c>
      <c r="F72">
        <f>COUNTIF(E$4:E72,E72)</f>
        <v>9</v>
      </c>
      <c r="G72" t="str">
        <v/>
      </c>
      <c r="H72">
        <v>33</v>
      </c>
      <c r="I72" t="str">
        <f ca="1"/>
        <v>Brazing Foil Cutter</v>
      </c>
      <c r="J72" t="str">
        <f ca="1"/>
        <v>Brazing Foil Cutter</v>
      </c>
      <c r="L72" t="str">
        <f ca="1"/>
        <v>【cylinder9】 Brazing Foil Cutter</v>
      </c>
      <c r="M72" t="str">
        <v>CDQSKB16-10DM-M9NWVZ</v>
      </c>
      <c r="N72" t="str">
        <v>CDQSKB16-10DM-M9NWVZ</v>
      </c>
      <c r="O72" t="str">
        <f ca="1"/>
        <v>SMC</v>
      </c>
      <c r="P72" t="str">
        <f ca="1"/>
        <v>SMC</v>
      </c>
      <c r="S72">
        <f t="shared" ca="1" si="2"/>
        <v>-31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//Brazing Foil Cutter
	ELSIF uiInfoIdx = 9 THEN</v>
      </c>
      <c r="AA72" t="str">
        <f ca="1"/>
        <v xml:space="preserve">
	//Brazing Foil Cutter
	ELSIF uiInfoIdx = 9 THEN
		IF strInfoKey = 'name' THEN</v>
      </c>
      <c r="AB72" t="str">
        <f ca="1"/>
        <v xml:space="preserve">
	//Brazing Foil Cutter
	ELSIF uiInfoIdx = 9 THEN
		IF strInfoKey = 'name' THEN
			strRt	:= 'Brazing Foil Cutter';</v>
      </c>
      <c r="AC72" t="str">
        <f ca="1"/>
        <v xml:space="preserve">
	//Brazing Foil Cutter
	ELSIF uiInfoIdx = 9 THEN
		IF strInfoKey = 'name' THEN
			strRt	:= 'Brazing Foil Cutter';
		ELSIF strInfoKey = 'index_name' THEN</v>
      </c>
      <c r="AD72" t="str">
        <f ca="1"/>
        <v xml:space="preserve">
	//Brazing Foil Cutter
	ELSIF uiInfoIdx = 9 THEN
		IF strInfoKey = 'name' THEN
			strRt	:= 'Brazing Foil Cutter';
		ELSIF strInfoKey = 'index_name' THEN
			strRt	:= '【cylinder9】 Brazing Foil Cutter';</v>
      </c>
      <c r="AE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</v>
      </c>
      <c r="AF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</v>
      </c>
      <c r="AG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</v>
      </c>
      <c r="AH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</v>
      </c>
      <c r="AI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</v>
      </c>
      <c r="AJ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</v>
      </c>
      <c r="AK72" t="str">
        <f ca="1"/>
        <v xml:space="preserve">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</v>
      </c>
    </row>
    <row r="73" spans="5:37" x14ac:dyDescent="0.55000000000000004">
      <c r="E73" t="str">
        <f t="shared" si="3"/>
        <v>cylinder</v>
      </c>
      <c r="F73">
        <f>COUNTIF(E$4:E73,E73)</f>
        <v>10</v>
      </c>
      <c r="G73" t="str">
        <v/>
      </c>
      <c r="H73">
        <v>34</v>
      </c>
      <c r="I73" t="str">
        <f ca="1"/>
        <v>Corrugated Sheet Clamp Up/Down</v>
      </c>
      <c r="J73" t="str">
        <f ca="1"/>
        <v>Corrugated Sheet Clamp Up/Down</v>
      </c>
      <c r="L73" t="str">
        <f ca="1"/>
        <v>【cylinder10】 Corrugated Sheet Clamp Up/Down</v>
      </c>
      <c r="M73" t="str">
        <v>CDQ2B25-20DZ-M9BVM</v>
      </c>
      <c r="N73" t="str">
        <v>CDQ2B25-20DZ-M9BVM</v>
      </c>
      <c r="O73" t="str">
        <f ca="1"/>
        <v>SMC</v>
      </c>
      <c r="P73" t="str">
        <f ca="1"/>
        <v>SMC</v>
      </c>
      <c r="S73">
        <f t="shared" ca="1" si="2"/>
        <v>-19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//Corrugated Sheet Clamp Up/Down
	ELSIF uiInfoIdx = 10 THEN</v>
      </c>
      <c r="AA73" t="str">
        <f ca="1"/>
        <v xml:space="preserve">
	//Corrugated Sheet Clamp Up/Down
	ELSIF uiInfoIdx = 10 THEN
		IF strInfoKey = 'name' THEN</v>
      </c>
      <c r="AB73" t="str">
        <f ca="1"/>
        <v xml:space="preserve">
	//Corrugated Sheet Clamp Up/Down
	ELSIF uiInfoIdx = 10 THEN
		IF strInfoKey = 'name' THEN
			strRt	:= 'Corrugated Sheet Clamp Up/Down';</v>
      </c>
      <c r="AC73" t="str">
        <f ca="1"/>
        <v xml:space="preserve">
	//Corrugated Sheet Clamp Up/Down
	ELSIF uiInfoIdx = 10 THEN
		IF strInfoKey = 'name' THEN
			strRt	:= 'Corrugated Sheet Clamp Up/Down';
		ELSIF strInfoKey = 'index_name' THEN</v>
      </c>
      <c r="AD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</v>
      </c>
      <c r="AE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
		ELSIF strInfoKey = 'model' THEN</v>
      </c>
      <c r="AF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</v>
      </c>
      <c r="AG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
		ELSIF strInfoKey = 'mf' THEN</v>
      </c>
      <c r="AH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
		ELSIF strInfoKey = 'mf' THEN
			strRt	:= 'SMC';</v>
      </c>
      <c r="AI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
		ELSIF strInfoKey = 'mf' THEN
			strRt	:= 'SMC';
		ELSE
			uiErrCode	:= 3;
		END_IF;</v>
      </c>
      <c r="AJ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
		ELSIF strInfoKey = 'mf' THEN
			strRt	:= 'SMC';
		ELSE
			uiErrCode	:= 3;
		END_IF;</v>
      </c>
      <c r="AK73" t="str">
        <f ca="1"/>
        <v xml:space="preserve">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
		ELSIF strInfoKey = 'mf' THEN
			strRt	:= 'SMC';
		ELSE
			uiErrCode	:= 3;
		END_IF;</v>
      </c>
    </row>
    <row r="74" spans="5:37" x14ac:dyDescent="0.55000000000000004">
      <c r="E74" t="str">
        <f t="shared" si="3"/>
        <v>cylinder</v>
      </c>
      <c r="F74">
        <f>COUNTIF(E$4:E74,E74)</f>
        <v>11</v>
      </c>
      <c r="G74" t="str">
        <v/>
      </c>
      <c r="H74">
        <v>35</v>
      </c>
      <c r="I74" t="str">
        <f ca="1"/>
        <v>Flat Sheet Cutter Blade Extend</v>
      </c>
      <c r="J74" t="str">
        <f ca="1"/>
        <v>Flat Sheet Cutter Blade Extend</v>
      </c>
      <c r="L74" t="str">
        <f ca="1"/>
        <v>【cylinder11】 Flat Sheet Cutter Blade Extend</v>
      </c>
      <c r="M74" t="str">
        <v>CD55B32-105-M9BZ</v>
      </c>
      <c r="N74" t="str">
        <v>CD55B32-105-M9BZ</v>
      </c>
      <c r="O74" t="str">
        <f ca="1"/>
        <v>SMC</v>
      </c>
      <c r="P74" t="str">
        <f ca="1"/>
        <v>SMC</v>
      </c>
      <c r="S74">
        <f t="shared" ca="1" si="2"/>
        <v>-19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Extend
	ELSIF uiInfoIdx = 11 THEN</v>
      </c>
      <c r="AA74" t="str">
        <f ca="1"/>
        <v xml:space="preserve">
	//Flat Sheet Cutter Blade Extend
	ELSIF uiInfoIdx = 11 THEN
		IF strInfoKey = 'name' THEN</v>
      </c>
      <c r="AB74" t="str">
        <f ca="1"/>
        <v xml:space="preserve">
	//Flat Sheet Cutter Blade Extend
	ELSIF uiInfoIdx = 11 THEN
		IF strInfoKey = 'name' THEN
			strRt	:= 'Flat Sheet Cutter Blade Extend';</v>
      </c>
      <c r="AC74" t="str">
        <f ca="1"/>
        <v xml:space="preserve">
	//Flat Sheet Cutter Blade Extend
	ELSIF uiInfoIdx = 11 THEN
		IF strInfoKey = 'name' THEN
			strRt	:= 'Flat Sheet Cutter Blade Extend';
		ELSIF strInfoKey = 'index_name' THEN</v>
      </c>
      <c r="AD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</v>
      </c>
      <c r="AE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</v>
      </c>
      <c r="AF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</v>
      </c>
      <c r="AG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</v>
      </c>
      <c r="AH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</v>
      </c>
      <c r="AI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</v>
      </c>
      <c r="AJ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</v>
      </c>
      <c r="AK74" t="str">
        <f ca="1"/>
        <v xml:space="preserve">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</v>
      </c>
    </row>
    <row r="75" spans="5:37" x14ac:dyDescent="0.55000000000000004">
      <c r="E75" t="str">
        <f t="shared" si="3"/>
        <v>cylinder</v>
      </c>
      <c r="F75">
        <f>COUNTIF(E$4:E75,E75)</f>
        <v>12</v>
      </c>
      <c r="G75" t="str">
        <v/>
      </c>
      <c r="H75">
        <v>36</v>
      </c>
      <c r="I75" t="str">
        <f ca="1"/>
        <v>Flat Sheet Cutter Blade Open/Close</v>
      </c>
      <c r="J75" t="str">
        <f ca="1"/>
        <v>Flat Sheet Cutter Blade Open/Close</v>
      </c>
      <c r="L75" t="str">
        <f ca="1"/>
        <v>【cylinder12】 Flat Sheet Cutter Blade Open/Close</v>
      </c>
      <c r="M75" t="str">
        <v>CDQ2B25-10DMZ-L-A93M</v>
      </c>
      <c r="N75" t="str">
        <v>CDQ2B25-10DMZ-L-A93M</v>
      </c>
      <c r="O75" t="str">
        <f ca="1"/>
        <v>SMC</v>
      </c>
      <c r="P75" t="str">
        <f ca="1"/>
        <v>SMC</v>
      </c>
      <c r="S75">
        <f t="shared" ca="1" si="2"/>
        <v>-15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//Flat Sheet Cutter Blade Open/Close
	ELSIF uiInfoIdx = 12 THEN</v>
      </c>
      <c r="AA75" t="str">
        <f ca="1"/>
        <v xml:space="preserve">
	//Flat Sheet Cutter Blade Open/Close
	ELSIF uiInfoIdx = 12 THEN
		IF strInfoKey = 'name' THEN</v>
      </c>
      <c r="AB75" t="str">
        <f ca="1"/>
        <v xml:space="preserve">
	//Flat Sheet Cutter Blade Open/Close
	ELSIF uiInfoIdx = 12 THEN
		IF strInfoKey = 'name' THEN
			strRt	:= 'Flat Sheet Cutter Blade Open/Close';</v>
      </c>
      <c r="AC75" t="str">
        <f ca="1"/>
        <v xml:space="preserve">
	//Flat Sheet Cutter Blade Open/Close
	ELSIF uiInfoIdx = 12 THEN
		IF strInfoKey = 'name' THEN
			strRt	:= 'Flat Sheet Cutter Blade Open/Close';
		ELSIF strInfoKey = 'index_name' THEN</v>
      </c>
      <c r="AD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5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6" spans="5:37" x14ac:dyDescent="0.55000000000000004">
      <c r="E76" t="str">
        <f t="shared" si="3"/>
        <v>cylinder</v>
      </c>
      <c r="F76">
        <f>COUNTIF(E$4:E76,E76)</f>
        <v>13</v>
      </c>
      <c r="G76" t="str">
        <v/>
      </c>
      <c r="H76">
        <v>37</v>
      </c>
      <c r="I76" t="str">
        <f ca="1"/>
        <v>Corrugated Sheet Cutter Blade Extend</v>
      </c>
      <c r="J76" t="str">
        <f ca="1"/>
        <v>Corrugated Sheet Cutter Blade Extend</v>
      </c>
      <c r="L76" t="str">
        <f ca="1"/>
        <v>【cylinder13】 Corrugated Sheet Cutter Blade Extend</v>
      </c>
      <c r="M76" t="str">
        <v>CD55B32-105-M9BZ</v>
      </c>
      <c r="N76" t="str">
        <v>CD55B32-105-M9BZ</v>
      </c>
      <c r="O76" t="str">
        <f ca="1"/>
        <v>SMC</v>
      </c>
      <c r="P76" t="str">
        <f ca="1"/>
        <v>SMC</v>
      </c>
      <c r="S76">
        <f t="shared" ca="1" si="2"/>
        <v>-13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Extend
	ELSIF uiInfoIdx = 13 THEN</v>
      </c>
      <c r="AA76" t="str">
        <f ca="1"/>
        <v xml:space="preserve">
	//Corrugated Sheet Cutter Blade Extend
	ELSIF uiInfoIdx = 13 THEN
		IF strInfoKey = 'name' THEN</v>
      </c>
      <c r="AB76" t="str">
        <f ca="1"/>
        <v xml:space="preserve">
	//Corrugated Sheet Cutter Blade Extend
	ELSIF uiInfoIdx = 13 THEN
		IF strInfoKey = 'name' THEN
			strRt	:= 'Corrugated Sheet Cutter Blade Extend';</v>
      </c>
      <c r="AC76" t="str">
        <f ca="1"/>
        <v xml:space="preserve">
	//Corrugated Sheet Cutter Blade Extend
	ELSIF uiInfoIdx = 13 THEN
		IF strInfoKey = 'name' THEN
			strRt	:= 'Corrugated Sheet Cutter Blade Extend';
		ELSIF strInfoKey = 'index_name' THEN</v>
      </c>
      <c r="AD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</v>
      </c>
      <c r="AE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</v>
      </c>
      <c r="AF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</v>
      </c>
      <c r="AG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</v>
      </c>
      <c r="AH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</v>
      </c>
      <c r="AI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</v>
      </c>
      <c r="AJ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</v>
      </c>
      <c r="AK76" t="str">
        <f ca="1"/>
        <v xml:space="preserve">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</v>
      </c>
    </row>
    <row r="77" spans="5:37" x14ac:dyDescent="0.55000000000000004">
      <c r="E77" t="str">
        <f t="shared" si="3"/>
        <v>cylinder</v>
      </c>
      <c r="F77">
        <f>COUNTIF(E$4:E77,E77)</f>
        <v>14</v>
      </c>
      <c r="G77" t="str">
        <v/>
      </c>
      <c r="H77">
        <v>38</v>
      </c>
      <c r="I77" t="str">
        <f ca="1"/>
        <v>Corrugated Sheet Cutter Blade Open/Close</v>
      </c>
      <c r="J77" t="str">
        <f ca="1"/>
        <v>Corrugated Sheet Cutter Blade Open/Close</v>
      </c>
      <c r="L77" t="str">
        <f ca="1"/>
        <v>【cylinder14】 Corrugated Sheet Cutter Blade Open/Close</v>
      </c>
      <c r="M77" t="str">
        <v>CDQ2B40M-15DMZ-M9BZ</v>
      </c>
      <c r="N77" t="str">
        <v>CDQ2B40M-15DMZ-M9BZ</v>
      </c>
      <c r="O77" t="str">
        <f ca="1"/>
        <v>SMC</v>
      </c>
      <c r="P77" t="str">
        <f ca="1"/>
        <v>SMC</v>
      </c>
      <c r="S77">
        <f t="shared" ca="1" si="2"/>
        <v>-9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Blade Open/Close
	ELSIF uiInfoIdx = 14 THEN</v>
      </c>
      <c r="AA77" t="str">
        <f ca="1"/>
        <v xml:space="preserve">
	//Corrugated Sheet Cutter Blade Open/Close
	ELSIF uiInfoIdx = 14 THEN
		IF strInfoKey = 'name' THEN</v>
      </c>
      <c r="AB77" t="str">
        <f ca="1"/>
        <v xml:space="preserve">
	//Corrugated Sheet Cutter Blade Open/Close
	ELSIF uiInfoIdx = 14 THEN
		IF strInfoKey = 'name' THEN
			strRt	:= 'Corrugated Sheet Cutter Blade Open/Close';</v>
      </c>
      <c r="AC77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7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8" spans="5:37" x14ac:dyDescent="0.55000000000000004">
      <c r="E78" t="str">
        <f t="shared" si="3"/>
        <v>cylinder</v>
      </c>
      <c r="F78">
        <f>COUNTIF(E$4:E78,E78)</f>
        <v>15</v>
      </c>
      <c r="G78" t="str">
        <v/>
      </c>
      <c r="H78">
        <v>39</v>
      </c>
      <c r="I78" t="str">
        <f ca="1"/>
        <v>Corrugated Sheet Cutter Support</v>
      </c>
      <c r="J78" t="str">
        <f ca="1"/>
        <v>Corrugated Sheet Cutter Support</v>
      </c>
      <c r="L78" t="str">
        <f ca="1"/>
        <v>【cylinder15】 Corrugated Sheet Cutter Support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S78">
        <f t="shared" ca="1" si="2"/>
        <v>-18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Support
	ELSIF uiInfoIdx = 15 THEN</v>
      </c>
      <c r="AA78" t="str">
        <f ca="1"/>
        <v xml:space="preserve">
	//Corrugated Sheet Cutter Support
	ELSIF uiInfoIdx = 15 THEN
		IF strInfoKey = 'name' THEN</v>
      </c>
      <c r="AB78" t="str">
        <f ca="1"/>
        <v xml:space="preserve">
	//Corrugated Sheet Cutter Support
	ELSIF uiInfoIdx = 15 THEN
		IF strInfoKey = 'name' THEN
			strRt	:= 'Corrugated Sheet Cutter Support';</v>
      </c>
      <c r="AC78" t="str">
        <f ca="1"/>
        <v xml:space="preserve">
	//Corrugated Sheet Cutter Support
	ELSIF uiInfoIdx = 15 THEN
		IF strInfoKey = 'name' THEN
			strRt	:= 'Corrugated Sheet Cutter Support';
		ELSIF strInfoKey = 'index_name' THEN</v>
      </c>
      <c r="AD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</v>
      </c>
      <c r="AE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</v>
      </c>
      <c r="AF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</v>
      </c>
      <c r="AG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</v>
      </c>
      <c r="AH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</v>
      </c>
      <c r="AI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</v>
      </c>
      <c r="AJ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</v>
      </c>
      <c r="AK78" t="str">
        <f ca="1"/>
        <v xml:space="preserve">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3"/>
        <v>cylinder</v>
      </c>
      <c r="F79">
        <f>COUNTIF(E$4:E79,E79)</f>
        <v>16</v>
      </c>
      <c r="G79" t="str">
        <v/>
      </c>
      <c r="H79">
        <v>40</v>
      </c>
      <c r="I79" t="str">
        <f ca="1"/>
        <v>Corrugated Sheet Cutter Support L</v>
      </c>
      <c r="J79" t="str">
        <f ca="1"/>
        <v>Corrugated Sheet Cutter Support L</v>
      </c>
      <c r="L79" t="str">
        <f ca="1"/>
        <v>【cylinder16】 Corrugated Sheet Cutter Support L</v>
      </c>
      <c r="M79" t="str">
        <v>CXSJM10P-10-M9BL</v>
      </c>
      <c r="N79" t="str">
        <v>CXSJM10P-10-M9BL</v>
      </c>
      <c r="O79" t="str">
        <f ca="1"/>
        <v>SMC</v>
      </c>
      <c r="P79" t="str">
        <f ca="1"/>
        <v>SMC</v>
      </c>
      <c r="S79">
        <f t="shared" ca="1" si="2"/>
        <v>-16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//Corrugated Sheet Cutter Support L
	ELSIF uiInfoIdx = 16 THEN</v>
      </c>
      <c r="AA79" t="str">
        <f ca="1"/>
        <v xml:space="preserve">
	//Corrugated Sheet Cutter Support L
	ELSIF uiInfoIdx = 16 THEN
		IF strInfoKey = 'name' THEN</v>
      </c>
      <c r="AB79" t="str">
        <f ca="1"/>
        <v xml:space="preserve">
	//Corrugated Sheet Cutter Support L
	ELSIF uiInfoIdx = 16 THEN
		IF strInfoKey = 'name' THEN
			strRt	:= 'Corrugated Sheet Cutter Support L';</v>
      </c>
      <c r="AC79" t="str">
        <f ca="1"/>
        <v xml:space="preserve">
	//Corrugated Sheet Cutter Support L
	ELSIF uiInfoIdx = 16 THEN
		IF strInfoKey = 'name' THEN
			strRt	:= 'Corrugated Sheet Cutter Support L';
		ELSIF strInfoKey = 'index_name' THEN</v>
      </c>
      <c r="AD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</v>
      </c>
      <c r="AE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</v>
      </c>
      <c r="AF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</v>
      </c>
      <c r="AG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</v>
      </c>
      <c r="AH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</v>
      </c>
      <c r="AI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</v>
      </c>
      <c r="AJ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</v>
      </c>
      <c r="AK79" t="str">
        <f ca="1"/>
        <v xml:space="preserve">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</v>
      </c>
    </row>
    <row r="80" spans="5:37" x14ac:dyDescent="0.55000000000000004">
      <c r="E80" t="str">
        <f t="shared" si="3"/>
        <v>cylinder</v>
      </c>
      <c r="F80">
        <f>COUNTIF(E$4:E80,E80)</f>
        <v>17</v>
      </c>
      <c r="G80" t="str">
        <v/>
      </c>
      <c r="H80">
        <v>41</v>
      </c>
      <c r="I80" t="str">
        <f ca="1"/>
        <v>X-Roll Gluing Left Roll</v>
      </c>
      <c r="J80" t="str">
        <f ca="1"/>
        <v>X-Roll Gluing Left Roll</v>
      </c>
      <c r="L80" t="str">
        <f ca="1"/>
        <v>【cylinder17】 X-Roll Gluing Left Roll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S80">
        <f t="shared" ca="1" si="2"/>
        <v>-26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Left Roll
	ELSIF uiInfoIdx = 17 THEN</v>
      </c>
      <c r="AA80" t="str">
        <f ca="1"/>
        <v xml:space="preserve">
	//X-Roll Gluing Left Roll
	ELSIF uiInfoIdx = 17 THEN
		IF strInfoKey = 'name' THEN</v>
      </c>
      <c r="AB80" t="str">
        <f ca="1"/>
        <v xml:space="preserve">
	//X-Roll Gluing Left Roll
	ELSIF uiInfoIdx = 17 THEN
		IF strInfoKey = 'name' THEN
			strRt	:= 'X-Roll Gluing Left Roll';</v>
      </c>
      <c r="AC80" t="str">
        <f ca="1"/>
        <v xml:space="preserve">
	//X-Roll Gluing Left Roll
	ELSIF uiInfoIdx = 17 THEN
		IF strInfoKey = 'name' THEN
			strRt	:= 'X-Roll Gluing Left Roll';
		ELSIF strInfoKey = 'index_name' THEN</v>
      </c>
      <c r="AD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</v>
      </c>
      <c r="AE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</v>
      </c>
      <c r="AF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</v>
      </c>
      <c r="AG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</v>
      </c>
      <c r="AH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</v>
      </c>
      <c r="AI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</v>
      </c>
      <c r="AJ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</v>
      </c>
      <c r="AK80" t="str">
        <f ca="1"/>
        <v xml:space="preserve">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3"/>
        <v>cylinder</v>
      </c>
      <c r="F81">
        <f>COUNTIF(E$4:E81,E81)</f>
        <v>18</v>
      </c>
      <c r="G81" t="str">
        <v/>
      </c>
      <c r="H81">
        <v>42</v>
      </c>
      <c r="I81" t="str">
        <f ca="1"/>
        <v>X-Roll Gluing Right Roll</v>
      </c>
      <c r="J81" t="str">
        <f ca="1"/>
        <v>X-Roll Gluing Right Roll</v>
      </c>
      <c r="L81" t="str">
        <f ca="1"/>
        <v>【cylinder18】 X-Roll Gluing Right Roll</v>
      </c>
      <c r="M81" t="str">
        <v>CDM2RA20-25Z-M9BWV</v>
      </c>
      <c r="N81" t="str">
        <v>CDM2RA20-25Z-M9BWV</v>
      </c>
      <c r="O81" t="str">
        <f ca="1"/>
        <v/>
      </c>
      <c r="P81" t="str">
        <f ca="1"/>
        <v>unknown</v>
      </c>
      <c r="S81">
        <f t="shared" ca="1" si="2"/>
        <v>-25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Gluing Right Roll
	ELSIF uiInfoIdx = 18 THEN</v>
      </c>
      <c r="AA81" t="str">
        <f ca="1"/>
        <v xml:space="preserve">
	//X-Roll Gluing Right Roll
	ELSIF uiInfoIdx = 18 THEN
		IF strInfoKey = 'name' THEN</v>
      </c>
      <c r="AB81" t="str">
        <f ca="1"/>
        <v xml:space="preserve">
	//X-Roll Gluing Right Roll
	ELSIF uiInfoIdx = 18 THEN
		IF strInfoKey = 'name' THEN
			strRt	:= 'X-Roll Gluing Right Roll';</v>
      </c>
      <c r="AC81" t="str">
        <f ca="1"/>
        <v xml:space="preserve">
	//X-Roll Gluing Right Roll
	ELSIF uiInfoIdx = 18 THEN
		IF strInfoKey = 'name' THEN
			strRt	:= 'X-Roll Gluing Right Roll';
		ELSIF strInfoKey = 'index_name' THEN</v>
      </c>
      <c r="AD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</v>
      </c>
      <c r="AE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</v>
      </c>
      <c r="AF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</v>
      </c>
      <c r="AG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</v>
      </c>
      <c r="AH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</v>
      </c>
      <c r="AI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</v>
      </c>
      <c r="AJ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</v>
      </c>
      <c r="AK81" t="str">
        <f ca="1"/>
        <v xml:space="preserve">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</v>
      </c>
    </row>
    <row r="82" spans="5:37" x14ac:dyDescent="0.55000000000000004">
      <c r="E82" t="str">
        <f t="shared" si="3"/>
        <v>cylinder</v>
      </c>
      <c r="F82">
        <f>COUNTIF(E$4:E82,E82)</f>
        <v>19</v>
      </c>
      <c r="G82" t="str">
        <v/>
      </c>
      <c r="H82">
        <v>43</v>
      </c>
      <c r="I82" t="str">
        <f ca="1"/>
        <v>X-Roll Flat Sheet Press</v>
      </c>
      <c r="J82" t="str">
        <f ca="1"/>
        <v>X-Roll Flat Sheet Press</v>
      </c>
      <c r="L82" t="str">
        <f ca="1"/>
        <v>【cylinder19】 X-Roll Flat Sheet Press</v>
      </c>
      <c r="M82" t="str">
        <v>不明</v>
      </c>
      <c r="N82" t="str">
        <v>不明</v>
      </c>
      <c r="O82" t="str">
        <f ca="1"/>
        <v/>
      </c>
      <c r="P82" t="str">
        <f ca="1"/>
        <v>unknown</v>
      </c>
      <c r="S82">
        <f t="shared" ca="1" si="2"/>
        <v>-26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//X-Roll Flat Sheet Press
	ELSIF uiInfoIdx = 19 THEN</v>
      </c>
      <c r="AA82" t="str">
        <f ca="1"/>
        <v xml:space="preserve">
	//X-Roll Flat Sheet Press
	ELSIF uiInfoIdx = 19 THEN
		IF strInfoKey = 'name' THEN</v>
      </c>
      <c r="AB82" t="str">
        <f ca="1"/>
        <v xml:space="preserve">
	//X-Roll Flat Sheet Press
	ELSIF uiInfoIdx = 19 THEN
		IF strInfoKey = 'name' THEN
			strRt	:= 'X-Roll Flat Sheet Press';</v>
      </c>
      <c r="AC82" t="str">
        <f ca="1"/>
        <v xml:space="preserve">
	//X-Roll Flat Sheet Press
	ELSIF uiInfoIdx = 19 THEN
		IF strInfoKey = 'name' THEN
			strRt	:= 'X-Roll Flat Sheet Press';
		ELSIF strInfoKey = 'index_name' THEN</v>
      </c>
      <c r="AD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</v>
      </c>
      <c r="AE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</v>
      </c>
      <c r="AF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</v>
      </c>
      <c r="AG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</v>
      </c>
      <c r="AH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</v>
      </c>
      <c r="AI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</v>
      </c>
      <c r="AJ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</v>
      </c>
      <c r="AK82" t="str">
        <f ca="1"/>
        <v xml:space="preserve">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</v>
      </c>
    </row>
    <row r="83" spans="5:37" x14ac:dyDescent="0.55000000000000004">
      <c r="E83" t="str">
        <f t="shared" si="3"/>
        <v>cylinder</v>
      </c>
      <c r="F83">
        <f>COUNTIF(E$4:E83,E83)</f>
        <v>20</v>
      </c>
      <c r="G83" t="str">
        <v/>
      </c>
      <c r="H83">
        <v>44</v>
      </c>
      <c r="I83" t="str">
        <f ca="1"/>
        <v>Brazing Foil Reel Lock</v>
      </c>
      <c r="J83" t="str">
        <f ca="1"/>
        <v>Brazing Foil Reel Lock</v>
      </c>
      <c r="L83" t="str">
        <f ca="1"/>
        <v>【cylinder20】 Brazing Foil Reel Lock</v>
      </c>
      <c r="M83" t="str">
        <v>MGPM12-20Z-M9BL</v>
      </c>
      <c r="N83" t="str">
        <v>MGPM12-20Z-M9BL</v>
      </c>
      <c r="O83" t="str">
        <f ca="1"/>
        <v>MISUMI</v>
      </c>
      <c r="P83" t="str">
        <f ca="1"/>
        <v>MISUMI</v>
      </c>
      <c r="S83">
        <f t="shared" ca="1" si="2"/>
        <v>-27</v>
      </c>
      <c r="X83" t="str">
        <f ca="1"/>
        <v xml:space="preserve">
</v>
      </c>
      <c r="Y83" t="str">
        <f ca="1"/>
        <v xml:space="preserve">
</v>
      </c>
      <c r="Z83" t="str">
        <f ca="1"/>
        <v xml:space="preserve">
	//Brazing Foil Reel Lock
	ELSIF uiInfoIdx = 20 THEN</v>
      </c>
      <c r="AA83" t="str">
        <f ca="1"/>
        <v xml:space="preserve">
	//Brazing Foil Reel Lock
	ELSIF uiInfoIdx = 20 THEN
		IF strInfoKey = 'name' THEN</v>
      </c>
      <c r="AB83" t="str">
        <f ca="1"/>
        <v xml:space="preserve">
	//Brazing Foil Reel Lock
	ELSIF uiInfoIdx = 20 THEN
		IF strInfoKey = 'name' THEN
			strRt	:= 'Brazing Foil Reel Lock';</v>
      </c>
      <c r="AC83" t="str">
        <f ca="1"/>
        <v xml:space="preserve">
	//Brazing Foil Reel Lock
	ELSIF uiInfoIdx = 20 THEN
		IF strInfoKey = 'name' THEN
			strRt	:= 'Brazing Foil Reel Lock';
		ELSIF strInfoKey = 'index_name' THEN</v>
      </c>
      <c r="AD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</v>
      </c>
      <c r="AE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</v>
      </c>
      <c r="AF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</v>
      </c>
      <c r="AG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</v>
      </c>
      <c r="AH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</v>
      </c>
      <c r="AI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</v>
      </c>
      <c r="AJ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</v>
      </c>
      <c r="AK83" t="str">
        <f ca="1"/>
        <v xml:space="preserve">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</v>
      </c>
    </row>
    <row r="84" spans="5:37" x14ac:dyDescent="0.55000000000000004">
      <c r="E84" t="str">
        <f t="shared" si="3"/>
        <v>cylinder</v>
      </c>
      <c r="F84">
        <f>COUNTIF(E$4:E84,E84)</f>
        <v>21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S84">
        <f t="shared" ca="1" si="2"/>
        <v>-64</v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3"/>
        <v>cylinder</v>
      </c>
      <c r="F85">
        <f>COUNTIF(E$4:E85,E85)</f>
        <v>22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S85">
        <f t="shared" ca="1" si="2"/>
        <v>-64</v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3"/>
        <v>cylinder</v>
      </c>
      <c r="F86">
        <f>COUNTIF(E$4:E86,E86)</f>
        <v>23</v>
      </c>
      <c r="G86" t="str">
        <v>●</v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S86">
        <f t="shared" ca="1" si="2"/>
        <v>-64</v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 xml:space="preserve">
	ELSE
		uiErrCode	:= 2;
	END_IF;</v>
      </c>
      <c r="AK86" t="str">
        <f ca="1"/>
        <v xml:space="preserve">
	ELSE
		uiErrCode	:= 2;
	END_IF;</v>
      </c>
    </row>
    <row r="87" spans="5:37" x14ac:dyDescent="0.55000000000000004">
      <c r="E87" t="s">
        <v>189</v>
      </c>
      <c r="F87">
        <f>COUNTIF(E$4:E87,E87)</f>
        <v>1</v>
      </c>
      <c r="G87" t="str">
        <v/>
      </c>
      <c r="H87">
        <v>67</v>
      </c>
      <c r="I87" t="str">
        <f ca="1"/>
        <v>Welding Machine</v>
      </c>
      <c r="J87" t="str">
        <f ca="1"/>
        <v>Welding Machine</v>
      </c>
      <c r="L87" t="str">
        <f ca="1"/>
        <v>【OTH1】 Welding Machine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S87">
        <f t="shared" ca="1" si="2"/>
        <v>-40</v>
      </c>
      <c r="X87" t="str">
        <f ca="1"/>
        <v xml:space="preserve">
//OTH</v>
      </c>
      <c r="Y87" t="str">
        <f ca="1"/>
        <v xml:space="preserve">
//OTH
ELSIF strInfoType = 'OTH' THEN</v>
      </c>
      <c r="Z87" t="str">
        <f ca="1"/>
        <v xml:space="preserve">
//OTH
ELSIF strInfoType = 'OTH' THEN
	//Welding Machine
	IF uiInfoIdx = 1 THEN</v>
      </c>
      <c r="AA87" t="str">
        <f ca="1"/>
        <v xml:space="preserve">
//OTH
ELSIF strInfoType = 'OTH' THEN
	//Welding Machine
	IF uiInfoIdx = 1 THEN
		IF strInfoKey = 'name' THEN</v>
      </c>
      <c r="AB87" t="str">
        <f ca="1"/>
        <v xml:space="preserve">
//OTH
ELSIF strInfoType = 'OTH' THEN
	//Welding Machine
	IF uiInfoIdx = 1 THEN
		IF strInfoKey = 'name' THEN
			strRt	:= 'Welding Machine';</v>
      </c>
      <c r="AC87" t="str">
        <f ca="1"/>
        <v xml:space="preserve">
//OTH
ELSIF strInfoType = 'OTH' THEN
	//Welding Machine
	IF uiInfoIdx = 1 THEN
		IF strInfoKey = 'name' THEN
			strRt	:= 'Welding Machine';
		ELSIF strInfoKey = 'index_name' THEN</v>
      </c>
      <c r="AD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</v>
      </c>
      <c r="AE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</v>
      </c>
      <c r="AF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</v>
      </c>
      <c r="AG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</v>
      </c>
      <c r="AH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</v>
      </c>
      <c r="AI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J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  <c r="AK87" t="str">
        <f ca="1"/>
        <v xml:space="preserve">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3"/>
        <v>OTH</v>
      </c>
      <c r="F88">
        <f>COUNTIF(E$4:E88,E88)</f>
        <v>2</v>
      </c>
      <c r="G88" t="str">
        <v/>
      </c>
      <c r="H88">
        <v>68</v>
      </c>
      <c r="I88" t="str">
        <f ca="1"/>
        <v>X-Roll Electromagnetic Clutch</v>
      </c>
      <c r="J88" t="str">
        <f ca="1"/>
        <v>X-Roll Electromagnetic Clutch</v>
      </c>
      <c r="L88" t="str">
        <f ca="1"/>
        <v>【OTH2】 X-Roll Electromagnetic Clutch</v>
      </c>
      <c r="M88" t="str">
        <v/>
      </c>
      <c r="N88" t="str">
        <v>unknown</v>
      </c>
      <c r="O88" t="str">
        <f ca="1"/>
        <v/>
      </c>
      <c r="P88" t="str">
        <f ca="1"/>
        <v>unknown</v>
      </c>
      <c r="S88">
        <f t="shared" ca="1" si="2"/>
        <v>-26</v>
      </c>
      <c r="X88" t="str">
        <f ca="1"/>
        <v xml:space="preserve">
</v>
      </c>
      <c r="Y88" t="str">
        <f ca="1"/>
        <v xml:space="preserve">
</v>
      </c>
      <c r="Z88" t="str">
        <f ca="1"/>
        <v xml:space="preserve">
	//X-Roll Electromagnetic Clutch
	ELSIF uiInfoIdx = 2 THEN</v>
      </c>
      <c r="AA88" t="str">
        <f ca="1"/>
        <v xml:space="preserve">
	//X-Roll Electromagnetic Clutch
	ELSIF uiInfoIdx = 2 THEN
		IF strInfoKey = 'name' THEN</v>
      </c>
      <c r="AB88" t="str">
        <f ca="1"/>
        <v xml:space="preserve">
	//X-Roll Electromagnetic Clutch
	ELSIF uiInfoIdx = 2 THEN
		IF strInfoKey = 'name' THEN
			strRt	:= 'X-Roll Electromagnetic Clutch';</v>
      </c>
      <c r="AC88" t="str">
        <f ca="1"/>
        <v xml:space="preserve">
	//X-Roll Electromagnetic Clutch
	ELSIF uiInfoIdx = 2 THEN
		IF strInfoKey = 'name' THEN
			strRt	:= 'X-Roll Electromagnetic Clutch';
		ELSIF strInfoKey = 'index_name' THEN</v>
      </c>
      <c r="AD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</v>
      </c>
      <c r="AE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</v>
      </c>
      <c r="AF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</v>
      </c>
      <c r="AG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</v>
      </c>
      <c r="AH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</v>
      </c>
      <c r="AI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J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  <c r="AK88" t="str">
        <f ca="1"/>
        <v xml:space="preserve">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</v>
      </c>
    </row>
    <row r="89" spans="5:37" x14ac:dyDescent="0.55000000000000004">
      <c r="E89" t="str">
        <f t="shared" si="3"/>
        <v>OTH</v>
      </c>
      <c r="F89">
        <f>COUNTIF(E$4:E89,E89)</f>
        <v>3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S89">
        <f t="shared" ca="1" si="2"/>
        <v>-64</v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3"/>
        <v>OTH</v>
      </c>
      <c r="F90">
        <f>COUNTIF(E$4:E90,E90)</f>
        <v>4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S90">
        <f t="shared" ca="1" si="2"/>
        <v>-64</v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3"/>
        <v>OTH</v>
      </c>
      <c r="F91">
        <f>COUNTIF(E$4:E91,E91)</f>
        <v>5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S91">
        <f t="shared" ca="1" si="2"/>
        <v>-64</v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3"/>
        <v>OTH</v>
      </c>
      <c r="F92">
        <f>COUNTIF(E$4:E92,E92)</f>
        <v>6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S92">
        <f t="shared" ca="1" si="2"/>
        <v>-64</v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3"/>
        <v>OTH</v>
      </c>
      <c r="F93">
        <f>COUNTIF(E$4:E93,E93)</f>
        <v>7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S93">
        <f t="shared" ca="1" si="2"/>
        <v>-64</v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3"/>
        <v>OTH</v>
      </c>
      <c r="F94">
        <f>COUNTIF(E$4:E94,E94)</f>
        <v>8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S94">
        <f t="shared" ca="1" si="2"/>
        <v>-64</v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3"/>
        <v>OTH</v>
      </c>
      <c r="F95">
        <f>COUNTIF(E$4:E95,E95)</f>
        <v>9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S95">
        <f t="shared" ca="1" si="2"/>
        <v>-64</v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3"/>
        <v>OTH</v>
      </c>
      <c r="F96">
        <f>COUNTIF(E$4:E96,E96)</f>
        <v>10</v>
      </c>
      <c r="G96" t="str">
        <v>●</v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S96">
        <f t="shared" ca="1" si="2"/>
        <v>-64</v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 xml:space="preserve">
	ELSE
		uiErrCode	:= 2;
	END_IF;</v>
      </c>
      <c r="AK96" t="str">
        <f ca="1"/>
        <v xml:space="preserve">
	ELSE
		uiErrCode	:= 2;
	END_IF;</v>
      </c>
    </row>
    <row r="97" spans="5:37" x14ac:dyDescent="0.55000000000000004">
      <c r="E97" t="s">
        <v>190</v>
      </c>
      <c r="F97">
        <f>COUNTIF(E$4:E97,E97)</f>
        <v>1</v>
      </c>
      <c r="G97" t="str">
        <v/>
      </c>
      <c r="H97">
        <v>69</v>
      </c>
      <c r="I97" t="str">
        <f ca="1"/>
        <v>(Unassigned)</v>
      </c>
      <c r="J97" t="str">
        <f ca="1"/>
        <v>(Unassigned)</v>
      </c>
      <c r="L97" t="str">
        <f ca="1"/>
        <v>【OTHC1】 (Unassigned)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S97">
        <f t="shared" ca="1" si="2"/>
        <v>-42</v>
      </c>
      <c r="X97" t="str">
        <f ca="1"/>
        <v xml:space="preserve">
//OTHC</v>
      </c>
      <c r="Y97" t="str">
        <f ca="1"/>
        <v xml:space="preserve">
//OTHC
ELSIF strInfoType = 'OTHC' THEN</v>
      </c>
      <c r="Z97" t="str">
        <f ca="1"/>
        <v xml:space="preserve">
//OTHC
ELSIF strInfoType = 'OTHC' THEN
	//(Unassigned)
	IF uiInfoIdx = 1 THEN</v>
      </c>
      <c r="AA97" t="str">
        <f ca="1"/>
        <v xml:space="preserve">
//OTHC
ELSIF strInfoType = 'OTHC' THEN
	//(Unassigned)
	IF uiInfoIdx = 1 THEN
		IF strInfoKey = 'name' THEN</v>
      </c>
      <c r="AB97" t="str">
        <f ca="1"/>
        <v xml:space="preserve">
//OTHC
ELSIF strInfoType = 'OTHC' THEN
	//(Unassigned)
	IF uiInfoIdx = 1 THEN
		IF strInfoKey = 'name' THEN
			strRt	:= '(Unassigned)';</v>
      </c>
      <c r="AC97" t="str">
        <f ca="1"/>
        <v xml:space="preserve">
//OTHC
ELSIF strInfoType = 'OTHC' THEN
	//(Unassigned)
	IF uiInfoIdx = 1 THEN
		IF strInfoKey = 'name' THEN
			strRt	:= '(Unassigned)';
		ELSIF strInfoKey = 'index_name' THEN</v>
      </c>
      <c r="AD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</v>
      </c>
      <c r="AE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</v>
      </c>
      <c r="AF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</v>
      </c>
      <c r="AG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</v>
      </c>
      <c r="AH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</v>
      </c>
      <c r="AI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J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  <c r="AK97" t="str">
        <f ca="1"/>
        <v xml:space="preserve">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3"/>
        <v>OTHC</v>
      </c>
      <c r="F98">
        <f>COUNTIF(E$4:E98,E98)</f>
        <v>2</v>
      </c>
      <c r="G98" t="str">
        <v/>
      </c>
      <c r="H98">
        <v>70</v>
      </c>
      <c r="I98" t="str">
        <f ca="1"/>
        <v>(Unassigned)</v>
      </c>
      <c r="J98" t="str">
        <f ca="1"/>
        <v>(Unassigned)</v>
      </c>
      <c r="L98" t="str">
        <f ca="1"/>
        <v>【OTHC2】 (Unassigned)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S98">
        <f t="shared" ca="1" si="2"/>
        <v>-42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//(Unassigned)
	ELSIF uiInfoIdx = 2 THEN</v>
      </c>
      <c r="AA98" t="str">
        <f ca="1"/>
        <v xml:space="preserve">
	//(Unassigned)
	ELSIF uiInfoIdx = 2 THEN
		IF strInfoKey = 'name' THEN</v>
      </c>
      <c r="AB98" t="str">
        <f ca="1"/>
        <v xml:space="preserve">
	//(Unassigned)
	ELSIF uiInfoIdx = 2 THEN
		IF strInfoKey = 'name' THEN
			strRt	:= '(Unassigned)';</v>
      </c>
      <c r="AC98" t="str">
        <f ca="1"/>
        <v xml:space="preserve">
	//(Unassigned)
	ELSIF uiInfoIdx = 2 THEN
		IF strInfoKey = 'name' THEN
			strRt	:= '(Unassigned)';
		ELSIF strInfoKey = 'index_name' THEN</v>
      </c>
      <c r="AD98" t="str">
        <f ca="1"/>
        <v xml:space="preserve">
	//(Unassigned)
	ELSIF uiInfoIdx = 2 THEN
		IF strInfoKey = 'name' THEN
			strRt	:= '(Unassigned)';
		ELSIF strInfoKey = 'index_name' THEN
			strRt	:= '【OTHC2】 (Unassigned)';</v>
      </c>
      <c r="AE98" t="str">
        <f ca="1"/>
        <v xml:space="preserve">
	//(Unassigned)
	ELSIF uiInfoIdx = 2 THEN
		IF strInfoKey = 'name' THEN
			strRt	:= '(Unassigned)';
		ELSIF strInfoKey = 'index_name' THEN
			strRt	:= '【OTHC2】 (Unassigned)';
		ELSIF strInfoKey = 'model' THEN</v>
      </c>
      <c r="AF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</v>
      </c>
      <c r="AG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</v>
      </c>
      <c r="AH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</v>
      </c>
      <c r="AI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J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  <c r="AK98" t="str">
        <f ca="1"/>
        <v xml:space="preserve">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3"/>
        <v>OTHC</v>
      </c>
      <c r="F99">
        <f>COUNTIF(E$4:E99,E99)</f>
        <v>3</v>
      </c>
      <c r="G99" t="str">
        <v/>
      </c>
      <c r="H99">
        <v>71</v>
      </c>
      <c r="I99" t="str">
        <f ca="1"/>
        <v>T-Roll Gluing Axis</v>
      </c>
      <c r="J99" t="str">
        <f ca="1"/>
        <v>T-Roll Gluing Axis</v>
      </c>
      <c r="L99" t="str">
        <f ca="1"/>
        <v>【OTHC3】 T-Roll Gluing Axis</v>
      </c>
      <c r="M99" t="str">
        <v/>
      </c>
      <c r="N99" t="str">
        <v>unknown</v>
      </c>
      <c r="O99" t="str">
        <f ca="1"/>
        <v/>
      </c>
      <c r="P99" t="str">
        <f ca="1"/>
        <v>unknown</v>
      </c>
      <c r="S99">
        <f t="shared" ca="1" si="2"/>
        <v>-36</v>
      </c>
      <c r="X99" t="str">
        <f ca="1"/>
        <v xml:space="preserve">
</v>
      </c>
      <c r="Y99" t="str">
        <f ca="1"/>
        <v xml:space="preserve">
</v>
      </c>
      <c r="Z99" t="str">
        <f ca="1"/>
        <v xml:space="preserve">
	//T-Roll Gluing Axis
	ELSIF uiInfoIdx = 3 THEN</v>
      </c>
      <c r="AA99" t="str">
        <f ca="1"/>
        <v xml:space="preserve">
	//T-Roll Gluing Axis
	ELSIF uiInfoIdx = 3 THEN
		IF strInfoKey = 'name' THEN</v>
      </c>
      <c r="AB99" t="str">
        <f ca="1"/>
        <v xml:space="preserve">
	//T-Roll Gluing Axis
	ELSIF uiInfoIdx = 3 THEN
		IF strInfoKey = 'name' THEN
			strRt	:= 'T-Roll Gluing Axis';</v>
      </c>
      <c r="AC99" t="str">
        <f ca="1"/>
        <v xml:space="preserve">
	//T-Roll Gluing Axis
	ELSIF uiInfoIdx = 3 THEN
		IF strInfoKey = 'name' THEN
			strRt	:= 'T-Roll Gluing Axis';
		ELSIF strInfoKey = 'index_name' THEN</v>
      </c>
      <c r="AD99" t="str">
        <f ca="1"/>
        <v xml:space="preserve">
	//T-Roll Gluing Axis
	ELSIF uiInfoIdx = 3 THEN
		IF strInfoKey = 'name' THEN
			strRt	:= 'T-Roll Gluing Axis';
		ELSIF strInfoKey = 'index_name' THEN
			strRt	:= '【OTHC3】 T-Roll Gluing Axis';</v>
      </c>
      <c r="AE99" t="str">
        <f ca="1"/>
        <v xml:space="preserve">
	//T-Roll Gluing Axis
	ELSIF uiInfoIdx = 3 THEN
		IF strInfoKey = 'name' THEN
			strRt	:= 'T-Roll Gluing Axis';
		ELSIF strInfoKey = 'index_name' THEN
			strRt	:= '【OTHC3】 T-Roll Gluing Axis';
		ELSIF strInfoKey = 'model' THEN</v>
      </c>
      <c r="AF99" t="str">
        <f ca="1"/>
        <v xml:space="preserve">
	//T-Roll Gluing Axis
	ELSIF uiInfoIdx = 3 THEN
		IF strInfoKey = 'name' THEN
			strRt	:= 'T-Roll Gluing Axis';
		ELSIF strInfoKey = 'index_name' THEN
			strRt	:= '【OTHC3】 T-Roll Gluing Axis';
		ELSIF strInfoKey = 'model' THEN
			strRt	:= 'unknown';</v>
      </c>
      <c r="AG99" t="str">
        <f ca="1"/>
        <v xml:space="preserve">
	//T-Roll Gluing Axis
	ELSIF uiInfoIdx = 3 THEN
		IF strInfoKey = 'name' THEN
			strRt	:= 'T-Roll Gluing Axis';
		ELSIF strInfoKey = 'index_name' THEN
			strRt	:= '【OTHC3】 T-Roll Gluing Axis';
		ELSIF strInfoKey = 'model' THEN
			strRt	:= 'unknown';
		ELSIF strInfoKey = 'mf' THEN</v>
      </c>
      <c r="AH99" t="str">
        <f ca="1"/>
        <v xml:space="preserve">
	//T-Roll Gluing Axis
	ELSIF uiInfoIdx = 3 THEN
		IF strInfoKey = 'name' THEN
			strRt	:= 'T-Roll Gluing Axis';
		ELSIF strInfoKey = 'index_name' THEN
			strRt	:= '【OTHC3】 T-Roll Gluing Axis';
		ELSIF strInfoKey = 'model' THEN
			strRt	:= 'unknown';
		ELSIF strInfoKey = 'mf' THEN
			strRt	:= 'unknown';</v>
      </c>
      <c r="AI99" t="str">
        <f ca="1"/>
        <v xml:space="preserve">
	//T-Roll Gluing Axis
	ELSIF uiInfoIdx = 3 THEN
		IF strInfoKey = 'name' THEN
			strRt	:= 'T-Roll Gluing Axis';
		ELSIF strInfoKey = 'index_name' THEN
			strRt	:= '【OTHC3】 T-Roll Gluing Axis';
		ELSIF strInfoKey = 'model' THEN
			strRt	:= 'unknown';
		ELSIF strInfoKey = 'mf' THEN
			strRt	:= 'unknown';
		ELSE
			uiErrCode	:= 3;
		END_IF;</v>
      </c>
      <c r="AJ99" t="str">
        <f ca="1"/>
        <v xml:space="preserve">
	//T-Roll Gluing Axis
	ELSIF uiInfoIdx = 3 THEN
		IF strInfoKey = 'name' THEN
			strRt	:= 'T-Roll Gluing Axis';
		ELSIF strInfoKey = 'index_name' THEN
			strRt	:= '【OTHC3】 T-Roll Gluing Axis';
		ELSIF strInfoKey = 'model' THEN
			strRt	:= 'unknown';
		ELSIF strInfoKey = 'mf' THEN
			strRt	:= 'unknown';
		ELSE
			uiErrCode	:= 3;
		END_IF;</v>
      </c>
      <c r="AK99" t="str">
        <f ca="1"/>
        <v xml:space="preserve">
	//T-Roll Gluing Axis
	ELSIF uiInfoIdx = 3 THEN
		IF strInfoKey = 'name' THEN
			strRt	:= 'T-Roll Gluing Axis';
		ELSIF strInfoKey = 'index_name' THEN
			strRt	:= '【OTHC3】 T-Roll Gluing Axis';
		ELSIF strInfoKey = 'model' THEN
			strRt	:= 'unknown';
		ELSIF strInfoKey = 'mf' THEN
			strRt	:= 'unknown';
		ELSE
			uiErrCode	:= 3;
		END_IF;</v>
      </c>
    </row>
    <row r="100" spans="5:37" x14ac:dyDescent="0.55000000000000004">
      <c r="E100" t="str">
        <f t="shared" si="3"/>
        <v>OTHC</v>
      </c>
      <c r="F100">
        <f>COUNTIF(E$4:E100,E100)</f>
        <v>4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S100">
        <f t="shared" ca="1" si="2"/>
        <v>-64</v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3"/>
        <v>OTHC</v>
      </c>
      <c r="F101">
        <f>COUNTIF(E$4:E101,E101)</f>
        <v>5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S101">
        <f t="shared" ca="1" si="2"/>
        <v>-64</v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3"/>
        <v>OTHC</v>
      </c>
      <c r="F102">
        <f>COUNTIF(E$4:E102,E102)</f>
        <v>6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S102">
        <f t="shared" ca="1" si="2"/>
        <v>-64</v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3"/>
        <v>OTHC</v>
      </c>
      <c r="F103">
        <f>COUNTIF(E$4:E103,E103)</f>
        <v>7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S103">
        <f t="shared" ca="1" si="2"/>
        <v>-64</v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3"/>
        <v>OTHC</v>
      </c>
      <c r="F104">
        <f>COUNTIF(E$4:E104,E104)</f>
        <v>8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S104">
        <f t="shared" ca="1" si="2"/>
        <v>-64</v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3"/>
        <v>OTHC</v>
      </c>
      <c r="F105">
        <f>COUNTIF(E$4:E105,E105)</f>
        <v>9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S105">
        <f t="shared" ca="1" si="2"/>
        <v>-64</v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3"/>
        <v>OTHC</v>
      </c>
      <c r="F106">
        <f>COUNTIF(E$4:E106,E106)</f>
        <v>10</v>
      </c>
      <c r="G106" t="str">
        <v>●</v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S106">
        <f t="shared" ca="1" si="2"/>
        <v>-64</v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 xml:space="preserve">
	ELSE
		uiErrCode	:= 2;
	END_IF;</v>
      </c>
      <c r="AK106" t="str">
        <f ca="1"/>
        <v xml:space="preserve">
	ELSE
		uiErrCode	:= 2;
	END_IF;</v>
      </c>
    </row>
    <row r="107" spans="5:37" x14ac:dyDescent="0.55000000000000004">
      <c r="E107" t="s">
        <v>181</v>
      </c>
      <c r="F107">
        <f>COUNTIF(E$4:E107,E107)</f>
        <v>1</v>
      </c>
      <c r="G107" t="str">
        <v/>
      </c>
      <c r="H107">
        <v>59</v>
      </c>
      <c r="I107" t="str">
        <f ca="1"/>
        <v>Flat Sheet Feeder</v>
      </c>
      <c r="J107" t="str">
        <f ca="1"/>
        <v>Flat Sheet Feeder</v>
      </c>
      <c r="L107" t="str">
        <f ca="1"/>
        <v>【unit1】 Flat Sheet Feeder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S107">
        <f t="shared" ca="1" si="2"/>
        <v>-37</v>
      </c>
      <c r="X107" t="str">
        <f ca="1"/>
        <v xml:space="preserve">
//unit</v>
      </c>
      <c r="Y107" t="str">
        <f ca="1"/>
        <v xml:space="preserve">
//unit
ELSIF strInfoType = 'unit' THEN</v>
      </c>
      <c r="Z107" t="str">
        <f ca="1"/>
        <v xml:space="preserve">
//unit
ELSIF strInfoType = 'unit' THEN
	//Flat Sheet Feeder
	IF uiInfoIdx = 1 THEN</v>
      </c>
      <c r="AA107" t="str">
        <f ca="1"/>
        <v xml:space="preserve">
//unit
ELSIF strInfoType = 'unit' THEN
	//Flat Sheet Feeder
	IF uiInfoIdx = 1 THEN
		IF strInfoKey = 'name' THEN</v>
      </c>
      <c r="AB107" t="str">
        <f ca="1"/>
        <v xml:space="preserve">
//unit
ELSIF strInfoType = 'unit' THEN
	//Flat Sheet Feeder
	IF uiInfoIdx = 1 THEN
		IF strInfoKey = 'name' THEN
			strRt	:= 'Flat Sheet Feeder';</v>
      </c>
      <c r="AC107" t="str">
        <f ca="1"/>
        <v xml:space="preserve">
//unit
ELSIF strInfoType = 'unit' THEN
	//Flat Sheet Feeder
	IF uiInfoIdx = 1 THEN
		IF strInfoKey = 'name' THEN
			strRt	:= 'Flat Sheet Feeder';
		ELSIF strInfoKey = 'index_name' THEN</v>
      </c>
      <c r="AD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</v>
      </c>
      <c r="AE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</v>
      </c>
      <c r="AF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</v>
      </c>
      <c r="AG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</v>
      </c>
      <c r="AH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</v>
      </c>
      <c r="AI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  <c r="AJ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  <c r="AK107" t="str">
        <f ca="1"/>
        <v xml:space="preserve">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3"/>
        <v>unit</v>
      </c>
      <c r="F108">
        <f>COUNTIF(E$4:E108,E108)</f>
        <v>2</v>
      </c>
      <c r="G108" t="str">
        <v/>
      </c>
      <c r="H108">
        <v>60</v>
      </c>
      <c r="I108" t="str">
        <f ca="1"/>
        <v>Corrugated Sheet Feeder</v>
      </c>
      <c r="J108" t="str">
        <f ca="1"/>
        <v>Corrugated Sheet Feeder</v>
      </c>
      <c r="L108" t="str">
        <f ca="1"/>
        <v>【unit2】 Corrugated Sheet Feeder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S108">
        <f t="shared" ca="1" si="2"/>
        <v>-31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//Corrugated Sheet Feeder
	ELSIF uiInfoIdx = 2 THEN</v>
      </c>
      <c r="AA108" t="str">
        <f ca="1"/>
        <v xml:space="preserve">
	//Corrugated Sheet Feeder
	ELSIF uiInfoIdx = 2 THEN
		IF strInfoKey = 'name' THEN</v>
      </c>
      <c r="AB108" t="str">
        <f ca="1"/>
        <v xml:space="preserve">
	//Corrugated Sheet Feeder
	ELSIF uiInfoIdx = 2 THEN
		IF strInfoKey = 'name' THEN
			strRt	:= 'Corrugated Sheet Feeder';</v>
      </c>
      <c r="AC108" t="str">
        <f ca="1"/>
        <v xml:space="preserve">
	//Corrugated Sheet Feeder
	ELSIF uiInfoIdx = 2 THEN
		IF strInfoKey = 'name' THEN
			strRt	:= 'Corrugated Sheet Feeder';
		ELSIF strInfoKey = 'index_name' THEN</v>
      </c>
      <c r="AD108" t="str">
        <f ca="1"/>
        <v xml:space="preserve">
	//Corrugated Sheet Feeder
	ELSIF uiInfoIdx = 2 THEN
		IF strInfoKey = 'name' THEN
			strRt	:= 'Corrugated Sheet Feeder';
		ELSIF strInfoKey = 'index_name' THEN
			strRt	:= '【unit2】 Corrugated Sheet Feeder';</v>
      </c>
      <c r="AE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</v>
      </c>
      <c r="AF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</v>
      </c>
      <c r="AG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</v>
      </c>
      <c r="AH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</v>
      </c>
      <c r="AI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  <c r="AJ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  <c r="AK108" t="str">
        <f ca="1"/>
        <v xml:space="preserve">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3"/>
        <v>unit</v>
      </c>
      <c r="F109">
        <f>COUNTIF(E$4:E109,E109)</f>
        <v>3</v>
      </c>
      <c r="G109" t="str">
        <v/>
      </c>
      <c r="H109">
        <v>61</v>
      </c>
      <c r="I109" t="str">
        <f ca="1"/>
        <v>Brazing Foil Feeder</v>
      </c>
      <c r="J109" t="str">
        <f ca="1"/>
        <v>Brazing Foil Feeder</v>
      </c>
      <c r="L109" t="str">
        <f ca="1"/>
        <v>【unit3】 Brazing Foil Feeder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S109">
        <f t="shared" ca="1" si="2"/>
        <v>-35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//Brazing Foil Feeder
	ELSIF uiInfoIdx = 3 THEN</v>
      </c>
      <c r="AA109" t="str">
        <f ca="1"/>
        <v xml:space="preserve">
	//Brazing Foil Feeder
	ELSIF uiInfoIdx = 3 THEN
		IF strInfoKey = 'name' THEN</v>
      </c>
      <c r="AB109" t="str">
        <f ca="1"/>
        <v xml:space="preserve">
	//Brazing Foil Feeder
	ELSIF uiInfoIdx = 3 THEN
		IF strInfoKey = 'name' THEN
			strRt	:= 'Brazing Foil Feeder';</v>
      </c>
      <c r="AC109" t="str">
        <f ca="1"/>
        <v xml:space="preserve">
	//Brazing Foil Feeder
	ELSIF uiInfoIdx = 3 THEN
		IF strInfoKey = 'name' THEN
			strRt	:= 'Brazing Foil Feeder';
		ELSIF strInfoKey = 'index_name' THEN</v>
      </c>
      <c r="AD109" t="str">
        <f ca="1"/>
        <v xml:space="preserve">
	//Brazing Foil Feeder
	ELSIF uiInfoIdx = 3 THEN
		IF strInfoKey = 'name' THEN
			strRt	:= 'Brazing Foil Feeder';
		ELSIF strInfoKey = 'index_name' THEN
			strRt	:= '【unit3】 Brazing Foil Feeder';</v>
      </c>
      <c r="AE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</v>
      </c>
      <c r="AF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</v>
      </c>
      <c r="AG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</v>
      </c>
      <c r="AH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</v>
      </c>
      <c r="AI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  <c r="AJ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  <c r="AK109" t="str">
        <f ca="1"/>
        <v xml:space="preserve">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3"/>
        <v>unit</v>
      </c>
      <c r="F110">
        <f>COUNTIF(E$4:E110,E110)</f>
        <v>4</v>
      </c>
      <c r="G110" t="str">
        <v/>
      </c>
      <c r="H110">
        <v>62</v>
      </c>
      <c r="I110" t="str">
        <f ca="1"/>
        <v>Winding Unit</v>
      </c>
      <c r="J110" t="str">
        <f ca="1"/>
        <v>Winding Unit</v>
      </c>
      <c r="L110" t="str">
        <f ca="1"/>
        <v>【unit4】 Winding Unit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S110">
        <f t="shared" ca="1" si="2"/>
        <v>-42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//Winding Unit
	ELSIF uiInfoIdx = 4 THEN</v>
      </c>
      <c r="AA110" t="str">
        <f ca="1"/>
        <v xml:space="preserve">
	//Winding Unit
	ELSIF uiInfoIdx = 4 THEN
		IF strInfoKey = 'name' THEN</v>
      </c>
      <c r="AB110" t="str">
        <f ca="1"/>
        <v xml:space="preserve">
	//Winding Unit
	ELSIF uiInfoIdx = 4 THEN
		IF strInfoKey = 'name' THEN
			strRt	:= 'Winding Unit';</v>
      </c>
      <c r="AC110" t="str">
        <f ca="1"/>
        <v xml:space="preserve">
	//Winding Unit
	ELSIF uiInfoIdx = 4 THEN
		IF strInfoKey = 'name' THEN
			strRt	:= 'Winding Unit';
		ELSIF strInfoKey = 'index_name' THEN</v>
      </c>
      <c r="AD110" t="str">
        <f ca="1"/>
        <v xml:space="preserve">
	//Winding Unit
	ELSIF uiInfoIdx = 4 THEN
		IF strInfoKey = 'name' THEN
			strRt	:= 'Winding Unit';
		ELSIF strInfoKey = 'index_name' THEN
			strRt	:= '【unit4】 Winding Unit';</v>
      </c>
      <c r="AE110" t="str">
        <f ca="1"/>
        <v xml:space="preserve">
	//Winding Unit
	ELSIF uiInfoIdx = 4 THEN
		IF strInfoKey = 'name' THEN
			strRt	:= 'Winding Unit';
		ELSIF strInfoKey = 'index_name' THEN
			strRt	:= '【unit4】 Winding Unit';
		ELSIF strInfoKey = 'model' THEN</v>
      </c>
      <c r="AF110" t="str">
        <f ca="1"/>
        <v xml:space="preserve">
	//Winding Unit
	ELSIF uiInfoIdx = 4 THEN
		IF strInfoKey = 'name' THEN
			strRt	:= 'Winding Unit';
		ELSIF strInfoKey = 'index_name' THEN
			strRt	:= '【unit4】 Winding Unit';
		ELSIF strInfoKey = 'model' THEN
			strRt	:= 'unknown';</v>
      </c>
      <c r="AG110" t="str">
        <f ca="1"/>
        <v xml:space="preserve">
	//Winding Unit
	ELSIF uiInfoIdx = 4 THEN
		IF strInfoKey = 'name' THEN
			strRt	:= 'Winding Unit';
		ELSIF strInfoKey = 'index_name' THEN
			strRt	:= '【unit4】 Winding Unit';
		ELSIF strInfoKey = 'model' THEN
			strRt	:= 'unknown';
		ELSIF strInfoKey = 'mf' THEN</v>
      </c>
      <c r="AH110" t="str">
        <f ca="1"/>
        <v xml:space="preserve">
	//Winding Unit
	ELSIF uiInfoIdx = 4 THEN
		IF strInfoKey = 'name' THEN
			strRt	:= 'Winding Unit';
		ELSIF strInfoKey = 'index_name' THEN
			strRt	:= '【unit4】 Winding Unit';
		ELSIF strInfoKey = 'model' THEN
			strRt	:= 'unknown';
		ELSIF strInfoKey = 'mf' THEN
			strRt	:= 'unknown';</v>
      </c>
      <c r="AI110" t="str">
        <f ca="1"/>
        <v xml:space="preserve">
	//Winding Unit
	ELSIF uiInfoIdx = 4 THEN
		IF strInfoKey = 'name' THEN
			strRt	:= 'Winding Unit';
		ELSIF strInfoKey = 'index_name' THEN
			strRt	:= '【unit4】 Winding Unit';
		ELSIF strInfoKey = 'model' THEN
			strRt	:= 'unknown';
		ELSIF strInfoKey = 'mf' THEN
			strRt	:= 'unknown';
		ELSE
			uiErrCode	:= 3;
		END_IF;</v>
      </c>
      <c r="AJ110" t="str">
        <f ca="1"/>
        <v xml:space="preserve">
	//Winding Unit
	ELSIF uiInfoIdx = 4 THEN
		IF strInfoKey = 'name' THEN
			strRt	:= 'Winding Unit';
		ELSIF strInfoKey = 'index_name' THEN
			strRt	:= '【unit4】 Winding Unit';
		ELSIF strInfoKey = 'model' THEN
			strRt	:= 'unknown';
		ELSIF strInfoKey = 'mf' THEN
			strRt	:= 'unknown';
		ELSE
			uiErrCode	:= 3;
		END_IF;</v>
      </c>
      <c r="AK110" t="str">
        <f ca="1"/>
        <v xml:space="preserve">
	//Winding Unit
	ELSIF uiInfoIdx = 4 THEN
		IF strInfoKey = 'name' THEN
			strRt	:= 'Winding Unit';
		ELSIF strInfoKey = 'index_name' THEN
			strRt	:= '【unit4】 Winding Unit';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3"/>
        <v>unit</v>
      </c>
      <c r="F111">
        <f>COUNTIF(E$4:E111,E111)</f>
        <v>5</v>
      </c>
      <c r="G111" t="str">
        <v/>
      </c>
      <c r="H111">
        <v>63</v>
      </c>
      <c r="I111" t="str">
        <f ca="1"/>
        <v>Welding Unit</v>
      </c>
      <c r="J111" t="str">
        <f ca="1"/>
        <v>Welding Unit</v>
      </c>
      <c r="L111" t="str">
        <f ca="1"/>
        <v>【unit5】 Welding Unit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S111">
        <f t="shared" ca="1" si="2"/>
        <v>-42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//Welding Unit
	ELSIF uiInfoIdx = 5 THEN</v>
      </c>
      <c r="AA111" t="str">
        <f ca="1"/>
        <v xml:space="preserve">
	//Welding Unit
	ELSIF uiInfoIdx = 5 THEN
		IF strInfoKey = 'name' THEN</v>
      </c>
      <c r="AB111" t="str">
        <f ca="1"/>
        <v xml:space="preserve">
	//Welding Unit
	ELSIF uiInfoIdx = 5 THEN
		IF strInfoKey = 'name' THEN
			strRt	:= 'Welding Unit';</v>
      </c>
      <c r="AC111" t="str">
        <f ca="1"/>
        <v xml:space="preserve">
	//Welding Unit
	ELSIF uiInfoIdx = 5 THEN
		IF strInfoKey = 'name' THEN
			strRt	:= 'Welding Unit';
		ELSIF strInfoKey = 'index_name' THEN</v>
      </c>
      <c r="AD111" t="str">
        <f ca="1"/>
        <v xml:space="preserve">
	//Welding Unit
	ELSIF uiInfoIdx = 5 THEN
		IF strInfoKey = 'name' THEN
			strRt	:= 'Welding Unit';
		ELSIF strInfoKey = 'index_name' THEN
			strRt	:= '【unit5】 Welding Unit';</v>
      </c>
      <c r="AE111" t="str">
        <f ca="1"/>
        <v xml:space="preserve">
	//Welding Unit
	ELSIF uiInfoIdx = 5 THEN
		IF strInfoKey = 'name' THEN
			strRt	:= 'Welding Unit';
		ELSIF strInfoKey = 'index_name' THEN
			strRt	:= '【unit5】 Welding Unit';
		ELSIF strInfoKey = 'model' THEN</v>
      </c>
      <c r="AF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</v>
      </c>
      <c r="AG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</v>
      </c>
      <c r="AH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</v>
      </c>
      <c r="AI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  <c r="AJ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  <c r="AK111" t="str">
        <f ca="1"/>
        <v xml:space="preserve">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3"/>
        <v>unit</v>
      </c>
      <c r="F112">
        <f>COUNTIF(E$4:E112,E112)</f>
        <v>6</v>
      </c>
      <c r="G112" t="str">
        <v/>
      </c>
      <c r="H112">
        <v>64</v>
      </c>
      <c r="I112" t="str">
        <f ca="1"/>
        <v>Discharge Unit</v>
      </c>
      <c r="J112" t="str">
        <f ca="1"/>
        <v>Discharge Unit</v>
      </c>
      <c r="L112" t="str">
        <f ca="1"/>
        <v>【unit6】 Discharge Unit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S112">
        <f t="shared" ca="1" si="2"/>
        <v>-40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//Discharge Unit
	ELSIF uiInfoIdx = 6 THEN</v>
      </c>
      <c r="AA112" t="str">
        <f ca="1"/>
        <v xml:space="preserve">
	//Discharge Unit
	ELSIF uiInfoIdx = 6 THEN
		IF strInfoKey = 'name' THEN</v>
      </c>
      <c r="AB112" t="str">
        <f ca="1"/>
        <v xml:space="preserve">
	//Discharge Unit
	ELSIF uiInfoIdx = 6 THEN
		IF strInfoKey = 'name' THEN
			strRt	:= 'Discharge Unit';</v>
      </c>
      <c r="AC112" t="str">
        <f ca="1"/>
        <v xml:space="preserve">
	//Discharge Unit
	ELSIF uiInfoIdx = 6 THEN
		IF strInfoKey = 'name' THEN
			strRt	:= 'Discharge Unit';
		ELSIF strInfoKey = 'index_name' THEN</v>
      </c>
      <c r="AD112" t="str">
        <f ca="1"/>
        <v xml:space="preserve">
	//Discharge Unit
	ELSIF uiInfoIdx = 6 THEN
		IF strInfoKey = 'name' THEN
			strRt	:= 'Discharge Unit';
		ELSIF strInfoKey = 'index_name' THEN
			strRt	:= '【unit6】 Discharge Unit';</v>
      </c>
      <c r="AE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</v>
      </c>
      <c r="AF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</v>
      </c>
      <c r="AG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</v>
      </c>
      <c r="AH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</v>
      </c>
      <c r="AI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  <c r="AJ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  <c r="AK112" t="str">
        <f ca="1"/>
        <v xml:space="preserve">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3"/>
        <v>unit</v>
      </c>
      <c r="F113">
        <f>COUNTIF(E$4:E113,E113)</f>
        <v>7</v>
      </c>
      <c r="G113" t="str">
        <v/>
      </c>
      <c r="H113">
        <v>65</v>
      </c>
      <c r="I113" t="str">
        <f ca="1"/>
        <v>X-Roll Tower Unit</v>
      </c>
      <c r="J113" t="str">
        <f ca="1"/>
        <v>X-Roll Tower Unit</v>
      </c>
      <c r="L113" t="str">
        <f ca="1"/>
        <v>【unit7】 X-Roll Tower Unit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S113">
        <f t="shared" ca="1" si="2"/>
        <v>-37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//X-Roll Tower Unit
	ELSIF uiInfoIdx = 7 THEN</v>
      </c>
      <c r="AA113" t="str">
        <f ca="1"/>
        <v xml:space="preserve">
	//X-Roll Tower Unit
	ELSIF uiInfoIdx = 7 THEN
		IF strInfoKey = 'name' THEN</v>
      </c>
      <c r="AB113" t="str">
        <f ca="1"/>
        <v xml:space="preserve">
	//X-Roll Tower Unit
	ELSIF uiInfoIdx = 7 THEN
		IF strInfoKey = 'name' THEN
			strRt	:= 'X-Roll Tower Unit';</v>
      </c>
      <c r="AC113" t="str">
        <f ca="1"/>
        <v xml:space="preserve">
	//X-Roll Tower Unit
	ELSIF uiInfoIdx = 7 THEN
		IF strInfoKey = 'name' THEN
			strRt	:= 'X-Roll Tower Unit';
		ELSIF strInfoKey = 'index_name' THEN</v>
      </c>
      <c r="AD113" t="str">
        <f ca="1"/>
        <v xml:space="preserve">
	//X-Roll Tower Unit
	ELSIF uiInfoIdx = 7 THEN
		IF strInfoKey = 'name' THEN
			strRt	:= 'X-Roll Tower Unit';
		ELSIF strInfoKey = 'index_name' THEN
			strRt	:= '【unit7】 X-Roll Tower Unit';</v>
      </c>
      <c r="AE113" t="str">
        <f ca="1"/>
        <v xml:space="preserve">
	//X-Roll Tower Unit
	ELSIF uiInfoIdx = 7 THEN
		IF strInfoKey = 'name' THEN
			strRt	:= 'X-Roll Tower Unit';
		ELSIF strInfoKey = 'index_name' THEN
			strRt	:= '【unit7】 X-Roll Tower Unit';
		ELSIF strInfoKey = 'model' THEN</v>
      </c>
      <c r="AF113" t="str">
        <f ca="1"/>
        <v xml:space="preserve">
	//X-Roll Tower Unit
	ELSIF uiInfoIdx = 7 THEN
		IF strInfoKey = 'name' THEN
			strRt	:= 'X-Roll Tower Unit';
		ELSIF strInfoKey = 'index_name' THEN
			strRt	:= '【unit7】 X-Roll Tower Unit';
		ELSIF strInfoKey = 'model' THEN
			strRt	:= 'unknown';</v>
      </c>
      <c r="AG113" t="str">
        <f ca="1"/>
        <v xml:space="preserve">
	//X-Roll Tower Unit
	ELSIF uiInfoIdx = 7 THEN
		IF strInfoKey = 'name' THEN
			strRt	:= 'X-Roll Tower Unit';
		ELSIF strInfoKey = 'index_name' THEN
			strRt	:= '【unit7】 X-Roll Tower Unit';
		ELSIF strInfoKey = 'model' THEN
			strRt	:= 'unknown';
		ELSIF strInfoKey = 'mf' THEN</v>
      </c>
      <c r="AH113" t="str">
        <f ca="1"/>
        <v xml:space="preserve">
	//X-Roll Tower Unit
	ELSIF uiInfoIdx = 7 THEN
		IF strInfoKey = 'name' THEN
			strRt	:= 'X-Roll Tower Unit';
		ELSIF strInfoKey = 'index_name' THEN
			strRt	:= '【unit7】 X-Roll Tower Unit';
		ELSIF strInfoKey = 'model' THEN
			strRt	:= 'unknown';
		ELSIF strInfoKey = 'mf' THEN
			strRt	:= 'unknown';</v>
      </c>
      <c r="AI113" t="str">
        <f ca="1"/>
        <v xml:space="preserve">
	//X-Roll Tower Unit
	ELSIF uiInfoIdx = 7 THEN
		IF strInfoKey = 'name' THEN
			strRt	:= 'X-Roll Tower Unit';
		ELSIF strInfoKey = 'index_name' THEN
			strRt	:= '【unit7】 X-Roll Tower Unit';
		ELSIF strInfoKey = 'model' THEN
			strRt	:= 'unknown';
		ELSIF strInfoKey = 'mf' THEN
			strRt	:= 'unknown';
		ELSE
			uiErrCode	:= 3;
		END_IF;</v>
      </c>
      <c r="AJ113" t="str">
        <f ca="1"/>
        <v xml:space="preserve">
	//X-Roll Tower Unit
	ELSIF uiInfoIdx = 7 THEN
		IF strInfoKey = 'name' THEN
			strRt	:= 'X-Roll Tower Unit';
		ELSIF strInfoKey = 'index_name' THEN
			strRt	:= '【unit7】 X-Roll Tower Unit';
		ELSIF strInfoKey = 'model' THEN
			strRt	:= 'unknown';
		ELSIF strInfoKey = 'mf' THEN
			strRt	:= 'unknown';
		ELSE
			uiErrCode	:= 3;
		END_IF;</v>
      </c>
      <c r="AK113" t="str">
        <f ca="1"/>
        <v xml:space="preserve">
	//X-Roll Tower Unit
	ELSIF uiInfoIdx = 7 THEN
		IF strInfoKey = 'name' THEN
			strRt	:= 'X-Roll Tower Unit';
		ELSIF strInfoKey = 'index_name' THEN
			strRt	:= '【unit7】 X-Roll Tower Unit';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3"/>
        <v>unit</v>
      </c>
      <c r="F114">
        <f>COUNTIF(E$4:E114,E114)</f>
        <v>8</v>
      </c>
      <c r="G114" t="str">
        <v/>
      </c>
      <c r="H114">
        <v>66</v>
      </c>
      <c r="I114" t="str">
        <f ca="1"/>
        <v>Brazing Foil Reel Unit</v>
      </c>
      <c r="J114" t="str">
        <f ca="1"/>
        <v>Brazing Foil Reel Unit</v>
      </c>
      <c r="L114" t="str">
        <f ca="1"/>
        <v>【unit8】 Brazing Foil Reel Unit</v>
      </c>
      <c r="M114" t="str">
        <v/>
      </c>
      <c r="N114" t="str">
        <v>unknown</v>
      </c>
      <c r="O114" t="str">
        <f ca="1"/>
        <v/>
      </c>
      <c r="P114" t="str">
        <f ca="1"/>
        <v>unknown</v>
      </c>
      <c r="S114">
        <f t="shared" ca="1" si="2"/>
        <v>-32</v>
      </c>
      <c r="X114" t="str">
        <f ca="1"/>
        <v xml:space="preserve">
</v>
      </c>
      <c r="Y114" t="str">
        <f ca="1"/>
        <v xml:space="preserve">
</v>
      </c>
      <c r="Z114" t="str">
        <f ca="1"/>
        <v xml:space="preserve">
	//Brazing Foil Reel Unit
	ELSIF uiInfoIdx = 8 THEN</v>
      </c>
      <c r="AA114" t="str">
        <f ca="1"/>
        <v xml:space="preserve">
	//Brazing Foil Reel Unit
	ELSIF uiInfoIdx = 8 THEN
		IF strInfoKey = 'name' THEN</v>
      </c>
      <c r="AB114" t="str">
        <f ca="1"/>
        <v xml:space="preserve">
	//Brazing Foil Reel Unit
	ELSIF uiInfoIdx = 8 THEN
		IF strInfoKey = 'name' THEN
			strRt	:= 'Brazing Foil Reel Unit';</v>
      </c>
      <c r="AC114" t="str">
        <f ca="1"/>
        <v xml:space="preserve">
	//Brazing Foil Reel Unit
	ELSIF uiInfoIdx = 8 THEN
		IF strInfoKey = 'name' THEN
			strRt	:= 'Brazing Foil Reel Unit';
		ELSIF strInfoKey = 'index_name' THEN</v>
      </c>
      <c r="AD114" t="str">
        <f ca="1"/>
        <v xml:space="preserve">
	//Brazing Foil Reel Unit
	ELSIF uiInfoIdx = 8 THEN
		IF strInfoKey = 'name' THEN
			strRt	:= 'Brazing Foil Reel Unit';
		ELSIF strInfoKey = 'index_name' THEN
			strRt	:= '【unit8】 Brazing Foil Reel Unit';</v>
      </c>
      <c r="AE114" t="str">
        <f ca="1"/>
        <v xml:space="preserve">
	//Brazing Foil Reel Unit
	ELSIF uiInfoIdx = 8 THEN
		IF strInfoKey = 'name' THEN
			strRt	:= 'Brazing Foil Reel Unit';
		ELSIF strInfoKey = 'index_name' THEN
			strRt	:= '【unit8】 Brazing Foil Reel Unit';
		ELSIF strInfoKey = 'model' THEN</v>
      </c>
      <c r="AF114" t="str">
        <f ca="1"/>
        <v xml:space="preserve">
	//Brazing Foil Reel Unit
	ELSIF uiInfoIdx = 8 THEN
		IF strInfoKey = 'name' THEN
			strRt	:= 'Brazing Foil Reel Unit';
		ELSIF strInfoKey = 'index_name' THEN
			strRt	:= '【unit8】 Brazing Foil Reel Unit';
		ELSIF strInfoKey = 'model' THEN
			strRt	:= 'unknown';</v>
      </c>
      <c r="AG114" t="str">
        <f ca="1"/>
        <v xml:space="preserve">
	//Brazing Foil Reel Unit
	ELSIF uiInfoIdx = 8 THEN
		IF strInfoKey = 'name' THEN
			strRt	:= 'Brazing Foil Reel Unit';
		ELSIF strInfoKey = 'index_name' THEN
			strRt	:= '【unit8】 Brazing Foil Reel Unit';
		ELSIF strInfoKey = 'model' THEN
			strRt	:= 'unknown';
		ELSIF strInfoKey = 'mf' THEN</v>
      </c>
      <c r="AH114" t="str">
        <f ca="1"/>
        <v xml:space="preserve">
	//Brazing Foil Reel Unit
	ELSIF uiInfoIdx = 8 THEN
		IF strInfoKey = 'name' THEN
			strRt	:= 'Brazing Foil Reel Unit';
		ELSIF strInfoKey = 'index_name' THEN
			strRt	:= '【unit8】 Brazing Foil Reel Unit';
		ELSIF strInfoKey = 'model' THEN
			strRt	:= 'unknown';
		ELSIF strInfoKey = 'mf' THEN
			strRt	:= 'unknown';</v>
      </c>
      <c r="AI114" t="str">
        <f ca="1"/>
        <v xml:space="preserve">
	//Brazing Foil Reel Unit
	ELSIF uiInfoIdx = 8 THEN
		IF strInfoKey = 'name' THEN
			strRt	:= 'Brazing Foil Reel Unit';
		ELSIF strInfoKey = 'index_name' THEN
			strRt	:= '【unit8】 Brazing Foil Reel Unit';
		ELSIF strInfoKey = 'model' THEN
			strRt	:= 'unknown';
		ELSIF strInfoKey = 'mf' THEN
			strRt	:= 'unknown';
		ELSE
			uiErrCode	:= 3;
		END_IF;</v>
      </c>
      <c r="AJ114" t="str">
        <f ca="1"/>
        <v xml:space="preserve">
	//Brazing Foil Reel Unit
	ELSIF uiInfoIdx = 8 THEN
		IF strInfoKey = 'name' THEN
			strRt	:= 'Brazing Foil Reel Unit';
		ELSIF strInfoKey = 'index_name' THEN
			strRt	:= '【unit8】 Brazing Foil Reel Unit';
		ELSIF strInfoKey = 'model' THEN
			strRt	:= 'unknown';
		ELSIF strInfoKey = 'mf' THEN
			strRt	:= 'unknown';
		ELSE
			uiErrCode	:= 3;
		END_IF;</v>
      </c>
      <c r="AK114" t="str">
        <f ca="1"/>
        <v xml:space="preserve">
	//Brazing Foil Reel Unit
	ELSIF uiInfoIdx = 8 THEN
		IF strInfoKey = 'name' THEN
			strRt	:= 'Brazing Foil Reel Unit';
		ELSIF strInfoKey = 'index_name' THEN
			strRt	:= '【unit8】 Brazing Foil Reel Unit';
		ELSIF strInfoKey = 'model' THEN
			strRt	:= 'unknown';
		ELSIF strInfoKey = 'mf' THEN
			strRt	:= 'unknown';
		ELSE
			uiErrCode	:= 3;
		END_IF;</v>
      </c>
    </row>
    <row r="115" spans="5:37" x14ac:dyDescent="0.55000000000000004">
      <c r="E115" t="str">
        <f t="shared" si="3"/>
        <v>unit</v>
      </c>
      <c r="F115">
        <f>COUNTIF(E$4:E115,E115)</f>
        <v>9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S115">
        <f t="shared" ca="1" si="2"/>
        <v>-64</v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3"/>
        <v>unit</v>
      </c>
      <c r="F116">
        <f>COUNTIF(E$4:E116,E116)</f>
        <v>10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S116">
        <f t="shared" ca="1" si="2"/>
        <v>-64</v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3"/>
        <v>unit</v>
      </c>
      <c r="F117">
        <f>COUNTIF(E$4:E117,E117)</f>
        <v>11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S117">
        <f t="shared" ca="1" si="2"/>
        <v>-64</v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3"/>
        <v>unit</v>
      </c>
      <c r="F118">
        <f>COUNTIF(E$4:E118,E118)</f>
        <v>12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S118">
        <f t="shared" ca="1" si="2"/>
        <v>-64</v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3"/>
        <v>unit</v>
      </c>
      <c r="F119">
        <f>COUNTIF(E$4:E119,E119)</f>
        <v>13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S119">
        <f t="shared" ca="1" si="2"/>
        <v>-64</v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3"/>
        <v>unit</v>
      </c>
      <c r="F120">
        <f>COUNTIF(E$4:E120,E120)</f>
        <v>14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S120">
        <f t="shared" ca="1" si="2"/>
        <v>-64</v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3"/>
        <v>unit</v>
      </c>
      <c r="F121">
        <f>COUNTIF(E$4:E121,E121)</f>
        <v>15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S121">
        <f t="shared" ca="1" si="2"/>
        <v>-64</v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3"/>
        <v>unit</v>
      </c>
      <c r="F122">
        <f>COUNTIF(E$4:E122,E122)</f>
        <v>16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S122">
        <f t="shared" ca="1" si="2"/>
        <v>-64</v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3"/>
        <v>unit</v>
      </c>
      <c r="F123">
        <f>COUNTIF(E$4:E123,E123)</f>
        <v>17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S123">
        <f t="shared" ca="1" si="2"/>
        <v>-64</v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3"/>
        <v>unit</v>
      </c>
      <c r="F124">
        <f>COUNTIF(E$4:E124,E124)</f>
        <v>18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S124">
        <f t="shared" ca="1" si="2"/>
        <v>-64</v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3"/>
        <v>unit</v>
      </c>
      <c r="F125">
        <f>COUNTIF(E$4:E125,E125)</f>
        <v>19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S125">
        <f t="shared" ca="1" si="2"/>
        <v>-64</v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3"/>
        <v>unit</v>
      </c>
      <c r="F126">
        <f>COUNTIF(E$4:E126,E126)</f>
        <v>20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S126">
        <f t="shared" ca="1" si="2"/>
        <v>-64</v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3"/>
        <v>unit</v>
      </c>
      <c r="F127">
        <f>COUNTIF(E$4:E127,E127)</f>
        <v>21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S127">
        <f t="shared" ca="1" si="2"/>
        <v>-64</v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3"/>
        <v>unit</v>
      </c>
      <c r="F128">
        <f>COUNTIF(E$4:E128,E128)</f>
        <v>22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S128">
        <f t="shared" ca="1" si="2"/>
        <v>-64</v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3"/>
        <v>unit</v>
      </c>
      <c r="F129">
        <f>COUNTIF(E$4:E129,E129)</f>
        <v>23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S129">
        <f t="shared" ca="1" si="2"/>
        <v>-64</v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3"/>
        <v>unit</v>
      </c>
      <c r="F130">
        <f>COUNTIF(E$4:E130,E130)</f>
        <v>24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S130">
        <f t="shared" ca="1" si="2"/>
        <v>-64</v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3"/>
        <v>unit</v>
      </c>
      <c r="F131">
        <f>COUNTIF(E$4:E131,E131)</f>
        <v>25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S131">
        <f t="shared" ca="1" si="2"/>
        <v>-64</v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3"/>
        <v>unit</v>
      </c>
      <c r="F132">
        <f>COUNTIF(E$4:E132,E132)</f>
        <v>26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S132">
        <f t="shared" ca="1" si="2"/>
        <v>-64</v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si="3"/>
        <v>unit</v>
      </c>
      <c r="F133">
        <f>COUNTIF(E$4:E133,E133)</f>
        <v>27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S133">
        <f t="shared" ref="S133:S196" ca="1" si="4">LENB(L133)-$B$44</f>
        <v>-64</v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ref="E134:E197" si="5">E133</f>
        <v>unit</v>
      </c>
      <c r="F134">
        <f>COUNTIF(E$4:E134,E134)</f>
        <v>28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S134">
        <f t="shared" ca="1" si="4"/>
        <v>-64</v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5"/>
        <v>unit</v>
      </c>
      <c r="F135">
        <f>COUNTIF(E$4:E135,E135)</f>
        <v>29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S135">
        <f t="shared" ca="1" si="4"/>
        <v>-64</v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5"/>
        <v>unit</v>
      </c>
      <c r="F136">
        <f>COUNTIF(E$4:E136,E136)</f>
        <v>30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S136">
        <f t="shared" ca="1" si="4"/>
        <v>-64</v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5"/>
        <v>unit</v>
      </c>
      <c r="F137">
        <f>COUNTIF(E$4:E137,E137)</f>
        <v>31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S137">
        <f t="shared" ca="1" si="4"/>
        <v>-64</v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5"/>
        <v>unit</v>
      </c>
      <c r="F138">
        <f>COUNTIF(E$4:E138,E138)</f>
        <v>32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S138">
        <f t="shared" ca="1" si="4"/>
        <v>-64</v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5"/>
        <v>unit</v>
      </c>
      <c r="F139">
        <f>COUNTIF(E$4:E139,E139)</f>
        <v>33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S139">
        <f t="shared" ca="1" si="4"/>
        <v>-64</v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5"/>
        <v>unit</v>
      </c>
      <c r="F140">
        <f>COUNTIF(E$4:E140,E140)</f>
        <v>34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S140">
        <f t="shared" ca="1" si="4"/>
        <v>-64</v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5"/>
        <v>unit</v>
      </c>
      <c r="F141">
        <f>COUNTIF(E$4:E141,E141)</f>
        <v>35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S141">
        <f t="shared" ca="1" si="4"/>
        <v>-64</v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5"/>
        <v>unit</v>
      </c>
      <c r="F142">
        <f>COUNTIF(E$4:E142,E142)</f>
        <v>36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S142">
        <f t="shared" ca="1" si="4"/>
        <v>-64</v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5"/>
        <v>unit</v>
      </c>
      <c r="F143">
        <f>COUNTIF(E$4:E143,E143)</f>
        <v>37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S143">
        <f t="shared" ca="1" si="4"/>
        <v>-64</v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5"/>
        <v>unit</v>
      </c>
      <c r="F144">
        <f>COUNTIF(E$4:E144,E144)</f>
        <v>38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S144">
        <f t="shared" ca="1" si="4"/>
        <v>-64</v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5"/>
        <v>unit</v>
      </c>
      <c r="F145">
        <f>COUNTIF(E$4:E145,E145)</f>
        <v>39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S145">
        <f t="shared" ca="1" si="4"/>
        <v>-64</v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5"/>
        <v>unit</v>
      </c>
      <c r="F146">
        <f>COUNTIF(E$4:E146,E146)</f>
        <v>40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S146">
        <f t="shared" ca="1" si="4"/>
        <v>-64</v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5"/>
        <v>unit</v>
      </c>
      <c r="F147">
        <f>COUNTIF(E$4:E147,E147)</f>
        <v>41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S147">
        <f t="shared" ca="1" si="4"/>
        <v>-64</v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5"/>
        <v>unit</v>
      </c>
      <c r="F148">
        <f>COUNTIF(E$4:E148,E148)</f>
        <v>42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S148">
        <f t="shared" ca="1" si="4"/>
        <v>-64</v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5"/>
        <v>unit</v>
      </c>
      <c r="F149">
        <f>COUNTIF(E$4:E149,E149)</f>
        <v>43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S149">
        <f t="shared" ca="1" si="4"/>
        <v>-64</v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5"/>
        <v>unit</v>
      </c>
      <c r="F150">
        <f>COUNTIF(E$4:E150,E150)</f>
        <v>44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S150">
        <f t="shared" ca="1" si="4"/>
        <v>-64</v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5"/>
        <v>unit</v>
      </c>
      <c r="F151">
        <f>COUNTIF(E$4:E151,E151)</f>
        <v>45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S151">
        <f t="shared" ca="1" si="4"/>
        <v>-64</v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5"/>
        <v>unit</v>
      </c>
      <c r="F152">
        <f>COUNTIF(E$4:E152,E152)</f>
        <v>46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S152">
        <f t="shared" ca="1" si="4"/>
        <v>-64</v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5"/>
        <v>unit</v>
      </c>
      <c r="F153">
        <f>COUNTIF(E$4:E153,E153)</f>
        <v>47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S153">
        <f t="shared" ca="1" si="4"/>
        <v>-64</v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5"/>
        <v>unit</v>
      </c>
      <c r="F154">
        <f>COUNTIF(E$4:E154,E154)</f>
        <v>48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S154">
        <f t="shared" ca="1" si="4"/>
        <v>-64</v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5"/>
        <v>unit</v>
      </c>
      <c r="F155">
        <f>COUNTIF(E$4:E155,E155)</f>
        <v>49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S155">
        <f t="shared" ca="1" si="4"/>
        <v>-64</v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5"/>
        <v>unit</v>
      </c>
      <c r="F156">
        <f>COUNTIF(E$4:E156,E156)</f>
        <v>50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S156">
        <f t="shared" ca="1" si="4"/>
        <v>-64</v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5"/>
        <v>unit</v>
      </c>
      <c r="F157">
        <f>COUNTIF(E$4:E157,E157)</f>
        <v>51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S157">
        <f t="shared" ca="1" si="4"/>
        <v>-64</v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5"/>
        <v>unit</v>
      </c>
      <c r="F158">
        <f>COUNTIF(E$4:E158,E158)</f>
        <v>52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S158">
        <f t="shared" ca="1" si="4"/>
        <v>-64</v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5"/>
        <v>unit</v>
      </c>
      <c r="F159">
        <f>COUNTIF(E$4:E159,E159)</f>
        <v>53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S159">
        <f t="shared" ca="1" si="4"/>
        <v>-64</v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5"/>
        <v>unit</v>
      </c>
      <c r="F160">
        <f>COUNTIF(E$4:E160,E160)</f>
        <v>54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S160">
        <f t="shared" ca="1" si="4"/>
        <v>-64</v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5"/>
        <v>unit</v>
      </c>
      <c r="F161">
        <f>COUNTIF(E$4:E161,E161)</f>
        <v>55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S161">
        <f t="shared" ca="1" si="4"/>
        <v>-64</v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5"/>
        <v>unit</v>
      </c>
      <c r="F162">
        <f>COUNTIF(E$4:E162,E162)</f>
        <v>56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S162">
        <f t="shared" ca="1" si="4"/>
        <v>-64</v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5"/>
        <v>unit</v>
      </c>
      <c r="F163">
        <f>COUNTIF(E$4:E163,E163)</f>
        <v>57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S163">
        <f t="shared" ca="1" si="4"/>
        <v>-64</v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5"/>
        <v>unit</v>
      </c>
      <c r="F164">
        <f>COUNTIF(E$4:E164,E164)</f>
        <v>58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S164">
        <f t="shared" ca="1" si="4"/>
        <v>-64</v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5"/>
        <v>unit</v>
      </c>
      <c r="F165">
        <f>COUNTIF(E$4:E165,E165)</f>
        <v>59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S165">
        <f t="shared" ca="1" si="4"/>
        <v>-64</v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5"/>
        <v>unit</v>
      </c>
      <c r="F166">
        <f>COUNTIF(E$4:E166,E166)</f>
        <v>60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S166">
        <f t="shared" ca="1" si="4"/>
        <v>-64</v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5"/>
        <v>unit</v>
      </c>
      <c r="F167">
        <f>COUNTIF(E$4:E167,E167)</f>
        <v>61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S167">
        <f t="shared" ca="1" si="4"/>
        <v>-64</v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5"/>
        <v>unit</v>
      </c>
      <c r="F168">
        <f>COUNTIF(E$4:E168,E168)</f>
        <v>62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S168">
        <f t="shared" ca="1" si="4"/>
        <v>-64</v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5"/>
        <v>unit</v>
      </c>
      <c r="F169">
        <f>COUNTIF(E$4:E169,E169)</f>
        <v>63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S169">
        <f t="shared" ca="1" si="4"/>
        <v>-64</v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5"/>
        <v>unit</v>
      </c>
      <c r="F170">
        <f>COUNTIF(E$4:E170,E170)</f>
        <v>64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S170">
        <f t="shared" ca="1" si="4"/>
        <v>-64</v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5"/>
        <v>unit</v>
      </c>
      <c r="F171">
        <f>COUNTIF(E$4:E171,E171)</f>
        <v>65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S171">
        <f t="shared" ca="1" si="4"/>
        <v>-64</v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5"/>
        <v>unit</v>
      </c>
      <c r="F172">
        <f>COUNTIF(E$4:E172,E172)</f>
        <v>66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S172">
        <f t="shared" ca="1" si="4"/>
        <v>-64</v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5"/>
        <v>unit</v>
      </c>
      <c r="F173">
        <f>COUNTIF(E$4:E173,E173)</f>
        <v>67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S173">
        <f t="shared" ca="1" si="4"/>
        <v>-64</v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5"/>
        <v>unit</v>
      </c>
      <c r="F174">
        <f>COUNTIF(E$4:E174,E174)</f>
        <v>68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S174">
        <f t="shared" ca="1" si="4"/>
        <v>-64</v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5"/>
        <v>unit</v>
      </c>
      <c r="F175">
        <f>COUNTIF(E$4:E175,E175)</f>
        <v>69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S175">
        <f t="shared" ca="1" si="4"/>
        <v>-64</v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5"/>
        <v>unit</v>
      </c>
      <c r="F176">
        <f>COUNTIF(E$4:E176,E176)</f>
        <v>70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S176">
        <f t="shared" ca="1" si="4"/>
        <v>-64</v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5"/>
        <v>unit</v>
      </c>
      <c r="F177">
        <f>COUNTIF(E$4:E177,E177)</f>
        <v>71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S177">
        <f t="shared" ca="1" si="4"/>
        <v>-64</v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5"/>
        <v>unit</v>
      </c>
      <c r="F178">
        <f>COUNTIF(E$4:E178,E178)</f>
        <v>72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S178">
        <f t="shared" ca="1" si="4"/>
        <v>-64</v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5"/>
        <v>unit</v>
      </c>
      <c r="F179">
        <f>COUNTIF(E$4:E179,E179)</f>
        <v>73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S179">
        <f t="shared" ca="1" si="4"/>
        <v>-64</v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5"/>
        <v>unit</v>
      </c>
      <c r="F180">
        <f>COUNTIF(E$4:E180,E180)</f>
        <v>74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S180">
        <f t="shared" ca="1" si="4"/>
        <v>-64</v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5"/>
        <v>unit</v>
      </c>
      <c r="F181">
        <f>COUNTIF(E$4:E181,E181)</f>
        <v>75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S181">
        <f t="shared" ca="1" si="4"/>
        <v>-64</v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5"/>
        <v>unit</v>
      </c>
      <c r="F182">
        <f>COUNTIF(E$4:E182,E182)</f>
        <v>76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S182">
        <f t="shared" ca="1" si="4"/>
        <v>-64</v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5"/>
        <v>unit</v>
      </c>
      <c r="F183">
        <f>COUNTIF(E$4:E183,E183)</f>
        <v>77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S183">
        <f t="shared" ca="1" si="4"/>
        <v>-64</v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5"/>
        <v>unit</v>
      </c>
      <c r="F184">
        <f>COUNTIF(E$4:E184,E184)</f>
        <v>78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S184">
        <f t="shared" ca="1" si="4"/>
        <v>-64</v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5"/>
        <v>unit</v>
      </c>
      <c r="F185">
        <f>COUNTIF(E$4:E185,E185)</f>
        <v>79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S185">
        <f t="shared" ca="1" si="4"/>
        <v>-64</v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5"/>
        <v>unit</v>
      </c>
      <c r="F186">
        <f>COUNTIF(E$4:E186,E186)</f>
        <v>80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S186">
        <f t="shared" ca="1" si="4"/>
        <v>-64</v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5"/>
        <v>unit</v>
      </c>
      <c r="F187">
        <f>COUNTIF(E$4:E187,E187)</f>
        <v>81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S187">
        <f t="shared" ca="1" si="4"/>
        <v>-64</v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5"/>
        <v>unit</v>
      </c>
      <c r="F188">
        <f>COUNTIF(E$4:E188,E188)</f>
        <v>82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S188">
        <f t="shared" ca="1" si="4"/>
        <v>-64</v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5"/>
        <v>unit</v>
      </c>
      <c r="F189">
        <f>COUNTIF(E$4:E189,E189)</f>
        <v>83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S189">
        <f t="shared" ca="1" si="4"/>
        <v>-64</v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5"/>
        <v>unit</v>
      </c>
      <c r="F190">
        <f>COUNTIF(E$4:E190,E190)</f>
        <v>84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S190">
        <f t="shared" ca="1" si="4"/>
        <v>-64</v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5"/>
        <v>unit</v>
      </c>
      <c r="F191">
        <f>COUNTIF(E$4:E191,E191)</f>
        <v>85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S191">
        <f t="shared" ca="1" si="4"/>
        <v>-64</v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5"/>
        <v>unit</v>
      </c>
      <c r="F192">
        <f>COUNTIF(E$4:E192,E192)</f>
        <v>86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S192">
        <f t="shared" ca="1" si="4"/>
        <v>-64</v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5"/>
        <v>unit</v>
      </c>
      <c r="F193">
        <f>COUNTIF(E$4:E193,E193)</f>
        <v>87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S193">
        <f t="shared" ca="1" si="4"/>
        <v>-64</v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5"/>
        <v>unit</v>
      </c>
      <c r="F194">
        <f>COUNTIF(E$4:E194,E194)</f>
        <v>88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S194">
        <f t="shared" ca="1" si="4"/>
        <v>-64</v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5"/>
        <v>unit</v>
      </c>
      <c r="F195">
        <f>COUNTIF(E$4:E195,E195)</f>
        <v>89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S195">
        <f t="shared" ca="1" si="4"/>
        <v>-64</v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5"/>
        <v>unit</v>
      </c>
      <c r="F196">
        <f>COUNTIF(E$4:E196,E196)</f>
        <v>90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S196">
        <f t="shared" ca="1" si="4"/>
        <v>-64</v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si="5"/>
        <v>unit</v>
      </c>
      <c r="F197">
        <f>COUNTIF(E$4:E197,E197)</f>
        <v>91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S197">
        <f t="shared" ref="S197:S203" ca="1" si="6">LENB(L197)-$B$44</f>
        <v>-64</v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ref="E198:E203" si="7">E197</f>
        <v>unit</v>
      </c>
      <c r="F198">
        <f>COUNTIF(E$4:E198,E198)</f>
        <v>92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S198">
        <f t="shared" ca="1" si="6"/>
        <v>-64</v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7"/>
        <v>unit</v>
      </c>
      <c r="F199">
        <f>COUNTIF(E$4:E199,E199)</f>
        <v>93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S199">
        <f t="shared" ca="1" si="6"/>
        <v>-64</v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7"/>
        <v>unit</v>
      </c>
      <c r="F200">
        <f>COUNTIF(E$4:E200,E200)</f>
        <v>94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S200">
        <f t="shared" ca="1" si="6"/>
        <v>-64</v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7"/>
        <v>unit</v>
      </c>
      <c r="F201">
        <f>COUNTIF(E$4:E201,E201)</f>
        <v>95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S201">
        <f t="shared" ca="1" si="6"/>
        <v>-64</v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7"/>
        <v>unit</v>
      </c>
      <c r="F202">
        <f>COUNTIF(E$4:E202,E202)</f>
        <v>96</v>
      </c>
      <c r="G202" t="str">
        <v/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S202">
        <f t="shared" ca="1" si="6"/>
        <v>-64</v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</row>
    <row r="203" spans="5:37" x14ac:dyDescent="0.55000000000000004">
      <c r="E203" t="str">
        <f t="shared" si="7"/>
        <v>unit</v>
      </c>
      <c r="F203">
        <f>COUNTIF(E$4:E203,E203)</f>
        <v>97</v>
      </c>
      <c r="G203" t="str">
        <v>●</v>
      </c>
      <c r="H203" t="str">
        <v/>
      </c>
      <c r="I203" t="str">
        <f ca="1"/>
        <v/>
      </c>
      <c r="J203" t="str">
        <f ca="1"/>
        <v/>
      </c>
      <c r="L203" t="str">
        <f ca="1"/>
        <v/>
      </c>
      <c r="M203" t="str">
        <v/>
      </c>
      <c r="N203" t="str">
        <v/>
      </c>
      <c r="O203" t="str">
        <f ca="1"/>
        <v/>
      </c>
      <c r="P203" t="str">
        <f ca="1"/>
        <v/>
      </c>
      <c r="S203">
        <f t="shared" ca="1" si="6"/>
        <v>-64</v>
      </c>
      <c r="X203" t="str">
        <f ca="1"/>
        <v/>
      </c>
      <c r="Y203" t="str">
        <f ca="1"/>
        <v/>
      </c>
      <c r="Z203" t="str">
        <f ca="1"/>
        <v/>
      </c>
      <c r="AA203" t="str">
        <f ca="1"/>
        <v/>
      </c>
      <c r="AB203" t="str">
        <f ca="1"/>
        <v/>
      </c>
      <c r="AC203" t="str">
        <f ca="1"/>
        <v/>
      </c>
      <c r="AD203" t="str">
        <f ca="1"/>
        <v/>
      </c>
      <c r="AE203" t="str">
        <f ca="1"/>
        <v/>
      </c>
      <c r="AF203" t="str">
        <f ca="1"/>
        <v/>
      </c>
      <c r="AG203" t="str">
        <f ca="1"/>
        <v/>
      </c>
      <c r="AH203" t="str">
        <f ca="1"/>
        <v/>
      </c>
      <c r="AI203" t="str">
        <f ca="1"/>
        <v/>
      </c>
      <c r="AJ203" t="str">
        <f ca="1"/>
        <v xml:space="preserve">
	ELSE
		uiErrCode	:= 2;
	END_IF;</v>
      </c>
      <c r="AK203" t="str">
        <f ca="1"/>
        <v xml:space="preserve">
	ELSE
		uiErrCode	:= 2;
	END_IF;</v>
      </c>
    </row>
    <row r="206" spans="5:37" x14ac:dyDescent="0.55000000000000004">
      <c r="AK206" t="str">
        <f ca="1">IF(LENB($B$6),$B$8&amp;$B$6,"")&amp;CHAR(10)&amp;_xlfn.CONCAT(AK$4:AK$203)&amp;CHAR(10)&amp;"ELSE"&amp;CHAR(10)&amp;CHAR(9)&amp;$B$30&amp;CHAR(9)&amp;$B$9&amp;" 1"&amp;$B$10&amp;CHAR(10)&amp;"END_IF;"&amp;IF(LENB($B$7),CHAR(10)&amp;$B$8&amp;$B$7,"")</f>
        <v>//このスクリプトは C:\tk\prj\hg-0025-0016\git\unit01\kv-x520\doc\[kv_script_conv_info.xlsx]info_index によって生成されました。
//axis
IF strInfoType = 'axis' THEN
	//Brazing Foil Reel Axis
	IF uiInfoIdx = 1 THEN
		IF strInfoKey = 'name' THEN
			strRt	:= 'Brazing Foil Reel Axis';
		ELSIF strInfoKey = 'index_name' THEN
			strRt	:= '【axis1】 Brazing Foil Reel Axis';
		ELSIF strInfoKey = 'model' THEN
			strRt	:= '5TK20GN-CW2J+5GN180K';
		ELSIF strInfoKey = 'mf' THEN
			strRt	:= 'OrientalMotor';
		ELSE
			uiErrCode	:= 3;
		END_IF;
	//Flat Sheet Feed Axis
	ELSIF uiInfoIdx = 2 THEN
		IF strInfoKey = 'name' THEN
			strRt	:= 'Flat Sheet Feed Axis';
		ELSIF strInfoKey = 'index_name' THEN
			strRt	:= '【axis2】 Flat Sheet Feed Axis';
		ELSIF strInfoKey = 'model' THEN
			strRt	:= 'AZM46AC-HP9+AZD-CEP+CC070VZR';
		ELSIF strInfoKey = 'mf' THEN
			strRt	:= 'OrientalMotor';
		ELSE
			uiErrCode	:= 3;
		END_IF;
	//Brazing Foil Feed Axis
	ELSIF uiInfoIdx = 3 THEN
		IF strInfoKey = 'name' THEN
			strRt	:= 'Brazing Foil Feed Axis';
		ELSIF strInfoKey = 'index_name' THEN
			strRt	:= '【axis3】 Brazing Foil Feed Axis';
		ELSIF strInfoKey = 'model' THEN
			strRt	:= 'AZM46AC-HP9+AZD-CEP+CC070VZR';
		ELSIF strInfoKey = 'mf' THEN
			strRt	:= 'OrientalMotor';
		ELSE
			uiErrCode	:= 3;
		END_IF;
	//Corrugated Sheet Feed Axis
	ELSIF uiInfoIdx = 4 THEN
		IF strInfoKey = 'name' THEN
			strRt	:= 'Corrugated Sheet Feed Axis';
		ELSIF strInfoKey = 'index_name' THEN
			strRt	:= '【axis4】 Corrugated Sheet Feed Axis';
		ELSIF strInfoKey = 'model' THEN
			strRt	:= 'AZM46AC-HP9+AZD-CEP+CC070VZR';
		ELSIF strInfoKey = 'mf' THEN
			strRt	:= 'OrientalMotor';
		ELSE
			uiErrCode	:= 3;
		END_IF;
	//Workpiece Discharge Lift Axis
	ELSIF uiInfoIdx = 5 THEN
		IF strInfoKey = 'name' THEN
			strRt	:= 'Workpiece Discharge Lift Axis';
		ELSIF strInfoKey = 'index_name' THEN
			strRt	:= '【axis5】 Workpiece Discharge Lift Axis';
		ELSIF strInfoKey = 'model' THEN
			strRt	:= 'RCP6-SA7R-WA-56P-16-400-P5-S-B-MR';
		ELSIF strInfoKey = 'mf' THEN
			strRt	:= 'IAI';
		ELSE
			uiErrCode	:= 3;
		END_IF;
	//Circumference Probe Lift Axis
	ELSIF uiInfoIdx = 6 THEN
		IF strInfoKey = 'name' THEN
			strRt	:= 'Circumference Probe Lift Axis';
		ELSIF strInfoKey = 'index_name' THEN
			strRt	:= '【axis6】 Circumference Probe Lift Axis';
		ELSIF strInfoKey = 'model' THEN
			strRt	:= 'RCA2-GS3NA-I-10-2-50-A6-M-K1';
		ELSIF strInfoKey = 'mf' THEN
			strRt	:= 'IAI';
		ELSE
			uiErrCode	:= 3;
		END_IF;
	//Workpiece Discharge Chuck Axis
	ELSIF uiInfoIdx = 7 THEN
		IF strInfoKey = 'name' THEN
			strRt	:= 'Workpiece Discharge Chuck Axis';
		ELSIF strInfoKey = 'index_name' THEN
			strRt	:= '【axis7】 Workpiece Discharge Chuck Axis';
		ELSIF strInfoKey = 'model' THEN
			strRt	:= 'RCP6-SA4R-WA-35P-16-150-P5-X07-MR-NM';
		ELSIF strInfoKey = 'mf' THEN
			strRt	:= 'IAI';
		ELSE
			uiErrCode	:= 3;
		END_IF;
	//Welding Torch F/B Axis
	ELSIF uiInfoIdx = 8 THEN
		IF strInfoKey = 'name' THEN
			strRt	:= 'Welding Torch F/B Axis';
		ELSIF strInfoKey = 'index_name' THEN
			strRt	:= '【axis8】 Welding Torch F/B Axis';
		ELSIF strInfoKey = 'model' THEN
			strRt	:= 'ICSB2-YSA2M-WA-20AQ-20AQBNM-T4-5L-SC/ISB【ISPB】-SXM-WA-60-8-②-T4-⑧-③';
		ELSIF strInfoKey = 'mf' THEN
			strRt	:= 'IAI';
		ELSE
			uiErrCode	:= 3;
		END_IF;
	//Welding Torch U/D Axis
	ELSIF uiInfoIdx = 9 THEN
		IF strInfoKey = 'name' THEN
			strRt	:= 'Welding Torch U/D Axis';
		ELSIF strInfoKey = 'index_name' THEN
			strRt	:= '【axis9】 Welding Torch U/D Axis';
		ELSIF strInfoKey = 'model' THEN
			strRt	:= 'ICSB2-YSA2M-WA-20AQ-20AQBNM-T4-5L-SC/ISB【ISPB】-SXM-WA-60-4-④-T4-⑧-⑤';
		ELSIF strInfoKey = 'mf' THEN
			strRt	:= 'IAI';
		ELSE
			uiErrCode	:= 3;
		END_IF;
	//Winding Spindle
	ELSIF uiInfoIdx = 10 THEN
		IF strInfoKey = 'name' THEN
			strRt	:= 'Winding Spindle';
		ELSIF strInfoKey = 'index_name' THEN
			strRt	:= '【axis10】 Winding Spindle';
		ELSIF strInfoKey = 'model' THEN
			strRt	:= 'unknown';
		ELSIF strInfoKey = 'mf' THEN
			strRt	:= 'unknown';
		ELSE
			uiErrCode	:= 3;
		END_IF;
	//Workpiece Width Adjustment Axis
	ELSIF uiInfoIdx = 11 THEN
		IF strInfoKey = 'name' THEN
			strRt	:= 'Workpiece Width Adjustment Axis';
		ELSIF strInfoKey = 'index_name' THEN
			strRt	:= '【axis11】 Workpiece Width Adjustment Axis';
		ELSIF strInfoKey = 'model' THEN
			strRt	:= 'unknown';
		ELSIF strInfoKey = 'mf' THEN
			strRt	:= 'unknown';
		ELSE
			uiErrCode	:= 3;
		END_IF;
	//Corrugated Sheet Support Axis
	ELSIF uiInfoIdx = 12 THEN
		IF strInfoKey = 'name' THEN
			strRt	:= 'Corrugated Sheet Support Axis';
		ELSIF strInfoKey = 'index_name' THEN
			strRt	:= '【axis12】 Corrugated Sheet Support Axis';
		ELSIF strInfoKey = 'model' THEN
			strRt	:= 'unknown';
		ELSIF strInfoKey = 'mf' THEN
			strRt	:= 'unknown';
		ELSE
			uiErrCode	:= 3;
		END_IF;
	//Flat Sheet Tension Axis
	ELSIF uiInfoIdx = 13 THEN
		IF strInfoKey = 'name' THEN
			strRt	:= 'Flat Sheet Tension Axis';
		ELSIF strInfoKey = 'index_name' THEN
			strRt	:= '【axis13】 Flat Sheet Tension Axis';
		ELSIF strInfoKey = 'model' THEN
			strRt	:= 'SV3-B075AK';
		ELSIF strInfoKey = 'mf' THEN
			strRt	:= 'KEYENCE';
		ELSE
			uiErrCode	:= 3;
		END_IF;
	//Flat Sheet Chuck Axis
	ELSIF uiInfoIdx = 14 THEN
		IF strInfoKey = 'name' THEN
			strRt	:= 'Flat Sheet Chuck Axis';
		ELSIF strInfoKey = 'index_name' THEN
			strRt	:= '【axis14】 Flat Sheet Chuck Axis';
		ELSIF strInfoKey = 'model' THEN
			strRt	:= 'SV3-M040AK';
		ELSIF strInfoKey = 'mf' THEN
			strRt	:= 'KEYENCE';
		ELSE
			uiErrCode	:= 3;
		END_IF;
	//Flat Sheet Chuck F/B Axis
	ELSIF uiInfoIdx = 15 THEN
		IF strInfoKey = 'name' THEN
			strRt	:= 'Flat Sheet Chuck F/B Axis';
		ELSIF strInfoKey = 'index_name' THEN
			strRt	:= '【axis15】 Flat Sheet Chuck F/B Axis';
		ELSIF strInfoKey = 'model' THEN
			strRt	:= 'AZM15AK';
		ELSIF strInfoKey = 'mf' THEN
			strRt	:= 'OrientalMotor';
		ELSE
			uiErrCode	:= 3;
		END_IF;
	//Corrugated Sheet Tension Axis
	ELSIF uiInfoIdx = 16 THEN
		IF strInfoKey = 'name' THEN
			strRt	:= 'Corrugated Sheet Tension Axis';
		ELSIF strInfoKey = 'index_name' THEN
			strRt	:= '【axis16】 Corrugated Sheet Tension Axis';
		ELSIF strInfoKey = 'model' THEN
			strRt	:= 'SV3-M040AK';
		ELSIF strInfoKey = 'mf' THEN
			strRt	:= 'KEYENCE';
		ELSE
			uiErrCode	:= 3;
		END_IF;
	//Flat Sheet Chuck Axis
	ELSIF uiInfoIdx = 17 THEN
		IF strInfoKey = 'name' THEN
			strRt	:= 'Flat Sheet Chuck Axis';
		ELSIF strInfoKey = 'index_name' THEN
			strRt	:= '【axis17】 Flat Sheet Chuck Axis';
		ELSIF strInfoKey = 'model' THEN
			strRt	:= 'RCP4-GRSWL-I-42P-28-30-P3-M-AC1';
		ELSIF strInfoKey = 'mf' THEN
			strRt	:= 'IAI';
		ELSE
			uiErrCode	:= 3;
		END_IF;
	//Flat Sheet Chuck Forward/Backward Axis
	ELSIF uiInfoIdx = 18 THEN
		IF strInfoKey = 'name' THEN
			strRt	:= 'Flat Sheet Chuck Forward/Backward Axis';
		ELSIF strInfoKey = 'index_name' THEN
			strRt	:= '【axis18】 Flat Sheet Chuck Forward/Backward Axis';
		ELSIF strInfoKey = 'model' THEN
			strRt	:= 'RCP6-TA6C-WA-42P-12-125-P3-X07-CJB-1';
		ELSIF strInfoKey = 'mf' THEN
			strRt	:= 'IAI';
		ELSE
			uiErrCode	:= 3;
		END_IF;
	//Corrugated Sheet Tension Axis
	ELSIF uiInfoIdx = 19 THEN
		IF strInfoKey = 'name' THEN
			strRt	:= 'Corrugated Sheet Tension Axis';
		ELSIF strInfoKey = 'index_name' THEN
			strRt	:= '【axis19】 Corrugated Sheet Tension Axis';
		ELSIF strInfoKey = 'model' THEN
			strRt	:= 'SV3-M040AK';
		ELSIF strInfoKey = 'mf' THEN
			strRt	:= 'IAI';
		ELSE
			uiErrCode	:= 3;
		END_IF;
	//Workpiece transportation Y-shaft
	ELSIF uiInfoIdx = 20 THEN
		IF strInfoKey = 'name' THEN
			strRt	:= 'Workpiece transportation Y-shaft';
		ELSIF strInfoKey = 'index_name' THEN
			strRt	:= '【axis20】 Workpiece transportation Y-shaft';
		ELSIF strInfoKey = 'model' THEN
			strRt	:= 'RCP6S-SA4R-WA-35P-5-150-SE-S-MR';
		ELSIF strInfoKey = 'mf' THEN
			strRt	:= 'IAI';
		ELSE
			uiErrCode	:= 3;
		END_IF;
	//Workpiece  rotation
	ELSIF uiInfoIdx = 21 THEN
		IF strInfoKey = 'name' THEN
			strRt	:= 'Workpiece  rotation';
		ELSIF strInfoKey = 'index_name' THEN
			strRt	:= '【axis21】 Workpiece  rotation';
		ELSIF strInfoKey = 'model' THEN
			strRt	:= 'RCS2-RTC12L-A-150-30-360-T2-S-L ';
		ELSIF strInfoKey = 'mf' THEN
			strRt	:= 'IAI';
		ELSE
			uiErrCode	:= 3;
		END_IF;
	//Workpiece  chuck 
	ELSIF uiInfoIdx = 22 THEN
		IF strInfoKey = 'name' THEN
			strRt	:= 'Workpiece  chuck ';
		ELSIF strInfoKey = 'index_name' THEN
			strRt	:= '【axis22】 Workpiece  chuck ';
		ELSIF strInfoKey = 'model' THEN
			strRt	:= 'RCP2-GRHB-I-42P-2-40-P1-S';
		ELSIF strInfoKey = 'mf' THEN
			strRt	:= 'IAI';
		ELSE
			uiErrCode	:= 3;
		END_IF;
	//Welding support up/down
	ELSIF uiInfoIdx = 23 THEN
		IF strInfoKey = 'name' THEN
			strRt	:= 'Welding support up/down';
		ELSIF strInfoKey = 'index_name' THEN
			strRt	:= '【axis23】 Welding support up/down';
		ELSIF strInfoKey = 'model' THEN
			strRt	:= 'RCP6S-SA7R-WA-56P-16-150-SE-S-B-MR　';
		ELSIF strInfoKey = 'mf' THEN
			strRt	:= 'IAI';
		ELSE
			uiErrCode	:= 3;
		END_IF;
	//Welding torch up/down
	ELSIF uiInfoIdx = 24 THEN
		IF strInfoKey = 'name' THEN
			strRt	:= 'Welding torch up/down';
		ELSIF strInfoKey = 'index_name' THEN
			strRt	:= '【axis24】 Welding torch up/down';
		ELSIF strInfoKey = 'model' THEN
			strRt	:= 'RCP6S-SA6C-WA-42P-3-50-SE-S-B ';
		ELSIF strInfoKey = 'mf' THEN
			strRt	:= 'IAI';
		ELSE
			uiErrCode	:= 3;
		END_IF;
	ELSE
		uiErrCode	:= 2;
	END_IF;
//EC
ELSIF strInfoType = 'EC' THEN
	//Workpiece Discharge F/B
	IF uiInfoIdx = 1 THEN
		IF strInfoKey = 'name' THEN
			strRt	:= 'Workpiece Discharge F/B';
		ELSIF strInfoKey = 'index_name' THEN
			strRt	:= '【EC1】 Workpiece Discharge F/B';
		ELSIF strInfoKey = 'model' THEN
			strRt	:= 'EC-S4HR-200-7-ML-TMD2';
		ELSIF strInfoKey = 'mf' THEN
			strRt	:= 'IAI';
		ELSE
			uiErrCode	:= 3;
		END_IF;
	ELSE
		uiErrCode	:= 2;
	END_IF;
//cylinder
ELSIF strInfoType = 'cylinder' THEN
	//Winding Spindle Center Forward/Backward
	IF uiInfoIdx = 1 THEN
		IF strInfoKey = 'name' THEN
			strRt	:= 'Winding Spindle Center Forward/Backward';
		ELSIF strInfoKey = 'index_name' THEN
			strRt	:= '【cylinder1】 Winding Spindle Center Forward/Backward';
		ELSIF strInfoKey = 'model' THEN
			strRt	:= 'CDQ2A63-200DCZ-M9BVZ';
		ELSIF strInfoKey = 'mf' THEN
			strRt	:= 'SMC';
		ELSE
			uiErrCode	:= 3;
		END_IF;
	//T-Roll Gluing Lower Roll
	ELSIF uiInfoIdx = 2 THEN
		IF strInfoKey = 'name' THEN
			strRt	:= 'T-Roll Gluing Lower Roll';
		ELSIF strInfoKey = 'index_name' THEN
			strRt	:= '【cylinder2】 T-Roll Gluing Lower Roll';
		ELSIF strInfoKey = 'model' THEN
			strRt	:= 'CDAS16×10-B-R';
		ELSIF strInfoKey = 'mf' THEN
			strRt	:= 'unknown';
		ELSE
			uiErrCode	:= 3;
		END_IF;
	//T-Roll Gluing Upper Roll
	ELSIF uiInfoIdx = 3 THEN
		IF strInfoKey = 'name' THEN
			strRt	:= 'T-Roll Gluing Upper Roll';
		ELSIF strInfoKey = 'index_name' THEN
			strRt	:= '【cylinder3】 T-Roll Gluing Upper Roll';
		ELSIF strInfoKey = 'model' THEN
			strRt	:= 'CDAS16×10-B-R';
		ELSIF strInfoKey = 'mf' THEN
			strRt	:= 'unknown';
		ELSE
			uiErrCode	:= 3;
		END_IF;
	//Flat Sheet Support Plate
	ELSIF uiInfoIdx = 4 THEN
		IF strInfoKey = 'name' THEN
			strRt	:= 'Flat Sheet Support Plate';
		ELSIF strInfoKey = 'index_name' THEN
			strRt	:= '【cylinder4】 Flat Sheet Support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
	ELSIF uiInfoIdx = 7 THEN
		IF strInfoKey = 'name' THEN
			strRt	:= 'Flat Sheet Clamp Up/Down';
		ELSIF strInfoKey = 'index_name' THEN
			strRt	:= '【cylinder7】 Flat Sheet Clamp Up/Down';
		ELSIF strInfoKey = 'model' THEN
			strRt	:= 'CDQ2B25-20DZ-M9BVM';
		ELSIF strInfoKey = 'mf' THEN
			strRt	:= 'SMC';
		ELSE
			uiErrCode	:= 3;
		END_IF;
	//Brazing Foil Clamp Up/Down
	ELSIF uiInfoIdx = 8 THEN
		IF strInfoKey = 'name' THEN
			strRt	:= 'Brazing Foil Clamp Up/Down';
		ELSIF strInfoKey = 'index_name' THEN
			strRt	:= '【cylinder8】 Brazing Foil Clamp Up/Down';
		ELSIF strInfoKey = 'model' THEN
			strRt	:= 'CDQ2D25-20DMZ-M9BM';
		ELSIF strInfoKey = 'mf' THEN
			strRt	:= 'SMC';
		ELSE
			uiErrCode	:= 3;
		END_IF;
	//Brazing Foil Cutter
	ELSIF uiInfoIdx = 9 THEN
		IF strInfoKey = 'name' THEN
			strRt	:= 'Brazing Foil Cutter';
		ELSIF strInfoKey = 'index_name' THEN
			strRt	:= '【cylinder9】 Brazing Foil Cutter';
		ELSIF strInfoKey = 'model' THEN
			strRt	:= 'CDQSKB16-10DM-M9NWVZ';
		ELSIF strInfoKey = 'mf' THEN
			strRt	:= 'SMC';
		ELSE
			uiErrCode	:= 3;
		END_IF;
	//Corrugated Sheet Clamp Up/Down
	ELSIF uiInfoIdx = 10 THEN
		IF strInfoKey = 'name' THEN
			strRt	:= 'Corrugated Sheet Clamp Up/Down';
		ELSIF strInfoKey = 'index_name' THEN
			strRt	:= '【cylinder10】 Corrugated Sheet Clamp Up/Down';
		ELSIF strInfoKey = 'model' THEN
			strRt	:= 'CDQ2B25-20DZ-M9BVM';
		ELSIF strInfoKey = 'mf' THEN
			strRt	:= 'SMC';
		ELSE
			uiErrCode	:= 3;
		END_IF;
	//Flat Sheet Cutter Blade Extend
	ELSIF uiInfoIdx = 11 THEN
		IF strInfoKey = 'name' THEN
			strRt	:= 'Flat Sheet Cutter Blade Extend';
		ELSIF strInfoKey = 'index_name' THEN
			strRt	:= '【cylinder11】 Flat Sheet Cutter Blade Extend';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Extend
	ELSIF uiInfoIdx = 13 THEN
		IF strInfoKey = 'name' THEN
			strRt	:= 'Corrugated Sheet Cutter Blade Extend';
		ELSIF strInfoKey = 'index_name' THEN
			strRt	:= '【cylinder13】 Corrugated Sheet Cutter Blade Extend';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Support
	ELSIF uiInfoIdx = 15 THEN
		IF strInfoKey = 'name' THEN
			strRt	:= 'Corrugated Sheet Cutter Support';
		ELSIF strInfoKey = 'index_name' THEN
			strRt	:= '【cylinder15】 Corrugated Sheet Cutter Support';
		ELSIF strInfoKey = 'model' THEN
			strRt	:= 'CXSJM10P-10-M9BL';
		ELSIF strInfoKey = 'mf' THEN
			strRt	:= 'SMC';
		ELSE
			uiErrCode	:= 3;
		END_IF;
	//Corrugated Sheet Cutter Support L
	ELSIF uiInfoIdx = 16 THEN
		IF strInfoKey = 'name' THEN
			strRt	:= 'Corrugated Sheet Cutter Support L';
		ELSIF strInfoKey = 'index_name' THEN
			strRt	:= '【cylinder16】 Corrugated Sheet Cutter Support L';
		ELSIF strInfoKey = 'model' THEN
			strRt	:= 'CXSJM10P-10-M9BL';
		ELSIF strInfoKey = 'mf' THEN
			strRt	:= 'SMC';
		ELSE
			uiErrCode	:= 3;
		END_IF;
	//X-Roll Gluing Left Roll
	ELSIF uiInfoIdx = 17 THEN
		IF strInfoKey = 'name' THEN
			strRt	:= 'X-Roll Gluing Left Roll';
		ELSIF strInfoKey = 'index_name' THEN
			strRt	:= '【cylinder17】 X-Roll Gluing Left Roll';
		ELSIF strInfoKey = 'model' THEN
			strRt	:= 'CDM2RA20-25Z-M9BWV';
		ELSIF strInfoKey = 'mf' THEN
			strRt	:= 'unknown';
		ELSE
			uiErrCode	:= 3;
		END_IF;
	//X-Roll Gluing Right Roll
	ELSIF uiInfoIdx = 18 THEN
		IF strInfoKey = 'name' THEN
			strRt	:= 'X-Roll Gluing Right Roll';
		ELSIF strInfoKey = 'index_name' THEN
			strRt	:= '【cylinder18】 X-Roll Gluing Right Roll';
		ELSIF strInfoKey = 'model' THEN
			strRt	:= 'CDM2RA20-25Z-M9BWV';
		ELSIF strInfoKey = 'mf' THEN
			strRt	:= 'unknown';
		ELSE
			uiErrCode	:= 3;
		END_IF;
	//X-Roll Flat Sheet Press
	ELSIF uiInfoIdx = 19 THEN
		IF strInfoKey = 'name' THEN
			strRt	:= 'X-Roll Flat Sheet Press';
		ELSIF strInfoKey = 'index_name' THEN
			strRt	:= '【cylinder19】 X-Roll Flat Sheet Press';
		ELSIF strInfoKey = 'model' THEN
			strRt	:= '不明';
		ELSIF strInfoKey = 'mf' THEN
			strRt	:= 'unknown';
		ELSE
			uiErrCode	:= 3;
		END_IF;
	//Brazing Foil Reel Lock
	ELSIF uiInfoIdx = 20 THEN
		IF strInfoKey = 'name' THEN
			strRt	:= 'Brazing Foil Reel Lock';
		ELSIF strInfoKey = 'index_name' THEN
			strRt	:= '【cylinder20】 Brazing Foil Reel Lock';
		ELSIF strInfoKey = 'model' THEN
			strRt	:= 'MGPM12-20Z-M9BL';
		ELSIF strInfoKey = 'mf' THEN
			strRt	:= 'MISUMI';
		ELSE
			uiErrCode	:= 3;
		END_IF;
	ELSE
		uiErrCode	:= 2;
	END_IF;
//OTH
ELSIF strInfoType = 'OTH' THEN
	//Welding Machine
	IF uiInfoIdx = 1 THEN
		IF strInfoKey = 'name' THEN
			strRt	:= 'Welding Machine';
		ELSIF strInfoKey = 'index_name' THEN
			strRt	:= '【OTH1】 Welding Machine';
		ELSIF strInfoKey = 'model' THEN
			strRt	:= 'unknown';
		ELSIF strInfoKey = 'mf' THEN
			strRt	:= 'unknown';
		ELSE
			uiErrCode	:= 3;
		END_IF;
	//X-Roll Electromagnetic Clutch
	ELSIF uiInfoIdx = 2 THEN
		IF strInfoKey = 'name' THEN
			strRt	:= 'X-Roll Electromagnetic Clutch';
		ELSIF strInfoKey = 'index_name' THEN
			strRt	:= '【OTH2】 X-Roll Electromagnetic Clutch';
		ELSIF strInfoKey = 'model' THEN
			strRt	:= 'unknown';
		ELSIF strInfoKey = 'mf' THEN
			strRt	:= 'unknown';
		ELSE
			uiErrCode	:= 3;
		END_IF;
	ELSE
		uiErrCode	:= 2;
	END_IF;
//OTHC
ELSIF strInfoType = 'OTHC' THEN
	//(Unassigned)
	IF uiInfoIdx = 1 THEN
		IF strInfoKey = 'name' THEN
			strRt	:= '(Unassigned)';
		ELSIF strInfoKey = 'index_name' THEN
			strRt	:= '【OTHC1】 (Unassigned)';
		ELSIF strInfoKey = 'model' THEN
			strRt	:= 'unknown';
		ELSIF strInfoKey = 'mf' THEN
			strRt	:= 'unknown';
		ELSE
			uiErrCode	:= 3;
		END_IF;
	//(Unassigned)
	ELSIF uiInfoIdx = 2 THEN
		IF strInfoKey = 'name' THEN
			strRt	:= '(Unassigned)';
		ELSIF strInfoKey = 'index_name' THEN
			strRt	:= '【OTHC2】 (Unassigned)';
		ELSIF strInfoKey = 'model' THEN
			strRt	:= 'unknown';
		ELSIF strInfoKey = 'mf' THEN
			strRt	:= 'unknown';
		ELSE
			uiErrCode	:= 3;
		END_IF;
	//T-Roll Gluing Axis
	ELSIF uiInfoIdx = 3 THEN
		IF strInfoKey = 'name' THEN
			strRt	:= 'T-Roll Gluing Axis';
		ELSIF strInfoKey = 'index_name' THEN
			strRt	:= '【OTHC3】 T-Roll Gluing Axis';
		ELSIF strInfoKey = 'model' THEN
			strRt	:= 'unknown';
		ELSIF strInfoKey = 'mf' THEN
			strRt	:= 'unknown';
		ELSE
			uiErrCode	:= 3;
		END_IF;
	ELSE
		uiErrCode	:= 2;
	END_IF;
//unit
ELSIF strInfoType = 'unit' THEN
	//Flat Sheet Feeder
	IF uiInfoIdx = 1 THEN
		IF strInfoKey = 'name' THEN
			strRt	:= 'Flat Sheet Feeder';
		ELSIF strInfoKey = 'index_name' THEN
			strRt	:= '【unit1】 Flat Sheet Feeder';
		ELSIF strInfoKey = 'model' THEN
			strRt	:= 'unknown';
		ELSIF strInfoKey = 'mf' THEN
			strRt	:= 'unknown';
		ELSE
			uiErrCode	:= 3;
		END_IF;
	//Corrugated Sheet Feeder
	ELSIF uiInfoIdx = 2 THEN
		IF strInfoKey = 'name' THEN
			strRt	:= 'Corrugated Sheet Feeder';
		ELSIF strInfoKey = 'index_name' THEN
			strRt	:= '【unit2】 Corrugated Sheet Feeder';
		ELSIF strInfoKey = 'model' THEN
			strRt	:= 'unknown';
		ELSIF strInfoKey = 'mf' THEN
			strRt	:= 'unknown';
		ELSE
			uiErrCode	:= 3;
		END_IF;
	//Brazing Foil Feeder
	ELSIF uiInfoIdx = 3 THEN
		IF strInfoKey = 'name' THEN
			strRt	:= 'Brazing Foil Feeder';
		ELSIF strInfoKey = 'index_name' THEN
			strRt	:= '【unit3】 Brazing Foil Feeder';
		ELSIF strInfoKey = 'model' THEN
			strRt	:= 'unknown';
		ELSIF strInfoKey = 'mf' THEN
			strRt	:= 'unknown';
		ELSE
			uiErrCode	:= 3;
		END_IF;
	//Winding Unit
	ELSIF uiInfoIdx = 4 THEN
		IF strInfoKey = 'name' THEN
			strRt	:= 'Winding Unit';
		ELSIF strInfoKey = 'index_name' THEN
			strRt	:= '【unit4】 Winding Unit';
		ELSIF strInfoKey = 'model' THEN
			strRt	:= 'unknown';
		ELSIF strInfoKey = 'mf' THEN
			strRt	:= 'unknown';
		ELSE
			uiErrCode	:= 3;
		END_IF;
	//Welding Unit
	ELSIF uiInfoIdx = 5 THEN
		IF strInfoKey = 'name' THEN
			strRt	:= 'Welding Unit';
		ELSIF strInfoKey = 'index_name' THEN
			strRt	:= '【unit5】 Welding Unit';
		ELSIF strInfoKey = 'model' THEN
			strRt	:= 'unknown';
		ELSIF strInfoKey = 'mf' THEN
			strRt	:= 'unknown';
		ELSE
			uiErrCode	:= 3;
		END_IF;
	//Discharge Unit
	ELSIF uiInfoIdx = 6 THEN
		IF strInfoKey = 'name' THEN
			strRt	:= 'Discharge Unit';
		ELSIF strInfoKey = 'index_name' THEN
			strRt	:= '【unit6】 Discharge Unit';
		ELSIF strInfoKey = 'model' THEN
			strRt	:= 'unknown';
		ELSIF strInfoKey = 'mf' THEN
			strRt	:= 'unknown';
		ELSE
			uiErrCode	:= 3;
		END_IF;
	//X-Roll Tower Unit
	ELSIF uiInfoIdx = 7 THEN
		IF strInfoKey = 'name' THEN
			strRt	:= 'X-Roll Tower Unit';
		ELSIF strInfoKey = 'index_name' THEN
			strRt	:= '【unit7】 X-Roll Tower Unit';
		ELSIF strInfoKey = 'model' THEN
			strRt	:= 'unknown';
		ELSIF strInfoKey = 'mf' THEN
			strRt	:= 'unknown';
		ELSE
			uiErrCode	:= 3;
		END_IF;
	//Brazing Foil Reel Unit
	ELSIF uiInfoIdx = 8 THEN
		IF strInfoKey = 'name' THEN
			strRt	:= 'Brazing Foil Reel Unit';
		ELSIF strInfoKey = 'index_name' THEN
			strRt	:= '【unit8】 Brazing Foil Reel Unit';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2" priority="3">
      <formula>_xlfn.ISFORMULA(A1)</formula>
    </cfRule>
  </conditionalFormatting>
  <conditionalFormatting sqref="L3">
    <cfRule type="expression" dxfId="1" priority="1">
      <formula>0&lt;S$2</formula>
    </cfRule>
  </conditionalFormatting>
  <conditionalFormatting sqref="L4:L203">
    <cfRule type="expression" dxfId="0" priority="2">
      <formula>0&lt;$S4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C32C-6D41-458C-8FAE-4571C9EC5428}">
  <dimension ref="A1:B14"/>
  <sheetViews>
    <sheetView workbookViewId="0">
      <selection activeCell="D14" sqref="D14"/>
    </sheetView>
  </sheetViews>
  <sheetFormatPr defaultRowHeight="18" x14ac:dyDescent="0.55000000000000004"/>
  <cols>
    <col min="1" max="1" width="8.5" bestFit="1" customWidth="1"/>
    <col min="2" max="2" width="46.58203125" bestFit="1" customWidth="1"/>
  </cols>
  <sheetData>
    <row r="1" spans="1:2" x14ac:dyDescent="0.55000000000000004">
      <c r="A1" t="s">
        <v>389</v>
      </c>
      <c r="B1" t="s">
        <v>388</v>
      </c>
    </row>
    <row r="2" spans="1:2" x14ac:dyDescent="0.55000000000000004">
      <c r="A2" t="s">
        <v>391</v>
      </c>
      <c r="B2" t="s">
        <v>390</v>
      </c>
    </row>
    <row r="3" spans="1:2" x14ac:dyDescent="0.55000000000000004">
      <c r="A3" t="s">
        <v>393</v>
      </c>
      <c r="B3" t="s">
        <v>392</v>
      </c>
    </row>
    <row r="4" spans="1:2" x14ac:dyDescent="0.55000000000000004">
      <c r="A4" t="s">
        <v>395</v>
      </c>
      <c r="B4" t="s">
        <v>394</v>
      </c>
    </row>
    <row r="5" spans="1:2" x14ac:dyDescent="0.55000000000000004">
      <c r="A5" t="s">
        <v>397</v>
      </c>
      <c r="B5" t="s">
        <v>396</v>
      </c>
    </row>
    <row r="6" spans="1:2" x14ac:dyDescent="0.55000000000000004">
      <c r="A6" t="s">
        <v>399</v>
      </c>
      <c r="B6" t="s">
        <v>398</v>
      </c>
    </row>
    <row r="7" spans="1:2" x14ac:dyDescent="0.55000000000000004">
      <c r="A7" t="s">
        <v>401</v>
      </c>
      <c r="B7" t="s">
        <v>400</v>
      </c>
    </row>
    <row r="8" spans="1:2" x14ac:dyDescent="0.55000000000000004">
      <c r="A8" t="s">
        <v>403</v>
      </c>
      <c r="B8" t="s">
        <v>402</v>
      </c>
    </row>
    <row r="9" spans="1:2" x14ac:dyDescent="0.55000000000000004">
      <c r="A9" t="s">
        <v>405</v>
      </c>
      <c r="B9" t="s">
        <v>404</v>
      </c>
    </row>
    <row r="10" spans="1:2" x14ac:dyDescent="0.55000000000000004">
      <c r="A10" t="s">
        <v>407</v>
      </c>
      <c r="B10" t="s">
        <v>406</v>
      </c>
    </row>
    <row r="11" spans="1:2" x14ac:dyDescent="0.55000000000000004">
      <c r="A11" t="s">
        <v>409</v>
      </c>
      <c r="B11" t="s">
        <v>408</v>
      </c>
    </row>
    <row r="12" spans="1:2" x14ac:dyDescent="0.55000000000000004">
      <c r="A12" t="s">
        <v>411</v>
      </c>
      <c r="B12" t="s">
        <v>410</v>
      </c>
    </row>
    <row r="13" spans="1:2" x14ac:dyDescent="0.55000000000000004">
      <c r="A13" t="s">
        <v>413</v>
      </c>
      <c r="B13" t="s">
        <v>412</v>
      </c>
    </row>
    <row r="14" spans="1:2" x14ac:dyDescent="0.55000000000000004">
      <c r="A14" t="s">
        <v>414</v>
      </c>
      <c r="B14" t="s">
        <v>415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info_index</vt:lpstr>
      <vt:lpstr>info_script</vt:lpstr>
      <vt:lpstr>Additional Terms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2026-07-24T07:10:02Z</dcterms:modified>
</cp:coreProperties>
</file>