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0E397C62-F638-4CAC-BFDC-18B41EE6072C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info_index!$D$2:$W$61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5" i="1" l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D80" i="1"/>
  <c r="F82" i="1"/>
  <c r="F80" i="1"/>
  <c r="E82" i="1"/>
  <c r="E80" i="1"/>
  <c r="G78" i="1"/>
  <c r="D78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S2" i="3" l="1"/>
  <c r="AJ4" i="3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<sst xmlns="http://schemas.openxmlformats.org/spreadsheetml/2006/main" count="641" uniqueCount="392">
  <si>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</si>
  <si>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</si>
  <si>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</si>
  <si>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</si>
  <si>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</si>
  <si>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</si>
  <si>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</si>
  <si>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</si>
  <si>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</si>
  <si>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</si>
  <si>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</si>
  <si>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</si>
  <si>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</si>
  <si>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</si>
  <si>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</si>
  <si>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</si>
  <si>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</si>
  <si>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</si>
  <si>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</si>
  <si>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</si>
  <si>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</si>
  <si>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</si>
  <si>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</si>
  <si>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</si>
  <si>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</si>
  <si>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</si>
  <si>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</si>
  <si>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</si>
  <si>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</si>
  <si>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</si>
  <si>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</si>
  <si>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</si>
  <si>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</si>
  <si>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</si>
  <si>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</si>
  <si>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</si>
  <si>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</si>
  <si>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</si>
  <si>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</si>
  <si>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</si>
  <si>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</si>
  <si>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</si>
  <si>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</si>
  <si>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</si>
  <si>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</si>
  <si>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</si>
  <si>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</si>
  <si>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</si>
  <si>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</si>
  <si>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</si>
  <si>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</si>
  <si>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</si>
  <si>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</si>
  <si>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</si>
  <si>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</si>
  <si>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</si>
  <si>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</si>
  <si>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</si>
  <si>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</si>
  <si>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</si>
  <si>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</si>
  <si>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</si>
  <si>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</si>
  <si>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</si>
  <si>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</si>
  <si>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</si>
  <si>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</si>
  <si>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</si>
  <si>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</si>
  <si>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</si>
  <si>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</si>
  <si>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</si>
  <si>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</si>
  <si>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</si>
  <si>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</si>
  <si>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</si>
  <si>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</si>
  <si>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</si>
  <si>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</si>
  <si>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</si>
  <si>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</si>
  <si>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</si>
  <si>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</si>
  <si>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</si>
  <si>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</si>
  <si>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</si>
  <si>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</si>
  <si>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</si>
  <si>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</si>
  <si>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</si>
  <si>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</si>
  <si>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</si>
  <si>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</si>
  <si>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</si>
  <si>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</si>
  <si>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</si>
  <si>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</si>
  <si>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</si>
  <si>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</si>
  <si>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</si>
  <si>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</si>
  <si>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</si>
  <si>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</si>
  <si>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</si>
  <si>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</si>
  <si>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</si>
  <si>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</si>
  <si>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</si>
  <si>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</si>
  <si>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</si>
  <si>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</si>
  <si>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</si>
  <si>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</si>
  <si>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</si>
  <si>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</si>
  <si>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</si>
  <si>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</si>
  <si>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</si>
  <si>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</si>
  <si>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</si>
  <si>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</si>
  <si>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</si>
  <si>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</si>
  <si>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</si>
  <si>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</si>
  <si>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</si>
  <si>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</si>
  <si>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</si>
  <si>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</si>
  <si>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</si>
  <si>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</si>
  <si>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</si>
  <si>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</si>
  <si>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</si>
  <si>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</si>
  <si>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</si>
  <si>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</si>
  <si>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</si>
  <si>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</si>
  <si>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</si>
  <si>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</si>
  <si>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</si>
  <si>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</si>
  <si>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</si>
  <si>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</si>
  <si>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CDAS16×10-B-R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</si>
  <si>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</si>
  <si>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</si>
  <si>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</si>
  <si>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</si>
  <si>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</si>
  <si>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</si>
  <si>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</si>
  <si>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</si>
  <si>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</si>
  <si>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</si>
  <si>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</si>
  <si>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</si>
  <si>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</si>
  <si>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</si>
  <si>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</si>
  <si>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</si>
  <si>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</si>
  <si>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</si>
  <si>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</si>
  <si>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</si>
  <si>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</si>
  <si>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</si>
  <si>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</si>
  <si>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</si>
  <si>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</si>
  <si>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</si>
  <si>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</si>
  <si>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</si>
  <si>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</si>
  <si>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</si>
  <si>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</si>
  <si>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</si>
  <si>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</si>
  <si>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</si>
  <si>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</si>
  <si>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</si>
  <si>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unit</t>
    <phoneticPr fontId="1"/>
  </si>
  <si>
    <t>MGPM12-20Z-M9BL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</si>
  <si>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</si>
  <si>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</si>
  <si>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</si>
  <si>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</si>
  <si>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</si>
  <si>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</si>
  <si>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OTH</t>
    <phoneticPr fontId="1"/>
  </si>
  <si>
    <t>X-roll electromagnetic clutch</t>
  </si>
  <si>
    <t>T-roll gluing shaft</t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</si>
  <si>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</si>
  <si>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</si>
  <si>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</si>
  <si>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</si>
  <si>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</si>
  <si>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</si>
  <si>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</si>
  <si>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</si>
  <si>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</si>
  <si>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</si>
  <si>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</si>
  <si>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</si>
  <si>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</si>
  <si>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</si>
  <si>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</si>
  <si>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</si>
  <si>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</si>
  <si>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</si>
  <si>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</si>
  <si>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</si>
  <si>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</si>
  <si>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</si>
  <si>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</si>
  <si>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</si>
  <si>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</si>
  <si>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</si>
  <si>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</si>
  <si>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</si>
  <si>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</si>
  <si>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Corrugated sheet tensioning shaft</t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</si>
  <si>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</si>
  <si>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</si>
  <si>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</si>
  <si>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</si>
  <si>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</si>
  <si>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</si>
  <si>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</si>
  <si>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</si>
  <si>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</si>
  <si>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</si>
  <si>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</si>
  <si>
    <t>波板送り軸</t>
    <rPh sb="0" eb="2">
      <t>ナミイタ</t>
    </rPh>
    <rPh sb="2" eb="3">
      <t>オク</t>
    </rPh>
    <rPh sb="4" eb="5">
      <t>ジク</t>
    </rPh>
    <phoneticPr fontId="1"/>
  </si>
  <si>
    <t>ワーク排出上下軸</t>
  </si>
  <si>
    <t>溶接トーチ前後軸</t>
  </si>
  <si>
    <t>溶接トーチ前後軸</t>
    <rPh sb="0" eb="2">
      <t>ヨウセツ</t>
    </rPh>
    <rPh sb="5" eb="7">
      <t>ゼンゴ</t>
    </rPh>
    <phoneticPr fontId="1"/>
  </si>
  <si>
    <t>溶接トーチ上下軸</t>
  </si>
  <si>
    <t>溶接トーチ上下軸</t>
    <rPh sb="0" eb="2">
      <t>ヨウセツ</t>
    </rPh>
    <rPh sb="5" eb="7">
      <t>ジョウゲ</t>
    </rPh>
    <phoneticPr fontId="1"/>
  </si>
  <si>
    <t>巻取り主軸</t>
  </si>
  <si>
    <t>ベース</t>
  </si>
  <si>
    <t>巻取り軸芯前後</t>
  </si>
  <si>
    <t>平板補助プレート</t>
  </si>
  <si>
    <t>平板クランプ</t>
  </si>
  <si>
    <t>平板チャック(ハンド)前後</t>
  </si>
  <si>
    <t>エアスライドテーブル</t>
  </si>
  <si>
    <t>薄型エアチャック</t>
  </si>
  <si>
    <t>平板供給</t>
  </si>
  <si>
    <t>平板押え上下</t>
  </si>
  <si>
    <t>薄型シリンダ</t>
  </si>
  <si>
    <t>箔ロウカット</t>
  </si>
  <si>
    <t>波板押え</t>
  </si>
  <si>
    <t>平板カッター</t>
  </si>
  <si>
    <t>平板カット刃押出し</t>
  </si>
  <si>
    <t>波板カット刃押出し</t>
  </si>
  <si>
    <t>波板カット補助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</si>
  <si>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</si>
  <si>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</si>
  <si>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</si>
  <si>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</si>
  <si>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</si>
  <si>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</si>
  <si>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</si>
  <si>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</si>
  <si>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</si>
  <si>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</si>
  <si>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</si>
  <si>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</si>
  <si>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</si>
  <si>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</si>
  <si>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</si>
  <si>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</si>
  <si>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</si>
  <si>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</si>
  <si>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</si>
  <si>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</si>
  <si>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</si>
  <si>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</si>
  <si>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</si>
  <si>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</si>
  <si>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</si>
  <si>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</si>
  <si>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welding machine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</si>
  <si>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</si>
  <si>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</si>
  <si>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</si>
  <si>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</si>
  <si>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</si>
  <si>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</si>
  <si>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</si>
  <si>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</si>
  <si>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</si>
  <si>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</si>
  <si>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</si>
  <si>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</si>
  <si>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</si>
  <si>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</si>
  <si>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</si>
  <si>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</si>
  <si>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</si>
  <si>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</si>
  <si>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</si>
  <si>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</si>
  <si>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</si>
  <si>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</si>
  <si>
    <t>Tロール糊付け下ロール</t>
    <phoneticPr fontId="1"/>
  </si>
  <si>
    <t>Tロール糊付け上ロール</t>
    <phoneticPr fontId="1"/>
  </si>
  <si>
    <t>Xロール糊付け左ロール</t>
    <rPh sb="7" eb="8">
      <t>ヒダリ</t>
    </rPh>
    <phoneticPr fontId="1"/>
  </si>
  <si>
    <t>Xロール糊付け右ロール</t>
    <rPh sb="7" eb="8">
      <t>ミギ</t>
    </rPh>
    <phoneticPr fontId="1"/>
  </si>
  <si>
    <t>Winding Spindle Center F/B</t>
  </si>
  <si>
    <t>T-Roll Gluing Lower Roll</t>
  </si>
  <si>
    <t>T-Roll Gluing Upper Roll</t>
  </si>
  <si>
    <t>Flat Sheet Support Plate</t>
  </si>
  <si>
    <t>Flat Sheet Chuck (Hand) F/B</t>
  </si>
  <si>
    <t>Flat Sheet Chuck Open/Close</t>
  </si>
  <si>
    <t>Flat Sheet Clamp U/D</t>
  </si>
  <si>
    <t>Brazing Foil Clamp U/D</t>
  </si>
  <si>
    <t>Brazing Foil Cutter</t>
  </si>
  <si>
    <t>Corrugated Sheet Clamp</t>
  </si>
  <si>
    <t>Flat Sheet Cutter Blade Extend</t>
  </si>
  <si>
    <t>Flat Sheet Cutter Blade Open/Close</t>
  </si>
  <si>
    <t>Corrugated Sheet Cutter Blade Extend</t>
  </si>
  <si>
    <t>Corrugated Sheet Cutter Blade Open/Close</t>
  </si>
  <si>
    <t>Corrugated Sheet Cutter Support</t>
  </si>
  <si>
    <t>Corrugated Sheet Cutter Support L</t>
  </si>
  <si>
    <t>X-Roll Gluing Left Roll</t>
  </si>
  <si>
    <t>X-Roll Gluing Right Roll</t>
  </si>
  <si>
    <t>X-Roll Flat Sheet Press</t>
  </si>
  <si>
    <t>Brazing Foil Reel Lock</t>
  </si>
  <si>
    <t>Workpiece Discharge F/B</t>
  </si>
  <si>
    <t>緒言</t>
    <rPh sb="0" eb="2">
      <t>ショゲン</t>
    </rPh>
    <phoneticPr fontId="1"/>
  </si>
  <si>
    <t>短縮文字列制限[バイト]</t>
    <rPh sb="0" eb="2">
      <t>タンシュク</t>
    </rPh>
    <rPh sb="2" eb="5">
      <t>モジレツ</t>
    </rPh>
    <rPh sb="5" eb="7">
      <t>セイゲン</t>
    </rPh>
    <phoneticPr fontId="1"/>
  </si>
  <si>
    <t>短縮機器名</t>
  </si>
  <si>
    <t>短縮機器名(EN)</t>
  </si>
  <si>
    <t>文字数オーバー</t>
    <rPh sb="0" eb="3">
      <t>モジスウ</t>
    </rPh>
    <phoneticPr fontId="1"/>
  </si>
  <si>
    <t>文字数オーバー(EN)</t>
    <rPh sb="0" eb="3">
      <t>モジスウ</t>
    </rPh>
    <phoneticPr fontId="1"/>
  </si>
  <si>
    <t>箔ロウリール軸</t>
  </si>
  <si>
    <t>平板送り軸</t>
  </si>
  <si>
    <t>箔ロウ送り軸</t>
  </si>
  <si>
    <t>周長測定上下軸</t>
  </si>
  <si>
    <t>排出チャック軸</t>
  </si>
  <si>
    <t>バインダ供給ポンプM</t>
  </si>
  <si>
    <t>波板リールM</t>
  </si>
  <si>
    <t>平板リールM</t>
  </si>
  <si>
    <t>ワーク幅調整軸</t>
  </si>
  <si>
    <t>波板補助軸</t>
  </si>
  <si>
    <t>平板張力軸</t>
  </si>
  <si>
    <t>Flat Sheet Feed Ax</t>
  </si>
  <si>
    <t>Brazing Foil Feed</t>
  </si>
  <si>
    <t>Corr Sheet Feed Ax</t>
  </si>
  <si>
    <t>Work Disch Lift</t>
  </si>
  <si>
    <t>Circum Probe Lift</t>
  </si>
  <si>
    <t>Discharge Chuck Ax</t>
  </si>
  <si>
    <t>Weld Torch F/B Ax</t>
  </si>
  <si>
    <t>Weld Torch U/D Ax</t>
  </si>
  <si>
    <t>Binder Pump Motor</t>
  </si>
  <si>
    <t>Corr Sheet Reel M</t>
  </si>
  <si>
    <t>Flat Sheet Reel M</t>
  </si>
  <si>
    <t>Work Width Adj Ax</t>
  </si>
  <si>
    <t>Corr Sheet Aux Ax</t>
  </si>
  <si>
    <t>Flat Sheet Tens Ax</t>
  </si>
  <si>
    <t>Tロール糊下ロール</t>
  </si>
  <si>
    <t>Tロール糊上ロール</t>
  </si>
  <si>
    <t>平板チャック前後</t>
  </si>
  <si>
    <t>平板刃押出し</t>
  </si>
  <si>
    <t>平板刃開閉</t>
  </si>
  <si>
    <t>波板刃押出し</t>
  </si>
  <si>
    <t>波板刃開閉</t>
  </si>
  <si>
    <t>Xロール左ロール</t>
  </si>
  <si>
    <t>Xロール右ロール</t>
  </si>
  <si>
    <t>Wind Shaft Ctr F/B</t>
  </si>
  <si>
    <t>T-Roll Glue Lower</t>
  </si>
  <si>
    <t>T-Roll Glue Upper</t>
  </si>
  <si>
    <t>Flat Sheet Sup Plt</t>
  </si>
  <si>
    <t>Flat Chuck F/B</t>
  </si>
  <si>
    <t>Flat Chuck O/C</t>
  </si>
  <si>
    <t>Flat Clamp U/D</t>
  </si>
  <si>
    <t>Foil Clamp U/D</t>
  </si>
  <si>
    <t>Brazing Foil Cut</t>
  </si>
  <si>
    <t>Corr Sheet Clamp</t>
  </si>
  <si>
    <t>Flat Cutter Extend</t>
  </si>
  <si>
    <t>Flat Cutter O/C</t>
  </si>
  <si>
    <t>Corr Cutter Extend</t>
  </si>
  <si>
    <t>Corr Cutter O/C</t>
  </si>
  <si>
    <t>Corr Cutter Support</t>
  </si>
  <si>
    <t>Corr Cut Supp L</t>
  </si>
  <si>
    <t>X-Roll Left Roll</t>
  </si>
  <si>
    <t>X-Roll Right Roll</t>
  </si>
  <si>
    <t>X-Roll Flat Press</t>
  </si>
  <si>
    <t>Foil Reel Lock</t>
  </si>
  <si>
    <t>Work Discharge F/B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</si>
</sst>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  <xf numFmtId="0" fontId="0" fillId="0" borderId="0" xfId="0" applyBorder="1">
      <alignment vertical="center"/>
    </xf>
  </cellXfs>
  <cellStyles count="1">
    <cellStyle name="標準" xfId="0" builtinId="0"/>
  </cellStyles>
  <dxfs count="5">
    <dxf>
      <font>
        <color rgb="FFFF7C80"/>
      </font>
    </dxf>
    <dxf>
      <fill>
        <patternFill>
          <bgColor rgb="FFFF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ont>
        <color rgb="FF0099CC"/>
      </font>
    </dxf>
  </dxfs>
  <tableStyles count="0" defaultTableStyle="TableStyleMedium2" defaultPivotStyle="PivotStyleLight16"/>
  <colors>
    <mruColors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204304</xdr:rowOff>
    </xdr:from>
    <xdr:to>
      <xdr:col>3</xdr:col>
      <xdr:colOff>496957</xdr:colOff>
      <xdr:row>2</xdr:row>
      <xdr:rowOff>0</xdr:rowOff>
    </xdr:to>
    <xdr:sp macro="" textlink="$D$78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2:Z102"/>
  <sheetViews>
    <sheetView tabSelected="1" zoomScaleNormal="100" workbookViewId="0">
      <pane xSplit="9" ySplit="3" topLeftCell="P4" activePane="bottomRight" state="frozen"/>
      <selection pane="topRight" activeCell="G1" sqref="G1"/>
      <selection pane="bottomLeft" activeCell="A3" sqref="A3"/>
      <selection pane="bottomRight" activeCell="I8" sqref="I8"/>
    </sheetView>
  </sheetViews>
  <sheetFormatPr defaultRowHeight="18" x14ac:dyDescent="0.55000000000000004"/>
  <cols>
    <col min="1" max="1" width="21.83203125" bestFit="1" customWidth="1"/>
    <col min="6" max="6" width="9.1640625" bestFit="1" customWidth="1"/>
    <col min="8" max="8" width="20" bestFit="1" customWidth="1"/>
    <col min="9" max="12" width="31.4140625" customWidth="1"/>
    <col min="13" max="13" width="81" bestFit="1" customWidth="1"/>
    <col min="14" max="14" width="71.08203125" customWidth="1"/>
    <col min="15" max="16" width="13.08203125" customWidth="1"/>
    <col min="17" max="20" width="18.33203125" customWidth="1"/>
    <col min="21" max="22" width="18.33203125" style="31" customWidth="1"/>
    <col min="23" max="23" width="3.58203125" customWidth="1"/>
  </cols>
  <sheetData>
    <row r="2" spans="1:26" s="4" customFormat="1" ht="30" customHeight="1" x14ac:dyDescent="0.55000000000000004">
      <c r="A2" s="4" t="s">
        <v>331</v>
      </c>
      <c r="D2" s="38" t="s">
        <v>84</v>
      </c>
      <c r="E2" s="38" t="s">
        <v>93</v>
      </c>
      <c r="F2" s="38" t="s">
        <v>97</v>
      </c>
      <c r="G2" s="39" t="s">
        <v>85</v>
      </c>
      <c r="H2" s="39" t="s">
        <v>86</v>
      </c>
      <c r="I2" s="39" t="s">
        <v>87</v>
      </c>
      <c r="J2" s="39" t="s">
        <v>115</v>
      </c>
      <c r="K2" s="39" t="s">
        <v>333</v>
      </c>
      <c r="L2" s="39" t="s">
        <v>334</v>
      </c>
      <c r="M2" s="39" t="s">
        <v>9</v>
      </c>
      <c r="N2" s="39" t="s">
        <v>7</v>
      </c>
      <c r="O2" s="39" t="s">
        <v>3</v>
      </c>
      <c r="P2" s="39" t="s">
        <v>154</v>
      </c>
      <c r="Q2" s="39" t="s">
        <v>5</v>
      </c>
      <c r="R2" s="40" t="s">
        <v>92</v>
      </c>
      <c r="S2" s="40" t="s">
        <v>172</v>
      </c>
      <c r="T2" s="40" t="s">
        <v>171</v>
      </c>
      <c r="U2" s="41" t="s">
        <v>186</v>
      </c>
      <c r="V2" s="41" t="s">
        <v>187</v>
      </c>
      <c r="W2" s="40"/>
      <c r="Y2" s="4" t="s">
        <v>335</v>
      </c>
      <c r="Z2" s="4" t="s">
        <v>336</v>
      </c>
    </row>
    <row r="3" spans="1:26" x14ac:dyDescent="0.55000000000000004">
      <c r="D3" s="27">
        <v>38</v>
      </c>
      <c r="E3" s="5" t="s">
        <v>96</v>
      </c>
      <c r="F3" s="5">
        <v>1</v>
      </c>
      <c r="G3" s="28">
        <v>7</v>
      </c>
      <c r="H3" s="28" t="s">
        <v>76</v>
      </c>
      <c r="I3" s="28" t="s">
        <v>107</v>
      </c>
      <c r="J3" s="28" t="s">
        <v>288</v>
      </c>
      <c r="K3" s="28" t="s">
        <v>337</v>
      </c>
      <c r="L3" s="28" t="s">
        <v>232</v>
      </c>
      <c r="M3" s="28" t="s">
        <v>18</v>
      </c>
      <c r="N3" s="28" t="s">
        <v>19</v>
      </c>
      <c r="O3" s="28" t="s">
        <v>156</v>
      </c>
      <c r="P3" s="28" t="s">
        <v>155</v>
      </c>
      <c r="Q3" s="28">
        <v>1</v>
      </c>
      <c r="R3" s="29"/>
      <c r="S3" s="29"/>
      <c r="T3" s="29"/>
      <c r="U3" s="32">
        <v>46069.554861111108</v>
      </c>
      <c r="V3" s="32">
        <v>46226.618055555555</v>
      </c>
      <c r="W3" s="6"/>
      <c r="Y3">
        <f>LENB(K3)-$B$4</f>
        <v>-4</v>
      </c>
      <c r="Z3">
        <f>LENB(L3)-$B$4</f>
        <v>-1</v>
      </c>
    </row>
    <row r="4" spans="1:26" x14ac:dyDescent="0.55000000000000004">
      <c r="A4" t="s">
        <v>332</v>
      </c>
      <c r="B4">
        <v>18</v>
      </c>
      <c r="D4" s="7">
        <v>35</v>
      </c>
      <c r="E4" s="7" t="s">
        <v>96</v>
      </c>
      <c r="F4" s="7">
        <v>2</v>
      </c>
      <c r="G4" s="12">
        <v>6</v>
      </c>
      <c r="H4" s="12" t="s">
        <v>80</v>
      </c>
      <c r="I4" s="12" t="s">
        <v>101</v>
      </c>
      <c r="J4" s="12" t="s">
        <v>289</v>
      </c>
      <c r="K4" s="12" t="s">
        <v>338</v>
      </c>
      <c r="L4" s="12" t="s">
        <v>348</v>
      </c>
      <c r="M4" s="12" t="s">
        <v>13</v>
      </c>
      <c r="N4" s="12" t="s">
        <v>12</v>
      </c>
      <c r="O4" s="17" t="s">
        <v>156</v>
      </c>
      <c r="P4" s="12" t="s">
        <v>155</v>
      </c>
      <c r="Q4" s="12">
        <v>1</v>
      </c>
      <c r="R4" s="24"/>
      <c r="S4" s="24"/>
      <c r="T4" s="24"/>
      <c r="U4" s="33">
        <v>46069.554861111108</v>
      </c>
      <c r="V4" s="33">
        <v>46226.618055555555</v>
      </c>
      <c r="W4" s="10"/>
      <c r="Y4">
        <f t="shared" ref="Y4:Z67" si="0">LENB(K4)-$B$4</f>
        <v>-8</v>
      </c>
      <c r="Z4">
        <f t="shared" si="0"/>
        <v>0</v>
      </c>
    </row>
    <row r="5" spans="1:26" x14ac:dyDescent="0.55000000000000004">
      <c r="D5" s="7">
        <v>37</v>
      </c>
      <c r="E5" s="7" t="s">
        <v>96</v>
      </c>
      <c r="F5" s="7">
        <v>3</v>
      </c>
      <c r="G5" s="12">
        <v>7</v>
      </c>
      <c r="H5" s="12" t="s">
        <v>77</v>
      </c>
      <c r="I5" s="12" t="s">
        <v>100</v>
      </c>
      <c r="J5" s="12" t="s">
        <v>290</v>
      </c>
      <c r="K5" s="12" t="s">
        <v>339</v>
      </c>
      <c r="L5" s="12" t="s">
        <v>349</v>
      </c>
      <c r="M5" s="12" t="s">
        <v>13</v>
      </c>
      <c r="N5" s="12" t="s">
        <v>12</v>
      </c>
      <c r="O5" s="17" t="s">
        <v>156</v>
      </c>
      <c r="P5" s="12" t="s">
        <v>155</v>
      </c>
      <c r="Q5" s="12">
        <v>1</v>
      </c>
      <c r="R5" s="24"/>
      <c r="S5" s="24"/>
      <c r="T5" s="24"/>
      <c r="U5" s="33">
        <v>46069.554861111108</v>
      </c>
      <c r="V5" s="33">
        <v>46226.618055555555</v>
      </c>
      <c r="W5" s="10"/>
      <c r="Y5">
        <f t="shared" si="0"/>
        <v>-6</v>
      </c>
      <c r="Z5">
        <f t="shared" si="0"/>
        <v>-1</v>
      </c>
    </row>
    <row r="6" spans="1:26" x14ac:dyDescent="0.55000000000000004">
      <c r="D6" s="7">
        <v>36</v>
      </c>
      <c r="E6" s="7" t="s">
        <v>96</v>
      </c>
      <c r="F6" s="7">
        <v>4</v>
      </c>
      <c r="G6" s="12">
        <v>8</v>
      </c>
      <c r="H6" s="12" t="s">
        <v>82</v>
      </c>
      <c r="I6" s="12" t="s">
        <v>234</v>
      </c>
      <c r="J6" s="12" t="s">
        <v>291</v>
      </c>
      <c r="K6" s="12" t="s">
        <v>233</v>
      </c>
      <c r="L6" s="12" t="s">
        <v>350</v>
      </c>
      <c r="M6" s="12" t="s">
        <v>13</v>
      </c>
      <c r="N6" s="12" t="s">
        <v>12</v>
      </c>
      <c r="O6" s="17" t="s">
        <v>156</v>
      </c>
      <c r="P6" s="12" t="s">
        <v>155</v>
      </c>
      <c r="Q6" s="12">
        <v>1</v>
      </c>
      <c r="R6" s="24"/>
      <c r="S6" s="24"/>
      <c r="T6" s="24"/>
      <c r="U6" s="33">
        <v>46069.554861111108</v>
      </c>
      <c r="V6" s="33">
        <v>46226.618055555555</v>
      </c>
      <c r="W6" s="10"/>
      <c r="Y6">
        <f t="shared" si="0"/>
        <v>-8</v>
      </c>
      <c r="Z6">
        <f t="shared" si="0"/>
        <v>0</v>
      </c>
    </row>
    <row r="7" spans="1:26" x14ac:dyDescent="0.55000000000000004">
      <c r="D7" s="7">
        <v>19</v>
      </c>
      <c r="E7" s="7" t="s">
        <v>96</v>
      </c>
      <c r="F7" s="7">
        <v>5</v>
      </c>
      <c r="G7" s="8">
        <v>3</v>
      </c>
      <c r="H7" s="8" t="s">
        <v>78</v>
      </c>
      <c r="I7" s="8" t="s">
        <v>175</v>
      </c>
      <c r="J7" s="8" t="s">
        <v>292</v>
      </c>
      <c r="K7" s="8" t="s">
        <v>235</v>
      </c>
      <c r="L7" s="8" t="s">
        <v>351</v>
      </c>
      <c r="M7" s="8" t="s">
        <v>1</v>
      </c>
      <c r="N7" s="8" t="s">
        <v>10</v>
      </c>
      <c r="O7" s="8" t="s">
        <v>2</v>
      </c>
      <c r="P7" s="8" t="s">
        <v>159</v>
      </c>
      <c r="Q7" s="8">
        <v>1</v>
      </c>
      <c r="R7" s="10"/>
      <c r="S7" s="10"/>
      <c r="T7" s="10"/>
      <c r="U7" s="34">
        <v>46069.554861111108</v>
      </c>
      <c r="V7" s="34">
        <v>46226.618055555555</v>
      </c>
      <c r="W7" s="10"/>
      <c r="Y7">
        <f t="shared" si="0"/>
        <v>-2</v>
      </c>
      <c r="Z7">
        <f t="shared" si="0"/>
        <v>-3</v>
      </c>
    </row>
    <row r="8" spans="1:26" x14ac:dyDescent="0.55000000000000004">
      <c r="D8" s="7">
        <v>18</v>
      </c>
      <c r="E8" s="7" t="s">
        <v>96</v>
      </c>
      <c r="F8" s="7">
        <v>6</v>
      </c>
      <c r="G8" s="8">
        <v>3</v>
      </c>
      <c r="H8" s="8" t="s">
        <v>78</v>
      </c>
      <c r="I8" s="8" t="s">
        <v>105</v>
      </c>
      <c r="J8" s="8" t="s">
        <v>293</v>
      </c>
      <c r="K8" s="8" t="s">
        <v>340</v>
      </c>
      <c r="L8" s="8" t="s">
        <v>352</v>
      </c>
      <c r="M8" s="8" t="s">
        <v>0</v>
      </c>
      <c r="N8" s="8" t="s">
        <v>10</v>
      </c>
      <c r="O8" s="8" t="s">
        <v>2</v>
      </c>
      <c r="P8" s="8" t="s">
        <v>159</v>
      </c>
      <c r="Q8" s="8">
        <v>1</v>
      </c>
      <c r="R8" s="10"/>
      <c r="S8" s="10"/>
      <c r="T8" s="10"/>
      <c r="U8" s="34">
        <v>46069.554861111108</v>
      </c>
      <c r="V8" s="34">
        <v>46226.618055555555</v>
      </c>
      <c r="W8" s="10"/>
      <c r="Y8">
        <f t="shared" si="0"/>
        <v>-4</v>
      </c>
      <c r="Z8">
        <f t="shared" si="0"/>
        <v>-1</v>
      </c>
    </row>
    <row r="9" spans="1:26" x14ac:dyDescent="0.55000000000000004">
      <c r="D9" s="7">
        <v>20</v>
      </c>
      <c r="E9" s="7" t="s">
        <v>96</v>
      </c>
      <c r="F9" s="7">
        <v>7</v>
      </c>
      <c r="G9" s="8">
        <v>1</v>
      </c>
      <c r="H9" s="8" t="s">
        <v>81</v>
      </c>
      <c r="I9" s="8" t="s">
        <v>104</v>
      </c>
      <c r="J9" s="8" t="s">
        <v>294</v>
      </c>
      <c r="K9" s="8" t="s">
        <v>341</v>
      </c>
      <c r="L9" s="8" t="s">
        <v>353</v>
      </c>
      <c r="M9" s="8" t="s">
        <v>24</v>
      </c>
      <c r="N9" s="8" t="s">
        <v>10</v>
      </c>
      <c r="O9" s="8" t="s">
        <v>2</v>
      </c>
      <c r="P9" s="8" t="s">
        <v>159</v>
      </c>
      <c r="Q9" s="8">
        <v>1</v>
      </c>
      <c r="R9" s="10"/>
      <c r="S9" s="10"/>
      <c r="T9" s="10"/>
      <c r="U9" s="34">
        <v>46069.554861111108</v>
      </c>
      <c r="V9" s="34">
        <v>46226.618055555555</v>
      </c>
      <c r="W9" s="10"/>
      <c r="Y9">
        <f t="shared" si="0"/>
        <v>-4</v>
      </c>
      <c r="Z9">
        <f t="shared" si="0"/>
        <v>0</v>
      </c>
    </row>
    <row r="10" spans="1:26" x14ac:dyDescent="0.55000000000000004">
      <c r="D10" s="7">
        <v>22</v>
      </c>
      <c r="E10" s="7" t="s">
        <v>96</v>
      </c>
      <c r="F10" s="7">
        <v>8</v>
      </c>
      <c r="G10" s="8">
        <v>10</v>
      </c>
      <c r="H10" s="8" t="s">
        <v>83</v>
      </c>
      <c r="I10" s="8" t="s">
        <v>237</v>
      </c>
      <c r="J10" s="8" t="s">
        <v>295</v>
      </c>
      <c r="K10" s="8" t="s">
        <v>236</v>
      </c>
      <c r="L10" s="8" t="s">
        <v>354</v>
      </c>
      <c r="M10" s="8" t="s">
        <v>88</v>
      </c>
      <c r="N10" s="8" t="s">
        <v>14</v>
      </c>
      <c r="O10" s="8" t="s">
        <v>2</v>
      </c>
      <c r="P10" s="8" t="s">
        <v>159</v>
      </c>
      <c r="Q10" s="8">
        <v>1</v>
      </c>
      <c r="R10" s="10"/>
      <c r="S10" s="10"/>
      <c r="T10" s="10"/>
      <c r="U10" s="34">
        <v>46069.554861111108</v>
      </c>
      <c r="V10" s="34">
        <v>46226.618055555555</v>
      </c>
      <c r="W10" s="10"/>
      <c r="Y10">
        <f t="shared" si="0"/>
        <v>-2</v>
      </c>
      <c r="Z10">
        <f t="shared" si="0"/>
        <v>-1</v>
      </c>
    </row>
    <row r="11" spans="1:26" x14ac:dyDescent="0.55000000000000004">
      <c r="D11" s="7">
        <v>23</v>
      </c>
      <c r="E11" s="7" t="s">
        <v>96</v>
      </c>
      <c r="F11" s="7">
        <v>9</v>
      </c>
      <c r="G11" s="8">
        <v>10</v>
      </c>
      <c r="H11" s="8" t="s">
        <v>83</v>
      </c>
      <c r="I11" s="8" t="s">
        <v>239</v>
      </c>
      <c r="J11" s="8" t="s">
        <v>296</v>
      </c>
      <c r="K11" s="8" t="s">
        <v>238</v>
      </c>
      <c r="L11" s="8" t="s">
        <v>355</v>
      </c>
      <c r="M11" s="8" t="s">
        <v>89</v>
      </c>
      <c r="N11" s="8" t="s">
        <v>14</v>
      </c>
      <c r="O11" s="8" t="s">
        <v>2</v>
      </c>
      <c r="P11" s="8" t="s">
        <v>159</v>
      </c>
      <c r="Q11" s="8">
        <v>1</v>
      </c>
      <c r="R11" s="10"/>
      <c r="S11" s="10"/>
      <c r="T11" s="10"/>
      <c r="U11" s="34">
        <v>46069.554861111108</v>
      </c>
      <c r="V11" s="34">
        <v>46226.618055555555</v>
      </c>
      <c r="W11" s="10"/>
      <c r="Y11">
        <f t="shared" si="0"/>
        <v>-2</v>
      </c>
      <c r="Z11">
        <f t="shared" si="0"/>
        <v>-1</v>
      </c>
    </row>
    <row r="12" spans="1:26" x14ac:dyDescent="0.55000000000000004">
      <c r="D12" s="7">
        <v>42</v>
      </c>
      <c r="E12" s="7" t="s">
        <v>95</v>
      </c>
      <c r="F12" s="7">
        <v>10</v>
      </c>
      <c r="G12" s="8"/>
      <c r="H12" s="8"/>
      <c r="I12" s="8" t="s">
        <v>106</v>
      </c>
      <c r="J12" s="8" t="s">
        <v>226</v>
      </c>
      <c r="K12" s="8" t="s">
        <v>342</v>
      </c>
      <c r="L12" s="8" t="s">
        <v>356</v>
      </c>
      <c r="M12" s="8"/>
      <c r="N12" s="8"/>
      <c r="O12" s="8"/>
      <c r="P12" s="8"/>
      <c r="Q12" s="8"/>
      <c r="R12" s="10"/>
      <c r="S12" s="10"/>
      <c r="T12" s="10"/>
      <c r="U12" s="34">
        <v>46069.554861111108</v>
      </c>
      <c r="V12" s="34">
        <v>46226.618055555555</v>
      </c>
      <c r="W12" s="10"/>
      <c r="Y12">
        <f t="shared" si="0"/>
        <v>1</v>
      </c>
      <c r="Z12">
        <f t="shared" si="0"/>
        <v>-1</v>
      </c>
    </row>
    <row r="13" spans="1:26" x14ac:dyDescent="0.55000000000000004">
      <c r="D13" s="7">
        <v>43</v>
      </c>
      <c r="E13" s="7" t="s">
        <v>95</v>
      </c>
      <c r="F13" s="7">
        <v>11</v>
      </c>
      <c r="G13" s="8"/>
      <c r="H13" s="8"/>
      <c r="I13" s="8" t="s">
        <v>108</v>
      </c>
      <c r="J13" s="8" t="s">
        <v>297</v>
      </c>
      <c r="K13" s="8" t="s">
        <v>343</v>
      </c>
      <c r="L13" s="8" t="s">
        <v>357</v>
      </c>
      <c r="M13" s="8"/>
      <c r="N13" s="8"/>
      <c r="O13" s="8"/>
      <c r="P13" s="8"/>
      <c r="Q13" s="8"/>
      <c r="R13" s="10"/>
      <c r="S13" s="10"/>
      <c r="T13" s="10"/>
      <c r="U13" s="34">
        <v>46069.554861111108</v>
      </c>
      <c r="V13" s="34">
        <v>46226.618055555555</v>
      </c>
      <c r="W13" s="10"/>
      <c r="Y13">
        <f t="shared" si="0"/>
        <v>-7</v>
      </c>
      <c r="Z13">
        <f t="shared" si="0"/>
        <v>-1</v>
      </c>
    </row>
    <row r="14" spans="1:26" x14ac:dyDescent="0.55000000000000004">
      <c r="D14" s="7">
        <v>44</v>
      </c>
      <c r="E14" s="7" t="s">
        <v>95</v>
      </c>
      <c r="F14" s="7">
        <v>12</v>
      </c>
      <c r="G14" s="8"/>
      <c r="H14" s="8"/>
      <c r="I14" s="8" t="s">
        <v>109</v>
      </c>
      <c r="J14" s="8" t="s">
        <v>298</v>
      </c>
      <c r="K14" s="8" t="s">
        <v>344</v>
      </c>
      <c r="L14" s="8" t="s">
        <v>358</v>
      </c>
      <c r="M14" s="8"/>
      <c r="N14" s="8"/>
      <c r="O14" s="8"/>
      <c r="P14" s="8"/>
      <c r="Q14" s="8"/>
      <c r="R14" s="10"/>
      <c r="S14" s="10"/>
      <c r="T14" s="10"/>
      <c r="U14" s="34">
        <v>46069.554861111108</v>
      </c>
      <c r="V14" s="34">
        <v>46226.618055555555</v>
      </c>
      <c r="W14" s="10"/>
      <c r="Y14">
        <f t="shared" si="0"/>
        <v>-7</v>
      </c>
      <c r="Z14">
        <f t="shared" si="0"/>
        <v>-1</v>
      </c>
    </row>
    <row r="15" spans="1:26" x14ac:dyDescent="0.55000000000000004">
      <c r="D15" s="7">
        <v>32</v>
      </c>
      <c r="E15" s="7" t="s">
        <v>96</v>
      </c>
      <c r="F15" s="7">
        <v>13</v>
      </c>
      <c r="G15" s="8">
        <v>1</v>
      </c>
      <c r="H15" s="8" t="s">
        <v>81</v>
      </c>
      <c r="I15" s="8" t="s">
        <v>102</v>
      </c>
      <c r="J15" s="8" t="s">
        <v>299</v>
      </c>
      <c r="K15" s="8" t="s">
        <v>240</v>
      </c>
      <c r="L15" s="8" t="s">
        <v>226</v>
      </c>
      <c r="M15" s="8" t="s">
        <v>26</v>
      </c>
      <c r="N15" s="8" t="s">
        <v>27</v>
      </c>
      <c r="O15" s="8" t="s">
        <v>158</v>
      </c>
      <c r="P15" s="8" t="s">
        <v>157</v>
      </c>
      <c r="Q15" s="8">
        <v>1</v>
      </c>
      <c r="R15" s="10"/>
      <c r="S15" s="10"/>
      <c r="T15" s="10"/>
      <c r="U15" s="34">
        <v>46069.554861111108</v>
      </c>
      <c r="V15" s="34">
        <v>46226.618055555555</v>
      </c>
      <c r="W15" s="10"/>
      <c r="Y15">
        <f t="shared" si="0"/>
        <v>-8</v>
      </c>
      <c r="Z15">
        <f t="shared" si="0"/>
        <v>-3</v>
      </c>
    </row>
    <row r="16" spans="1:26" x14ac:dyDescent="0.55000000000000004">
      <c r="D16" s="7">
        <v>33</v>
      </c>
      <c r="E16" s="7" t="s">
        <v>96</v>
      </c>
      <c r="F16" s="7">
        <v>14</v>
      </c>
      <c r="G16" s="8">
        <v>1</v>
      </c>
      <c r="H16" s="8" t="s">
        <v>81</v>
      </c>
      <c r="I16" s="8" t="s">
        <v>103</v>
      </c>
      <c r="J16" s="8" t="s">
        <v>300</v>
      </c>
      <c r="K16" s="8" t="s">
        <v>345</v>
      </c>
      <c r="L16" s="8" t="s">
        <v>359</v>
      </c>
      <c r="M16" s="8" t="s">
        <v>28</v>
      </c>
      <c r="N16" s="8" t="s">
        <v>27</v>
      </c>
      <c r="O16" s="8" t="s">
        <v>158</v>
      </c>
      <c r="P16" s="8" t="s">
        <v>157</v>
      </c>
      <c r="Q16" s="8">
        <v>1</v>
      </c>
      <c r="R16" s="10"/>
      <c r="S16" s="10"/>
      <c r="T16" s="10"/>
      <c r="U16" s="34">
        <v>46069.554861111108</v>
      </c>
      <c r="V16" s="34">
        <v>46226.618055555555</v>
      </c>
      <c r="W16" s="10"/>
      <c r="Y16">
        <f t="shared" si="0"/>
        <v>-4</v>
      </c>
      <c r="Z16">
        <f t="shared" si="0"/>
        <v>-1</v>
      </c>
    </row>
    <row r="17" spans="4:26" x14ac:dyDescent="0.55000000000000004">
      <c r="D17" s="7">
        <v>41</v>
      </c>
      <c r="E17" s="7" t="s">
        <v>99</v>
      </c>
      <c r="F17" s="7">
        <v>15</v>
      </c>
      <c r="G17" s="8">
        <v>10</v>
      </c>
      <c r="H17" s="8" t="s">
        <v>188</v>
      </c>
      <c r="I17" s="8" t="s">
        <v>184</v>
      </c>
      <c r="J17" s="8" t="s">
        <v>301</v>
      </c>
      <c r="K17" s="8" t="s">
        <v>346</v>
      </c>
      <c r="L17" s="8" t="s">
        <v>360</v>
      </c>
      <c r="M17" s="8" t="s">
        <v>185</v>
      </c>
      <c r="N17" s="8"/>
      <c r="O17" s="8" t="s">
        <v>155</v>
      </c>
      <c r="P17" s="8" t="s">
        <v>155</v>
      </c>
      <c r="Q17" s="8"/>
      <c r="R17" s="10"/>
      <c r="S17" s="10"/>
      <c r="T17" s="10"/>
      <c r="U17" s="34">
        <v>46069.554861111108</v>
      </c>
      <c r="V17" s="34">
        <v>46226.618055555555</v>
      </c>
      <c r="W17" s="10"/>
      <c r="Y17">
        <f t="shared" si="0"/>
        <v>-8</v>
      </c>
      <c r="Z17">
        <f t="shared" si="0"/>
        <v>-1</v>
      </c>
    </row>
    <row r="18" spans="4:26" x14ac:dyDescent="0.55000000000000004">
      <c r="D18" s="7">
        <v>45</v>
      </c>
      <c r="E18" s="7" t="s">
        <v>99</v>
      </c>
      <c r="F18" s="7">
        <v>16</v>
      </c>
      <c r="G18" s="8"/>
      <c r="H18" s="8"/>
      <c r="I18" s="8" t="s">
        <v>213</v>
      </c>
      <c r="J18" s="8" t="s">
        <v>302</v>
      </c>
      <c r="K18" s="8" t="s">
        <v>347</v>
      </c>
      <c r="L18" s="8" t="s">
        <v>361</v>
      </c>
      <c r="M18" s="8" t="s">
        <v>28</v>
      </c>
      <c r="N18" s="8" t="s">
        <v>214</v>
      </c>
      <c r="O18" s="8" t="s">
        <v>157</v>
      </c>
      <c r="P18" s="8" t="s">
        <v>157</v>
      </c>
      <c r="Q18" s="8"/>
      <c r="R18" s="10"/>
      <c r="S18" s="10"/>
      <c r="T18" s="10"/>
      <c r="U18" s="34">
        <v>46069.554861111108</v>
      </c>
      <c r="V18" s="34">
        <v>46226.618055555555</v>
      </c>
      <c r="W18" s="10"/>
      <c r="Y18">
        <f t="shared" si="0"/>
        <v>-8</v>
      </c>
      <c r="Z18">
        <f t="shared" si="0"/>
        <v>0</v>
      </c>
    </row>
    <row r="19" spans="4:26" x14ac:dyDescent="0.55000000000000004">
      <c r="D19" s="7">
        <v>59</v>
      </c>
      <c r="E19" s="7" t="s">
        <v>95</v>
      </c>
      <c r="F19" s="7">
        <v>17</v>
      </c>
      <c r="G19" s="8"/>
      <c r="H19" s="8"/>
      <c r="I19" s="8" t="s">
        <v>215</v>
      </c>
      <c r="J19" s="8" t="s">
        <v>220</v>
      </c>
      <c r="K19" s="8"/>
      <c r="L19" s="8"/>
      <c r="M19" s="8" t="s">
        <v>218</v>
      </c>
      <c r="N19" s="8"/>
      <c r="O19" s="8" t="s">
        <v>159</v>
      </c>
      <c r="P19" s="8" t="s">
        <v>159</v>
      </c>
      <c r="Q19" s="8"/>
      <c r="R19" s="10"/>
      <c r="S19" s="10"/>
      <c r="T19" s="10"/>
      <c r="U19" s="34">
        <v>46170.415277777778</v>
      </c>
      <c r="V19" s="34">
        <v>46170.415277777778</v>
      </c>
      <c r="W19" s="10"/>
      <c r="Y19">
        <f t="shared" si="0"/>
        <v>-18</v>
      </c>
      <c r="Z19">
        <f t="shared" si="0"/>
        <v>-18</v>
      </c>
    </row>
    <row r="20" spans="4:26" x14ac:dyDescent="0.55000000000000004">
      <c r="D20" s="7">
        <v>66</v>
      </c>
      <c r="E20" s="7" t="s">
        <v>95</v>
      </c>
      <c r="F20" s="7">
        <v>18</v>
      </c>
      <c r="G20" s="8"/>
      <c r="H20" s="8"/>
      <c r="I20" s="8" t="s">
        <v>216</v>
      </c>
      <c r="J20" s="8" t="s">
        <v>217</v>
      </c>
      <c r="K20" s="8"/>
      <c r="L20" s="8"/>
      <c r="M20" s="8" t="s">
        <v>219</v>
      </c>
      <c r="N20" s="8"/>
      <c r="O20" s="8" t="s">
        <v>159</v>
      </c>
      <c r="P20" s="8" t="s">
        <v>159</v>
      </c>
      <c r="Q20" s="8"/>
      <c r="R20" s="10"/>
      <c r="S20" s="10"/>
      <c r="T20" s="10"/>
      <c r="U20" s="34">
        <v>46170.415277777778</v>
      </c>
      <c r="V20" s="34">
        <v>46170.415277777778</v>
      </c>
      <c r="W20" s="10"/>
      <c r="Y20">
        <f t="shared" si="0"/>
        <v>-18</v>
      </c>
      <c r="Z20">
        <f t="shared" si="0"/>
        <v>-18</v>
      </c>
    </row>
    <row r="21" spans="4:26" x14ac:dyDescent="0.55000000000000004">
      <c r="D21" s="7">
        <v>67</v>
      </c>
      <c r="E21" s="7" t="s">
        <v>95</v>
      </c>
      <c r="F21" s="7">
        <v>19</v>
      </c>
      <c r="G21" s="8"/>
      <c r="H21" s="8"/>
      <c r="I21" s="8" t="s">
        <v>221</v>
      </c>
      <c r="J21" s="8" t="s">
        <v>222</v>
      </c>
      <c r="K21" s="43"/>
      <c r="L21" s="43"/>
      <c r="M21" s="42" t="s">
        <v>28</v>
      </c>
      <c r="N21" s="8" t="s">
        <v>196</v>
      </c>
      <c r="O21" s="8" t="s">
        <v>159</v>
      </c>
      <c r="P21" s="8" t="s">
        <v>159</v>
      </c>
      <c r="Q21" s="8">
        <v>1</v>
      </c>
      <c r="R21" s="10"/>
      <c r="S21" s="10"/>
      <c r="T21" s="10"/>
      <c r="U21" s="34">
        <v>46139</v>
      </c>
      <c r="V21" s="34">
        <v>46196.622916666667</v>
      </c>
      <c r="W21" s="10"/>
      <c r="Y21">
        <f t="shared" si="0"/>
        <v>-18</v>
      </c>
      <c r="Z21">
        <f t="shared" si="0"/>
        <v>-18</v>
      </c>
    </row>
    <row r="22" spans="4:26" x14ac:dyDescent="0.55000000000000004">
      <c r="D22" s="7">
        <v>68</v>
      </c>
      <c r="E22" s="7" t="s">
        <v>95</v>
      </c>
      <c r="F22" s="7">
        <v>20</v>
      </c>
      <c r="G22" s="8"/>
      <c r="H22" s="8"/>
      <c r="I22" s="8" t="s">
        <v>209</v>
      </c>
      <c r="J22" s="8" t="s">
        <v>197</v>
      </c>
      <c r="K22" s="43"/>
      <c r="L22" s="43"/>
      <c r="M22" s="42" t="s">
        <v>198</v>
      </c>
      <c r="N22" s="8" t="s">
        <v>196</v>
      </c>
      <c r="O22" s="8" t="s">
        <v>159</v>
      </c>
      <c r="P22" s="8" t="s">
        <v>159</v>
      </c>
      <c r="Q22" s="8">
        <v>1</v>
      </c>
      <c r="R22" s="10"/>
      <c r="S22" s="10"/>
      <c r="T22" s="10"/>
      <c r="U22" s="34">
        <v>46139</v>
      </c>
      <c r="V22" s="34">
        <v>46139</v>
      </c>
      <c r="W22" s="10"/>
      <c r="Y22">
        <f t="shared" si="0"/>
        <v>-18</v>
      </c>
      <c r="Z22">
        <f t="shared" si="0"/>
        <v>-18</v>
      </c>
    </row>
    <row r="23" spans="4:26" x14ac:dyDescent="0.55000000000000004">
      <c r="D23" s="7">
        <v>69</v>
      </c>
      <c r="E23" s="7" t="s">
        <v>95</v>
      </c>
      <c r="F23" s="7">
        <v>21</v>
      </c>
      <c r="G23" s="8"/>
      <c r="H23" s="8"/>
      <c r="I23" s="8" t="s">
        <v>210</v>
      </c>
      <c r="J23" s="8" t="s">
        <v>199</v>
      </c>
      <c r="K23" s="43"/>
      <c r="L23" s="43"/>
      <c r="M23" s="42" t="s">
        <v>200</v>
      </c>
      <c r="N23" s="8" t="s">
        <v>201</v>
      </c>
      <c r="O23" s="8" t="s">
        <v>159</v>
      </c>
      <c r="P23" s="8" t="s">
        <v>159</v>
      </c>
      <c r="Q23" s="8">
        <v>1</v>
      </c>
      <c r="R23" s="10"/>
      <c r="S23" s="10"/>
      <c r="T23" s="10"/>
      <c r="U23" s="34">
        <v>46139</v>
      </c>
      <c r="V23" s="34">
        <v>46139</v>
      </c>
      <c r="W23" s="10"/>
      <c r="Y23">
        <f t="shared" si="0"/>
        <v>-18</v>
      </c>
      <c r="Z23">
        <f t="shared" si="0"/>
        <v>-18</v>
      </c>
    </row>
    <row r="24" spans="4:26" x14ac:dyDescent="0.55000000000000004">
      <c r="D24" s="7">
        <v>70</v>
      </c>
      <c r="E24" s="7" t="s">
        <v>95</v>
      </c>
      <c r="F24" s="7">
        <v>22</v>
      </c>
      <c r="G24" s="8"/>
      <c r="H24" s="8"/>
      <c r="I24" s="8" t="s">
        <v>202</v>
      </c>
      <c r="J24" s="8" t="s">
        <v>203</v>
      </c>
      <c r="K24" s="43"/>
      <c r="L24" s="43"/>
      <c r="M24" s="42" t="s">
        <v>204</v>
      </c>
      <c r="N24" s="8" t="s">
        <v>205</v>
      </c>
      <c r="O24" s="8" t="s">
        <v>159</v>
      </c>
      <c r="P24" s="8" t="s">
        <v>159</v>
      </c>
      <c r="Q24" s="8">
        <v>1</v>
      </c>
      <c r="R24" s="10"/>
      <c r="S24" s="10"/>
      <c r="T24" s="10"/>
      <c r="U24" s="34">
        <v>46139</v>
      </c>
      <c r="V24" s="34">
        <v>46139</v>
      </c>
      <c r="W24" s="10"/>
      <c r="Y24">
        <f t="shared" si="0"/>
        <v>-18</v>
      </c>
      <c r="Z24">
        <f t="shared" si="0"/>
        <v>-18</v>
      </c>
    </row>
    <row r="25" spans="4:26" x14ac:dyDescent="0.55000000000000004">
      <c r="D25" s="7">
        <v>71</v>
      </c>
      <c r="E25" s="7" t="s">
        <v>95</v>
      </c>
      <c r="F25" s="7">
        <v>23</v>
      </c>
      <c r="G25" s="8"/>
      <c r="H25" s="8"/>
      <c r="I25" s="8" t="s">
        <v>211</v>
      </c>
      <c r="J25" s="8" t="s">
        <v>206</v>
      </c>
      <c r="K25" s="43"/>
      <c r="L25" s="43"/>
      <c r="M25" s="42" t="s">
        <v>195</v>
      </c>
      <c r="N25" s="8" t="s">
        <v>196</v>
      </c>
      <c r="O25" s="8" t="s">
        <v>159</v>
      </c>
      <c r="P25" s="8" t="s">
        <v>159</v>
      </c>
      <c r="Q25" s="8">
        <v>1</v>
      </c>
      <c r="R25" s="10"/>
      <c r="S25" s="10"/>
      <c r="T25" s="10"/>
      <c r="U25" s="34">
        <v>46139</v>
      </c>
      <c r="V25" s="34">
        <v>46139</v>
      </c>
      <c r="W25" s="10"/>
      <c r="Y25">
        <f t="shared" si="0"/>
        <v>-18</v>
      </c>
      <c r="Z25">
        <f t="shared" si="0"/>
        <v>-18</v>
      </c>
    </row>
    <row r="26" spans="4:26" x14ac:dyDescent="0.55000000000000004">
      <c r="D26" s="7">
        <v>72</v>
      </c>
      <c r="E26" s="7" t="s">
        <v>95</v>
      </c>
      <c r="F26" s="7">
        <v>24</v>
      </c>
      <c r="G26" s="8"/>
      <c r="H26" s="8"/>
      <c r="I26" s="8" t="s">
        <v>212</v>
      </c>
      <c r="J26" s="8" t="s">
        <v>207</v>
      </c>
      <c r="K26" s="43"/>
      <c r="L26" s="43"/>
      <c r="M26" s="42" t="s">
        <v>208</v>
      </c>
      <c r="N26" s="8" t="s">
        <v>196</v>
      </c>
      <c r="O26" s="8" t="s">
        <v>159</v>
      </c>
      <c r="P26" s="8" t="s">
        <v>159</v>
      </c>
      <c r="Q26" s="8">
        <v>1</v>
      </c>
      <c r="R26" s="10"/>
      <c r="S26" s="10"/>
      <c r="T26" s="10"/>
      <c r="U26" s="34">
        <v>46139</v>
      </c>
      <c r="V26" s="34">
        <v>46139</v>
      </c>
      <c r="W26" s="10"/>
      <c r="Y26">
        <f t="shared" si="0"/>
        <v>-18</v>
      </c>
      <c r="Z26">
        <f t="shared" si="0"/>
        <v>-18</v>
      </c>
    </row>
    <row r="27" spans="4:26" x14ac:dyDescent="0.55000000000000004">
      <c r="D27" s="7">
        <v>1</v>
      </c>
      <c r="E27" s="7" t="s">
        <v>94</v>
      </c>
      <c r="F27" s="7">
        <v>1</v>
      </c>
      <c r="G27" s="8">
        <v>1</v>
      </c>
      <c r="H27" s="8" t="s">
        <v>241</v>
      </c>
      <c r="I27" s="8" t="s">
        <v>242</v>
      </c>
      <c r="J27" s="8" t="s">
        <v>310</v>
      </c>
      <c r="K27" s="43" t="s">
        <v>242</v>
      </c>
      <c r="L27" s="43" t="s">
        <v>371</v>
      </c>
      <c r="M27" s="42" t="s">
        <v>51</v>
      </c>
      <c r="N27" s="8" t="s">
        <v>52</v>
      </c>
      <c r="O27" s="8" t="s">
        <v>160</v>
      </c>
      <c r="P27" s="8" t="s">
        <v>160</v>
      </c>
      <c r="Q27" s="8">
        <v>1</v>
      </c>
      <c r="R27" s="10"/>
      <c r="S27" s="10">
        <v>0</v>
      </c>
      <c r="T27" s="10">
        <v>0</v>
      </c>
      <c r="U27" s="34">
        <v>46069.554861111108</v>
      </c>
      <c r="V27" s="34">
        <v>46226.664583333331</v>
      </c>
      <c r="W27" s="10"/>
      <c r="Y27">
        <f t="shared" si="0"/>
        <v>-4</v>
      </c>
      <c r="Z27">
        <f t="shared" si="0"/>
        <v>0</v>
      </c>
    </row>
    <row r="28" spans="4:26" x14ac:dyDescent="0.55000000000000004">
      <c r="D28" s="7">
        <v>46</v>
      </c>
      <c r="E28" s="7" t="s">
        <v>94</v>
      </c>
      <c r="F28" s="7">
        <v>2</v>
      </c>
      <c r="G28" s="8"/>
      <c r="H28" s="8"/>
      <c r="I28" s="8" t="s">
        <v>306</v>
      </c>
      <c r="J28" s="8" t="s">
        <v>311</v>
      </c>
      <c r="K28" s="8" t="s">
        <v>362</v>
      </c>
      <c r="L28" s="8" t="s">
        <v>372</v>
      </c>
      <c r="M28" s="8" t="s">
        <v>145</v>
      </c>
      <c r="N28" s="8"/>
      <c r="O28" s="8"/>
      <c r="P28" s="8"/>
      <c r="Q28" s="8"/>
      <c r="R28" s="10"/>
      <c r="S28" s="10">
        <v>0</v>
      </c>
      <c r="T28" s="10">
        <v>5</v>
      </c>
      <c r="U28" s="34">
        <v>46069.554861111108</v>
      </c>
      <c r="V28" s="34">
        <v>46226.664583333331</v>
      </c>
      <c r="W28" s="10"/>
      <c r="Y28">
        <f t="shared" si="0"/>
        <v>-1</v>
      </c>
      <c r="Z28">
        <f t="shared" si="0"/>
        <v>-1</v>
      </c>
    </row>
    <row r="29" spans="4:26" x14ac:dyDescent="0.55000000000000004">
      <c r="D29" s="7">
        <v>47</v>
      </c>
      <c r="E29" s="7" t="s">
        <v>94</v>
      </c>
      <c r="F29" s="7">
        <v>3</v>
      </c>
      <c r="G29" s="8"/>
      <c r="H29" s="8"/>
      <c r="I29" s="8" t="s">
        <v>307</v>
      </c>
      <c r="J29" s="8" t="s">
        <v>312</v>
      </c>
      <c r="K29" s="8" t="s">
        <v>363</v>
      </c>
      <c r="L29" s="8" t="s">
        <v>373</v>
      </c>
      <c r="M29" s="8" t="s">
        <v>145</v>
      </c>
      <c r="N29" s="8"/>
      <c r="O29" s="8"/>
      <c r="P29" s="8"/>
      <c r="Q29" s="8"/>
      <c r="R29" s="10"/>
      <c r="S29" s="10">
        <v>0</v>
      </c>
      <c r="T29" s="10">
        <v>6</v>
      </c>
      <c r="U29" s="34">
        <v>46069.554861111108</v>
      </c>
      <c r="V29" s="34">
        <v>46226.664583333331</v>
      </c>
      <c r="W29" s="10"/>
      <c r="Y29">
        <f t="shared" si="0"/>
        <v>-1</v>
      </c>
      <c r="Z29">
        <f t="shared" si="0"/>
        <v>-1</v>
      </c>
    </row>
    <row r="30" spans="4:26" x14ac:dyDescent="0.55000000000000004">
      <c r="D30" s="7">
        <v>2</v>
      </c>
      <c r="E30" s="7" t="s">
        <v>94</v>
      </c>
      <c r="F30" s="7">
        <v>4</v>
      </c>
      <c r="G30" s="8">
        <v>2</v>
      </c>
      <c r="H30" s="8" t="s">
        <v>110</v>
      </c>
      <c r="I30" s="8" t="s">
        <v>243</v>
      </c>
      <c r="J30" s="8" t="s">
        <v>313</v>
      </c>
      <c r="K30" s="8" t="s">
        <v>243</v>
      </c>
      <c r="L30" s="8" t="s">
        <v>374</v>
      </c>
      <c r="M30" s="8" t="s">
        <v>53</v>
      </c>
      <c r="N30" s="8" t="s">
        <v>54</v>
      </c>
      <c r="O30" s="8" t="s">
        <v>160</v>
      </c>
      <c r="P30" s="8" t="s">
        <v>160</v>
      </c>
      <c r="Q30" s="8">
        <v>1</v>
      </c>
      <c r="R30" s="10"/>
      <c r="S30" s="10">
        <v>0</v>
      </c>
      <c r="T30" s="10">
        <v>7</v>
      </c>
      <c r="U30" s="34">
        <v>46069.554861111108</v>
      </c>
      <c r="V30" s="34">
        <v>46226.664583333331</v>
      </c>
      <c r="W30" s="10"/>
      <c r="Y30">
        <f t="shared" si="0"/>
        <v>-2</v>
      </c>
      <c r="Z30">
        <f t="shared" si="0"/>
        <v>0</v>
      </c>
    </row>
    <row r="31" spans="4:26" x14ac:dyDescent="0.55000000000000004">
      <c r="D31" s="7">
        <v>4</v>
      </c>
      <c r="E31" s="7" t="s">
        <v>94</v>
      </c>
      <c r="F31" s="7">
        <v>5</v>
      </c>
      <c r="G31" s="8">
        <v>5</v>
      </c>
      <c r="H31" s="8" t="s">
        <v>244</v>
      </c>
      <c r="I31" s="8" t="s">
        <v>245</v>
      </c>
      <c r="J31" s="8" t="s">
        <v>314</v>
      </c>
      <c r="K31" s="8" t="s">
        <v>364</v>
      </c>
      <c r="L31" s="8" t="s">
        <v>375</v>
      </c>
      <c r="M31" s="8" t="s">
        <v>56</v>
      </c>
      <c r="N31" s="9" t="s">
        <v>246</v>
      </c>
      <c r="O31" s="8" t="s">
        <v>160</v>
      </c>
      <c r="P31" s="8" t="s">
        <v>160</v>
      </c>
      <c r="Q31" s="8">
        <v>1</v>
      </c>
      <c r="R31" s="10"/>
      <c r="S31" s="10">
        <v>0</v>
      </c>
      <c r="T31" s="10">
        <v>1</v>
      </c>
      <c r="U31" s="34">
        <v>46069.554861111108</v>
      </c>
      <c r="V31" s="34">
        <v>46226.664583333331</v>
      </c>
      <c r="W31" s="10"/>
      <c r="Y31">
        <f t="shared" si="0"/>
        <v>-2</v>
      </c>
      <c r="Z31">
        <f t="shared" si="0"/>
        <v>-4</v>
      </c>
    </row>
    <row r="32" spans="4:26" x14ac:dyDescent="0.55000000000000004">
      <c r="D32" s="7">
        <v>3</v>
      </c>
      <c r="E32" s="7" t="s">
        <v>94</v>
      </c>
      <c r="F32" s="7">
        <v>6</v>
      </c>
      <c r="G32" s="8">
        <v>5</v>
      </c>
      <c r="H32" s="8" t="s">
        <v>244</v>
      </c>
      <c r="I32" s="8" t="s">
        <v>114</v>
      </c>
      <c r="J32" s="8" t="s">
        <v>315</v>
      </c>
      <c r="K32" s="8" t="s">
        <v>114</v>
      </c>
      <c r="L32" s="8" t="s">
        <v>376</v>
      </c>
      <c r="M32" s="8" t="s">
        <v>55</v>
      </c>
      <c r="N32" s="8" t="s">
        <v>247</v>
      </c>
      <c r="O32" s="8" t="s">
        <v>160</v>
      </c>
      <c r="P32" s="8" t="s">
        <v>160</v>
      </c>
      <c r="Q32" s="8">
        <v>1</v>
      </c>
      <c r="R32" s="10"/>
      <c r="S32" s="10">
        <v>0</v>
      </c>
      <c r="T32" s="10">
        <v>8</v>
      </c>
      <c r="U32" s="34">
        <v>46069.554861111108</v>
      </c>
      <c r="V32" s="34">
        <v>46226.664583333331</v>
      </c>
      <c r="W32" s="10"/>
      <c r="Y32">
        <f t="shared" si="0"/>
        <v>-2</v>
      </c>
      <c r="Z32">
        <f t="shared" si="0"/>
        <v>-4</v>
      </c>
    </row>
    <row r="33" spans="4:26" x14ac:dyDescent="0.55000000000000004">
      <c r="D33" s="7">
        <v>8</v>
      </c>
      <c r="E33" s="7" t="s">
        <v>94</v>
      </c>
      <c r="F33" s="7">
        <v>7</v>
      </c>
      <c r="G33" s="8">
        <v>6</v>
      </c>
      <c r="H33" s="8" t="s">
        <v>248</v>
      </c>
      <c r="I33" s="8" t="s">
        <v>249</v>
      </c>
      <c r="J33" s="8" t="s">
        <v>316</v>
      </c>
      <c r="K33" s="8" t="s">
        <v>249</v>
      </c>
      <c r="L33" s="8" t="s">
        <v>377</v>
      </c>
      <c r="M33" s="8" t="s">
        <v>57</v>
      </c>
      <c r="N33" s="8" t="s">
        <v>250</v>
      </c>
      <c r="O33" s="8" t="s">
        <v>160</v>
      </c>
      <c r="P33" s="8" t="s">
        <v>160</v>
      </c>
      <c r="Q33" s="8">
        <v>1</v>
      </c>
      <c r="R33" s="10"/>
      <c r="S33" s="10">
        <v>0</v>
      </c>
      <c r="T33" s="10">
        <v>9</v>
      </c>
      <c r="U33" s="34">
        <v>46069.554861111108</v>
      </c>
      <c r="V33" s="34">
        <v>46226.664583333331</v>
      </c>
      <c r="W33" s="10"/>
      <c r="Y33">
        <f t="shared" si="0"/>
        <v>-6</v>
      </c>
      <c r="Z33">
        <f t="shared" si="0"/>
        <v>-4</v>
      </c>
    </row>
    <row r="34" spans="4:26" x14ac:dyDescent="0.55000000000000004">
      <c r="D34" s="7">
        <v>7</v>
      </c>
      <c r="E34" s="7" t="s">
        <v>94</v>
      </c>
      <c r="F34" s="7">
        <v>8</v>
      </c>
      <c r="G34" s="8">
        <v>7</v>
      </c>
      <c r="H34" s="8" t="s">
        <v>76</v>
      </c>
      <c r="I34" s="8" t="s">
        <v>113</v>
      </c>
      <c r="J34" s="8" t="s">
        <v>317</v>
      </c>
      <c r="K34" s="8" t="s">
        <v>113</v>
      </c>
      <c r="L34" s="8" t="s">
        <v>378</v>
      </c>
      <c r="M34" s="8" t="s">
        <v>60</v>
      </c>
      <c r="N34" s="8" t="s">
        <v>250</v>
      </c>
      <c r="O34" s="8" t="s">
        <v>160</v>
      </c>
      <c r="P34" s="8" t="s">
        <v>160</v>
      </c>
      <c r="Q34" s="11">
        <v>1</v>
      </c>
      <c r="R34" s="21"/>
      <c r="S34" s="21">
        <v>0</v>
      </c>
      <c r="T34" s="21">
        <v>10</v>
      </c>
      <c r="U34" s="34">
        <v>46069.554861111108</v>
      </c>
      <c r="V34" s="34">
        <v>46226.664583333331</v>
      </c>
      <c r="W34" s="10"/>
      <c r="Y34">
        <f t="shared" si="0"/>
        <v>-4</v>
      </c>
      <c r="Z34">
        <f t="shared" si="0"/>
        <v>-4</v>
      </c>
    </row>
    <row r="35" spans="4:26" x14ac:dyDescent="0.55000000000000004">
      <c r="D35" s="7">
        <v>6</v>
      </c>
      <c r="E35" s="7" t="s">
        <v>94</v>
      </c>
      <c r="F35" s="7">
        <v>9</v>
      </c>
      <c r="G35" s="8">
        <v>7</v>
      </c>
      <c r="H35" s="8" t="s">
        <v>76</v>
      </c>
      <c r="I35" s="8" t="s">
        <v>251</v>
      </c>
      <c r="J35" s="8" t="s">
        <v>318</v>
      </c>
      <c r="K35" s="8" t="s">
        <v>251</v>
      </c>
      <c r="L35" s="8" t="s">
        <v>379</v>
      </c>
      <c r="M35" s="8" t="s">
        <v>58</v>
      </c>
      <c r="N35" s="8" t="s">
        <v>59</v>
      </c>
      <c r="O35" s="8" t="s">
        <v>160</v>
      </c>
      <c r="P35" s="8" t="s">
        <v>160</v>
      </c>
      <c r="Q35" s="11">
        <v>1</v>
      </c>
      <c r="R35" s="21"/>
      <c r="S35" s="21">
        <v>0</v>
      </c>
      <c r="T35" s="21">
        <v>11</v>
      </c>
      <c r="U35" s="34">
        <v>46069.554861111108</v>
      </c>
      <c r="V35" s="34">
        <v>46226.664583333331</v>
      </c>
      <c r="W35" s="10"/>
      <c r="Y35">
        <f t="shared" si="0"/>
        <v>-6</v>
      </c>
      <c r="Z35">
        <f t="shared" si="0"/>
        <v>-2</v>
      </c>
    </row>
    <row r="36" spans="4:26" x14ac:dyDescent="0.55000000000000004">
      <c r="D36" s="7">
        <v>5</v>
      </c>
      <c r="E36" s="7" t="s">
        <v>94</v>
      </c>
      <c r="F36" s="7">
        <v>10</v>
      </c>
      <c r="G36" s="8">
        <v>8</v>
      </c>
      <c r="H36" s="8" t="s">
        <v>188</v>
      </c>
      <c r="I36" s="8" t="s">
        <v>252</v>
      </c>
      <c r="J36" s="8" t="s">
        <v>319</v>
      </c>
      <c r="K36" s="8" t="s">
        <v>252</v>
      </c>
      <c r="L36" s="8" t="s">
        <v>380</v>
      </c>
      <c r="M36" s="8" t="s">
        <v>57</v>
      </c>
      <c r="N36" s="8" t="s">
        <v>250</v>
      </c>
      <c r="O36" s="8" t="s">
        <v>160</v>
      </c>
      <c r="P36" s="8" t="s">
        <v>160</v>
      </c>
      <c r="Q36" s="11">
        <v>1</v>
      </c>
      <c r="R36" s="21"/>
      <c r="S36" s="21">
        <v>0</v>
      </c>
      <c r="T36" s="21">
        <v>12</v>
      </c>
      <c r="U36" s="34">
        <v>46069.554861111108</v>
      </c>
      <c r="V36" s="34">
        <v>46226.664583333331</v>
      </c>
      <c r="W36" s="10"/>
      <c r="Y36">
        <f t="shared" si="0"/>
        <v>-10</v>
      </c>
      <c r="Z36">
        <f t="shared" si="0"/>
        <v>-2</v>
      </c>
    </row>
    <row r="37" spans="4:26" x14ac:dyDescent="0.55000000000000004">
      <c r="D37" s="7">
        <v>10</v>
      </c>
      <c r="E37" s="7" t="s">
        <v>94</v>
      </c>
      <c r="F37" s="7">
        <v>11</v>
      </c>
      <c r="G37" s="8">
        <v>9</v>
      </c>
      <c r="H37" s="8" t="s">
        <v>253</v>
      </c>
      <c r="I37" s="8" t="s">
        <v>254</v>
      </c>
      <c r="J37" s="8" t="s">
        <v>320</v>
      </c>
      <c r="K37" s="8" t="s">
        <v>365</v>
      </c>
      <c r="L37" s="8" t="s">
        <v>381</v>
      </c>
      <c r="M37" s="8" t="s">
        <v>62</v>
      </c>
      <c r="N37" s="8" t="s">
        <v>250</v>
      </c>
      <c r="O37" s="8" t="s">
        <v>160</v>
      </c>
      <c r="P37" s="8" t="s">
        <v>160</v>
      </c>
      <c r="Q37" s="11">
        <v>1</v>
      </c>
      <c r="R37" s="21"/>
      <c r="S37" s="21">
        <v>0</v>
      </c>
      <c r="T37" s="21">
        <v>2</v>
      </c>
      <c r="U37" s="34">
        <v>46069.554861111108</v>
      </c>
      <c r="V37" s="34">
        <v>46226.664583333331</v>
      </c>
      <c r="W37" s="10"/>
      <c r="Y37">
        <f t="shared" si="0"/>
        <v>-6</v>
      </c>
      <c r="Z37">
        <f t="shared" si="0"/>
        <v>0</v>
      </c>
    </row>
    <row r="38" spans="4:26" x14ac:dyDescent="0.55000000000000004">
      <c r="D38" s="7">
        <v>9</v>
      </c>
      <c r="E38" s="7" t="s">
        <v>94</v>
      </c>
      <c r="F38" s="7">
        <v>12</v>
      </c>
      <c r="G38" s="12">
        <v>9</v>
      </c>
      <c r="H38" s="12" t="s">
        <v>253</v>
      </c>
      <c r="I38" s="12" t="s">
        <v>111</v>
      </c>
      <c r="J38" s="12" t="s">
        <v>321</v>
      </c>
      <c r="K38" s="12" t="s">
        <v>366</v>
      </c>
      <c r="L38" s="12" t="s">
        <v>382</v>
      </c>
      <c r="M38" s="12" t="s">
        <v>61</v>
      </c>
      <c r="N38" s="12" t="s">
        <v>250</v>
      </c>
      <c r="O38" s="12" t="s">
        <v>160</v>
      </c>
      <c r="P38" s="12" t="s">
        <v>160</v>
      </c>
      <c r="Q38" s="13">
        <v>1</v>
      </c>
      <c r="R38" s="22"/>
      <c r="S38" s="22">
        <v>0</v>
      </c>
      <c r="T38" s="22">
        <v>13</v>
      </c>
      <c r="U38" s="35">
        <v>46069.554861111108</v>
      </c>
      <c r="V38" s="35">
        <v>46226.664583333331</v>
      </c>
      <c r="W38" s="10"/>
      <c r="Y38">
        <f t="shared" si="0"/>
        <v>-8</v>
      </c>
      <c r="Z38">
        <f t="shared" si="0"/>
        <v>-3</v>
      </c>
    </row>
    <row r="39" spans="4:26" x14ac:dyDescent="0.55000000000000004">
      <c r="D39" s="7">
        <v>11</v>
      </c>
      <c r="E39" s="7" t="s">
        <v>94</v>
      </c>
      <c r="F39" s="7">
        <v>13</v>
      </c>
      <c r="G39" s="8">
        <v>11</v>
      </c>
      <c r="H39" s="8" t="s">
        <v>79</v>
      </c>
      <c r="I39" s="8" t="s">
        <v>255</v>
      </c>
      <c r="J39" s="8" t="s">
        <v>322</v>
      </c>
      <c r="K39" s="8" t="s">
        <v>367</v>
      </c>
      <c r="L39" s="8" t="s">
        <v>383</v>
      </c>
      <c r="M39" s="8" t="s">
        <v>62</v>
      </c>
      <c r="N39" s="8" t="s">
        <v>250</v>
      </c>
      <c r="O39" s="8" t="s">
        <v>160</v>
      </c>
      <c r="P39" s="8" t="s">
        <v>160</v>
      </c>
      <c r="Q39" s="11">
        <v>1</v>
      </c>
      <c r="R39" s="21"/>
      <c r="S39" s="21">
        <v>0</v>
      </c>
      <c r="T39" s="21">
        <v>3</v>
      </c>
      <c r="U39" s="34">
        <v>46069.554861111108</v>
      </c>
      <c r="V39" s="34">
        <v>46226.664583333331</v>
      </c>
      <c r="W39" s="10"/>
      <c r="Y39">
        <f t="shared" si="0"/>
        <v>-6</v>
      </c>
      <c r="Z39">
        <f t="shared" si="0"/>
        <v>0</v>
      </c>
    </row>
    <row r="40" spans="4:26" x14ac:dyDescent="0.55000000000000004">
      <c r="D40" s="7">
        <v>13</v>
      </c>
      <c r="E40" s="7" t="s">
        <v>94</v>
      </c>
      <c r="F40" s="7">
        <v>14</v>
      </c>
      <c r="G40" s="12">
        <v>11</v>
      </c>
      <c r="H40" s="12" t="s">
        <v>79</v>
      </c>
      <c r="I40" s="12" t="s">
        <v>112</v>
      </c>
      <c r="J40" s="12" t="s">
        <v>323</v>
      </c>
      <c r="K40" s="12" t="s">
        <v>368</v>
      </c>
      <c r="L40" s="12" t="s">
        <v>384</v>
      </c>
      <c r="M40" s="12" t="s">
        <v>63</v>
      </c>
      <c r="N40" s="12" t="s">
        <v>250</v>
      </c>
      <c r="O40" s="12" t="s">
        <v>160</v>
      </c>
      <c r="P40" s="12" t="s">
        <v>160</v>
      </c>
      <c r="Q40" s="13">
        <v>1</v>
      </c>
      <c r="R40" s="22"/>
      <c r="S40" s="22">
        <v>0</v>
      </c>
      <c r="T40" s="22">
        <v>4</v>
      </c>
      <c r="U40" s="35">
        <v>46069.554861111108</v>
      </c>
      <c r="V40" s="35">
        <v>46226.664583333331</v>
      </c>
      <c r="W40" s="10"/>
      <c r="Y40">
        <f t="shared" si="0"/>
        <v>-8</v>
      </c>
      <c r="Z40">
        <f t="shared" si="0"/>
        <v>-3</v>
      </c>
    </row>
    <row r="41" spans="4:26" x14ac:dyDescent="0.55000000000000004">
      <c r="D41" s="7">
        <v>14</v>
      </c>
      <c r="E41" s="7" t="s">
        <v>94</v>
      </c>
      <c r="F41" s="7">
        <v>15</v>
      </c>
      <c r="G41" s="8">
        <v>11</v>
      </c>
      <c r="H41" s="8" t="s">
        <v>79</v>
      </c>
      <c r="I41" s="8" t="s">
        <v>256</v>
      </c>
      <c r="J41" s="8" t="s">
        <v>324</v>
      </c>
      <c r="K41" s="8" t="s">
        <v>256</v>
      </c>
      <c r="L41" s="8" t="s">
        <v>385</v>
      </c>
      <c r="M41" s="8" t="s">
        <v>64</v>
      </c>
      <c r="N41" s="8" t="s">
        <v>65</v>
      </c>
      <c r="O41" s="8" t="s">
        <v>160</v>
      </c>
      <c r="P41" s="8" t="s">
        <v>160</v>
      </c>
      <c r="Q41" s="11">
        <v>1</v>
      </c>
      <c r="R41" s="21"/>
      <c r="S41" s="21">
        <v>0</v>
      </c>
      <c r="T41" s="21">
        <v>14</v>
      </c>
      <c r="U41" s="34">
        <v>46069.554861111108</v>
      </c>
      <c r="V41" s="34">
        <v>46226.664583333331</v>
      </c>
      <c r="W41" s="10"/>
      <c r="Y41">
        <f t="shared" si="0"/>
        <v>-4</v>
      </c>
      <c r="Z41">
        <f t="shared" si="0"/>
        <v>1</v>
      </c>
    </row>
    <row r="42" spans="4:26" x14ac:dyDescent="0.55000000000000004">
      <c r="D42" s="7">
        <v>15</v>
      </c>
      <c r="E42" s="7" t="s">
        <v>94</v>
      </c>
      <c r="F42" s="7">
        <v>16</v>
      </c>
      <c r="G42" s="12">
        <v>11</v>
      </c>
      <c r="H42" s="12" t="s">
        <v>79</v>
      </c>
      <c r="I42" s="12" t="s">
        <v>257</v>
      </c>
      <c r="J42" s="12" t="s">
        <v>325</v>
      </c>
      <c r="K42" s="12" t="s">
        <v>257</v>
      </c>
      <c r="L42" s="12" t="s">
        <v>386</v>
      </c>
      <c r="M42" s="12" t="s">
        <v>64</v>
      </c>
      <c r="N42" s="12" t="s">
        <v>65</v>
      </c>
      <c r="O42" s="12" t="s">
        <v>160</v>
      </c>
      <c r="P42" s="12" t="s">
        <v>160</v>
      </c>
      <c r="Q42" s="13">
        <v>1</v>
      </c>
      <c r="R42" s="22"/>
      <c r="S42" s="22">
        <v>0</v>
      </c>
      <c r="T42" s="22">
        <v>15</v>
      </c>
      <c r="U42" s="35">
        <v>46069.554861111108</v>
      </c>
      <c r="V42" s="35">
        <v>46226.664583333331</v>
      </c>
      <c r="W42" s="10"/>
      <c r="Y42">
        <f t="shared" si="0"/>
        <v>-3</v>
      </c>
      <c r="Z42">
        <f t="shared" si="0"/>
        <v>-3</v>
      </c>
    </row>
    <row r="43" spans="4:26" x14ac:dyDescent="0.55000000000000004">
      <c r="D43" s="7">
        <v>48</v>
      </c>
      <c r="E43" s="7" t="s">
        <v>94</v>
      </c>
      <c r="F43" s="7">
        <v>17</v>
      </c>
      <c r="G43" s="12"/>
      <c r="H43" s="12"/>
      <c r="I43" s="12" t="s">
        <v>308</v>
      </c>
      <c r="J43" s="12" t="s">
        <v>326</v>
      </c>
      <c r="K43" s="12" t="s">
        <v>369</v>
      </c>
      <c r="L43" s="12" t="s">
        <v>387</v>
      </c>
      <c r="M43" s="12" t="s">
        <v>44</v>
      </c>
      <c r="N43" s="12"/>
      <c r="O43" s="12"/>
      <c r="P43" s="12"/>
      <c r="Q43" s="13"/>
      <c r="R43" s="22"/>
      <c r="S43" s="22">
        <v>1</v>
      </c>
      <c r="T43" s="22">
        <v>0</v>
      </c>
      <c r="U43" s="35">
        <v>46069.554861111108</v>
      </c>
      <c r="V43" s="35">
        <v>46226.664583333331</v>
      </c>
      <c r="W43" s="10"/>
      <c r="Y43">
        <f t="shared" si="0"/>
        <v>-3</v>
      </c>
      <c r="Z43">
        <f t="shared" si="0"/>
        <v>-2</v>
      </c>
    </row>
    <row r="44" spans="4:26" x14ac:dyDescent="0.55000000000000004">
      <c r="D44" s="7">
        <v>49</v>
      </c>
      <c r="E44" s="7" t="s">
        <v>94</v>
      </c>
      <c r="F44" s="7">
        <v>18</v>
      </c>
      <c r="G44" s="8"/>
      <c r="H44" s="8"/>
      <c r="I44" s="8" t="s">
        <v>309</v>
      </c>
      <c r="J44" s="8" t="s">
        <v>327</v>
      </c>
      <c r="K44" s="8" t="s">
        <v>370</v>
      </c>
      <c r="L44" s="8" t="s">
        <v>388</v>
      </c>
      <c r="M44" s="8" t="s">
        <v>44</v>
      </c>
      <c r="N44" s="8"/>
      <c r="O44" s="8"/>
      <c r="P44" s="8"/>
      <c r="Q44" s="8"/>
      <c r="R44" s="10"/>
      <c r="S44" s="10">
        <v>1</v>
      </c>
      <c r="T44" s="10">
        <v>1</v>
      </c>
      <c r="U44" s="34">
        <v>46069.554861111108</v>
      </c>
      <c r="V44" s="34">
        <v>46226.664583333331</v>
      </c>
      <c r="W44" s="10"/>
      <c r="Y44">
        <f t="shared" si="0"/>
        <v>-3</v>
      </c>
      <c r="Z44">
        <f t="shared" si="0"/>
        <v>-1</v>
      </c>
    </row>
    <row r="45" spans="4:26" x14ac:dyDescent="0.55000000000000004">
      <c r="D45" s="7">
        <v>50</v>
      </c>
      <c r="E45" s="7" t="s">
        <v>94</v>
      </c>
      <c r="F45" s="7">
        <v>19</v>
      </c>
      <c r="G45" s="8"/>
      <c r="H45" s="8"/>
      <c r="I45" s="8" t="s">
        <v>258</v>
      </c>
      <c r="J45" s="8" t="s">
        <v>328</v>
      </c>
      <c r="K45" s="8" t="s">
        <v>258</v>
      </c>
      <c r="L45" s="8" t="s">
        <v>389</v>
      </c>
      <c r="M45" s="8" t="s">
        <v>259</v>
      </c>
      <c r="N45" s="8"/>
      <c r="O45" s="8"/>
      <c r="P45" s="8"/>
      <c r="Q45" s="8"/>
      <c r="R45" s="10"/>
      <c r="S45" s="10">
        <v>1</v>
      </c>
      <c r="T45" s="10">
        <v>2</v>
      </c>
      <c r="U45" s="34">
        <v>46069.554861111108</v>
      </c>
      <c r="V45" s="34">
        <v>46226.664583333331</v>
      </c>
      <c r="W45" s="10"/>
      <c r="Y45">
        <f t="shared" si="0"/>
        <v>-3</v>
      </c>
      <c r="Z45">
        <f t="shared" si="0"/>
        <v>-1</v>
      </c>
    </row>
    <row r="46" spans="4:26" x14ac:dyDescent="0.55000000000000004">
      <c r="D46" s="7">
        <v>58</v>
      </c>
      <c r="E46" s="7" t="s">
        <v>94</v>
      </c>
      <c r="F46" s="7">
        <v>20</v>
      </c>
      <c r="G46" s="8">
        <v>7</v>
      </c>
      <c r="H46" s="8" t="s">
        <v>76</v>
      </c>
      <c r="I46" s="8" t="s">
        <v>260</v>
      </c>
      <c r="J46" s="8" t="s">
        <v>329</v>
      </c>
      <c r="K46" s="8" t="s">
        <v>260</v>
      </c>
      <c r="L46" s="8" t="s">
        <v>390</v>
      </c>
      <c r="M46" s="8" t="s">
        <v>183</v>
      </c>
      <c r="N46" s="8" t="s">
        <v>261</v>
      </c>
      <c r="O46" s="8" t="s">
        <v>262</v>
      </c>
      <c r="P46" s="8" t="s">
        <v>262</v>
      </c>
      <c r="Q46" s="8"/>
      <c r="R46" s="10"/>
      <c r="S46" s="10"/>
      <c r="T46" s="10"/>
      <c r="U46" s="34">
        <v>46069.554861111108</v>
      </c>
      <c r="V46" s="34">
        <v>46226.664583333331</v>
      </c>
      <c r="W46" s="10"/>
      <c r="Y46">
        <f t="shared" si="0"/>
        <v>-2</v>
      </c>
      <c r="Z46">
        <f t="shared" si="0"/>
        <v>-4</v>
      </c>
    </row>
    <row r="47" spans="4:26" x14ac:dyDescent="0.55000000000000004">
      <c r="D47" s="7">
        <v>12</v>
      </c>
      <c r="E47" s="7" t="s">
        <v>94</v>
      </c>
      <c r="F47" s="7"/>
      <c r="G47" s="8">
        <v>11</v>
      </c>
      <c r="H47" s="8" t="s">
        <v>79</v>
      </c>
      <c r="I47" s="8"/>
      <c r="J47" s="8"/>
      <c r="K47" s="8"/>
      <c r="L47" s="8"/>
      <c r="M47" s="8" t="s">
        <v>62</v>
      </c>
      <c r="N47" s="8" t="s">
        <v>250</v>
      </c>
      <c r="O47" s="8" t="s">
        <v>160</v>
      </c>
      <c r="P47" s="8" t="s">
        <v>160</v>
      </c>
      <c r="Q47" s="8">
        <v>1</v>
      </c>
      <c r="R47" s="10" t="s">
        <v>263</v>
      </c>
      <c r="S47" s="10"/>
      <c r="T47" s="10"/>
      <c r="U47" s="34">
        <v>46069.554861111108</v>
      </c>
      <c r="V47" s="34">
        <v>46069.554861111108</v>
      </c>
      <c r="W47" s="10"/>
      <c r="Y47">
        <f t="shared" si="0"/>
        <v>-18</v>
      </c>
      <c r="Z47">
        <f t="shared" si="0"/>
        <v>-18</v>
      </c>
    </row>
    <row r="48" spans="4:26" x14ac:dyDescent="0.55000000000000004">
      <c r="D48" s="26">
        <v>16</v>
      </c>
      <c r="E48" s="26" t="s">
        <v>94</v>
      </c>
      <c r="F48" s="26"/>
      <c r="G48" s="14">
        <v>11</v>
      </c>
      <c r="H48" s="14" t="s">
        <v>79</v>
      </c>
      <c r="I48" s="14"/>
      <c r="J48" s="14"/>
      <c r="K48" s="14"/>
      <c r="L48" s="14"/>
      <c r="M48" s="14" t="s">
        <v>64</v>
      </c>
      <c r="N48" s="14" t="s">
        <v>65</v>
      </c>
      <c r="O48" s="14" t="s">
        <v>160</v>
      </c>
      <c r="P48" s="14" t="s">
        <v>160</v>
      </c>
      <c r="Q48" s="15">
        <v>1</v>
      </c>
      <c r="R48" s="23" t="s">
        <v>263</v>
      </c>
      <c r="S48" s="23"/>
      <c r="T48" s="23"/>
      <c r="U48" s="36">
        <v>46069.554861111108</v>
      </c>
      <c r="V48" s="36">
        <v>46069.554861111108</v>
      </c>
      <c r="W48" s="10"/>
      <c r="Y48">
        <f t="shared" si="0"/>
        <v>-18</v>
      </c>
      <c r="Z48">
        <f t="shared" si="0"/>
        <v>-18</v>
      </c>
    </row>
    <row r="49" spans="4:26" x14ac:dyDescent="0.55000000000000004">
      <c r="D49" s="26">
        <v>17</v>
      </c>
      <c r="E49" s="26" t="s">
        <v>94</v>
      </c>
      <c r="F49" s="26"/>
      <c r="G49" s="14">
        <v>11</v>
      </c>
      <c r="H49" s="14" t="s">
        <v>79</v>
      </c>
      <c r="I49" s="14"/>
      <c r="J49" s="14"/>
      <c r="K49" s="14"/>
      <c r="L49" s="14"/>
      <c r="M49" s="14" t="s">
        <v>64</v>
      </c>
      <c r="N49" s="14" t="s">
        <v>65</v>
      </c>
      <c r="O49" s="14" t="s">
        <v>160</v>
      </c>
      <c r="P49" s="14" t="s">
        <v>160</v>
      </c>
      <c r="Q49" s="15">
        <v>1</v>
      </c>
      <c r="R49" s="23" t="s">
        <v>263</v>
      </c>
      <c r="S49" s="23"/>
      <c r="T49" s="23"/>
      <c r="U49" s="36">
        <v>46069.554861111108</v>
      </c>
      <c r="V49" s="36">
        <v>46069.554861111108</v>
      </c>
      <c r="W49" s="10"/>
      <c r="Y49">
        <f t="shared" si="0"/>
        <v>-18</v>
      </c>
      <c r="Z49">
        <f t="shared" si="0"/>
        <v>-18</v>
      </c>
    </row>
    <row r="50" spans="4:26" x14ac:dyDescent="0.55000000000000004">
      <c r="D50" s="26">
        <v>21</v>
      </c>
      <c r="E50" s="26" t="s">
        <v>264</v>
      </c>
      <c r="F50" s="26">
        <v>1</v>
      </c>
      <c r="G50" s="14">
        <v>1</v>
      </c>
      <c r="H50" s="14" t="s">
        <v>241</v>
      </c>
      <c r="I50" s="14" t="s">
        <v>265</v>
      </c>
      <c r="J50" s="14" t="s">
        <v>330</v>
      </c>
      <c r="K50" s="14" t="s">
        <v>265</v>
      </c>
      <c r="L50" s="14" t="s">
        <v>391</v>
      </c>
      <c r="M50" s="14" t="s">
        <v>25</v>
      </c>
      <c r="N50" s="14" t="s">
        <v>266</v>
      </c>
      <c r="O50" s="14" t="s">
        <v>159</v>
      </c>
      <c r="P50" s="14" t="s">
        <v>159</v>
      </c>
      <c r="Q50" s="15">
        <v>1</v>
      </c>
      <c r="R50" s="23"/>
      <c r="S50" s="23"/>
      <c r="T50" s="23"/>
      <c r="U50" s="36">
        <v>46069.554861111108</v>
      </c>
      <c r="V50" s="36">
        <v>46226.664583333331</v>
      </c>
      <c r="W50" s="10"/>
      <c r="Y50">
        <f t="shared" si="0"/>
        <v>-2</v>
      </c>
      <c r="Z50">
        <f t="shared" si="0"/>
        <v>0</v>
      </c>
    </row>
    <row r="51" spans="4:26" x14ac:dyDescent="0.55000000000000004">
      <c r="D51" s="7">
        <v>24</v>
      </c>
      <c r="E51" s="7" t="s">
        <v>267</v>
      </c>
      <c r="F51" s="7"/>
      <c r="G51" s="8">
        <v>3</v>
      </c>
      <c r="H51" s="8" t="s">
        <v>268</v>
      </c>
      <c r="I51" s="8" t="s">
        <v>269</v>
      </c>
      <c r="J51" s="8"/>
      <c r="K51" s="8"/>
      <c r="L51" s="8"/>
      <c r="M51" s="8" t="s">
        <v>6</v>
      </c>
      <c r="N51" s="8" t="s">
        <v>8</v>
      </c>
      <c r="O51" s="8" t="s">
        <v>157</v>
      </c>
      <c r="P51" s="8" t="s">
        <v>157</v>
      </c>
      <c r="Q51" s="8">
        <v>1</v>
      </c>
      <c r="R51" s="10"/>
      <c r="S51" s="10"/>
      <c r="T51" s="10"/>
      <c r="U51" s="34">
        <v>46069.554861111108</v>
      </c>
      <c r="V51" s="34">
        <v>46069.554861111108</v>
      </c>
      <c r="W51" s="10"/>
      <c r="Y51">
        <f t="shared" si="0"/>
        <v>-18</v>
      </c>
      <c r="Z51">
        <f t="shared" si="0"/>
        <v>-18</v>
      </c>
    </row>
    <row r="52" spans="4:26" x14ac:dyDescent="0.55000000000000004">
      <c r="D52" s="7">
        <v>25</v>
      </c>
      <c r="E52" s="7" t="s">
        <v>267</v>
      </c>
      <c r="F52" s="7"/>
      <c r="G52" s="8">
        <v>3</v>
      </c>
      <c r="H52" s="8" t="s">
        <v>268</v>
      </c>
      <c r="I52" s="8" t="s">
        <v>269</v>
      </c>
      <c r="J52" s="8"/>
      <c r="K52" s="8"/>
      <c r="L52" s="8"/>
      <c r="M52" s="8" t="s">
        <v>270</v>
      </c>
      <c r="N52" s="8" t="s">
        <v>271</v>
      </c>
      <c r="O52" s="8" t="s">
        <v>157</v>
      </c>
      <c r="P52" s="8" t="s">
        <v>157</v>
      </c>
      <c r="Q52" s="8">
        <v>1</v>
      </c>
      <c r="R52" s="10"/>
      <c r="S52" s="10"/>
      <c r="T52" s="10"/>
      <c r="U52" s="34">
        <v>46069.554861111108</v>
      </c>
      <c r="V52" s="34">
        <v>46069.554861111108</v>
      </c>
      <c r="W52" s="10"/>
      <c r="Y52">
        <f t="shared" si="0"/>
        <v>-18</v>
      </c>
      <c r="Z52">
        <f t="shared" si="0"/>
        <v>-18</v>
      </c>
    </row>
    <row r="53" spans="4:26" x14ac:dyDescent="0.55000000000000004">
      <c r="D53" s="7">
        <v>29</v>
      </c>
      <c r="E53" s="7" t="s">
        <v>267</v>
      </c>
      <c r="F53" s="7"/>
      <c r="G53" s="8">
        <v>7</v>
      </c>
      <c r="H53" s="8" t="s">
        <v>76</v>
      </c>
      <c r="I53" s="8"/>
      <c r="J53" s="8"/>
      <c r="K53" s="8"/>
      <c r="L53" s="8"/>
      <c r="M53" s="8" t="s">
        <v>20</v>
      </c>
      <c r="N53" s="8" t="s">
        <v>272</v>
      </c>
      <c r="O53" s="8" t="s">
        <v>157</v>
      </c>
      <c r="P53" s="8" t="s">
        <v>157</v>
      </c>
      <c r="Q53" s="8">
        <v>3</v>
      </c>
      <c r="R53" s="10"/>
      <c r="S53" s="10"/>
      <c r="T53" s="10"/>
      <c r="U53" s="34">
        <v>46069.554861111108</v>
      </c>
      <c r="V53" s="34">
        <v>46069.554861111108</v>
      </c>
      <c r="W53" s="10"/>
      <c r="Y53">
        <f t="shared" si="0"/>
        <v>-18</v>
      </c>
      <c r="Z53">
        <f t="shared" si="0"/>
        <v>-18</v>
      </c>
    </row>
    <row r="54" spans="4:26" x14ac:dyDescent="0.55000000000000004">
      <c r="D54" s="7">
        <v>30</v>
      </c>
      <c r="E54" s="7" t="s">
        <v>267</v>
      </c>
      <c r="F54" s="7"/>
      <c r="G54" s="8">
        <v>1</v>
      </c>
      <c r="H54" s="8" t="s">
        <v>241</v>
      </c>
      <c r="I54" s="8" t="s">
        <v>273</v>
      </c>
      <c r="J54" s="8"/>
      <c r="K54" s="8"/>
      <c r="L54" s="8"/>
      <c r="M54" s="8" t="s">
        <v>21</v>
      </c>
      <c r="N54" s="8" t="s">
        <v>274</v>
      </c>
      <c r="O54" s="8" t="s">
        <v>157</v>
      </c>
      <c r="P54" s="8" t="s">
        <v>157</v>
      </c>
      <c r="Q54" s="8">
        <v>1</v>
      </c>
      <c r="R54" s="10" t="s">
        <v>275</v>
      </c>
      <c r="S54" s="10"/>
      <c r="T54" s="10"/>
      <c r="U54" s="34">
        <v>46069.554861111108</v>
      </c>
      <c r="V54" s="34">
        <v>46069.554861111108</v>
      </c>
      <c r="W54" s="10"/>
      <c r="Y54">
        <f t="shared" si="0"/>
        <v>-18</v>
      </c>
      <c r="Z54">
        <f t="shared" si="0"/>
        <v>-18</v>
      </c>
    </row>
    <row r="55" spans="4:26" x14ac:dyDescent="0.55000000000000004">
      <c r="D55" s="7">
        <v>34</v>
      </c>
      <c r="E55" s="7" t="s">
        <v>267</v>
      </c>
      <c r="F55" s="7"/>
      <c r="G55" s="8">
        <v>1</v>
      </c>
      <c r="H55" s="8" t="s">
        <v>241</v>
      </c>
      <c r="I55" s="8" t="s">
        <v>276</v>
      </c>
      <c r="J55" s="8"/>
      <c r="K55" s="8"/>
      <c r="L55" s="8"/>
      <c r="M55" s="8" t="s">
        <v>29</v>
      </c>
      <c r="N55" s="8" t="s">
        <v>277</v>
      </c>
      <c r="O55" s="8" t="s">
        <v>157</v>
      </c>
      <c r="P55" s="8" t="s">
        <v>157</v>
      </c>
      <c r="Q55" s="8">
        <v>1</v>
      </c>
      <c r="R55" s="10" t="s">
        <v>278</v>
      </c>
      <c r="S55" s="10"/>
      <c r="T55" s="10"/>
      <c r="U55" s="34">
        <v>46069.554861111108</v>
      </c>
      <c r="V55" s="34">
        <v>46069.554861111108</v>
      </c>
      <c r="W55" s="10"/>
      <c r="Y55">
        <f t="shared" si="0"/>
        <v>-18</v>
      </c>
      <c r="Z55">
        <f t="shared" si="0"/>
        <v>-18</v>
      </c>
    </row>
    <row r="56" spans="4:26" x14ac:dyDescent="0.55000000000000004">
      <c r="D56" s="7">
        <v>26</v>
      </c>
      <c r="E56" s="7"/>
      <c r="F56" s="7"/>
      <c r="G56" s="8">
        <v>1</v>
      </c>
      <c r="H56" s="8" t="s">
        <v>241</v>
      </c>
      <c r="I56" s="8"/>
      <c r="J56" s="8"/>
      <c r="K56" s="8"/>
      <c r="L56" s="8"/>
      <c r="M56" s="8" t="s">
        <v>279</v>
      </c>
      <c r="N56" s="16" t="s">
        <v>50</v>
      </c>
      <c r="O56" s="8" t="s">
        <v>157</v>
      </c>
      <c r="P56" s="8" t="s">
        <v>157</v>
      </c>
      <c r="Q56" s="8">
        <v>1</v>
      </c>
      <c r="R56" s="10"/>
      <c r="S56" s="10"/>
      <c r="T56" s="10"/>
      <c r="U56" s="34">
        <v>46069.554861111108</v>
      </c>
      <c r="V56" s="34">
        <v>46069.554861111108</v>
      </c>
      <c r="W56" s="10"/>
      <c r="Y56">
        <f t="shared" si="0"/>
        <v>-18</v>
      </c>
      <c r="Z56">
        <f t="shared" si="0"/>
        <v>-18</v>
      </c>
    </row>
    <row r="57" spans="4:26" x14ac:dyDescent="0.55000000000000004">
      <c r="D57" s="7">
        <v>27</v>
      </c>
      <c r="E57" s="7"/>
      <c r="F57" s="7"/>
      <c r="G57" s="8">
        <v>5</v>
      </c>
      <c r="H57" s="8" t="s">
        <v>244</v>
      </c>
      <c r="I57" s="8"/>
      <c r="J57" s="8"/>
      <c r="K57" s="8"/>
      <c r="L57" s="8"/>
      <c r="M57" s="8" t="s">
        <v>16</v>
      </c>
      <c r="N57" s="8" t="s">
        <v>17</v>
      </c>
      <c r="O57" s="8" t="s">
        <v>157</v>
      </c>
      <c r="P57" s="8" t="s">
        <v>157</v>
      </c>
      <c r="Q57" s="8">
        <v>1</v>
      </c>
      <c r="R57" s="10"/>
      <c r="S57" s="10"/>
      <c r="T57" s="10"/>
      <c r="U57" s="34">
        <v>46069.554861111108</v>
      </c>
      <c r="V57" s="34">
        <v>46069.554861111108</v>
      </c>
      <c r="W57" s="10"/>
      <c r="Y57">
        <f t="shared" si="0"/>
        <v>-18</v>
      </c>
      <c r="Z57">
        <f t="shared" si="0"/>
        <v>-18</v>
      </c>
    </row>
    <row r="58" spans="4:26" x14ac:dyDescent="0.55000000000000004">
      <c r="D58" s="7">
        <v>28</v>
      </c>
      <c r="E58" s="7"/>
      <c r="F58" s="7"/>
      <c r="G58" s="8">
        <v>5</v>
      </c>
      <c r="H58" s="8" t="s">
        <v>244</v>
      </c>
      <c r="I58" s="8"/>
      <c r="J58" s="8"/>
      <c r="K58" s="8"/>
      <c r="L58" s="8"/>
      <c r="M58" s="8" t="s">
        <v>15</v>
      </c>
      <c r="N58" s="8" t="s">
        <v>280</v>
      </c>
      <c r="O58" s="8" t="s">
        <v>157</v>
      </c>
      <c r="P58" s="8" t="s">
        <v>157</v>
      </c>
      <c r="Q58" s="8">
        <v>1</v>
      </c>
      <c r="R58" s="10"/>
      <c r="S58" s="10"/>
      <c r="T58" s="10"/>
      <c r="U58" s="34">
        <v>46069.554861111108</v>
      </c>
      <c r="V58" s="34">
        <v>46069.554861111108</v>
      </c>
      <c r="W58" s="10"/>
      <c r="Y58">
        <f t="shared" si="0"/>
        <v>-18</v>
      </c>
      <c r="Z58">
        <f t="shared" si="0"/>
        <v>-18</v>
      </c>
    </row>
    <row r="59" spans="4:26" x14ac:dyDescent="0.55000000000000004">
      <c r="D59" s="7">
        <v>31</v>
      </c>
      <c r="E59" s="7"/>
      <c r="F59" s="7"/>
      <c r="G59" s="8">
        <v>3</v>
      </c>
      <c r="H59" s="8" t="s">
        <v>268</v>
      </c>
      <c r="I59" s="8"/>
      <c r="J59" s="8"/>
      <c r="K59" s="8"/>
      <c r="L59" s="8"/>
      <c r="M59" s="8" t="s">
        <v>23</v>
      </c>
      <c r="N59" s="8" t="s">
        <v>22</v>
      </c>
      <c r="O59" s="8" t="s">
        <v>157</v>
      </c>
      <c r="P59" s="8" t="s">
        <v>157</v>
      </c>
      <c r="Q59" s="8">
        <v>1</v>
      </c>
      <c r="R59" s="10" t="s">
        <v>275</v>
      </c>
      <c r="S59" s="10"/>
      <c r="T59" s="10"/>
      <c r="U59" s="34">
        <v>46069.554861111108</v>
      </c>
      <c r="V59" s="34">
        <v>46069.554861111108</v>
      </c>
      <c r="W59" s="10"/>
      <c r="Y59">
        <f t="shared" si="0"/>
        <v>-18</v>
      </c>
      <c r="Z59">
        <f t="shared" si="0"/>
        <v>-18</v>
      </c>
    </row>
    <row r="60" spans="4:26" x14ac:dyDescent="0.55000000000000004">
      <c r="D60" s="7">
        <v>39</v>
      </c>
      <c r="E60" s="7"/>
      <c r="F60" s="7"/>
      <c r="G60" s="8">
        <v>7</v>
      </c>
      <c r="H60" s="8" t="s">
        <v>76</v>
      </c>
      <c r="I60" s="8"/>
      <c r="J60" s="8"/>
      <c r="K60" s="8"/>
      <c r="L60" s="8"/>
      <c r="M60" s="8" t="s">
        <v>23</v>
      </c>
      <c r="N60" s="8" t="s">
        <v>22</v>
      </c>
      <c r="O60" s="8" t="s">
        <v>157</v>
      </c>
      <c r="P60" s="8" t="s">
        <v>157</v>
      </c>
      <c r="Q60" s="8">
        <v>1</v>
      </c>
      <c r="R60" s="10"/>
      <c r="S60" s="10"/>
      <c r="T60" s="10"/>
      <c r="U60" s="34">
        <v>46069.554861111108</v>
      </c>
      <c r="V60" s="34">
        <v>46069.554861111108</v>
      </c>
      <c r="W60" s="10"/>
      <c r="Y60">
        <f t="shared" si="0"/>
        <v>-18</v>
      </c>
      <c r="Z60">
        <f t="shared" si="0"/>
        <v>-18</v>
      </c>
    </row>
    <row r="61" spans="4:26" x14ac:dyDescent="0.55000000000000004">
      <c r="D61" s="7">
        <v>51</v>
      </c>
      <c r="E61" s="7" t="s">
        <v>189</v>
      </c>
      <c r="F61" s="7">
        <v>1</v>
      </c>
      <c r="G61" s="8"/>
      <c r="H61" s="8"/>
      <c r="I61" s="8" t="s">
        <v>176</v>
      </c>
      <c r="J61" s="8" t="s">
        <v>223</v>
      </c>
      <c r="K61" s="8"/>
      <c r="L61" s="8"/>
      <c r="M61" s="8"/>
      <c r="N61" s="8"/>
      <c r="O61" s="8"/>
      <c r="P61" s="8"/>
      <c r="Q61" s="8"/>
      <c r="R61" s="10"/>
      <c r="S61" s="10"/>
      <c r="T61" s="10"/>
      <c r="U61" s="34">
        <v>46069.554861111108</v>
      </c>
      <c r="V61" s="34">
        <v>46226.584027777775</v>
      </c>
      <c r="W61" s="10"/>
      <c r="Y61">
        <f t="shared" si="0"/>
        <v>-18</v>
      </c>
      <c r="Z61">
        <f t="shared" si="0"/>
        <v>-18</v>
      </c>
    </row>
    <row r="62" spans="4:26" x14ac:dyDescent="0.55000000000000004">
      <c r="D62" s="7">
        <v>52</v>
      </c>
      <c r="E62" s="7" t="s">
        <v>189</v>
      </c>
      <c r="F62" s="7">
        <v>2</v>
      </c>
      <c r="G62" s="8"/>
      <c r="H62" s="8"/>
      <c r="I62" s="8" t="s">
        <v>177</v>
      </c>
      <c r="J62" s="8" t="s">
        <v>224</v>
      </c>
      <c r="K62" s="8"/>
      <c r="L62" s="8"/>
      <c r="M62" s="8"/>
      <c r="N62" s="8"/>
      <c r="O62" s="8"/>
      <c r="P62" s="8"/>
      <c r="Q62" s="8"/>
      <c r="R62" s="10"/>
      <c r="S62" s="10"/>
      <c r="T62" s="10"/>
      <c r="U62" s="34">
        <v>46069.554861111108</v>
      </c>
      <c r="V62" s="34">
        <v>46226.584027777775</v>
      </c>
      <c r="W62" s="10"/>
      <c r="Y62">
        <f t="shared" si="0"/>
        <v>-18</v>
      </c>
      <c r="Z62">
        <f t="shared" si="0"/>
        <v>-18</v>
      </c>
    </row>
    <row r="63" spans="4:26" x14ac:dyDescent="0.55000000000000004">
      <c r="D63" s="7">
        <v>53</v>
      </c>
      <c r="E63" s="7" t="s">
        <v>189</v>
      </c>
      <c r="F63" s="7">
        <v>3</v>
      </c>
      <c r="G63" s="8"/>
      <c r="H63" s="8"/>
      <c r="I63" s="8" t="s">
        <v>178</v>
      </c>
      <c r="J63" s="8" t="s">
        <v>225</v>
      </c>
      <c r="K63" s="8"/>
      <c r="L63" s="8"/>
      <c r="M63" s="8"/>
      <c r="N63" s="8"/>
      <c r="O63" s="8"/>
      <c r="P63" s="8"/>
      <c r="Q63" s="8"/>
      <c r="R63" s="10"/>
      <c r="S63" s="10"/>
      <c r="T63" s="10"/>
      <c r="U63" s="34">
        <v>46069.554861111108</v>
      </c>
      <c r="V63" s="34">
        <v>46226.584027777775</v>
      </c>
      <c r="W63" s="10"/>
      <c r="Y63">
        <f t="shared" si="0"/>
        <v>-18</v>
      </c>
      <c r="Z63">
        <f t="shared" si="0"/>
        <v>-18</v>
      </c>
    </row>
    <row r="64" spans="4:26" x14ac:dyDescent="0.55000000000000004">
      <c r="D64" s="7">
        <v>54</v>
      </c>
      <c r="E64" s="7" t="s">
        <v>189</v>
      </c>
      <c r="F64" s="7">
        <v>4</v>
      </c>
      <c r="G64" s="8"/>
      <c r="H64" s="8"/>
      <c r="I64" s="8" t="s">
        <v>179</v>
      </c>
      <c r="J64" s="8" t="s">
        <v>226</v>
      </c>
      <c r="K64" s="8"/>
      <c r="L64" s="8"/>
      <c r="M64" s="8"/>
      <c r="N64" s="8"/>
      <c r="O64" s="8"/>
      <c r="P64" s="8"/>
      <c r="Q64" s="8"/>
      <c r="R64" s="10"/>
      <c r="S64" s="10"/>
      <c r="T64" s="10"/>
      <c r="U64" s="34">
        <v>46069.554861111108</v>
      </c>
      <c r="V64" s="34">
        <v>46226.584027777775</v>
      </c>
      <c r="W64" s="10"/>
      <c r="Y64">
        <f t="shared" si="0"/>
        <v>-18</v>
      </c>
      <c r="Z64">
        <f t="shared" si="0"/>
        <v>-18</v>
      </c>
    </row>
    <row r="65" spans="4:26" x14ac:dyDescent="0.55000000000000004">
      <c r="D65" s="7">
        <v>55</v>
      </c>
      <c r="E65" s="7" t="s">
        <v>189</v>
      </c>
      <c r="F65" s="7">
        <v>5</v>
      </c>
      <c r="G65" s="8"/>
      <c r="H65" s="8"/>
      <c r="I65" s="8" t="s">
        <v>180</v>
      </c>
      <c r="J65" s="8" t="s">
        <v>227</v>
      </c>
      <c r="K65" s="8"/>
      <c r="L65" s="8"/>
      <c r="M65" s="8"/>
      <c r="N65" s="8"/>
      <c r="O65" s="8"/>
      <c r="P65" s="8"/>
      <c r="Q65" s="8"/>
      <c r="R65" s="10"/>
      <c r="S65" s="10"/>
      <c r="T65" s="10"/>
      <c r="U65" s="34">
        <v>46069.554861111108</v>
      </c>
      <c r="V65" s="34">
        <v>46226.584027777775</v>
      </c>
      <c r="W65" s="10"/>
      <c r="Y65">
        <f t="shared" si="0"/>
        <v>-18</v>
      </c>
      <c r="Z65">
        <f t="shared" si="0"/>
        <v>-18</v>
      </c>
    </row>
    <row r="66" spans="4:26" x14ac:dyDescent="0.55000000000000004">
      <c r="D66" s="7">
        <v>56</v>
      </c>
      <c r="E66" s="7" t="s">
        <v>189</v>
      </c>
      <c r="F66" s="7">
        <v>6</v>
      </c>
      <c r="G66" s="8"/>
      <c r="H66" s="8"/>
      <c r="I66" s="8" t="s">
        <v>181</v>
      </c>
      <c r="J66" s="8" t="s">
        <v>228</v>
      </c>
      <c r="K66" s="8"/>
      <c r="L66" s="8"/>
      <c r="M66" s="8"/>
      <c r="N66" s="8"/>
      <c r="O66" s="8"/>
      <c r="P66" s="8"/>
      <c r="Q66" s="8"/>
      <c r="R66" s="10"/>
      <c r="S66" s="10"/>
      <c r="T66" s="10"/>
      <c r="U66" s="34">
        <v>46069.554861111108</v>
      </c>
      <c r="V66" s="34">
        <v>46226.584027777775</v>
      </c>
      <c r="W66" s="10"/>
      <c r="Y66">
        <f t="shared" si="0"/>
        <v>-18</v>
      </c>
      <c r="Z66">
        <f t="shared" si="0"/>
        <v>-18</v>
      </c>
    </row>
    <row r="67" spans="4:26" x14ac:dyDescent="0.55000000000000004">
      <c r="D67" s="7">
        <v>60</v>
      </c>
      <c r="E67" s="7" t="s">
        <v>189</v>
      </c>
      <c r="F67" s="7">
        <v>7</v>
      </c>
      <c r="G67" s="8"/>
      <c r="H67" s="8"/>
      <c r="I67" s="8" t="s">
        <v>229</v>
      </c>
      <c r="J67" s="8" t="s">
        <v>230</v>
      </c>
      <c r="K67" s="8"/>
      <c r="L67" s="8"/>
      <c r="M67" s="8"/>
      <c r="N67" s="8"/>
      <c r="O67" s="8"/>
      <c r="P67" s="8"/>
      <c r="Q67" s="8"/>
      <c r="R67" s="10"/>
      <c r="S67" s="10"/>
      <c r="T67" s="10"/>
      <c r="U67" s="34">
        <v>46069.809027777781</v>
      </c>
      <c r="V67" s="34">
        <v>46226.584027777775</v>
      </c>
      <c r="W67" s="10"/>
      <c r="Y67">
        <f t="shared" si="0"/>
        <v>-18</v>
      </c>
      <c r="Z67">
        <f t="shared" si="0"/>
        <v>-18</v>
      </c>
    </row>
    <row r="68" spans="4:26" x14ac:dyDescent="0.55000000000000004">
      <c r="D68" s="7">
        <v>65</v>
      </c>
      <c r="E68" s="7" t="s">
        <v>189</v>
      </c>
      <c r="F68" s="7">
        <v>8</v>
      </c>
      <c r="G68" s="8"/>
      <c r="H68" s="8"/>
      <c r="I68" s="8" t="s">
        <v>231</v>
      </c>
      <c r="J68" s="8" t="s">
        <v>232</v>
      </c>
      <c r="K68" s="8"/>
      <c r="L68" s="8"/>
      <c r="M68" s="8"/>
      <c r="N68" s="8"/>
      <c r="O68" s="8"/>
      <c r="P68" s="8"/>
      <c r="Q68" s="8"/>
      <c r="R68" s="10"/>
      <c r="S68" s="10"/>
      <c r="T68" s="10"/>
      <c r="U68" s="34">
        <v>46085.347222222219</v>
      </c>
      <c r="V68" s="34">
        <v>46226.584027777775</v>
      </c>
      <c r="W68" s="10"/>
      <c r="Y68">
        <f t="shared" ref="Y68:Z75" si="1">LENB(K68)-$B$4</f>
        <v>-18</v>
      </c>
      <c r="Z68">
        <f t="shared" si="1"/>
        <v>-18</v>
      </c>
    </row>
    <row r="69" spans="4:26" x14ac:dyDescent="0.55000000000000004">
      <c r="D69" s="7">
        <v>57</v>
      </c>
      <c r="E69" s="7" t="s">
        <v>281</v>
      </c>
      <c r="F69" s="7">
        <v>1</v>
      </c>
      <c r="G69" s="8"/>
      <c r="H69" s="8"/>
      <c r="I69" s="8" t="s">
        <v>282</v>
      </c>
      <c r="J69" s="8" t="s">
        <v>283</v>
      </c>
      <c r="K69" s="8"/>
      <c r="L69" s="8"/>
      <c r="M69" s="8"/>
      <c r="N69" s="8"/>
      <c r="O69" s="8"/>
      <c r="P69" s="8"/>
      <c r="Q69" s="8"/>
      <c r="R69" s="10"/>
      <c r="S69" s="10"/>
      <c r="T69" s="10"/>
      <c r="U69" s="34">
        <v>46069.554861111108</v>
      </c>
      <c r="V69" s="34">
        <v>46077.372916666667</v>
      </c>
      <c r="W69" s="10"/>
      <c r="Y69">
        <f t="shared" si="1"/>
        <v>-18</v>
      </c>
      <c r="Z69">
        <f t="shared" si="1"/>
        <v>-18</v>
      </c>
    </row>
    <row r="70" spans="4:26" x14ac:dyDescent="0.55000000000000004">
      <c r="D70" s="7">
        <v>61</v>
      </c>
      <c r="E70" s="7" t="s">
        <v>281</v>
      </c>
      <c r="F70" s="7">
        <v>2</v>
      </c>
      <c r="G70" s="8"/>
      <c r="H70" s="8"/>
      <c r="I70" s="8" t="s">
        <v>284</v>
      </c>
      <c r="J70" s="8" t="s">
        <v>191</v>
      </c>
      <c r="K70" s="8"/>
      <c r="L70" s="8"/>
      <c r="M70" s="8"/>
      <c r="N70" s="8"/>
      <c r="O70" s="8"/>
      <c r="P70" s="8"/>
      <c r="Q70" s="8"/>
      <c r="R70" s="10"/>
      <c r="S70" s="10"/>
      <c r="T70" s="10"/>
      <c r="U70" s="34">
        <v>46077.372916666667</v>
      </c>
      <c r="V70" s="34">
        <v>46077.372916666667</v>
      </c>
      <c r="W70" s="10"/>
      <c r="Y70">
        <f t="shared" si="1"/>
        <v>-18</v>
      </c>
      <c r="Z70">
        <f t="shared" si="1"/>
        <v>-18</v>
      </c>
    </row>
    <row r="71" spans="4:26" x14ac:dyDescent="0.55000000000000004">
      <c r="D71" s="7">
        <v>62</v>
      </c>
      <c r="E71" s="7" t="s">
        <v>285</v>
      </c>
      <c r="F71" s="7">
        <v>1</v>
      </c>
      <c r="G71" s="8"/>
      <c r="H71" s="8"/>
      <c r="I71" s="8" t="s">
        <v>286</v>
      </c>
      <c r="J71" s="8" t="s">
        <v>194</v>
      </c>
      <c r="K71" s="8"/>
      <c r="L71" s="8"/>
      <c r="M71" s="8"/>
      <c r="N71" s="8"/>
      <c r="O71" s="8"/>
      <c r="P71" s="8"/>
      <c r="Q71" s="8"/>
      <c r="R71" s="10"/>
      <c r="S71" s="10"/>
      <c r="T71" s="10"/>
      <c r="U71" s="34">
        <v>46083.387499999997</v>
      </c>
      <c r="V71" s="34">
        <v>46083.387499999997</v>
      </c>
      <c r="W71" s="10"/>
      <c r="Y71">
        <f t="shared" si="1"/>
        <v>-18</v>
      </c>
      <c r="Z71">
        <f t="shared" si="1"/>
        <v>-18</v>
      </c>
    </row>
    <row r="72" spans="4:26" x14ac:dyDescent="0.55000000000000004">
      <c r="D72" s="7">
        <v>63</v>
      </c>
      <c r="E72" s="7" t="s">
        <v>285</v>
      </c>
      <c r="F72" s="7">
        <v>2</v>
      </c>
      <c r="G72" s="8"/>
      <c r="H72" s="8"/>
      <c r="I72" s="8" t="s">
        <v>286</v>
      </c>
      <c r="J72" s="8" t="s">
        <v>194</v>
      </c>
      <c r="K72" s="8"/>
      <c r="L72" s="8"/>
      <c r="M72" s="8"/>
      <c r="N72" s="8"/>
      <c r="O72" s="8"/>
      <c r="P72" s="8"/>
      <c r="Q72" s="8"/>
      <c r="R72" s="10"/>
      <c r="S72" s="10"/>
      <c r="T72" s="10"/>
      <c r="U72" s="34">
        <v>46083.387499999997</v>
      </c>
      <c r="V72" s="34">
        <v>46083.387499999997</v>
      </c>
      <c r="W72" s="10"/>
      <c r="Y72">
        <f t="shared" si="1"/>
        <v>-18</v>
      </c>
      <c r="Z72">
        <f t="shared" si="1"/>
        <v>-18</v>
      </c>
    </row>
    <row r="73" spans="4:26" x14ac:dyDescent="0.55000000000000004">
      <c r="D73" s="7">
        <v>64</v>
      </c>
      <c r="E73" s="7" t="s">
        <v>285</v>
      </c>
      <c r="F73" s="7">
        <v>3</v>
      </c>
      <c r="G73" s="8"/>
      <c r="H73" s="8"/>
      <c r="I73" s="8" t="s">
        <v>287</v>
      </c>
      <c r="J73" s="8" t="s">
        <v>192</v>
      </c>
      <c r="K73" s="8"/>
      <c r="L73" s="8"/>
      <c r="M73" s="8"/>
      <c r="N73" s="8"/>
      <c r="O73" s="8"/>
      <c r="P73" s="8"/>
      <c r="Q73" s="8"/>
      <c r="R73" s="10"/>
      <c r="S73" s="10"/>
      <c r="T73" s="10"/>
      <c r="U73" s="34">
        <v>46083.363888888889</v>
      </c>
      <c r="V73" s="34">
        <v>46083.363888888889</v>
      </c>
      <c r="W73" s="10"/>
      <c r="Y73">
        <f t="shared" si="1"/>
        <v>-18</v>
      </c>
      <c r="Z73">
        <f t="shared" si="1"/>
        <v>-18</v>
      </c>
    </row>
    <row r="74" spans="4:26" x14ac:dyDescent="0.55000000000000004"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10"/>
      <c r="S74" s="10"/>
      <c r="T74" s="10"/>
      <c r="U74" s="34"/>
      <c r="V74" s="34"/>
      <c r="W74" s="10"/>
      <c r="Y74">
        <f t="shared" si="1"/>
        <v>-18</v>
      </c>
      <c r="Z74">
        <f t="shared" si="1"/>
        <v>-18</v>
      </c>
    </row>
    <row r="75" spans="4:26" x14ac:dyDescent="0.55000000000000004">
      <c r="D75" s="18"/>
      <c r="E75" s="18"/>
      <c r="F75" s="18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20"/>
      <c r="S75" s="20"/>
      <c r="T75" s="20"/>
      <c r="U75" s="37"/>
      <c r="V75" s="37"/>
      <c r="W75" s="20"/>
      <c r="Y75">
        <f t="shared" si="1"/>
        <v>-18</v>
      </c>
      <c r="Z75">
        <f t="shared" si="1"/>
        <v>-18</v>
      </c>
    </row>
    <row r="77" spans="4:26" x14ac:dyDescent="0.55000000000000004">
      <c r="D77" t="s">
        <v>91</v>
      </c>
      <c r="G77" t="s">
        <v>90</v>
      </c>
    </row>
    <row r="78" spans="4:26" x14ac:dyDescent="0.55000000000000004">
      <c r="D78">
        <f>MAX(D$3:D$75)</f>
        <v>72</v>
      </c>
      <c r="G78">
        <f>MAX(G$3:G$75)</f>
        <v>11</v>
      </c>
    </row>
    <row r="79" spans="4:26" x14ac:dyDescent="0.55000000000000004">
      <c r="D79" t="s">
        <v>139</v>
      </c>
      <c r="E79" t="s">
        <v>96</v>
      </c>
      <c r="F79" t="s">
        <v>95</v>
      </c>
    </row>
    <row r="80" spans="4:26" x14ac:dyDescent="0.55000000000000004">
      <c r="D80">
        <f>ROW(D76)-ROW(D2)-1</f>
        <v>73</v>
      </c>
      <c r="E80">
        <f>COUNTIF(E$3:E$75,E79)</f>
        <v>24</v>
      </c>
      <c r="F80" s="25">
        <f>_xlfn.MAXIFS(F$3:F$75,$E$3:$E$75,F79)</f>
        <v>24</v>
      </c>
    </row>
    <row r="81" spans="5:23" x14ac:dyDescent="0.55000000000000004">
      <c r="E81" t="s">
        <v>94</v>
      </c>
      <c r="F81" t="s">
        <v>94</v>
      </c>
    </row>
    <row r="82" spans="5:23" x14ac:dyDescent="0.55000000000000004">
      <c r="E82">
        <f>COUNTIF(E$3:E$75,E81)</f>
        <v>23</v>
      </c>
      <c r="F82" s="25">
        <f>_xlfn.MAXIFS(F$3:F$75,$E$3:$E$75,F81)</f>
        <v>20</v>
      </c>
    </row>
    <row r="85" spans="5:23" x14ac:dyDescent="0.55000000000000004">
      <c r="M85" s="2" t="s">
        <v>30</v>
      </c>
      <c r="Q85">
        <v>1</v>
      </c>
      <c r="W85" t="s">
        <v>66</v>
      </c>
    </row>
    <row r="86" spans="5:23" x14ac:dyDescent="0.55000000000000004">
      <c r="M86" t="s">
        <v>49</v>
      </c>
      <c r="N86" t="s">
        <v>46</v>
      </c>
      <c r="O86" t="s">
        <v>45</v>
      </c>
      <c r="Q86">
        <v>1</v>
      </c>
      <c r="W86" t="s">
        <v>66</v>
      </c>
    </row>
    <row r="88" spans="5:23" x14ac:dyDescent="0.55000000000000004">
      <c r="M88" s="2" t="s">
        <v>31</v>
      </c>
    </row>
    <row r="89" spans="5:23" x14ac:dyDescent="0.55000000000000004">
      <c r="M89" t="s">
        <v>69</v>
      </c>
      <c r="N89" t="s">
        <v>71</v>
      </c>
      <c r="O89" t="s">
        <v>67</v>
      </c>
      <c r="Q89">
        <v>1</v>
      </c>
      <c r="W89" t="s">
        <v>66</v>
      </c>
    </row>
    <row r="91" spans="5:23" x14ac:dyDescent="0.55000000000000004">
      <c r="M91" s="2" t="s">
        <v>32</v>
      </c>
    </row>
    <row r="92" spans="5:23" x14ac:dyDescent="0.55000000000000004">
      <c r="M92" t="s">
        <v>70</v>
      </c>
      <c r="N92" t="s">
        <v>71</v>
      </c>
      <c r="O92" t="s">
        <v>68</v>
      </c>
      <c r="Q92">
        <v>1</v>
      </c>
      <c r="W92" t="s">
        <v>66</v>
      </c>
    </row>
    <row r="94" spans="5:23" x14ac:dyDescent="0.55000000000000004">
      <c r="M94" s="2" t="s">
        <v>33</v>
      </c>
    </row>
    <row r="95" spans="5:23" x14ac:dyDescent="0.55000000000000004">
      <c r="M95" t="s">
        <v>35</v>
      </c>
      <c r="N95" t="s">
        <v>36</v>
      </c>
      <c r="O95" t="s">
        <v>11</v>
      </c>
      <c r="Q95">
        <v>1</v>
      </c>
      <c r="W95" t="s">
        <v>74</v>
      </c>
    </row>
    <row r="96" spans="5:23" x14ac:dyDescent="0.55000000000000004">
      <c r="M96" t="s">
        <v>38</v>
      </c>
      <c r="N96" s="1" t="s">
        <v>47</v>
      </c>
      <c r="O96" t="s">
        <v>37</v>
      </c>
      <c r="Q96">
        <v>2</v>
      </c>
      <c r="W96" t="s">
        <v>74</v>
      </c>
    </row>
    <row r="98" spans="13:23" x14ac:dyDescent="0.55000000000000004">
      <c r="M98" s="2" t="s">
        <v>34</v>
      </c>
    </row>
    <row r="99" spans="13:23" x14ac:dyDescent="0.55000000000000004">
      <c r="M99" t="s">
        <v>39</v>
      </c>
      <c r="N99" t="s">
        <v>40</v>
      </c>
      <c r="O99" t="s">
        <v>11</v>
      </c>
      <c r="Q99">
        <v>1</v>
      </c>
      <c r="W99" t="s">
        <v>74</v>
      </c>
    </row>
    <row r="100" spans="13:23" x14ac:dyDescent="0.55000000000000004">
      <c r="M100" t="s">
        <v>43</v>
      </c>
      <c r="N100" s="3" t="s">
        <v>41</v>
      </c>
      <c r="O100" t="s">
        <v>42</v>
      </c>
      <c r="Q100">
        <v>1</v>
      </c>
      <c r="W100" t="s">
        <v>74</v>
      </c>
    </row>
    <row r="101" spans="13:23" x14ac:dyDescent="0.55000000000000004">
      <c r="M101" t="s">
        <v>44</v>
      </c>
      <c r="N101" t="s">
        <v>48</v>
      </c>
      <c r="O101" t="s">
        <v>4</v>
      </c>
      <c r="Q101">
        <v>2</v>
      </c>
      <c r="W101" t="s">
        <v>74</v>
      </c>
    </row>
    <row r="102" spans="13:23" x14ac:dyDescent="0.55000000000000004">
      <c r="M102" t="s">
        <v>72</v>
      </c>
      <c r="N102" t="s">
        <v>73</v>
      </c>
      <c r="O102" t="s">
        <v>75</v>
      </c>
      <c r="Q102">
        <v>1</v>
      </c>
      <c r="W102" t="s">
        <v>74</v>
      </c>
    </row>
  </sheetData>
  <autoFilter ref="D2:W61" xr:uid="{48D32264-F25D-40E9-9C76-26E43E79C8CC}">
    <sortState xmlns:xlrd2="http://schemas.microsoft.com/office/spreadsheetml/2017/richdata2" ref="D3:W61">
      <sortCondition ref="E2:E61"/>
    </sortState>
  </autoFilter>
  <phoneticPr fontId="1"/>
  <conditionalFormatting sqref="D3:W75">
    <cfRule type="expression" dxfId="4" priority="5">
      <formula>INT($V3)=TODAY()</formula>
    </cfRule>
    <cfRule type="expression" dxfId="3" priority="6">
      <formula>MOD(ROW(D3),2)=1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K19" sqref="K19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305</v>
      </c>
    </row>
    <row r="2" spans="1:37" x14ac:dyDescent="0.55000000000000004">
      <c r="F2" t="s">
        <v>166</v>
      </c>
      <c r="J2" t="s">
        <v>162</v>
      </c>
      <c r="L2" t="s">
        <v>163</v>
      </c>
      <c r="N2" t="s">
        <v>164</v>
      </c>
      <c r="P2" t="s">
        <v>165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30" customFormat="1" x14ac:dyDescent="0.55000000000000004">
      <c r="A3" s="30" t="s">
        <v>147</v>
      </c>
      <c r="E3" s="30" t="s">
        <v>152</v>
      </c>
      <c r="F3" s="30" t="s">
        <v>84</v>
      </c>
      <c r="G3" s="30" t="s">
        <v>138</v>
      </c>
      <c r="H3" s="30" t="s">
        <v>151</v>
      </c>
      <c r="J3" s="30" t="s">
        <v>130</v>
      </c>
      <c r="L3" s="30" t="s">
        <v>131</v>
      </c>
      <c r="N3" s="30" t="s">
        <v>141</v>
      </c>
      <c r="P3" s="30" t="s">
        <v>153</v>
      </c>
      <c r="S3" s="30" t="s">
        <v>304</v>
      </c>
      <c r="X3" s="30" t="s">
        <v>142</v>
      </c>
      <c r="Y3" s="30" t="s">
        <v>133</v>
      </c>
      <c r="Z3" s="30" t="s">
        <v>134</v>
      </c>
      <c r="AA3" s="30" t="s">
        <v>135</v>
      </c>
      <c r="AB3" s="30" t="s">
        <v>136</v>
      </c>
      <c r="AC3" s="30" t="s">
        <v>137</v>
      </c>
      <c r="AD3" s="30" t="s">
        <v>136</v>
      </c>
      <c r="AE3" s="30" t="s">
        <v>143</v>
      </c>
      <c r="AF3" s="30" t="s">
        <v>144</v>
      </c>
      <c r="AG3" s="30" t="s">
        <v>161</v>
      </c>
      <c r="AH3" s="30" t="s">
        <v>144</v>
      </c>
      <c r="AI3" s="30" t="s">
        <v>149</v>
      </c>
      <c r="AJ3" s="30" t="s">
        <v>150</v>
      </c>
      <c r="AK3" s="30" t="s">
        <v>146</v>
      </c>
    </row>
    <row r="4" spans="1:37" x14ac:dyDescent="0.55000000000000004">
      <c r="A4" t="s">
        <v>125</v>
      </c>
      <c r="B4" t="str" cm="1">
        <f t="array" aca="1" ref="B4" ca="1">CELL("filename")</f>
        <v>C:\tk\prj\hg-0025-0016\git\unit01\kv-x520\doc\[kv_script_conv_info.xlsx]info_index</v>
      </c>
      <c r="E4" t="s">
        <v>96</v>
      </c>
      <c r="F4">
        <f>COUNTIF(E$4:E4,E4)</f>
        <v>1</v>
      </c>
      <c r="H4" cm="1">
        <f t="array" ref="H4:H203">IFERROR(MATCH($E$4:$E$203&amp;$F$4:$F$203,info_index!$E$3:$E$75&amp;info_index!$F$3:$F$75,0),"")</f>
        <v>1</v>
      </c>
      <c r="I4" t="str" cm="1">
        <f t="array" aca="1" ref="I4:I203" ca="1">IF(LEN(_xlfn.ANCHORARRAY(H4)),INDEX(OFFSET(info_index!$I$3:$I$75,0,$B$24),MATCH($E$4:$E$203&amp;$F$4:$F$203,info_index!$E$3:$E$75&amp;info_index!$F$3:$F$75,0)&amp;"",1),"")</f>
        <v>Brazing Foil Reel Axis</v>
      </c>
      <c r="J4" t="str" cm="1">
        <f t="array" aca="1" ref="J4:J203" ca="1">IF(LEN(_xlfn.ANCHORARRAY($H4)),IF(LEN(_xlfn.ANCHORARRAY(I4)),_xlfn.ANCHORARRAY(I4),"unknown"),"")</f>
        <v>Brazing Foil Reel Axis</v>
      </c>
      <c r="L4" t="str" cm="1">
        <f t="array" aca="1" ref="L4:L203" ca="1">IF(LEN(_xlfn.ANCHORARRAY(J4)),"【"&amp;E4:E203&amp;F4:F203&amp;"】 "&amp;_xlfn.ANCHORARRAY(J4),"")</f>
        <v>【axis1】 Brazing Foil Reel Axis</v>
      </c>
      <c r="M4" t="str" cm="1">
        <f t="array" ref="M4:M203">IFERROR(INDEX(info_index!$M$3:$M$75,MATCH($E$4:$E$203&amp;$F$4:$F$203,info_index!$E$3:$E$75&amp;info_index!$F$3:$F$75,0),1)&amp;"","")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IF(LEN(_xlfn.ANCHORARRAY(H4)),INDEX(OFFSET(info_index!$O$3:$O$75,0,$B$24),MATCH($E$4:$E$203&amp;$F$4:$F$203,info_index!$E$3:$E$75&amp;info_index!$F$3:$F$75,0),1)&amp;"","")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-32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//Brazing Foil Reel Axis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//Brazing Foil Reel Axis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//Brazing Foil Reel Axis
	IF uiInfoIdx = 1 THEN
		IF strInfoKey = 'name' THEN
			strRt	:= 'Brazing Foil Reel Axis';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//Brazing Foil Reel Axis
	IF uiInfoIdx = 1 THEN
		IF strInfoKey = 'name' THEN
			strRt	:= 'Brazing Foil Reel Axis';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Flat Sheet Feed Axis</v>
      </c>
      <c r="J5" t="str">
        <f ca="1"/>
        <v>Flat Sheet Feed Axis</v>
      </c>
      <c r="L5" t="str">
        <f ca="1"/>
        <v>【axis2】 Flat Sheet Feed Axis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-34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//Flat Sheet Feed Axis
	ELSIF uiInfoIdx = 2 THEN</v>
      </c>
      <c r="AA5" t="str">
        <f ca="1"/>
        <v xml:space="preserve">
	//Flat Sheet Feed Axis
	ELSIF uiInfoIdx = 2 THEN
		IF strInfoKey = 'name' THEN</v>
      </c>
      <c r="AB5" t="str">
        <f ca="1"/>
        <v xml:space="preserve">
	//Flat Sheet Feed Axis
	ELSIF uiInfoIdx = 2 THEN
		IF strInfoKey = 'name' THEN
			strRt	:= 'Flat Sheet Feed Axis';</v>
      </c>
      <c r="AC5" t="str">
        <f ca="1"/>
        <v xml:space="preserve">
	//Flat Sheet Feed Axis
	ELSIF uiInfoIdx = 2 THEN
		IF strInfoKey = 'name' THEN
			strRt	:= 'Flat Sheet Feed Axis';
		ELSIF strInfoKey = 'index_name' THEN</v>
      </c>
      <c r="AD5" t="str">
        <f ca="1"/>
        <v xml:space="preserve">
	//Flat Sheet Feed Axis
	ELSIF uiInfoIdx = 2 THEN
		IF strInfoKey = 'name' THEN
			strRt	:= 'Flat Sheet Feed Axis';
		ELSIF strInfoKey = 'index_name' THEN
			strRt	:= '【axis2】 Flat Sheet Feed Axis';</v>
      </c>
      <c r="AE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</v>
      </c>
      <c r="AF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</v>
      </c>
      <c r="AG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</v>
      </c>
      <c r="AH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</v>
      </c>
      <c r="AI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J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K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122</v>
      </c>
      <c r="B6" t="str">
        <f ca="1">"このスクリプトは "&amp;B4&amp;" によって生成されました。"</f>
        <v>このスクリプトは C:\tk\prj\hg-0025-0016\git\unit01\kv-x520\doc\[kv_script_conv_info.xlsx]info_index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Brazing Foil Feed Axis</v>
      </c>
      <c r="J6" t="str">
        <f ca="1"/>
        <v>Brazing Foil Feed Axis</v>
      </c>
      <c r="L6" t="str">
        <f ca="1"/>
        <v>【axis3】 Brazing Foil Feed Axis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-32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//Brazing Foil Feed Axis
	ELSIF uiInfoIdx = 3 THEN</v>
      </c>
      <c r="AA6" t="str">
        <f ca="1"/>
        <v xml:space="preserve">
	//Brazing Foil Feed Axis
	ELSIF uiInfoIdx = 3 THEN
		IF strInfoKey = 'name' THEN</v>
      </c>
      <c r="AB6" t="str">
        <f ca="1"/>
        <v xml:space="preserve">
	//Brazing Foil Feed Axis
	ELSIF uiInfoIdx = 3 THEN
		IF strInfoKey = 'name' THEN
			strRt	:= 'Brazing Foil Feed Axis';</v>
      </c>
      <c r="AC6" t="str">
        <f ca="1"/>
        <v xml:space="preserve">
	//Brazing Foil Feed Axis
	ELSIF uiInfoIdx = 3 THEN
		IF strInfoKey = 'name' THEN
			strRt	:= 'Brazing Foil Feed Axis';
		ELSIF strInfoKey = 'index_name' THEN</v>
      </c>
      <c r="AD6" t="str">
        <f ca="1"/>
        <v xml:space="preserve">
	//Brazing Foil Feed Axis
	ELSIF uiInfoIdx = 3 THEN
		IF strInfoKey = 'name' THEN
			strRt	:= 'Brazing Foil Feed Axis';
		ELSIF strInfoKey = 'index_name' THEN
			strRt	:= '【axis3】 Brazing Foil Feed Axis';</v>
      </c>
      <c r="AE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</v>
      </c>
      <c r="AF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</v>
      </c>
      <c r="AG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</v>
      </c>
      <c r="AH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</v>
      </c>
      <c r="AI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J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K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123</v>
      </c>
      <c r="B7" t="s">
        <v>124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Corrugated Sheet Feed Axis</v>
      </c>
      <c r="J7" t="str">
        <f ca="1"/>
        <v>Corrugated Sheet Feed Axis</v>
      </c>
      <c r="L7" t="str">
        <f ca="1"/>
        <v>【axis4】 Corrugated Sheet Feed Axis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-28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//Corrugated Sheet Feed Axis
	ELSIF uiInfoIdx = 4 THEN</v>
      </c>
      <c r="AA7" t="str">
        <f ca="1"/>
        <v xml:space="preserve">
	//Corrugated Sheet Feed Axis
	ELSIF uiInfoIdx = 4 THEN
		IF strInfoKey = 'name' THEN</v>
      </c>
      <c r="AB7" t="str">
        <f ca="1"/>
        <v xml:space="preserve">
	//Corrugated Sheet Feed Axis
	ELSIF uiInfoIdx = 4 THEN
		IF strInfoKey = 'name' THEN
			strRt	:= 'Corrugated Sheet Feed Axis';</v>
      </c>
      <c r="AC7" t="str">
        <f ca="1"/>
        <v xml:space="preserve">
	//Corrugated Sheet Feed Axis
	ELSIF uiInfoIdx = 4 THEN
		IF strInfoKey = 'name' THEN
			strRt	:= 'Corrugated Sheet Feed Axis';
		ELSIF strInfoKey = 'index_name' THEN</v>
      </c>
      <c r="AD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</v>
      </c>
      <c r="AE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</v>
      </c>
      <c r="AF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</v>
      </c>
      <c r="AG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</v>
      </c>
      <c r="AH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</v>
      </c>
      <c r="AI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J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K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116</v>
      </c>
      <c r="B8" t="s">
        <v>117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Workpiece Discharge Lift Axis</v>
      </c>
      <c r="J8" t="str">
        <f ca="1"/>
        <v>Workpiece Discharge Lift Axis</v>
      </c>
      <c r="L8" t="str">
        <f ca="1"/>
        <v>【axis5】 Workpiece Discharge Lift Axis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-25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//Workpiece Discharge Lift Axis
	ELSIF uiInfoIdx = 5 THEN</v>
      </c>
      <c r="AA8" t="str">
        <f ca="1"/>
        <v xml:space="preserve">
	//Workpiece Discharge Lift Axis
	ELSIF uiInfoIdx = 5 THEN
		IF strInfoKey = 'name' THEN</v>
      </c>
      <c r="AB8" t="str">
        <f ca="1"/>
        <v xml:space="preserve">
	//Workpiece Discharge Lift Axis
	ELSIF uiInfoIdx = 5 THEN
		IF strInfoKey = 'name' THEN
			strRt	:= 'Workpiece Discharge Lift Axis';</v>
      </c>
      <c r="AC8" t="str">
        <f ca="1"/>
        <v xml:space="preserve">
	//Workpiece Discharge Lift Axis
	ELSIF uiInfoIdx = 5 THEN
		IF strInfoKey = 'name' THEN
			strRt	:= 'Workpiece Discharge Lift Axis';
		ELSIF strInfoKey = 'index_name' THEN</v>
      </c>
      <c r="AD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</v>
      </c>
      <c r="AE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</v>
      </c>
      <c r="AF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</v>
      </c>
      <c r="AG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</v>
      </c>
      <c r="AH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</v>
      </c>
      <c r="AI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J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K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118</v>
      </c>
      <c r="B9" t="s">
        <v>119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Circumference Probe Lift Axis</v>
      </c>
      <c r="J9" t="str">
        <f ca="1"/>
        <v>Circumference Probe Lift Axis</v>
      </c>
      <c r="L9" t="str">
        <f ca="1"/>
        <v>【axis6】 Circumference Probe Lift Axis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-25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//Circumference Probe Lift Axis
	ELSIF uiInfoIdx = 6 THEN</v>
      </c>
      <c r="AA9" t="str">
        <f ca="1"/>
        <v xml:space="preserve">
	//Circumference Probe Lift Axis
	ELSIF uiInfoIdx = 6 THEN
		IF strInfoKey = 'name' THEN</v>
      </c>
      <c r="AB9" t="str">
        <f ca="1"/>
        <v xml:space="preserve">
	//Circumference Probe Lift Axis
	ELSIF uiInfoIdx = 6 THEN
		IF strInfoKey = 'name' THEN
			strRt	:= 'Circumference Probe Lift Axis';</v>
      </c>
      <c r="AC9" t="str">
        <f ca="1"/>
        <v xml:space="preserve">
	//Circumference Probe Lift Axis
	ELSIF uiInfoIdx = 6 THEN
		IF strInfoKey = 'name' THEN
			strRt	:= 'Circumference Probe Lift Axis';
		ELSIF strInfoKey = 'index_name' THEN</v>
      </c>
      <c r="AD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</v>
      </c>
      <c r="AE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</v>
      </c>
      <c r="AF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</v>
      </c>
      <c r="AG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</v>
      </c>
      <c r="AH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</v>
      </c>
      <c r="AI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J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K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120</v>
      </c>
      <c r="B10" t="s">
        <v>121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Workpiece Discharge Chuck Axis</v>
      </c>
      <c r="J10" t="str">
        <f ca="1"/>
        <v>Workpiece Discharge Chuck Axis</v>
      </c>
      <c r="L10" t="str">
        <f ca="1"/>
        <v>【axis7】 Workpiece Discharge Chuck Axis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-24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//Workpiece Discharge Chuck Axis
	ELSIF uiInfoIdx = 7 THEN</v>
      </c>
      <c r="AA10" t="str">
        <f ca="1"/>
        <v xml:space="preserve">
	//Workpiece Discharge Chuck Axis
	ELSIF uiInfoIdx = 7 THEN
		IF strInfoKey = 'name' THEN</v>
      </c>
      <c r="AB10" t="str">
        <f ca="1"/>
        <v xml:space="preserve">
	//Workpiece Discharge Chuck Axis
	ELSIF uiInfoIdx = 7 THEN
		IF strInfoKey = 'name' THEN
			strRt	:= 'Workpiece Discharge Chuck Axis';</v>
      </c>
      <c r="AC10" t="str">
        <f ca="1"/>
        <v xml:space="preserve">
	//Workpiece Discharge Chuck Axis
	ELSIF uiInfoIdx = 7 THEN
		IF strInfoKey = 'name' THEN
			strRt	:= 'Workpiece Discharge Chuck Axis';
		ELSIF strInfoKey = 'index_name' THEN</v>
      </c>
      <c r="AD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</v>
      </c>
      <c r="AE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</v>
      </c>
      <c r="AF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</v>
      </c>
      <c r="AG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</v>
      </c>
      <c r="AH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</v>
      </c>
      <c r="AI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J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K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Welding Torch F/B Axis</v>
      </c>
      <c r="J11" t="str">
        <f ca="1"/>
        <v>Welding Torch F/B Axis</v>
      </c>
      <c r="L11" t="str">
        <f ca="1"/>
        <v>【axis8】 Welding Torch F/B Axis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-32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F/B Axis
	ELSIF uiInfoIdx = 8 THEN</v>
      </c>
      <c r="AA11" t="str">
        <f ca="1"/>
        <v xml:space="preserve">
	//Welding Torch F/B Axis
	ELSIF uiInfoIdx = 8 THEN
		IF strInfoKey = 'name' THEN</v>
      </c>
      <c r="AB11" t="str">
        <f ca="1"/>
        <v xml:space="preserve">
	//Welding Torch F/B Axis
	ELSIF uiInfoIdx = 8 THEN
		IF strInfoKey = 'name' THEN
			strRt	:= 'Welding Torch F/B Axis';</v>
      </c>
      <c r="AC11" t="str">
        <f ca="1"/>
        <v xml:space="preserve">
	//Welding Torch F/B Axis
	ELSIF uiInfoIdx = 8 THEN
		IF strInfoKey = 'name' THEN
			strRt	:= 'Welding Torch F/B Axis';
		ELSIF strInfoKey = 'index_name' THEN</v>
      </c>
      <c r="AD11" t="str">
        <f ca="1"/>
        <v xml:space="preserve">
	//Welding Torch F/B Axis
	ELSIF uiInfoIdx = 8 THEN
		IF strInfoKey = 'name' THEN
			strRt	:= 'Welding Torch F/B Axis';
		ELSIF strInfoKey = 'index_name' THEN
			strRt	:= '【axis8】 Welding Torch F/B Axis';</v>
      </c>
      <c r="AE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</v>
      </c>
      <c r="AF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</v>
      </c>
      <c r="AG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</v>
      </c>
      <c r="AH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</v>
      </c>
      <c r="AI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Welding Torch U/D Axis</v>
      </c>
      <c r="J12" t="str">
        <f ca="1"/>
        <v>Welding Torch U/D Axis</v>
      </c>
      <c r="L12" t="str">
        <f ca="1"/>
        <v>【axis9】 Welding Torch U/D Axis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-32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//Welding Torch U/D Axis
	ELSIF uiInfoIdx = 9 THEN</v>
      </c>
      <c r="AA12" t="str">
        <f ca="1"/>
        <v xml:space="preserve">
	//Welding Torch U/D Axis
	ELSIF uiInfoIdx = 9 THEN
		IF strInfoKey = 'name' THEN</v>
      </c>
      <c r="AB12" t="str">
        <f ca="1"/>
        <v xml:space="preserve">
	//Welding Torch U/D Axis
	ELSIF uiInfoIdx = 9 THEN
		IF strInfoKey = 'name' THEN
			strRt	:= 'Welding Torch U/D Axis';</v>
      </c>
      <c r="AC12" t="str">
        <f ca="1"/>
        <v xml:space="preserve">
	//Welding Torch U/D Axis
	ELSIF uiInfoIdx = 9 THEN
		IF strInfoKey = 'name' THEN
			strRt	:= 'Welding Torch U/D Axis';
		ELSIF strInfoKey = 'index_name' THEN</v>
      </c>
      <c r="AD12" t="str">
        <f ca="1"/>
        <v xml:space="preserve">
	//Welding Torch U/D Axis
	ELSIF uiInfoIdx = 9 THEN
		IF strInfoKey = 'name' THEN
			strRt	:= 'Welding Torch U/D Axis';
		ELSIF strInfoKey = 'index_name' THEN
			strRt	:= '【axis9】 Welding Torch U/D Axis';</v>
      </c>
      <c r="AE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</v>
      </c>
      <c r="AF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</v>
      </c>
      <c r="AG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</v>
      </c>
      <c r="AH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</v>
      </c>
      <c r="AI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Winding Spindle</v>
      </c>
      <c r="J13" t="str">
        <f ca="1"/>
        <v>Winding Spindle</v>
      </c>
      <c r="L13" t="str">
        <f ca="1"/>
        <v>【axis10】 Winding Spindle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-38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//Winding Spindle
	ELSIF uiInfoIdx = 10 THEN</v>
      </c>
      <c r="AA13" t="str">
        <f ca="1"/>
        <v xml:space="preserve">
	//Winding Spindle
	ELSIF uiInfoIdx = 10 THEN
		IF strInfoKey = 'name' THEN</v>
      </c>
      <c r="AB13" t="str">
        <f ca="1"/>
        <v xml:space="preserve">
	//Winding Spindle
	ELSIF uiInfoIdx = 10 THEN
		IF strInfoKey = 'name' THEN
			strRt	:= 'Winding Spindle';</v>
      </c>
      <c r="AC13" t="str">
        <f ca="1"/>
        <v xml:space="preserve">
	//Winding Spindle
	ELSIF uiInfoIdx = 10 THEN
		IF strInfoKey = 'name' THEN
			strRt	:= 'Winding Spindle';
		ELSIF strInfoKey = 'index_name' THEN</v>
      </c>
      <c r="AD13" t="str">
        <f ca="1"/>
        <v xml:space="preserve">
	//Winding Spindle
	ELSIF uiInfoIdx = 10 THEN
		IF strInfoKey = 'name' THEN
			strRt	:= 'Winding Spindle';
		ELSIF strInfoKey = 'index_name' THEN
			strRt	:= '【axis10】 Winding Spindle';</v>
      </c>
      <c r="AE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</v>
      </c>
      <c r="AF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</v>
      </c>
      <c r="AG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</v>
      </c>
      <c r="AH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</v>
      </c>
      <c r="AI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J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K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126</v>
      </c>
      <c r="B14" t="str">
        <f ca="1">$AK$206</f>
        <v>//このスクリプトは C:\tk\prj\hg-0025-0016\git\unit01\kv-x520\doc\[kv_script_conv_info.xlsx]info_index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Workpiece Width Adjustment Axis</v>
      </c>
      <c r="J14" t="str">
        <f ca="1"/>
        <v>Workpiece Width Adjustment Axis</v>
      </c>
      <c r="L14" t="str">
        <f ca="1"/>
        <v>【axis11】 Workpiece Width Adjustment Axis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-22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//Workpiece Width Adjustment Axis
	ELSIF uiInfoIdx = 11 THEN</v>
      </c>
      <c r="AA14" t="str">
        <f ca="1"/>
        <v xml:space="preserve">
	//Workpiece Width Adjustment Axis
	ELSIF uiInfoIdx = 11 THEN
		IF strInfoKey = 'name' THEN</v>
      </c>
      <c r="AB14" t="str">
        <f ca="1"/>
        <v xml:space="preserve">
	//Workpiece Width Adjustment Axis
	ELSIF uiInfoIdx = 11 THEN
		IF strInfoKey = 'name' THEN
			strRt	:= 'Workpiece Width Adjustment Axis';</v>
      </c>
      <c r="AC14" t="str">
        <f ca="1"/>
        <v xml:space="preserve">
	//Workpiece Width Adjustment Axis
	ELSIF uiInfoIdx = 11 THEN
		IF strInfoKey = 'name' THEN
			strRt	:= 'Workpiece Width Adjustment Axis';
		ELSIF strInfoKey = 'index_name' THEN</v>
      </c>
      <c r="AD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</v>
      </c>
      <c r="AE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</v>
      </c>
      <c r="AF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</v>
      </c>
      <c r="AG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</v>
      </c>
      <c r="AH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</v>
      </c>
      <c r="AI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J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K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167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Corrugated Sheet Support Axis</v>
      </c>
      <c r="J15" t="str">
        <f ca="1"/>
        <v>Corrugated Sheet Support Axis</v>
      </c>
      <c r="L15" t="str">
        <f ca="1"/>
        <v>【axis12】 Corrugated Sheet Support Axis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-24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//Corrugated Sheet Support Axis
	ELSIF uiInfoIdx = 12 THEN</v>
      </c>
      <c r="AA15" t="str">
        <f ca="1"/>
        <v xml:space="preserve">
	//Corrugated Sheet Support Axis
	ELSIF uiInfoIdx = 12 THEN
		IF strInfoKey = 'name' THEN</v>
      </c>
      <c r="AB15" t="str">
        <f ca="1"/>
        <v xml:space="preserve">
	//Corrugated Sheet Support Axis
	ELSIF uiInfoIdx = 12 THEN
		IF strInfoKey = 'name' THEN
			strRt	:= 'Corrugated Sheet Support Axis';</v>
      </c>
      <c r="AC15" t="str">
        <f ca="1"/>
        <v xml:space="preserve">
	//Corrugated Sheet Support Axis
	ELSIF uiInfoIdx = 12 THEN
		IF strInfoKey = 'name' THEN
			strRt	:= 'Corrugated Sheet Support Axis';
		ELSIF strInfoKey = 'index_name' THEN</v>
      </c>
      <c r="AD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</v>
      </c>
      <c r="AE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</v>
      </c>
      <c r="AF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</v>
      </c>
      <c r="AG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</v>
      </c>
      <c r="AH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</v>
      </c>
      <c r="AI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J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K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Flat Sheet Tension Axis</v>
      </c>
      <c r="J16" t="str">
        <f ca="1"/>
        <v>Flat Sheet Tension Axis</v>
      </c>
      <c r="L16" t="str">
        <f ca="1"/>
        <v>【axis13】 Flat Sheet Tension Axis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-30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//Flat Sheet Tension Axis
	ELSIF uiInfoIdx = 13 THEN</v>
      </c>
      <c r="AA16" t="str">
        <f ca="1"/>
        <v xml:space="preserve">
	//Flat Sheet Tension Axis
	ELSIF uiInfoIdx = 13 THEN
		IF strInfoKey = 'name' THEN</v>
      </c>
      <c r="AB16" t="str">
        <f ca="1"/>
        <v xml:space="preserve">
	//Flat Sheet Tension Axis
	ELSIF uiInfoIdx = 13 THEN
		IF strInfoKey = 'name' THEN
			strRt	:= 'Flat Sheet Tension Axis';</v>
      </c>
      <c r="AC16" t="str">
        <f ca="1"/>
        <v xml:space="preserve">
	//Flat Sheet Tension Axis
	ELSIF uiInfoIdx = 13 THEN
		IF strInfoKey = 'name' THEN
			strRt	:= 'Flat Sheet Tension Axis';
		ELSIF strInfoKey = 'index_name' THEN</v>
      </c>
      <c r="AD16" t="str">
        <f ca="1"/>
        <v xml:space="preserve">
	//Flat Sheet Tension Axis
	ELSIF uiInfoIdx = 13 THEN
		IF strInfoKey = 'name' THEN
			strRt	:= 'Flat Sheet Tension Axis';
		ELSIF strInfoKey = 'index_name' THEN
			strRt	:= '【axis13】 Flat Sheet Tension Axis';</v>
      </c>
      <c r="AE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</v>
      </c>
      <c r="AF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</v>
      </c>
      <c r="AG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</v>
      </c>
      <c r="AH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</v>
      </c>
      <c r="AI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J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K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Flat Sheet Chuck Axis</v>
      </c>
      <c r="J17" t="str">
        <f ca="1"/>
        <v>Flat Sheet Chuck Axis</v>
      </c>
      <c r="L17" t="str">
        <f ca="1"/>
        <v>【axis14】 Flat Sheet Chuck Axis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-32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//Flat Sheet Chuck Axis
	ELSIF uiInfoIdx = 14 THEN</v>
      </c>
      <c r="AA17" t="str">
        <f ca="1"/>
        <v xml:space="preserve">
	//Flat Sheet Chuck Axis
	ELSIF uiInfoIdx = 14 THEN
		IF strInfoKey = 'name' THEN</v>
      </c>
      <c r="AB17" t="str">
        <f ca="1"/>
        <v xml:space="preserve">
	//Flat Sheet Chuck Axis
	ELSIF uiInfoIdx = 14 THEN
		IF strInfoKey = 'name' THEN
			strRt	:= 'Flat Sheet Chuck Axis';</v>
      </c>
      <c r="AC17" t="str">
        <f ca="1"/>
        <v xml:space="preserve">
	//Flat Sheet Chuck Axis
	ELSIF uiInfoIdx = 14 THEN
		IF strInfoKey = 'name' THEN
			strRt	:= 'Flat Sheet Chuck Axis';
		ELSIF strInfoKey = 'index_name' THEN</v>
      </c>
      <c r="AD17" t="str">
        <f ca="1"/>
        <v xml:space="preserve">
	//Flat Sheet Chuck Axis
	ELSIF uiInfoIdx = 14 THEN
		IF strInfoKey = 'name' THEN
			strRt	:= 'Flat Sheet Chuck Axis';
		ELSIF strInfoKey = 'index_name' THEN
			strRt	:= '【axis14】 Flat Sheet Chuck Axis';</v>
      </c>
      <c r="AE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</v>
      </c>
      <c r="AF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</v>
      </c>
      <c r="AG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</v>
      </c>
      <c r="AH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</v>
      </c>
      <c r="AI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J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K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Flat Sheet Chuck F/B Axis</v>
      </c>
      <c r="J18" t="str">
        <f ca="1"/>
        <v>Flat Sheet Chuck F/B Axis</v>
      </c>
      <c r="L18" t="str">
        <f ca="1"/>
        <v>【axis15】 Flat Sheet Chuck F/B Axis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-28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//Flat Sheet Chuck F/B Axis
	ELSIF uiInfoIdx = 15 THEN</v>
      </c>
      <c r="AA18" t="str">
        <f ca="1"/>
        <v xml:space="preserve">
	//Flat Sheet Chuck F/B Axis
	ELSIF uiInfoIdx = 15 THEN
		IF strInfoKey = 'name' THEN</v>
      </c>
      <c r="AB18" t="str">
        <f ca="1"/>
        <v xml:space="preserve">
	//Flat Sheet Chuck F/B Axis
	ELSIF uiInfoIdx = 15 THEN
		IF strInfoKey = 'name' THEN
			strRt	:= 'Flat Sheet Chuck F/B Axis';</v>
      </c>
      <c r="AC18" t="str">
        <f ca="1"/>
        <v xml:space="preserve">
	//Flat Sheet Chuck F/B Axis
	ELSIF uiInfoIdx = 15 THEN
		IF strInfoKey = 'name' THEN
			strRt	:= 'Flat Sheet Chuck F/B Axis';
		ELSIF strInfoKey = 'index_name' THEN</v>
      </c>
      <c r="AD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</v>
      </c>
      <c r="AE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</v>
      </c>
      <c r="AF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</v>
      </c>
      <c r="AG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</v>
      </c>
      <c r="AH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</v>
      </c>
      <c r="AI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J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K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Corrugated Sheet Tension Axis</v>
      </c>
      <c r="J19" t="str">
        <f ca="1"/>
        <v>Corrugated Sheet Tension Axis</v>
      </c>
      <c r="L19" t="str">
        <f ca="1"/>
        <v>【axis16】 Corrugated Sheet Tension Axis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-24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Tension Axis
	ELSIF uiInfoIdx = 16 THEN</v>
      </c>
      <c r="AA19" t="str">
        <f ca="1"/>
        <v xml:space="preserve">
	//Corrugated Sheet Tension Axis
	ELSIF uiInfoIdx = 16 THEN
		IF strInfoKey = 'name' THEN</v>
      </c>
      <c r="AB19" t="str">
        <f ca="1"/>
        <v xml:space="preserve">
	//Corrugated Sheet Tension Axis
	ELSIF uiInfoIdx = 16 THEN
		IF strInfoKey = 'name' THEN
			strRt	:= 'Corrugated Sheet Tension Axis';</v>
      </c>
      <c r="AC19" t="str">
        <f ca="1"/>
        <v xml:space="preserve">
	//Corrugated Sheet Tension Axis
	ELSIF uiInfoIdx = 16 THEN
		IF strInfoKey = 'name' THEN
			strRt	:= 'Corrugated Sheet Tension Axis';
		ELSIF strInfoKey = 'index_name' THEN</v>
      </c>
      <c r="AD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</v>
      </c>
      <c r="AE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</v>
      </c>
      <c r="AF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</v>
      </c>
      <c r="AG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</v>
      </c>
      <c r="AH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</v>
      </c>
      <c r="AI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J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K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Flat plate chuck shaft</v>
      </c>
      <c r="J20" t="str">
        <f ca="1"/>
        <v>Flat plate chuck shaft</v>
      </c>
      <c r="L20" t="str">
        <f ca="1"/>
        <v>【axis17】 Flat plate chuck shaft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-31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//Flat plate chuck shaft
	ELSIF uiInfoIdx = 17 THEN</v>
      </c>
      <c r="AA20" t="str">
        <f ca="1"/>
        <v xml:space="preserve">
	//Flat plate chuck shaft
	ELSIF uiInfoIdx = 17 THEN
		IF strInfoKey = 'name' THEN</v>
      </c>
      <c r="AB20" t="str">
        <f ca="1"/>
        <v xml:space="preserve">
	//Flat plate chuck shaft
	ELSIF uiInfoIdx = 17 THEN
		IF strInfoKey = 'name' THEN
			strRt	:= 'Flat plate chuck shaft';</v>
      </c>
      <c r="AC20" t="str">
        <f ca="1"/>
        <v xml:space="preserve">
	//Flat plate chuck shaft
	ELSIF uiInfoIdx = 17 THEN
		IF strInfoKey = 'name' THEN
			strRt	:= 'Flat plate chuck shaft';
		ELSIF strInfoKey = 'index_name' THEN</v>
      </c>
      <c r="AD20" t="str">
        <f ca="1"/>
        <v xml:space="preserve">
	//Flat plate chuck shaft
	ELSIF uiInfoIdx = 17 THEN
		IF strInfoKey = 'name' THEN
			strRt	:= 'Flat plate chuck shaft';
		ELSIF strInfoKey = 'index_name' THEN
			strRt	:= '【axis17】 Flat plate chuck shaft';</v>
      </c>
      <c r="AE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</v>
      </c>
      <c r="AF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</v>
      </c>
      <c r="AG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</v>
      </c>
      <c r="AH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</v>
      </c>
      <c r="AI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J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K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Flat plate chuck front and rear shafts</v>
      </c>
      <c r="J21" t="str">
        <f ca="1"/>
        <v>Flat plate chuck front and rear shafts</v>
      </c>
      <c r="L21" t="str">
        <f ca="1"/>
        <v>【axis18】 Flat plate chuck front and rear shafts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-15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//Flat plate chuck front and rear shafts
	ELSIF uiInfoIdx = 18 THEN</v>
      </c>
      <c r="AA21" t="str">
        <f ca="1"/>
        <v xml:space="preserve">
	//Flat plate chuck front and rear shafts
	ELSIF uiInfoIdx = 18 THEN
		IF strInfoKey = 'name' THEN</v>
      </c>
      <c r="AB21" t="str">
        <f ca="1"/>
        <v xml:space="preserve">
	//Flat plate chuck front and rear shafts
	ELSIF uiInfoIdx = 18 THEN
		IF strInfoKey = 'name' THEN
			strRt	:= 'Flat plate chuck front and rear shafts';</v>
      </c>
      <c r="AC21" t="str">
        <f ca="1"/>
        <v xml:space="preserve">
	//Flat plate chuck front and rear shafts
	ELSIF uiInfoIdx = 18 THEN
		IF strInfoKey = 'name' THEN
			strRt	:= 'Flat plate chuck front and rear shafts';
		ELSIF strInfoKey = 'index_name' THEN</v>
      </c>
      <c r="AD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</v>
      </c>
      <c r="AE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</v>
      </c>
      <c r="AF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</v>
      </c>
      <c r="AG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</v>
      </c>
      <c r="AH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</v>
      </c>
      <c r="AI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J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K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Corrugated sheet tensioning shaft</v>
      </c>
      <c r="J22" t="str">
        <f ca="1"/>
        <v>Corrugated sheet tensioning shaft</v>
      </c>
      <c r="L22" t="str">
        <f ca="1"/>
        <v>【axis19】 Corrugated sheet tensioning shaft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-20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//Corrugated sheet tensioning shaft
	ELSIF uiInfoIdx = 19 THEN</v>
      </c>
      <c r="AA22" t="str">
        <f ca="1"/>
        <v xml:space="preserve">
	//Corrugated sheet tensioning shaft
	ELSIF uiInfoIdx = 19 THEN
		IF strInfoKey = 'name' THEN</v>
      </c>
      <c r="AB22" t="str">
        <f ca="1"/>
        <v xml:space="preserve">
	//Corrugated sheet tensioning shaft
	ELSIF uiInfoIdx = 19 THEN
		IF strInfoKey = 'name' THEN
			strRt	:= 'Corrugated sheet tensioning shaft';</v>
      </c>
      <c r="AC22" t="str">
        <f ca="1"/>
        <v xml:space="preserve">
	//Corrugated sheet tensioning shaft
	ELSIF uiInfoIdx = 19 THEN
		IF strInfoKey = 'name' THEN
			strRt	:= 'Corrugated sheet tensioning shaft';
		ELSIF strInfoKey = 'index_name' THEN</v>
      </c>
      <c r="AD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</v>
      </c>
      <c r="AE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</v>
      </c>
      <c r="AF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</v>
      </c>
      <c r="AG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</v>
      </c>
      <c r="AH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</v>
      </c>
      <c r="AI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  <c r="AJ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  <c r="AK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Workpiece transportation Y-shaft</v>
      </c>
      <c r="J23" t="str">
        <f ca="1"/>
        <v>Workpiece transportation Y-shaft</v>
      </c>
      <c r="L23" t="str">
        <f ca="1"/>
        <v>【axis20】 Workpiece transportation Y-shaft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-21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//Workpiece transportation Y-shaft
	ELSIF uiInfoIdx = 20 THEN</v>
      </c>
      <c r="AA23" t="str">
        <f ca="1"/>
        <v xml:space="preserve">
	//Workpiece transportation Y-shaft
	ELSIF uiInfoIdx = 20 THEN
		IF strInfoKey = 'name' THEN</v>
      </c>
      <c r="AB23" t="str">
        <f ca="1"/>
        <v xml:space="preserve">
	//Workpiece transportation Y-shaft
	ELSIF uiInfoIdx = 20 THEN
		IF strInfoKey = 'name' THEN
			strRt	:= 'Workpiece transportation Y-shaft';</v>
      </c>
      <c r="AC23" t="str">
        <f ca="1"/>
        <v xml:space="preserve">
	//Workpiece transportation Y-shaft
	ELSIF uiInfoIdx = 20 THEN
		IF strInfoKey = 'name' THEN
			strRt	:= 'Workpiece transportation Y-shaft';
		ELSIF strInfoKey = 'index_name' THEN</v>
      </c>
      <c r="AD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</v>
      </c>
      <c r="AE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</v>
      </c>
      <c r="AF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</v>
      </c>
      <c r="AG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</v>
      </c>
      <c r="AH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</v>
      </c>
      <c r="AI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J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K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140</v>
      </c>
      <c r="B24">
        <v>1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Workpiece  rotation</v>
      </c>
      <c r="J24" t="str">
        <f ca="1"/>
        <v>Workpiece  rotation</v>
      </c>
      <c r="L24" t="str">
        <f ca="1"/>
        <v>【axis21】 Workpiece  rotation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-34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//Workpiece  rotation
	ELSIF uiInfoIdx = 21 THEN</v>
      </c>
      <c r="AA24" t="str">
        <f ca="1"/>
        <v xml:space="preserve">
	//Workpiece  rotation
	ELSIF uiInfoIdx = 21 THEN
		IF strInfoKey = 'name' THEN</v>
      </c>
      <c r="AB24" t="str">
        <f ca="1"/>
        <v xml:space="preserve">
	//Workpiece  rotation
	ELSIF uiInfoIdx = 21 THEN
		IF strInfoKey = 'name' THEN
			strRt	:= 'Workpiece  rotation';</v>
      </c>
      <c r="AC24" t="str">
        <f ca="1"/>
        <v xml:space="preserve">
	//Workpiece  rotation
	ELSIF uiInfoIdx = 21 THEN
		IF strInfoKey = 'name' THEN
			strRt	:= 'Workpiece  rotation';
		ELSIF strInfoKey = 'index_name' THEN</v>
      </c>
      <c r="AD24" t="str">
        <f ca="1"/>
        <v xml:space="preserve">
	//Workpiece  rotation
	ELSIF uiInfoIdx = 21 THEN
		IF strInfoKey = 'name' THEN
			strRt	:= 'Workpiece  rotation';
		ELSIF strInfoKey = 'index_name' THEN
			strRt	:= '【axis21】 Workpiece  rotation';</v>
      </c>
      <c r="AE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</v>
      </c>
      <c r="AF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</v>
      </c>
      <c r="AG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</v>
      </c>
      <c r="AH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</v>
      </c>
      <c r="AI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J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K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 xml:space="preserve">Workpiece  chuck </v>
      </c>
      <c r="J25" t="str">
        <f ca="1"/>
        <v xml:space="preserve">Workpiece  chuck </v>
      </c>
      <c r="L25" t="str">
        <f ca="1"/>
        <v xml:space="preserve">【axis22】 Workpiece  chuck 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-36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//Workpiece  chuck 
	ELSIF uiInfoIdx = 22 THEN</v>
      </c>
      <c r="AA25" t="str">
        <f ca="1"/>
        <v xml:space="preserve">
	//Workpiece  chuck 
	ELSIF uiInfoIdx = 22 THEN
		IF strInfoKey = 'name' THEN</v>
      </c>
      <c r="AB25" t="str">
        <f ca="1"/>
        <v xml:space="preserve">
	//Workpiece  chuck 
	ELSIF uiInfoIdx = 22 THEN
		IF strInfoKey = 'name' THEN
			strRt	:= 'Workpiece  chuck ';</v>
      </c>
      <c r="AC25" t="str">
        <f ca="1"/>
        <v xml:space="preserve">
	//Workpiece  chuck 
	ELSIF uiInfoIdx = 22 THEN
		IF strInfoKey = 'name' THEN
			strRt	:= 'Workpiece  chuck ';
		ELSIF strInfoKey = 'index_name' THEN</v>
      </c>
      <c r="AD25" t="str">
        <f ca="1"/>
        <v xml:space="preserve">
	//Workpiece  chuck 
	ELSIF uiInfoIdx = 22 THEN
		IF strInfoKey = 'name' THEN
			strRt	:= 'Workpiece  chuck ';
		ELSIF strInfoKey = 'index_name' THEN
			strRt	:= '【axis22】 Workpiece  chuck ';</v>
      </c>
      <c r="AE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</v>
      </c>
      <c r="AF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</v>
      </c>
      <c r="AG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</v>
      </c>
      <c r="AH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</v>
      </c>
      <c r="AI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J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K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132</v>
      </c>
      <c r="B26" t="s">
        <v>168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Welding support up/down</v>
      </c>
      <c r="J26" t="str">
        <f ca="1"/>
        <v>Welding support up/down</v>
      </c>
      <c r="L26" t="str">
        <f ca="1"/>
        <v>【axis23】 Welding support up/down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-30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//Welding support up/down
	ELSIF uiInfoIdx = 23 THEN</v>
      </c>
      <c r="AA26" t="str">
        <f ca="1"/>
        <v xml:space="preserve">
	//Welding support up/down
	ELSIF uiInfoIdx = 23 THEN
		IF strInfoKey = 'name' THEN</v>
      </c>
      <c r="AB26" t="str">
        <f ca="1"/>
        <v xml:space="preserve">
	//Welding support up/down
	ELSIF uiInfoIdx = 23 THEN
		IF strInfoKey = 'name' THEN
			strRt	:= 'Welding support up/down';</v>
      </c>
      <c r="AC26" t="str">
        <f ca="1"/>
        <v xml:space="preserve">
	//Welding support up/down
	ELSIF uiInfoIdx = 23 THEN
		IF strInfoKey = 'name' THEN
			strRt	:= 'Welding support up/down';
		ELSIF strInfoKey = 'index_name' THEN</v>
      </c>
      <c r="AD26" t="str">
        <f ca="1"/>
        <v xml:space="preserve">
	//Welding support up/down
	ELSIF uiInfoIdx = 23 THEN
		IF strInfoKey = 'name' THEN
			strRt	:= 'Welding support up/down';
		ELSIF strInfoKey = 'index_name' THEN
			strRt	:= '【axis23】 Welding support up/down';</v>
      </c>
      <c r="AE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</v>
      </c>
      <c r="AF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</v>
      </c>
      <c r="AG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</v>
      </c>
      <c r="AH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</v>
      </c>
      <c r="AI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J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K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128</v>
      </c>
      <c r="B27" t="s">
        <v>169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Welding torch up/down</v>
      </c>
      <c r="J27" t="str">
        <f ca="1"/>
        <v>Welding torch up/down</v>
      </c>
      <c r="L27" t="str">
        <f ca="1"/>
        <v>【axis24】 Welding torch up/down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-32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//Welding torch up/down
	ELSIF uiInfoIdx = 24 THEN</v>
      </c>
      <c r="AA27" t="str">
        <f ca="1"/>
        <v xml:space="preserve">
	//Welding torch up/down
	ELSIF uiInfoIdx = 24 THEN
		IF strInfoKey = 'name' THEN</v>
      </c>
      <c r="AB27" t="str">
        <f ca="1"/>
        <v xml:space="preserve">
	//Welding torch up/down
	ELSIF uiInfoIdx = 24 THEN
		IF strInfoKey = 'name' THEN
			strRt	:= 'Welding torch up/down';</v>
      </c>
      <c r="AC27" t="str">
        <f ca="1"/>
        <v xml:space="preserve">
	//Welding torch up/down
	ELSIF uiInfoIdx = 24 THEN
		IF strInfoKey = 'name' THEN
			strRt	:= 'Welding torch up/down';
		ELSIF strInfoKey = 'index_name' THEN</v>
      </c>
      <c r="AD27" t="str">
        <f ca="1"/>
        <v xml:space="preserve">
	//Welding torch up/down
	ELSIF uiInfoIdx = 24 THEN
		IF strInfoKey = 'name' THEN
			strRt	:= 'Welding torch up/down';
		ELSIF strInfoKey = 'index_name' THEN
			strRt	:= '【axis24】 Welding torch up/down';</v>
      </c>
      <c r="AE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</v>
      </c>
      <c r="AF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</v>
      </c>
      <c r="AG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</v>
      </c>
      <c r="AH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</v>
      </c>
      <c r="AI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J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K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129</v>
      </c>
      <c r="B28" t="s">
        <v>170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127</v>
      </c>
      <c r="B29" t="s">
        <v>173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148</v>
      </c>
      <c r="B30" t="s">
        <v>174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303</v>
      </c>
      <c r="B44"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Workpiece Discharge F/B</v>
      </c>
      <c r="J44" t="str">
        <f ca="1"/>
        <v>Workpiece Discharge F/B</v>
      </c>
      <c r="L44" t="str">
        <f ca="1"/>
        <v>【EC1】 Workpiece Discharge F/B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-33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//Workpiece Discharge F/B
	IF uiInfoIdx = 1 THEN</v>
      </c>
      <c r="AA44" t="str">
        <f ca="1"/>
        <v xml:space="preserve">
//EC
ELSIF strInfoType = 'EC' THEN
	//Workpiece Discharge F/B
	IF uiInfoIdx = 1 THEN
		IF strInfoKey = 'name' THEN</v>
      </c>
      <c r="AB44" t="str">
        <f ca="1"/>
        <v xml:space="preserve">
//EC
ELSIF strInfoType = 'EC' THEN
	//Workpiece Discharge F/B
	IF uiInfoIdx = 1 THEN
		IF strInfoKey = 'name' THEN
			strRt	:= 'Workpiece Discharge F/B';</v>
      </c>
      <c r="AC44" t="str">
        <f ca="1"/>
        <v xml:space="preserve">
//EC
ELSIF strInfoType = 'EC' THEN
	//Workpiece Discharge F/B
	IF uiInfoIdx = 1 THEN
		IF strInfoKey = 'name' THEN
			strRt	:= 'Workpiece Discharge F/B';
		ELSIF strInfoKey = 'index_name' THEN</v>
      </c>
      <c r="AD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</v>
      </c>
      <c r="AE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</v>
      </c>
      <c r="AF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</v>
      </c>
      <c r="AG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</v>
      </c>
      <c r="AH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</v>
      </c>
      <c r="AI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Winding Spindle Center F/B</v>
      </c>
      <c r="J64" t="str">
        <f ca="1"/>
        <v>Winding Spindle Center F/B</v>
      </c>
      <c r="L64" t="str">
        <f ca="1"/>
        <v>【cylinder1】 Winding Spindle Center F/B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-24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//Winding Spindle Center F/B
	IF uiInfoIdx = 1 THEN</v>
      </c>
      <c r="AA64" t="str">
        <f ca="1"/>
        <v xml:space="preserve">
//cylinder
ELSIF strInfoType = 'cylinder' THEN
	//Winding Spindle Center F/B
	IF uiInfoIdx = 1 THEN
		IF strInfoKey = 'name' THEN</v>
      </c>
      <c r="AB64" t="str">
        <f ca="1"/>
        <v xml:space="preserve">
//cylinder
ELSIF strInfoType = 'cylinder' THEN
	//Winding Spindle Center F/B
	IF uiInfoIdx = 1 THEN
		IF strInfoKey = 'name' THEN
			strRt	:= 'Winding Spindle Center F/B';</v>
      </c>
      <c r="AC64" t="str">
        <f ca="1"/>
        <v xml:space="preserve">
//cylinder
ELSIF strInfoType = 'cylinder' THEN
	//Winding Spindle Center F/B
	IF uiInfoIdx = 1 THEN
		IF strInfoKey = 'name' THEN
			strRt	:= 'Winding Spindle Center F/B';
		ELSIF strInfoKey = 'index_name' THEN</v>
      </c>
      <c r="AD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</v>
      </c>
      <c r="AE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</v>
      </c>
      <c r="AF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</v>
      </c>
      <c r="AG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</v>
      </c>
      <c r="AH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</v>
      </c>
      <c r="AI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T-Roll Gluing Lower Roll</v>
      </c>
      <c r="J65" t="str">
        <f ca="1"/>
        <v>T-Roll Gluing Lower Roll</v>
      </c>
      <c r="L65" t="str">
        <f ca="1"/>
        <v>【cylinder2】 T-Roll Gluing Lower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-26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Lower Roll
	ELSIF uiInfoIdx = 2 THEN</v>
      </c>
      <c r="AA65" t="str">
        <f ca="1"/>
        <v xml:space="preserve">
	//T-Roll Gluing Lower Roll
	ELSIF uiInfoIdx = 2 THEN
		IF strInfoKey = 'name' THEN</v>
      </c>
      <c r="AB65" t="str">
        <f ca="1"/>
        <v xml:space="preserve">
	//T-Roll Gluing Lower Roll
	ELSIF uiInfoIdx = 2 THEN
		IF strInfoKey = 'name' THEN
			strRt	:= 'T-Roll Gluing Lower Roll';</v>
      </c>
      <c r="AC65" t="str">
        <f ca="1"/>
        <v xml:space="preserve">
	//T-Roll Gluing Lower Roll
	ELSIF uiInfoIdx = 2 THEN
		IF strInfoKey = 'name' THEN
			strRt	:= 'T-Roll Gluing Lower Roll';
		ELSIF strInfoKey = 'index_name' THEN</v>
      </c>
      <c r="AD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</v>
      </c>
      <c r="AE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</v>
      </c>
      <c r="AF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</v>
      </c>
      <c r="AG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</v>
      </c>
      <c r="AH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</v>
      </c>
      <c r="AI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J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K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T-Roll Gluing Upper Roll</v>
      </c>
      <c r="J66" t="str">
        <f ca="1"/>
        <v>T-Roll Gluing Upper Roll</v>
      </c>
      <c r="L66" t="str">
        <f ca="1"/>
        <v>【cylinder3】 T-Roll Gluing Upper Roll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-26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//T-Roll Gluing Upper Roll
	ELSIF uiInfoIdx = 3 THEN</v>
      </c>
      <c r="AA66" t="str">
        <f ca="1"/>
        <v xml:space="preserve">
	//T-Roll Gluing Upper Roll
	ELSIF uiInfoIdx = 3 THEN
		IF strInfoKey = 'name' THEN</v>
      </c>
      <c r="AB66" t="str">
        <f ca="1"/>
        <v xml:space="preserve">
	//T-Roll Gluing Upper Roll
	ELSIF uiInfoIdx = 3 THEN
		IF strInfoKey = 'name' THEN
			strRt	:= 'T-Roll Gluing Upper Roll';</v>
      </c>
      <c r="AC66" t="str">
        <f ca="1"/>
        <v xml:space="preserve">
	//T-Roll Gluing Upper Roll
	ELSIF uiInfoIdx = 3 THEN
		IF strInfoKey = 'name' THEN
			strRt	:= 'T-Roll Gluing Upper Roll';
		ELSIF strInfoKey = 'index_name' THEN</v>
      </c>
      <c r="AD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</v>
      </c>
      <c r="AE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</v>
      </c>
      <c r="AF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</v>
      </c>
      <c r="AG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</v>
      </c>
      <c r="AH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</v>
      </c>
      <c r="AI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J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K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Flat Sheet Support Plate</v>
      </c>
      <c r="J67" t="str">
        <f ca="1"/>
        <v>Flat Sheet Support Plate</v>
      </c>
      <c r="L67" t="str">
        <f ca="1"/>
        <v>【cylinder4】 Flat Sheet Support Plate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-26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Support Plate
	ELSIF uiInfoIdx = 4 THEN</v>
      </c>
      <c r="AA67" t="str">
        <f ca="1"/>
        <v xml:space="preserve">
	//Flat Sheet Support Plate
	ELSIF uiInfoIdx = 4 THEN
		IF strInfoKey = 'name' THEN</v>
      </c>
      <c r="AB67" t="str">
        <f ca="1"/>
        <v xml:space="preserve">
	//Flat Sheet Support Plate
	ELSIF uiInfoIdx = 4 THEN
		IF strInfoKey = 'name' THEN
			strRt	:= 'Flat Sheet Support Plate';</v>
      </c>
      <c r="AC67" t="str">
        <f ca="1"/>
        <v xml:space="preserve">
	//Flat Sheet Support Plate
	ELSIF uiInfoIdx = 4 THEN
		IF strInfoKey = 'name' THEN
			strRt	:= 'Flat Sheet Support Plate';
		ELSIF strInfoKey = 'index_name' THEN</v>
      </c>
      <c r="AD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</v>
      </c>
      <c r="AE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</v>
      </c>
      <c r="AF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</v>
      </c>
      <c r="AG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</v>
      </c>
      <c r="AH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</v>
      </c>
      <c r="AI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J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K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Flat Sheet Chuck (Hand) F/B</v>
      </c>
      <c r="J68" t="str">
        <f ca="1"/>
        <v>Flat Sheet Chuck (Hand) F/B</v>
      </c>
      <c r="L68" t="str">
        <f ca="1"/>
        <v>【cylinder5】 Flat Sheet Chuck (Hand) F/B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-23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(Hand) F/B
	ELSIF uiInfoIdx = 5 THEN</v>
      </c>
      <c r="AA68" t="str">
        <f ca="1"/>
        <v xml:space="preserve">
	//Flat Sheet Chuck (Hand) F/B
	ELSIF uiInfoIdx = 5 THEN
		IF strInfoKey = 'name' THEN</v>
      </c>
      <c r="AB68" t="str">
        <f ca="1"/>
        <v xml:space="preserve">
	//Flat Sheet Chuck (Hand) F/B
	ELSIF uiInfoIdx = 5 THEN
		IF strInfoKey = 'name' THEN
			strRt	:= 'Flat Sheet Chuck (Hand) F/B';</v>
      </c>
      <c r="AC68" t="str">
        <f ca="1"/>
        <v xml:space="preserve">
	//Flat Sheet Chuck (Hand) F/B
	ELSIF uiInfoIdx = 5 THEN
		IF strInfoKey = 'name' THEN
			strRt	:= 'Flat Sheet Chuck (Hand) F/B';
		ELSIF strInfoKey = 'index_name' THEN</v>
      </c>
      <c r="AD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</v>
      </c>
      <c r="AE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</v>
      </c>
      <c r="AF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</v>
      </c>
      <c r="AG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</v>
      </c>
      <c r="AH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</v>
      </c>
      <c r="AI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</v>
      </c>
      <c r="AJ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</v>
      </c>
      <c r="AK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Flat Sheet Chuck Open/Close</v>
      </c>
      <c r="J69" t="str">
        <f ca="1"/>
        <v>Flat Sheet Chuck Open/Close</v>
      </c>
      <c r="L69" t="str">
        <f ca="1"/>
        <v>【cylinder6】 Flat Sheet Chuck Open/Close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-23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Chuck Open/Close
	ELSIF uiInfoIdx = 6 THEN</v>
      </c>
      <c r="AA69" t="str">
        <f ca="1"/>
        <v xml:space="preserve">
	//Flat Sheet Chuck Open/Close
	ELSIF uiInfoIdx = 6 THEN
		IF strInfoKey = 'name' THEN</v>
      </c>
      <c r="AB69" t="str">
        <f ca="1"/>
        <v xml:space="preserve">
	//Flat Sheet Chuck Open/Close
	ELSIF uiInfoIdx = 6 THEN
		IF strInfoKey = 'name' THEN
			strRt	:= 'Flat Sheet Chuck Open/Close';</v>
      </c>
      <c r="AC69" t="str">
        <f ca="1"/>
        <v xml:space="preserve">
	//Flat Sheet Chuck Open/Close
	ELSIF uiInfoIdx = 6 THEN
		IF strInfoKey = 'name' THEN
			strRt	:= 'Flat Sheet Chuck Open/Close';
		ELSIF strInfoKey = 'index_name' THEN</v>
      </c>
      <c r="AD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Flat Sheet Clamp U/D</v>
      </c>
      <c r="J70" t="str">
        <f ca="1"/>
        <v>Flat Sheet Clamp U/D</v>
      </c>
      <c r="L70" t="str">
        <f ca="1"/>
        <v>【cylinder7】 Flat Sheet Clamp U/D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-30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//Flat Sheet Clamp U/D
	ELSIF uiInfoIdx = 7 THEN</v>
      </c>
      <c r="AA70" t="str">
        <f ca="1"/>
        <v xml:space="preserve">
	//Flat Sheet Clamp U/D
	ELSIF uiInfoIdx = 7 THEN
		IF strInfoKey = 'name' THEN</v>
      </c>
      <c r="AB70" t="str">
        <f ca="1"/>
        <v xml:space="preserve">
	//Flat Sheet Clamp U/D
	ELSIF uiInfoIdx = 7 THEN
		IF strInfoKey = 'name' THEN
			strRt	:= 'Flat Sheet Clamp U/D';</v>
      </c>
      <c r="AC70" t="str">
        <f ca="1"/>
        <v xml:space="preserve">
	//Flat Sheet Clamp U/D
	ELSIF uiInfoIdx = 7 THEN
		IF strInfoKey = 'name' THEN
			strRt	:= 'Flat Sheet Clamp U/D';
		ELSIF strInfoKey = 'index_name' THEN</v>
      </c>
      <c r="AD70" t="str">
        <f ca="1"/>
        <v xml:space="preserve">
	//Flat Sheet Clamp U/D
	ELSIF uiInfoIdx = 7 THEN
		IF strInfoKey = 'name' THEN
			strRt	:= 'Flat Sheet Clamp U/D';
		ELSIF strInfoKey = 'index_name' THEN
			strRt	:= '【cylinder7】 Flat Sheet Clamp U/D';</v>
      </c>
      <c r="AE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</v>
      </c>
      <c r="AF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</v>
      </c>
      <c r="AG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</v>
      </c>
      <c r="AH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</v>
      </c>
      <c r="AI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</v>
      </c>
      <c r="AJ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</v>
      </c>
      <c r="AK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Brazing Foil Clamp U/D</v>
      </c>
      <c r="J71" t="str">
        <f ca="1"/>
        <v>Brazing Foil Clamp U/D</v>
      </c>
      <c r="L71" t="str">
        <f ca="1"/>
        <v>【cylinder8】 Brazing Foil Clamp U/D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-28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//Brazing Foil Clamp U/D
	ELSIF uiInfoIdx = 8 THEN</v>
      </c>
      <c r="AA71" t="str">
        <f ca="1"/>
        <v xml:space="preserve">
	//Brazing Foil Clamp U/D
	ELSIF uiInfoIdx = 8 THEN
		IF strInfoKey = 'name' THEN</v>
      </c>
      <c r="AB71" t="str">
        <f ca="1"/>
        <v xml:space="preserve">
	//Brazing Foil Clamp U/D
	ELSIF uiInfoIdx = 8 THEN
		IF strInfoKey = 'name' THEN
			strRt	:= 'Brazing Foil Clamp U/D';</v>
      </c>
      <c r="AC71" t="str">
        <f ca="1"/>
        <v xml:space="preserve">
	//Brazing Foil Clamp U/D
	ELSIF uiInfoIdx = 8 THEN
		IF strInfoKey = 'name' THEN
			strRt	:= 'Brazing Foil Clamp U/D';
		ELSIF strInfoKey = 'index_name' THEN</v>
      </c>
      <c r="AD71" t="str">
        <f ca="1"/>
        <v xml:space="preserve">
	//Brazing Foil Clamp U/D
	ELSIF uiInfoIdx = 8 THEN
		IF strInfoKey = 'name' THEN
			strRt	:= 'Brazing Foil Clamp U/D';
		ELSIF strInfoKey = 'index_name' THEN
			strRt	:= '【cylinder8】 Brazing Foil Clamp U/D';</v>
      </c>
      <c r="AE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</v>
      </c>
      <c r="AF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</v>
      </c>
      <c r="AG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</v>
      </c>
      <c r="AH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</v>
      </c>
      <c r="AI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</v>
      </c>
      <c r="AJ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</v>
      </c>
      <c r="AK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Brazing Foil Cutter</v>
      </c>
      <c r="J72" t="str">
        <f ca="1"/>
        <v>Brazing Foil Cutter</v>
      </c>
      <c r="L72" t="str">
        <f ca="1"/>
        <v>【cylinder9】 Brazing Foil Cutter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-31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//Brazing Foil Cutter
	ELSIF uiInfoIdx = 9 THEN</v>
      </c>
      <c r="AA72" t="str">
        <f ca="1"/>
        <v xml:space="preserve">
	//Brazing Foil Cutter
	ELSIF uiInfoIdx = 9 THEN
		IF strInfoKey = 'name' THEN</v>
      </c>
      <c r="AB72" t="str">
        <f ca="1"/>
        <v xml:space="preserve">
	//Brazing Foil Cutter
	ELSIF uiInfoIdx = 9 THEN
		IF strInfoKey = 'name' THEN
			strRt	:= 'Brazing Foil Cutter';</v>
      </c>
      <c r="AC72" t="str">
        <f ca="1"/>
        <v xml:space="preserve">
	//Brazing Foil Cutter
	ELSIF uiInfoIdx = 9 THEN
		IF strInfoKey = 'name' THEN
			strRt	:= 'Brazing Foil Cutter';
		ELSIF strInfoKey = 'index_name' THEN</v>
      </c>
      <c r="AD72" t="str">
        <f ca="1"/>
        <v xml:space="preserve">
	//Brazing Foil Cutter
	ELSIF uiInfoIdx = 9 THEN
		IF strInfoKey = 'name' THEN
			strRt	:= 'Brazing Foil Cutter';
		ELSIF strInfoKey = 'index_name' THEN
			strRt	:= '【cylinder9】 Brazing Foil Cutter';</v>
      </c>
      <c r="AE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</v>
      </c>
      <c r="AF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</v>
      </c>
      <c r="AG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</v>
      </c>
      <c r="AH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</v>
      </c>
      <c r="AI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J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K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Corrugated Sheet Clamp</v>
      </c>
      <c r="J73" t="str">
        <f ca="1"/>
        <v>Corrugated Sheet Clamp</v>
      </c>
      <c r="L73" t="str">
        <f ca="1"/>
        <v>【cylinder10】 Corrugated Sheet Clamp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-27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//Corrugated Sheet Clamp
	ELSIF uiInfoIdx = 10 THEN</v>
      </c>
      <c r="AA73" t="str">
        <f ca="1"/>
        <v xml:space="preserve">
	//Corrugated Sheet Clamp
	ELSIF uiInfoIdx = 10 THEN
		IF strInfoKey = 'name' THEN</v>
      </c>
      <c r="AB73" t="str">
        <f ca="1"/>
        <v xml:space="preserve">
	//Corrugated Sheet Clamp
	ELSIF uiInfoIdx = 10 THEN
		IF strInfoKey = 'name' THEN
			strRt	:= 'Corrugated Sheet Clamp';</v>
      </c>
      <c r="AC73" t="str">
        <f ca="1"/>
        <v xml:space="preserve">
	//Corrugated Sheet Clamp
	ELSIF uiInfoIdx = 10 THEN
		IF strInfoKey = 'name' THEN
			strRt	:= 'Corrugated Sheet Clamp';
		ELSIF strInfoKey = 'index_name' THEN</v>
      </c>
      <c r="AD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Flat Sheet Cutter Blade Extend</v>
      </c>
      <c r="J74" t="str">
        <f ca="1"/>
        <v>Flat Sheet Cutter Blade Extend</v>
      </c>
      <c r="L74" t="str">
        <f ca="1"/>
        <v>【cylinder11】 Flat Sheet Cutter Blade Extend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-19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Extend
	ELSIF uiInfoIdx = 11 THEN</v>
      </c>
      <c r="AA74" t="str">
        <f ca="1"/>
        <v xml:space="preserve">
	//Flat Sheet Cutter Blade Extend
	ELSIF uiInfoIdx = 11 THEN
		IF strInfoKey = 'name' THEN</v>
      </c>
      <c r="AB74" t="str">
        <f ca="1"/>
        <v xml:space="preserve">
	//Flat Sheet Cutter Blade Extend
	ELSIF uiInfoIdx = 11 THEN
		IF strInfoKey = 'name' THEN
			strRt	:= 'Flat Sheet Cutter Blade Extend';</v>
      </c>
      <c r="AC74" t="str">
        <f ca="1"/>
        <v xml:space="preserve">
	//Flat Sheet Cutter Blade Extend
	ELSIF uiInfoIdx = 11 THEN
		IF strInfoKey = 'name' THEN
			strRt	:= 'Flat Sheet Cutter Blade Extend';
		ELSIF strInfoKey = 'index_name' THEN</v>
      </c>
      <c r="AD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</v>
      </c>
      <c r="AE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</v>
      </c>
      <c r="AF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</v>
      </c>
      <c r="AG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</v>
      </c>
      <c r="AH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</v>
      </c>
      <c r="AI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J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K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Flat Sheet Cutter Blade Open/Close</v>
      </c>
      <c r="J75" t="str">
        <f ca="1"/>
        <v>Flat Sheet Cutter Blade Open/Close</v>
      </c>
      <c r="L75" t="str">
        <f ca="1"/>
        <v>【cylinder12】 Flat Sheet Cutter Blade Open/Close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-15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//Flat Sheet Cutter Blade Open/Close
	ELSIF uiInfoIdx = 12 THEN</v>
      </c>
      <c r="AA75" t="str">
        <f ca="1"/>
        <v xml:space="preserve">
	//Flat Sheet Cutter Blade Open/Close
	ELSIF uiInfoIdx = 12 THEN
		IF strInfoKey = 'name' THEN</v>
      </c>
      <c r="AB75" t="str">
        <f ca="1"/>
        <v xml:space="preserve">
	//Flat Sheet Cutter Blade Open/Close
	ELSIF uiInfoIdx = 12 THEN
		IF strInfoKey = 'name' THEN
			strRt	:= 'Flat Sheet Cutter Blade Open/Close';</v>
      </c>
      <c r="AC75" t="str">
        <f ca="1"/>
        <v xml:space="preserve">
	//Flat Sheet Cutter Blade Open/Close
	ELSIF uiInfoIdx = 12 THEN
		IF strInfoKey = 'name' THEN
			strRt	:= 'Flat Sheet Cutter Blade Open/Close';
		ELSIF strInfoKey = 'index_name' THEN</v>
      </c>
      <c r="AD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Corrugated Sheet Cutter Blade Extend</v>
      </c>
      <c r="J76" t="str">
        <f ca="1"/>
        <v>Corrugated Sheet Cutter Blade Extend</v>
      </c>
      <c r="L76" t="str">
        <f ca="1"/>
        <v>【cylinder13】 Corrugated Sheet Cutter Blade Extend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-13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Extend
	ELSIF uiInfoIdx = 13 THEN</v>
      </c>
      <c r="AA76" t="str">
        <f ca="1"/>
        <v xml:space="preserve">
	//Corrugated Sheet Cutter Blade Extend
	ELSIF uiInfoIdx = 13 THEN
		IF strInfoKey = 'name' THEN</v>
      </c>
      <c r="AB76" t="str">
        <f ca="1"/>
        <v xml:space="preserve">
	//Corrugated Sheet Cutter Blade Extend
	ELSIF uiInfoIdx = 13 THEN
		IF strInfoKey = 'name' THEN
			strRt	:= 'Corrugated Sheet Cutter Blade Extend';</v>
      </c>
      <c r="AC76" t="str">
        <f ca="1"/>
        <v xml:space="preserve">
	//Corrugated Sheet Cutter Blade Extend
	ELSIF uiInfoIdx = 13 THEN
		IF strInfoKey = 'name' THEN
			strRt	:= 'Corrugated Sheet Cutter Blade Extend';
		ELSIF strInfoKey = 'index_name' THEN</v>
      </c>
      <c r="AD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</v>
      </c>
      <c r="AE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</v>
      </c>
      <c r="AF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</v>
      </c>
      <c r="AG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</v>
      </c>
      <c r="AH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</v>
      </c>
      <c r="AI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J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K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Corrugated Sheet Cutter Blade Open/Close</v>
      </c>
      <c r="J77" t="str">
        <f ca="1"/>
        <v>Corrugated Sheet Cutter Blade Open/Close</v>
      </c>
      <c r="L77" t="str">
        <f ca="1"/>
        <v>【cylinder14】 Corrugated Sheet Cutter Blade Open/Close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-9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Blade Open/Close
	ELSIF uiInfoIdx = 14 THEN</v>
      </c>
      <c r="AA77" t="str">
        <f ca="1"/>
        <v xml:space="preserve">
	//Corrugated Sheet Cutter Blade Open/Close
	ELSIF uiInfoIdx = 14 THEN
		IF strInfoKey = 'name' THEN</v>
      </c>
      <c r="AB77" t="str">
        <f ca="1"/>
        <v xml:space="preserve">
	//Corrugated Sheet Cutter Blade Open/Close
	ELSIF uiInfoIdx = 14 THEN
		IF strInfoKey = 'name' THEN
			strRt	:= 'Corrugated Sheet Cutter Blade Open/Close';</v>
      </c>
      <c r="AC77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Corrugated Sheet Cutter Support</v>
      </c>
      <c r="J78" t="str">
        <f ca="1"/>
        <v>Corrugated Sheet Cutter Support</v>
      </c>
      <c r="L78" t="str">
        <f ca="1"/>
        <v>【cylinder15】 Corrugated Sheet Cutter Support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-18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Support
	ELSIF uiInfoIdx = 15 THEN</v>
      </c>
      <c r="AA78" t="str">
        <f ca="1"/>
        <v xml:space="preserve">
	//Corrugated Sheet Cutter Support
	ELSIF uiInfoIdx = 15 THEN
		IF strInfoKey = 'name' THEN</v>
      </c>
      <c r="AB78" t="str">
        <f ca="1"/>
        <v xml:space="preserve">
	//Corrugated Sheet Cutter Support
	ELSIF uiInfoIdx = 15 THEN
		IF strInfoKey = 'name' THEN
			strRt	:= 'Corrugated Sheet Cutter Support';</v>
      </c>
      <c r="AC78" t="str">
        <f ca="1"/>
        <v xml:space="preserve">
	//Corrugated Sheet Cutter Support
	ELSIF uiInfoIdx = 15 THEN
		IF strInfoKey = 'name' THEN
			strRt	:= 'Corrugated Sheet Cutter Support';
		ELSIF strInfoKey = 'index_name' THEN</v>
      </c>
      <c r="AD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</v>
      </c>
      <c r="AE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</v>
      </c>
      <c r="AF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</v>
      </c>
      <c r="AG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</v>
      </c>
      <c r="AH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</v>
      </c>
      <c r="AI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J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K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Corrugated Sheet Cutter Support L</v>
      </c>
      <c r="J79" t="str">
        <f ca="1"/>
        <v>Corrugated Sheet Cutter Support L</v>
      </c>
      <c r="L79" t="str">
        <f ca="1"/>
        <v>【cylinder16】 Corrugated Sheet Cutter Support 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-16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//Corrugated Sheet Cutter Support L
	ELSIF uiInfoIdx = 16 THEN</v>
      </c>
      <c r="AA79" t="str">
        <f ca="1"/>
        <v xml:space="preserve">
	//Corrugated Sheet Cutter Support L
	ELSIF uiInfoIdx = 16 THEN
		IF strInfoKey = 'name' THEN</v>
      </c>
      <c r="AB79" t="str">
        <f ca="1"/>
        <v xml:space="preserve">
	//Corrugated Sheet Cutter Support L
	ELSIF uiInfoIdx = 16 THEN
		IF strInfoKey = 'name' THEN
			strRt	:= 'Corrugated Sheet Cutter Support L';</v>
      </c>
      <c r="AC79" t="str">
        <f ca="1"/>
        <v xml:space="preserve">
	//Corrugated Sheet Cutter Support L
	ELSIF uiInfoIdx = 16 THEN
		IF strInfoKey = 'name' THEN
			strRt	:= 'Corrugated Sheet Cutter Support L';
		ELSIF strInfoKey = 'index_name' THEN</v>
      </c>
      <c r="AD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</v>
      </c>
      <c r="AE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</v>
      </c>
      <c r="AF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</v>
      </c>
      <c r="AG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</v>
      </c>
      <c r="AH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</v>
      </c>
      <c r="AI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J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K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X-Roll Gluing Left Roll</v>
      </c>
      <c r="J80" t="str">
        <f ca="1"/>
        <v>X-Roll Gluing Left Roll</v>
      </c>
      <c r="L80" t="str">
        <f ca="1"/>
        <v>【cylinder17】 X-Roll Gluing Left Roll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-26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Left Roll
	ELSIF uiInfoIdx = 17 THEN</v>
      </c>
      <c r="AA80" t="str">
        <f ca="1"/>
        <v xml:space="preserve">
	//X-Roll Gluing Left Roll
	ELSIF uiInfoIdx = 17 THEN
		IF strInfoKey = 'name' THEN</v>
      </c>
      <c r="AB80" t="str">
        <f ca="1"/>
        <v xml:space="preserve">
	//X-Roll Gluing Left Roll
	ELSIF uiInfoIdx = 17 THEN
		IF strInfoKey = 'name' THEN
			strRt	:= 'X-Roll Gluing Left Roll';</v>
      </c>
      <c r="AC80" t="str">
        <f ca="1"/>
        <v xml:space="preserve">
	//X-Roll Gluing Left Roll
	ELSIF uiInfoIdx = 17 THEN
		IF strInfoKey = 'name' THEN
			strRt	:= 'X-Roll Gluing Left Roll';
		ELSIF strInfoKey = 'index_name' THEN</v>
      </c>
      <c r="AD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</v>
      </c>
      <c r="AE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</v>
      </c>
      <c r="AF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</v>
      </c>
      <c r="AG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</v>
      </c>
      <c r="AH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</v>
      </c>
      <c r="AI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J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K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X-Roll Gluing Right Roll</v>
      </c>
      <c r="J81" t="str">
        <f ca="1"/>
        <v>X-Roll Gluing Right Roll</v>
      </c>
      <c r="L81" t="str">
        <f ca="1"/>
        <v>【cylinder18】 X-Roll Gluing Right Roll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-25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Gluing Right Roll
	ELSIF uiInfoIdx = 18 THEN</v>
      </c>
      <c r="AA81" t="str">
        <f ca="1"/>
        <v xml:space="preserve">
	//X-Roll Gluing Right Roll
	ELSIF uiInfoIdx = 18 THEN
		IF strInfoKey = 'name' THEN</v>
      </c>
      <c r="AB81" t="str">
        <f ca="1"/>
        <v xml:space="preserve">
	//X-Roll Gluing Right Roll
	ELSIF uiInfoIdx = 18 THEN
		IF strInfoKey = 'name' THEN
			strRt	:= 'X-Roll Gluing Right Roll';</v>
      </c>
      <c r="AC81" t="str">
        <f ca="1"/>
        <v xml:space="preserve">
	//X-Roll Gluing Right Roll
	ELSIF uiInfoIdx = 18 THEN
		IF strInfoKey = 'name' THEN
			strRt	:= 'X-Roll Gluing Right Roll';
		ELSIF strInfoKey = 'index_name' THEN</v>
      </c>
      <c r="AD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</v>
      </c>
      <c r="AE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</v>
      </c>
      <c r="AF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</v>
      </c>
      <c r="AG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</v>
      </c>
      <c r="AH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</v>
      </c>
      <c r="AI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J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K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X-Roll Flat Sheet Press</v>
      </c>
      <c r="J82" t="str">
        <f ca="1"/>
        <v>X-Roll Flat Sheet Press</v>
      </c>
      <c r="L82" t="str">
        <f ca="1"/>
        <v>【cylinder19】 X-Roll Flat Sheet Press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-26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//X-Roll Flat Sheet Press
	ELSIF uiInfoIdx = 19 THEN</v>
      </c>
      <c r="AA82" t="str">
        <f ca="1"/>
        <v xml:space="preserve">
	//X-Roll Flat Sheet Press
	ELSIF uiInfoIdx = 19 THEN
		IF strInfoKey = 'name' THEN</v>
      </c>
      <c r="AB82" t="str">
        <f ca="1"/>
        <v xml:space="preserve">
	//X-Roll Flat Sheet Press
	ELSIF uiInfoIdx = 19 THEN
		IF strInfoKey = 'name' THEN
			strRt	:= 'X-Roll Flat Sheet Press';</v>
      </c>
      <c r="AC82" t="str">
        <f ca="1"/>
        <v xml:space="preserve">
	//X-Roll Flat Sheet Press
	ELSIF uiInfoIdx = 19 THEN
		IF strInfoKey = 'name' THEN
			strRt	:= 'X-Roll Flat Sheet Press';
		ELSIF strInfoKey = 'index_name' THEN</v>
      </c>
      <c r="AD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</v>
      </c>
      <c r="AE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</v>
      </c>
      <c r="AF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</v>
      </c>
      <c r="AG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</v>
      </c>
      <c r="AH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</v>
      </c>
      <c r="AI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J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K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Brazing Foil Reel Lock</v>
      </c>
      <c r="J83" t="str">
        <f ca="1"/>
        <v>Brazing Foil Reel Lock</v>
      </c>
      <c r="L83" t="str">
        <f ca="1"/>
        <v>【cylinder20】 Brazing Foil Reel Lock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-27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//Brazing Foil Reel Lock
	ELSIF uiInfoIdx = 20 THEN</v>
      </c>
      <c r="AA83" t="str">
        <f ca="1"/>
        <v xml:space="preserve">
	//Brazing Foil Reel Lock
	ELSIF uiInfoIdx = 20 THEN
		IF strInfoKey = 'name' THEN</v>
      </c>
      <c r="AB83" t="str">
        <f ca="1"/>
        <v xml:space="preserve">
	//Brazing Foil Reel Lock
	ELSIF uiInfoIdx = 20 THEN
		IF strInfoKey = 'name' THEN
			strRt	:= 'Brazing Foil Reel Lock';</v>
      </c>
      <c r="AC83" t="str">
        <f ca="1"/>
        <v xml:space="preserve">
	//Brazing Foil Reel Lock
	ELSIF uiInfoIdx = 20 THEN
		IF strInfoKey = 'name' THEN
			strRt	:= 'Brazing Foil Reel Lock';
		ELSIF strInfoKey = 'index_name' THEN</v>
      </c>
      <c r="AD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</v>
      </c>
      <c r="AE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</v>
      </c>
      <c r="AF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</v>
      </c>
      <c r="AG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</v>
      </c>
      <c r="AH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</v>
      </c>
      <c r="AI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J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K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190</v>
      </c>
      <c r="F87">
        <f>COUNTIF(E$4:E87,E87)</f>
        <v>1</v>
      </c>
      <c r="G87" t="str">
        <v/>
      </c>
      <c r="H87">
        <v>67</v>
      </c>
      <c r="I87" t="str">
        <f ca="1"/>
        <v>welding machine</v>
      </c>
      <c r="J87" t="str">
        <f ca="1"/>
        <v>welding machine</v>
      </c>
      <c r="L87" t="str">
        <f ca="1"/>
        <v>【OTH1】 welding machine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-40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//welding machine
	IF uiInfoIdx = 1 THEN</v>
      </c>
      <c r="AA87" t="str">
        <f ca="1"/>
        <v xml:space="preserve">
//OTH
ELSIF strInfoType = 'OTH' THEN
	//welding machine
	IF uiInfoIdx = 1 THEN
		IF strInfoKey = 'name' THEN</v>
      </c>
      <c r="AB87" t="str">
        <f ca="1"/>
        <v xml:space="preserve">
//OTH
ELSIF strInfoType = 'OTH' THEN
	//welding machine
	IF uiInfoIdx = 1 THEN
		IF strInfoKey = 'name' THEN
			strRt	:= 'welding machine';</v>
      </c>
      <c r="AC87" t="str">
        <f ca="1"/>
        <v xml:space="preserve">
//OTH
ELSIF strInfoType = 'OTH' THEN
	//welding machine
	IF uiInfoIdx = 1 THEN
		IF strInfoKey = 'name' THEN
			strRt	:= 'welding machine';
		ELSIF strInfoKey = 'index_name' THEN</v>
      </c>
      <c r="AD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X-roll electromagnetic clutch</v>
      </c>
      <c r="J88" t="str">
        <f ca="1"/>
        <v>X-roll electromagnetic clutch</v>
      </c>
      <c r="L88" t="str">
        <f ca="1"/>
        <v>【OTH2】 X-roll electromagnetic clutch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-26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//X-roll electromagnetic clutch
	ELSIF uiInfoIdx = 2 THEN</v>
      </c>
      <c r="AA88" t="str">
        <f ca="1"/>
        <v xml:space="preserve">
	//X-roll electromagnetic clutch
	ELSIF uiInfoIdx = 2 THEN
		IF strInfoKey = 'name' THEN</v>
      </c>
      <c r="AB88" t="str">
        <f ca="1"/>
        <v xml:space="preserve">
	//X-roll electromagnetic clutch
	ELSIF uiInfoIdx = 2 THEN
		IF strInfoKey = 'name' THEN
			strRt	:= 'X-roll electromagnetic clutch';</v>
      </c>
      <c r="AC88" t="str">
        <f ca="1"/>
        <v xml:space="preserve">
	//X-roll electromagnetic clutch
	ELSIF uiInfoIdx = 2 THEN
		IF strInfoKey = 'name' THEN
			strRt	:= 'X-roll electromagnetic clutch';
		ELSIF strInfoKey = 'index_name' THEN</v>
      </c>
      <c r="AD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193</v>
      </c>
      <c r="F97">
        <f>COUNTIF(E$4:E97,E97)</f>
        <v>1</v>
      </c>
      <c r="G97" t="str">
        <v/>
      </c>
      <c r="H97">
        <v>69</v>
      </c>
      <c r="I97" t="str">
        <f ca="1"/>
        <v>(Unassigned)</v>
      </c>
      <c r="J97" t="str">
        <f ca="1"/>
        <v>(Unassigned)</v>
      </c>
      <c r="L97" t="str">
        <f ca="1"/>
        <v>【OTHC1】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-42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//(Unassigned)
	IF uiInfoIdx = 1 THEN</v>
      </c>
      <c r="AA97" t="str">
        <f ca="1"/>
        <v xml:space="preserve">
//OTHC
ELSIF strInfoType = 'OTHC' THEN
	//(Unassigned)
	IF uiInfoIdx = 1 THEN
		IF strInfoKey = 'name' THEN</v>
      </c>
      <c r="AB97" t="str">
        <f ca="1"/>
        <v xml:space="preserve">
//OTHC
ELSIF strInfoType = 'OTHC' THEN
	//(Unassigned)
	IF uiInfoIdx = 1 THEN
		IF strInfoKey = 'name' THEN
			strRt	:= '(Unassigned)';</v>
      </c>
      <c r="AC97" t="str">
        <f ca="1"/>
        <v xml:space="preserve">
//OTHC
ELSIF strInfoType = 'OTHC' THEN
	//(Unassigned)
	IF uiInfoIdx = 1 THEN
		IF strInfoKey = 'name' THEN
			strRt	:= '(Unassigned)';
		ELSIF strInfoKey = 'index_name' THEN</v>
      </c>
      <c r="AD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(Unassigned)</v>
      </c>
      <c r="J98" t="str">
        <f ca="1"/>
        <v>(Unassigned)</v>
      </c>
      <c r="L98" t="str">
        <f ca="1"/>
        <v>【OTHC2】 (Unassigned)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-42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//(Unassigned)
	ELSIF uiInfoIdx = 2 THEN</v>
      </c>
      <c r="AA98" t="str">
        <f ca="1"/>
        <v xml:space="preserve">
	//(Unassigned)
	ELSIF uiInfoIdx = 2 THEN
		IF strInfoKey = 'name' THEN</v>
      </c>
      <c r="AB98" t="str">
        <f ca="1"/>
        <v xml:space="preserve">
	//(Unassigned)
	ELSIF uiInfoIdx = 2 THEN
		IF strInfoKey = 'name' THEN
			strRt	:= '(Unassigned)';</v>
      </c>
      <c r="AC98" t="str">
        <f ca="1"/>
        <v xml:space="preserve">
	//(Unassigned)
	ELSIF uiInfoIdx = 2 THEN
		IF strInfoKey = 'name' THEN
			strRt	:= '(Unassigned)';
		ELSIF strInfoKey = 'index_name' THEN</v>
      </c>
      <c r="AD98" t="str">
        <f ca="1"/>
        <v xml:space="preserve">
	//(Unassigned)
	ELSIF uiInfoIdx = 2 THEN
		IF strInfoKey = 'name' THEN
			strRt	:= '(Unassigned)';
		ELSIF strInfoKey = 'index_name' THEN
			strRt	:= '【OTHC2】 (Unassigned)';</v>
      </c>
      <c r="AE98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T-roll gluing shaft</v>
      </c>
      <c r="J99" t="str">
        <f ca="1"/>
        <v>T-roll gluing shaft</v>
      </c>
      <c r="L99" t="str">
        <f ca="1"/>
        <v>【OTHC3】 T-roll gluing shaft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-35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//T-roll gluing shaft
	ELSIF uiInfoIdx = 3 THEN</v>
      </c>
      <c r="AA99" t="str">
        <f ca="1"/>
        <v xml:space="preserve">
	//T-roll gluing shaft
	ELSIF uiInfoIdx = 3 THEN
		IF strInfoKey = 'name' THEN</v>
      </c>
      <c r="AB99" t="str">
        <f ca="1"/>
        <v xml:space="preserve">
	//T-roll gluing shaft
	ELSIF uiInfoIdx = 3 THEN
		IF strInfoKey = 'name' THEN
			strRt	:= 'T-roll gluing shaft';</v>
      </c>
      <c r="AC99" t="str">
        <f ca="1"/>
        <v xml:space="preserve">
	//T-roll gluing shaft
	ELSIF uiInfoIdx = 3 THEN
		IF strInfoKey = 'name' THEN
			strRt	:= 'T-roll gluing shaft';
		ELSIF strInfoKey = 'index_name' THEN</v>
      </c>
      <c r="AD99" t="str">
        <f ca="1"/>
        <v xml:space="preserve">
	//T-roll gluing shaft
	ELSIF uiInfoIdx = 3 THEN
		IF strInfoKey = 'name' THEN
			strRt	:= 'T-roll gluing shaft';
		ELSIF strInfoKey = 'index_name' THEN
			strRt	:= '【OTHC3】 T-roll gluing shaft';</v>
      </c>
      <c r="AE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</v>
      </c>
      <c r="AF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</v>
      </c>
      <c r="AG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</v>
      </c>
      <c r="AH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</v>
      </c>
      <c r="AI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J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K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182</v>
      </c>
      <c r="F107">
        <f>COUNTIF(E$4:E107,E107)</f>
        <v>1</v>
      </c>
      <c r="G107" t="str">
        <v/>
      </c>
      <c r="H107">
        <v>59</v>
      </c>
      <c r="I107" t="str">
        <f ca="1"/>
        <v>Flat Sheet Feeder</v>
      </c>
      <c r="J107" t="str">
        <f ca="1"/>
        <v>Flat Sheet Feeder</v>
      </c>
      <c r="L107" t="str">
        <f ca="1"/>
        <v>【unit1】 Flat Sheet Feeder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-37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//Flat Sheet Feeder
	IF uiInfoIdx = 1 THEN</v>
      </c>
      <c r="AA107" t="str">
        <f ca="1"/>
        <v xml:space="preserve">
//unit
ELSIF strInfoType = 'unit' THEN
	//Flat Sheet Feeder
	IF uiInfoIdx = 1 THEN
		IF strInfoKey = 'name' THEN</v>
      </c>
      <c r="AB107" t="str">
        <f ca="1"/>
        <v xml:space="preserve">
//unit
ELSIF strInfoType = 'unit' THEN
	//Flat Sheet Feeder
	IF uiInfoIdx = 1 THEN
		IF strInfoKey = 'name' THEN
			strRt	:= 'Flat Sheet Feeder';</v>
      </c>
      <c r="AC107" t="str">
        <f ca="1"/>
        <v xml:space="preserve">
//unit
ELSIF strInfoType = 'unit' THEN
	//Flat Sheet Feeder
	IF uiInfoIdx = 1 THEN
		IF strInfoKey = 'name' THEN
			strRt	:= 'Flat Sheet Feeder';
		ELSIF strInfoKey = 'index_name' THEN</v>
      </c>
      <c r="AD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</v>
      </c>
      <c r="AE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</v>
      </c>
      <c r="AF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</v>
      </c>
      <c r="AG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</v>
      </c>
      <c r="AH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</v>
      </c>
      <c r="AI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Corrugated Sheet Feeder</v>
      </c>
      <c r="J108" t="str">
        <f ca="1"/>
        <v>Corrugated Sheet Feeder</v>
      </c>
      <c r="L108" t="str">
        <f ca="1"/>
        <v>【unit2】 Corrugated Sheet Feeder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-31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//Corrugated Sheet Feeder
	ELSIF uiInfoIdx = 2 THEN</v>
      </c>
      <c r="AA108" t="str">
        <f ca="1"/>
        <v xml:space="preserve">
	//Corrugated Sheet Feeder
	ELSIF uiInfoIdx = 2 THEN
		IF strInfoKey = 'name' THEN</v>
      </c>
      <c r="AB108" t="str">
        <f ca="1"/>
        <v xml:space="preserve">
	//Corrugated Sheet Feeder
	ELSIF uiInfoIdx = 2 THEN
		IF strInfoKey = 'name' THEN
			strRt	:= 'Corrugated Sheet Feeder';</v>
      </c>
      <c r="AC108" t="str">
        <f ca="1"/>
        <v xml:space="preserve">
	//Corrugated Sheet Feeder
	ELSIF uiInfoIdx = 2 THEN
		IF strInfoKey = 'name' THEN
			strRt	:= 'Corrugated Sheet Feeder';
		ELSIF strInfoKey = 'index_name' THEN</v>
      </c>
      <c r="AD108" t="str">
        <f ca="1"/>
        <v xml:space="preserve">
	//Corrugated Sheet Feeder
	ELSIF uiInfoIdx = 2 THEN
		IF strInfoKey = 'name' THEN
			strRt	:= 'Corrugated Sheet Feeder';
		ELSIF strInfoKey = 'index_name' THEN
			strRt	:= '【unit2】 Corrugated Sheet Feeder';</v>
      </c>
      <c r="AE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</v>
      </c>
      <c r="AF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</v>
      </c>
      <c r="AG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</v>
      </c>
      <c r="AH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</v>
      </c>
      <c r="AI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J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K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Brazing Foil Feeder</v>
      </c>
      <c r="J109" t="str">
        <f ca="1"/>
        <v>Brazing Foil Feeder</v>
      </c>
      <c r="L109" t="str">
        <f ca="1"/>
        <v>【unit3】 Brazing Foil Feeder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-35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//Brazing Foil Feeder
	ELSIF uiInfoIdx = 3 THEN</v>
      </c>
      <c r="AA109" t="str">
        <f ca="1"/>
        <v xml:space="preserve">
	//Brazing Foil Feeder
	ELSIF uiInfoIdx = 3 THEN
		IF strInfoKey = 'name' THEN</v>
      </c>
      <c r="AB109" t="str">
        <f ca="1"/>
        <v xml:space="preserve">
	//Brazing Foil Feeder
	ELSIF uiInfoIdx = 3 THEN
		IF strInfoKey = 'name' THEN
			strRt	:= 'Brazing Foil Feeder';</v>
      </c>
      <c r="AC109" t="str">
        <f ca="1"/>
        <v xml:space="preserve">
	//Brazing Foil Feeder
	ELSIF uiInfoIdx = 3 THEN
		IF strInfoKey = 'name' THEN
			strRt	:= 'Brazing Foil Feeder';
		ELSIF strInfoKey = 'index_name' THEN</v>
      </c>
      <c r="AD109" t="str">
        <f ca="1"/>
        <v xml:space="preserve">
	//Brazing Foil Feeder
	ELSIF uiInfoIdx = 3 THEN
		IF strInfoKey = 'name' THEN
			strRt	:= 'Brazing Foil Feeder';
		ELSIF strInfoKey = 'index_name' THEN
			strRt	:= '【unit3】 Brazing Foil Feeder';</v>
      </c>
      <c r="AE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</v>
      </c>
      <c r="AF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</v>
      </c>
      <c r="AG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</v>
      </c>
      <c r="AH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</v>
      </c>
      <c r="AI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J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K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Winding Spindle</v>
      </c>
      <c r="J110" t="str">
        <f ca="1"/>
        <v>Winding Spindle</v>
      </c>
      <c r="L110" t="str">
        <f ca="1"/>
        <v>【unit4】 Winding Spindle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-39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//Winding Spindle
	ELSIF uiInfoIdx = 4 THEN</v>
      </c>
      <c r="AA110" t="str">
        <f ca="1"/>
        <v xml:space="preserve">
	//Winding Spindle
	ELSIF uiInfoIdx = 4 THEN
		IF strInfoKey = 'name' THEN</v>
      </c>
      <c r="AB110" t="str">
        <f ca="1"/>
        <v xml:space="preserve">
	//Winding Spindle
	ELSIF uiInfoIdx = 4 THEN
		IF strInfoKey = 'name' THEN
			strRt	:= 'Winding Spindle';</v>
      </c>
      <c r="AC110" t="str">
        <f ca="1"/>
        <v xml:space="preserve">
	//Winding Spindle
	ELSIF uiInfoIdx = 4 THEN
		IF strInfoKey = 'name' THEN
			strRt	:= 'Winding Spindle';
		ELSIF strInfoKey = 'index_name' THEN</v>
      </c>
      <c r="AD110" t="str">
        <f ca="1"/>
        <v xml:space="preserve">
	//Winding Spindle
	ELSIF uiInfoIdx = 4 THEN
		IF strInfoKey = 'name' THEN
			strRt	:= 'Winding Spindle';
		ELSIF strInfoKey = 'index_name' THEN
			strRt	:= '【unit4】 Winding Spindle';</v>
      </c>
      <c r="AE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</v>
      </c>
      <c r="AF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</v>
      </c>
      <c r="AG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</v>
      </c>
      <c r="AH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</v>
      </c>
      <c r="AI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  <c r="AJ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  <c r="AK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Welding Unit</v>
      </c>
      <c r="J111" t="str">
        <f ca="1"/>
        <v>Welding Unit</v>
      </c>
      <c r="L111" t="str">
        <f ca="1"/>
        <v>【unit5】 Welding Unit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-42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//Welding Unit
	ELSIF uiInfoIdx = 5 THEN</v>
      </c>
      <c r="AA111" t="str">
        <f ca="1"/>
        <v xml:space="preserve">
	//Welding Unit
	ELSIF uiInfoIdx = 5 THEN
		IF strInfoKey = 'name' THEN</v>
      </c>
      <c r="AB111" t="str">
        <f ca="1"/>
        <v xml:space="preserve">
	//Welding Unit
	ELSIF uiInfoIdx = 5 THEN
		IF strInfoKey = 'name' THEN
			strRt	:= 'Welding Unit';</v>
      </c>
      <c r="AC111" t="str">
        <f ca="1"/>
        <v xml:space="preserve">
	//Welding Unit
	ELSIF uiInfoIdx = 5 THEN
		IF strInfoKey = 'name' THEN
			strRt	:= 'Welding Unit';
		ELSIF strInfoKey = 'index_name' THEN</v>
      </c>
      <c r="AD111" t="str">
        <f ca="1"/>
        <v xml:space="preserve">
	//Welding Unit
	ELSIF uiInfoIdx = 5 THEN
		IF strInfoKey = 'name' THEN
			strRt	:= 'Welding Unit';
		ELSIF strInfoKey = 'index_name' THEN
			strRt	:= '【unit5】 Welding Unit';</v>
      </c>
      <c r="AE111" t="str">
        <f ca="1"/>
        <v xml:space="preserve">
	//Welding Unit
	ELSIF uiInfoIdx = 5 THEN
		IF strInfoKey = 'name' THEN
			strRt	:= 'Welding Unit';
		ELSIF strInfoKey = 'index_name' THEN
			strRt	:= '【unit5】 Welding Unit';
		ELSIF strInfoKey = 'model' THEN</v>
      </c>
      <c r="AF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</v>
      </c>
      <c r="AG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</v>
      </c>
      <c r="AH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</v>
      </c>
      <c r="AI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J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K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Discharge Unit</v>
      </c>
      <c r="J112" t="str">
        <f ca="1"/>
        <v>Discharge Unit</v>
      </c>
      <c r="L112" t="str">
        <f ca="1"/>
        <v>【unit6】 Discharge Unit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-40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//Discharge Unit
	ELSIF uiInfoIdx = 6 THEN</v>
      </c>
      <c r="AA112" t="str">
        <f ca="1"/>
        <v xml:space="preserve">
	//Discharge Unit
	ELSIF uiInfoIdx = 6 THEN
		IF strInfoKey = 'name' THEN</v>
      </c>
      <c r="AB112" t="str">
        <f ca="1"/>
        <v xml:space="preserve">
	//Discharge Unit
	ELSIF uiInfoIdx = 6 THEN
		IF strInfoKey = 'name' THEN
			strRt	:= 'Discharge Unit';</v>
      </c>
      <c r="AC112" t="str">
        <f ca="1"/>
        <v xml:space="preserve">
	//Discharge Unit
	ELSIF uiInfoIdx = 6 THEN
		IF strInfoKey = 'name' THEN
			strRt	:= 'Discharge Unit';
		ELSIF strInfoKey = 'index_name' THEN</v>
      </c>
      <c r="AD112" t="str">
        <f ca="1"/>
        <v xml:space="preserve">
	//Discharge Unit
	ELSIF uiInfoIdx = 6 THEN
		IF strInfoKey = 'name' THEN
			strRt	:= 'Discharge Unit';
		ELSIF strInfoKey = 'index_name' THEN
			strRt	:= '【unit6】 Discharge Unit';</v>
      </c>
      <c r="AE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</v>
      </c>
      <c r="AF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</v>
      </c>
      <c r="AG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</v>
      </c>
      <c r="AH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</v>
      </c>
      <c r="AI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J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K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X-Roll Unit</v>
      </c>
      <c r="J113" t="str">
        <f ca="1"/>
        <v>X-Roll Unit</v>
      </c>
      <c r="L113" t="str">
        <f ca="1"/>
        <v>【unit7】 X-Roll Unit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-43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//X-Roll Unit
	ELSIF uiInfoIdx = 7 THEN</v>
      </c>
      <c r="AA113" t="str">
        <f ca="1"/>
        <v xml:space="preserve">
	//X-Roll Unit
	ELSIF uiInfoIdx = 7 THEN
		IF strInfoKey = 'name' THEN</v>
      </c>
      <c r="AB113" t="str">
        <f ca="1"/>
        <v xml:space="preserve">
	//X-Roll Unit
	ELSIF uiInfoIdx = 7 THEN
		IF strInfoKey = 'name' THEN
			strRt	:= 'X-Roll Unit';</v>
      </c>
      <c r="AC113" t="str">
        <f ca="1"/>
        <v xml:space="preserve">
	//X-Roll Unit
	ELSIF uiInfoIdx = 7 THEN
		IF strInfoKey = 'name' THEN
			strRt	:= 'X-Roll Unit';
		ELSIF strInfoKey = 'index_name' THEN</v>
      </c>
      <c r="AD113" t="str">
        <f ca="1"/>
        <v xml:space="preserve">
	//X-Roll Unit
	ELSIF uiInfoIdx = 7 THEN
		IF strInfoKey = 'name' THEN
			strRt	:= 'X-Roll Unit';
		ELSIF strInfoKey = 'index_name' THEN
			strRt	:= '【unit7】 X-Roll Unit';</v>
      </c>
      <c r="AE113" t="str">
        <f ca="1"/>
        <v xml:space="preserve">
	//X-Roll Unit
	ELSIF uiInfoIdx = 7 THEN
		IF strInfoKey = 'name' THEN
			strRt	:= 'X-Roll Unit';
		ELSIF strInfoKey = 'index_name' THEN
			strRt	:= '【unit7】 X-Roll Unit';
		ELSIF strInfoKey = 'model' THEN</v>
      </c>
      <c r="AF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</v>
      </c>
      <c r="AG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</v>
      </c>
      <c r="AH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</v>
      </c>
      <c r="AI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J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K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Brazing Foil Reel</v>
      </c>
      <c r="J114" t="str">
        <f ca="1"/>
        <v>Brazing Foil Reel</v>
      </c>
      <c r="L114" t="str">
        <f ca="1"/>
        <v>【unit8】 Brazing Foil Reel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-37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//Brazing Foil Reel
	ELSIF uiInfoIdx = 8 THEN</v>
      </c>
      <c r="AA114" t="str">
        <f ca="1"/>
        <v xml:space="preserve">
	//Brazing Foil Reel
	ELSIF uiInfoIdx = 8 THEN
		IF strInfoKey = 'name' THEN</v>
      </c>
      <c r="AB114" t="str">
        <f ca="1"/>
        <v xml:space="preserve">
	//Brazing Foil Reel
	ELSIF uiInfoIdx = 8 THEN
		IF strInfoKey = 'name' THEN
			strRt	:= 'Brazing Foil Reel';</v>
      </c>
      <c r="AC114" t="str">
        <f ca="1"/>
        <v xml:space="preserve">
	//Brazing Foil Reel
	ELSIF uiInfoIdx = 8 THEN
		IF strInfoKey = 'name' THEN
			strRt	:= 'Brazing Foil Reel';
		ELSIF strInfoKey = 'index_name' THEN</v>
      </c>
      <c r="AD114" t="str">
        <f ca="1"/>
        <v xml:space="preserve">
	//Brazing Foil Reel
	ELSIF uiInfoIdx = 8 THEN
		IF strInfoKey = 'name' THEN
			strRt	:= 'Brazing Foil Reel';
		ELSIF strInfoKey = 'index_name' THEN
			strRt	:= '【unit8】 Brazing Foil Reel';</v>
      </c>
      <c r="AE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</v>
      </c>
      <c r="AF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</v>
      </c>
      <c r="AG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</v>
      </c>
      <c r="AH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</v>
      </c>
      <c r="AI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J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K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C:\tk\prj\hg-0025-0016\git\unit01\kv-x520\doc\[kv_script_conv_info.xlsx]info_index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3">
      <formula>_xlfn.ISFORMULA(A1)</formula>
    </cfRule>
  </conditionalFormatting>
  <conditionalFormatting sqref="L4:L203">
    <cfRule type="expression" dxfId="1" priority="2">
      <formula>0&lt;$S4</formula>
    </cfRule>
  </conditionalFormatting>
  <conditionalFormatting sqref="L3">
    <cfRule type="expression" dxfId="0" priority="1">
      <formula>0&lt;S$2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2026-07-23T10:02:43Z</dcterms:modified>
</cp:coreProperties>
</file>