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3DAFC47A-B32D-4849-808A-F37D1039C0D7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3" l="1"/>
  <c r="B14" i="3"/>
  <c r="AI1" i="3"/>
  <c r="AG1" i="3"/>
  <c r="AE1" i="3"/>
  <c r="AC1" i="3"/>
  <c r="AA1" i="3"/>
  <c r="B3" i="3" l="1" a="1"/>
  <c r="B3" i="3" s="1"/>
  <c r="B5" i="3" s="1"/>
  <c r="E4" i="3"/>
  <c r="E5" i="3" s="1"/>
  <c r="F3" i="3"/>
  <c r="A59" i="1"/>
  <c r="C61" i="1"/>
  <c r="C59" i="1"/>
  <c r="B61" i="1"/>
  <c r="B59" i="1"/>
  <c r="D57" i="1"/>
  <c r="A57" i="1"/>
  <c r="F4" i="3" l="1"/>
  <c r="F5" i="3"/>
  <c r="E6" i="3"/>
  <c r="F6" i="3" l="1"/>
  <c r="E7" i="3"/>
  <c r="F7" i="3" l="1"/>
  <c r="E8" i="3"/>
  <c r="E9" i="3" l="1"/>
  <c r="F8" i="3"/>
  <c r="F9" i="3" l="1"/>
  <c r="E10" i="3"/>
  <c r="E11" i="3" l="1"/>
  <c r="F10" i="3"/>
  <c r="F11" i="3" l="1"/>
  <c r="E12" i="3"/>
  <c r="E13" i="3" l="1"/>
  <c r="F12" i="3"/>
  <c r="E14" i="3" l="1"/>
  <c r="F13" i="3"/>
  <c r="F14" i="3" l="1"/>
  <c r="E15" i="3"/>
  <c r="E16" i="3" l="1"/>
  <c r="F15" i="3"/>
  <c r="F16" i="3" l="1"/>
  <c r="E17" i="3"/>
  <c r="E18" i="3" l="1"/>
  <c r="F17" i="3"/>
  <c r="E19" i="3" l="1"/>
  <c r="F18" i="3"/>
  <c r="F19" i="3" l="1"/>
  <c r="E20" i="3"/>
  <c r="E21" i="3" l="1"/>
  <c r="F20" i="3"/>
  <c r="F21" i="3" l="1"/>
  <c r="E22" i="3"/>
  <c r="F22" i="3" l="1"/>
  <c r="E23" i="3"/>
  <c r="E24" i="3" l="1"/>
  <c r="F23" i="3"/>
  <c r="F24" i="3" l="1"/>
  <c r="E26" i="3" l="1"/>
  <c r="F25" i="3"/>
  <c r="F26" i="3" l="1"/>
  <c r="E27" i="3"/>
  <c r="E28" i="3" l="1"/>
  <c r="F27" i="3"/>
  <c r="E29" i="3" l="1"/>
  <c r="F28" i="3"/>
  <c r="F29" i="3" l="1"/>
  <c r="E30" i="3"/>
  <c r="E31" i="3" l="1"/>
  <c r="F30" i="3"/>
  <c r="E32" i="3" l="1"/>
  <c r="F31" i="3"/>
  <c r="E33" i="3" l="1"/>
  <c r="F32" i="3"/>
  <c r="E34" i="3" l="1"/>
  <c r="F33" i="3"/>
  <c r="F34" i="3" l="1"/>
  <c r="E35" i="3"/>
  <c r="F35" i="3" l="1"/>
  <c r="E36" i="3"/>
  <c r="E37" i="3" l="1"/>
  <c r="F36" i="3"/>
  <c r="F37" i="3" l="1"/>
  <c r="E38" i="3"/>
  <c r="E39" i="3" l="1"/>
  <c r="F38" i="3"/>
  <c r="E40" i="3" l="1"/>
  <c r="F39" i="3"/>
  <c r="F40" i="3" l="1"/>
  <c r="E41" i="3"/>
  <c r="E42" i="3" l="1"/>
  <c r="F41" i="3"/>
  <c r="E43" i="3" l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F9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96" i="3" l="1"/>
  <c r="F94" i="3"/>
  <c r="F100" i="3"/>
  <c r="F98" i="3"/>
  <c r="F102" i="3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<sst xmlns="http://schemas.openxmlformats.org/spreadsheetml/2006/main" count="187" uniqueCount="142">
  <si>
    <t>SMC</t>
    <phoneticPr fontId="1"/>
  </si>
  <si>
    <t>オリエンタル</t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</si>
  <si>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</si>
  <si>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</si>
  <si>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</si>
  <si>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</si>
  <si>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</si>
  <si>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</si>
  <si>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</si>
  <si>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</si>
  <si>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</si>
  <si>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</si>
  <si>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</si>
  <si>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</si>
  <si>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</si>
  <si>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</si>
  <si>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</si>
  <si>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</si>
  <si>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</si>
  <si>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</si>
  <si>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</si>
  <si>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</si>
  <si>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</si>
  <si>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</si>
  <si>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</si>
  <si>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</si>
  <si>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</si>
  <si>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</si>
  <si>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</si>
  <si>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</si>
  <si>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</si>
  <si>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</si>
  <si>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</si>
  <si>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</si>
  <si>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</si>
  <si>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</si>
  <si>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</si>
  <si>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</si>
  <si>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</si>
  <si>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</si>
  <si>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</si>
  <si>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</si>
  <si>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</si>
  <si>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</si>
  <si>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</si>
  <si>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</si>
  <si>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</si>
  <si>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</si>
  <si>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</si>
  <si>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</si>
  <si>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</si>
  <si>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</si>
  <si>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</si>
  <si>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</si>
  <si>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</si>
  <si>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</si>
  <si>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</si>
  <si>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</si>
  <si>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</si>
  <si>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</si>
  <si>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</si>
  <si>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</si>
  <si>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</si>
  <si>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</si>
  <si>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</si>
  <si>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</si>
  <si>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</si>
  <si>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</si>
  <si>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</si>
  <si>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</si>
  <si>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</si>
  <si>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</si>
  <si>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</si>
  <si>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</si>
  <si>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</si>
  <si>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</si>
  <si>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</si>
  <si>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</si>
  <si>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</si>
  <si>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</si>
  <si>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</si>
  <si>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</si>
  <si>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</si>
  <si>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</si>
  <si>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</si>
  <si>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</si>
  <si>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</si>
  <si>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</si>
  <si>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</si>
  <si>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</si>
  <si>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</si>
  <si>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</si>
  <si>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</si>
  <si>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</si>
  <si>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</si>
  <si>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</si>
  <si>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Rt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</si>
  <si>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</si>
  <si>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</si>
  <si>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</si>
  <si>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</si>
  <si>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</si>
  <si>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</si>
  <si>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</si>
  <si>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</si>
  <si>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</si>
  <si>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</si>
  <si>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</si>
  <si>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</si>
  <si>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</si>
  <si>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</si>
  <si>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</si>
  <si>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</si>
  <si>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</si>
  <si>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</si>
  <si>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</si>
  <si>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</si>
  <si>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ErrCode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</si>
  <si>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</si>
  <si>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</si>
  <si>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</si>
  <si>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</si>
  <si>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</si>
  <si>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</si>
  <si>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</si>
  <si>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</si>
  <si>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</si>
  <si>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</si>
  <si>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</si>
  <si>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</si>
  <si>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</si>
  <si>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</si>
  <si>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</si>
  <si>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pos</t>
    <phoneticPr fontId="1"/>
  </si>
  <si>
    <t>wide</t>
    <phoneticPr fontId="1"/>
  </si>
  <si>
    <t>acc</t>
    <phoneticPr fontId="1"/>
  </si>
  <si>
    <t>dec</t>
    <phoneticPr fontId="1"/>
  </si>
  <si>
    <t>speed</t>
    <phoneticPr fontId="1"/>
  </si>
  <si>
    <t>position No.</t>
    <phoneticPr fontId="1"/>
  </si>
  <si>
    <t>箔ロウリール軸</t>
  </si>
  <si>
    <t>position name</t>
    <phoneticPr fontId="1"/>
  </si>
  <si>
    <t>position name(EN)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</si>
</sst>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0" fontId="12" fillId="0" borderId="4" xfId="0" applyFont="1" applyBorder="1">
      <alignment vertical="center"/>
    </xf>
    <xf numFmtId="0" fontId="12" fillId="0" borderId="6" xfId="0" applyFont="1" applyBorder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7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45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P81"/>
  <sheetViews>
    <sheetView tabSelected="1" workbookViewId="0">
      <pane ySplit="1" topLeftCell="A2" activePane="bottomLeft" state="frozen"/>
      <selection pane="bottomLeft" activeCell="H21" sqref="H21"/>
    </sheetView>
  </sheetViews>
  <sheetFormatPr defaultRowHeight="18" x14ac:dyDescent="0.55000000000000004"/>
  <cols>
    <col min="3" max="3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5" width="18.33203125" customWidth="1"/>
    <col min="16" max="16" width="3.58203125" customWidth="1"/>
  </cols>
  <sheetData>
    <row r="1" spans="1:16" s="4" customFormat="1" x14ac:dyDescent="0.55000000000000004">
      <c r="A1" s="21" t="s">
        <v>40</v>
      </c>
      <c r="B1" s="21" t="s">
        <v>46</v>
      </c>
      <c r="C1" s="21" t="s">
        <v>50</v>
      </c>
      <c r="D1" s="22" t="s">
        <v>138</v>
      </c>
      <c r="E1" s="22" t="s">
        <v>140</v>
      </c>
      <c r="F1" s="22" t="s">
        <v>141</v>
      </c>
      <c r="G1" s="22" t="s">
        <v>41</v>
      </c>
      <c r="H1" s="22" t="s">
        <v>42</v>
      </c>
      <c r="I1" s="22" t="s">
        <v>67</v>
      </c>
      <c r="J1" s="22" t="s">
        <v>133</v>
      </c>
      <c r="K1" s="22" t="s">
        <v>134</v>
      </c>
      <c r="L1" s="22" t="s">
        <v>137</v>
      </c>
      <c r="M1" s="22" t="s">
        <v>135</v>
      </c>
      <c r="N1" s="22" t="s">
        <v>136</v>
      </c>
      <c r="O1" s="23" t="s">
        <v>45</v>
      </c>
      <c r="P1" s="23"/>
    </row>
    <row r="2" spans="1:16" x14ac:dyDescent="0.55000000000000004">
      <c r="A2" s="30">
        <v>38</v>
      </c>
      <c r="B2" s="5" t="s">
        <v>49</v>
      </c>
      <c r="C2" s="5">
        <v>1</v>
      </c>
      <c r="D2" s="31">
        <v>1</v>
      </c>
      <c r="E2" s="31"/>
      <c r="F2" s="31"/>
      <c r="G2" s="31" t="s">
        <v>33</v>
      </c>
      <c r="H2" s="31" t="s">
        <v>63</v>
      </c>
      <c r="I2" s="31" t="s">
        <v>68</v>
      </c>
      <c r="J2" s="31">
        <v>0</v>
      </c>
      <c r="K2" s="31">
        <v>10</v>
      </c>
      <c r="L2" s="31">
        <v>20</v>
      </c>
      <c r="M2" s="31">
        <v>5</v>
      </c>
      <c r="N2" s="31">
        <v>5</v>
      </c>
      <c r="O2" s="32"/>
      <c r="P2" s="6"/>
    </row>
    <row r="3" spans="1:16" x14ac:dyDescent="0.55000000000000004">
      <c r="A3" s="34"/>
      <c r="B3" s="7" t="s">
        <v>48</v>
      </c>
      <c r="C3" s="7">
        <v>1</v>
      </c>
      <c r="D3" s="17">
        <v>2</v>
      </c>
      <c r="E3" s="17"/>
      <c r="F3" s="17"/>
      <c r="G3" s="17" t="s">
        <v>33</v>
      </c>
      <c r="H3" s="17" t="s">
        <v>139</v>
      </c>
      <c r="I3" s="17" t="s">
        <v>68</v>
      </c>
      <c r="J3" s="17"/>
      <c r="K3" s="17"/>
      <c r="L3" s="17"/>
      <c r="M3" s="17"/>
      <c r="N3" s="17"/>
      <c r="O3" s="35"/>
      <c r="P3" s="10"/>
    </row>
    <row r="4" spans="1:16" x14ac:dyDescent="0.55000000000000004">
      <c r="A4" s="34"/>
      <c r="B4" s="7" t="s">
        <v>48</v>
      </c>
      <c r="C4" s="7">
        <v>1</v>
      </c>
      <c r="D4" s="17">
        <v>3</v>
      </c>
      <c r="E4" s="17"/>
      <c r="F4" s="17"/>
      <c r="G4" s="17" t="s">
        <v>33</v>
      </c>
      <c r="H4" s="17" t="s">
        <v>139</v>
      </c>
      <c r="I4" s="17" t="s">
        <v>68</v>
      </c>
      <c r="J4" s="17"/>
      <c r="K4" s="17"/>
      <c r="L4" s="17"/>
      <c r="M4" s="17"/>
      <c r="N4" s="17"/>
      <c r="O4" s="35"/>
      <c r="P4" s="10"/>
    </row>
    <row r="5" spans="1:16" x14ac:dyDescent="0.55000000000000004">
      <c r="A5" s="34"/>
      <c r="B5" s="7" t="s">
        <v>48</v>
      </c>
      <c r="C5" s="7">
        <v>1</v>
      </c>
      <c r="D5" s="17">
        <v>4</v>
      </c>
      <c r="E5" s="17"/>
      <c r="F5" s="17"/>
      <c r="G5" s="17" t="s">
        <v>33</v>
      </c>
      <c r="H5" s="17" t="s">
        <v>139</v>
      </c>
      <c r="I5" s="17" t="s">
        <v>68</v>
      </c>
      <c r="J5" s="17"/>
      <c r="K5" s="17"/>
      <c r="L5" s="17"/>
      <c r="M5" s="17"/>
      <c r="N5" s="17"/>
      <c r="O5" s="35"/>
      <c r="P5" s="10"/>
    </row>
    <row r="6" spans="1:16" x14ac:dyDescent="0.55000000000000004">
      <c r="A6" s="7">
        <v>35</v>
      </c>
      <c r="B6" s="7" t="s">
        <v>49</v>
      </c>
      <c r="C6" s="7">
        <v>2</v>
      </c>
      <c r="D6" s="12">
        <v>6</v>
      </c>
      <c r="E6" s="12"/>
      <c r="F6" s="12"/>
      <c r="G6" s="12" t="s">
        <v>36</v>
      </c>
      <c r="H6" s="12" t="s">
        <v>53</v>
      </c>
      <c r="I6" s="12" t="s">
        <v>69</v>
      </c>
      <c r="J6" s="12">
        <v>0</v>
      </c>
      <c r="K6" s="12">
        <v>10</v>
      </c>
      <c r="L6" s="17">
        <v>20</v>
      </c>
      <c r="M6" s="12">
        <v>5</v>
      </c>
      <c r="N6" s="12">
        <v>5</v>
      </c>
      <c r="O6" s="27"/>
      <c r="P6" s="10"/>
    </row>
    <row r="7" spans="1:16" x14ac:dyDescent="0.55000000000000004">
      <c r="A7" s="7">
        <v>37</v>
      </c>
      <c r="B7" s="7" t="s">
        <v>49</v>
      </c>
      <c r="C7" s="7">
        <v>3</v>
      </c>
      <c r="D7" s="12">
        <v>7</v>
      </c>
      <c r="E7" s="12"/>
      <c r="F7" s="12"/>
      <c r="G7" s="12" t="s">
        <v>34</v>
      </c>
      <c r="H7" s="12" t="s">
        <v>52</v>
      </c>
      <c r="I7" s="12" t="s">
        <v>70</v>
      </c>
      <c r="J7" s="12">
        <v>0</v>
      </c>
      <c r="K7" s="12">
        <v>10</v>
      </c>
      <c r="L7" s="17">
        <v>20</v>
      </c>
      <c r="M7" s="12">
        <v>5</v>
      </c>
      <c r="N7" s="12">
        <v>5</v>
      </c>
      <c r="O7" s="27"/>
      <c r="P7" s="10"/>
    </row>
    <row r="8" spans="1:16" x14ac:dyDescent="0.55000000000000004">
      <c r="A8" s="7">
        <v>36</v>
      </c>
      <c r="B8" s="7" t="s">
        <v>49</v>
      </c>
      <c r="C8" s="7">
        <v>4</v>
      </c>
      <c r="D8" s="12">
        <v>8</v>
      </c>
      <c r="E8" s="12"/>
      <c r="F8" s="12"/>
      <c r="G8" s="12" t="s">
        <v>38</v>
      </c>
      <c r="H8" s="12" t="s">
        <v>32</v>
      </c>
      <c r="I8" s="12" t="s">
        <v>71</v>
      </c>
      <c r="J8" s="12">
        <v>0</v>
      </c>
      <c r="K8" s="12">
        <v>10</v>
      </c>
      <c r="L8" s="17">
        <v>20</v>
      </c>
      <c r="M8" s="12">
        <v>5</v>
      </c>
      <c r="N8" s="12">
        <v>5</v>
      </c>
      <c r="O8" s="27"/>
      <c r="P8" s="10"/>
    </row>
    <row r="9" spans="1:16" x14ac:dyDescent="0.55000000000000004">
      <c r="A9" s="7">
        <v>19</v>
      </c>
      <c r="B9" s="7" t="s">
        <v>49</v>
      </c>
      <c r="C9" s="7">
        <v>5</v>
      </c>
      <c r="D9" s="8">
        <v>3</v>
      </c>
      <c r="E9" s="8"/>
      <c r="F9" s="8"/>
      <c r="G9" s="8" t="s">
        <v>35</v>
      </c>
      <c r="H9" s="8" t="s">
        <v>58</v>
      </c>
      <c r="I9" s="8" t="s">
        <v>72</v>
      </c>
      <c r="J9" s="8">
        <v>0</v>
      </c>
      <c r="K9" s="8">
        <v>10</v>
      </c>
      <c r="L9" s="17">
        <v>20</v>
      </c>
      <c r="M9" s="8">
        <v>5</v>
      </c>
      <c r="N9" s="8">
        <v>5</v>
      </c>
      <c r="O9" s="10"/>
      <c r="P9" s="10"/>
    </row>
    <row r="10" spans="1:16" x14ac:dyDescent="0.55000000000000004">
      <c r="A10" s="7">
        <v>18</v>
      </c>
      <c r="B10" s="7" t="s">
        <v>49</v>
      </c>
      <c r="C10" s="7">
        <v>6</v>
      </c>
      <c r="D10" s="8">
        <v>3</v>
      </c>
      <c r="E10" s="8"/>
      <c r="F10" s="8"/>
      <c r="G10" s="8" t="s">
        <v>35</v>
      </c>
      <c r="H10" s="8" t="s">
        <v>59</v>
      </c>
      <c r="I10" s="8" t="s">
        <v>73</v>
      </c>
      <c r="J10" s="8">
        <v>0</v>
      </c>
      <c r="K10" s="8">
        <v>10</v>
      </c>
      <c r="L10" s="17">
        <v>20</v>
      </c>
      <c r="M10" s="8">
        <v>5</v>
      </c>
      <c r="N10" s="8">
        <v>5</v>
      </c>
      <c r="O10" s="10"/>
      <c r="P10" s="10"/>
    </row>
    <row r="11" spans="1:16" x14ac:dyDescent="0.55000000000000004">
      <c r="A11" s="7">
        <v>20</v>
      </c>
      <c r="B11" s="7" t="s">
        <v>49</v>
      </c>
      <c r="C11" s="7">
        <v>7</v>
      </c>
      <c r="D11" s="8">
        <v>1</v>
      </c>
      <c r="E11" s="8"/>
      <c r="F11" s="8"/>
      <c r="G11" s="8" t="s">
        <v>37</v>
      </c>
      <c r="H11" s="8" t="s">
        <v>57</v>
      </c>
      <c r="I11" s="8" t="s">
        <v>74</v>
      </c>
      <c r="J11" s="8">
        <v>0</v>
      </c>
      <c r="K11" s="8">
        <v>10</v>
      </c>
      <c r="L11" s="17">
        <v>20</v>
      </c>
      <c r="M11" s="8">
        <v>5</v>
      </c>
      <c r="N11" s="8">
        <v>5</v>
      </c>
      <c r="O11" s="10"/>
      <c r="P11" s="10"/>
    </row>
    <row r="12" spans="1:16" x14ac:dyDescent="0.55000000000000004">
      <c r="A12" s="7">
        <v>22</v>
      </c>
      <c r="B12" s="7" t="s">
        <v>49</v>
      </c>
      <c r="C12" s="7">
        <v>8</v>
      </c>
      <c r="D12" s="8">
        <v>10</v>
      </c>
      <c r="E12" s="8"/>
      <c r="F12" s="8"/>
      <c r="G12" s="8" t="s">
        <v>39</v>
      </c>
      <c r="H12" s="8" t="s">
        <v>60</v>
      </c>
      <c r="I12" s="8" t="s">
        <v>75</v>
      </c>
      <c r="J12" s="8">
        <v>0</v>
      </c>
      <c r="K12" s="8">
        <v>10</v>
      </c>
      <c r="L12" s="17">
        <v>20</v>
      </c>
      <c r="M12" s="8">
        <v>5</v>
      </c>
      <c r="N12" s="8">
        <v>5</v>
      </c>
      <c r="O12" s="10"/>
      <c r="P12" s="10"/>
    </row>
    <row r="13" spans="1:16" x14ac:dyDescent="0.55000000000000004">
      <c r="A13" s="7">
        <v>23</v>
      </c>
      <c r="B13" s="7" t="s">
        <v>49</v>
      </c>
      <c r="C13" s="7">
        <v>9</v>
      </c>
      <c r="D13" s="8">
        <v>10</v>
      </c>
      <c r="E13" s="8"/>
      <c r="F13" s="8"/>
      <c r="G13" s="8" t="s">
        <v>39</v>
      </c>
      <c r="H13" s="8" t="s">
        <v>61</v>
      </c>
      <c r="I13" s="8" t="s">
        <v>76</v>
      </c>
      <c r="J13" s="8">
        <v>0</v>
      </c>
      <c r="K13" s="8">
        <v>10</v>
      </c>
      <c r="L13" s="17">
        <v>20</v>
      </c>
      <c r="M13" s="8">
        <v>5</v>
      </c>
      <c r="N13" s="8">
        <v>5</v>
      </c>
      <c r="O13" s="10"/>
      <c r="P13" s="10"/>
    </row>
    <row r="14" spans="1:16" x14ac:dyDescent="0.55000000000000004">
      <c r="A14" s="7">
        <v>42</v>
      </c>
      <c r="B14" s="7" t="s">
        <v>48</v>
      </c>
      <c r="C14" s="7">
        <v>10</v>
      </c>
      <c r="D14" s="8"/>
      <c r="E14" s="8"/>
      <c r="F14" s="8"/>
      <c r="G14" s="8"/>
      <c r="H14" s="8" t="s">
        <v>62</v>
      </c>
      <c r="I14" s="8" t="s">
        <v>77</v>
      </c>
      <c r="J14" s="8">
        <v>0</v>
      </c>
      <c r="K14" s="8">
        <v>10</v>
      </c>
      <c r="L14" s="17">
        <v>20</v>
      </c>
      <c r="M14" s="8">
        <v>5</v>
      </c>
      <c r="N14" s="8">
        <v>5</v>
      </c>
      <c r="O14" s="10"/>
      <c r="P14" s="10"/>
    </row>
    <row r="15" spans="1:16" x14ac:dyDescent="0.55000000000000004">
      <c r="A15" s="7">
        <v>43</v>
      </c>
      <c r="B15" s="7" t="s">
        <v>48</v>
      </c>
      <c r="C15" s="7">
        <v>11</v>
      </c>
      <c r="D15" s="8"/>
      <c r="E15" s="8"/>
      <c r="F15" s="8"/>
      <c r="G15" s="8"/>
      <c r="H15" s="8" t="s">
        <v>64</v>
      </c>
      <c r="I15" s="8" t="s">
        <v>78</v>
      </c>
      <c r="J15" s="8">
        <v>0</v>
      </c>
      <c r="K15" s="8">
        <v>10</v>
      </c>
      <c r="L15" s="17">
        <v>20</v>
      </c>
      <c r="M15" s="8">
        <v>5</v>
      </c>
      <c r="N15" s="8">
        <v>5</v>
      </c>
      <c r="O15" s="10"/>
      <c r="P15" s="10"/>
    </row>
    <row r="16" spans="1:16" x14ac:dyDescent="0.55000000000000004">
      <c r="A16" s="7">
        <v>44</v>
      </c>
      <c r="B16" s="7" t="s">
        <v>48</v>
      </c>
      <c r="C16" s="7">
        <v>12</v>
      </c>
      <c r="D16" s="8"/>
      <c r="E16" s="8"/>
      <c r="F16" s="8"/>
      <c r="G16" s="8"/>
      <c r="H16" s="8" t="s">
        <v>65</v>
      </c>
      <c r="I16" s="8" t="s">
        <v>79</v>
      </c>
      <c r="J16" s="8">
        <v>0</v>
      </c>
      <c r="K16" s="8">
        <v>10</v>
      </c>
      <c r="L16" s="17">
        <v>20</v>
      </c>
      <c r="M16" s="8">
        <v>5</v>
      </c>
      <c r="N16" s="8">
        <v>5</v>
      </c>
      <c r="O16" s="10"/>
      <c r="P16" s="10"/>
    </row>
    <row r="17" spans="1:16" x14ac:dyDescent="0.55000000000000004">
      <c r="A17" s="7">
        <v>32</v>
      </c>
      <c r="B17" s="7" t="s">
        <v>49</v>
      </c>
      <c r="C17" s="7">
        <v>13</v>
      </c>
      <c r="D17" s="8">
        <v>1</v>
      </c>
      <c r="E17" s="8"/>
      <c r="F17" s="8"/>
      <c r="G17" s="8" t="s">
        <v>37</v>
      </c>
      <c r="H17" s="8" t="s">
        <v>54</v>
      </c>
      <c r="I17" s="8" t="s">
        <v>80</v>
      </c>
      <c r="J17" s="8">
        <v>0</v>
      </c>
      <c r="K17" s="8">
        <v>10</v>
      </c>
      <c r="L17" s="17">
        <v>20</v>
      </c>
      <c r="M17" s="8">
        <v>5</v>
      </c>
      <c r="N17" s="8">
        <v>5</v>
      </c>
      <c r="O17" s="10"/>
      <c r="P17" s="10"/>
    </row>
    <row r="18" spans="1:16" x14ac:dyDescent="0.55000000000000004">
      <c r="A18" s="7">
        <v>33</v>
      </c>
      <c r="B18" s="7" t="s">
        <v>49</v>
      </c>
      <c r="C18" s="7">
        <v>14</v>
      </c>
      <c r="D18" s="8">
        <v>1</v>
      </c>
      <c r="E18" s="8"/>
      <c r="F18" s="8"/>
      <c r="G18" s="8" t="s">
        <v>37</v>
      </c>
      <c r="H18" s="8" t="s">
        <v>55</v>
      </c>
      <c r="I18" s="8" t="s">
        <v>81</v>
      </c>
      <c r="J18" s="8">
        <v>0</v>
      </c>
      <c r="K18" s="8">
        <v>10</v>
      </c>
      <c r="L18" s="17">
        <v>20</v>
      </c>
      <c r="M18" s="8">
        <v>5</v>
      </c>
      <c r="N18" s="8">
        <v>5</v>
      </c>
      <c r="O18" s="10"/>
      <c r="P18" s="10"/>
    </row>
    <row r="19" spans="1:16" x14ac:dyDescent="0.55000000000000004">
      <c r="A19" s="7">
        <v>41</v>
      </c>
      <c r="B19" s="7" t="s">
        <v>51</v>
      </c>
      <c r="C19" s="7">
        <v>15</v>
      </c>
      <c r="D19" s="8"/>
      <c r="E19" s="8"/>
      <c r="F19" s="8"/>
      <c r="G19" s="8"/>
      <c r="H19" s="8" t="s">
        <v>56</v>
      </c>
      <c r="I19" s="8" t="s">
        <v>82</v>
      </c>
      <c r="J19" s="8">
        <v>0</v>
      </c>
      <c r="K19" s="8">
        <v>10</v>
      </c>
      <c r="L19" s="17">
        <v>20</v>
      </c>
      <c r="M19" s="8">
        <v>5</v>
      </c>
      <c r="N19" s="8">
        <v>5</v>
      </c>
      <c r="O19" s="10"/>
      <c r="P19" s="10"/>
    </row>
    <row r="20" spans="1:16" x14ac:dyDescent="0.55000000000000004">
      <c r="A20" s="7">
        <v>45</v>
      </c>
      <c r="B20" s="7" t="s">
        <v>51</v>
      </c>
      <c r="C20" s="7">
        <v>16</v>
      </c>
      <c r="D20" s="8"/>
      <c r="E20" s="8"/>
      <c r="F20" s="8"/>
      <c r="G20" s="8"/>
      <c r="H20" s="8" t="s">
        <v>66</v>
      </c>
      <c r="I20" s="8" t="s">
        <v>83</v>
      </c>
      <c r="J20" s="8">
        <v>0</v>
      </c>
      <c r="K20" s="8">
        <v>10</v>
      </c>
      <c r="L20" s="17">
        <v>20</v>
      </c>
      <c r="M20" s="8">
        <v>5</v>
      </c>
      <c r="N20" s="8">
        <v>5</v>
      </c>
      <c r="O20" s="10"/>
      <c r="P20" s="10"/>
    </row>
    <row r="21" spans="1:16" x14ac:dyDescent="0.55000000000000004">
      <c r="A21" s="7"/>
      <c r="B21" s="7"/>
      <c r="C21" s="7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0"/>
      <c r="P21" s="10"/>
    </row>
    <row r="22" spans="1:16" x14ac:dyDescent="0.55000000000000004">
      <c r="A22" s="7"/>
      <c r="B22" s="7"/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0"/>
      <c r="P22" s="10"/>
    </row>
    <row r="23" spans="1:16" x14ac:dyDescent="0.55000000000000004">
      <c r="A23" s="7"/>
      <c r="B23" s="7"/>
      <c r="C23" s="7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0"/>
      <c r="P23" s="10"/>
    </row>
    <row r="24" spans="1:16" x14ac:dyDescent="0.55000000000000004">
      <c r="A24" s="7"/>
      <c r="B24" s="7"/>
      <c r="C24" s="7"/>
      <c r="D24" s="8"/>
      <c r="E24" s="8"/>
      <c r="F24" s="8"/>
      <c r="G24" s="8"/>
      <c r="H24" s="8"/>
      <c r="I24" s="8"/>
      <c r="J24" s="8"/>
      <c r="K24" s="9"/>
      <c r="L24" s="8"/>
      <c r="M24" s="8"/>
      <c r="N24" s="8"/>
      <c r="O24" s="10"/>
      <c r="P24" s="10"/>
    </row>
    <row r="25" spans="1:16" x14ac:dyDescent="0.55000000000000004">
      <c r="A25" s="7"/>
      <c r="B25" s="7"/>
      <c r="C25" s="7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0"/>
      <c r="P25" s="10"/>
    </row>
    <row r="26" spans="1:16" x14ac:dyDescent="0.55000000000000004">
      <c r="A26" s="7"/>
      <c r="B26" s="7"/>
      <c r="C26" s="7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0"/>
      <c r="P26" s="10"/>
    </row>
    <row r="27" spans="1:16" x14ac:dyDescent="0.55000000000000004">
      <c r="A27" s="7"/>
      <c r="B27" s="7"/>
      <c r="C27" s="7"/>
      <c r="D27" s="8"/>
      <c r="E27" s="8"/>
      <c r="F27" s="8"/>
      <c r="G27" s="8"/>
      <c r="H27" s="8"/>
      <c r="I27" s="8"/>
      <c r="J27" s="8"/>
      <c r="K27" s="8"/>
      <c r="L27" s="8"/>
      <c r="M27" s="8"/>
      <c r="N27" s="11"/>
      <c r="O27" s="24"/>
      <c r="P27" s="10"/>
    </row>
    <row r="28" spans="1:16" x14ac:dyDescent="0.55000000000000004">
      <c r="A28" s="7"/>
      <c r="B28" s="7"/>
      <c r="C28" s="7"/>
      <c r="D28" s="8"/>
      <c r="E28" s="8"/>
      <c r="F28" s="8"/>
      <c r="G28" s="8"/>
      <c r="H28" s="8"/>
      <c r="I28" s="8"/>
      <c r="J28" s="8"/>
      <c r="K28" s="8"/>
      <c r="L28" s="8"/>
      <c r="M28" s="8"/>
      <c r="N28" s="11"/>
      <c r="O28" s="24"/>
      <c r="P28" s="10"/>
    </row>
    <row r="29" spans="1:16" x14ac:dyDescent="0.55000000000000004">
      <c r="A29" s="7"/>
      <c r="B29" s="7"/>
      <c r="C29" s="7"/>
      <c r="D29" s="8"/>
      <c r="E29" s="8"/>
      <c r="F29" s="8"/>
      <c r="G29" s="8"/>
      <c r="H29" s="8"/>
      <c r="I29" s="8"/>
      <c r="J29" s="8"/>
      <c r="K29" s="8"/>
      <c r="L29" s="8"/>
      <c r="M29" s="8"/>
      <c r="N29" s="11"/>
      <c r="O29" s="24"/>
      <c r="P29" s="10"/>
    </row>
    <row r="30" spans="1:16" x14ac:dyDescent="0.55000000000000004">
      <c r="A30" s="7"/>
      <c r="B30" s="7"/>
      <c r="C30" s="7"/>
      <c r="D30" s="8"/>
      <c r="E30" s="8"/>
      <c r="F30" s="8"/>
      <c r="G30" s="8"/>
      <c r="H30" s="8"/>
      <c r="I30" s="8"/>
      <c r="J30" s="8"/>
      <c r="K30" s="8"/>
      <c r="L30" s="8"/>
      <c r="M30" s="8"/>
      <c r="N30" s="11"/>
      <c r="O30" s="24"/>
      <c r="P30" s="10"/>
    </row>
    <row r="31" spans="1:16" x14ac:dyDescent="0.55000000000000004">
      <c r="A31" s="7"/>
      <c r="B31" s="7"/>
      <c r="C31" s="7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3"/>
      <c r="O31" s="25"/>
      <c r="P31" s="10"/>
    </row>
    <row r="32" spans="1:16" x14ac:dyDescent="0.55000000000000004">
      <c r="A32" s="7"/>
      <c r="B32" s="7"/>
      <c r="C32" s="7"/>
      <c r="D32" s="8"/>
      <c r="E32" s="8"/>
      <c r="F32" s="8"/>
      <c r="G32" s="8"/>
      <c r="H32" s="8"/>
      <c r="I32" s="8"/>
      <c r="J32" s="8"/>
      <c r="K32" s="8"/>
      <c r="L32" s="8"/>
      <c r="M32" s="8"/>
      <c r="N32" s="11"/>
      <c r="O32" s="24"/>
      <c r="P32" s="10"/>
    </row>
    <row r="33" spans="1:16" x14ac:dyDescent="0.55000000000000004">
      <c r="A33" s="7"/>
      <c r="B33" s="7"/>
      <c r="C33" s="7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3"/>
      <c r="O33" s="25"/>
      <c r="P33" s="10"/>
    </row>
    <row r="34" spans="1:16" x14ac:dyDescent="0.55000000000000004">
      <c r="A34" s="7"/>
      <c r="B34" s="7"/>
      <c r="C34" s="7"/>
      <c r="D34" s="8"/>
      <c r="E34" s="8"/>
      <c r="F34" s="8"/>
      <c r="G34" s="8"/>
      <c r="H34" s="8"/>
      <c r="I34" s="8"/>
      <c r="J34" s="8"/>
      <c r="K34" s="8"/>
      <c r="L34" s="8"/>
      <c r="M34" s="8"/>
      <c r="N34" s="11"/>
      <c r="O34" s="24"/>
      <c r="P34" s="10"/>
    </row>
    <row r="35" spans="1:16" x14ac:dyDescent="0.55000000000000004">
      <c r="A35" s="7"/>
      <c r="B35" s="7"/>
      <c r="C35" s="7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3"/>
      <c r="O35" s="25"/>
      <c r="P35" s="10"/>
    </row>
    <row r="36" spans="1:16" x14ac:dyDescent="0.55000000000000004">
      <c r="A36" s="7"/>
      <c r="B36" s="7"/>
      <c r="C36" s="7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3"/>
      <c r="O36" s="25"/>
      <c r="P36" s="10"/>
    </row>
    <row r="37" spans="1:16" x14ac:dyDescent="0.55000000000000004">
      <c r="A37" s="7"/>
      <c r="B37" s="7"/>
      <c r="C37" s="7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10"/>
      <c r="P37" s="10"/>
    </row>
    <row r="38" spans="1:16" x14ac:dyDescent="0.55000000000000004">
      <c r="A38" s="7"/>
      <c r="B38" s="7"/>
      <c r="C38" s="7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10"/>
      <c r="P38" s="10"/>
    </row>
    <row r="39" spans="1:16" x14ac:dyDescent="0.55000000000000004">
      <c r="A39" s="7"/>
      <c r="B39" s="7"/>
      <c r="C39" s="7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10"/>
      <c r="P39" s="10"/>
    </row>
    <row r="40" spans="1:16" x14ac:dyDescent="0.55000000000000004">
      <c r="A40" s="29"/>
      <c r="B40" s="29"/>
      <c r="C40" s="29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5"/>
      <c r="O40" s="26"/>
      <c r="P40" s="10"/>
    </row>
    <row r="41" spans="1:16" x14ac:dyDescent="0.55000000000000004">
      <c r="A41" s="29"/>
      <c r="B41" s="29"/>
      <c r="C41" s="29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5"/>
      <c r="O41" s="26"/>
      <c r="P41" s="10"/>
    </row>
    <row r="42" spans="1:16" x14ac:dyDescent="0.55000000000000004">
      <c r="A42" s="29"/>
      <c r="B42" s="29"/>
      <c r="C42" s="29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26"/>
      <c r="P42" s="10"/>
    </row>
    <row r="43" spans="1:16" x14ac:dyDescent="0.55000000000000004">
      <c r="A43" s="7"/>
      <c r="B43" s="7"/>
      <c r="C43" s="7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10"/>
      <c r="P43" s="10"/>
    </row>
    <row r="44" spans="1:16" x14ac:dyDescent="0.55000000000000004">
      <c r="A44" s="7"/>
      <c r="B44" s="7"/>
      <c r="C44" s="7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10"/>
      <c r="P44" s="10"/>
    </row>
    <row r="45" spans="1:16" x14ac:dyDescent="0.55000000000000004">
      <c r="A45" s="7"/>
      <c r="B45" s="7"/>
      <c r="C45" s="7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10"/>
      <c r="P45" s="10"/>
    </row>
    <row r="46" spans="1:16" x14ac:dyDescent="0.55000000000000004">
      <c r="A46" s="7"/>
      <c r="B46" s="7"/>
      <c r="C46" s="7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10"/>
      <c r="P46" s="10"/>
    </row>
    <row r="47" spans="1:16" x14ac:dyDescent="0.55000000000000004">
      <c r="A47" s="7"/>
      <c r="B47" s="7"/>
      <c r="C47" s="7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10"/>
      <c r="P47" s="10"/>
    </row>
    <row r="48" spans="1:16" x14ac:dyDescent="0.55000000000000004">
      <c r="A48" s="7"/>
      <c r="B48" s="7"/>
      <c r="C48" s="7"/>
      <c r="D48" s="8"/>
      <c r="E48" s="8"/>
      <c r="F48" s="8"/>
      <c r="G48" s="8"/>
      <c r="H48" s="8"/>
      <c r="I48" s="8"/>
      <c r="J48" s="8"/>
      <c r="K48" s="16"/>
      <c r="L48" s="8"/>
      <c r="M48" s="8"/>
      <c r="N48" s="8"/>
      <c r="O48" s="10"/>
      <c r="P48" s="10"/>
    </row>
    <row r="49" spans="1:16" x14ac:dyDescent="0.55000000000000004">
      <c r="A49" s="7"/>
      <c r="B49" s="7"/>
      <c r="C49" s="7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10"/>
      <c r="P49" s="10"/>
    </row>
    <row r="50" spans="1:16" x14ac:dyDescent="0.55000000000000004">
      <c r="A50" s="7"/>
      <c r="B50" s="7"/>
      <c r="C50" s="7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10"/>
      <c r="P50" s="10"/>
    </row>
    <row r="51" spans="1:16" x14ac:dyDescent="0.55000000000000004">
      <c r="A51" s="7"/>
      <c r="B51" s="7"/>
      <c r="C51" s="7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10"/>
      <c r="P51" s="10"/>
    </row>
    <row r="52" spans="1:16" x14ac:dyDescent="0.55000000000000004">
      <c r="A52" s="7"/>
      <c r="B52" s="7"/>
      <c r="C52" s="7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10"/>
      <c r="P52" s="10"/>
    </row>
    <row r="53" spans="1:16" x14ac:dyDescent="0.55000000000000004">
      <c r="A53" s="7"/>
      <c r="B53" s="7"/>
      <c r="C53" s="7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10"/>
      <c r="P53" s="10"/>
    </row>
    <row r="54" spans="1:16" x14ac:dyDescent="0.55000000000000004">
      <c r="A54" s="18"/>
      <c r="B54" s="18"/>
      <c r="C54" s="18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/>
      <c r="P54" s="20"/>
    </row>
    <row r="56" spans="1:16" x14ac:dyDescent="0.55000000000000004">
      <c r="A56" t="s">
        <v>44</v>
      </c>
      <c r="D56" t="s">
        <v>43</v>
      </c>
    </row>
    <row r="57" spans="1:16" x14ac:dyDescent="0.55000000000000004">
      <c r="A57">
        <f>MAX(A$2:A$54)</f>
        <v>45</v>
      </c>
      <c r="D57">
        <f>MAX(D$2:D$54)</f>
        <v>10</v>
      </c>
    </row>
    <row r="58" spans="1:16" x14ac:dyDescent="0.55000000000000004">
      <c r="A58" t="s">
        <v>108</v>
      </c>
      <c r="B58" t="s">
        <v>49</v>
      </c>
      <c r="C58" t="s">
        <v>48</v>
      </c>
    </row>
    <row r="59" spans="1:16" x14ac:dyDescent="0.55000000000000004">
      <c r="A59">
        <f>ROW(A55)-ROW(A1)-1</f>
        <v>53</v>
      </c>
      <c r="B59">
        <f>COUNTIF(B$2:B$54,B58)</f>
        <v>19</v>
      </c>
      <c r="C59" s="28">
        <f>_xlfn.MAXIFS(C$2:C$54,$B$2:$B$54,C58)</f>
        <v>16</v>
      </c>
    </row>
    <row r="60" spans="1:16" x14ac:dyDescent="0.55000000000000004">
      <c r="B60" t="s">
        <v>47</v>
      </c>
      <c r="C60" t="s">
        <v>47</v>
      </c>
    </row>
    <row r="61" spans="1:16" x14ac:dyDescent="0.55000000000000004">
      <c r="B61">
        <f>COUNTIF(B$2:B$54,B60)</f>
        <v>0</v>
      </c>
      <c r="C61" s="28">
        <f>_xlfn.MAXIFS(C$2:C$54,$B$2:$B$54,C60)</f>
        <v>0</v>
      </c>
    </row>
    <row r="64" spans="1:16" x14ac:dyDescent="0.55000000000000004">
      <c r="J64" s="2" t="s">
        <v>2</v>
      </c>
      <c r="N64">
        <v>1</v>
      </c>
      <c r="P64" t="s">
        <v>22</v>
      </c>
    </row>
    <row r="65" spans="10:16" x14ac:dyDescent="0.55000000000000004">
      <c r="J65" t="s">
        <v>21</v>
      </c>
      <c r="K65" t="s">
        <v>18</v>
      </c>
      <c r="L65" t="s">
        <v>17</v>
      </c>
      <c r="N65">
        <v>1</v>
      </c>
      <c r="P65" t="s">
        <v>22</v>
      </c>
    </row>
    <row r="67" spans="10:16" x14ac:dyDescent="0.55000000000000004">
      <c r="J67" s="2" t="s">
        <v>3</v>
      </c>
    </row>
    <row r="68" spans="10:16" x14ac:dyDescent="0.55000000000000004">
      <c r="J68" t="s">
        <v>25</v>
      </c>
      <c r="K68" t="s">
        <v>27</v>
      </c>
      <c r="L68" t="s">
        <v>23</v>
      </c>
      <c r="N68">
        <v>1</v>
      </c>
      <c r="P68" t="s">
        <v>22</v>
      </c>
    </row>
    <row r="70" spans="10:16" x14ac:dyDescent="0.55000000000000004">
      <c r="J70" s="2" t="s">
        <v>4</v>
      </c>
    </row>
    <row r="71" spans="10:16" x14ac:dyDescent="0.55000000000000004">
      <c r="J71" t="s">
        <v>26</v>
      </c>
      <c r="K71" t="s">
        <v>27</v>
      </c>
      <c r="L71" t="s">
        <v>24</v>
      </c>
      <c r="N71">
        <v>1</v>
      </c>
      <c r="P71" t="s">
        <v>22</v>
      </c>
    </row>
    <row r="73" spans="10:16" x14ac:dyDescent="0.55000000000000004">
      <c r="J73" s="2" t="s">
        <v>5</v>
      </c>
    </row>
    <row r="74" spans="10:16" x14ac:dyDescent="0.55000000000000004">
      <c r="J74" t="s">
        <v>7</v>
      </c>
      <c r="K74" t="s">
        <v>8</v>
      </c>
      <c r="L74" t="s">
        <v>1</v>
      </c>
      <c r="N74">
        <v>1</v>
      </c>
      <c r="P74" t="s">
        <v>30</v>
      </c>
    </row>
    <row r="75" spans="10:16" x14ac:dyDescent="0.55000000000000004">
      <c r="J75" t="s">
        <v>10</v>
      </c>
      <c r="K75" s="1" t="s">
        <v>19</v>
      </c>
      <c r="L75" t="s">
        <v>9</v>
      </c>
      <c r="N75">
        <v>2</v>
      </c>
      <c r="P75" t="s">
        <v>30</v>
      </c>
    </row>
    <row r="77" spans="10:16" x14ac:dyDescent="0.55000000000000004">
      <c r="J77" s="2" t="s">
        <v>6</v>
      </c>
    </row>
    <row r="78" spans="10:16" x14ac:dyDescent="0.55000000000000004">
      <c r="J78" t="s">
        <v>11</v>
      </c>
      <c r="K78" t="s">
        <v>12</v>
      </c>
      <c r="L78" t="s">
        <v>1</v>
      </c>
      <c r="N78">
        <v>1</v>
      </c>
      <c r="P78" t="s">
        <v>30</v>
      </c>
    </row>
    <row r="79" spans="10:16" x14ac:dyDescent="0.55000000000000004">
      <c r="J79" t="s">
        <v>15</v>
      </c>
      <c r="K79" s="3" t="s">
        <v>13</v>
      </c>
      <c r="L79" t="s">
        <v>14</v>
      </c>
      <c r="N79">
        <v>1</v>
      </c>
      <c r="P79" t="s">
        <v>30</v>
      </c>
    </row>
    <row r="80" spans="10:16" x14ac:dyDescent="0.55000000000000004">
      <c r="J80" t="s">
        <v>16</v>
      </c>
      <c r="K80" t="s">
        <v>20</v>
      </c>
      <c r="L80" t="s">
        <v>0</v>
      </c>
      <c r="N80">
        <v>2</v>
      </c>
      <c r="P80" t="s">
        <v>30</v>
      </c>
    </row>
    <row r="81" spans="10:16" x14ac:dyDescent="0.55000000000000004">
      <c r="J81" t="s">
        <v>28</v>
      </c>
      <c r="K81" t="s">
        <v>29</v>
      </c>
      <c r="L81" t="s">
        <v>31</v>
      </c>
      <c r="N81">
        <v>1</v>
      </c>
      <c r="P81" t="s">
        <v>30</v>
      </c>
    </row>
  </sheetData>
  <autoFilter ref="A1:P48" xr:uid="{48D32264-F25D-40E9-9C76-26E43E79C8CC}">
    <sortState xmlns:xlrd2="http://schemas.microsoft.com/office/spreadsheetml/2017/richdata2" ref="A2:P53">
      <sortCondition ref="B1:B48"/>
    </sortState>
  </autoFilter>
  <phoneticPr fontId="1"/>
  <conditionalFormatting sqref="A2:P54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12" sqref="J12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128</v>
      </c>
      <c r="J1" t="s">
        <v>124</v>
      </c>
      <c r="L1" t="s">
        <v>125</v>
      </c>
      <c r="N1" t="s">
        <v>126</v>
      </c>
      <c r="P1" t="s">
        <v>127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115</v>
      </c>
      <c r="E2" s="33" t="s">
        <v>121</v>
      </c>
      <c r="F2" s="33" t="s">
        <v>40</v>
      </c>
      <c r="G2" s="33" t="s">
        <v>107</v>
      </c>
      <c r="H2" s="33" t="s">
        <v>120</v>
      </c>
      <c r="J2" s="33" t="s">
        <v>99</v>
      </c>
      <c r="L2" s="33" t="s">
        <v>100</v>
      </c>
      <c r="N2" s="33" t="s">
        <v>110</v>
      </c>
      <c r="P2" s="33" t="s">
        <v>122</v>
      </c>
      <c r="X2" s="33" t="s">
        <v>111</v>
      </c>
      <c r="Y2" s="33" t="s">
        <v>102</v>
      </c>
      <c r="Z2" s="33" t="s">
        <v>103</v>
      </c>
      <c r="AA2" s="33" t="s">
        <v>104</v>
      </c>
      <c r="AB2" s="33" t="s">
        <v>105</v>
      </c>
      <c r="AC2" s="33" t="s">
        <v>106</v>
      </c>
      <c r="AD2" s="33" t="s">
        <v>105</v>
      </c>
      <c r="AE2" s="33" t="s">
        <v>112</v>
      </c>
      <c r="AF2" s="33" t="s">
        <v>113</v>
      </c>
      <c r="AG2" s="33" t="s">
        <v>123</v>
      </c>
      <c r="AH2" s="33" t="s">
        <v>113</v>
      </c>
      <c r="AI2" s="33" t="s">
        <v>118</v>
      </c>
      <c r="AJ2" s="33" t="s">
        <v>119</v>
      </c>
      <c r="AK2" s="33" t="s">
        <v>114</v>
      </c>
    </row>
    <row r="3" spans="1:37" x14ac:dyDescent="0.55000000000000004">
      <c r="A3" t="s">
        <v>93</v>
      </c>
      <c r="B3" t="str" cm="1">
        <f t="array" aca="1" ref="B3" ca="1">CELL("filename")</f>
        <v>C:\tk\prj\hg-0025-0016\git\kv-x520\doc\[kv_script_conv_position_data.xlsx]info_index</v>
      </c>
      <c r="E3" t="s">
        <v>49</v>
      </c>
      <c r="F3">
        <f>COUNTIF(E$3:E3,E3)</f>
        <v>1</v>
      </c>
      <c r="H3" cm="1">
        <f t="array" ref="H3:H202">IFERROR(MATCH($E$3:$E$202&amp;$F$3:$F$202,info_index!$B$2:$B$54&amp;info_index!$C$2:$C$54,0),"")</f>
        <v>1</v>
      </c>
      <c r="I3" t="str" cm="1">
        <f t="array" aca="1" ref="I3:I202" ca="1">IF(LEN(_xlfn.ANCHORARRAY(H3)),INDEX(OFFSET(info_index!$H$2:$H$54,0,$B$23),MATCH($E$3:$E$202&amp;$F$3:$F$202,info_index!$B$2:$B$54&amp;info_index!$C$2:$C$54,0)&amp;"",1),"")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IFERROR(INDEX(info_index!$J$2:$J$54,MATCH($E$3:$E$202&amp;$F$3:$F$202,info_index!$B$2:$B$54&amp;info_index!$C$2:$C$54,0),1)&amp;"","")</f>
        <v>0</v>
      </c>
      <c r="N3" t="str" cm="1">
        <f t="array" ref="N3:N202">IF(LEN(_xlfn.ANCHORARRAY(H3)),IF(LEN(_xlfn.ANCHORARRAY(M3)),_xlfn.ANCHORARRAY(M3),"unknown"),"")</f>
        <v>0</v>
      </c>
      <c r="O3" t="str" cm="1">
        <f t="array" aca="1" ref="O3:O202" ca="1">IF(LEN(_xlfn.ANCHORARRAY(H3)),INDEX(OFFSET(info_index!$L$2:$L$54,0,$B$23),MATCH($E$3:$E$202&amp;$F$3:$F$202,info_index!$B$2:$B$54&amp;info_index!$C$2:$C$54,0),1)&amp;"","")</f>
        <v>20</v>
      </c>
      <c r="P3" t="str" cm="1">
        <f t="array" aca="1" ref="P3:P202" ca="1">IF(LEN(_xlfn.ANCHORARRAY($H3)),IF(LEN(_xlfn.ANCHORARRAY(O3)),_xlfn.ANCHORARRAY(O3),"unknown"),"")</f>
        <v>20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Rt	:= '箔ロウリール軸';
		ELSIF strInfoKey = 'index_name' THEN
			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
		ELSE
			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
		ELSE
			ErrCode	:= 3;
		END_IF;</v>
      </c>
      <c r="AK3" t="str" cm="1">
        <f t="array" aca="1" ref="AK3:AK202" ca="1">_xlfn.ANCHORARRAY(AJ3)</f>
        <v>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
		ELSE
			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5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0</v>
      </c>
      <c r="N4" t="str">
        <v>0</v>
      </c>
      <c r="O4" t="str">
        <f ca="1"/>
        <v>20</v>
      </c>
      <c r="P4" t="str">
        <f ca="1"/>
        <v>20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Rt	:= '平板送り軸';</v>
      </c>
      <c r="AC4" t="str">
        <f ca="1"/>
        <v xml:space="preserve">
	//平板送り軸
	ELSIF uiInfoIdx = 2 THEN
		IF strInfoKey = 'name' THEN
			Rt	:= '平板送り軸';
		ELSIF strInfoKey = 'index_name' THEN</v>
      </c>
      <c r="AD4" t="str">
        <f ca="1"/>
        <v xml:space="preserve">
	//平板送り軸
	ELSIF uiInfoIdx = 2 THEN
		IF strInfoKey = 'name' THEN
			Rt	:= '平板送り軸';
		ELSIF strInfoKey = 'index_name' THEN
			Rt	:= '【axis2】 平板送り軸';</v>
      </c>
      <c r="AE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</v>
      </c>
      <c r="AF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</v>
      </c>
      <c r="AG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
		ELSIF strInfoKey = 'mf' THEN</v>
      </c>
      <c r="AH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
		ELSIF strInfoKey = 'mf' THEN
			Rt	:= '20';</v>
      </c>
      <c r="AI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
		ELSIF strInfoKey = 'mf' THEN
			Rt	:= '20';
		ELSE
			ErrCode	:= 3;
		END_IF;</v>
      </c>
      <c r="AJ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
		ELSIF strInfoKey = 'mf' THEN
			Rt	:= '20';
		ELSE
			ErrCode	:= 3;
		END_IF;</v>
      </c>
      <c r="AK4" t="str">
        <f ca="1"/>
        <v xml:space="preserve">
	//平板送り軸
	ELSIF uiInfoIdx = 2 THEN
		IF strInfoKey = 'name' THEN
			Rt	:= '平板送り軸';
		ELSIF strInfoKey = 'index_name' THEN
			Rt	:= '【axis2】 平板送り軸';
		ELSIF strInfoKey = 'model' THEN
			Rt	:= '0';
		ELSIF strInfoKey = 'mf' THEN
			Rt	:= '20';
		ELSE
			ErrCode	:= 3;
		END_IF;</v>
      </c>
    </row>
    <row r="5" spans="1:37" x14ac:dyDescent="0.55000000000000004">
      <c r="A5" t="s">
        <v>90</v>
      </c>
      <c r="B5" t="str">
        <f ca="1">"このスクリプトは "&amp;B3&amp;" によって生成されました。"</f>
        <v>このスクリプトは C:\tk\prj\hg-0025-0016\git\kv-x520\doc\[kv_script_conv_position_data.xlsx]info_index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6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0</v>
      </c>
      <c r="N5" t="str">
        <v>0</v>
      </c>
      <c r="O5" t="str">
        <f ca="1"/>
        <v>20</v>
      </c>
      <c r="P5" t="str">
        <f ca="1"/>
        <v>20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Rt	:= '箔ロウ送り軸';</v>
      </c>
      <c r="AC5" t="str">
        <f ca="1"/>
        <v xml:space="preserve">
	//箔ロウ送り軸
	ELSIF uiInfoIdx = 3 THEN
		IF strInfoKey = 'name' THEN
			Rt	:= '箔ロウ送り軸';
		ELSIF strInfoKey = 'index_name' THEN</v>
      </c>
      <c r="AD5" t="str">
        <f ca="1"/>
        <v xml:space="preserve">
	//箔ロウ送り軸
	ELSIF uiInfoIdx = 3 THEN
		IF strInfoKey = 'name' THEN
			Rt	:= '箔ロウ送り軸';
		ELSIF strInfoKey = 'index_name' THEN
			Rt	:= '【axis3】 箔ロウ送り軸';</v>
      </c>
      <c r="AE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</v>
      </c>
      <c r="AF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</v>
      </c>
      <c r="AG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
		ELSIF strInfoKey = 'mf' THEN</v>
      </c>
      <c r="AH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</v>
      </c>
      <c r="AI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
		ELSE
			ErrCode	:= 3;
		END_IF;</v>
      </c>
      <c r="AJ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
		ELSE
			ErrCode	:= 3;
		END_IF;</v>
      </c>
      <c r="AK5" t="str">
        <f ca="1"/>
        <v xml:space="preserve">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
		ELSE
			ErrCode	:= 3;
		END_IF;</v>
      </c>
    </row>
    <row r="6" spans="1:37" x14ac:dyDescent="0.55000000000000004">
      <c r="A6" t="s">
        <v>91</v>
      </c>
      <c r="B6" t="s">
        <v>92</v>
      </c>
      <c r="E6" t="str">
        <f t="shared" si="0"/>
        <v>axis</v>
      </c>
      <c r="F6">
        <f>COUNTIF(E$3:E6,E6)</f>
        <v>4</v>
      </c>
      <c r="G6" t="str">
        <v/>
      </c>
      <c r="H6">
        <v>7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0</v>
      </c>
      <c r="N6" t="str">
        <v>0</v>
      </c>
      <c r="O6" t="str">
        <f ca="1"/>
        <v>20</v>
      </c>
      <c r="P6" t="str">
        <f ca="1"/>
        <v>20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Rt	:= '波板送り';</v>
      </c>
      <c r="AC6" t="str">
        <f ca="1"/>
        <v xml:space="preserve">
	//波板送り
	ELSIF uiInfoIdx = 4 THEN
		IF strInfoKey = 'name' THEN
			Rt	:= '波板送り';
		ELSIF strInfoKey = 'index_name' THEN</v>
      </c>
      <c r="AD6" t="str">
        <f ca="1"/>
        <v xml:space="preserve">
	//波板送り
	ELSIF uiInfoIdx = 4 THEN
		IF strInfoKey = 'name' THEN
			Rt	:= '波板送り';
		ELSIF strInfoKey = 'index_name' THEN
			Rt	:= '【axis4】 波板送り';</v>
      </c>
      <c r="AE6" t="str">
        <f ca="1"/>
        <v xml:space="preserve">
	//波板送り
	ELSIF uiInfoIdx = 4 THEN
		IF strInfoKey = 'name' THEN
			Rt	:= '波板送り';
		ELSIF strInfoKey = 'index_name' THEN
			Rt	:= '【axis4】 波板送り';
		ELSIF strInfoKey = 'model' THEN</v>
      </c>
      <c r="AF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</v>
      </c>
      <c r="AG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
		ELSIF strInfoKey = 'mf' THEN</v>
      </c>
      <c r="AH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
		ELSIF strInfoKey = 'mf' THEN
			Rt	:= '20';</v>
      </c>
      <c r="AI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
		ELSIF strInfoKey = 'mf' THEN
			Rt	:= '20';
		ELSE
			ErrCode	:= 3;
		END_IF;</v>
      </c>
      <c r="AJ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
		ELSIF strInfoKey = 'mf' THEN
			Rt	:= '20';
		ELSE
			ErrCode	:= 3;
		END_IF;</v>
      </c>
      <c r="AK6" t="str">
        <f ca="1"/>
        <v xml:space="preserve">
	//波板送り
	ELSIF uiInfoIdx = 4 THEN
		IF strInfoKey = 'name' THEN
			Rt	:= '波板送り';
		ELSIF strInfoKey = 'index_name' THEN
			Rt	:= '【axis4】 波板送り';
		ELSIF strInfoKey = 'model' THEN
			Rt	:= '0';
		ELSIF strInfoKey = 'mf' THEN
			Rt	:= '20';
		ELSE
			ErrCode	:= 3;
		END_IF;</v>
      </c>
    </row>
    <row r="7" spans="1:37" x14ac:dyDescent="0.55000000000000004">
      <c r="A7" t="s">
        <v>84</v>
      </c>
      <c r="B7" t="s">
        <v>85</v>
      </c>
      <c r="E7" t="str">
        <f t="shared" si="0"/>
        <v>axis</v>
      </c>
      <c r="F7">
        <f>COUNTIF(E$3:E7,E7)</f>
        <v>5</v>
      </c>
      <c r="G7" t="str">
        <v/>
      </c>
      <c r="H7">
        <v>8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0</v>
      </c>
      <c r="N7" t="str">
        <v>0</v>
      </c>
      <c r="O7" t="str">
        <f ca="1"/>
        <v>20</v>
      </c>
      <c r="P7" t="str">
        <f ca="1"/>
        <v>20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Rt	:= 'ワーク排出上下軸';</v>
      </c>
      <c r="AC7" t="str">
        <f ca="1"/>
        <v xml:space="preserve">
	//ワーク排出上下軸
	ELSIF uiInfoIdx = 5 THEN
		IF strInfoKey = 'name' THEN
			Rt	:= 'ワーク排出上下軸';
		ELSIF strInfoKey = 'index_name' THEN</v>
      </c>
      <c r="AD7" t="str">
        <f ca="1"/>
        <v xml:space="preserve">
	//ワーク排出上下軸
	ELSIF uiInfoIdx = 5 THEN
		IF strInfoKey = 'name' THEN
			Rt	:= 'ワーク排出上下軸';
		ELSIF strInfoKey = 'index_name' THEN
			Rt	:= '【axis5】 ワーク排出上下軸';</v>
      </c>
      <c r="AE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</v>
      </c>
      <c r="AF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</v>
      </c>
      <c r="AG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</v>
      </c>
      <c r="AH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</v>
      </c>
      <c r="AI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
		ELSE
			ErrCode	:= 3;
		END_IF;</v>
      </c>
      <c r="AJ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
		ELSE
			ErrCode	:= 3;
		END_IF;</v>
      </c>
      <c r="AK7" t="str">
        <f ca="1"/>
        <v xml:space="preserve">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
		ELSE
			ErrCode	:= 3;
		END_IF;</v>
      </c>
    </row>
    <row r="8" spans="1:37" x14ac:dyDescent="0.55000000000000004">
      <c r="A8" t="s">
        <v>86</v>
      </c>
      <c r="B8" t="s">
        <v>87</v>
      </c>
      <c r="E8" t="str">
        <f t="shared" si="0"/>
        <v>axis</v>
      </c>
      <c r="F8">
        <f>COUNTIF(E$3:E8,E8)</f>
        <v>6</v>
      </c>
      <c r="G8" t="str">
        <v/>
      </c>
      <c r="H8">
        <v>9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0</v>
      </c>
      <c r="N8" t="str">
        <v>0</v>
      </c>
      <c r="O8" t="str">
        <f ca="1"/>
        <v>20</v>
      </c>
      <c r="P8" t="str">
        <f ca="1"/>
        <v>20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Rt	:= '周長測定子上下軸';</v>
      </c>
      <c r="AC8" t="str">
        <f ca="1"/>
        <v xml:space="preserve">
	//周長測定子上下軸
	ELSIF uiInfoIdx = 6 THEN
		IF strInfoKey = 'name' THEN
			Rt	:= '周長測定子上下軸';
		ELSIF strInfoKey = 'index_name' THEN</v>
      </c>
      <c r="AD8" t="str">
        <f ca="1"/>
        <v xml:space="preserve">
	//周長測定子上下軸
	ELSIF uiInfoIdx = 6 THEN
		IF strInfoKey = 'name' THEN
			Rt	:= '周長測定子上下軸';
		ELSIF strInfoKey = 'index_name' THEN
			Rt	:= '【axis6】 周長測定子上下軸';</v>
      </c>
      <c r="AE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</v>
      </c>
      <c r="AF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</v>
      </c>
      <c r="AG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</v>
      </c>
      <c r="AH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</v>
      </c>
      <c r="AI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
		ELSE
			ErrCode	:= 3;
		END_IF;</v>
      </c>
      <c r="AJ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
		ELSE
			ErrCode	:= 3;
		END_IF;</v>
      </c>
      <c r="AK8" t="str">
        <f ca="1"/>
        <v xml:space="preserve">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
		ELSE
			ErrCode	:= 3;
		END_IF;</v>
      </c>
    </row>
    <row r="9" spans="1:37" x14ac:dyDescent="0.55000000000000004">
      <c r="A9" t="s">
        <v>88</v>
      </c>
      <c r="B9" t="s">
        <v>89</v>
      </c>
      <c r="E9" t="str">
        <f t="shared" si="0"/>
        <v>axis</v>
      </c>
      <c r="F9">
        <f>COUNTIF(E$3:E9,E9)</f>
        <v>7</v>
      </c>
      <c r="G9" t="str">
        <v/>
      </c>
      <c r="H9">
        <v>10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0</v>
      </c>
      <c r="N9" t="str">
        <v>0</v>
      </c>
      <c r="O9" t="str">
        <f ca="1"/>
        <v>20</v>
      </c>
      <c r="P9" t="str">
        <f ca="1"/>
        <v>20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Rt	:= 'ワーク(排出)チャック軸';</v>
      </c>
      <c r="AC9" t="str">
        <f ca="1"/>
        <v xml:space="preserve">
	//ワーク(排出)チャック軸
	ELSIF uiInfoIdx = 7 THEN
		IF strInfoKey = 'name' THEN
			Rt	:= 'ワーク(排出)チャック軸';
		ELSIF strInfoKey = 'index_name' THEN</v>
      </c>
      <c r="AD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</v>
      </c>
      <c r="AE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</v>
      </c>
      <c r="AF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</v>
      </c>
      <c r="AG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</v>
      </c>
      <c r="AH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</v>
      </c>
      <c r="AI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
		ELSE
			ErrCode	:= 3;
		END_IF;</v>
      </c>
      <c r="AJ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
		ELSE
			ErrCode	:= 3;
		END_IF;</v>
      </c>
      <c r="AK9" t="str">
        <f ca="1"/>
        <v xml:space="preserve">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
		ELSE
			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11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0</v>
      </c>
      <c r="N10" t="str">
        <v>0</v>
      </c>
      <c r="O10" t="str">
        <f ca="1"/>
        <v>20</v>
      </c>
      <c r="P10" t="str">
        <f ca="1"/>
        <v>20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Rt	:= 'Y軸：溶接トーチ前後';</v>
      </c>
      <c r="AC10" t="str">
        <f ca="1"/>
        <v xml:space="preserve">
	//Y軸：溶接トーチ前後
	ELSIF uiInfoIdx = 8 THEN
		IF strInfoKey = 'name' THEN
			Rt	:= 'Y軸：溶接トーチ前後';
		ELSIF strInfoKey = 'index_name' THEN</v>
      </c>
      <c r="AD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</v>
      </c>
      <c r="AE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</v>
      </c>
      <c r="AF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</v>
      </c>
      <c r="AG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</v>
      </c>
      <c r="AH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</v>
      </c>
      <c r="AI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
		ELSE
			ErrCode	:= 3;
		END_IF;</v>
      </c>
      <c r="AJ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
		ELSE
			ErrCode	:= 3;
		END_IF;</v>
      </c>
      <c r="AK10" t="str">
        <f ca="1"/>
        <v xml:space="preserve">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
		ELSE
			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12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0</v>
      </c>
      <c r="N11" t="str">
        <v>0</v>
      </c>
      <c r="O11" t="str">
        <f ca="1"/>
        <v>20</v>
      </c>
      <c r="P11" t="str">
        <f ca="1"/>
        <v>20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Rt	:= 'Z軸：溶接トーチ上下';</v>
      </c>
      <c r="AC11" t="str">
        <f ca="1"/>
        <v xml:space="preserve">
	//Z軸：溶接トーチ上下
	ELSIF uiInfoIdx = 9 THEN
		IF strInfoKey = 'name' THEN
			Rt	:= 'Z軸：溶接トーチ上下';
		ELSIF strInfoKey = 'index_name' THEN</v>
      </c>
      <c r="AD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</v>
      </c>
      <c r="AE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</v>
      </c>
      <c r="AF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</v>
      </c>
      <c r="AG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</v>
      </c>
      <c r="AH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</v>
      </c>
      <c r="AI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
		ELSE
			ErrCode	:= 3;
		END_IF;</v>
      </c>
      <c r="AJ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
		ELSE
			ErrCode	:= 3;
		END_IF;</v>
      </c>
      <c r="AK11" t="str">
        <f ca="1"/>
        <v xml:space="preserve">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
		ELSE
			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13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>0</v>
      </c>
      <c r="N12" t="str">
        <v>0</v>
      </c>
      <c r="O12" t="str">
        <f ca="1"/>
        <v>20</v>
      </c>
      <c r="P12" t="str">
        <f ca="1"/>
        <v>20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Rt	:= 'バインダー供給ポンプモータ';</v>
      </c>
      <c r="AC12" t="str">
        <f ca="1"/>
        <v xml:space="preserve">
	//バインダー供給ポンプモータ
	ELSIF uiInfoIdx = 10 THEN
		IF strInfoKey = 'name' THEN
			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</v>
      </c>
      <c r="AE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</v>
      </c>
      <c r="AG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</v>
      </c>
      <c r="AH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</v>
      </c>
      <c r="AI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
		ELSE
			ErrCode	:= 3;
		END_IF;</v>
      </c>
      <c r="AJ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
		ELSE
			ErrCode	:= 3;
		END_IF;</v>
      </c>
      <c r="AK12" t="str">
        <f ca="1"/>
        <v xml:space="preserve">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
		ELSE
			ErrCode	:= 3;
		END_IF;</v>
      </c>
    </row>
    <row r="13" spans="1:37" x14ac:dyDescent="0.55000000000000004">
      <c r="A13" t="s">
        <v>94</v>
      </c>
      <c r="B13" t="str">
        <f ca="1">$AK$205</f>
        <v>//このスクリプトは C:\tk\prj\hg-0025-0016\git\kv-x520\doc\[kv_script_conv_position_data.xlsx]info_index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
		ELSE
			ErrCode	:= 3;
		END_IF;
	//平板送り軸
	ELSIF uiInfoIdx = 2 THEN
		IF strInfoKey = 'name' THEN
			Rt	:= '平板送り軸';
		ELSIF strInfoKey = 'index_name' THEN
			Rt	:= '【axis2】 平板送り軸';
		ELSIF strInfoKey = 'model' THEN
			Rt	:= '0';
		ELSIF strInfoKey = 'mf' THEN
			Rt	:= '20';
		ELSE
			ErrCode	:= 3;
		END_IF;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
		ELSE
			ErrCode	:= 3;
		END_IF;
	//波板送り
	ELSIF uiInfoIdx = 4 THEN
		IF strInfoKey = 'name' THEN
			Rt	:= '波板送り';
		ELSIF strInfoKey = 'index_name' THEN
			Rt	:= '【axis4】 波板送り';
		ELSIF strInfoKey = 'model' THEN
			Rt	:= '0';
		ELSIF strInfoKey = 'mf' THEN
			Rt	:= '20';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
		ELSE
			ErrCode	:= 3;
		END_IF;
	//巻取り主軸
	ELSIF uiInfoIdx = 13 THEN
		IF strInfoKey = 'name' THEN
			Rt	:= '巻取り主軸';
		ELSIF strInfoKey = 'index_name' THEN
			Rt	:= '【axis13】 巻取り主軸';
		ELSIF strInfoKey = 'model' THEN
			Rt	:= '0';
		ELSIF strInfoKey = 'mf' THEN
			Rt	:= '20';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
		ELSE
			ErrCode	:= 3;
		END_IF;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
		ELSE
			ErrCode	:= 3;
		END_IF;
	ELSE
		ErrCode	:= 2;
	END_IF;
ELSE
	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14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>0</v>
      </c>
      <c r="N13" t="str">
        <v>0</v>
      </c>
      <c r="O13" t="str">
        <f ca="1"/>
        <v>20</v>
      </c>
      <c r="P13" t="str">
        <f ca="1"/>
        <v>20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Rt	:= '波板リールモータ';</v>
      </c>
      <c r="AC13" t="str">
        <f ca="1"/>
        <v xml:space="preserve">
	//波板リールモータ
	ELSIF uiInfoIdx = 11 THEN
		IF strInfoKey = 'name' THEN
			Rt	:= '波板リールモータ';
		ELSIF strInfoKey = 'index_name' THEN</v>
      </c>
      <c r="AD13" t="str">
        <f ca="1"/>
        <v xml:space="preserve">
	//波板リールモータ
	ELSIF uiInfoIdx = 11 THEN
		IF strInfoKey = 'name' THEN
			Rt	:= '波板リールモータ';
		ELSIF strInfoKey = 'index_name' THEN
			Rt	:= '【axis11】 波板リールモータ';</v>
      </c>
      <c r="AE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</v>
      </c>
      <c r="AF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</v>
      </c>
      <c r="AG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</v>
      </c>
      <c r="AH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</v>
      </c>
      <c r="AI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
		ELSE
			ErrCode	:= 3;
		END_IF;</v>
      </c>
      <c r="AJ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
		ELSE
			ErrCode	:= 3;
		END_IF;</v>
      </c>
      <c r="AK13" t="str">
        <f ca="1"/>
        <v xml:space="preserve">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
		ELSE
			ErrCode	:= 3;
		END_IF;</v>
      </c>
    </row>
    <row r="14" spans="1:37" x14ac:dyDescent="0.55000000000000004">
      <c r="A14" t="s">
        <v>129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15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>0</v>
      </c>
      <c r="N14" t="str">
        <v>0</v>
      </c>
      <c r="O14" t="str">
        <f ca="1"/>
        <v>20</v>
      </c>
      <c r="P14" t="str">
        <f ca="1"/>
        <v>20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Rt	:= '平板リールモータ';</v>
      </c>
      <c r="AC14" t="str">
        <f ca="1"/>
        <v xml:space="preserve">
	//平板リールモータ
	ELSIF uiInfoIdx = 12 THEN
		IF strInfoKey = 'name' THEN
			Rt	:= '平板リールモータ';
		ELSIF strInfoKey = 'index_name' THEN</v>
      </c>
      <c r="AD14" t="str">
        <f ca="1"/>
        <v xml:space="preserve">
	//平板リールモータ
	ELSIF uiInfoIdx = 12 THEN
		IF strInfoKey = 'name' THEN
			Rt	:= '平板リールモータ';
		ELSIF strInfoKey = 'index_name' THEN
			Rt	:= '【axis12】 平板リールモータ';</v>
      </c>
      <c r="AE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</v>
      </c>
      <c r="AF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</v>
      </c>
      <c r="AG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</v>
      </c>
      <c r="AH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</v>
      </c>
      <c r="AI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
		ELSE
			ErrCode	:= 3;
		END_IF;</v>
      </c>
      <c r="AJ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
		ELSE
			ErrCode	:= 3;
		END_IF;</v>
      </c>
      <c r="AK14" t="str">
        <f ca="1"/>
        <v xml:space="preserve">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
		ELSE
			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16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0</v>
      </c>
      <c r="N15" t="str">
        <v>0</v>
      </c>
      <c r="O15" t="str">
        <f ca="1"/>
        <v>20</v>
      </c>
      <c r="P15" t="str">
        <f ca="1"/>
        <v>20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Rt	:= '巻取り主軸';</v>
      </c>
      <c r="AC15" t="str">
        <f ca="1"/>
        <v xml:space="preserve">
	//巻取り主軸
	ELSIF uiInfoIdx = 13 THEN
		IF strInfoKey = 'name' THEN
			Rt	:= '巻取り主軸';
		ELSIF strInfoKey = 'index_name' THEN</v>
      </c>
      <c r="AD15" t="str">
        <f ca="1"/>
        <v xml:space="preserve">
	//巻取り主軸
	ELSIF uiInfoIdx = 13 THEN
		IF strInfoKey = 'name' THEN
			Rt	:= '巻取り主軸';
		ELSIF strInfoKey = 'index_name' THEN
			Rt	:= '【axis13】 巻取り主軸';</v>
      </c>
      <c r="AE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</v>
      </c>
      <c r="AF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</v>
      </c>
      <c r="AG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
		ELSIF strInfoKey = 'mf' THEN</v>
      </c>
      <c r="AH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
		ELSIF strInfoKey = 'mf' THEN
			Rt	:= '20';</v>
      </c>
      <c r="AI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
		ELSIF strInfoKey = 'mf' THEN
			Rt	:= '20';
		ELSE
			ErrCode	:= 3;
		END_IF;</v>
      </c>
      <c r="AJ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
		ELSIF strInfoKey = 'mf' THEN
			Rt	:= '20';
		ELSE
			ErrCode	:= 3;
		END_IF;</v>
      </c>
      <c r="AK15" t="str">
        <f ca="1"/>
        <v xml:space="preserve">
	//巻取り主軸
	ELSIF uiInfoIdx = 13 THEN
		IF strInfoKey = 'name' THEN
			Rt	:= '巻取り主軸';
		ELSIF strInfoKey = 'index_name' THEN
			Rt	:= '【axis13】 巻取り主軸';
		ELSIF strInfoKey = 'model' THEN
			Rt	:= '0';
		ELSIF strInfoKey = 'mf' THEN
			Rt	:= '20';
		ELSE
			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17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0</v>
      </c>
      <c r="N16" t="str">
        <v>0</v>
      </c>
      <c r="O16" t="str">
        <f ca="1"/>
        <v>20</v>
      </c>
      <c r="P16" t="str">
        <f ca="1"/>
        <v>20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Rt	:= 'ワーク幅調整軸';</v>
      </c>
      <c r="AC16" t="str">
        <f ca="1"/>
        <v xml:space="preserve">
	//ワーク幅調整軸
	ELSIF uiInfoIdx = 14 THEN
		IF strInfoKey = 'name' THEN
			Rt	:= 'ワーク幅調整軸';
		ELSIF strInfoKey = 'index_name' THEN</v>
      </c>
      <c r="AD16" t="str">
        <f ca="1"/>
        <v xml:space="preserve">
	//ワーク幅調整軸
	ELSIF uiInfoIdx = 14 THEN
		IF strInfoKey = 'name' THEN
			Rt	:= 'ワーク幅調整軸';
		ELSIF strInfoKey = 'index_name' THEN
			Rt	:= '【axis14】 ワーク幅調整軸';</v>
      </c>
      <c r="AE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</v>
      </c>
      <c r="AF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</v>
      </c>
      <c r="AG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</v>
      </c>
      <c r="AH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</v>
      </c>
      <c r="AI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
		ELSE
			ErrCode	:= 3;
		END_IF;</v>
      </c>
      <c r="AJ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
		ELSE
			ErrCode	:= 3;
		END_IF;</v>
      </c>
      <c r="AK16" t="str">
        <f ca="1"/>
        <v xml:space="preserve">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
		ELSE
			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18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0</v>
      </c>
      <c r="N17" t="str">
        <v>0</v>
      </c>
      <c r="O17" t="str">
        <f ca="1"/>
        <v>20</v>
      </c>
      <c r="P17" t="str">
        <f ca="1"/>
        <v>20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Rt	:= 'Tロール回転軸';</v>
      </c>
      <c r="AC17" t="str">
        <f ca="1"/>
        <v xml:space="preserve">
	//Tロール回転軸
	ELSIF uiInfoIdx = 15 THEN
		IF strInfoKey = 'name' THEN
			Rt	:= 'Tロール回転軸';
		ELSIF strInfoKey = 'index_name' THEN</v>
      </c>
      <c r="AD17" t="str">
        <f ca="1"/>
        <v xml:space="preserve">
	//Tロール回転軸
	ELSIF uiInfoIdx = 15 THEN
		IF strInfoKey = 'name' THEN
			Rt	:= 'Tロール回転軸';
		ELSIF strInfoKey = 'index_name' THEN
			Rt	:= '【axis15】 Tロール回転軸';</v>
      </c>
      <c r="AE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</v>
      </c>
      <c r="AF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</v>
      </c>
      <c r="AG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
		ELSIF strInfoKey = 'mf' THEN</v>
      </c>
      <c r="AH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</v>
      </c>
      <c r="AI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
		ELSE
			ErrCode	:= 3;
		END_IF;</v>
      </c>
      <c r="AJ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
		ELSE
			ErrCode	:= 3;
		END_IF;</v>
      </c>
      <c r="AK17" t="str">
        <f ca="1"/>
        <v xml:space="preserve">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
		ELSE
			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19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0</v>
      </c>
      <c r="N18" t="str">
        <v>0</v>
      </c>
      <c r="O18" t="str">
        <f ca="1"/>
        <v>20</v>
      </c>
      <c r="P18" t="str">
        <f ca="1"/>
        <v>20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Rt	:= 'ロータユニットXロール回転軸';</v>
      </c>
      <c r="AC18" t="str">
        <f ca="1"/>
        <v xml:space="preserve">
	//ロータユニットXロール回転軸
	ELSIF uiInfoIdx = 16 THEN
		IF strInfoKey = 'name' THEN
			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</v>
      </c>
      <c r="AE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</v>
      </c>
      <c r="AG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</v>
      </c>
      <c r="AH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</v>
      </c>
      <c r="AI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
		ELSE
			ErrCode	:= 3;
		END_IF;</v>
      </c>
      <c r="AJ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
		ELSE
			ErrCode	:= 3;
		END_IF;</v>
      </c>
      <c r="AK18" t="str">
        <f ca="1"/>
        <v xml:space="preserve">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
		ELSE
			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109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101</v>
      </c>
      <c r="B25" t="s">
        <v>130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97</v>
      </c>
      <c r="B26" t="s">
        <v>131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98</v>
      </c>
      <c r="B27" t="s">
        <v>132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95</v>
      </c>
      <c r="B28" t="s">
        <v>96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116</v>
      </c>
      <c r="B29" t="s">
        <v>117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5:37" x14ac:dyDescent="0.55000000000000004">
      <c r="E43" t="str">
        <f t="shared" si="0"/>
        <v>axis</v>
      </c>
      <c r="F43">
        <f>COUNTIF(E$3:E43,E43)</f>
        <v>41</v>
      </c>
      <c r="G43" t="str">
        <v/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/>
      </c>
      <c r="AK43" t="str">
        <f ca="1"/>
        <v/>
      </c>
    </row>
    <row r="44" spans="5:37" x14ac:dyDescent="0.55000000000000004">
      <c r="E44" t="str">
        <f t="shared" si="0"/>
        <v>axis</v>
      </c>
      <c r="F44">
        <f>COUNTIF(E$3:E44,E44)</f>
        <v>42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axis</v>
      </c>
      <c r="F45">
        <f>COUNTIF(E$3:E45,E45)</f>
        <v>43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axis</v>
      </c>
      <c r="F46">
        <f>COUNTIF(E$3:E46,E46)</f>
        <v>44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axis</v>
      </c>
      <c r="F47">
        <f>COUNTIF(E$3:E47,E47)</f>
        <v>45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axis</v>
      </c>
      <c r="F48">
        <f>COUNTIF(E$3:E48,E48)</f>
        <v>46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axis</v>
      </c>
      <c r="F49">
        <f>COUNTIF(E$3:E49,E49)</f>
        <v>47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axis</v>
      </c>
      <c r="F50">
        <f>COUNTIF(E$3:E50,E50)</f>
        <v>48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axis</v>
      </c>
      <c r="F51">
        <f>COUNTIF(E$3:E51,E51)</f>
        <v>49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axis</v>
      </c>
      <c r="F52">
        <f>COUNTIF(E$3:E52,E52)</f>
        <v>50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axis</v>
      </c>
      <c r="F53">
        <f>COUNTIF(E$3:E53,E53)</f>
        <v>51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axis</v>
      </c>
      <c r="F54">
        <f>COUNTIF(E$3:E54,E54)</f>
        <v>52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axis</v>
      </c>
      <c r="F55">
        <f>COUNTIF(E$3:E55,E55)</f>
        <v>53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axis</v>
      </c>
      <c r="F56">
        <f>COUNTIF(E$3:E56,E56)</f>
        <v>54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axis</v>
      </c>
      <c r="F57">
        <f>COUNTIF(E$3:E57,E57)</f>
        <v>55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axis</v>
      </c>
      <c r="F58">
        <f>COUNTIF(E$3:E58,E58)</f>
        <v>56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axis</v>
      </c>
      <c r="F59">
        <f>COUNTIF(E$3:E59,E59)</f>
        <v>57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axis</v>
      </c>
      <c r="F60">
        <f>COUNTIF(E$3:E60,E60)</f>
        <v>58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axis</v>
      </c>
      <c r="F61">
        <f>COUNTIF(E$3:E61,E61)</f>
        <v>59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axis</v>
      </c>
      <c r="F62">
        <f>COUNTIF(E$3:E62,E62)</f>
        <v>60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0"/>
        <v>axis</v>
      </c>
      <c r="F63">
        <f>COUNTIF(E$3:E63,E63)</f>
        <v>61</v>
      </c>
      <c r="G63" t="str">
        <v/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</row>
    <row r="64" spans="5:37" x14ac:dyDescent="0.55000000000000004">
      <c r="E64" t="str">
        <f t="shared" si="0"/>
        <v>axis</v>
      </c>
      <c r="F64">
        <f>COUNTIF(E$3:E64,E64)</f>
        <v>62</v>
      </c>
      <c r="G64" t="str">
        <v/>
      </c>
      <c r="H64" t="str">
        <v/>
      </c>
      <c r="I64" t="str">
        <f ca="1"/>
        <v/>
      </c>
      <c r="J64" t="str">
        <f ca="1"/>
        <v/>
      </c>
      <c r="L64" t="str">
        <f ca="1"/>
        <v/>
      </c>
      <c r="M64" t="str">
        <v/>
      </c>
      <c r="N64" t="str">
        <v/>
      </c>
      <c r="O64" t="str">
        <f ca="1"/>
        <v/>
      </c>
      <c r="P64" t="str">
        <f ca="1"/>
        <v/>
      </c>
      <c r="X64" t="str">
        <f ca="1"/>
        <v/>
      </c>
      <c r="Y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</row>
    <row r="65" spans="5:37" x14ac:dyDescent="0.55000000000000004">
      <c r="E65" t="str">
        <f t="shared" si="0"/>
        <v>axis</v>
      </c>
      <c r="F65">
        <f>COUNTIF(E$3:E65,E65)</f>
        <v>63</v>
      </c>
      <c r="G65" t="str">
        <v/>
      </c>
      <c r="H65" t="str">
        <v/>
      </c>
      <c r="I65" t="str">
        <f ca="1"/>
        <v/>
      </c>
      <c r="J65" t="str">
        <f ca="1"/>
        <v/>
      </c>
      <c r="L65" t="str">
        <f ca="1"/>
        <v/>
      </c>
      <c r="M65" t="str">
        <v/>
      </c>
      <c r="N65" t="str">
        <v/>
      </c>
      <c r="O65" t="str">
        <f ca="1"/>
        <v/>
      </c>
      <c r="P65" t="str">
        <f ca="1"/>
        <v/>
      </c>
      <c r="X65" t="str">
        <f ca="1"/>
        <v/>
      </c>
      <c r="Y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</row>
    <row r="66" spans="5:37" x14ac:dyDescent="0.55000000000000004">
      <c r="E66" t="str">
        <f t="shared" si="0"/>
        <v>axis</v>
      </c>
      <c r="F66">
        <f>COUNTIF(E$3:E66,E66)</f>
        <v>64</v>
      </c>
      <c r="G66" t="str">
        <v/>
      </c>
      <c r="H66" t="str">
        <v/>
      </c>
      <c r="I66" t="str">
        <f ca="1"/>
        <v/>
      </c>
      <c r="J66" t="str">
        <f ca="1"/>
        <v/>
      </c>
      <c r="L66" t="str">
        <f ca="1"/>
        <v/>
      </c>
      <c r="M66" t="str">
        <v/>
      </c>
      <c r="N66" t="str">
        <v/>
      </c>
      <c r="O66" t="str">
        <f ca="1"/>
        <v/>
      </c>
      <c r="P66" t="str">
        <f ca="1"/>
        <v/>
      </c>
      <c r="X66" t="str">
        <f ca="1"/>
        <v/>
      </c>
      <c r="Y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</row>
    <row r="67" spans="5:37" x14ac:dyDescent="0.55000000000000004">
      <c r="E67" t="str">
        <f t="shared" si="0"/>
        <v>axis</v>
      </c>
      <c r="F67">
        <f>COUNTIF(E$3:E67,E67)</f>
        <v>65</v>
      </c>
      <c r="G67" t="str">
        <v/>
      </c>
      <c r="H67" t="str">
        <v/>
      </c>
      <c r="I67" t="str">
        <f ca="1"/>
        <v/>
      </c>
      <c r="J67" t="str">
        <f ca="1"/>
        <v/>
      </c>
      <c r="L67" t="str">
        <f ca="1"/>
        <v/>
      </c>
      <c r="M67" t="str">
        <v/>
      </c>
      <c r="N67" t="str">
        <v/>
      </c>
      <c r="O67" t="str">
        <f ca="1"/>
        <v/>
      </c>
      <c r="P67" t="str">
        <f ca="1"/>
        <v/>
      </c>
      <c r="X67" t="str">
        <f ca="1"/>
        <v/>
      </c>
      <c r="Y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</row>
    <row r="68" spans="5:37" x14ac:dyDescent="0.55000000000000004">
      <c r="E68" t="str">
        <f t="shared" si="0"/>
        <v>axis</v>
      </c>
      <c r="F68">
        <f>COUNTIF(E$3:E68,E68)</f>
        <v>66</v>
      </c>
      <c r="G68" t="str">
        <v/>
      </c>
      <c r="H68" t="str">
        <v/>
      </c>
      <c r="I68" t="str">
        <f ca="1"/>
        <v/>
      </c>
      <c r="J68" t="str">
        <f ca="1"/>
        <v/>
      </c>
      <c r="L68" t="str">
        <f ca="1"/>
        <v/>
      </c>
      <c r="M68" t="str">
        <v/>
      </c>
      <c r="N68" t="str">
        <v/>
      </c>
      <c r="O68" t="str">
        <f ca="1"/>
        <v/>
      </c>
      <c r="P68" t="str">
        <f ca="1"/>
        <v/>
      </c>
      <c r="X68" t="str">
        <f ca="1"/>
        <v/>
      </c>
      <c r="Y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</row>
    <row r="69" spans="5:37" x14ac:dyDescent="0.55000000000000004">
      <c r="E69" t="str">
        <f t="shared" ref="E69:E132" si="1">E68</f>
        <v>axis</v>
      </c>
      <c r="F69">
        <f>COUNTIF(E$3:E69,E69)</f>
        <v>67</v>
      </c>
      <c r="G69" t="str">
        <v/>
      </c>
      <c r="H69" t="str">
        <v/>
      </c>
      <c r="I69" t="str">
        <f ca="1"/>
        <v/>
      </c>
      <c r="J69" t="str">
        <f ca="1"/>
        <v/>
      </c>
      <c r="L69" t="str">
        <f ca="1"/>
        <v/>
      </c>
      <c r="M69" t="str">
        <v/>
      </c>
      <c r="N69" t="str">
        <v/>
      </c>
      <c r="O69" t="str">
        <f ca="1"/>
        <v/>
      </c>
      <c r="P69" t="str">
        <f ca="1"/>
        <v/>
      </c>
      <c r="X69" t="str">
        <f ca="1"/>
        <v/>
      </c>
      <c r="Y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</row>
    <row r="70" spans="5:37" x14ac:dyDescent="0.55000000000000004">
      <c r="E70" t="str">
        <f t="shared" si="1"/>
        <v>axis</v>
      </c>
      <c r="F70">
        <f>COUNTIF(E$3:E70,E70)</f>
        <v>68</v>
      </c>
      <c r="G70" t="str">
        <v/>
      </c>
      <c r="H70" t="str">
        <v/>
      </c>
      <c r="I70" t="str">
        <f ca="1"/>
        <v/>
      </c>
      <c r="J70" t="str">
        <f ca="1"/>
        <v/>
      </c>
      <c r="L70" t="str">
        <f ca="1"/>
        <v/>
      </c>
      <c r="M70" t="str">
        <v/>
      </c>
      <c r="N70" t="str">
        <v/>
      </c>
      <c r="O70" t="str">
        <f ca="1"/>
        <v/>
      </c>
      <c r="P70" t="str">
        <f ca="1"/>
        <v/>
      </c>
      <c r="X70" t="str">
        <f ca="1"/>
        <v/>
      </c>
      <c r="Y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</row>
    <row r="71" spans="5:37" x14ac:dyDescent="0.55000000000000004">
      <c r="E71" t="str">
        <f t="shared" si="1"/>
        <v>axis</v>
      </c>
      <c r="F71">
        <f>COUNTIF(E$3:E71,E71)</f>
        <v>69</v>
      </c>
      <c r="G71" t="str">
        <v/>
      </c>
      <c r="H71" t="str">
        <v/>
      </c>
      <c r="I71" t="str">
        <f ca="1"/>
        <v/>
      </c>
      <c r="J71" t="str">
        <f ca="1"/>
        <v/>
      </c>
      <c r="L71" t="str">
        <f ca="1"/>
        <v/>
      </c>
      <c r="M71" t="str">
        <v/>
      </c>
      <c r="N71" t="str">
        <v/>
      </c>
      <c r="O71" t="str">
        <f ca="1"/>
        <v/>
      </c>
      <c r="P71" t="str">
        <f ca="1"/>
        <v/>
      </c>
      <c r="X71" t="str">
        <f ca="1"/>
        <v/>
      </c>
      <c r="Y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</row>
    <row r="72" spans="5:37" x14ac:dyDescent="0.55000000000000004">
      <c r="E72" t="str">
        <f t="shared" si="1"/>
        <v>axis</v>
      </c>
      <c r="F72">
        <f>COUNTIF(E$3:E72,E72)</f>
        <v>70</v>
      </c>
      <c r="G72" t="str">
        <v/>
      </c>
      <c r="H72" t="str">
        <v/>
      </c>
      <c r="I72" t="str">
        <f ca="1"/>
        <v/>
      </c>
      <c r="J72" t="str">
        <f ca="1"/>
        <v/>
      </c>
      <c r="L72" t="str">
        <f ca="1"/>
        <v/>
      </c>
      <c r="M72" t="str">
        <v/>
      </c>
      <c r="N72" t="str">
        <v/>
      </c>
      <c r="O72" t="str">
        <f ca="1"/>
        <v/>
      </c>
      <c r="P72" t="str">
        <f ca="1"/>
        <v/>
      </c>
      <c r="X72" t="str">
        <f ca="1"/>
        <v/>
      </c>
      <c r="Y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</row>
    <row r="73" spans="5:37" x14ac:dyDescent="0.55000000000000004">
      <c r="E73" t="str">
        <f t="shared" si="1"/>
        <v>axis</v>
      </c>
      <c r="F73">
        <f>COUNTIF(E$3:E73,E73)</f>
        <v>71</v>
      </c>
      <c r="G73" t="str">
        <v/>
      </c>
      <c r="H73" t="str">
        <v/>
      </c>
      <c r="I73" t="str">
        <f ca="1"/>
        <v/>
      </c>
      <c r="J73" t="str">
        <f ca="1"/>
        <v/>
      </c>
      <c r="L73" t="str">
        <f ca="1"/>
        <v/>
      </c>
      <c r="M73" t="str">
        <v/>
      </c>
      <c r="N73" t="str">
        <v/>
      </c>
      <c r="O73" t="str">
        <f ca="1"/>
        <v/>
      </c>
      <c r="P73" t="str">
        <f ca="1"/>
        <v/>
      </c>
      <c r="X73" t="str">
        <f ca="1"/>
        <v/>
      </c>
      <c r="Y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</row>
    <row r="74" spans="5:37" x14ac:dyDescent="0.55000000000000004">
      <c r="E74" t="str">
        <f t="shared" si="1"/>
        <v>axis</v>
      </c>
      <c r="F74">
        <f>COUNTIF(E$3:E74,E74)</f>
        <v>72</v>
      </c>
      <c r="G74" t="str">
        <v/>
      </c>
      <c r="H74" t="str">
        <v/>
      </c>
      <c r="I74" t="str">
        <f ca="1"/>
        <v/>
      </c>
      <c r="J74" t="str">
        <f ca="1"/>
        <v/>
      </c>
      <c r="L74" t="str">
        <f ca="1"/>
        <v/>
      </c>
      <c r="M74" t="str">
        <v/>
      </c>
      <c r="N74" t="str">
        <v/>
      </c>
      <c r="O74" t="str">
        <f ca="1"/>
        <v/>
      </c>
      <c r="P74" t="str">
        <f ca="1"/>
        <v/>
      </c>
      <c r="X74" t="str">
        <f ca="1"/>
        <v/>
      </c>
      <c r="Y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</row>
    <row r="75" spans="5:37" x14ac:dyDescent="0.55000000000000004">
      <c r="E75" t="str">
        <f t="shared" si="1"/>
        <v>axis</v>
      </c>
      <c r="F75">
        <f>COUNTIF(E$3:E75,E75)</f>
        <v>73</v>
      </c>
      <c r="G75" t="str">
        <v/>
      </c>
      <c r="H75" t="str">
        <v/>
      </c>
      <c r="I75" t="str">
        <f ca="1"/>
        <v/>
      </c>
      <c r="J75" t="str">
        <f ca="1"/>
        <v/>
      </c>
      <c r="L75" t="str">
        <f ca="1"/>
        <v/>
      </c>
      <c r="M75" t="str">
        <v/>
      </c>
      <c r="N75" t="str">
        <v/>
      </c>
      <c r="O75" t="str">
        <f ca="1"/>
        <v/>
      </c>
      <c r="P75" t="str">
        <f ca="1"/>
        <v/>
      </c>
      <c r="X75" t="str">
        <f ca="1"/>
        <v/>
      </c>
      <c r="Y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</row>
    <row r="76" spans="5:37" x14ac:dyDescent="0.55000000000000004">
      <c r="E76" t="str">
        <f t="shared" si="1"/>
        <v>axis</v>
      </c>
      <c r="F76">
        <f>COUNTIF(E$3:E76,E76)</f>
        <v>74</v>
      </c>
      <c r="G76" t="str">
        <v/>
      </c>
      <c r="H76" t="str">
        <v/>
      </c>
      <c r="I76" t="str">
        <f ca="1"/>
        <v/>
      </c>
      <c r="J76" t="str">
        <f ca="1"/>
        <v/>
      </c>
      <c r="L76" t="str">
        <f ca="1"/>
        <v/>
      </c>
      <c r="M76" t="str">
        <v/>
      </c>
      <c r="N76" t="str">
        <v/>
      </c>
      <c r="O76" t="str">
        <f ca="1"/>
        <v/>
      </c>
      <c r="P76" t="str">
        <f ca="1"/>
        <v/>
      </c>
      <c r="X76" t="str">
        <f ca="1"/>
        <v/>
      </c>
      <c r="Y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</row>
    <row r="77" spans="5:37" x14ac:dyDescent="0.55000000000000004">
      <c r="E77" t="str">
        <f t="shared" si="1"/>
        <v>axis</v>
      </c>
      <c r="F77">
        <f>COUNTIF(E$3:E77,E77)</f>
        <v>75</v>
      </c>
      <c r="G77" t="str">
        <v/>
      </c>
      <c r="H77" t="str">
        <v/>
      </c>
      <c r="I77" t="str">
        <f ca="1"/>
        <v/>
      </c>
      <c r="J77" t="str">
        <f ca="1"/>
        <v/>
      </c>
      <c r="L77" t="str">
        <f ca="1"/>
        <v/>
      </c>
      <c r="M77" t="str">
        <v/>
      </c>
      <c r="N77" t="str">
        <v/>
      </c>
      <c r="O77" t="str">
        <f ca="1"/>
        <v/>
      </c>
      <c r="P77" t="str">
        <f ca="1"/>
        <v/>
      </c>
      <c r="X77" t="str">
        <f ca="1"/>
        <v/>
      </c>
      <c r="Y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</row>
    <row r="78" spans="5:37" x14ac:dyDescent="0.55000000000000004">
      <c r="E78" t="str">
        <f t="shared" si="1"/>
        <v>axis</v>
      </c>
      <c r="F78">
        <f>COUNTIF(E$3:E78,E78)</f>
        <v>76</v>
      </c>
      <c r="G78" t="str">
        <v/>
      </c>
      <c r="H78" t="str">
        <v/>
      </c>
      <c r="I78" t="str">
        <f ca="1"/>
        <v/>
      </c>
      <c r="J78" t="str">
        <f ca="1"/>
        <v/>
      </c>
      <c r="L78" t="str">
        <f ca="1"/>
        <v/>
      </c>
      <c r="M78" t="str">
        <v/>
      </c>
      <c r="N78" t="str">
        <v/>
      </c>
      <c r="O78" t="str">
        <f ca="1"/>
        <v/>
      </c>
      <c r="P78" t="str">
        <f ca="1"/>
        <v/>
      </c>
      <c r="X78" t="str">
        <f ca="1"/>
        <v/>
      </c>
      <c r="Y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</row>
    <row r="79" spans="5:37" x14ac:dyDescent="0.55000000000000004">
      <c r="E79" t="str">
        <f t="shared" si="1"/>
        <v>axis</v>
      </c>
      <c r="F79">
        <f>COUNTIF(E$3:E79,E79)</f>
        <v>77</v>
      </c>
      <c r="G79" t="str">
        <v/>
      </c>
      <c r="H79" t="str">
        <v/>
      </c>
      <c r="I79" t="str">
        <f ca="1"/>
        <v/>
      </c>
      <c r="J79" t="str">
        <f ca="1"/>
        <v/>
      </c>
      <c r="L79" t="str">
        <f ca="1"/>
        <v/>
      </c>
      <c r="M79" t="str">
        <v/>
      </c>
      <c r="N79" t="str">
        <v/>
      </c>
      <c r="O79" t="str">
        <f ca="1"/>
        <v/>
      </c>
      <c r="P79" t="str">
        <f ca="1"/>
        <v/>
      </c>
      <c r="X79" t="str">
        <f ca="1"/>
        <v/>
      </c>
      <c r="Y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</row>
    <row r="80" spans="5:37" x14ac:dyDescent="0.55000000000000004">
      <c r="E80" t="str">
        <f t="shared" si="1"/>
        <v>axis</v>
      </c>
      <c r="F80">
        <f>COUNTIF(E$3:E80,E80)</f>
        <v>78</v>
      </c>
      <c r="G80" t="str">
        <v/>
      </c>
      <c r="H80" t="str">
        <v/>
      </c>
      <c r="I80" t="str">
        <f ca="1"/>
        <v/>
      </c>
      <c r="J80" t="str">
        <f ca="1"/>
        <v/>
      </c>
      <c r="L80" t="str">
        <f ca="1"/>
        <v/>
      </c>
      <c r="M80" t="str">
        <v/>
      </c>
      <c r="N80" t="str">
        <v/>
      </c>
      <c r="O80" t="str">
        <f ca="1"/>
        <v/>
      </c>
      <c r="P80" t="str">
        <f ca="1"/>
        <v/>
      </c>
      <c r="X80" t="str">
        <f ca="1"/>
        <v/>
      </c>
      <c r="Y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</row>
    <row r="81" spans="5:37" x14ac:dyDescent="0.55000000000000004">
      <c r="E81" t="str">
        <f t="shared" si="1"/>
        <v>axis</v>
      </c>
      <c r="F81">
        <f>COUNTIF(E$3:E81,E81)</f>
        <v>79</v>
      </c>
      <c r="G81" t="str">
        <v/>
      </c>
      <c r="H81" t="str">
        <v/>
      </c>
      <c r="I81" t="str">
        <f ca="1"/>
        <v/>
      </c>
      <c r="J81" t="str">
        <f ca="1"/>
        <v/>
      </c>
      <c r="L81" t="str">
        <f ca="1"/>
        <v/>
      </c>
      <c r="M81" t="str">
        <v/>
      </c>
      <c r="N81" t="str">
        <v/>
      </c>
      <c r="O81" t="str">
        <f ca="1"/>
        <v/>
      </c>
      <c r="P81" t="str">
        <f ca="1"/>
        <v/>
      </c>
      <c r="X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</row>
    <row r="82" spans="5:37" x14ac:dyDescent="0.55000000000000004">
      <c r="E82" t="str">
        <f t="shared" si="1"/>
        <v>axis</v>
      </c>
      <c r="F82">
        <f>COUNTIF(E$3:E82,E82)</f>
        <v>80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axis</v>
      </c>
      <c r="F83">
        <f>COUNTIF(E$3:E83,E83)</f>
        <v>81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axis</v>
      </c>
      <c r="F84">
        <f>COUNTIF(E$3:E84,E84)</f>
        <v>82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axis</v>
      </c>
      <c r="F85">
        <f>COUNTIF(E$3:E85,E85)</f>
        <v>83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axis</v>
      </c>
      <c r="F86">
        <f>COUNTIF(E$3:E86,E86)</f>
        <v>84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axis</v>
      </c>
      <c r="F87">
        <f>COUNTIF(E$3:E87,E87)</f>
        <v>85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axis</v>
      </c>
      <c r="F88">
        <f>COUNTIF(E$3:E88,E88)</f>
        <v>86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axis</v>
      </c>
      <c r="F89">
        <f>COUNTIF(E$3:E89,E89)</f>
        <v>87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axis</v>
      </c>
      <c r="F90">
        <f>COUNTIF(E$3:E90,E90)</f>
        <v>88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axis</v>
      </c>
      <c r="F91">
        <f>COUNTIF(E$3:E91,E91)</f>
        <v>89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axis</v>
      </c>
      <c r="F92">
        <f>COUNTIF(E$3:E92,E92)</f>
        <v>90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axis</v>
      </c>
      <c r="F93">
        <f>COUNTIF(E$3:E93,E93)</f>
        <v>91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axis</v>
      </c>
      <c r="F94">
        <f>COUNTIF(E$3:E94,E94)</f>
        <v>92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axis</v>
      </c>
      <c r="F95">
        <f>COUNTIF(E$3:E95,E95)</f>
        <v>93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axis</v>
      </c>
      <c r="F96">
        <f>COUNTIF(E$3:E96,E96)</f>
        <v>94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axis</v>
      </c>
      <c r="F97">
        <f>COUNTIF(E$3:E97,E97)</f>
        <v>95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axis</v>
      </c>
      <c r="F98">
        <f>COUNTIF(E$3:E98,E98)</f>
        <v>96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axis</v>
      </c>
      <c r="F99">
        <f>COUNTIF(E$3:E99,E99)</f>
        <v>97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axis</v>
      </c>
      <c r="F100">
        <f>COUNTIF(E$3:E100,E100)</f>
        <v>98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axis</v>
      </c>
      <c r="F101">
        <f>COUNTIF(E$3:E101,E101)</f>
        <v>99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axis</v>
      </c>
      <c r="F102">
        <f>COUNTIF(E$3:E102,E102)</f>
        <v>100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axis</v>
      </c>
      <c r="F103">
        <f>COUNTIF(E$3:E103,E103)</f>
        <v>101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axis</v>
      </c>
      <c r="F104">
        <f>COUNTIF(E$3:E104,E104)</f>
        <v>102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axis</v>
      </c>
      <c r="F105">
        <f>COUNTIF(E$3:E105,E105)</f>
        <v>103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axis</v>
      </c>
      <c r="F106">
        <f>COUNTIF(E$3:E106,E106)</f>
        <v>104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axis</v>
      </c>
      <c r="F107">
        <f>COUNTIF(E$3:E107,E107)</f>
        <v>105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axis</v>
      </c>
      <c r="F108">
        <f>COUNTIF(E$3:E108,E108)</f>
        <v>106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axis</v>
      </c>
      <c r="F109">
        <f>COUNTIF(E$3:E109,E109)</f>
        <v>107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axis</v>
      </c>
      <c r="F110">
        <f>COUNTIF(E$3:E110,E110)</f>
        <v>108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axis</v>
      </c>
      <c r="F111">
        <f>COUNTIF(E$3:E111,E111)</f>
        <v>109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axis</v>
      </c>
      <c r="F112">
        <f>COUNTIF(E$3:E112,E112)</f>
        <v>110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axis</v>
      </c>
      <c r="F113">
        <f>COUNTIF(E$3:E113,E113)</f>
        <v>111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axis</v>
      </c>
      <c r="F114">
        <f>COUNTIF(E$3:E114,E114)</f>
        <v>112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axis</v>
      </c>
      <c r="F115">
        <f>COUNTIF(E$3:E115,E115)</f>
        <v>113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axis</v>
      </c>
      <c r="F116">
        <f>COUNTIF(E$3:E116,E116)</f>
        <v>114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axis</v>
      </c>
      <c r="F117">
        <f>COUNTIF(E$3:E117,E117)</f>
        <v>115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axis</v>
      </c>
      <c r="F118">
        <f>COUNTIF(E$3:E118,E118)</f>
        <v>116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axis</v>
      </c>
      <c r="F119">
        <f>COUNTIF(E$3:E119,E119)</f>
        <v>117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axis</v>
      </c>
      <c r="F120">
        <f>COUNTIF(E$3:E120,E120)</f>
        <v>118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axis</v>
      </c>
      <c r="F121">
        <f>COUNTIF(E$3:E121,E121)</f>
        <v>119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axis</v>
      </c>
      <c r="F122">
        <f>COUNTIF(E$3:E122,E122)</f>
        <v>120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axis</v>
      </c>
      <c r="F123">
        <f>COUNTIF(E$3:E123,E123)</f>
        <v>121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axis</v>
      </c>
      <c r="F124">
        <f>COUNTIF(E$3:E124,E124)</f>
        <v>122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axis</v>
      </c>
      <c r="F125">
        <f>COUNTIF(E$3:E125,E125)</f>
        <v>123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axis</v>
      </c>
      <c r="F126">
        <f>COUNTIF(E$3:E126,E126)</f>
        <v>124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axis</v>
      </c>
      <c r="F127">
        <f>COUNTIF(E$3:E127,E127)</f>
        <v>125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axis</v>
      </c>
      <c r="F128">
        <f>COUNTIF(E$3:E128,E128)</f>
        <v>126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axis</v>
      </c>
      <c r="F129">
        <f>COUNTIF(E$3:E129,E129)</f>
        <v>127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axis</v>
      </c>
      <c r="F130">
        <f>COUNTIF(E$3:E130,E130)</f>
        <v>128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axis</v>
      </c>
      <c r="F131">
        <f>COUNTIF(E$3:E131,E131)</f>
        <v>129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axis</v>
      </c>
      <c r="F132">
        <f>COUNTIF(E$3:E132,E132)</f>
        <v>130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axis</v>
      </c>
      <c r="F133">
        <f>COUNTIF(E$3:E133,E133)</f>
        <v>131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axis</v>
      </c>
      <c r="F134">
        <f>COUNTIF(E$3:E134,E134)</f>
        <v>132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axis</v>
      </c>
      <c r="F135">
        <f>COUNTIF(E$3:E135,E135)</f>
        <v>133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axis</v>
      </c>
      <c r="F136">
        <f>COUNTIF(E$3:E136,E136)</f>
        <v>134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axis</v>
      </c>
      <c r="F137">
        <f>COUNTIF(E$3:E137,E137)</f>
        <v>135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axis</v>
      </c>
      <c r="F138">
        <f>COUNTIF(E$3:E138,E138)</f>
        <v>136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axis</v>
      </c>
      <c r="F139">
        <f>COUNTIF(E$3:E139,E139)</f>
        <v>137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axis</v>
      </c>
      <c r="F140">
        <f>COUNTIF(E$3:E140,E140)</f>
        <v>138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axis</v>
      </c>
      <c r="F141">
        <f>COUNTIF(E$3:E141,E141)</f>
        <v>139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axis</v>
      </c>
      <c r="F142">
        <f>COUNTIF(E$3:E142,E142)</f>
        <v>140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axis</v>
      </c>
      <c r="F143">
        <f>COUNTIF(E$3:E143,E143)</f>
        <v>141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axis</v>
      </c>
      <c r="F144">
        <f>COUNTIF(E$3:E144,E144)</f>
        <v>142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axis</v>
      </c>
      <c r="F145">
        <f>COUNTIF(E$3:E145,E145)</f>
        <v>143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axis</v>
      </c>
      <c r="F146">
        <f>COUNTIF(E$3:E146,E146)</f>
        <v>144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axis</v>
      </c>
      <c r="F147">
        <f>COUNTIF(E$3:E147,E147)</f>
        <v>145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axis</v>
      </c>
      <c r="F148">
        <f>COUNTIF(E$3:E148,E148)</f>
        <v>146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axis</v>
      </c>
      <c r="F149">
        <f>COUNTIF(E$3:E149,E149)</f>
        <v>147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axis</v>
      </c>
      <c r="F150">
        <f>COUNTIF(E$3:E150,E150)</f>
        <v>148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axis</v>
      </c>
      <c r="F151">
        <f>COUNTIF(E$3:E151,E151)</f>
        <v>149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axis</v>
      </c>
      <c r="F152">
        <f>COUNTIF(E$3:E152,E152)</f>
        <v>150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axis</v>
      </c>
      <c r="F153">
        <f>COUNTIF(E$3:E153,E153)</f>
        <v>151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axis</v>
      </c>
      <c r="F154">
        <f>COUNTIF(E$3:E154,E154)</f>
        <v>152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axis</v>
      </c>
      <c r="F155">
        <f>COUNTIF(E$3:E155,E155)</f>
        <v>153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axis</v>
      </c>
      <c r="F156">
        <f>COUNTIF(E$3:E156,E156)</f>
        <v>154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axis</v>
      </c>
      <c r="F157">
        <f>COUNTIF(E$3:E157,E157)</f>
        <v>155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axis</v>
      </c>
      <c r="F158">
        <f>COUNTIF(E$3:E158,E158)</f>
        <v>156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axis</v>
      </c>
      <c r="F159">
        <f>COUNTIF(E$3:E159,E159)</f>
        <v>157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axis</v>
      </c>
      <c r="F160">
        <f>COUNTIF(E$3:E160,E160)</f>
        <v>158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axis</v>
      </c>
      <c r="F161">
        <f>COUNTIF(E$3:E161,E161)</f>
        <v>159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axis</v>
      </c>
      <c r="F162">
        <f>COUNTIF(E$3:E162,E162)</f>
        <v>160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axis</v>
      </c>
      <c r="F163">
        <f>COUNTIF(E$3:E163,E163)</f>
        <v>161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axis</v>
      </c>
      <c r="F164">
        <f>COUNTIF(E$3:E164,E164)</f>
        <v>162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axis</v>
      </c>
      <c r="F165">
        <f>COUNTIF(E$3:E165,E165)</f>
        <v>163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axis</v>
      </c>
      <c r="F166">
        <f>COUNTIF(E$3:E166,E166)</f>
        <v>164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axis</v>
      </c>
      <c r="F167">
        <f>COUNTIF(E$3:E167,E167)</f>
        <v>165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axis</v>
      </c>
      <c r="F168">
        <f>COUNTIF(E$3:E168,E168)</f>
        <v>166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axis</v>
      </c>
      <c r="F169">
        <f>COUNTIF(E$3:E169,E169)</f>
        <v>167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axis</v>
      </c>
      <c r="F170">
        <f>COUNTIF(E$3:E170,E170)</f>
        <v>168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axis</v>
      </c>
      <c r="F171">
        <f>COUNTIF(E$3:E171,E171)</f>
        <v>169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axis</v>
      </c>
      <c r="F172">
        <f>COUNTIF(E$3:E172,E172)</f>
        <v>170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axis</v>
      </c>
      <c r="F173">
        <f>COUNTIF(E$3:E173,E173)</f>
        <v>171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axis</v>
      </c>
      <c r="F174">
        <f>COUNTIF(E$3:E174,E174)</f>
        <v>172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axis</v>
      </c>
      <c r="F175">
        <f>COUNTIF(E$3:E175,E175)</f>
        <v>173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axis</v>
      </c>
      <c r="F176">
        <f>COUNTIF(E$3:E176,E176)</f>
        <v>174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axis</v>
      </c>
      <c r="F177">
        <f>COUNTIF(E$3:E177,E177)</f>
        <v>175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axis</v>
      </c>
      <c r="F178">
        <f>COUNTIF(E$3:E178,E178)</f>
        <v>176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axis</v>
      </c>
      <c r="F179">
        <f>COUNTIF(E$3:E179,E179)</f>
        <v>177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axis</v>
      </c>
      <c r="F180">
        <f>COUNTIF(E$3:E180,E180)</f>
        <v>178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axis</v>
      </c>
      <c r="F181">
        <f>COUNTIF(E$3:E181,E181)</f>
        <v>179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axis</v>
      </c>
      <c r="F182">
        <f>COUNTIF(E$3:E182,E182)</f>
        <v>180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axis</v>
      </c>
      <c r="F183">
        <f>COUNTIF(E$3:E183,E183)</f>
        <v>181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axis</v>
      </c>
      <c r="F184">
        <f>COUNTIF(E$3:E184,E184)</f>
        <v>182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axis</v>
      </c>
      <c r="F185">
        <f>COUNTIF(E$3:E185,E185)</f>
        <v>183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axis</v>
      </c>
      <c r="F186">
        <f>COUNTIF(E$3:E186,E186)</f>
        <v>184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axis</v>
      </c>
      <c r="F187">
        <f>COUNTIF(E$3:E187,E187)</f>
        <v>185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axis</v>
      </c>
      <c r="F188">
        <f>COUNTIF(E$3:E188,E188)</f>
        <v>186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axis</v>
      </c>
      <c r="F189">
        <f>COUNTIF(E$3:E189,E189)</f>
        <v>187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axis</v>
      </c>
      <c r="F190">
        <f>COUNTIF(E$3:E190,E190)</f>
        <v>188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axis</v>
      </c>
      <c r="F191">
        <f>COUNTIF(E$3:E191,E191)</f>
        <v>189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axis</v>
      </c>
      <c r="F192">
        <f>COUNTIF(E$3:E192,E192)</f>
        <v>190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axis</v>
      </c>
      <c r="F193">
        <f>COUNTIF(E$3:E193,E193)</f>
        <v>191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axis</v>
      </c>
      <c r="F194">
        <f>COUNTIF(E$3:E194,E194)</f>
        <v>192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axis</v>
      </c>
      <c r="F195">
        <f>COUNTIF(E$3:E195,E195)</f>
        <v>193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axis</v>
      </c>
      <c r="F196">
        <f>COUNTIF(E$3:E196,E196)</f>
        <v>194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axis</v>
      </c>
      <c r="F197">
        <f>COUNTIF(E$3:E197,E197)</f>
        <v>195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axis</v>
      </c>
      <c r="F198">
        <f>COUNTIF(E$3:E198,E198)</f>
        <v>196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axis</v>
      </c>
      <c r="F199">
        <f>COUNTIF(E$3:E199,E199)</f>
        <v>197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axis</v>
      </c>
      <c r="F200">
        <f>COUNTIF(E$3:E200,E200)</f>
        <v>198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axis</v>
      </c>
      <c r="F201">
        <f>COUNTIF(E$3:E201,E201)</f>
        <v>199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axis</v>
      </c>
      <c r="F202">
        <f>COUNTIF(E$3:E202,E202)</f>
        <v>200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ErrCode	:= 2;
	END_IF;</v>
      </c>
      <c r="AK202" t="str">
        <f ca="1"/>
        <v xml:space="preserve">
	ELSE
		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C:\tk\prj\hg-0025-0016\git\kv-x520\doc\[kv_script_conv_position_data.xlsx]info_index によって生成されました。
//axis
IF strInfoType = 'axis' THEN
	//箔ロウリール軸
	IF uiInfoIdx = 1 THEN
		IF strInfoKey = 'name' THEN
			Rt	:= '箔ロウリール軸';
		ELSIF strInfoKey = 'index_name' THEN
			Rt	:= '【axis1】 箔ロウリール軸';
		ELSIF strInfoKey = 'model' THEN
			Rt	:= '0';
		ELSIF strInfoKey = 'mf' THEN
			Rt	:= '20';
		ELSE
			ErrCode	:= 3;
		END_IF;
	//平板送り軸
	ELSIF uiInfoIdx = 2 THEN
		IF strInfoKey = 'name' THEN
			Rt	:= '平板送り軸';
		ELSIF strInfoKey = 'index_name' THEN
			Rt	:= '【axis2】 平板送り軸';
		ELSIF strInfoKey = 'model' THEN
			Rt	:= '0';
		ELSIF strInfoKey = 'mf' THEN
			Rt	:= '20';
		ELSE
			ErrCode	:= 3;
		END_IF;
	//箔ロウ送り軸
	ELSIF uiInfoIdx = 3 THEN
		IF strInfoKey = 'name' THEN
			Rt	:= '箔ロウ送り軸';
		ELSIF strInfoKey = 'index_name' THEN
			Rt	:= '【axis3】 箔ロウ送り軸';
		ELSIF strInfoKey = 'model' THEN
			Rt	:= '0';
		ELSIF strInfoKey = 'mf' THEN
			Rt	:= '20';
		ELSE
			ErrCode	:= 3;
		END_IF;
	//波板送り
	ELSIF uiInfoIdx = 4 THEN
		IF strInfoKey = 'name' THEN
			Rt	:= '波板送り';
		ELSIF strInfoKey = 'index_name' THEN
			Rt	:= '【axis4】 波板送り';
		ELSIF strInfoKey = 'model' THEN
			Rt	:= '0';
		ELSIF strInfoKey = 'mf' THEN
			Rt	:= '20';
		ELSE
			ErrCode	:= 3;
		END_IF;
	//ワーク排出上下軸
	ELSIF uiInfoIdx = 5 THEN
		IF strInfoKey = 'name' THEN
			Rt	:= 'ワーク排出上下軸';
		ELSIF strInfoKey = 'index_name' THEN
			Rt	:= '【axis5】 ワーク排出上下軸';
		ELSIF strInfoKey = 'model' THEN
			Rt	:= '0';
		ELSIF strInfoKey = 'mf' THEN
			Rt	:= '20';
		ELSE
			ErrCode	:= 3;
		END_IF;
	//周長測定子上下軸
	ELSIF uiInfoIdx = 6 THEN
		IF strInfoKey = 'name' THEN
			Rt	:= '周長測定子上下軸';
		ELSIF strInfoKey = 'index_name' THEN
			Rt	:= '【axis6】 周長測定子上下軸';
		ELSIF strInfoKey = 'model' THEN
			Rt	:= '0';
		ELSIF strInfoKey = 'mf' THEN
			Rt	:= '20';
		ELSE
			ErrCode	:= 3;
		END_IF;
	//ワーク(排出)チャック軸
	ELSIF uiInfoIdx = 7 THEN
		IF strInfoKey = 'name' THEN
			Rt	:= 'ワーク(排出)チャック軸';
		ELSIF strInfoKey = 'index_name' THEN
			Rt	:= '【axis7】 ワーク(排出)チャック軸';
		ELSIF strInfoKey = 'model' THEN
			Rt	:= '0';
		ELSIF strInfoKey = 'mf' THEN
			Rt	:= '20';
		ELSE
			ErrCode	:= 3;
		END_IF;
	//Y軸：溶接トーチ前後
	ELSIF uiInfoIdx = 8 THEN
		IF strInfoKey = 'name' THEN
			Rt	:= 'Y軸：溶接トーチ前後';
		ELSIF strInfoKey = 'index_name' THEN
			Rt	:= '【axis8】 Y軸：溶接トーチ前後';
		ELSIF strInfoKey = 'model' THEN
			Rt	:= '0';
		ELSIF strInfoKey = 'mf' THEN
			Rt	:= '20';
		ELSE
			ErrCode	:= 3;
		END_IF;
	//Z軸：溶接トーチ上下
	ELSIF uiInfoIdx = 9 THEN
		IF strInfoKey = 'name' THEN
			Rt	:= 'Z軸：溶接トーチ上下';
		ELSIF strInfoKey = 'index_name' THEN
			Rt	:= '【axis9】 Z軸：溶接トーチ上下';
		ELSIF strInfoKey = 'model' THEN
			Rt	:= '0';
		ELSIF strInfoKey = 'mf' THEN
			Rt	:= '20';
		ELSE
			ErrCode	:= 3;
		END_IF;
	//バインダー供給ポンプモータ
	ELSIF uiInfoIdx = 10 THEN
		IF strInfoKey = 'name' THEN
			Rt	:= 'バインダー供給ポンプモータ';
		ELSIF strInfoKey = 'index_name' THEN
			Rt	:= '【axis10】 バインダー供給ポンプモータ';
		ELSIF strInfoKey = 'model' THEN
			Rt	:= '0';
		ELSIF strInfoKey = 'mf' THEN
			Rt	:= '20';
		ELSE
			ErrCode	:= 3;
		END_IF;
	//波板リールモータ
	ELSIF uiInfoIdx = 11 THEN
		IF strInfoKey = 'name' THEN
			Rt	:= '波板リールモータ';
		ELSIF strInfoKey = 'index_name' THEN
			Rt	:= '【axis11】 波板リールモータ';
		ELSIF strInfoKey = 'model' THEN
			Rt	:= '0';
		ELSIF strInfoKey = 'mf' THEN
			Rt	:= '20';
		ELSE
			ErrCode	:= 3;
		END_IF;
	//平板リールモータ
	ELSIF uiInfoIdx = 12 THEN
		IF strInfoKey = 'name' THEN
			Rt	:= '平板リールモータ';
		ELSIF strInfoKey = 'index_name' THEN
			Rt	:= '【axis12】 平板リールモータ';
		ELSIF strInfoKey = 'model' THEN
			Rt	:= '0';
		ELSIF strInfoKey = 'mf' THEN
			Rt	:= '20';
		ELSE
			ErrCode	:= 3;
		END_IF;
	//巻取り主軸
	ELSIF uiInfoIdx = 13 THEN
		IF strInfoKey = 'name' THEN
			Rt	:= '巻取り主軸';
		ELSIF strInfoKey = 'index_name' THEN
			Rt	:= '【axis13】 巻取り主軸';
		ELSIF strInfoKey = 'model' THEN
			Rt	:= '0';
		ELSIF strInfoKey = 'mf' THEN
			Rt	:= '20';
		ELSE
			ErrCode	:= 3;
		END_IF;
	//ワーク幅調整軸
	ELSIF uiInfoIdx = 14 THEN
		IF strInfoKey = 'name' THEN
			Rt	:= 'ワーク幅調整軸';
		ELSIF strInfoKey = 'index_name' THEN
			Rt	:= '【axis14】 ワーク幅調整軸';
		ELSIF strInfoKey = 'model' THEN
			Rt	:= '0';
		ELSIF strInfoKey = 'mf' THEN
			Rt	:= '20';
		ELSE
			ErrCode	:= 3;
		END_IF;
	//Tロール回転軸
	ELSIF uiInfoIdx = 15 THEN
		IF strInfoKey = 'name' THEN
			Rt	:= 'Tロール回転軸';
		ELSIF strInfoKey = 'index_name' THEN
			Rt	:= '【axis15】 Tロール回転軸';
		ELSIF strInfoKey = 'model' THEN
			Rt	:= '0';
		ELSIF strInfoKey = 'mf' THEN
			Rt	:= '20';
		ELSE
			ErrCode	:= 3;
		END_IF;
	//ロータユニットXロール回転軸
	ELSIF uiInfoIdx = 16 THEN
		IF strInfoKey = 'name' THEN
			Rt	:= 'ロータユニットXロール回転軸';
		ELSIF strInfoKey = 'index_name' THEN
			Rt	:= '【axis16】 ロータユニットXロール回転軸';
		ELSIF strInfoKey = 'model' THEN
			Rt	:= '0';
		ELSIF strInfoKey = 'mf' THEN
			Rt	:= '20';
		ELSE
			ErrCode	:= 3;
		END_IF;
	ELSE
		ErrCode	:= 2;
	END_IF;
ELSE
	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2025-12-02T11:35:37Z</dcterms:modified>
</cp:coreProperties>
</file>