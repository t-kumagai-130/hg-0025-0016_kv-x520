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6ED407A9-B030-4436-A768-87CA48B05C64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  <c r="D12" i="1" s="1"/>
  <c r="E12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3" i="1"/>
  <c r="E4" i="1" s="1"/>
  <c r="E5" i="1" s="1"/>
  <c r="E6" i="1" s="1"/>
  <c r="D2" i="1"/>
  <c r="C7" i="1"/>
  <c r="C13" i="1" s="1"/>
  <c r="C16" i="1" s="1"/>
  <c r="D1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E9" i="1" l="1"/>
  <c r="E10" i="1" s="1"/>
  <c r="E11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9" i="1"/>
  <c r="F97" i="1"/>
  <c r="A97" i="1"/>
  <c r="E16" i="1" l="1"/>
  <c r="E22" i="1" s="1"/>
  <c r="E25" i="1" s="1"/>
  <c r="D22" i="1"/>
  <c r="C25" i="1"/>
  <c r="C18" i="1"/>
  <c r="D17" i="1"/>
  <c r="D8" i="1"/>
  <c r="C15" i="1"/>
  <c r="D14" i="1"/>
  <c r="C23" i="1"/>
  <c r="H4" i="3"/>
  <c r="H5" i="3"/>
  <c r="E29" i="1" l="1"/>
  <c r="E26" i="1"/>
  <c r="E27" i="1" s="1"/>
  <c r="E28" i="1" s="1"/>
  <c r="E17" i="1"/>
  <c r="E18" i="1" s="1"/>
  <c r="E19" i="1" s="1"/>
  <c r="E20" i="1" s="1"/>
  <c r="E21" i="1" s="1"/>
  <c r="C26" i="1"/>
  <c r="D25" i="1"/>
  <c r="C29" i="1"/>
  <c r="E23" i="1"/>
  <c r="E24" i="1" s="1"/>
  <c r="D15" i="1"/>
  <c r="C10" i="1"/>
  <c r="C11" i="1" s="1"/>
  <c r="C24" i="1"/>
  <c r="D23" i="1"/>
  <c r="C19" i="1"/>
  <c r="D18" i="1"/>
  <c r="H6" i="3"/>
  <c r="D11" i="1" l="1"/>
  <c r="C27" i="1"/>
  <c r="C28" i="1" s="1"/>
  <c r="D28" i="1" s="1"/>
  <c r="D26" i="1"/>
  <c r="E34" i="1"/>
  <c r="E30" i="1"/>
  <c r="E31" i="1" s="1"/>
  <c r="E32" i="1" s="1"/>
  <c r="E33" i="1" s="1"/>
  <c r="C30" i="1"/>
  <c r="C34" i="1"/>
  <c r="D29" i="1"/>
  <c r="D10" i="1"/>
  <c r="C20" i="1"/>
  <c r="D19" i="1"/>
  <c r="D24" i="1"/>
  <c r="H7" i="3"/>
  <c r="H28" i="3" l="1"/>
  <c r="H29" i="3"/>
  <c r="H30" i="3"/>
  <c r="D20" i="1"/>
  <c r="C21" i="1"/>
  <c r="D27" i="1"/>
  <c r="D34" i="1"/>
  <c r="C39" i="1"/>
  <c r="C35" i="1"/>
  <c r="D30" i="1"/>
  <c r="C31" i="1"/>
  <c r="E39" i="1"/>
  <c r="E35" i="1"/>
  <c r="E36" i="1" s="1"/>
  <c r="E37" i="1" s="1"/>
  <c r="E38" i="1" s="1"/>
  <c r="H8" i="3"/>
  <c r="D21" i="1" l="1"/>
  <c r="H31" i="3"/>
  <c r="C32" i="1"/>
  <c r="D31" i="1"/>
  <c r="E40" i="1"/>
  <c r="E41" i="1" s="1"/>
  <c r="E42" i="1" s="1"/>
  <c r="E43" i="1" s="1"/>
  <c r="E44" i="1"/>
  <c r="C36" i="1"/>
  <c r="D35" i="1"/>
  <c r="C44" i="1"/>
  <c r="D39" i="1"/>
  <c r="C40" i="1"/>
  <c r="H9" i="3"/>
  <c r="H32" i="3" l="1"/>
  <c r="E49" i="1"/>
  <c r="E45" i="1"/>
  <c r="E46" i="1" s="1"/>
  <c r="E47" i="1" s="1"/>
  <c r="E48" i="1" s="1"/>
  <c r="C41" i="1"/>
  <c r="D40" i="1"/>
  <c r="C49" i="1"/>
  <c r="C45" i="1"/>
  <c r="D44" i="1"/>
  <c r="D36" i="1"/>
  <c r="C37" i="1"/>
  <c r="C33" i="1"/>
  <c r="D33" i="1" s="1"/>
  <c r="D32" i="1"/>
  <c r="H10" i="3"/>
  <c r="H33" i="3" l="1"/>
  <c r="C46" i="1"/>
  <c r="D45" i="1"/>
  <c r="C54" i="1"/>
  <c r="D49" i="1"/>
  <c r="C50" i="1"/>
  <c r="D41" i="1"/>
  <c r="C42" i="1"/>
  <c r="D37" i="1"/>
  <c r="C38" i="1"/>
  <c r="D38" i="1" s="1"/>
  <c r="E54" i="1"/>
  <c r="E50" i="1"/>
  <c r="E51" i="1" s="1"/>
  <c r="E52" i="1" s="1"/>
  <c r="E53" i="1" s="1"/>
  <c r="H11" i="3"/>
  <c r="H34" i="3" l="1"/>
  <c r="C43" i="1"/>
  <c r="D43" i="1" s="1"/>
  <c r="D42" i="1"/>
  <c r="D50" i="1"/>
  <c r="C51" i="1"/>
  <c r="C59" i="1"/>
  <c r="D54" i="1"/>
  <c r="C55" i="1"/>
  <c r="E59" i="1"/>
  <c r="E55" i="1"/>
  <c r="E56" i="1" s="1"/>
  <c r="E57" i="1" s="1"/>
  <c r="E58" i="1" s="1"/>
  <c r="D46" i="1"/>
  <c r="C47" i="1"/>
  <c r="H12" i="3"/>
  <c r="H35" i="3" l="1"/>
  <c r="C56" i="1"/>
  <c r="D55" i="1"/>
  <c r="C52" i="1"/>
  <c r="D51" i="1"/>
  <c r="E60" i="1"/>
  <c r="E61" i="1" s="1"/>
  <c r="E62" i="1" s="1"/>
  <c r="E63" i="1" s="1"/>
  <c r="E64" i="1"/>
  <c r="C64" i="1"/>
  <c r="D59" i="1"/>
  <c r="C60" i="1"/>
  <c r="C48" i="1"/>
  <c r="D48" i="1" s="1"/>
  <c r="D47" i="1"/>
  <c r="H13" i="3"/>
  <c r="H36" i="3" l="1"/>
  <c r="C69" i="1"/>
  <c r="D64" i="1"/>
  <c r="C65" i="1"/>
  <c r="D52" i="1"/>
  <c r="C53" i="1"/>
  <c r="D53" i="1" s="1"/>
  <c r="E65" i="1"/>
  <c r="E66" i="1" s="1"/>
  <c r="E67" i="1" s="1"/>
  <c r="E68" i="1" s="1"/>
  <c r="E69" i="1"/>
  <c r="D60" i="1"/>
  <c r="C61" i="1"/>
  <c r="D56" i="1"/>
  <c r="C57" i="1"/>
  <c r="H14" i="3"/>
  <c r="H37" i="3" l="1"/>
  <c r="E70" i="1"/>
  <c r="E71" i="1" s="1"/>
  <c r="E72" i="1" s="1"/>
  <c r="E73" i="1" s="1"/>
  <c r="E74" i="1"/>
  <c r="D57" i="1"/>
  <c r="C58" i="1"/>
  <c r="D58" i="1" s="1"/>
  <c r="D65" i="1"/>
  <c r="C66" i="1"/>
  <c r="C62" i="1"/>
  <c r="D61" i="1"/>
  <c r="D69" i="1"/>
  <c r="C74" i="1"/>
  <c r="C70" i="1"/>
  <c r="H15" i="3"/>
  <c r="H38" i="3" l="1"/>
  <c r="D66" i="1"/>
  <c r="C67" i="1"/>
  <c r="D62" i="1"/>
  <c r="C63" i="1"/>
  <c r="D63" i="1" s="1"/>
  <c r="D70" i="1"/>
  <c r="C71" i="1"/>
  <c r="D74" i="1"/>
  <c r="C79" i="1"/>
  <c r="C75" i="1"/>
  <c r="E79" i="1"/>
  <c r="E75" i="1"/>
  <c r="E76" i="1" s="1"/>
  <c r="E77" i="1" s="1"/>
  <c r="E78" i="1" s="1"/>
  <c r="H16" i="3"/>
  <c r="H39" i="3" l="1"/>
  <c r="C84" i="1"/>
  <c r="D79" i="1"/>
  <c r="C80" i="1"/>
  <c r="C72" i="1"/>
  <c r="D71" i="1"/>
  <c r="E84" i="1"/>
  <c r="E80" i="1"/>
  <c r="E81" i="1" s="1"/>
  <c r="E82" i="1" s="1"/>
  <c r="E83" i="1" s="1"/>
  <c r="C68" i="1"/>
  <c r="D68" i="1" s="1"/>
  <c r="D67" i="1"/>
  <c r="C76" i="1"/>
  <c r="D75" i="1"/>
  <c r="H17" i="3"/>
  <c r="H40" i="3" l="1"/>
  <c r="E85" i="1"/>
  <c r="E86" i="1" s="1"/>
  <c r="E87" i="1" s="1"/>
  <c r="E88" i="1" s="1"/>
  <c r="E89" i="1"/>
  <c r="E90" i="1" s="1"/>
  <c r="E91" i="1" s="1"/>
  <c r="E92" i="1" s="1"/>
  <c r="E93" i="1" s="1"/>
  <c r="C73" i="1"/>
  <c r="D73" i="1" s="1"/>
  <c r="D72" i="1"/>
  <c r="C81" i="1"/>
  <c r="D80" i="1"/>
  <c r="C77" i="1"/>
  <c r="D76" i="1"/>
  <c r="C85" i="1"/>
  <c r="C89" i="1"/>
  <c r="D84" i="1"/>
  <c r="H18" i="3"/>
  <c r="H41" i="3" l="1"/>
  <c r="D77" i="1"/>
  <c r="C78" i="1"/>
  <c r="D78" i="1" s="1"/>
  <c r="D81" i="1"/>
  <c r="C82" i="1"/>
  <c r="C90" i="1"/>
  <c r="D89" i="1"/>
  <c r="D85" i="1"/>
  <c r="C86" i="1"/>
  <c r="H19" i="3"/>
  <c r="H42" i="3" l="1"/>
  <c r="D82" i="1"/>
  <c r="C83" i="1"/>
  <c r="D83" i="1" s="1"/>
  <c r="C91" i="1"/>
  <c r="D90" i="1"/>
  <c r="D86" i="1"/>
  <c r="C87" i="1"/>
  <c r="H20" i="3"/>
  <c r="H43" i="3" l="1"/>
  <c r="D91" i="1"/>
  <c r="C92" i="1"/>
  <c r="D87" i="1"/>
  <c r="C88" i="1"/>
  <c r="D88" i="1" s="1"/>
  <c r="H21" i="3"/>
  <c r="H44" i="3" l="1"/>
  <c r="C93" i="1"/>
  <c r="D93" i="1" s="1"/>
  <c r="D92" i="1"/>
  <c r="H22" i="3"/>
  <c r="H45" i="3" l="1"/>
  <c r="H23" i="3"/>
  <c r="H46" i="3" l="1"/>
  <c r="E99" i="1"/>
  <c r="D99" i="1"/>
  <c r="D101" i="1"/>
  <c r="E101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<sst xmlns="http://schemas.openxmlformats.org/spreadsheetml/2006/main" count="154" uniqueCount="113">
  <si>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</si>
  <si>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</si>
  <si>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</si>
  <si>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</si>
  <si>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</si>
  <si>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</si>
  <si>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</si>
  <si>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</si>
  <si>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</si>
  <si>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</si>
  <si>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</si>
  <si>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</si>
  <si>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</si>
  <si>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</si>
  <si>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</si>
  <si>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</si>
  <si>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</si>
  <si>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</si>
  <si>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</si>
  <si>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</si>
  <si>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</si>
  <si>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</si>
  <si>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</si>
  <si>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</si>
  <si>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</si>
  <si>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</si>
  <si>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</si>
  <si>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</si>
  <si>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</si>
  <si>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</si>
  <si>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</si>
  <si>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</si>
  <si>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</si>
  <si>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</si>
  <si>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</si>
  <si>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</si>
  <si>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</si>
  <si>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</si>
  <si>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</si>
  <si>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</si>
  <si>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</si>
  <si>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</si>
  <si>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</si>
  <si>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</si>
  <si>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</si>
  <si>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</si>
  <si>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</si>
  <si>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</si>
  <si>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</si>
  <si>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</si>
  <si>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</si>
  <si>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</si>
  <si>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</si>
  <si>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</si>
  <si>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</si>
  <si>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</si>
  <si>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</si>
  <si>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</si>
  <si>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</si>
  <si>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</si>
  <si>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</si>
  <si>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</si>
  <si>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</si>
  <si>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</si>
  <si>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</si>
  <si>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</si>
  <si>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</si>
  <si>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</si>
  <si>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</si>
  <si>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</si>
  <si>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</si>
  <si>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</si>
  <si>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</si>
  <si>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</si>
  <si>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</si>
  <si>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</si>
  <si>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</si>
  <si>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</si>
  <si>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</si>
  <si>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</si>
  <si>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</si>
  <si>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</si>
  <si>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</si>
  <si>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</si>
  <si>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</si>
  <si>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</si>
  <si>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</si>
  <si>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</si>
  <si>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</si>
  <si>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</si>
  <si>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</si>
  <si>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</si>
  <si>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</si>
  <si>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</si>
  <si>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</si>
  <si>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</si>
  <si>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</si>
  <si>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</si>
  <si>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</si>
  <si>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</si>
  <si>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</si>
  <si>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</si>
  <si>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</si>
  <si>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</si>
  <si>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</si>
  <si>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</si>
  <si>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</si>
  <si>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排出動作</t>
    <rPh sb="0" eb="2">
      <t>ハイシュツ</t>
    </rPh>
    <rPh sb="2" eb="4">
      <t>ドウサ</t>
    </rPh>
    <phoneticPr fontId="1"/>
  </si>
  <si>
    <t>Measurement preparation</t>
  </si>
  <si>
    <t>Measurement operation during winding</t>
  </si>
  <si>
    <t>Discharge operation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</si>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</sst>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3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96</v>
      </c>
      <c r="I4" s="9" t="s">
        <v>103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97</v>
      </c>
      <c r="I5" s="9" t="s">
        <v>104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100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6</v>
      </c>
      <c r="F12" s="5"/>
      <c r="G12" s="5" t="s">
        <v>73</v>
      </c>
      <c r="H12" s="5" t="s">
        <v>111</v>
      </c>
      <c r="I12" s="5" t="s">
        <v>112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3" si="8">C13</f>
        <v>3</v>
      </c>
      <c r="D14" s="4" t="str">
        <f t="shared" si="0"/>
        <v>3</v>
      </c>
      <c r="E14" s="4">
        <f t="shared" ref="E14:E73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" si="15">C25</f>
        <v>6</v>
      </c>
      <c r="D26" s="4" t="str">
        <f t="shared" si="0"/>
        <v>6</v>
      </c>
      <c r="E26" s="4">
        <f t="shared" ref="E26" si="16">E25+1</f>
        <v>2</v>
      </c>
      <c r="F26" s="9"/>
      <c r="G26" s="5" t="s">
        <v>77</v>
      </c>
      <c r="H26" s="9" t="s">
        <v>106</v>
      </c>
      <c r="I26" s="9" t="s">
        <v>108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8"/>
        <v>6</v>
      </c>
      <c r="D27" s="4" t="str">
        <f t="shared" si="0"/>
        <v>6</v>
      </c>
      <c r="E27" s="4">
        <f t="shared" si="9"/>
        <v>3</v>
      </c>
      <c r="F27" s="5"/>
      <c r="G27" s="5" t="s">
        <v>77</v>
      </c>
      <c r="H27" s="5" t="s">
        <v>80</v>
      </c>
      <c r="I27" s="5" t="s">
        <v>109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si="8"/>
        <v>6</v>
      </c>
      <c r="D28" s="4" t="str">
        <f t="shared" ref="D28" si="17">B28&amp;C28</f>
        <v>6</v>
      </c>
      <c r="E28" s="4">
        <f t="shared" si="9"/>
        <v>4</v>
      </c>
      <c r="F28" s="5"/>
      <c r="G28" s="5" t="s">
        <v>77</v>
      </c>
      <c r="H28" s="5" t="s">
        <v>107</v>
      </c>
      <c r="I28" s="5" t="s">
        <v>110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>C25+1</f>
        <v>7</v>
      </c>
      <c r="D29" s="4" t="str">
        <f t="shared" si="0"/>
        <v>7</v>
      </c>
      <c r="E29" s="4">
        <f>E25</f>
        <v>1</v>
      </c>
      <c r="F29" s="9"/>
      <c r="G29" s="9"/>
      <c r="H29" s="9"/>
      <c r="I29" s="9"/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ref="C30" si="18">C29</f>
        <v>7</v>
      </c>
      <c r="D30" s="4" t="str">
        <f t="shared" si="0"/>
        <v>7</v>
      </c>
      <c r="E30" s="4">
        <f t="shared" ref="E30" si="19">E29+1</f>
        <v>2</v>
      </c>
      <c r="F30" s="9"/>
      <c r="G30" s="9"/>
      <c r="H30" s="9"/>
      <c r="I30" s="9"/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si="8"/>
        <v>7</v>
      </c>
      <c r="D31" s="4" t="str">
        <f t="shared" si="0"/>
        <v>7</v>
      </c>
      <c r="E31" s="4">
        <f t="shared" si="9"/>
        <v>3</v>
      </c>
      <c r="F31" s="5"/>
      <c r="G31" s="5"/>
      <c r="H31" s="5"/>
      <c r="I31" s="5"/>
      <c r="J31" s="5"/>
      <c r="K31" s="5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8"/>
        <v>7</v>
      </c>
      <c r="D32" s="4" t="str">
        <f t="shared" si="0"/>
        <v>7</v>
      </c>
      <c r="E32" s="4">
        <f t="shared" si="9"/>
        <v>4</v>
      </c>
      <c r="F32" s="5"/>
      <c r="G32" s="5"/>
      <c r="H32" s="5"/>
      <c r="I32" s="5"/>
      <c r="J32" s="5"/>
      <c r="K32" s="5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si="8"/>
        <v>7</v>
      </c>
      <c r="D33" s="4" t="str">
        <f t="shared" si="0"/>
        <v>7</v>
      </c>
      <c r="E33" s="4">
        <f t="shared" si="9"/>
        <v>5</v>
      </c>
      <c r="F33" s="5"/>
      <c r="G33" s="5"/>
      <c r="H33" s="5"/>
      <c r="I33" s="5"/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26"/>
      <c r="B34" s="4"/>
      <c r="C34" s="26">
        <f t="shared" ref="C34" si="20">C29+1</f>
        <v>8</v>
      </c>
      <c r="D34" s="26" t="str">
        <f t="shared" si="0"/>
        <v>8</v>
      </c>
      <c r="E34" s="4">
        <f t="shared" ref="E34" si="21">E29</f>
        <v>1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26"/>
      <c r="B35" s="4"/>
      <c r="C35" s="26">
        <f t="shared" ref="C35" si="22">C34</f>
        <v>8</v>
      </c>
      <c r="D35" s="26" t="str">
        <f t="shared" si="0"/>
        <v>8</v>
      </c>
      <c r="E35" s="4">
        <f t="shared" ref="E35" si="23">E34+1</f>
        <v>2</v>
      </c>
      <c r="F35" s="11"/>
      <c r="G35" s="11"/>
      <c r="H35" s="11"/>
      <c r="I35" s="11"/>
      <c r="J35" s="11"/>
      <c r="K35" s="11"/>
      <c r="L35" s="11"/>
      <c r="M35" s="11"/>
      <c r="N35" s="12"/>
      <c r="O35" s="23"/>
      <c r="P35" s="23"/>
      <c r="Q35" s="23"/>
      <c r="R35" s="7"/>
    </row>
    <row r="36" spans="1:18" x14ac:dyDescent="0.55000000000000004">
      <c r="A36" s="26"/>
      <c r="B36" s="4"/>
      <c r="C36" s="26">
        <f t="shared" si="8"/>
        <v>8</v>
      </c>
      <c r="D36" s="26" t="str">
        <f t="shared" si="0"/>
        <v>8</v>
      </c>
      <c r="E36" s="4">
        <f t="shared" si="9"/>
        <v>3</v>
      </c>
      <c r="F36" s="11"/>
      <c r="G36" s="11"/>
      <c r="H36" s="11"/>
      <c r="I36" s="11"/>
      <c r="J36" s="11"/>
      <c r="K36" s="11"/>
      <c r="L36" s="11"/>
      <c r="M36" s="11"/>
      <c r="N36" s="12"/>
      <c r="O36" s="23"/>
      <c r="P36" s="23"/>
      <c r="Q36" s="23"/>
      <c r="R36" s="7"/>
    </row>
    <row r="37" spans="1:18" x14ac:dyDescent="0.55000000000000004">
      <c r="A37" s="4"/>
      <c r="B37" s="4"/>
      <c r="C37" s="4">
        <f t="shared" si="8"/>
        <v>8</v>
      </c>
      <c r="D37" s="4" t="str">
        <f t="shared" si="0"/>
        <v>8</v>
      </c>
      <c r="E37" s="4">
        <f t="shared" si="9"/>
        <v>4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8"/>
        <v>8</v>
      </c>
      <c r="D38" s="4" t="str">
        <f t="shared" si="0"/>
        <v>8</v>
      </c>
      <c r="E38" s="4">
        <f t="shared" si="9"/>
        <v>5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ref="C39" si="24">C34+1</f>
        <v>9</v>
      </c>
      <c r="D39" s="4" t="str">
        <f t="shared" si="0"/>
        <v>9</v>
      </c>
      <c r="E39" s="4">
        <f t="shared" ref="E39" si="25">E34</f>
        <v>1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ref="C40" si="26">C39</f>
        <v>9</v>
      </c>
      <c r="D40" s="4" t="str">
        <f t="shared" si="0"/>
        <v>9</v>
      </c>
      <c r="E40" s="4">
        <f t="shared" ref="E40" si="27">E39+1</f>
        <v>2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8"/>
        <v>9</v>
      </c>
      <c r="D41" s="4" t="str">
        <f t="shared" si="0"/>
        <v>9</v>
      </c>
      <c r="E41" s="4">
        <f t="shared" si="9"/>
        <v>3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8"/>
        <v>9</v>
      </c>
      <c r="D42" s="4" t="str">
        <f t="shared" si="0"/>
        <v>9</v>
      </c>
      <c r="E42" s="4">
        <f t="shared" si="9"/>
        <v>4</v>
      </c>
      <c r="F42" s="5"/>
      <c r="G42" s="5"/>
      <c r="H42" s="5"/>
      <c r="I42" s="5"/>
      <c r="J42" s="5"/>
      <c r="K42" s="13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8"/>
        <v>9</v>
      </c>
      <c r="D43" s="4" t="str">
        <f t="shared" si="0"/>
        <v>9</v>
      </c>
      <c r="E43" s="4">
        <f t="shared" si="9"/>
        <v>5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ref="C44" si="28">C39+1</f>
        <v>10</v>
      </c>
      <c r="D44" s="4" t="str">
        <f t="shared" si="0"/>
        <v>10</v>
      </c>
      <c r="E44" s="4">
        <f t="shared" ref="E44" si="29">E39</f>
        <v>1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ref="C45" si="30">C44</f>
        <v>10</v>
      </c>
      <c r="D45" s="4" t="str">
        <f t="shared" si="0"/>
        <v>10</v>
      </c>
      <c r="E45" s="4">
        <f t="shared" ref="E45" si="31">E44+1</f>
        <v>2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8"/>
        <v>10</v>
      </c>
      <c r="D46" s="4" t="str">
        <f t="shared" si="0"/>
        <v>10</v>
      </c>
      <c r="E46" s="4">
        <f t="shared" si="9"/>
        <v>3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8"/>
        <v>10</v>
      </c>
      <c r="D47" s="4" t="str">
        <f t="shared" si="0"/>
        <v>10</v>
      </c>
      <c r="E47" s="4">
        <f t="shared" si="9"/>
        <v>4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8"/>
        <v>10</v>
      </c>
      <c r="D48" s="4" t="str">
        <f t="shared" si="0"/>
        <v>10</v>
      </c>
      <c r="E48" s="4">
        <f t="shared" si="9"/>
        <v>5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2">C44+1</f>
        <v>11</v>
      </c>
      <c r="D49" s="4" t="str">
        <f t="shared" si="0"/>
        <v>11</v>
      </c>
      <c r="E49" s="4">
        <f t="shared" ref="E49" si="33">E44</f>
        <v>1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ref="C50" si="34">C49</f>
        <v>11</v>
      </c>
      <c r="D50" s="4" t="str">
        <f t="shared" si="0"/>
        <v>11</v>
      </c>
      <c r="E50" s="4">
        <f t="shared" ref="E50" si="35">E49+1</f>
        <v>2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8"/>
        <v>11</v>
      </c>
      <c r="D51" s="4" t="str">
        <f t="shared" si="0"/>
        <v>11</v>
      </c>
      <c r="E51" s="4">
        <f t="shared" si="9"/>
        <v>3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8"/>
        <v>11</v>
      </c>
      <c r="D52" s="4" t="str">
        <f t="shared" si="0"/>
        <v>11</v>
      </c>
      <c r="E52" s="4">
        <f t="shared" si="9"/>
        <v>4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8"/>
        <v>11</v>
      </c>
      <c r="D53" s="4" t="str">
        <f t="shared" si="0"/>
        <v>11</v>
      </c>
      <c r="E53" s="4">
        <f t="shared" si="9"/>
        <v>5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" si="36">C49+1</f>
        <v>12</v>
      </c>
      <c r="D54" s="4" t="str">
        <f t="shared" si="0"/>
        <v>12</v>
      </c>
      <c r="E54" s="4">
        <f t="shared" ref="E54" si="37">E49</f>
        <v>1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ref="C55" si="38">C54</f>
        <v>12</v>
      </c>
      <c r="D55" s="4" t="str">
        <f t="shared" si="0"/>
        <v>12</v>
      </c>
      <c r="E55" s="4">
        <f t="shared" ref="E55" si="39">E54+1</f>
        <v>2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8"/>
        <v>12</v>
      </c>
      <c r="D56" s="4" t="str">
        <f t="shared" si="0"/>
        <v>12</v>
      </c>
      <c r="E56" s="4">
        <f t="shared" si="9"/>
        <v>3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8"/>
        <v>12</v>
      </c>
      <c r="D57" s="4" t="str">
        <f t="shared" si="0"/>
        <v>12</v>
      </c>
      <c r="E57" s="4">
        <f t="shared" si="9"/>
        <v>4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8"/>
        <v>12</v>
      </c>
      <c r="D58" s="4" t="str">
        <f t="shared" si="0"/>
        <v>12</v>
      </c>
      <c r="E58" s="4">
        <f t="shared" si="9"/>
        <v>5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ref="C59:C89" si="40">C54+1</f>
        <v>13</v>
      </c>
      <c r="D59" s="4" t="str">
        <f t="shared" si="0"/>
        <v>13</v>
      </c>
      <c r="E59" s="4">
        <f t="shared" ref="E59" si="41">E54</f>
        <v>1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ref="C60:C90" si="42">C59</f>
        <v>13</v>
      </c>
      <c r="D60" s="4" t="str">
        <f t="shared" si="0"/>
        <v>13</v>
      </c>
      <c r="E60" s="4">
        <f t="shared" ref="E60" si="43">E59+1</f>
        <v>2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8"/>
        <v>13</v>
      </c>
      <c r="D61" s="4" t="str">
        <f t="shared" si="0"/>
        <v>13</v>
      </c>
      <c r="E61" s="4">
        <f t="shared" si="9"/>
        <v>3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8"/>
        <v>13</v>
      </c>
      <c r="D62" s="4" t="str">
        <f t="shared" si="0"/>
        <v>13</v>
      </c>
      <c r="E62" s="4">
        <f t="shared" si="9"/>
        <v>4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8"/>
        <v>13</v>
      </c>
      <c r="D63" s="4" t="str">
        <f t="shared" si="0"/>
        <v>13</v>
      </c>
      <c r="E63" s="4">
        <f t="shared" si="9"/>
        <v>5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40"/>
        <v>14</v>
      </c>
      <c r="D64" s="4" t="str">
        <f t="shared" ref="D64:D93" si="44">B64&amp;C64</f>
        <v>14</v>
      </c>
      <c r="E64" s="4">
        <f t="shared" ref="E64" si="45">E59</f>
        <v>1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42"/>
        <v>14</v>
      </c>
      <c r="D65" s="4" t="str">
        <f t="shared" si="44"/>
        <v>14</v>
      </c>
      <c r="E65" s="4">
        <f t="shared" ref="E65" si="46">E64+1</f>
        <v>2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8"/>
        <v>14</v>
      </c>
      <c r="D66" s="4" t="str">
        <f t="shared" si="44"/>
        <v>14</v>
      </c>
      <c r="E66" s="4">
        <f t="shared" si="9"/>
        <v>3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8"/>
        <v>14</v>
      </c>
      <c r="D67" s="4" t="str">
        <f t="shared" si="44"/>
        <v>14</v>
      </c>
      <c r="E67" s="4">
        <f t="shared" si="9"/>
        <v>4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8"/>
        <v>14</v>
      </c>
      <c r="D68" s="4" t="str">
        <f t="shared" si="44"/>
        <v>14</v>
      </c>
      <c r="E68" s="4">
        <f t="shared" si="9"/>
        <v>5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40"/>
        <v>15</v>
      </c>
      <c r="D69" s="4" t="str">
        <f t="shared" si="44"/>
        <v>15</v>
      </c>
      <c r="E69" s="4">
        <f t="shared" ref="E69" si="47">E64</f>
        <v>1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42"/>
        <v>15</v>
      </c>
      <c r="D70" s="4" t="str">
        <f t="shared" si="44"/>
        <v>15</v>
      </c>
      <c r="E70" s="4">
        <f t="shared" ref="E70" si="48">E69+1</f>
        <v>2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8"/>
        <v>15</v>
      </c>
      <c r="D71" s="4" t="str">
        <f t="shared" si="44"/>
        <v>15</v>
      </c>
      <c r="E71" s="4">
        <f t="shared" si="9"/>
        <v>3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8"/>
        <v>15</v>
      </c>
      <c r="D72" s="4" t="str">
        <f t="shared" si="44"/>
        <v>15</v>
      </c>
      <c r="E72" s="4">
        <f t="shared" si="9"/>
        <v>4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8"/>
        <v>15</v>
      </c>
      <c r="D73" s="4" t="str">
        <f t="shared" si="44"/>
        <v>15</v>
      </c>
      <c r="E73" s="4">
        <f t="shared" si="9"/>
        <v>5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40"/>
        <v>16</v>
      </c>
      <c r="D74" s="4" t="str">
        <f t="shared" si="44"/>
        <v>16</v>
      </c>
      <c r="E74" s="4">
        <f t="shared" ref="E74" si="49">E69</f>
        <v>1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42"/>
        <v>16</v>
      </c>
      <c r="D75" s="4" t="str">
        <f t="shared" si="44"/>
        <v>16</v>
      </c>
      <c r="E75" s="4">
        <f t="shared" ref="E75:E93" si="50">E74+1</f>
        <v>2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8"/>
        <v>16</v>
      </c>
      <c r="D76" s="4" t="str">
        <f t="shared" si="44"/>
        <v>16</v>
      </c>
      <c r="E76" s="4">
        <f t="shared" si="50"/>
        <v>3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8"/>
        <v>16</v>
      </c>
      <c r="D77" s="4" t="str">
        <f t="shared" si="44"/>
        <v>16</v>
      </c>
      <c r="E77" s="4">
        <f t="shared" si="50"/>
        <v>4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8"/>
        <v>16</v>
      </c>
      <c r="D78" s="4" t="str">
        <f t="shared" si="44"/>
        <v>16</v>
      </c>
      <c r="E78" s="4">
        <f t="shared" si="50"/>
        <v>5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40"/>
        <v>17</v>
      </c>
      <c r="D79" s="4" t="str">
        <f t="shared" si="44"/>
        <v>17</v>
      </c>
      <c r="E79" s="4">
        <f t="shared" ref="E79" si="51">E74</f>
        <v>1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42"/>
        <v>17</v>
      </c>
      <c r="D80" s="4" t="str">
        <f t="shared" si="44"/>
        <v>17</v>
      </c>
      <c r="E80" s="4">
        <f t="shared" ref="E80" si="52">E79+1</f>
        <v>2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8"/>
        <v>17</v>
      </c>
      <c r="D81" s="4" t="str">
        <f t="shared" si="44"/>
        <v>17</v>
      </c>
      <c r="E81" s="4">
        <f t="shared" si="50"/>
        <v>3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8"/>
        <v>17</v>
      </c>
      <c r="D82" s="4" t="str">
        <f t="shared" si="44"/>
        <v>17</v>
      </c>
      <c r="E82" s="4">
        <f t="shared" si="50"/>
        <v>4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8"/>
        <v>17</v>
      </c>
      <c r="D83" s="4" t="str">
        <f t="shared" si="44"/>
        <v>17</v>
      </c>
      <c r="E83" s="4">
        <f t="shared" si="50"/>
        <v>5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40"/>
        <v>18</v>
      </c>
      <c r="D84" s="4" t="str">
        <f t="shared" si="44"/>
        <v>18</v>
      </c>
      <c r="E84" s="4">
        <f t="shared" ref="E84" si="53">E79</f>
        <v>1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42"/>
        <v>18</v>
      </c>
      <c r="D85" s="4" t="str">
        <f t="shared" si="44"/>
        <v>18</v>
      </c>
      <c r="E85" s="4">
        <f t="shared" ref="E85" si="54">E84+1</f>
        <v>2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8"/>
        <v>18</v>
      </c>
      <c r="D86" s="4" t="str">
        <f t="shared" si="44"/>
        <v>18</v>
      </c>
      <c r="E86" s="4">
        <f t="shared" si="50"/>
        <v>3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8"/>
        <v>18</v>
      </c>
      <c r="D87" s="4" t="str">
        <f t="shared" si="44"/>
        <v>18</v>
      </c>
      <c r="E87" s="4">
        <f t="shared" si="50"/>
        <v>4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8"/>
        <v>18</v>
      </c>
      <c r="D88" s="4" t="str">
        <f t="shared" si="44"/>
        <v>18</v>
      </c>
      <c r="E88" s="4">
        <f t="shared" si="50"/>
        <v>5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40"/>
        <v>19</v>
      </c>
      <c r="D89" s="4" t="str">
        <f t="shared" si="44"/>
        <v>19</v>
      </c>
      <c r="E89" s="4">
        <f t="shared" ref="E89" si="55">E84</f>
        <v>1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42"/>
        <v>19</v>
      </c>
      <c r="D90" s="4" t="str">
        <f t="shared" si="44"/>
        <v>19</v>
      </c>
      <c r="E90" s="4">
        <f t="shared" ref="E90" si="56">E89+1</f>
        <v>2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8"/>
        <v>19</v>
      </c>
      <c r="D91" s="4" t="str">
        <f t="shared" si="44"/>
        <v>19</v>
      </c>
      <c r="E91" s="4">
        <f t="shared" si="50"/>
        <v>3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8"/>
        <v>19</v>
      </c>
      <c r="D92" s="4" t="str">
        <f t="shared" si="44"/>
        <v>19</v>
      </c>
      <c r="E92" s="4">
        <f t="shared" si="50"/>
        <v>4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8"/>
        <v>19</v>
      </c>
      <c r="D93" s="4" t="str">
        <f t="shared" si="44"/>
        <v>19</v>
      </c>
      <c r="E93" s="4">
        <f t="shared" si="50"/>
        <v>5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15"/>
      <c r="B94" s="15"/>
      <c r="C94" s="15"/>
      <c r="D94" s="15"/>
      <c r="E94" s="15"/>
      <c r="F94" s="16"/>
      <c r="G94" s="16"/>
      <c r="H94" s="16"/>
      <c r="I94" s="16"/>
      <c r="J94" s="16"/>
      <c r="K94" s="16"/>
      <c r="L94" s="16"/>
      <c r="M94" s="16"/>
      <c r="N94" s="16"/>
      <c r="O94" s="17"/>
      <c r="P94" s="17"/>
      <c r="Q94" s="17"/>
      <c r="R94" s="17"/>
    </row>
    <row r="96" spans="1:18" x14ac:dyDescent="0.55000000000000004">
      <c r="A96" t="s">
        <v>9</v>
      </c>
      <c r="F96" t="s">
        <v>8</v>
      </c>
    </row>
    <row r="97" spans="1:6" x14ac:dyDescent="0.55000000000000004">
      <c r="A97">
        <f>MAX(A$2:A$94)</f>
        <v>0</v>
      </c>
      <c r="F97">
        <f>MAX(F$2:F$94)</f>
        <v>0</v>
      </c>
    </row>
    <row r="98" spans="1:6" x14ac:dyDescent="0.55000000000000004">
      <c r="A98" t="s">
        <v>40</v>
      </c>
      <c r="D98" t="s">
        <v>14</v>
      </c>
      <c r="E98" t="s">
        <v>13</v>
      </c>
    </row>
    <row r="99" spans="1:6" x14ac:dyDescent="0.55000000000000004">
      <c r="A99">
        <f>ROW(A95)-ROW(A1)-1</f>
        <v>93</v>
      </c>
      <c r="D99">
        <f>COUNTIF(D$2:D$94,D98)</f>
        <v>0</v>
      </c>
      <c r="E99" s="25">
        <f>_xlfn.MAXIFS(E$2:E$94,$D$2:$D$94,E98)</f>
        <v>0</v>
      </c>
    </row>
    <row r="100" spans="1:6" x14ac:dyDescent="0.55000000000000004">
      <c r="D100" t="s">
        <v>12</v>
      </c>
      <c r="E100" t="s">
        <v>12</v>
      </c>
    </row>
    <row r="101" spans="1:6" x14ac:dyDescent="0.55000000000000004">
      <c r="D101">
        <f>COUNTIF(D$2:D$94,D100)</f>
        <v>0</v>
      </c>
      <c r="E101" s="25">
        <f>_xlfn.MAXIFS(E$2:E$94,$D$2:$D$94,E100)</f>
        <v>0</v>
      </c>
    </row>
  </sheetData>
  <autoFilter ref="A1:R93" xr:uid="{48D32264-F25D-40E9-9C76-26E43E79C8CC}">
    <sortState xmlns:xlrd2="http://schemas.microsoft.com/office/spreadsheetml/2017/richdata2" ref="A2:R93">
      <sortCondition ref="D1:D93"/>
    </sortState>
  </autoFilter>
  <phoneticPr fontId="1"/>
  <conditionalFormatting sqref="A2:R94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C:\tk\prj\hg-0025-0016\精度を高める\rtc\[20260130_1906_幅50巻.xlsx]Sheet1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IFERROR(MATCH($G$3:$G$202&amp;$H$3:$H$202,info_index!$D$2:$D$94&amp;info_index!$E$2:$E$94,0),"")</f>
        <v>1</v>
      </c>
      <c r="K3" t="str" cm="1">
        <f t="array" aca="1" ref="K3:K202" ca="1">IF(LEN(_xlfn.ANCHORARRAY(J3)),INDEX(OFFSET(info_index!$H$2:$H$94,0,$B$23),MATCH($G$3:$G$202&amp;$H$3:$H$202,info_index!$D$2:$D$94&amp;info_index!$E$2:$E$94,0),1)&amp;"","")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IFERROR(INDEX(info_index!$J$2:$J$94,MATCH($G$3:$G$202&amp;$H$3:$H$202,info_index!$D$2:$D$94&amp;info_index!$E$2:$E$94,0),1)&amp;"","")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IF(LEN(_xlfn.ANCHORARRAY(J3)),INDEX(OFFSET(info_index!$L$2:$L$94,0,$B$23),MATCH($G$3:$G$202&amp;$H$3:$H$202,info_index!$D$2:$D$94&amp;info_index!$E$2:$E$94,0),1)&amp;"","")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C:\tk\prj\hg-0025-0016\精度を高める\rtc\[20260130_1906_幅50巻.xlsx]Sheet1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Start supply operation</v>
      </c>
      <c r="L5" t="str">
        <f ca="1"/>
        <v>Start supply operation</v>
      </c>
      <c r="N5" t="str">
        <f ca="1"/>
        <v>【13】 Start supply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//Start supply operation
	ELSIF uiInfoIdx = 3 THEN</v>
      </c>
      <c r="AC5" t="str">
        <f ca="1"/>
        <v xml:space="preserve">
	//Start supply operation
	ELSIF uiInfoIdx = 3 THEN
		IF strInfoKey = 'name' THEN</v>
      </c>
      <c r="AD5" t="str">
        <f ca="1"/>
        <v xml:space="preserve">
	//Start supply operation
	ELSIF uiInfoIdx = 3 THEN
		IF strInfoKey = 'name' THEN
			strRt	:= 'Start supply operation';</v>
      </c>
      <c r="AE5" t="str">
        <f ca="1"/>
        <v xml:space="preserve">
	//Start supply operation
	ELSIF uiInfoIdx = 3 THEN
		IF strInfoKey = 'name' THEN
			strRt	:= 'Start supply operation';
		ELSIF strInfoKey = 'index_name' THEN</v>
      </c>
      <c r="AF5" t="str">
        <f ca="1"/>
        <v xml:space="preserve">
	//Start supply operation
	ELSIF uiInfoIdx = 3 THEN
		IF strInfoKey = 'name' THEN
			strRt	:= 'Start supply operation';
		ELSIF strInfoKey = 'index_name' THEN
			strRt	:= '【13】 Start supply operation';</v>
      </c>
      <c r="AG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</v>
      </c>
      <c r="AH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</v>
      </c>
      <c r="AI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</v>
      </c>
      <c r="AJ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</v>
      </c>
      <c r="AK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
		ELSE
			uiErrCode	:= 3;
		END_IF;</v>
      </c>
      <c r="AL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
		ELSE
			uiErrCode	:= 3;
		END_IF;</v>
      </c>
      <c r="AM5" t="str">
        <f ca="1"/>
        <v xml:space="preserve">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Supply operation</v>
      </c>
      <c r="L6" t="str">
        <f ca="1"/>
        <v>Supply operation</v>
      </c>
      <c r="N6" t="str">
        <f ca="1"/>
        <v>【14】 Supply operation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//Supply operation
	ELSIF uiInfoIdx = 4 THEN</v>
      </c>
      <c r="AC6" t="str">
        <f ca="1"/>
        <v xml:space="preserve">
	//Supply operation
	ELSIF uiInfoIdx = 4 THEN
		IF strInfoKey = 'name' THEN</v>
      </c>
      <c r="AD6" t="str">
        <f ca="1"/>
        <v xml:space="preserve">
	//Supply operation
	ELSIF uiInfoIdx = 4 THEN
		IF strInfoKey = 'name' THEN
			strRt	:= 'Supply operation';</v>
      </c>
      <c r="AE6" t="str">
        <f ca="1"/>
        <v xml:space="preserve">
	//Supply operation
	ELSIF uiInfoIdx = 4 THEN
		IF strInfoKey = 'name' THEN
			strRt	:= 'Supply operation';
		ELSIF strInfoKey = 'index_name' THEN</v>
      </c>
      <c r="AF6" t="str">
        <f ca="1"/>
        <v xml:space="preserve">
	//Supply operation
	ELSIF uiInfoIdx = 4 THEN
		IF strInfoKey = 'name' THEN
			strRt	:= 'Supply operation';
		ELSIF strInfoKey = 'index_name' THEN
			strRt	:= '【14】 Supply operation';</v>
      </c>
      <c r="AG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</v>
      </c>
      <c r="AH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</v>
      </c>
      <c r="AI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
		ELSIF strInfoKey = 'mf' THEN</v>
      </c>
      <c r="AJ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</v>
      </c>
      <c r="AK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
		ELSE
			uiErrCode	:= 3;
		END_IF;</v>
      </c>
      <c r="AL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
		ELSE
			uiErrCode	:= 3;
		END_IF;</v>
      </c>
      <c r="AM6" t="str">
        <f ca="1"/>
        <v xml:space="preserve">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Cut operation</v>
      </c>
      <c r="L7" t="str">
        <f ca="1"/>
        <v>Cut operation</v>
      </c>
      <c r="N7" t="str">
        <f ca="1"/>
        <v>【15】 Cut operation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//Cut operation
	ELSIF uiInfoIdx = 5 THEN</v>
      </c>
      <c r="AC7" t="str">
        <f ca="1"/>
        <v xml:space="preserve">
	//Cut operation
	ELSIF uiInfoIdx = 5 THEN
		IF strInfoKey = 'name' THEN</v>
      </c>
      <c r="AD7" t="str">
        <f ca="1"/>
        <v xml:space="preserve">
	//Cut operation
	ELSIF uiInfoIdx = 5 THEN
		IF strInfoKey = 'name' THEN
			strRt	:= 'Cut operation';</v>
      </c>
      <c r="AE7" t="str">
        <f ca="1"/>
        <v xml:space="preserve">
	//Cut operation
	ELSIF uiInfoIdx = 5 THEN
		IF strInfoKey = 'name' THEN
			strRt	:= 'Cut operation';
		ELSIF strInfoKey = 'index_name' THEN</v>
      </c>
      <c r="AF7" t="str">
        <f ca="1"/>
        <v xml:space="preserve">
	//Cut operation
	ELSIF uiInfoIdx = 5 THEN
		IF strInfoKey = 'name' THEN
			strRt	:= 'Cut operation';
		ELSIF strInfoKey = 'index_name' THEN
			strRt	:= '【15】 Cut operation';</v>
      </c>
      <c r="AG7" t="str">
        <f ca="1"/>
        <v xml:space="preserve">
	//Cut operation
	ELSIF uiInfoIdx = 5 THEN
		IF strInfoKey = 'name' THEN
			strRt	:= 'Cut operation';
		ELSIF strInfoKey = 'index_name' THEN
			strRt	:= '【15】 Cut operation';
		ELSIF strInfoKey = 'model' THEN</v>
      </c>
      <c r="AH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</v>
      </c>
      <c r="AI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
		ELSIF strInfoKey = 'mf' THEN</v>
      </c>
      <c r="AJ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</v>
      </c>
      <c r="AK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
		ELSE
			uiErrCode	:= 3;
		END_IF;</v>
      </c>
      <c r="AL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
		ELSE
			uiErrCode	:= 3;
		END_IF;</v>
      </c>
      <c r="AM7" t="str">
        <f ca="1"/>
        <v xml:space="preserve">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C:\tk\prj\hg-0025-0016\精度を高める\rtc\[20260130_1906_幅50巻.xlsx]Sheet1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
		ELSE
			uiErrCode	:= 3;
		END_IF;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
		ELSE
			uiErrCode	:= 3;
		END_IF;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Start supply operation</v>
      </c>
      <c r="L15" t="str">
        <f ca="1"/>
        <v>Start supply operation</v>
      </c>
      <c r="N15" t="str">
        <f ca="1"/>
        <v>【23】 Start supply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//Start supply operation
	ELSIF uiInfoIdx = 3 THEN</v>
      </c>
      <c r="AC15" t="str">
        <f ca="1"/>
        <v xml:space="preserve">
	//Start supply operation
	ELSIF uiInfoIdx = 3 THEN
		IF strInfoKey = 'name' THEN</v>
      </c>
      <c r="AD15" t="str">
        <f ca="1"/>
        <v xml:space="preserve">
	//Start supply operation
	ELSIF uiInfoIdx = 3 THEN
		IF strInfoKey = 'name' THEN
			strRt	:= 'Start supply operation';</v>
      </c>
      <c r="AE15" t="str">
        <f ca="1"/>
        <v xml:space="preserve">
	//Start supply operation
	ELSIF uiInfoIdx = 3 THEN
		IF strInfoKey = 'name' THEN
			strRt	:= 'Start supply operation';
		ELSIF strInfoKey = 'index_name' THEN</v>
      </c>
      <c r="AF15" t="str">
        <f ca="1"/>
        <v xml:space="preserve">
	//Start supply operation
	ELSIF uiInfoIdx = 3 THEN
		IF strInfoKey = 'name' THEN
			strRt	:= 'Start supply operation';
		ELSIF strInfoKey = 'index_name' THEN
			strRt	:= '【23】 Start supply operation';</v>
      </c>
      <c r="AG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</v>
      </c>
      <c r="AH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</v>
      </c>
      <c r="AI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</v>
      </c>
      <c r="AJ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</v>
      </c>
      <c r="AK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L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M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operation</v>
      </c>
      <c r="L16" t="str">
        <f ca="1"/>
        <v>Supply operation</v>
      </c>
      <c r="N16" t="str">
        <f ca="1"/>
        <v>【24】 Supply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operation
	ELSIF uiInfoIdx = 4 THEN</v>
      </c>
      <c r="AC16" t="str">
        <f ca="1"/>
        <v xml:space="preserve">
	//Supply operation
	ELSIF uiInfoIdx = 4 THEN
		IF strInfoKey = 'name' THEN</v>
      </c>
      <c r="AD16" t="str">
        <f ca="1"/>
        <v xml:space="preserve">
	//Supply operation
	ELSIF uiInfoIdx = 4 THEN
		IF strInfoKey = 'name' THEN
			strRt	:= 'Supply operation';</v>
      </c>
      <c r="AE16" t="str">
        <f ca="1"/>
        <v xml:space="preserve">
	//Supply operation
	ELSIF uiInfoIdx = 4 THEN
		IF strInfoKey = 'name' THEN
			strRt	:= 'Supply operation';
		ELSIF strInfoKey = 'index_name' THEN</v>
      </c>
      <c r="AF16" t="str">
        <f ca="1"/>
        <v xml:space="preserve">
	//Supply operation
	ELSIF uiInfoIdx = 4 THEN
		IF strInfoKey = 'name' THEN
			strRt	:= 'Supply operation';
		ELSIF strInfoKey = 'index_name' THEN
			strRt	:= '【24】 Supply operation';</v>
      </c>
      <c r="AG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</v>
      </c>
      <c r="AH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</v>
      </c>
      <c r="AI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</v>
      </c>
      <c r="AJ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</v>
      </c>
      <c r="AK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L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M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Cut operation</v>
      </c>
      <c r="L17" t="str">
        <f ca="1"/>
        <v>Cut operation</v>
      </c>
      <c r="N17" t="str">
        <f ca="1"/>
        <v>【25】 Cut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//Cut operation
	ELSIF uiInfoIdx = 5 THEN</v>
      </c>
      <c r="AC17" t="str">
        <f ca="1"/>
        <v xml:space="preserve">
	//Cut operation
	ELSIF uiInfoIdx = 5 THEN
		IF strInfoKey = 'name' THEN</v>
      </c>
      <c r="AD17" t="str">
        <f ca="1"/>
        <v xml:space="preserve">
	//Cut operation
	ELSIF uiInfoIdx = 5 THEN
		IF strInfoKey = 'name' THEN
			strRt	:= 'Cut operation';</v>
      </c>
      <c r="AE17" t="str">
        <f ca="1"/>
        <v xml:space="preserve">
	//Cut operation
	ELSIF uiInfoIdx = 5 THEN
		IF strInfoKey = 'name' THEN
			strRt	:= 'Cut operation';
		ELSIF strInfoKey = 'index_name' THEN</v>
      </c>
      <c r="AF17" t="str">
        <f ca="1"/>
        <v xml:space="preserve">
	//Cut operation
	ELSIF uiInfoIdx = 5 THEN
		IF strInfoKey = 'name' THEN
			strRt	:= 'Cut operation';
		ELSIF strInfoKey = 'index_name' THEN
			strRt	:= '【25】 Cut operation';</v>
      </c>
      <c r="AG17" t="str">
        <f ca="1"/>
        <v xml:space="preserve">
	//Cut operation
	ELSIF uiInfoIdx = 5 THEN
		IF strInfoKey = 'name' THEN
			strRt	:= 'Cut operation';
		ELSIF strInfoKey = 'index_name' THEN
			strRt	:= '【25】 Cut operation';
		ELSIF strInfoKey = 'model' THEN</v>
      </c>
      <c r="AH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</v>
      </c>
      <c r="AI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</v>
      </c>
      <c r="AJ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</v>
      </c>
      <c r="AK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L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M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Supply confirmation operation</v>
      </c>
      <c r="L18" t="str">
        <f ca="1"/>
        <v>Supply confirmation operation</v>
      </c>
      <c r="N18" t="str">
        <f ca="1"/>
        <v>【26】 Supply confirmation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//Supply confirmation operation
	ELSIF uiInfoIdx = 6 THEN</v>
      </c>
      <c r="AC18" t="str">
        <f ca="1"/>
        <v xml:space="preserve">
	//Supply confirmation operation
	ELSIF uiInfoIdx = 6 THEN
		IF strInfoKey = 'name' THEN</v>
      </c>
      <c r="AD18" t="str">
        <f ca="1"/>
        <v xml:space="preserve">
	//Supply confirmation operation
	ELSIF uiInfoIdx = 6 THEN
		IF strInfoKey = 'name' THEN
			strRt	:= 'Supply confirmation operation';</v>
      </c>
      <c r="AE18" t="str">
        <f ca="1"/>
        <v xml:space="preserve">
	//Supply confirmation operation
	ELSIF uiInfoIdx = 6 THEN
		IF strInfoKey = 'name' THEN
			strRt	:= 'Supply confirmation operation';
		ELSIF strInfoKey = 'index_name' THEN</v>
      </c>
      <c r="AF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</v>
      </c>
      <c r="AG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</v>
      </c>
      <c r="AH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</v>
      </c>
      <c r="AI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</v>
      </c>
      <c r="AJ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</v>
      </c>
      <c r="AK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L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M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Measurement preparation</v>
      </c>
      <c r="L54" t="str">
        <f ca="1"/>
        <v>Measurement preparation</v>
      </c>
      <c r="N54" t="str">
        <f ca="1"/>
        <v>【62】 Measurement preparation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//Measurement preparation
	ELSIF uiInfoIdx = 2 THEN</v>
      </c>
      <c r="AC54" t="str">
        <f ca="1"/>
        <v xml:space="preserve">
	//Measurement preparation
	ELSIF uiInfoIdx = 2 THEN
		IF strInfoKey = 'name' THEN</v>
      </c>
      <c r="AD54" t="str">
        <f ca="1"/>
        <v xml:space="preserve">
	//Measurement preparation
	ELSIF uiInfoIdx = 2 THEN
		IF strInfoKey = 'name' THEN
			strRt	:= 'Measurement preparation';</v>
      </c>
      <c r="AE54" t="str">
        <f ca="1"/>
        <v xml:space="preserve">
	//Measurement preparation
	ELSIF uiInfoIdx = 2 THEN
		IF strInfoKey = 'name' THEN
			strRt	:= 'Measurement preparation';
		ELSIF strInfoKey = 'index_name' THEN</v>
      </c>
      <c r="AF54" t="str">
        <f ca="1"/>
        <v xml:space="preserve">
	//Measurement preparation
	ELSIF uiInfoIdx = 2 THEN
		IF strInfoKey = 'name' THEN
			strRt	:= 'Measurement preparation';
		ELSIF strInfoKey = 'index_name' THEN
			strRt	:= '【62】 Measurement preparation';</v>
      </c>
      <c r="AG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</v>
      </c>
      <c r="AH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</v>
      </c>
      <c r="AI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</v>
      </c>
      <c r="AJ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</v>
      </c>
      <c r="AK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
		ELSE
			uiErrCode	:= 3;
		END_IF;</v>
      </c>
      <c r="AL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
		ELSE
			uiErrCode	:= 3;
		END_IF;</v>
      </c>
      <c r="AM54" t="str">
        <f ca="1"/>
        <v xml:space="preserve">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Measurement operation during winding</v>
      </c>
      <c r="L55" t="str">
        <f ca="1"/>
        <v>Measurement operation during winding</v>
      </c>
      <c r="N55" t="str">
        <f ca="1"/>
        <v>【63】 Measurement operation during winding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//Measurement operation during winding
	ELSIF uiInfoIdx = 3 THEN</v>
      </c>
      <c r="AC55" t="str">
        <f ca="1"/>
        <v xml:space="preserve">
	//Measurement operation during winding
	ELSIF uiInfoIdx = 3 THEN
		IF strInfoKey = 'name' THEN</v>
      </c>
      <c r="AD55" t="str">
        <f ca="1"/>
        <v xml:space="preserve">
	//Measurement operation during winding
	ELSIF uiInfoIdx = 3 THEN
		IF strInfoKey = 'name' THEN
			strRt	:= 'Measurement operation during winding';</v>
      </c>
      <c r="AE55" t="str">
        <f ca="1"/>
        <v xml:space="preserve">
	//Measurement operation during winding
	ELSIF uiInfoIdx = 3 THEN
		IF strInfoKey = 'name' THEN
			strRt	:= 'Measurement operation during winding';
		ELSIF strInfoKey = 'index_name' THEN</v>
      </c>
      <c r="AF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</v>
      </c>
      <c r="AG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</v>
      </c>
      <c r="AH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</v>
      </c>
      <c r="AI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</v>
      </c>
      <c r="AJ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</v>
      </c>
      <c r="AK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
		ELSE
			uiErrCode	:= 3;
		END_IF;</v>
      </c>
      <c r="AL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
		ELSE
			uiErrCode	:= 3;
		END_IF;</v>
      </c>
      <c r="AM55" t="str">
        <f ca="1"/>
        <v xml:space="preserve">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27</v>
      </c>
      <c r="K56" t="str">
        <f ca="1"/>
        <v>Discharge operation</v>
      </c>
      <c r="L56" t="str">
        <f ca="1"/>
        <v>Discharge operation</v>
      </c>
      <c r="N56" t="str">
        <f ca="1"/>
        <v>【64】 Discharge operation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//Discharge operation
	ELSIF uiInfoIdx = 4 THEN</v>
      </c>
      <c r="AC56" t="str">
        <f ca="1"/>
        <v xml:space="preserve">
	//Discharge operation
	ELSIF uiInfoIdx = 4 THEN
		IF strInfoKey = 'name' THEN</v>
      </c>
      <c r="AD56" t="str">
        <f ca="1"/>
        <v xml:space="preserve">
	//Discharge operation
	ELSIF uiInfoIdx = 4 THEN
		IF strInfoKey = 'name' THEN
			strRt	:= 'Discharge operation';</v>
      </c>
      <c r="AE56" t="str">
        <f ca="1"/>
        <v xml:space="preserve">
	//Discharge operation
	ELSIF uiInfoIdx = 4 THEN
		IF strInfoKey = 'name' THEN
			strRt	:= 'Discharge operation';
		ELSIF strInfoKey = 'index_name' THEN</v>
      </c>
      <c r="AF56" t="str">
        <f ca="1"/>
        <v xml:space="preserve">
	//Discharge operation
	ELSIF uiInfoIdx = 4 THEN
		IF strInfoKey = 'name' THEN
			strRt	:= 'Discharge operation';
		ELSIF strInfoKey = 'index_name' THEN
			strRt	:= '【64】 Discharge operation';</v>
      </c>
      <c r="AG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</v>
      </c>
      <c r="AH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</v>
      </c>
      <c r="AI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</v>
      </c>
      <c r="AJ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</v>
      </c>
      <c r="AK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  <c r="AL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  <c r="AM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C:\tk\prj\hg-0025-0016\精度を高める\rtc\[20260130_1906_幅50巻.xlsx]Sheet1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'【13】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'【14】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'【15】 Cut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//Measurement preparation
	ELSIF uiInfoIdx = 2 THEN
		IF strInfoKey = 'name' THEN
			strRt	:= 'Measurement preparation';
		ELSIF strInfoKey = 'index_name' THEN
			strRt	:= '【62】 Measurement preparation';
		ELSIF strInfoKey = 'model' THEN
			strRt	:= 'unknown';
		ELSIF strInfoKey = 'mf' THEN
			strRt	:= 'unknown';
		ELSE
			uiErrCode	:= 3;
		END_IF;
	//Measurement operation during winding
	ELSIF uiInfoIdx = 3 THEN
		IF strInfoKey = 'name' THEN
			strRt	:= 'Measurement operation during winding';
		ELSIF strInfoKey = 'index_name' THEN
			strRt	:= '【63】 Measurement operation during winding';
		ELSIF strInfoKey = 'model' THEN
			strRt	:= 'unknown';
		ELSIF strInfoKey = 'mf' THEN
			strRt	:= 'unknown';
		ELSE
			uiErrCode	:= 3;
		END_IF;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2026-01-30T12:40:26Z</dcterms:modified>
</cp:coreProperties>
</file>