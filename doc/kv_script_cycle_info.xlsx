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k\prj\hg-0025-0016\git\kv-x520\doc\"/>
    </mc:Choice>
  </mc:AlternateContent>
  <xr:revisionPtr revIDLastSave="0" documentId="13_ncr:1_{54BADA3E-1C8F-4C8B-AB90-08D156404917}" xr6:coauthVersionLast="47" xr6:coauthVersionMax="47" xr10:uidLastSave="{00000000-0000-0000-0000-000000000000}"/>
  <bookViews>
    <workbookView xWindow="-110" yWindow="-110" windowWidth="38620" windowHeight="21100" activeTab="1" xr2:uid="{181063BD-94E1-4A36-8B86-700C2293C5C2}"/>
  </bookViews>
  <sheets>
    <sheet name="info_index" sheetId="1" r:id="rId1"/>
    <sheet name="info_script" sheetId="3" r:id="rId2"/>
  </sheets>
  <definedNames>
    <definedName name="_xlnm._FilterDatabase" localSheetId="0" hidden="1">info_index!$A$1:$R$89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D11" i="1" s="1"/>
  <c r="E11" i="1"/>
  <c r="F73" i="3"/>
  <c r="G73" i="3" s="1"/>
  <c r="G3" i="3"/>
  <c r="F13" i="3" l="1"/>
  <c r="G13" i="3" s="1"/>
  <c r="F14" i="3" l="1"/>
  <c r="F23" i="3"/>
  <c r="F33" i="3" l="1"/>
  <c r="F24" i="3"/>
  <c r="G23" i="3"/>
  <c r="G14" i="3"/>
  <c r="F15" i="3"/>
  <c r="F16" i="3" l="1"/>
  <c r="G15" i="3"/>
  <c r="F34" i="3"/>
  <c r="F43" i="3"/>
  <c r="G33" i="3"/>
  <c r="F25" i="3"/>
  <c r="G24" i="3"/>
  <c r="F26" i="3" l="1"/>
  <c r="G25" i="3"/>
  <c r="F17" i="3"/>
  <c r="G16" i="3"/>
  <c r="G43" i="3"/>
  <c r="F53" i="3"/>
  <c r="F44" i="3"/>
  <c r="G34" i="3"/>
  <c r="F35" i="3"/>
  <c r="F54" i="3" l="1"/>
  <c r="F63" i="3"/>
  <c r="G53" i="3"/>
  <c r="F45" i="3"/>
  <c r="G44" i="3"/>
  <c r="G17" i="3"/>
  <c r="F18" i="3"/>
  <c r="G35" i="3"/>
  <c r="F36" i="3"/>
  <c r="G26" i="3"/>
  <c r="F27" i="3"/>
  <c r="G18" i="3" l="1"/>
  <c r="F19" i="3"/>
  <c r="G45" i="3"/>
  <c r="F46" i="3"/>
  <c r="G27" i="3"/>
  <c r="F28" i="3"/>
  <c r="F37" i="3"/>
  <c r="G36" i="3"/>
  <c r="F55" i="3"/>
  <c r="G54" i="3"/>
  <c r="F47" i="3" l="1"/>
  <c r="G46" i="3"/>
  <c r="G19" i="3"/>
  <c r="F20" i="3"/>
  <c r="G55" i="3"/>
  <c r="F56" i="3"/>
  <c r="G37" i="3"/>
  <c r="F38" i="3"/>
  <c r="G28" i="3"/>
  <c r="F29" i="3"/>
  <c r="F30" i="3" l="1"/>
  <c r="G29" i="3"/>
  <c r="F48" i="3"/>
  <c r="G47" i="3"/>
  <c r="F39" i="3"/>
  <c r="G38" i="3"/>
  <c r="G56" i="3"/>
  <c r="F57" i="3"/>
  <c r="G20" i="3"/>
  <c r="F21" i="3"/>
  <c r="F58" i="3" l="1"/>
  <c r="G57" i="3"/>
  <c r="G39" i="3"/>
  <c r="F40" i="3"/>
  <c r="G48" i="3"/>
  <c r="F49" i="3"/>
  <c r="F22" i="3"/>
  <c r="G22" i="3" s="1"/>
  <c r="G21" i="3"/>
  <c r="G30" i="3"/>
  <c r="F31" i="3"/>
  <c r="E7" i="1"/>
  <c r="E8" i="1" s="1"/>
  <c r="E3" i="1"/>
  <c r="E4" i="1" s="1"/>
  <c r="E6" i="1" s="1"/>
  <c r="D2" i="1"/>
  <c r="C7" i="1"/>
  <c r="C14" i="1" s="1"/>
  <c r="C17" i="1" s="1"/>
  <c r="D17" i="1" s="1"/>
  <c r="C3" i="1"/>
  <c r="C4" i="1" s="1"/>
  <c r="C5" i="1" s="1"/>
  <c r="C6" i="1" s="1"/>
  <c r="F4" i="3"/>
  <c r="G4" i="3" s="1"/>
  <c r="AC1" i="3"/>
  <c r="AE1" i="3" s="1"/>
  <c r="AG1" i="3" s="1"/>
  <c r="AI1" i="3" s="1"/>
  <c r="AK1" i="3" s="1"/>
  <c r="B14" i="3" s="1"/>
  <c r="G49" i="3" l="1"/>
  <c r="F50" i="3"/>
  <c r="F41" i="3"/>
  <c r="G40" i="3"/>
  <c r="F32" i="3"/>
  <c r="G32" i="3" s="1"/>
  <c r="G31" i="3"/>
  <c r="F5" i="3"/>
  <c r="G58" i="3"/>
  <c r="F59" i="3"/>
  <c r="E9" i="1"/>
  <c r="E10" i="1" s="1"/>
  <c r="E13" i="1" s="1"/>
  <c r="D6" i="1"/>
  <c r="D14" i="1"/>
  <c r="E14" i="1"/>
  <c r="E15" i="1" s="1"/>
  <c r="E16" i="1" s="1"/>
  <c r="D4" i="1"/>
  <c r="D3" i="1"/>
  <c r="D5" i="1"/>
  <c r="D7" i="1"/>
  <c r="C8" i="1"/>
  <c r="C9" i="1" s="1"/>
  <c r="D9" i="1" s="1"/>
  <c r="C18" i="1"/>
  <c r="C23" i="1"/>
  <c r="C15" i="1"/>
  <c r="B3" i="3" a="1"/>
  <c r="B3" i="3" s="1"/>
  <c r="B5" i="3" s="1"/>
  <c r="H3" i="3"/>
  <c r="A95" i="1"/>
  <c r="F93" i="1"/>
  <c r="A93" i="1"/>
  <c r="F6" i="3" l="1"/>
  <c r="G5" i="3"/>
  <c r="H5" i="3" s="1"/>
  <c r="F60" i="3"/>
  <c r="G59" i="3"/>
  <c r="F42" i="3"/>
  <c r="G42" i="3" s="1"/>
  <c r="G41" i="3"/>
  <c r="F51" i="3"/>
  <c r="G50" i="3"/>
  <c r="E17" i="1"/>
  <c r="E23" i="1" s="1"/>
  <c r="E26" i="1" s="1"/>
  <c r="D23" i="1"/>
  <c r="C26" i="1"/>
  <c r="C19" i="1"/>
  <c r="D18" i="1"/>
  <c r="D8" i="1"/>
  <c r="C16" i="1"/>
  <c r="D15" i="1"/>
  <c r="C24" i="1"/>
  <c r="H4" i="3"/>
  <c r="F7" i="3" l="1"/>
  <c r="G6" i="3"/>
  <c r="G51" i="3"/>
  <c r="F52" i="3"/>
  <c r="G52" i="3" s="1"/>
  <c r="G60" i="3"/>
  <c r="F61" i="3"/>
  <c r="E31" i="1"/>
  <c r="E27" i="1"/>
  <c r="E32" i="1" s="1"/>
  <c r="E18" i="1"/>
  <c r="E19" i="1" s="1"/>
  <c r="E20" i="1" s="1"/>
  <c r="E21" i="1" s="1"/>
  <c r="E22" i="1" s="1"/>
  <c r="C27" i="1"/>
  <c r="D26" i="1"/>
  <c r="C31" i="1"/>
  <c r="E24" i="1"/>
  <c r="E25" i="1" s="1"/>
  <c r="D16" i="1"/>
  <c r="C10" i="1"/>
  <c r="C12" i="1" s="1"/>
  <c r="C13" i="1" s="1"/>
  <c r="D13" i="1" s="1"/>
  <c r="C25" i="1"/>
  <c r="D24" i="1"/>
  <c r="C20" i="1"/>
  <c r="D19" i="1"/>
  <c r="H6" i="3"/>
  <c r="C28" i="1" l="1"/>
  <c r="D28" i="1" s="1"/>
  <c r="C32" i="1"/>
  <c r="D32" i="1" s="1"/>
  <c r="E30" i="1"/>
  <c r="E28" i="1"/>
  <c r="F8" i="3"/>
  <c r="G7" i="3"/>
  <c r="H7" i="3" s="1"/>
  <c r="F62" i="3"/>
  <c r="G62" i="3" s="1"/>
  <c r="G61" i="3"/>
  <c r="D12" i="1"/>
  <c r="C29" i="1"/>
  <c r="C30" i="1" s="1"/>
  <c r="D30" i="1" s="1"/>
  <c r="D27" i="1"/>
  <c r="E34" i="1"/>
  <c r="C33" i="1"/>
  <c r="C34" i="1"/>
  <c r="D31" i="1"/>
  <c r="D10" i="1"/>
  <c r="C21" i="1"/>
  <c r="D20" i="1"/>
  <c r="D25" i="1"/>
  <c r="G8" i="3" l="1"/>
  <c r="H8" i="3" s="1"/>
  <c r="F9" i="3"/>
  <c r="D21" i="1"/>
  <c r="C22" i="1"/>
  <c r="D29" i="1"/>
  <c r="D34" i="1"/>
  <c r="C35" i="1"/>
  <c r="D33" i="1"/>
  <c r="E35" i="1"/>
  <c r="G9" i="3" l="1"/>
  <c r="F10" i="3"/>
  <c r="D22" i="1"/>
  <c r="E36" i="1"/>
  <c r="E37" i="1" s="1"/>
  <c r="E38" i="1" s="1"/>
  <c r="E39" i="1" s="1"/>
  <c r="E40" i="1"/>
  <c r="C40" i="1"/>
  <c r="D35" i="1"/>
  <c r="C36" i="1"/>
  <c r="G10" i="3" l="1"/>
  <c r="F11" i="3"/>
  <c r="H9" i="3"/>
  <c r="E45" i="1"/>
  <c r="E41" i="1"/>
  <c r="E42" i="1" s="1"/>
  <c r="E43" i="1" s="1"/>
  <c r="E44" i="1" s="1"/>
  <c r="C37" i="1"/>
  <c r="D36" i="1"/>
  <c r="C45" i="1"/>
  <c r="C41" i="1"/>
  <c r="D40" i="1"/>
  <c r="G11" i="3" l="1"/>
  <c r="H11" i="3" s="1"/>
  <c r="F12" i="3"/>
  <c r="G12" i="3" s="1"/>
  <c r="H30" i="3"/>
  <c r="H10" i="3"/>
  <c r="H33" i="3"/>
  <c r="C42" i="1"/>
  <c r="D41" i="1"/>
  <c r="C50" i="1"/>
  <c r="D45" i="1"/>
  <c r="C46" i="1"/>
  <c r="D37" i="1"/>
  <c r="C38" i="1"/>
  <c r="E50" i="1"/>
  <c r="E46" i="1"/>
  <c r="E47" i="1" s="1"/>
  <c r="E48" i="1" s="1"/>
  <c r="E49" i="1" s="1"/>
  <c r="H29" i="3" l="1"/>
  <c r="H31" i="3"/>
  <c r="H32" i="3"/>
  <c r="H28" i="3"/>
  <c r="H34" i="3"/>
  <c r="C39" i="1"/>
  <c r="D39" i="1" s="1"/>
  <c r="D38" i="1"/>
  <c r="D46" i="1"/>
  <c r="C47" i="1"/>
  <c r="C55" i="1"/>
  <c r="D50" i="1"/>
  <c r="C51" i="1"/>
  <c r="E55" i="1"/>
  <c r="E51" i="1"/>
  <c r="E52" i="1" s="1"/>
  <c r="E53" i="1" s="1"/>
  <c r="E54" i="1" s="1"/>
  <c r="D42" i="1"/>
  <c r="C43" i="1"/>
  <c r="H12" i="3"/>
  <c r="H35" i="3" l="1"/>
  <c r="C52" i="1"/>
  <c r="D51" i="1"/>
  <c r="C48" i="1"/>
  <c r="D47" i="1"/>
  <c r="E56" i="1"/>
  <c r="E57" i="1" s="1"/>
  <c r="E58" i="1" s="1"/>
  <c r="E59" i="1" s="1"/>
  <c r="E60" i="1"/>
  <c r="C60" i="1"/>
  <c r="D55" i="1"/>
  <c r="C56" i="1"/>
  <c r="C44" i="1"/>
  <c r="D44" i="1" s="1"/>
  <c r="D43" i="1"/>
  <c r="H13" i="3"/>
  <c r="H36" i="3" l="1"/>
  <c r="C65" i="1"/>
  <c r="D60" i="1"/>
  <c r="C61" i="1"/>
  <c r="D48" i="1"/>
  <c r="C49" i="1"/>
  <c r="D49" i="1" s="1"/>
  <c r="E61" i="1"/>
  <c r="E62" i="1" s="1"/>
  <c r="E63" i="1" s="1"/>
  <c r="E64" i="1" s="1"/>
  <c r="E65" i="1"/>
  <c r="D56" i="1"/>
  <c r="C57" i="1"/>
  <c r="D52" i="1"/>
  <c r="C53" i="1"/>
  <c r="H14" i="3"/>
  <c r="H37" i="3" l="1"/>
  <c r="E66" i="1"/>
  <c r="E67" i="1" s="1"/>
  <c r="E68" i="1" s="1"/>
  <c r="E69" i="1" s="1"/>
  <c r="E70" i="1"/>
  <c r="D53" i="1"/>
  <c r="C54" i="1"/>
  <c r="D54" i="1" s="1"/>
  <c r="D61" i="1"/>
  <c r="C62" i="1"/>
  <c r="C58" i="1"/>
  <c r="D57" i="1"/>
  <c r="D65" i="1"/>
  <c r="C70" i="1"/>
  <c r="C66" i="1"/>
  <c r="H15" i="3"/>
  <c r="H38" i="3" l="1"/>
  <c r="D62" i="1"/>
  <c r="C63" i="1"/>
  <c r="D58" i="1"/>
  <c r="C59" i="1"/>
  <c r="D59" i="1" s="1"/>
  <c r="D66" i="1"/>
  <c r="C67" i="1"/>
  <c r="D70" i="1"/>
  <c r="C75" i="1"/>
  <c r="C71" i="1"/>
  <c r="E75" i="1"/>
  <c r="E71" i="1"/>
  <c r="E72" i="1" s="1"/>
  <c r="E73" i="1" s="1"/>
  <c r="E74" i="1" s="1"/>
  <c r="H16" i="3"/>
  <c r="H39" i="3" l="1"/>
  <c r="C80" i="1"/>
  <c r="D75" i="1"/>
  <c r="C76" i="1"/>
  <c r="C68" i="1"/>
  <c r="D67" i="1"/>
  <c r="E80" i="1"/>
  <c r="E76" i="1"/>
  <c r="E77" i="1" s="1"/>
  <c r="E78" i="1" s="1"/>
  <c r="E79" i="1" s="1"/>
  <c r="C64" i="1"/>
  <c r="D64" i="1" s="1"/>
  <c r="D63" i="1"/>
  <c r="C72" i="1"/>
  <c r="D71" i="1"/>
  <c r="H17" i="3"/>
  <c r="H40" i="3" l="1"/>
  <c r="E81" i="1"/>
  <c r="E82" i="1" s="1"/>
  <c r="E83" i="1" s="1"/>
  <c r="E84" i="1" s="1"/>
  <c r="E85" i="1"/>
  <c r="E86" i="1" s="1"/>
  <c r="E87" i="1" s="1"/>
  <c r="E88" i="1" s="1"/>
  <c r="E89" i="1" s="1"/>
  <c r="C69" i="1"/>
  <c r="D69" i="1" s="1"/>
  <c r="D68" i="1"/>
  <c r="C77" i="1"/>
  <c r="D76" i="1"/>
  <c r="C73" i="1"/>
  <c r="D72" i="1"/>
  <c r="C81" i="1"/>
  <c r="C85" i="1"/>
  <c r="D80" i="1"/>
  <c r="H18" i="3"/>
  <c r="H41" i="3" l="1"/>
  <c r="D73" i="1"/>
  <c r="C74" i="1"/>
  <c r="D74" i="1" s="1"/>
  <c r="D77" i="1"/>
  <c r="C78" i="1"/>
  <c r="C86" i="1"/>
  <c r="D85" i="1"/>
  <c r="D81" i="1"/>
  <c r="C82" i="1"/>
  <c r="H19" i="3"/>
  <c r="H42" i="3" l="1"/>
  <c r="D78" i="1"/>
  <c r="C79" i="1"/>
  <c r="D79" i="1" s="1"/>
  <c r="C87" i="1"/>
  <c r="D86" i="1"/>
  <c r="D82" i="1"/>
  <c r="C83" i="1"/>
  <c r="H20" i="3"/>
  <c r="H43" i="3" l="1"/>
  <c r="D87" i="1"/>
  <c r="C88" i="1"/>
  <c r="D83" i="1"/>
  <c r="C84" i="1"/>
  <c r="D84" i="1" s="1"/>
  <c r="H21" i="3"/>
  <c r="H44" i="3" l="1"/>
  <c r="C89" i="1"/>
  <c r="D89" i="1" s="1"/>
  <c r="D88" i="1"/>
  <c r="H22" i="3"/>
  <c r="H45" i="3" l="1"/>
  <c r="H23" i="3"/>
  <c r="H46" i="3" l="1"/>
  <c r="E95" i="1"/>
  <c r="D95" i="1"/>
  <c r="D97" i="1"/>
  <c r="E97" i="1"/>
  <c r="H24" i="3"/>
  <c r="H47" i="3" l="1"/>
  <c r="H25" i="3"/>
  <c r="H48" i="3" l="1"/>
  <c r="H26" i="3"/>
  <c r="H49" i="3" l="1"/>
  <c r="H27" i="3"/>
  <c r="H50" i="3" l="1"/>
  <c r="H51" i="3" l="1"/>
  <c r="H52" i="3" l="1"/>
  <c r="H53" i="3" l="1"/>
  <c r="H54" i="3" l="1"/>
  <c r="H55" i="3" l="1"/>
  <c r="H56" i="3" l="1"/>
  <c r="H57" i="3" l="1"/>
  <c r="H58" i="3" l="1"/>
  <c r="H59" i="3" l="1"/>
  <c r="H60" i="3" l="1"/>
  <c r="H61" i="3" l="1"/>
  <c r="H62" i="3" l="1"/>
  <c r="G63" i="3" l="1"/>
  <c r="H63" i="3" s="1"/>
  <c r="F64" i="3"/>
  <c r="F65" i="3" l="1"/>
  <c r="G64" i="3"/>
  <c r="H64" i="3" s="1"/>
  <c r="F66" i="3" l="1"/>
  <c r="G65" i="3"/>
  <c r="H65" i="3" s="1"/>
  <c r="G66" i="3" l="1"/>
  <c r="H66" i="3" s="1"/>
  <c r="F67" i="3"/>
  <c r="G67" i="3" l="1"/>
  <c r="H67" i="3" s="1"/>
  <c r="F68" i="3"/>
  <c r="F69" i="3" l="1"/>
  <c r="G68" i="3"/>
  <c r="H68" i="3" s="1"/>
  <c r="F70" i="3" l="1"/>
  <c r="G69" i="3"/>
  <c r="H69" i="3" s="1"/>
  <c r="G70" i="3" l="1"/>
  <c r="H70" i="3" s="1"/>
  <c r="F71" i="3"/>
  <c r="G71" i="3" l="1"/>
  <c r="H71" i="3" s="1"/>
  <c r="F72" i="3"/>
  <c r="G72" i="3" l="1"/>
  <c r="H72" i="3" s="1"/>
  <c r="F74" i="3" l="1"/>
  <c r="H73" i="3"/>
  <c r="F75" i="3" l="1"/>
  <c r="G74" i="3"/>
  <c r="H74" i="3" s="1"/>
  <c r="F76" i="3" l="1"/>
  <c r="G75" i="3"/>
  <c r="H75" i="3" s="1"/>
  <c r="F77" i="3" l="1"/>
  <c r="G76" i="3"/>
  <c r="H76" i="3" s="1"/>
  <c r="F78" i="3" l="1"/>
  <c r="G77" i="3"/>
  <c r="H77" i="3" s="1"/>
  <c r="G78" i="3" l="1"/>
  <c r="H78" i="3" s="1"/>
  <c r="F79" i="3"/>
  <c r="G79" i="3" l="1"/>
  <c r="H79" i="3" s="1"/>
  <c r="F80" i="3"/>
  <c r="F81" i="3" l="1"/>
  <c r="G80" i="3"/>
  <c r="H80" i="3" s="1"/>
  <c r="F82" i="3" l="1"/>
  <c r="G81" i="3"/>
  <c r="H81" i="3" s="1"/>
  <c r="F83" i="3" l="1"/>
  <c r="G82" i="3"/>
  <c r="H82" i="3" s="1"/>
  <c r="G83" i="3" l="1"/>
  <c r="H83" i="3" s="1"/>
  <c r="F84" i="3"/>
  <c r="F85" i="3" l="1"/>
  <c r="G84" i="3"/>
  <c r="H84" i="3" s="1"/>
  <c r="F86" i="3" l="1"/>
  <c r="G85" i="3"/>
  <c r="H85" i="3" s="1"/>
  <c r="F87" i="3" l="1"/>
  <c r="G86" i="3"/>
  <c r="H86" i="3" s="1"/>
  <c r="G87" i="3" l="1"/>
  <c r="H87" i="3" s="1"/>
  <c r="F88" i="3"/>
  <c r="G88" i="3" l="1"/>
  <c r="H88" i="3" s="1"/>
  <c r="F89" i="3"/>
  <c r="G89" i="3" l="1"/>
  <c r="H89" i="3" s="1"/>
  <c r="F90" i="3"/>
  <c r="G90" i="3" l="1"/>
  <c r="H90" i="3" s="1"/>
  <c r="F91" i="3"/>
  <c r="F92" i="3" l="1"/>
  <c r="G91" i="3"/>
  <c r="H91" i="3" s="1"/>
  <c r="G92" i="3" l="1"/>
  <c r="H92" i="3" s="1"/>
  <c r="F93" i="3"/>
  <c r="F94" i="3" l="1"/>
  <c r="G93" i="3"/>
  <c r="H93" i="3" s="1"/>
  <c r="G94" i="3" l="1"/>
  <c r="H94" i="3" s="1"/>
  <c r="F95" i="3"/>
  <c r="G95" i="3" l="1"/>
  <c r="H95" i="3" s="1"/>
  <c r="F96" i="3"/>
  <c r="F97" i="3" l="1"/>
  <c r="G96" i="3"/>
  <c r="H96" i="3" s="1"/>
  <c r="F98" i="3" l="1"/>
  <c r="G97" i="3"/>
  <c r="H97" i="3" s="1"/>
  <c r="G98" i="3" l="1"/>
  <c r="H98" i="3" s="1"/>
  <c r="F99" i="3"/>
  <c r="G99" i="3" l="1"/>
  <c r="H99" i="3" s="1"/>
  <c r="F100" i="3"/>
  <c r="F101" i="3" l="1"/>
  <c r="G100" i="3"/>
  <c r="H100" i="3" s="1"/>
  <c r="F102" i="3" l="1"/>
  <c r="G101" i="3"/>
  <c r="H101" i="3" s="1"/>
  <c r="G102" i="3" l="1"/>
  <c r="H102" i="3" s="1"/>
  <c r="F103" i="3"/>
  <c r="G103" i="3" l="1"/>
  <c r="H103" i="3" s="1"/>
  <c r="F104" i="3"/>
  <c r="F105" i="3" l="1"/>
  <c r="G104" i="3"/>
  <c r="H104" i="3" s="1"/>
  <c r="F106" i="3" l="1"/>
  <c r="G105" i="3"/>
  <c r="H105" i="3" s="1"/>
  <c r="G106" i="3" l="1"/>
  <c r="H106" i="3" s="1"/>
  <c r="F107" i="3"/>
  <c r="G107" i="3" l="1"/>
  <c r="H107" i="3" s="1"/>
  <c r="F108" i="3"/>
  <c r="G108" i="3" l="1"/>
  <c r="H108" i="3" s="1"/>
  <c r="F109" i="3"/>
  <c r="F110" i="3" l="1"/>
  <c r="G109" i="3"/>
  <c r="H109" i="3" s="1"/>
  <c r="G110" i="3" l="1"/>
  <c r="H110" i="3" s="1"/>
  <c r="F111" i="3"/>
  <c r="G111" i="3" l="1"/>
  <c r="H111" i="3" s="1"/>
  <c r="F112" i="3"/>
  <c r="G112" i="3" l="1"/>
  <c r="H112" i="3" s="1"/>
  <c r="F113" i="3"/>
  <c r="F114" i="3" l="1"/>
  <c r="G113" i="3"/>
  <c r="H113" i="3" s="1"/>
  <c r="G114" i="3" l="1"/>
  <c r="H114" i="3" s="1"/>
  <c r="F115" i="3"/>
  <c r="F116" i="3" l="1"/>
  <c r="G115" i="3"/>
  <c r="H115" i="3" s="1"/>
  <c r="F117" i="3" l="1"/>
  <c r="G116" i="3"/>
  <c r="H116" i="3" s="1"/>
  <c r="G117" i="3" l="1"/>
  <c r="H117" i="3" s="1"/>
  <c r="F118" i="3"/>
  <c r="G118" i="3" l="1"/>
  <c r="H118" i="3" s="1"/>
  <c r="F119" i="3"/>
  <c r="G119" i="3" l="1"/>
  <c r="H119" i="3" s="1"/>
  <c r="F120" i="3"/>
  <c r="G120" i="3" l="1"/>
  <c r="H120" i="3" s="1"/>
  <c r="F121" i="3"/>
  <c r="F122" i="3" l="1"/>
  <c r="G121" i="3"/>
  <c r="H121" i="3" s="1"/>
  <c r="G122" i="3" l="1"/>
  <c r="H122" i="3" s="1"/>
  <c r="F123" i="3"/>
  <c r="G123" i="3" l="1"/>
  <c r="H123" i="3" s="1"/>
  <c r="F124" i="3"/>
  <c r="G124" i="3" l="1"/>
  <c r="H124" i="3" s="1"/>
  <c r="F125" i="3"/>
  <c r="G125" i="3" l="1"/>
  <c r="H125" i="3" s="1"/>
  <c r="F126" i="3"/>
  <c r="F127" i="3" l="1"/>
  <c r="G126" i="3"/>
  <c r="H126" i="3" s="1"/>
  <c r="G127" i="3" l="1"/>
  <c r="H127" i="3" s="1"/>
  <c r="F128" i="3"/>
  <c r="F129" i="3" l="1"/>
  <c r="G128" i="3"/>
  <c r="H128" i="3" s="1"/>
  <c r="G129" i="3" l="1"/>
  <c r="H129" i="3" s="1"/>
  <c r="F130" i="3"/>
  <c r="G130" i="3" l="1"/>
  <c r="H130" i="3" s="1"/>
  <c r="F131" i="3"/>
  <c r="G131" i="3" l="1"/>
  <c r="H131" i="3" s="1"/>
  <c r="F132" i="3"/>
  <c r="G132" i="3" l="1"/>
  <c r="H132" i="3" s="1"/>
  <c r="F133" i="3"/>
  <c r="F134" i="3" l="1"/>
  <c r="G133" i="3"/>
  <c r="H133" i="3" s="1"/>
  <c r="G134" i="3" l="1"/>
  <c r="H134" i="3" s="1"/>
  <c r="F135" i="3"/>
  <c r="G135" i="3" l="1"/>
  <c r="H135" i="3" s="1"/>
  <c r="F136" i="3"/>
  <c r="G136" i="3" l="1"/>
  <c r="H136" i="3" s="1"/>
  <c r="F137" i="3"/>
  <c r="G137" i="3" l="1"/>
  <c r="H137" i="3" s="1"/>
  <c r="F138" i="3"/>
  <c r="G138" i="3" l="1"/>
  <c r="H138" i="3" s="1"/>
  <c r="F139" i="3"/>
  <c r="G139" i="3" l="1"/>
  <c r="H139" i="3" s="1"/>
  <c r="F140" i="3"/>
  <c r="G140" i="3" l="1"/>
  <c r="H140" i="3" s="1"/>
  <c r="F141" i="3"/>
  <c r="F142" i="3" l="1"/>
  <c r="G141" i="3"/>
  <c r="H141" i="3" s="1"/>
  <c r="G142" i="3" l="1"/>
  <c r="H142" i="3" s="1"/>
  <c r="F143" i="3"/>
  <c r="G143" i="3" l="1"/>
  <c r="H143" i="3" s="1"/>
  <c r="F144" i="3"/>
  <c r="G144" i="3" l="1"/>
  <c r="H144" i="3" s="1"/>
  <c r="F145" i="3"/>
  <c r="F146" i="3" l="1"/>
  <c r="G145" i="3"/>
  <c r="H145" i="3" s="1"/>
  <c r="F147" i="3" l="1"/>
  <c r="G146" i="3"/>
  <c r="H146" i="3" s="1"/>
  <c r="G147" i="3" l="1"/>
  <c r="H147" i="3" s="1"/>
  <c r="F148" i="3"/>
  <c r="F149" i="3" l="1"/>
  <c r="G148" i="3"/>
  <c r="H148" i="3" s="1"/>
  <c r="F150" i="3" l="1"/>
  <c r="G149" i="3"/>
  <c r="H149" i="3" s="1"/>
  <c r="G150" i="3" l="1"/>
  <c r="H150" i="3" s="1"/>
  <c r="F151" i="3"/>
  <c r="F152" i="3" l="1"/>
  <c r="G151" i="3"/>
  <c r="H151" i="3" s="1"/>
  <c r="G152" i="3" l="1"/>
  <c r="H152" i="3" s="1"/>
  <c r="F153" i="3"/>
  <c r="G153" i="3" l="1"/>
  <c r="H153" i="3" s="1"/>
  <c r="F154" i="3"/>
  <c r="F155" i="3" l="1"/>
  <c r="G154" i="3"/>
  <c r="H154" i="3" s="1"/>
  <c r="G155" i="3" l="1"/>
  <c r="H155" i="3" s="1"/>
  <c r="F156" i="3"/>
  <c r="F157" i="3" l="1"/>
  <c r="G156" i="3"/>
  <c r="H156" i="3" s="1"/>
  <c r="F158" i="3" l="1"/>
  <c r="G157" i="3"/>
  <c r="H157" i="3" s="1"/>
  <c r="G158" i="3" l="1"/>
  <c r="H158" i="3" s="1"/>
  <c r="F159" i="3"/>
  <c r="G159" i="3" l="1"/>
  <c r="H159" i="3" s="1"/>
  <c r="F160" i="3"/>
  <c r="G160" i="3" l="1"/>
  <c r="H160" i="3" s="1"/>
  <c r="F161" i="3"/>
  <c r="F162" i="3" l="1"/>
  <c r="G161" i="3"/>
  <c r="H161" i="3" s="1"/>
  <c r="G162" i="3" l="1"/>
  <c r="H162" i="3" s="1"/>
  <c r="F163" i="3"/>
  <c r="G163" i="3" l="1"/>
  <c r="H163" i="3" s="1"/>
  <c r="F164" i="3"/>
  <c r="F165" i="3" l="1"/>
  <c r="G164" i="3"/>
  <c r="H164" i="3" s="1"/>
  <c r="F166" i="3" l="1"/>
  <c r="G165" i="3"/>
  <c r="H165" i="3" s="1"/>
  <c r="G166" i="3" l="1"/>
  <c r="H166" i="3" s="1"/>
  <c r="F167" i="3"/>
  <c r="G167" i="3" l="1"/>
  <c r="H167" i="3" s="1"/>
  <c r="F168" i="3"/>
  <c r="G168" i="3" l="1"/>
  <c r="H168" i="3" s="1"/>
  <c r="F169" i="3"/>
  <c r="F170" i="3" l="1"/>
  <c r="G169" i="3"/>
  <c r="H169" i="3" s="1"/>
  <c r="G170" i="3" l="1"/>
  <c r="H170" i="3" s="1"/>
  <c r="F171" i="3"/>
  <c r="G171" i="3" l="1"/>
  <c r="H171" i="3" s="1"/>
  <c r="F172" i="3"/>
  <c r="F173" i="3" l="1"/>
  <c r="G172" i="3"/>
  <c r="H172" i="3" s="1"/>
  <c r="G173" i="3" l="1"/>
  <c r="H173" i="3" s="1"/>
  <c r="F174" i="3"/>
  <c r="G174" i="3" l="1"/>
  <c r="H174" i="3" s="1"/>
  <c r="F175" i="3"/>
  <c r="G175" i="3" l="1"/>
  <c r="H175" i="3" s="1"/>
  <c r="F176" i="3"/>
  <c r="G176" i="3" l="1"/>
  <c r="H176" i="3" s="1"/>
  <c r="F177" i="3"/>
  <c r="F178" i="3" l="1"/>
  <c r="G177" i="3"/>
  <c r="H177" i="3" s="1"/>
  <c r="F179" i="3" l="1"/>
  <c r="G178" i="3"/>
  <c r="H178" i="3" s="1"/>
  <c r="G179" i="3" l="1"/>
  <c r="H179" i="3" s="1"/>
  <c r="F180" i="3"/>
  <c r="F181" i="3" l="1"/>
  <c r="G180" i="3"/>
  <c r="H180" i="3" s="1"/>
  <c r="F182" i="3" l="1"/>
  <c r="G181" i="3"/>
  <c r="H181" i="3" s="1"/>
  <c r="G182" i="3" l="1"/>
  <c r="H182" i="3" s="1"/>
  <c r="F183" i="3"/>
  <c r="F184" i="3" l="1"/>
  <c r="G183" i="3"/>
  <c r="H183" i="3" s="1"/>
  <c r="G184" i="3" l="1"/>
  <c r="H184" i="3" s="1"/>
  <c r="F185" i="3"/>
  <c r="F186" i="3" l="1"/>
  <c r="G185" i="3"/>
  <c r="H185" i="3" s="1"/>
  <c r="G186" i="3" l="1"/>
  <c r="H186" i="3" s="1"/>
  <c r="F187" i="3"/>
  <c r="F188" i="3" l="1"/>
  <c r="G187" i="3"/>
  <c r="H187" i="3" s="1"/>
  <c r="G188" i="3" l="1"/>
  <c r="H188" i="3" s="1"/>
  <c r="F189" i="3"/>
  <c r="F190" i="3" l="1"/>
  <c r="G189" i="3"/>
  <c r="H189" i="3" s="1"/>
  <c r="G190" i="3" l="1"/>
  <c r="H190" i="3" s="1"/>
  <c r="F191" i="3"/>
  <c r="F192" i="3" l="1"/>
  <c r="G191" i="3"/>
  <c r="H191" i="3" s="1"/>
  <c r="G192" i="3" l="1"/>
  <c r="H192" i="3" s="1"/>
  <c r="F193" i="3"/>
  <c r="F194" i="3" l="1"/>
  <c r="G193" i="3"/>
  <c r="H193" i="3" s="1"/>
  <c r="G194" i="3" l="1"/>
  <c r="H194" i="3" s="1"/>
  <c r="F195" i="3"/>
  <c r="G195" i="3" l="1"/>
  <c r="H195" i="3" s="1"/>
  <c r="F196" i="3"/>
  <c r="F197" i="3" l="1"/>
  <c r="G196" i="3"/>
  <c r="H196" i="3" s="1"/>
  <c r="F198" i="3" l="1"/>
  <c r="G197" i="3"/>
  <c r="H197" i="3" s="1"/>
  <c r="G198" i="3" l="1"/>
  <c r="H198" i="3" s="1"/>
  <c r="F199" i="3"/>
  <c r="F200" i="3" l="1"/>
  <c r="G199" i="3"/>
  <c r="H199" i="3" s="1"/>
  <c r="G200" i="3" l="1"/>
  <c r="H200" i="3" s="1"/>
  <c r="F201" i="3"/>
  <c r="G201" i="3" l="1"/>
  <c r="H201" i="3" s="1"/>
  <c r="F202" i="3"/>
  <c r="G202" i="3" s="1"/>
  <c r="H202" i="3" l="1"/>
  <c r="I4" i="3" s="1" a="1"/>
  <c r="I4" i="3" s="1"/>
  <c r="J3" i="3" l="1" a="1"/>
  <c r="O3" i="3" a="1"/>
  <c r="O3" i="3" s="1"/>
  <c r="J3" i="3" l="1"/>
  <c r="Q3" i="3" s="1" a="1"/>
  <c r="Q3" i="3" s="1"/>
  <c r="R3" i="3" s="1" a="1"/>
  <c r="R3" i="3" s="1"/>
  <c r="P3" i="3" l="1" a="1"/>
  <c r="P3" i="3" s="1"/>
  <c r="K3" i="3" a="1"/>
  <c r="K3" i="3" s="1"/>
  <c r="L3" i="3" l="1" a="1"/>
  <c r="L3" i="3" s="1"/>
  <c r="Z3" i="3" s="1" a="1"/>
  <c r="Z3" i="3" s="1"/>
  <c r="AA3" i="3" s="1" a="1"/>
  <c r="AA3" i="3" s="1"/>
  <c r="AB3" i="3" s="1" a="1"/>
  <c r="AB3" i="3" s="1"/>
  <c r="AC3" i="3" s="1" a="1"/>
  <c r="AC3" i="3" s="1"/>
  <c r="AD3" i="3" s="1" a="1"/>
  <c r="AD3" i="3" s="1"/>
  <c r="N3" i="3" l="1" a="1"/>
  <c r="N3" i="3" s="1"/>
  <c r="AE3" i="3" s="1" a="1"/>
  <c r="AE3" i="3" s="1"/>
  <c r="AF3" i="3" s="1" a="1"/>
  <c r="AF3" i="3" s="1"/>
  <c r="AG3" i="3" s="1" a="1"/>
  <c r="AG3" i="3" s="1"/>
  <c r="AH3" i="3" s="1" a="1"/>
  <c r="AH3" i="3" s="1"/>
  <c r="AI3" i="3" s="1" a="1"/>
  <c r="AI3" i="3" s="1"/>
  <c r="AJ3" i="3" s="1" a="1"/>
  <c r="AJ3" i="3" s="1"/>
  <c r="AK3" i="3" s="1" a="1"/>
  <c r="AK3" i="3" s="1"/>
  <c r="AL3" i="3" s="1" a="1"/>
  <c r="AL3" i="3" s="1"/>
  <c r="AM3" i="3" s="1" a="1"/>
  <c r="AM3" i="3" s="1"/>
  <c r="AM205" i="3" s="1"/>
  <c r="B1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<sst xmlns="http://schemas.openxmlformats.org/spreadsheetml/2006/main" count="172" uniqueCount="128">
  <si>
    <t>メーカー</t>
    <phoneticPr fontId="1"/>
  </si>
  <si>
    <t>数量</t>
    <rPh sb="0" eb="2">
      <t>スウリョウ</t>
    </rPh>
    <phoneticPr fontId="1"/>
  </si>
  <si>
    <t>名称</t>
    <rPh sb="0" eb="2">
      <t>メイショウ</t>
    </rPh>
    <phoneticPr fontId="1"/>
  </si>
  <si>
    <t>型式</t>
    <rPh sb="0" eb="2">
      <t>カタシキ</t>
    </rPh>
    <phoneticPr fontId="1"/>
  </si>
  <si>
    <t>No.</t>
    <phoneticPr fontId="1"/>
  </si>
  <si>
    <t>st.</t>
    <phoneticPr fontId="1"/>
  </si>
  <si>
    <t>st.名</t>
    <rPh sb="3" eb="4">
      <t>メイ</t>
    </rPh>
    <phoneticPr fontId="1"/>
  </si>
  <si>
    <t>機器名</t>
    <rPh sb="0" eb="3">
      <t>キキメイ</t>
    </rPh>
    <phoneticPr fontId="1"/>
  </si>
  <si>
    <t>最大値</t>
  </si>
  <si>
    <t>最大値</t>
    <rPh sb="0" eb="3">
      <t>サイダイチ</t>
    </rPh>
    <phoneticPr fontId="1"/>
  </si>
  <si>
    <t>備考</t>
    <rPh sb="0" eb="2">
      <t>ビコウ</t>
    </rPh>
    <phoneticPr fontId="1"/>
  </si>
  <si>
    <t>type</t>
    <phoneticPr fontId="1"/>
  </si>
  <si>
    <t>cylinder</t>
  </si>
  <si>
    <t>axis</t>
  </si>
  <si>
    <t>axis</t>
    <phoneticPr fontId="1"/>
  </si>
  <si>
    <t>type index</t>
    <phoneticPr fontId="1"/>
  </si>
  <si>
    <t>機器名(EN)</t>
    <rPh sb="0" eb="2">
      <t>キキ</t>
    </rPh>
    <rPh sb="2" eb="3">
      <t>メイ</t>
    </rPh>
    <phoneticPr fontId="1"/>
  </si>
  <si>
    <t>コメント表記</t>
  </si>
  <si>
    <t>//</t>
  </si>
  <si>
    <t>代入式</t>
  </si>
  <si>
    <t>:=</t>
  </si>
  <si>
    <t>代入末尾</t>
  </si>
  <si>
    <t>;</t>
  </si>
  <si>
    <t>先頭注記</t>
  </si>
  <si>
    <t>末尾注記</t>
  </si>
  <si>
    <t>-----ここまで生成script-----</t>
  </si>
  <si>
    <t>ファイル</t>
  </si>
  <si>
    <t>生成script</t>
    <rPh sb="0" eb="2">
      <t>セイセイ</t>
    </rPh>
    <phoneticPr fontId="1"/>
  </si>
  <si>
    <t>returen</t>
    <phoneticPr fontId="1"/>
  </si>
  <si>
    <t>key2</t>
    <phoneticPr fontId="1"/>
  </si>
  <si>
    <t>key3</t>
    <phoneticPr fontId="1"/>
  </si>
  <si>
    <t>name</t>
    <phoneticPr fontId="1"/>
  </si>
  <si>
    <t>index_name</t>
    <phoneticPr fontId="1"/>
  </si>
  <si>
    <t>key1</t>
    <phoneticPr fontId="1"/>
  </si>
  <si>
    <t>if1</t>
    <phoneticPr fontId="1"/>
  </si>
  <si>
    <t>if2</t>
    <phoneticPr fontId="1"/>
  </si>
  <si>
    <t>if3</t>
    <phoneticPr fontId="1"/>
  </si>
  <si>
    <t>rt</t>
    <phoneticPr fontId="1"/>
  </si>
  <si>
    <t>else3</t>
    <phoneticPr fontId="1"/>
  </si>
  <si>
    <t>index_end</t>
    <phoneticPr fontId="1"/>
  </si>
  <si>
    <t>行数</t>
    <rPh sb="0" eb="2">
      <t>ギョウスウ</t>
    </rPh>
    <phoneticPr fontId="1"/>
  </si>
  <si>
    <t>言語</t>
    <rPh sb="0" eb="2">
      <t>ゲンゴ</t>
    </rPh>
    <phoneticPr fontId="1"/>
  </si>
  <si>
    <t>model</t>
    <phoneticPr fontId="1"/>
  </si>
  <si>
    <t>コメント</t>
    <phoneticPr fontId="1"/>
  </si>
  <si>
    <t>else3</t>
  </si>
  <si>
    <t>rt</t>
  </si>
  <si>
    <t>スクリプト</t>
    <phoneticPr fontId="1"/>
  </si>
  <si>
    <t>緒言</t>
    <rPh sb="0" eb="2">
      <t>ショゲン</t>
    </rPh>
    <phoneticPr fontId="1"/>
  </si>
  <si>
    <t>Err</t>
    <phoneticPr fontId="1"/>
  </si>
  <si>
    <t>endif3</t>
    <phoneticPr fontId="1"/>
  </si>
  <si>
    <t>endif2</t>
    <phoneticPr fontId="1"/>
  </si>
  <si>
    <t>Enbl</t>
    <phoneticPr fontId="1"/>
  </si>
  <si>
    <t>type_name</t>
    <phoneticPr fontId="1"/>
  </si>
  <si>
    <t>mf</t>
    <phoneticPr fontId="1"/>
  </si>
  <si>
    <t>メーカー(EN)</t>
    <phoneticPr fontId="1"/>
  </si>
  <si>
    <t>else4</t>
    <phoneticPr fontId="1"/>
  </si>
  <si>
    <t>装置内で使用される名称</t>
    <rPh sb="0" eb="2">
      <t>ソウチ</t>
    </rPh>
    <rPh sb="2" eb="3">
      <t>ナイ</t>
    </rPh>
    <rPh sb="4" eb="6">
      <t>シヨウ</t>
    </rPh>
    <rPh sb="9" eb="11">
      <t>メイショウ</t>
    </rPh>
    <phoneticPr fontId="1"/>
  </si>
  <si>
    <t>装置内の連番＋名称</t>
    <rPh sb="0" eb="2">
      <t>ソウチ</t>
    </rPh>
    <rPh sb="2" eb="3">
      <t>ナイ</t>
    </rPh>
    <rPh sb="4" eb="6">
      <t>レンバン</t>
    </rPh>
    <rPh sb="7" eb="9">
      <t>メイショウ</t>
    </rPh>
    <phoneticPr fontId="1"/>
  </si>
  <si>
    <t>使用される機器の型番</t>
    <rPh sb="0" eb="2">
      <t>シヨウ</t>
    </rPh>
    <rPh sb="5" eb="7">
      <t>キキ</t>
    </rPh>
    <rPh sb="8" eb="10">
      <t>カタバン</t>
    </rPh>
    <phoneticPr fontId="1"/>
  </si>
  <si>
    <t>使用される機器のメーカー</t>
    <rPh sb="0" eb="2">
      <t>シヨウ</t>
    </rPh>
    <rPh sb="5" eb="7">
      <t>キキ</t>
    </rPh>
    <phoneticPr fontId="1"/>
  </si>
  <si>
    <t>説明</t>
    <rPh sb="0" eb="2">
      <t>セツメイ</t>
    </rPh>
    <phoneticPr fontId="1"/>
  </si>
  <si>
    <t>key3 説明</t>
    <rPh sb="5" eb="7">
      <t>セツメイ</t>
    </rPh>
    <phoneticPr fontId="1"/>
  </si>
  <si>
    <t>strInfoType</t>
  </si>
  <si>
    <t>uiInfoIdx</t>
  </si>
  <si>
    <t>strInfoKey</t>
  </si>
  <si>
    <t>ソレノイドインデックス</t>
    <phoneticPr fontId="1"/>
  </si>
  <si>
    <t>ソレノイド親機インデックス</t>
    <rPh sb="5" eb="7">
      <t>オヤキ</t>
    </rPh>
    <phoneticPr fontId="1"/>
  </si>
  <si>
    <t>strRt</t>
  </si>
  <si>
    <t>uiErrCode</t>
  </si>
  <si>
    <t>原点復帰動作</t>
    <rPh sb="0" eb="4">
      <t>ゲンテンフッキ</t>
    </rPh>
    <rPh sb="4" eb="6">
      <t>ドウサ</t>
    </rPh>
    <phoneticPr fontId="1"/>
  </si>
  <si>
    <t>Home return operation</t>
  </si>
  <si>
    <t>供給準備動作</t>
    <rPh sb="0" eb="2">
      <t>キョウキュウ</t>
    </rPh>
    <rPh sb="2" eb="4">
      <t>ジュンビ</t>
    </rPh>
    <rPh sb="4" eb="6">
      <t>ドウサ</t>
    </rPh>
    <phoneticPr fontId="1"/>
  </si>
  <si>
    <t>平板供給部</t>
  </si>
  <si>
    <t>波板供給部</t>
  </si>
  <si>
    <t>箔ロウ供給部</t>
  </si>
  <si>
    <t>巻取り軸部</t>
  </si>
  <si>
    <t>溶接部</t>
  </si>
  <si>
    <t>排出部</t>
  </si>
  <si>
    <t>巻き動作</t>
    <rPh sb="0" eb="1">
      <t>マ</t>
    </rPh>
    <rPh sb="2" eb="4">
      <t>ドウサ</t>
    </rPh>
    <phoneticPr fontId="1"/>
  </si>
  <si>
    <t>巻き準備動作</t>
    <rPh sb="0" eb="1">
      <t>マ</t>
    </rPh>
    <rPh sb="2" eb="4">
      <t>ジュンビ</t>
    </rPh>
    <rPh sb="4" eb="6">
      <t>ドウサ</t>
    </rPh>
    <phoneticPr fontId="1"/>
  </si>
  <si>
    <t>巻き中測定動作</t>
    <rPh sb="0" eb="1">
      <t>マ</t>
    </rPh>
    <rPh sb="2" eb="3">
      <t>チュウ</t>
    </rPh>
    <rPh sb="3" eb="5">
      <t>ソクテイ</t>
    </rPh>
    <rPh sb="5" eb="7">
      <t>ドウサ</t>
    </rPh>
    <phoneticPr fontId="1"/>
  </si>
  <si>
    <t>巻き押え動作</t>
    <rPh sb="0" eb="1">
      <t>マ</t>
    </rPh>
    <rPh sb="2" eb="3">
      <t>オサ</t>
    </rPh>
    <rPh sb="4" eb="6">
      <t>ドウサ</t>
    </rPh>
    <phoneticPr fontId="1"/>
  </si>
  <si>
    <t>周長測定動作</t>
    <rPh sb="0" eb="2">
      <t>シュウチョウ</t>
    </rPh>
    <rPh sb="2" eb="4">
      <t>ソクテイ</t>
    </rPh>
    <rPh sb="4" eb="6">
      <t>ドウサ</t>
    </rPh>
    <phoneticPr fontId="1"/>
  </si>
  <si>
    <t>Supply preparation operation</t>
  </si>
  <si>
    <t>Winding preparation operation</t>
  </si>
  <si>
    <t>Winding operation</t>
  </si>
  <si>
    <t>Circumference measurement operation</t>
  </si>
  <si>
    <t>Winding clamping operation</t>
  </si>
  <si>
    <t>周長測定子プリセット</t>
    <rPh sb="0" eb="2">
      <t>シュウチョウ</t>
    </rPh>
    <rPh sb="2" eb="4">
      <t>ソクテイ</t>
    </rPh>
    <rPh sb="4" eb="5">
      <t>シ</t>
    </rPh>
    <phoneticPr fontId="1"/>
  </si>
  <si>
    <t>Circumference gauge preset</t>
  </si>
  <si>
    <t>溶接動作</t>
    <rPh sb="0" eb="2">
      <t>ヨウセツ</t>
    </rPh>
    <rPh sb="2" eb="4">
      <t>ドウサ</t>
    </rPh>
    <phoneticPr fontId="1"/>
  </si>
  <si>
    <t>箔ロウ巻き動作</t>
    <rPh sb="0" eb="1">
      <t>ハク</t>
    </rPh>
    <rPh sb="3" eb="4">
      <t>マ</t>
    </rPh>
    <rPh sb="5" eb="7">
      <t>ドウサ</t>
    </rPh>
    <phoneticPr fontId="1"/>
  </si>
  <si>
    <t>Foil brazing operation</t>
  </si>
  <si>
    <t>Welding operation</t>
  </si>
  <si>
    <t>供給動作</t>
    <rPh sb="0" eb="2">
      <t>キョウキュウ</t>
    </rPh>
    <rPh sb="2" eb="4">
      <t>ドウサ</t>
    </rPh>
    <phoneticPr fontId="1"/>
  </si>
  <si>
    <t>supply operation</t>
  </si>
  <si>
    <t>供給開始動作</t>
  </si>
  <si>
    <t>供給動作</t>
  </si>
  <si>
    <t>原点復帰動作</t>
  </si>
  <si>
    <t>供給準備動作</t>
  </si>
  <si>
    <t>カット動作</t>
  </si>
  <si>
    <t>Return to origin operation</t>
  </si>
  <si>
    <t>Preparation for supply operation</t>
  </si>
  <si>
    <t>Start supply operation</t>
  </si>
  <si>
    <t>Supply operation</t>
  </si>
  <si>
    <t>Cut operation</t>
  </si>
  <si>
    <t>計測準備</t>
    <rPh sb="0" eb="2">
      <t>ケイソク</t>
    </rPh>
    <rPh sb="2" eb="4">
      <t>ジュンビ</t>
    </rPh>
    <phoneticPr fontId="1"/>
  </si>
  <si>
    <t>Measurement preparation</t>
  </si>
  <si>
    <t>Measurement operation during winding</t>
  </si>
  <si>
    <t>供給確認動作</t>
    <rPh sb="0" eb="2">
      <t>キョウキュウ</t>
    </rPh>
    <rPh sb="2" eb="4">
      <t>カクニン</t>
    </rPh>
    <rPh sb="4" eb="6">
      <t>ドウサ</t>
    </rPh>
    <phoneticPr fontId="1"/>
  </si>
  <si>
    <t>Supply confirmation operation</t>
  </si>
  <si>
    <t>Ｘロール部</t>
  </si>
  <si>
    <t>Ｘロール部</t>
    <rPh sb="4" eb="5">
      <t>ブ</t>
    </rPh>
    <phoneticPr fontId="1"/>
  </si>
  <si>
    <t>糊付け動作</t>
    <rPh sb="0" eb="2">
      <t>ノリヅ</t>
    </rPh>
    <rPh sb="3" eb="5">
      <t>ドウサ</t>
    </rPh>
    <phoneticPr fontId="1"/>
  </si>
  <si>
    <t>Gluing operation</t>
  </si>
  <si>
    <t>排出受渡し動作</t>
    <rPh sb="0" eb="2">
      <t>ハイシュツ</t>
    </rPh>
    <rPh sb="2" eb="4">
      <t>ウケワタ</t>
    </rPh>
    <rPh sb="5" eb="7">
      <t>ドウサ</t>
    </rPh>
    <phoneticPr fontId="1"/>
  </si>
  <si>
    <t>排出受取り動作</t>
    <rPh sb="0" eb="2">
      <t>ハイシュツ</t>
    </rPh>
    <rPh sb="2" eb="4">
      <t>ウケトリ</t>
    </rPh>
    <rPh sb="5" eb="7">
      <t>ドウサ</t>
    </rPh>
    <phoneticPr fontId="1"/>
  </si>
  <si>
    <t>Discharge and receiving operation</t>
  </si>
  <si>
    <t>Discharge and handover operation</t>
  </si>
  <si>
    <t>箔ロウリール部</t>
    <rPh sb="0" eb="1">
      <t>ハク</t>
    </rPh>
    <rPh sb="6" eb="7">
      <t>ブ</t>
    </rPh>
    <phoneticPr fontId="1"/>
  </si>
  <si>
    <t>送り動作</t>
    <rPh sb="0" eb="1">
      <t>オク</t>
    </rPh>
    <rPh sb="2" eb="4">
      <t>ドウサ</t>
    </rPh>
    <phoneticPr fontId="1"/>
  </si>
  <si>
    <t>Feed operation</t>
  </si>
  <si>
    <t>ひらき動作</t>
    <rPh sb="3" eb="5">
      <t>ドウサ</t>
    </rPh>
    <phoneticPr fontId="1"/>
  </si>
  <si>
    <t>とじ動作</t>
    <rPh sb="2" eb="4">
      <t>ドウサ</t>
    </rPh>
    <phoneticPr fontId="1"/>
  </si>
  <si>
    <t>Opening action</t>
  </si>
  <si>
    <t>Binding action</t>
  </si>
  <si>
    <t>ひらき動作</t>
    <rPh sb="3" eb="5">
      <t>ドウサ</t>
    </rPh>
    <phoneticPr fontId="1"/>
  </si>
  <si>
    <t>Opening 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</si>
</sst>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 (MAX)&quot;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222222"/>
      <name val="メイリオ"/>
      <family val="3"/>
      <charset val="128"/>
    </font>
    <font>
      <sz val="11"/>
      <color rgb="FF333333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00B05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5" xfId="0" applyBorder="1" applyAlignment="1">
      <alignment horizontal="right" vertical="center"/>
    </xf>
    <xf numFmtId="0" fontId="4" fillId="0" borderId="5" xfId="0" applyFont="1" applyBorder="1">
      <alignment vertical="center"/>
    </xf>
    <xf numFmtId="0" fontId="5" fillId="0" borderId="5" xfId="0" applyFont="1" applyBorder="1" applyAlignment="1">
      <alignment horizontal="right" vertical="center"/>
    </xf>
    <xf numFmtId="0" fontId="6" fillId="0" borderId="5" xfId="0" applyFont="1" applyBorder="1">
      <alignment vertical="center"/>
    </xf>
    <xf numFmtId="0" fontId="6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vertical="center" wrapText="1"/>
    </xf>
    <xf numFmtId="0" fontId="8" fillId="0" borderId="5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7" fillId="2" borderId="10" xfId="0" applyFont="1" applyFill="1" applyBorder="1">
      <alignment vertical="center"/>
    </xf>
    <xf numFmtId="0" fontId="7" fillId="2" borderId="11" xfId="0" applyFont="1" applyFill="1" applyBorder="1">
      <alignment vertical="center"/>
    </xf>
    <xf numFmtId="0" fontId="7" fillId="2" borderId="12" xfId="0" applyFont="1" applyFill="1" applyBorder="1">
      <alignment vertical="center"/>
    </xf>
    <xf numFmtId="0" fontId="0" fillId="0" borderId="6" xfId="0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4" fillId="0" borderId="6" xfId="0" applyFont="1" applyBorder="1">
      <alignment vertical="center"/>
    </xf>
    <xf numFmtId="176" fontId="0" fillId="0" borderId="0" xfId="0" applyNumberFormat="1">
      <alignment vertical="center"/>
    </xf>
    <xf numFmtId="0" fontId="6" fillId="0" borderId="4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7" fillId="0" borderId="0" xfId="0" applyFont="1" applyAlignment="1">
      <alignment vertical="center" shrinkToFit="1"/>
    </xf>
    <xf numFmtId="0" fontId="0" fillId="0" borderId="2" xfId="0" applyBorder="1">
      <alignment vertical="center"/>
    </xf>
  </cellXfs>
  <cellStyles count="1">
    <cellStyle name="標準" xfId="0" builtinId="0"/>
  </cellStyles>
  <dxfs count="3">
    <dxf>
      <fill>
        <patternFill patternType="lightUp">
          <fgColor rgb="FF33CCCC"/>
        </patternFill>
      </fill>
    </dxf>
    <dxf>
      <fill>
        <patternFill patternType="lightUp">
          <fgColor rgb="FF33CCCC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50800</xdr:rowOff>
    </xdr:from>
    <xdr:to>
      <xdr:col>0</xdr:col>
      <xdr:colOff>465915</xdr:colOff>
      <xdr:row>1</xdr:row>
      <xdr:rowOff>0</xdr:rowOff>
    </xdr:to>
    <xdr:sp macro="" textlink="$A$93">
      <xdr:nvSpPr>
        <xdr:cNvPr id="2" name="正方形/長方形 1">
          <a:extLst>
            <a:ext uri="{FF2B5EF4-FFF2-40B4-BE49-F238E27FC236}">
              <a16:creationId xmlns:a16="http://schemas.microsoft.com/office/drawing/2014/main" id="{DBA2F831-4DD1-067C-936F-6D5A07EC9AE3}"/>
            </a:ext>
          </a:extLst>
        </xdr:cNvPr>
        <xdr:cNvSpPr/>
      </xdr:nvSpPr>
      <xdr:spPr>
        <a:xfrm>
          <a:off x="190500" y="50800"/>
          <a:ext cx="275415" cy="177800"/>
        </a:xfrm>
        <a:prstGeom prst="rect">
          <a:avLst/>
        </a:prstGeom>
        <a:solidFill>
          <a:schemeClr val="bg1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E2662AD-1BAF-4A4C-B576-9E4C1E1021F1}" type="TxLink">
            <a:rPr kumimoji="1" lang="en-US" altLang="en-US" sz="600" b="0" i="0" u="none" strike="noStrike">
              <a:solidFill>
                <a:srgbClr val="000000"/>
              </a:solidFill>
              <a:latin typeface="游ゴシック"/>
              <a:ea typeface="游ゴシック"/>
            </a:rPr>
            <a:pPr algn="l"/>
            <a:t>0</a:t>
          </a:fld>
          <a:endParaRPr kumimoji="1" lang="ja-JP" altLang="en-US" sz="6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2264-F25D-40E9-9C76-26E43E79C8CC}">
  <sheetPr codeName="Sheet1"/>
  <dimension ref="A1:R97"/>
  <sheetViews>
    <sheetView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H11" sqref="H11"/>
    </sheetView>
  </sheetViews>
  <sheetFormatPr defaultRowHeight="18" x14ac:dyDescent="0.55000000000000004"/>
  <cols>
    <col min="5" max="5" width="9.1640625" bestFit="1" customWidth="1"/>
    <col min="7" max="7" width="20" bestFit="1" customWidth="1"/>
    <col min="8" max="9" width="31.4140625" customWidth="1"/>
    <col min="10" max="10" width="81" bestFit="1" customWidth="1"/>
    <col min="11" max="11" width="71.08203125" customWidth="1"/>
    <col min="12" max="13" width="13.08203125" customWidth="1"/>
    <col min="14" max="17" width="18.33203125" customWidth="1"/>
    <col min="18" max="18" width="3.58203125" customWidth="1"/>
  </cols>
  <sheetData>
    <row r="1" spans="1:18" s="1" customFormat="1" x14ac:dyDescent="0.55000000000000004">
      <c r="A1" s="18" t="s">
        <v>4</v>
      </c>
      <c r="B1" s="18"/>
      <c r="C1" s="18"/>
      <c r="D1" s="18" t="s">
        <v>11</v>
      </c>
      <c r="E1" s="18" t="s">
        <v>15</v>
      </c>
      <c r="F1" s="19" t="s">
        <v>5</v>
      </c>
      <c r="G1" s="19" t="s">
        <v>6</v>
      </c>
      <c r="H1" s="19" t="s">
        <v>7</v>
      </c>
      <c r="I1" s="19" t="s">
        <v>16</v>
      </c>
      <c r="J1" s="19" t="s">
        <v>3</v>
      </c>
      <c r="K1" s="19" t="s">
        <v>2</v>
      </c>
      <c r="L1" s="19" t="s">
        <v>0</v>
      </c>
      <c r="M1" s="19" t="s">
        <v>54</v>
      </c>
      <c r="N1" s="19" t="s">
        <v>1</v>
      </c>
      <c r="O1" s="20" t="s">
        <v>10</v>
      </c>
      <c r="P1" s="20" t="s">
        <v>66</v>
      </c>
      <c r="Q1" s="20" t="s">
        <v>65</v>
      </c>
      <c r="R1" s="20"/>
    </row>
    <row r="2" spans="1:18" x14ac:dyDescent="0.55000000000000004">
      <c r="A2" s="27"/>
      <c r="B2" s="2"/>
      <c r="C2" s="27">
        <v>1</v>
      </c>
      <c r="D2" s="2" t="str">
        <f>B2&amp;C2</f>
        <v>1</v>
      </c>
      <c r="E2" s="2">
        <v>1</v>
      </c>
      <c r="F2" s="28"/>
      <c r="G2" s="28" t="s">
        <v>72</v>
      </c>
      <c r="H2" s="31" t="s">
        <v>98</v>
      </c>
      <c r="I2" s="28" t="s">
        <v>101</v>
      </c>
      <c r="J2" s="28"/>
      <c r="K2" s="28"/>
      <c r="L2" s="28"/>
      <c r="M2" s="28"/>
      <c r="N2" s="28"/>
      <c r="O2" s="29"/>
      <c r="P2" s="29"/>
      <c r="Q2" s="29"/>
      <c r="R2" s="3"/>
    </row>
    <row r="3" spans="1:18" x14ac:dyDescent="0.55000000000000004">
      <c r="A3" s="4"/>
      <c r="B3" s="4"/>
      <c r="C3" s="4">
        <f>C2</f>
        <v>1</v>
      </c>
      <c r="D3" s="4" t="str">
        <f t="shared" ref="D3:D59" si="0">B3&amp;C3</f>
        <v>1</v>
      </c>
      <c r="E3" s="4">
        <f>E2+1</f>
        <v>2</v>
      </c>
      <c r="F3" s="9"/>
      <c r="G3" s="9" t="s">
        <v>72</v>
      </c>
      <c r="H3" s="9" t="s">
        <v>99</v>
      </c>
      <c r="I3" s="9" t="s">
        <v>102</v>
      </c>
      <c r="J3" s="9"/>
      <c r="K3" s="9"/>
      <c r="L3" s="14"/>
      <c r="M3" s="9"/>
      <c r="N3" s="9"/>
      <c r="O3" s="24"/>
      <c r="P3" s="24"/>
      <c r="Q3" s="24"/>
      <c r="R3" s="7"/>
    </row>
    <row r="4" spans="1:18" x14ac:dyDescent="0.55000000000000004">
      <c r="A4" s="4"/>
      <c r="B4" s="4"/>
      <c r="C4" s="4">
        <f t="shared" ref="C4:C6" si="1">C3</f>
        <v>1</v>
      </c>
      <c r="D4" s="4" t="str">
        <f t="shared" si="0"/>
        <v>1</v>
      </c>
      <c r="E4" s="4">
        <f t="shared" ref="E4:E6" si="2">E3+1</f>
        <v>3</v>
      </c>
      <c r="F4" s="9"/>
      <c r="G4" s="9" t="s">
        <v>72</v>
      </c>
      <c r="H4" s="9" t="s">
        <v>100</v>
      </c>
      <c r="I4" s="9" t="s">
        <v>105</v>
      </c>
      <c r="J4" s="9"/>
      <c r="K4" s="9"/>
      <c r="L4" s="14"/>
      <c r="M4" s="9"/>
      <c r="N4" s="9"/>
      <c r="O4" s="24"/>
      <c r="P4" s="24"/>
      <c r="Q4" s="24"/>
      <c r="R4" s="7"/>
    </row>
    <row r="5" spans="1:18" x14ac:dyDescent="0.55000000000000004">
      <c r="A5" s="4"/>
      <c r="B5" s="4"/>
      <c r="C5" s="4">
        <f t="shared" si="1"/>
        <v>1</v>
      </c>
      <c r="D5" s="4" t="str">
        <f t="shared" si="0"/>
        <v>1</v>
      </c>
      <c r="E5" s="4">
        <v>6</v>
      </c>
      <c r="F5" s="9"/>
      <c r="G5" s="9" t="s">
        <v>72</v>
      </c>
      <c r="H5" s="9" t="s">
        <v>96</v>
      </c>
      <c r="I5" s="9" t="s">
        <v>103</v>
      </c>
      <c r="J5" s="9"/>
      <c r="K5" s="9"/>
      <c r="L5" s="14"/>
      <c r="M5" s="9"/>
      <c r="N5" s="9"/>
      <c r="O5" s="24"/>
      <c r="P5" s="24"/>
      <c r="Q5" s="24"/>
      <c r="R5" s="7"/>
    </row>
    <row r="6" spans="1:18" x14ac:dyDescent="0.55000000000000004">
      <c r="A6" s="4"/>
      <c r="B6" s="4"/>
      <c r="C6" s="4">
        <f t="shared" si="1"/>
        <v>1</v>
      </c>
      <c r="D6" s="4" t="str">
        <f t="shared" ref="D6" si="3">B6&amp;C6</f>
        <v>1</v>
      </c>
      <c r="E6" s="4">
        <f t="shared" si="2"/>
        <v>7</v>
      </c>
      <c r="F6" s="9"/>
      <c r="G6" s="9" t="s">
        <v>72</v>
      </c>
      <c r="H6" s="9" t="s">
        <v>97</v>
      </c>
      <c r="I6" s="9" t="s">
        <v>104</v>
      </c>
      <c r="J6" s="9"/>
      <c r="K6" s="9"/>
      <c r="L6" s="14"/>
      <c r="M6" s="9"/>
      <c r="N6" s="9"/>
      <c r="O6" s="24"/>
      <c r="P6" s="24"/>
      <c r="Q6" s="24"/>
      <c r="R6" s="7"/>
    </row>
    <row r="7" spans="1:18" x14ac:dyDescent="0.55000000000000004">
      <c r="A7" s="4"/>
      <c r="B7" s="4"/>
      <c r="C7" s="4">
        <f>C2+1</f>
        <v>2</v>
      </c>
      <c r="D7" s="4" t="str">
        <f t="shared" si="0"/>
        <v>2</v>
      </c>
      <c r="E7" s="4">
        <f>E2</f>
        <v>1</v>
      </c>
      <c r="F7" s="5"/>
      <c r="G7" s="5" t="s">
        <v>73</v>
      </c>
      <c r="H7" s="5" t="s">
        <v>98</v>
      </c>
      <c r="I7" s="5" t="s">
        <v>101</v>
      </c>
      <c r="J7" s="5"/>
      <c r="K7" s="5"/>
      <c r="L7" s="5"/>
      <c r="M7" s="5"/>
      <c r="N7" s="5"/>
      <c r="O7" s="7"/>
      <c r="P7" s="7"/>
      <c r="Q7" s="7"/>
      <c r="R7" s="7"/>
    </row>
    <row r="8" spans="1:18" x14ac:dyDescent="0.55000000000000004">
      <c r="A8" s="4"/>
      <c r="B8" s="4"/>
      <c r="C8" s="4">
        <f>C7</f>
        <v>2</v>
      </c>
      <c r="D8" s="4" t="str">
        <f t="shared" si="0"/>
        <v>2</v>
      </c>
      <c r="E8" s="4">
        <f>E7+1</f>
        <v>2</v>
      </c>
      <c r="F8" s="5"/>
      <c r="G8" s="5" t="s">
        <v>73</v>
      </c>
      <c r="H8" s="5" t="s">
        <v>99</v>
      </c>
      <c r="I8" s="5" t="s">
        <v>102</v>
      </c>
      <c r="J8" s="5"/>
      <c r="K8" s="5"/>
      <c r="L8" s="5"/>
      <c r="M8" s="5"/>
      <c r="N8" s="5"/>
      <c r="O8" s="7"/>
      <c r="P8" s="7"/>
      <c r="Q8" s="7"/>
      <c r="R8" s="7"/>
    </row>
    <row r="9" spans="1:18" x14ac:dyDescent="0.55000000000000004">
      <c r="A9" s="4"/>
      <c r="B9" s="4"/>
      <c r="C9" s="4">
        <f t="shared" ref="C9:C13" si="4">C8</f>
        <v>2</v>
      </c>
      <c r="D9" s="4" t="str">
        <f t="shared" si="0"/>
        <v>2</v>
      </c>
      <c r="E9" s="4">
        <f t="shared" ref="E9:E13" si="5">E8+1</f>
        <v>3</v>
      </c>
      <c r="F9" s="5"/>
      <c r="G9" s="5" t="s">
        <v>73</v>
      </c>
      <c r="H9" s="5" t="s">
        <v>100</v>
      </c>
      <c r="I9" s="5" t="s">
        <v>105</v>
      </c>
      <c r="J9" s="5"/>
      <c r="K9" s="5"/>
      <c r="L9" s="5"/>
      <c r="M9" s="5"/>
      <c r="N9" s="5"/>
      <c r="O9" s="7"/>
      <c r="P9" s="7"/>
      <c r="Q9" s="7"/>
      <c r="R9" s="7"/>
    </row>
    <row r="10" spans="1:18" x14ac:dyDescent="0.55000000000000004">
      <c r="A10" s="4"/>
      <c r="B10" s="4"/>
      <c r="C10" s="4">
        <f>C9</f>
        <v>2</v>
      </c>
      <c r="D10" s="4" t="str">
        <f t="shared" si="0"/>
        <v>2</v>
      </c>
      <c r="E10" s="4">
        <f>E9+1</f>
        <v>4</v>
      </c>
      <c r="F10" s="5"/>
      <c r="G10" s="5" t="s">
        <v>73</v>
      </c>
      <c r="H10" s="5" t="s">
        <v>109</v>
      </c>
      <c r="I10" s="5" t="s">
        <v>110</v>
      </c>
      <c r="J10" s="5"/>
      <c r="K10" s="5"/>
      <c r="L10" s="5"/>
      <c r="M10" s="5"/>
      <c r="N10" s="5"/>
      <c r="O10" s="7"/>
      <c r="P10" s="7"/>
      <c r="Q10" s="7"/>
      <c r="R10" s="7"/>
    </row>
    <row r="11" spans="1:18" x14ac:dyDescent="0.55000000000000004">
      <c r="A11" s="4"/>
      <c r="B11" s="4"/>
      <c r="C11" s="4">
        <f>C10</f>
        <v>2</v>
      </c>
      <c r="D11" s="4" t="str">
        <f t="shared" ref="D11" si="6">B11&amp;C11</f>
        <v>2</v>
      </c>
      <c r="E11" s="4">
        <f>E10+1</f>
        <v>5</v>
      </c>
      <c r="F11" s="5"/>
      <c r="G11" s="5" t="s">
        <v>73</v>
      </c>
      <c r="H11" s="5" t="s">
        <v>126</v>
      </c>
      <c r="I11" s="5" t="s">
        <v>127</v>
      </c>
      <c r="J11" s="5"/>
      <c r="K11" s="5"/>
      <c r="L11" s="5"/>
      <c r="M11" s="5"/>
      <c r="N11" s="5"/>
      <c r="O11" s="7"/>
      <c r="P11" s="7"/>
      <c r="Q11" s="7"/>
      <c r="R11" s="7"/>
    </row>
    <row r="12" spans="1:18" x14ac:dyDescent="0.55000000000000004">
      <c r="A12" s="4"/>
      <c r="B12" s="4"/>
      <c r="C12" s="4">
        <f>C10</f>
        <v>2</v>
      </c>
      <c r="D12" s="4" t="str">
        <f t="shared" ref="D12" si="7">B12&amp;C12</f>
        <v>2</v>
      </c>
      <c r="E12" s="4">
        <v>6</v>
      </c>
      <c r="F12" s="5"/>
      <c r="G12" s="5" t="s">
        <v>73</v>
      </c>
      <c r="H12" s="5" t="s">
        <v>96</v>
      </c>
      <c r="I12" s="5" t="s">
        <v>103</v>
      </c>
      <c r="J12" s="5"/>
      <c r="K12" s="5"/>
      <c r="L12" s="5"/>
      <c r="M12" s="5"/>
      <c r="N12" s="5"/>
      <c r="O12" s="7"/>
      <c r="P12" s="7"/>
      <c r="Q12" s="7"/>
      <c r="R12" s="7"/>
    </row>
    <row r="13" spans="1:18" x14ac:dyDescent="0.55000000000000004">
      <c r="A13" s="4"/>
      <c r="B13" s="4"/>
      <c r="C13" s="4">
        <f t="shared" si="4"/>
        <v>2</v>
      </c>
      <c r="D13" s="4" t="str">
        <f t="shared" ref="D13" si="8">B13&amp;C13</f>
        <v>2</v>
      </c>
      <c r="E13" s="4">
        <f t="shared" si="5"/>
        <v>7</v>
      </c>
      <c r="F13" s="5"/>
      <c r="G13" s="5" t="s">
        <v>73</v>
      </c>
      <c r="H13" s="5" t="s">
        <v>97</v>
      </c>
      <c r="I13" s="5" t="s">
        <v>104</v>
      </c>
      <c r="J13" s="5"/>
      <c r="K13" s="5"/>
      <c r="L13" s="5"/>
      <c r="M13" s="5"/>
      <c r="N13" s="5"/>
      <c r="O13" s="7"/>
      <c r="P13" s="7"/>
      <c r="Q13" s="7"/>
      <c r="R13" s="7"/>
    </row>
    <row r="14" spans="1:18" x14ac:dyDescent="0.55000000000000004">
      <c r="A14" s="4"/>
      <c r="B14" s="4"/>
      <c r="C14" s="4">
        <f>C7+1</f>
        <v>3</v>
      </c>
      <c r="D14" s="4" t="str">
        <f t="shared" si="0"/>
        <v>3</v>
      </c>
      <c r="E14" s="4">
        <f>E7</f>
        <v>1</v>
      </c>
      <c r="F14" s="5"/>
      <c r="G14" s="5" t="s">
        <v>74</v>
      </c>
      <c r="H14" s="5" t="s">
        <v>69</v>
      </c>
      <c r="I14" s="5" t="s">
        <v>70</v>
      </c>
      <c r="J14" s="5"/>
      <c r="K14" s="5"/>
      <c r="L14" s="5"/>
      <c r="M14" s="5"/>
      <c r="N14" s="5"/>
      <c r="O14" s="7"/>
      <c r="P14" s="7"/>
      <c r="Q14" s="7"/>
      <c r="R14" s="7"/>
    </row>
    <row r="15" spans="1:18" x14ac:dyDescent="0.55000000000000004">
      <c r="A15" s="4"/>
      <c r="B15" s="4"/>
      <c r="C15" s="4">
        <f t="shared" ref="C15:C89" si="9">C14</f>
        <v>3</v>
      </c>
      <c r="D15" s="4" t="str">
        <f t="shared" si="0"/>
        <v>3</v>
      </c>
      <c r="E15" s="4">
        <f t="shared" ref="E15:E69" si="10">E14+1</f>
        <v>2</v>
      </c>
      <c r="F15" s="5"/>
      <c r="G15" s="5" t="s">
        <v>74</v>
      </c>
      <c r="H15" s="5" t="s">
        <v>71</v>
      </c>
      <c r="I15" s="5" t="s">
        <v>83</v>
      </c>
      <c r="J15" s="5"/>
      <c r="K15" s="5"/>
      <c r="L15" s="5"/>
      <c r="M15" s="5"/>
      <c r="N15" s="5"/>
      <c r="O15" s="7"/>
      <c r="P15" s="7"/>
      <c r="Q15" s="7"/>
      <c r="R15" s="7"/>
    </row>
    <row r="16" spans="1:18" x14ac:dyDescent="0.55000000000000004">
      <c r="A16" s="4"/>
      <c r="B16" s="4"/>
      <c r="C16" s="4">
        <f t="shared" si="9"/>
        <v>3</v>
      </c>
      <c r="D16" s="4" t="str">
        <f t="shared" si="0"/>
        <v>3</v>
      </c>
      <c r="E16" s="4">
        <f t="shared" si="10"/>
        <v>3</v>
      </c>
      <c r="F16" s="5"/>
      <c r="G16" s="5" t="s">
        <v>74</v>
      </c>
      <c r="H16" s="5" t="s">
        <v>94</v>
      </c>
      <c r="I16" s="5" t="s">
        <v>95</v>
      </c>
      <c r="J16" s="5"/>
      <c r="K16" s="5"/>
      <c r="L16" s="5"/>
      <c r="M16" s="5"/>
      <c r="N16" s="5"/>
      <c r="O16" s="7"/>
      <c r="P16" s="7"/>
      <c r="Q16" s="7"/>
      <c r="R16" s="7"/>
    </row>
    <row r="17" spans="1:18" x14ac:dyDescent="0.55000000000000004">
      <c r="A17" s="4"/>
      <c r="B17" s="4"/>
      <c r="C17" s="4">
        <f>C14+1</f>
        <v>4</v>
      </c>
      <c r="D17" s="4" t="str">
        <f t="shared" si="0"/>
        <v>4</v>
      </c>
      <c r="E17" s="4">
        <f>E14</f>
        <v>1</v>
      </c>
      <c r="F17" s="5"/>
      <c r="G17" s="5" t="s">
        <v>75</v>
      </c>
      <c r="H17" s="5" t="s">
        <v>69</v>
      </c>
      <c r="I17" s="5" t="s">
        <v>70</v>
      </c>
      <c r="J17" s="5"/>
      <c r="K17" s="5"/>
      <c r="L17" s="5"/>
      <c r="M17" s="5"/>
      <c r="N17" s="5"/>
      <c r="O17" s="7"/>
      <c r="P17" s="7"/>
      <c r="Q17" s="7"/>
      <c r="R17" s="7"/>
    </row>
    <row r="18" spans="1:18" x14ac:dyDescent="0.55000000000000004">
      <c r="A18" s="4"/>
      <c r="B18" s="4"/>
      <c r="C18" s="4">
        <f t="shared" ref="C18" si="11">C17</f>
        <v>4</v>
      </c>
      <c r="D18" s="4" t="str">
        <f t="shared" si="0"/>
        <v>4</v>
      </c>
      <c r="E18" s="4">
        <f t="shared" ref="E18" si="12">E17+1</f>
        <v>2</v>
      </c>
      <c r="F18" s="5"/>
      <c r="G18" s="5" t="s">
        <v>75</v>
      </c>
      <c r="H18" s="5" t="s">
        <v>88</v>
      </c>
      <c r="I18" s="5" t="s">
        <v>89</v>
      </c>
      <c r="J18" s="5"/>
      <c r="K18" s="5"/>
      <c r="L18" s="5"/>
      <c r="M18" s="5"/>
      <c r="N18" s="5"/>
      <c r="O18" s="7"/>
      <c r="P18" s="7"/>
      <c r="Q18" s="7"/>
      <c r="R18" s="7"/>
    </row>
    <row r="19" spans="1:18" x14ac:dyDescent="0.55000000000000004">
      <c r="A19" s="4"/>
      <c r="B19" s="4"/>
      <c r="C19" s="4">
        <f t="shared" si="9"/>
        <v>4</v>
      </c>
      <c r="D19" s="4" t="str">
        <f t="shared" si="0"/>
        <v>4</v>
      </c>
      <c r="E19" s="4">
        <f t="shared" si="10"/>
        <v>3</v>
      </c>
      <c r="F19" s="5"/>
      <c r="G19" s="5" t="s">
        <v>75</v>
      </c>
      <c r="H19" s="5" t="s">
        <v>79</v>
      </c>
      <c r="I19" s="5" t="s">
        <v>84</v>
      </c>
      <c r="J19" s="5"/>
      <c r="K19" s="5"/>
      <c r="L19" s="5"/>
      <c r="M19" s="5"/>
      <c r="N19" s="5"/>
      <c r="O19" s="7"/>
      <c r="P19" s="7"/>
      <c r="Q19" s="7"/>
      <c r="R19" s="7"/>
    </row>
    <row r="20" spans="1:18" x14ac:dyDescent="0.55000000000000004">
      <c r="A20" s="4"/>
      <c r="B20" s="4"/>
      <c r="C20" s="4">
        <f t="shared" si="9"/>
        <v>4</v>
      </c>
      <c r="D20" s="4" t="str">
        <f t="shared" si="0"/>
        <v>4</v>
      </c>
      <c r="E20" s="4">
        <f t="shared" si="10"/>
        <v>4</v>
      </c>
      <c r="F20" s="5"/>
      <c r="G20" s="5" t="s">
        <v>75</v>
      </c>
      <c r="H20" s="5" t="s">
        <v>78</v>
      </c>
      <c r="I20" s="5" t="s">
        <v>85</v>
      </c>
      <c r="J20" s="5"/>
      <c r="K20" s="5"/>
      <c r="L20" s="5"/>
      <c r="M20" s="5"/>
      <c r="N20" s="5"/>
      <c r="O20" s="7"/>
      <c r="P20" s="7"/>
      <c r="Q20" s="7"/>
      <c r="R20" s="7"/>
    </row>
    <row r="21" spans="1:18" x14ac:dyDescent="0.55000000000000004">
      <c r="A21" s="4"/>
      <c r="B21" s="4"/>
      <c r="C21" s="4">
        <f t="shared" si="9"/>
        <v>4</v>
      </c>
      <c r="D21" s="4" t="str">
        <f t="shared" si="0"/>
        <v>4</v>
      </c>
      <c r="E21" s="4">
        <f t="shared" si="10"/>
        <v>5</v>
      </c>
      <c r="F21" s="5"/>
      <c r="G21" s="5" t="s">
        <v>75</v>
      </c>
      <c r="H21" s="5" t="s">
        <v>91</v>
      </c>
      <c r="I21" s="5" t="s">
        <v>92</v>
      </c>
      <c r="J21" s="5"/>
      <c r="K21" s="6"/>
      <c r="L21" s="5"/>
      <c r="M21" s="5"/>
      <c r="N21" s="5"/>
      <c r="O21" s="7"/>
      <c r="P21" s="7"/>
      <c r="Q21" s="7"/>
      <c r="R21" s="7"/>
    </row>
    <row r="22" spans="1:18" x14ac:dyDescent="0.55000000000000004">
      <c r="A22" s="4"/>
      <c r="B22" s="4"/>
      <c r="C22" s="4">
        <f t="shared" si="9"/>
        <v>4</v>
      </c>
      <c r="D22" s="4" t="str">
        <f t="shared" ref="D22" si="13">B22&amp;C22</f>
        <v>4</v>
      </c>
      <c r="E22" s="4">
        <f t="shared" si="10"/>
        <v>6</v>
      </c>
      <c r="F22" s="5"/>
      <c r="G22" s="5" t="s">
        <v>75</v>
      </c>
      <c r="H22" s="5" t="s">
        <v>82</v>
      </c>
      <c r="I22" s="5" t="s">
        <v>86</v>
      </c>
      <c r="J22" s="5"/>
      <c r="K22" s="6"/>
      <c r="L22" s="5"/>
      <c r="M22" s="5"/>
      <c r="N22" s="5"/>
      <c r="O22" s="7"/>
      <c r="P22" s="7"/>
      <c r="Q22" s="7"/>
      <c r="R22" s="7"/>
    </row>
    <row r="23" spans="1:18" x14ac:dyDescent="0.55000000000000004">
      <c r="A23" s="4"/>
      <c r="B23" s="4"/>
      <c r="C23" s="4">
        <f>C17+1</f>
        <v>5</v>
      </c>
      <c r="D23" s="4" t="str">
        <f t="shared" si="0"/>
        <v>5</v>
      </c>
      <c r="E23" s="4">
        <f>E17</f>
        <v>1</v>
      </c>
      <c r="F23" s="5"/>
      <c r="G23" s="5" t="s">
        <v>76</v>
      </c>
      <c r="H23" s="5" t="s">
        <v>69</v>
      </c>
      <c r="I23" s="5" t="s">
        <v>70</v>
      </c>
      <c r="J23" s="5"/>
      <c r="K23" s="5"/>
      <c r="L23" s="5"/>
      <c r="M23" s="5"/>
      <c r="N23" s="5"/>
      <c r="O23" s="7"/>
      <c r="P23" s="7"/>
      <c r="Q23" s="7"/>
      <c r="R23" s="7"/>
    </row>
    <row r="24" spans="1:18" x14ac:dyDescent="0.55000000000000004">
      <c r="A24" s="4"/>
      <c r="B24" s="4"/>
      <c r="C24" s="4">
        <f t="shared" ref="C24" si="14">C23</f>
        <v>5</v>
      </c>
      <c r="D24" s="4" t="str">
        <f t="shared" si="0"/>
        <v>5</v>
      </c>
      <c r="E24" s="4">
        <f t="shared" ref="E24" si="15">E23+1</f>
        <v>2</v>
      </c>
      <c r="F24" s="5"/>
      <c r="G24" s="5" t="s">
        <v>76</v>
      </c>
      <c r="H24" s="5" t="s">
        <v>81</v>
      </c>
      <c r="I24" s="5" t="s">
        <v>87</v>
      </c>
      <c r="J24" s="5"/>
      <c r="K24" s="5"/>
      <c r="L24" s="5"/>
      <c r="M24" s="5"/>
      <c r="N24" s="5"/>
      <c r="O24" s="7"/>
      <c r="P24" s="7"/>
      <c r="Q24" s="7"/>
      <c r="R24" s="7"/>
    </row>
    <row r="25" spans="1:18" x14ac:dyDescent="0.55000000000000004">
      <c r="A25" s="4"/>
      <c r="B25" s="4"/>
      <c r="C25" s="4">
        <f t="shared" si="9"/>
        <v>5</v>
      </c>
      <c r="D25" s="4" t="str">
        <f t="shared" si="0"/>
        <v>5</v>
      </c>
      <c r="E25" s="4">
        <f t="shared" si="10"/>
        <v>3</v>
      </c>
      <c r="F25" s="5"/>
      <c r="G25" s="5" t="s">
        <v>76</v>
      </c>
      <c r="H25" s="5" t="s">
        <v>90</v>
      </c>
      <c r="I25" s="5" t="s">
        <v>93</v>
      </c>
      <c r="J25" s="5"/>
      <c r="K25" s="5"/>
      <c r="L25" s="5"/>
      <c r="M25" s="5"/>
      <c r="N25" s="8"/>
      <c r="O25" s="21"/>
      <c r="P25" s="21"/>
      <c r="Q25" s="21"/>
      <c r="R25" s="7"/>
    </row>
    <row r="26" spans="1:18" x14ac:dyDescent="0.55000000000000004">
      <c r="A26" s="4"/>
      <c r="B26" s="4"/>
      <c r="C26" s="4">
        <f>C23+1</f>
        <v>6</v>
      </c>
      <c r="D26" s="4" t="str">
        <f t="shared" si="0"/>
        <v>6</v>
      </c>
      <c r="E26" s="4">
        <f>E23</f>
        <v>1</v>
      </c>
      <c r="F26" s="5"/>
      <c r="G26" s="5" t="s">
        <v>77</v>
      </c>
      <c r="H26" s="5" t="s">
        <v>69</v>
      </c>
      <c r="I26" s="5" t="s">
        <v>101</v>
      </c>
      <c r="J26" s="5"/>
      <c r="K26" s="5"/>
      <c r="L26" s="5"/>
      <c r="M26" s="5"/>
      <c r="N26" s="8"/>
      <c r="O26" s="21"/>
      <c r="P26" s="21"/>
      <c r="Q26" s="21"/>
      <c r="R26" s="7"/>
    </row>
    <row r="27" spans="1:18" x14ac:dyDescent="0.55000000000000004">
      <c r="A27" s="4"/>
      <c r="B27" s="4"/>
      <c r="C27" s="4">
        <f t="shared" ref="C27:C28" si="16">C26</f>
        <v>6</v>
      </c>
      <c r="D27" s="4" t="str">
        <f t="shared" si="0"/>
        <v>6</v>
      </c>
      <c r="E27" s="4">
        <f t="shared" ref="E27:E28" si="17">E26+1</f>
        <v>2</v>
      </c>
      <c r="F27" s="9"/>
      <c r="G27" s="5" t="s">
        <v>77</v>
      </c>
      <c r="H27" s="9" t="s">
        <v>116</v>
      </c>
      <c r="I27" s="9" t="s">
        <v>117</v>
      </c>
      <c r="J27" s="9"/>
      <c r="K27" s="9"/>
      <c r="L27" s="9"/>
      <c r="M27" s="9"/>
      <c r="N27" s="10"/>
      <c r="O27" s="22"/>
      <c r="P27" s="22"/>
      <c r="Q27" s="22"/>
      <c r="R27" s="7"/>
    </row>
    <row r="28" spans="1:18" x14ac:dyDescent="0.55000000000000004">
      <c r="A28" s="4"/>
      <c r="B28" s="4"/>
      <c r="C28" s="4">
        <f t="shared" si="16"/>
        <v>6</v>
      </c>
      <c r="D28" s="4" t="str">
        <f t="shared" ref="D28" si="18">B28&amp;C28</f>
        <v>6</v>
      </c>
      <c r="E28" s="4">
        <f t="shared" si="17"/>
        <v>3</v>
      </c>
      <c r="F28" s="9"/>
      <c r="G28" s="5" t="s">
        <v>77</v>
      </c>
      <c r="H28" s="9" t="s">
        <v>115</v>
      </c>
      <c r="I28" s="9" t="s">
        <v>118</v>
      </c>
      <c r="J28" s="9"/>
      <c r="K28" s="9"/>
      <c r="L28" s="9"/>
      <c r="M28" s="9"/>
      <c r="N28" s="10"/>
      <c r="O28" s="22"/>
      <c r="P28" s="22"/>
      <c r="Q28" s="22"/>
      <c r="R28" s="7"/>
    </row>
    <row r="29" spans="1:18" x14ac:dyDescent="0.55000000000000004">
      <c r="A29" s="4"/>
      <c r="B29" s="4"/>
      <c r="C29" s="4">
        <f>C27</f>
        <v>6</v>
      </c>
      <c r="D29" s="4" t="str">
        <f t="shared" si="0"/>
        <v>6</v>
      </c>
      <c r="E29" s="4">
        <v>6</v>
      </c>
      <c r="F29" s="5"/>
      <c r="G29" s="5" t="s">
        <v>77</v>
      </c>
      <c r="H29" s="5" t="s">
        <v>106</v>
      </c>
      <c r="I29" s="5" t="s">
        <v>107</v>
      </c>
      <c r="J29" s="5"/>
      <c r="K29" s="5"/>
      <c r="L29" s="5"/>
      <c r="M29" s="5"/>
      <c r="N29" s="8"/>
      <c r="O29" s="21"/>
      <c r="P29" s="21"/>
      <c r="Q29" s="21"/>
      <c r="R29" s="7"/>
    </row>
    <row r="30" spans="1:18" x14ac:dyDescent="0.55000000000000004">
      <c r="A30" s="4"/>
      <c r="B30" s="4"/>
      <c r="C30" s="4">
        <f t="shared" si="9"/>
        <v>6</v>
      </c>
      <c r="D30" s="4" t="str">
        <f t="shared" ref="D30" si="19">B30&amp;C30</f>
        <v>6</v>
      </c>
      <c r="E30" s="4">
        <f t="shared" si="10"/>
        <v>7</v>
      </c>
      <c r="F30" s="5"/>
      <c r="G30" s="5" t="s">
        <v>77</v>
      </c>
      <c r="H30" s="5" t="s">
        <v>80</v>
      </c>
      <c r="I30" s="5" t="s">
        <v>108</v>
      </c>
      <c r="J30" s="5"/>
      <c r="K30" s="5"/>
      <c r="L30" s="5"/>
      <c r="M30" s="5"/>
      <c r="N30" s="8"/>
      <c r="O30" s="21"/>
      <c r="P30" s="21"/>
      <c r="Q30" s="21"/>
      <c r="R30" s="7"/>
    </row>
    <row r="31" spans="1:18" x14ac:dyDescent="0.55000000000000004">
      <c r="A31" s="4"/>
      <c r="B31" s="4"/>
      <c r="C31" s="4">
        <f>C26+1</f>
        <v>7</v>
      </c>
      <c r="D31" s="4" t="str">
        <f t="shared" si="0"/>
        <v>7</v>
      </c>
      <c r="E31" s="4">
        <f>E26</f>
        <v>1</v>
      </c>
      <c r="F31" s="9"/>
      <c r="G31" s="9" t="s">
        <v>112</v>
      </c>
      <c r="H31" s="9" t="s">
        <v>122</v>
      </c>
      <c r="I31" s="9" t="s">
        <v>124</v>
      </c>
      <c r="J31" s="9"/>
      <c r="K31" s="9"/>
      <c r="L31" s="9"/>
      <c r="M31" s="9"/>
      <c r="N31" s="10"/>
      <c r="O31" s="22"/>
      <c r="P31" s="22"/>
      <c r="Q31" s="22"/>
      <c r="R31" s="7"/>
    </row>
    <row r="32" spans="1:18" x14ac:dyDescent="0.55000000000000004">
      <c r="A32" s="4"/>
      <c r="B32" s="4"/>
      <c r="C32" s="4">
        <f>C27+1</f>
        <v>7</v>
      </c>
      <c r="D32" s="4" t="str">
        <f t="shared" ref="D32" si="20">B32&amp;C32</f>
        <v>7</v>
      </c>
      <c r="E32" s="4">
        <f>E27</f>
        <v>2</v>
      </c>
      <c r="F32" s="9"/>
      <c r="G32" s="9" t="s">
        <v>112</v>
      </c>
      <c r="H32" s="9" t="s">
        <v>123</v>
      </c>
      <c r="I32" s="9" t="s">
        <v>125</v>
      </c>
      <c r="J32" s="9"/>
      <c r="K32" s="9"/>
      <c r="L32" s="9"/>
      <c r="M32" s="9"/>
      <c r="N32" s="10"/>
      <c r="O32" s="22"/>
      <c r="P32" s="22"/>
      <c r="Q32" s="22"/>
      <c r="R32" s="7"/>
    </row>
    <row r="33" spans="1:18" x14ac:dyDescent="0.55000000000000004">
      <c r="A33" s="4"/>
      <c r="B33" s="4"/>
      <c r="C33" s="4">
        <f t="shared" ref="C33" si="21">C31</f>
        <v>7</v>
      </c>
      <c r="D33" s="4" t="str">
        <f t="shared" si="0"/>
        <v>7</v>
      </c>
      <c r="E33" s="4">
        <v>6</v>
      </c>
      <c r="F33" s="9"/>
      <c r="G33" s="9" t="s">
        <v>111</v>
      </c>
      <c r="H33" s="9" t="s">
        <v>113</v>
      </c>
      <c r="I33" s="9" t="s">
        <v>114</v>
      </c>
      <c r="J33" s="9"/>
      <c r="K33" s="9"/>
      <c r="L33" s="9"/>
      <c r="M33" s="9"/>
      <c r="N33" s="10"/>
      <c r="O33" s="22"/>
      <c r="P33" s="22"/>
      <c r="Q33" s="22"/>
      <c r="R33" s="7"/>
    </row>
    <row r="34" spans="1:18" x14ac:dyDescent="0.55000000000000004">
      <c r="A34" s="26"/>
      <c r="B34" s="4"/>
      <c r="C34" s="26">
        <f>C31+1</f>
        <v>8</v>
      </c>
      <c r="D34" s="26" t="str">
        <f t="shared" si="0"/>
        <v>8</v>
      </c>
      <c r="E34" s="4">
        <f>E31</f>
        <v>1</v>
      </c>
      <c r="F34" s="11"/>
      <c r="G34" s="11" t="s">
        <v>119</v>
      </c>
      <c r="H34" s="11" t="s">
        <v>120</v>
      </c>
      <c r="I34" s="11" t="s">
        <v>121</v>
      </c>
      <c r="J34" s="11"/>
      <c r="K34" s="11"/>
      <c r="L34" s="11"/>
      <c r="M34" s="11"/>
      <c r="N34" s="12"/>
      <c r="O34" s="23"/>
      <c r="P34" s="23"/>
      <c r="Q34" s="23"/>
      <c r="R34" s="7"/>
    </row>
    <row r="35" spans="1:18" x14ac:dyDescent="0.55000000000000004">
      <c r="A35" s="4"/>
      <c r="B35" s="4"/>
      <c r="C35" s="4">
        <f>C34+1</f>
        <v>9</v>
      </c>
      <c r="D35" s="4" t="str">
        <f t="shared" si="0"/>
        <v>9</v>
      </c>
      <c r="E35" s="4">
        <f>E34</f>
        <v>1</v>
      </c>
      <c r="F35" s="5"/>
      <c r="G35" s="5"/>
      <c r="H35" s="5"/>
      <c r="I35" s="5"/>
      <c r="J35" s="5"/>
      <c r="K35" s="5"/>
      <c r="L35" s="5"/>
      <c r="M35" s="5"/>
      <c r="N35" s="5"/>
      <c r="O35" s="7"/>
      <c r="P35" s="7"/>
      <c r="Q35" s="7"/>
      <c r="R35" s="7"/>
    </row>
    <row r="36" spans="1:18" x14ac:dyDescent="0.55000000000000004">
      <c r="A36" s="4"/>
      <c r="B36" s="4"/>
      <c r="C36" s="4">
        <f t="shared" ref="C36" si="22">C35</f>
        <v>9</v>
      </c>
      <c r="D36" s="4" t="str">
        <f t="shared" si="0"/>
        <v>9</v>
      </c>
      <c r="E36" s="4">
        <f t="shared" ref="E36" si="23">E35+1</f>
        <v>2</v>
      </c>
      <c r="F36" s="5"/>
      <c r="G36" s="5"/>
      <c r="H36" s="5"/>
      <c r="I36" s="5"/>
      <c r="J36" s="5"/>
      <c r="K36" s="5"/>
      <c r="L36" s="5"/>
      <c r="M36" s="5"/>
      <c r="N36" s="5"/>
      <c r="O36" s="7"/>
      <c r="P36" s="7"/>
      <c r="Q36" s="7"/>
      <c r="R36" s="7"/>
    </row>
    <row r="37" spans="1:18" x14ac:dyDescent="0.55000000000000004">
      <c r="A37" s="4"/>
      <c r="B37" s="4"/>
      <c r="C37" s="4">
        <f t="shared" si="9"/>
        <v>9</v>
      </c>
      <c r="D37" s="4" t="str">
        <f t="shared" si="0"/>
        <v>9</v>
      </c>
      <c r="E37" s="4">
        <f t="shared" si="10"/>
        <v>3</v>
      </c>
      <c r="F37" s="5"/>
      <c r="G37" s="5"/>
      <c r="H37" s="5"/>
      <c r="I37" s="5"/>
      <c r="J37" s="5"/>
      <c r="K37" s="5"/>
      <c r="L37" s="5"/>
      <c r="M37" s="5"/>
      <c r="N37" s="5"/>
      <c r="O37" s="7"/>
      <c r="P37" s="7"/>
      <c r="Q37" s="7"/>
      <c r="R37" s="7"/>
    </row>
    <row r="38" spans="1:18" x14ac:dyDescent="0.55000000000000004">
      <c r="A38" s="4"/>
      <c r="B38" s="4"/>
      <c r="C38" s="4">
        <f t="shared" si="9"/>
        <v>9</v>
      </c>
      <c r="D38" s="4" t="str">
        <f t="shared" si="0"/>
        <v>9</v>
      </c>
      <c r="E38" s="4">
        <f t="shared" si="10"/>
        <v>4</v>
      </c>
      <c r="F38" s="5"/>
      <c r="G38" s="5"/>
      <c r="H38" s="5"/>
      <c r="I38" s="5"/>
      <c r="J38" s="5"/>
      <c r="K38" s="13"/>
      <c r="L38" s="5"/>
      <c r="M38" s="5"/>
      <c r="N38" s="5"/>
      <c r="O38" s="7"/>
      <c r="P38" s="7"/>
      <c r="Q38" s="7"/>
      <c r="R38" s="7"/>
    </row>
    <row r="39" spans="1:18" x14ac:dyDescent="0.55000000000000004">
      <c r="A39" s="4"/>
      <c r="B39" s="4"/>
      <c r="C39" s="4">
        <f t="shared" si="9"/>
        <v>9</v>
      </c>
      <c r="D39" s="4" t="str">
        <f t="shared" si="0"/>
        <v>9</v>
      </c>
      <c r="E39" s="4">
        <f t="shared" si="10"/>
        <v>5</v>
      </c>
      <c r="F39" s="5"/>
      <c r="G39" s="5"/>
      <c r="H39" s="5"/>
      <c r="I39" s="5"/>
      <c r="J39" s="5"/>
      <c r="K39" s="5"/>
      <c r="L39" s="5"/>
      <c r="M39" s="5"/>
      <c r="N39" s="5"/>
      <c r="O39" s="7"/>
      <c r="P39" s="7"/>
      <c r="Q39" s="7"/>
      <c r="R39" s="7"/>
    </row>
    <row r="40" spans="1:18" x14ac:dyDescent="0.55000000000000004">
      <c r="A40" s="4"/>
      <c r="B40" s="4"/>
      <c r="C40" s="4">
        <f t="shared" ref="C40" si="24">C35+1</f>
        <v>10</v>
      </c>
      <c r="D40" s="4" t="str">
        <f t="shared" si="0"/>
        <v>10</v>
      </c>
      <c r="E40" s="4">
        <f t="shared" ref="E40" si="25">E35</f>
        <v>1</v>
      </c>
      <c r="F40" s="5"/>
      <c r="G40" s="5"/>
      <c r="H40" s="5"/>
      <c r="I40" s="5"/>
      <c r="J40" s="5"/>
      <c r="K40" s="5"/>
      <c r="L40" s="5"/>
      <c r="M40" s="5"/>
      <c r="N40" s="5"/>
      <c r="O40" s="7"/>
      <c r="P40" s="7"/>
      <c r="Q40" s="7"/>
      <c r="R40" s="7"/>
    </row>
    <row r="41" spans="1:18" x14ac:dyDescent="0.55000000000000004">
      <c r="A41" s="4"/>
      <c r="B41" s="4"/>
      <c r="C41" s="4">
        <f t="shared" ref="C41" si="26">C40</f>
        <v>10</v>
      </c>
      <c r="D41" s="4" t="str">
        <f t="shared" si="0"/>
        <v>10</v>
      </c>
      <c r="E41" s="4">
        <f t="shared" ref="E41" si="27">E40+1</f>
        <v>2</v>
      </c>
      <c r="F41" s="5"/>
      <c r="G41" s="5"/>
      <c r="H41" s="5"/>
      <c r="I41" s="5"/>
      <c r="J41" s="5"/>
      <c r="K41" s="5"/>
      <c r="L41" s="5"/>
      <c r="M41" s="5"/>
      <c r="N41" s="5"/>
      <c r="O41" s="7"/>
      <c r="P41" s="7"/>
      <c r="Q41" s="7"/>
      <c r="R41" s="7"/>
    </row>
    <row r="42" spans="1:18" x14ac:dyDescent="0.55000000000000004">
      <c r="A42" s="4"/>
      <c r="B42" s="4"/>
      <c r="C42" s="4">
        <f t="shared" si="9"/>
        <v>10</v>
      </c>
      <c r="D42" s="4" t="str">
        <f t="shared" si="0"/>
        <v>10</v>
      </c>
      <c r="E42" s="4">
        <f t="shared" si="10"/>
        <v>3</v>
      </c>
      <c r="F42" s="5"/>
      <c r="G42" s="5"/>
      <c r="H42" s="5"/>
      <c r="I42" s="5"/>
      <c r="J42" s="5"/>
      <c r="K42" s="5"/>
      <c r="L42" s="5"/>
      <c r="M42" s="5"/>
      <c r="N42" s="5"/>
      <c r="O42" s="7"/>
      <c r="P42" s="7"/>
      <c r="Q42" s="7"/>
      <c r="R42" s="7"/>
    </row>
    <row r="43" spans="1:18" x14ac:dyDescent="0.55000000000000004">
      <c r="A43" s="4"/>
      <c r="B43" s="4"/>
      <c r="C43" s="4">
        <f t="shared" si="9"/>
        <v>10</v>
      </c>
      <c r="D43" s="4" t="str">
        <f t="shared" si="0"/>
        <v>10</v>
      </c>
      <c r="E43" s="4">
        <f t="shared" si="10"/>
        <v>4</v>
      </c>
      <c r="F43" s="5"/>
      <c r="G43" s="5"/>
      <c r="H43" s="5"/>
      <c r="I43" s="5"/>
      <c r="J43" s="5"/>
      <c r="K43" s="5"/>
      <c r="L43" s="5"/>
      <c r="M43" s="5"/>
      <c r="N43" s="5"/>
      <c r="O43" s="7"/>
      <c r="P43" s="7"/>
      <c r="Q43" s="7"/>
      <c r="R43" s="7"/>
    </row>
    <row r="44" spans="1:18" x14ac:dyDescent="0.55000000000000004">
      <c r="A44" s="4"/>
      <c r="B44" s="4"/>
      <c r="C44" s="4">
        <f t="shared" si="9"/>
        <v>10</v>
      </c>
      <c r="D44" s="4" t="str">
        <f t="shared" si="0"/>
        <v>10</v>
      </c>
      <c r="E44" s="4">
        <f t="shared" si="10"/>
        <v>5</v>
      </c>
      <c r="F44" s="5"/>
      <c r="G44" s="5"/>
      <c r="H44" s="5"/>
      <c r="I44" s="5"/>
      <c r="J44" s="5"/>
      <c r="K44" s="5"/>
      <c r="L44" s="5"/>
      <c r="M44" s="5"/>
      <c r="N44" s="5"/>
      <c r="O44" s="7"/>
      <c r="P44" s="7"/>
      <c r="Q44" s="7"/>
      <c r="R44" s="7"/>
    </row>
    <row r="45" spans="1:18" x14ac:dyDescent="0.55000000000000004">
      <c r="A45" s="4"/>
      <c r="B45" s="4"/>
      <c r="C45" s="4">
        <f t="shared" ref="C45" si="28">C40+1</f>
        <v>11</v>
      </c>
      <c r="D45" s="4" t="str">
        <f t="shared" si="0"/>
        <v>11</v>
      </c>
      <c r="E45" s="4">
        <f t="shared" ref="E45" si="29">E40</f>
        <v>1</v>
      </c>
      <c r="F45" s="5"/>
      <c r="G45" s="5"/>
      <c r="H45" s="5"/>
      <c r="I45" s="5"/>
      <c r="J45" s="5"/>
      <c r="K45" s="5"/>
      <c r="L45" s="5"/>
      <c r="M45" s="5"/>
      <c r="N45" s="5"/>
      <c r="O45" s="7"/>
      <c r="P45" s="7"/>
      <c r="Q45" s="7"/>
      <c r="R45" s="7"/>
    </row>
    <row r="46" spans="1:18" x14ac:dyDescent="0.55000000000000004">
      <c r="A46" s="4"/>
      <c r="B46" s="4"/>
      <c r="C46" s="4">
        <f t="shared" ref="C46" si="30">C45</f>
        <v>11</v>
      </c>
      <c r="D46" s="4" t="str">
        <f t="shared" si="0"/>
        <v>11</v>
      </c>
      <c r="E46" s="4">
        <f t="shared" ref="E46" si="31">E45+1</f>
        <v>2</v>
      </c>
      <c r="F46" s="5"/>
      <c r="G46" s="5"/>
      <c r="H46" s="5"/>
      <c r="I46" s="5"/>
      <c r="J46" s="5"/>
      <c r="K46" s="5"/>
      <c r="L46" s="5"/>
      <c r="M46" s="5"/>
      <c r="N46" s="5"/>
      <c r="O46" s="7"/>
      <c r="P46" s="7"/>
      <c r="Q46" s="7"/>
      <c r="R46" s="7"/>
    </row>
    <row r="47" spans="1:18" x14ac:dyDescent="0.55000000000000004">
      <c r="A47" s="4"/>
      <c r="B47" s="4"/>
      <c r="C47" s="4">
        <f t="shared" si="9"/>
        <v>11</v>
      </c>
      <c r="D47" s="4" t="str">
        <f t="shared" si="0"/>
        <v>11</v>
      </c>
      <c r="E47" s="4">
        <f t="shared" si="10"/>
        <v>3</v>
      </c>
      <c r="F47" s="5"/>
      <c r="G47" s="5"/>
      <c r="H47" s="5"/>
      <c r="I47" s="5"/>
      <c r="J47" s="5"/>
      <c r="K47" s="5"/>
      <c r="L47" s="5"/>
      <c r="M47" s="5"/>
      <c r="N47" s="5"/>
      <c r="O47" s="7"/>
      <c r="P47" s="7"/>
      <c r="Q47" s="7"/>
      <c r="R47" s="7"/>
    </row>
    <row r="48" spans="1:18" x14ac:dyDescent="0.55000000000000004">
      <c r="A48" s="4"/>
      <c r="B48" s="4"/>
      <c r="C48" s="4">
        <f t="shared" si="9"/>
        <v>11</v>
      </c>
      <c r="D48" s="4" t="str">
        <f t="shared" si="0"/>
        <v>11</v>
      </c>
      <c r="E48" s="4">
        <f t="shared" si="10"/>
        <v>4</v>
      </c>
      <c r="F48" s="5"/>
      <c r="G48" s="5"/>
      <c r="H48" s="5"/>
      <c r="I48" s="5"/>
      <c r="J48" s="5"/>
      <c r="K48" s="5"/>
      <c r="L48" s="5"/>
      <c r="M48" s="5"/>
      <c r="N48" s="5"/>
      <c r="O48" s="7"/>
      <c r="P48" s="7"/>
      <c r="Q48" s="7"/>
      <c r="R48" s="7"/>
    </row>
    <row r="49" spans="1:18" x14ac:dyDescent="0.55000000000000004">
      <c r="A49" s="4"/>
      <c r="B49" s="4"/>
      <c r="C49" s="4">
        <f t="shared" si="9"/>
        <v>11</v>
      </c>
      <c r="D49" s="4" t="str">
        <f t="shared" si="0"/>
        <v>11</v>
      </c>
      <c r="E49" s="4">
        <f t="shared" si="10"/>
        <v>5</v>
      </c>
      <c r="F49" s="5"/>
      <c r="G49" s="5"/>
      <c r="H49" s="5"/>
      <c r="I49" s="5"/>
      <c r="J49" s="5"/>
      <c r="K49" s="5"/>
      <c r="L49" s="5"/>
      <c r="M49" s="5"/>
      <c r="N49" s="5"/>
      <c r="O49" s="7"/>
      <c r="P49" s="7"/>
      <c r="Q49" s="7"/>
      <c r="R49" s="7"/>
    </row>
    <row r="50" spans="1:18" x14ac:dyDescent="0.55000000000000004">
      <c r="A50" s="4"/>
      <c r="B50" s="4"/>
      <c r="C50" s="4">
        <f t="shared" ref="C50" si="32">C45+1</f>
        <v>12</v>
      </c>
      <c r="D50" s="4" t="str">
        <f t="shared" si="0"/>
        <v>12</v>
      </c>
      <c r="E50" s="4">
        <f t="shared" ref="E50" si="33">E45</f>
        <v>1</v>
      </c>
      <c r="F50" s="5"/>
      <c r="G50" s="5"/>
      <c r="H50" s="5"/>
      <c r="I50" s="5"/>
      <c r="J50" s="5"/>
      <c r="K50" s="5"/>
      <c r="L50" s="5"/>
      <c r="M50" s="5"/>
      <c r="N50" s="5"/>
      <c r="O50" s="7"/>
      <c r="P50" s="7"/>
      <c r="Q50" s="7"/>
      <c r="R50" s="7"/>
    </row>
    <row r="51" spans="1:18" x14ac:dyDescent="0.55000000000000004">
      <c r="A51" s="4"/>
      <c r="B51" s="4"/>
      <c r="C51" s="4">
        <f t="shared" ref="C51" si="34">C50</f>
        <v>12</v>
      </c>
      <c r="D51" s="4" t="str">
        <f t="shared" si="0"/>
        <v>12</v>
      </c>
      <c r="E51" s="4">
        <f t="shared" ref="E51" si="35">E50+1</f>
        <v>2</v>
      </c>
      <c r="F51" s="5"/>
      <c r="G51" s="5"/>
      <c r="H51" s="5"/>
      <c r="I51" s="5"/>
      <c r="J51" s="5"/>
      <c r="K51" s="5"/>
      <c r="L51" s="5"/>
      <c r="M51" s="5"/>
      <c r="N51" s="5"/>
      <c r="O51" s="7"/>
      <c r="P51" s="7"/>
      <c r="Q51" s="7"/>
      <c r="R51" s="7"/>
    </row>
    <row r="52" spans="1:18" x14ac:dyDescent="0.55000000000000004">
      <c r="A52" s="4"/>
      <c r="B52" s="4"/>
      <c r="C52" s="4">
        <f t="shared" si="9"/>
        <v>12</v>
      </c>
      <c r="D52" s="4" t="str">
        <f t="shared" si="0"/>
        <v>12</v>
      </c>
      <c r="E52" s="4">
        <f t="shared" si="10"/>
        <v>3</v>
      </c>
      <c r="F52" s="5"/>
      <c r="G52" s="5"/>
      <c r="H52" s="5"/>
      <c r="I52" s="5"/>
      <c r="J52" s="5"/>
      <c r="K52" s="5"/>
      <c r="L52" s="5"/>
      <c r="M52" s="5"/>
      <c r="N52" s="5"/>
      <c r="O52" s="7"/>
      <c r="P52" s="7"/>
      <c r="Q52" s="7"/>
      <c r="R52" s="7"/>
    </row>
    <row r="53" spans="1:18" x14ac:dyDescent="0.55000000000000004">
      <c r="A53" s="4"/>
      <c r="B53" s="4"/>
      <c r="C53" s="4">
        <f t="shared" si="9"/>
        <v>12</v>
      </c>
      <c r="D53" s="4" t="str">
        <f t="shared" si="0"/>
        <v>12</v>
      </c>
      <c r="E53" s="4">
        <f t="shared" si="10"/>
        <v>4</v>
      </c>
      <c r="F53" s="5"/>
      <c r="G53" s="5"/>
      <c r="H53" s="5"/>
      <c r="I53" s="5"/>
      <c r="J53" s="5"/>
      <c r="K53" s="5"/>
      <c r="L53" s="5"/>
      <c r="M53" s="5"/>
      <c r="N53" s="5"/>
      <c r="O53" s="7"/>
      <c r="P53" s="7"/>
      <c r="Q53" s="7"/>
      <c r="R53" s="7"/>
    </row>
    <row r="54" spans="1:18" x14ac:dyDescent="0.55000000000000004">
      <c r="A54" s="4"/>
      <c r="B54" s="4"/>
      <c r="C54" s="4">
        <f t="shared" si="9"/>
        <v>12</v>
      </c>
      <c r="D54" s="4" t="str">
        <f t="shared" si="0"/>
        <v>12</v>
      </c>
      <c r="E54" s="4">
        <f t="shared" si="10"/>
        <v>5</v>
      </c>
      <c r="F54" s="5"/>
      <c r="G54" s="5"/>
      <c r="H54" s="5"/>
      <c r="I54" s="5"/>
      <c r="J54" s="5"/>
      <c r="K54" s="5"/>
      <c r="L54" s="5"/>
      <c r="M54" s="5"/>
      <c r="N54" s="5"/>
      <c r="O54" s="7"/>
      <c r="P54" s="7"/>
      <c r="Q54" s="7"/>
      <c r="R54" s="7"/>
    </row>
    <row r="55" spans="1:18" x14ac:dyDescent="0.55000000000000004">
      <c r="A55" s="4"/>
      <c r="B55" s="4"/>
      <c r="C55" s="4">
        <f t="shared" ref="C55:C85" si="36">C50+1</f>
        <v>13</v>
      </c>
      <c r="D55" s="4" t="str">
        <f t="shared" si="0"/>
        <v>13</v>
      </c>
      <c r="E55" s="4">
        <f t="shared" ref="E55" si="37">E50</f>
        <v>1</v>
      </c>
      <c r="F55" s="5"/>
      <c r="G55" s="5"/>
      <c r="H55" s="5"/>
      <c r="I55" s="5"/>
      <c r="J55" s="5"/>
      <c r="K55" s="5"/>
      <c r="L55" s="5"/>
      <c r="M55" s="5"/>
      <c r="N55" s="5"/>
      <c r="O55" s="7"/>
      <c r="P55" s="7"/>
      <c r="Q55" s="7"/>
      <c r="R55" s="7"/>
    </row>
    <row r="56" spans="1:18" x14ac:dyDescent="0.55000000000000004">
      <c r="A56" s="4"/>
      <c r="B56" s="4"/>
      <c r="C56" s="4">
        <f t="shared" ref="C56:C86" si="38">C55</f>
        <v>13</v>
      </c>
      <c r="D56" s="4" t="str">
        <f t="shared" si="0"/>
        <v>13</v>
      </c>
      <c r="E56" s="4">
        <f t="shared" ref="E56" si="39">E55+1</f>
        <v>2</v>
      </c>
      <c r="F56" s="5"/>
      <c r="G56" s="5"/>
      <c r="H56" s="5"/>
      <c r="I56" s="5"/>
      <c r="J56" s="5"/>
      <c r="K56" s="5"/>
      <c r="L56" s="5"/>
      <c r="M56" s="5"/>
      <c r="N56" s="5"/>
      <c r="O56" s="7"/>
      <c r="P56" s="7"/>
      <c r="Q56" s="7"/>
      <c r="R56" s="7"/>
    </row>
    <row r="57" spans="1:18" x14ac:dyDescent="0.55000000000000004">
      <c r="A57" s="4"/>
      <c r="B57" s="4"/>
      <c r="C57" s="4">
        <f t="shared" si="9"/>
        <v>13</v>
      </c>
      <c r="D57" s="4" t="str">
        <f t="shared" si="0"/>
        <v>13</v>
      </c>
      <c r="E57" s="4">
        <f t="shared" si="10"/>
        <v>3</v>
      </c>
      <c r="F57" s="5"/>
      <c r="G57" s="5"/>
      <c r="H57" s="5"/>
      <c r="I57" s="5"/>
      <c r="J57" s="5"/>
      <c r="K57" s="5"/>
      <c r="L57" s="5"/>
      <c r="M57" s="5"/>
      <c r="N57" s="5"/>
      <c r="O57" s="7"/>
      <c r="P57" s="7"/>
      <c r="Q57" s="7"/>
      <c r="R57" s="7"/>
    </row>
    <row r="58" spans="1:18" x14ac:dyDescent="0.55000000000000004">
      <c r="A58" s="4"/>
      <c r="B58" s="4"/>
      <c r="C58" s="4">
        <f t="shared" si="9"/>
        <v>13</v>
      </c>
      <c r="D58" s="4" t="str">
        <f t="shared" si="0"/>
        <v>13</v>
      </c>
      <c r="E58" s="4">
        <f t="shared" si="10"/>
        <v>4</v>
      </c>
      <c r="F58" s="5"/>
      <c r="G58" s="5"/>
      <c r="H58" s="5"/>
      <c r="I58" s="5"/>
      <c r="J58" s="5"/>
      <c r="K58" s="5"/>
      <c r="L58" s="5"/>
      <c r="M58" s="5"/>
      <c r="N58" s="5"/>
      <c r="O58" s="7"/>
      <c r="P58" s="7"/>
      <c r="Q58" s="7"/>
      <c r="R58" s="7"/>
    </row>
    <row r="59" spans="1:18" x14ac:dyDescent="0.55000000000000004">
      <c r="A59" s="4"/>
      <c r="B59" s="4"/>
      <c r="C59" s="4">
        <f t="shared" si="9"/>
        <v>13</v>
      </c>
      <c r="D59" s="4" t="str">
        <f t="shared" si="0"/>
        <v>13</v>
      </c>
      <c r="E59" s="4">
        <f t="shared" si="10"/>
        <v>5</v>
      </c>
      <c r="F59" s="5"/>
      <c r="G59" s="5"/>
      <c r="H59" s="5"/>
      <c r="I59" s="5"/>
      <c r="J59" s="5"/>
      <c r="K59" s="5"/>
      <c r="L59" s="5"/>
      <c r="M59" s="5"/>
      <c r="N59" s="5"/>
      <c r="O59" s="7"/>
      <c r="P59" s="7"/>
      <c r="Q59" s="7"/>
      <c r="R59" s="7"/>
    </row>
    <row r="60" spans="1:18" x14ac:dyDescent="0.55000000000000004">
      <c r="A60" s="4"/>
      <c r="B60" s="4"/>
      <c r="C60" s="4">
        <f t="shared" si="36"/>
        <v>14</v>
      </c>
      <c r="D60" s="4" t="str">
        <f t="shared" ref="D60:D89" si="40">B60&amp;C60</f>
        <v>14</v>
      </c>
      <c r="E60" s="4">
        <f t="shared" ref="E60" si="41">E55</f>
        <v>1</v>
      </c>
      <c r="F60" s="5"/>
      <c r="G60" s="5"/>
      <c r="H60" s="5"/>
      <c r="I60" s="5"/>
      <c r="J60" s="5"/>
      <c r="K60" s="5"/>
      <c r="L60" s="5"/>
      <c r="M60" s="5"/>
      <c r="N60" s="5"/>
      <c r="O60" s="7"/>
      <c r="P60" s="7"/>
      <c r="Q60" s="7"/>
      <c r="R60" s="7"/>
    </row>
    <row r="61" spans="1:18" x14ac:dyDescent="0.55000000000000004">
      <c r="A61" s="4"/>
      <c r="B61" s="4"/>
      <c r="C61" s="4">
        <f t="shared" si="38"/>
        <v>14</v>
      </c>
      <c r="D61" s="4" t="str">
        <f t="shared" si="40"/>
        <v>14</v>
      </c>
      <c r="E61" s="4">
        <f t="shared" ref="E61" si="42">E60+1</f>
        <v>2</v>
      </c>
      <c r="F61" s="5"/>
      <c r="G61" s="5"/>
      <c r="H61" s="5"/>
      <c r="I61" s="5"/>
      <c r="J61" s="5"/>
      <c r="K61" s="5"/>
      <c r="L61" s="5"/>
      <c r="M61" s="5"/>
      <c r="N61" s="5"/>
      <c r="O61" s="7"/>
      <c r="P61" s="7"/>
      <c r="Q61" s="7"/>
      <c r="R61" s="7"/>
    </row>
    <row r="62" spans="1:18" x14ac:dyDescent="0.55000000000000004">
      <c r="A62" s="4"/>
      <c r="B62" s="4"/>
      <c r="C62" s="4">
        <f t="shared" si="9"/>
        <v>14</v>
      </c>
      <c r="D62" s="4" t="str">
        <f t="shared" si="40"/>
        <v>14</v>
      </c>
      <c r="E62" s="4">
        <f t="shared" si="10"/>
        <v>3</v>
      </c>
      <c r="F62" s="5"/>
      <c r="G62" s="5"/>
      <c r="H62" s="5"/>
      <c r="I62" s="5"/>
      <c r="J62" s="5"/>
      <c r="K62" s="5"/>
      <c r="L62" s="5"/>
      <c r="M62" s="5"/>
      <c r="N62" s="5"/>
      <c r="O62" s="7"/>
      <c r="P62" s="7"/>
      <c r="Q62" s="7"/>
      <c r="R62" s="7"/>
    </row>
    <row r="63" spans="1:18" x14ac:dyDescent="0.55000000000000004">
      <c r="A63" s="4"/>
      <c r="B63" s="4"/>
      <c r="C63" s="4">
        <f t="shared" si="9"/>
        <v>14</v>
      </c>
      <c r="D63" s="4" t="str">
        <f t="shared" si="40"/>
        <v>14</v>
      </c>
      <c r="E63" s="4">
        <f t="shared" si="10"/>
        <v>4</v>
      </c>
      <c r="F63" s="5"/>
      <c r="G63" s="5"/>
      <c r="H63" s="5"/>
      <c r="I63" s="5"/>
      <c r="J63" s="5"/>
      <c r="K63" s="5"/>
      <c r="L63" s="5"/>
      <c r="M63" s="5"/>
      <c r="N63" s="5"/>
      <c r="O63" s="7"/>
      <c r="P63" s="7"/>
      <c r="Q63" s="7"/>
      <c r="R63" s="7"/>
    </row>
    <row r="64" spans="1:18" x14ac:dyDescent="0.55000000000000004">
      <c r="A64" s="4"/>
      <c r="B64" s="4"/>
      <c r="C64" s="4">
        <f t="shared" si="9"/>
        <v>14</v>
      </c>
      <c r="D64" s="4" t="str">
        <f t="shared" si="40"/>
        <v>14</v>
      </c>
      <c r="E64" s="4">
        <f t="shared" si="10"/>
        <v>5</v>
      </c>
      <c r="F64" s="5"/>
      <c r="G64" s="5"/>
      <c r="H64" s="5"/>
      <c r="I64" s="5"/>
      <c r="J64" s="5"/>
      <c r="K64" s="5"/>
      <c r="L64" s="5"/>
      <c r="M64" s="5"/>
      <c r="N64" s="5"/>
      <c r="O64" s="7"/>
      <c r="P64" s="7"/>
      <c r="Q64" s="7"/>
      <c r="R64" s="7"/>
    </row>
    <row r="65" spans="1:18" x14ac:dyDescent="0.55000000000000004">
      <c r="A65" s="4"/>
      <c r="B65" s="4"/>
      <c r="C65" s="4">
        <f t="shared" si="36"/>
        <v>15</v>
      </c>
      <c r="D65" s="4" t="str">
        <f t="shared" si="40"/>
        <v>15</v>
      </c>
      <c r="E65" s="4">
        <f t="shared" ref="E65" si="43">E60</f>
        <v>1</v>
      </c>
      <c r="F65" s="5"/>
      <c r="G65" s="5"/>
      <c r="H65" s="5"/>
      <c r="I65" s="5"/>
      <c r="J65" s="5"/>
      <c r="K65" s="5"/>
      <c r="L65" s="5"/>
      <c r="M65" s="5"/>
      <c r="N65" s="5"/>
      <c r="O65" s="7"/>
      <c r="P65" s="7"/>
      <c r="Q65" s="7"/>
      <c r="R65" s="7"/>
    </row>
    <row r="66" spans="1:18" x14ac:dyDescent="0.55000000000000004">
      <c r="A66" s="4"/>
      <c r="B66" s="4"/>
      <c r="C66" s="4">
        <f t="shared" si="38"/>
        <v>15</v>
      </c>
      <c r="D66" s="4" t="str">
        <f t="shared" si="40"/>
        <v>15</v>
      </c>
      <c r="E66" s="4">
        <f t="shared" ref="E66" si="44">E65+1</f>
        <v>2</v>
      </c>
      <c r="F66" s="5"/>
      <c r="G66" s="5"/>
      <c r="H66" s="5"/>
      <c r="I66" s="5"/>
      <c r="J66" s="5"/>
      <c r="K66" s="5"/>
      <c r="L66" s="5"/>
      <c r="M66" s="5"/>
      <c r="N66" s="5"/>
      <c r="O66" s="7"/>
      <c r="P66" s="7"/>
      <c r="Q66" s="7"/>
      <c r="R66" s="7"/>
    </row>
    <row r="67" spans="1:18" x14ac:dyDescent="0.55000000000000004">
      <c r="A67" s="4"/>
      <c r="B67" s="4"/>
      <c r="C67" s="4">
        <f t="shared" si="9"/>
        <v>15</v>
      </c>
      <c r="D67" s="4" t="str">
        <f t="shared" si="40"/>
        <v>15</v>
      </c>
      <c r="E67" s="4">
        <f t="shared" si="10"/>
        <v>3</v>
      </c>
      <c r="F67" s="5"/>
      <c r="G67" s="5"/>
      <c r="H67" s="5"/>
      <c r="I67" s="5"/>
      <c r="J67" s="5"/>
      <c r="K67" s="5"/>
      <c r="L67" s="5"/>
      <c r="M67" s="5"/>
      <c r="N67" s="5"/>
      <c r="O67" s="7"/>
      <c r="P67" s="7"/>
      <c r="Q67" s="7"/>
      <c r="R67" s="7"/>
    </row>
    <row r="68" spans="1:18" x14ac:dyDescent="0.55000000000000004">
      <c r="A68" s="4"/>
      <c r="B68" s="4"/>
      <c r="C68" s="4">
        <f t="shared" si="9"/>
        <v>15</v>
      </c>
      <c r="D68" s="4" t="str">
        <f t="shared" si="40"/>
        <v>15</v>
      </c>
      <c r="E68" s="4">
        <f t="shared" si="10"/>
        <v>4</v>
      </c>
      <c r="F68" s="5"/>
      <c r="G68" s="5"/>
      <c r="H68" s="5"/>
      <c r="I68" s="5"/>
      <c r="J68" s="5"/>
      <c r="K68" s="5"/>
      <c r="L68" s="5"/>
      <c r="M68" s="5"/>
      <c r="N68" s="5"/>
      <c r="O68" s="7"/>
      <c r="P68" s="7"/>
      <c r="Q68" s="7"/>
      <c r="R68" s="7"/>
    </row>
    <row r="69" spans="1:18" x14ac:dyDescent="0.55000000000000004">
      <c r="A69" s="4"/>
      <c r="B69" s="4"/>
      <c r="C69" s="4">
        <f t="shared" si="9"/>
        <v>15</v>
      </c>
      <c r="D69" s="4" t="str">
        <f t="shared" si="40"/>
        <v>15</v>
      </c>
      <c r="E69" s="4">
        <f t="shared" si="10"/>
        <v>5</v>
      </c>
      <c r="F69" s="5"/>
      <c r="G69" s="5"/>
      <c r="H69" s="5"/>
      <c r="I69" s="5"/>
      <c r="J69" s="5"/>
      <c r="K69" s="5"/>
      <c r="L69" s="5"/>
      <c r="M69" s="5"/>
      <c r="N69" s="5"/>
      <c r="O69" s="7"/>
      <c r="P69" s="7"/>
      <c r="Q69" s="7"/>
      <c r="R69" s="7"/>
    </row>
    <row r="70" spans="1:18" x14ac:dyDescent="0.55000000000000004">
      <c r="A70" s="4"/>
      <c r="B70" s="4"/>
      <c r="C70" s="4">
        <f t="shared" si="36"/>
        <v>16</v>
      </c>
      <c r="D70" s="4" t="str">
        <f t="shared" si="40"/>
        <v>16</v>
      </c>
      <c r="E70" s="4">
        <f t="shared" ref="E70" si="45">E65</f>
        <v>1</v>
      </c>
      <c r="F70" s="5"/>
      <c r="G70" s="5"/>
      <c r="H70" s="5"/>
      <c r="I70" s="5"/>
      <c r="J70" s="5"/>
      <c r="K70" s="5"/>
      <c r="L70" s="5"/>
      <c r="M70" s="5"/>
      <c r="N70" s="5"/>
      <c r="O70" s="7"/>
      <c r="P70" s="7"/>
      <c r="Q70" s="7"/>
      <c r="R70" s="7"/>
    </row>
    <row r="71" spans="1:18" x14ac:dyDescent="0.55000000000000004">
      <c r="A71" s="4"/>
      <c r="B71" s="4"/>
      <c r="C71" s="4">
        <f t="shared" si="38"/>
        <v>16</v>
      </c>
      <c r="D71" s="4" t="str">
        <f t="shared" si="40"/>
        <v>16</v>
      </c>
      <c r="E71" s="4">
        <f t="shared" ref="E71:E89" si="46">E70+1</f>
        <v>2</v>
      </c>
      <c r="F71" s="5"/>
      <c r="G71" s="5"/>
      <c r="H71" s="5"/>
      <c r="I71" s="5"/>
      <c r="J71" s="5"/>
      <c r="K71" s="5"/>
      <c r="L71" s="5"/>
      <c r="M71" s="5"/>
      <c r="N71" s="5"/>
      <c r="O71" s="7"/>
      <c r="P71" s="7"/>
      <c r="Q71" s="7"/>
      <c r="R71" s="7"/>
    </row>
    <row r="72" spans="1:18" x14ac:dyDescent="0.55000000000000004">
      <c r="A72" s="4"/>
      <c r="B72" s="4"/>
      <c r="C72" s="4">
        <f t="shared" si="9"/>
        <v>16</v>
      </c>
      <c r="D72" s="4" t="str">
        <f t="shared" si="40"/>
        <v>16</v>
      </c>
      <c r="E72" s="4">
        <f t="shared" si="46"/>
        <v>3</v>
      </c>
      <c r="F72" s="5"/>
      <c r="G72" s="5"/>
      <c r="H72" s="5"/>
      <c r="I72" s="5"/>
      <c r="J72" s="5"/>
      <c r="K72" s="5"/>
      <c r="L72" s="5"/>
      <c r="M72" s="5"/>
      <c r="N72" s="5"/>
      <c r="O72" s="7"/>
      <c r="P72" s="7"/>
      <c r="Q72" s="7"/>
      <c r="R72" s="7"/>
    </row>
    <row r="73" spans="1:18" x14ac:dyDescent="0.55000000000000004">
      <c r="A73" s="4"/>
      <c r="B73" s="4"/>
      <c r="C73" s="4">
        <f t="shared" si="9"/>
        <v>16</v>
      </c>
      <c r="D73" s="4" t="str">
        <f t="shared" si="40"/>
        <v>16</v>
      </c>
      <c r="E73" s="4">
        <f t="shared" si="46"/>
        <v>4</v>
      </c>
      <c r="F73" s="5"/>
      <c r="G73" s="5"/>
      <c r="H73" s="5"/>
      <c r="I73" s="5"/>
      <c r="J73" s="5"/>
      <c r="K73" s="5"/>
      <c r="L73" s="5"/>
      <c r="M73" s="5"/>
      <c r="N73" s="5"/>
      <c r="O73" s="7"/>
      <c r="P73" s="7"/>
      <c r="Q73" s="7"/>
      <c r="R73" s="7"/>
    </row>
    <row r="74" spans="1:18" x14ac:dyDescent="0.55000000000000004">
      <c r="A74" s="4"/>
      <c r="B74" s="4"/>
      <c r="C74" s="4">
        <f t="shared" si="9"/>
        <v>16</v>
      </c>
      <c r="D74" s="4" t="str">
        <f t="shared" si="40"/>
        <v>16</v>
      </c>
      <c r="E74" s="4">
        <f t="shared" si="46"/>
        <v>5</v>
      </c>
      <c r="F74" s="5"/>
      <c r="G74" s="5"/>
      <c r="H74" s="5"/>
      <c r="I74" s="5"/>
      <c r="J74" s="5"/>
      <c r="K74" s="5"/>
      <c r="L74" s="5"/>
      <c r="M74" s="5"/>
      <c r="N74" s="5"/>
      <c r="O74" s="7"/>
      <c r="P74" s="7"/>
      <c r="Q74" s="7"/>
      <c r="R74" s="7"/>
    </row>
    <row r="75" spans="1:18" x14ac:dyDescent="0.55000000000000004">
      <c r="A75" s="4"/>
      <c r="B75" s="4"/>
      <c r="C75" s="4">
        <f t="shared" si="36"/>
        <v>17</v>
      </c>
      <c r="D75" s="4" t="str">
        <f t="shared" si="40"/>
        <v>17</v>
      </c>
      <c r="E75" s="4">
        <f t="shared" ref="E75" si="47">E70</f>
        <v>1</v>
      </c>
      <c r="F75" s="5"/>
      <c r="G75" s="5"/>
      <c r="H75" s="5"/>
      <c r="I75" s="5"/>
      <c r="J75" s="5"/>
      <c r="K75" s="5"/>
      <c r="L75" s="5"/>
      <c r="M75" s="5"/>
      <c r="N75" s="5"/>
      <c r="O75" s="7"/>
      <c r="P75" s="7"/>
      <c r="Q75" s="7"/>
      <c r="R75" s="7"/>
    </row>
    <row r="76" spans="1:18" x14ac:dyDescent="0.55000000000000004">
      <c r="A76" s="4"/>
      <c r="B76" s="4"/>
      <c r="C76" s="4">
        <f t="shared" si="38"/>
        <v>17</v>
      </c>
      <c r="D76" s="4" t="str">
        <f t="shared" si="40"/>
        <v>17</v>
      </c>
      <c r="E76" s="4">
        <f t="shared" ref="E76" si="48">E75+1</f>
        <v>2</v>
      </c>
      <c r="F76" s="5"/>
      <c r="G76" s="5"/>
      <c r="H76" s="5"/>
      <c r="I76" s="5"/>
      <c r="J76" s="5"/>
      <c r="K76" s="5"/>
      <c r="L76" s="5"/>
      <c r="M76" s="5"/>
      <c r="N76" s="5"/>
      <c r="O76" s="7"/>
      <c r="P76" s="7"/>
      <c r="Q76" s="7"/>
      <c r="R76" s="7"/>
    </row>
    <row r="77" spans="1:18" x14ac:dyDescent="0.55000000000000004">
      <c r="A77" s="4"/>
      <c r="B77" s="4"/>
      <c r="C77" s="4">
        <f t="shared" si="9"/>
        <v>17</v>
      </c>
      <c r="D77" s="4" t="str">
        <f t="shared" si="40"/>
        <v>17</v>
      </c>
      <c r="E77" s="4">
        <f t="shared" si="46"/>
        <v>3</v>
      </c>
      <c r="F77" s="5"/>
      <c r="G77" s="5"/>
      <c r="H77" s="5"/>
      <c r="I77" s="5"/>
      <c r="J77" s="5"/>
      <c r="K77" s="5"/>
      <c r="L77" s="5"/>
      <c r="M77" s="5"/>
      <c r="N77" s="5"/>
      <c r="O77" s="7"/>
      <c r="P77" s="7"/>
      <c r="Q77" s="7"/>
      <c r="R77" s="7"/>
    </row>
    <row r="78" spans="1:18" x14ac:dyDescent="0.55000000000000004">
      <c r="A78" s="4"/>
      <c r="B78" s="4"/>
      <c r="C78" s="4">
        <f t="shared" si="9"/>
        <v>17</v>
      </c>
      <c r="D78" s="4" t="str">
        <f t="shared" si="40"/>
        <v>17</v>
      </c>
      <c r="E78" s="4">
        <f t="shared" si="46"/>
        <v>4</v>
      </c>
      <c r="F78" s="5"/>
      <c r="G78" s="5"/>
      <c r="H78" s="5"/>
      <c r="I78" s="5"/>
      <c r="J78" s="5"/>
      <c r="K78" s="5"/>
      <c r="L78" s="5"/>
      <c r="M78" s="5"/>
      <c r="N78" s="5"/>
      <c r="O78" s="7"/>
      <c r="P78" s="7"/>
      <c r="Q78" s="7"/>
      <c r="R78" s="7"/>
    </row>
    <row r="79" spans="1:18" x14ac:dyDescent="0.55000000000000004">
      <c r="A79" s="4"/>
      <c r="B79" s="4"/>
      <c r="C79" s="4">
        <f t="shared" si="9"/>
        <v>17</v>
      </c>
      <c r="D79" s="4" t="str">
        <f t="shared" si="40"/>
        <v>17</v>
      </c>
      <c r="E79" s="4">
        <f t="shared" si="46"/>
        <v>5</v>
      </c>
      <c r="F79" s="5"/>
      <c r="G79" s="5"/>
      <c r="H79" s="5"/>
      <c r="I79" s="5"/>
      <c r="J79" s="5"/>
      <c r="K79" s="5"/>
      <c r="L79" s="5"/>
      <c r="M79" s="5"/>
      <c r="N79" s="5"/>
      <c r="O79" s="7"/>
      <c r="P79" s="7"/>
      <c r="Q79" s="7"/>
      <c r="R79" s="7"/>
    </row>
    <row r="80" spans="1:18" x14ac:dyDescent="0.55000000000000004">
      <c r="A80" s="4"/>
      <c r="B80" s="4"/>
      <c r="C80" s="4">
        <f t="shared" si="36"/>
        <v>18</v>
      </c>
      <c r="D80" s="4" t="str">
        <f t="shared" si="40"/>
        <v>18</v>
      </c>
      <c r="E80" s="4">
        <f t="shared" ref="E80" si="49">E75</f>
        <v>1</v>
      </c>
      <c r="F80" s="5"/>
      <c r="G80" s="5"/>
      <c r="H80" s="5"/>
      <c r="I80" s="5"/>
      <c r="J80" s="5"/>
      <c r="K80" s="5"/>
      <c r="L80" s="5"/>
      <c r="M80" s="5"/>
      <c r="N80" s="5"/>
      <c r="O80" s="7"/>
      <c r="P80" s="7"/>
      <c r="Q80" s="7"/>
      <c r="R80" s="7"/>
    </row>
    <row r="81" spans="1:18" x14ac:dyDescent="0.55000000000000004">
      <c r="A81" s="4"/>
      <c r="B81" s="4"/>
      <c r="C81" s="4">
        <f t="shared" si="38"/>
        <v>18</v>
      </c>
      <c r="D81" s="4" t="str">
        <f t="shared" si="40"/>
        <v>18</v>
      </c>
      <c r="E81" s="4">
        <f t="shared" ref="E81" si="50">E80+1</f>
        <v>2</v>
      </c>
      <c r="F81" s="5"/>
      <c r="G81" s="5"/>
      <c r="H81" s="5"/>
      <c r="I81" s="5"/>
      <c r="J81" s="5"/>
      <c r="K81" s="5"/>
      <c r="L81" s="5"/>
      <c r="M81" s="5"/>
      <c r="N81" s="5"/>
      <c r="O81" s="7"/>
      <c r="P81" s="7"/>
      <c r="Q81" s="7"/>
      <c r="R81" s="7"/>
    </row>
    <row r="82" spans="1:18" x14ac:dyDescent="0.55000000000000004">
      <c r="A82" s="4"/>
      <c r="B82" s="4"/>
      <c r="C82" s="4">
        <f t="shared" si="9"/>
        <v>18</v>
      </c>
      <c r="D82" s="4" t="str">
        <f t="shared" si="40"/>
        <v>18</v>
      </c>
      <c r="E82" s="4">
        <f t="shared" si="46"/>
        <v>3</v>
      </c>
      <c r="F82" s="5"/>
      <c r="G82" s="5"/>
      <c r="H82" s="5"/>
      <c r="I82" s="5"/>
      <c r="J82" s="5"/>
      <c r="K82" s="5"/>
      <c r="L82" s="5"/>
      <c r="M82" s="5"/>
      <c r="N82" s="5"/>
      <c r="O82" s="7"/>
      <c r="P82" s="7"/>
      <c r="Q82" s="7"/>
      <c r="R82" s="7"/>
    </row>
    <row r="83" spans="1:18" x14ac:dyDescent="0.55000000000000004">
      <c r="A83" s="4"/>
      <c r="B83" s="4"/>
      <c r="C83" s="4">
        <f t="shared" si="9"/>
        <v>18</v>
      </c>
      <c r="D83" s="4" t="str">
        <f t="shared" si="40"/>
        <v>18</v>
      </c>
      <c r="E83" s="4">
        <f t="shared" si="46"/>
        <v>4</v>
      </c>
      <c r="F83" s="5"/>
      <c r="G83" s="5"/>
      <c r="H83" s="5"/>
      <c r="I83" s="5"/>
      <c r="J83" s="5"/>
      <c r="K83" s="5"/>
      <c r="L83" s="5"/>
      <c r="M83" s="5"/>
      <c r="N83" s="5"/>
      <c r="O83" s="7"/>
      <c r="P83" s="7"/>
      <c r="Q83" s="7"/>
      <c r="R83" s="7"/>
    </row>
    <row r="84" spans="1:18" x14ac:dyDescent="0.55000000000000004">
      <c r="A84" s="4"/>
      <c r="B84" s="4"/>
      <c r="C84" s="4">
        <f t="shared" si="9"/>
        <v>18</v>
      </c>
      <c r="D84" s="4" t="str">
        <f t="shared" si="40"/>
        <v>18</v>
      </c>
      <c r="E84" s="4">
        <f t="shared" si="46"/>
        <v>5</v>
      </c>
      <c r="F84" s="5"/>
      <c r="G84" s="5"/>
      <c r="H84" s="5"/>
      <c r="I84" s="5"/>
      <c r="J84" s="5"/>
      <c r="K84" s="5"/>
      <c r="L84" s="5"/>
      <c r="M84" s="5"/>
      <c r="N84" s="5"/>
      <c r="O84" s="7"/>
      <c r="P84" s="7"/>
      <c r="Q84" s="7"/>
      <c r="R84" s="7"/>
    </row>
    <row r="85" spans="1:18" x14ac:dyDescent="0.55000000000000004">
      <c r="A85" s="4"/>
      <c r="B85" s="4"/>
      <c r="C85" s="4">
        <f t="shared" si="36"/>
        <v>19</v>
      </c>
      <c r="D85" s="4" t="str">
        <f t="shared" si="40"/>
        <v>19</v>
      </c>
      <c r="E85" s="4">
        <f t="shared" ref="E85" si="51">E80</f>
        <v>1</v>
      </c>
      <c r="F85" s="5"/>
      <c r="G85" s="5"/>
      <c r="H85" s="5"/>
      <c r="I85" s="5"/>
      <c r="J85" s="5"/>
      <c r="K85" s="5"/>
      <c r="L85" s="5"/>
      <c r="M85" s="5"/>
      <c r="N85" s="5"/>
      <c r="O85" s="7"/>
      <c r="P85" s="7"/>
      <c r="Q85" s="7"/>
      <c r="R85" s="7"/>
    </row>
    <row r="86" spans="1:18" x14ac:dyDescent="0.55000000000000004">
      <c r="A86" s="4"/>
      <c r="B86" s="4"/>
      <c r="C86" s="4">
        <f t="shared" si="38"/>
        <v>19</v>
      </c>
      <c r="D86" s="4" t="str">
        <f t="shared" si="40"/>
        <v>19</v>
      </c>
      <c r="E86" s="4">
        <f t="shared" ref="E86" si="52">E85+1</f>
        <v>2</v>
      </c>
      <c r="F86" s="5"/>
      <c r="G86" s="5"/>
      <c r="H86" s="5"/>
      <c r="I86" s="5"/>
      <c r="J86" s="5"/>
      <c r="K86" s="5"/>
      <c r="L86" s="5"/>
      <c r="M86" s="5"/>
      <c r="N86" s="5"/>
      <c r="O86" s="7"/>
      <c r="P86" s="7"/>
      <c r="Q86" s="7"/>
      <c r="R86" s="7"/>
    </row>
    <row r="87" spans="1:18" x14ac:dyDescent="0.55000000000000004">
      <c r="A87" s="4"/>
      <c r="B87" s="4"/>
      <c r="C87" s="4">
        <f t="shared" si="9"/>
        <v>19</v>
      </c>
      <c r="D87" s="4" t="str">
        <f t="shared" si="40"/>
        <v>19</v>
      </c>
      <c r="E87" s="4">
        <f t="shared" si="46"/>
        <v>3</v>
      </c>
      <c r="F87" s="5"/>
      <c r="G87" s="5"/>
      <c r="H87" s="5"/>
      <c r="I87" s="5"/>
      <c r="J87" s="5"/>
      <c r="K87" s="5"/>
      <c r="L87" s="5"/>
      <c r="M87" s="5"/>
      <c r="N87" s="5"/>
      <c r="O87" s="7"/>
      <c r="P87" s="7"/>
      <c r="Q87" s="7"/>
      <c r="R87" s="7"/>
    </row>
    <row r="88" spans="1:18" x14ac:dyDescent="0.55000000000000004">
      <c r="A88" s="4"/>
      <c r="B88" s="4"/>
      <c r="C88" s="4">
        <f t="shared" si="9"/>
        <v>19</v>
      </c>
      <c r="D88" s="4" t="str">
        <f t="shared" si="40"/>
        <v>19</v>
      </c>
      <c r="E88" s="4">
        <f t="shared" si="46"/>
        <v>4</v>
      </c>
      <c r="F88" s="5"/>
      <c r="G88" s="5"/>
      <c r="H88" s="5"/>
      <c r="I88" s="5"/>
      <c r="J88" s="5"/>
      <c r="K88" s="5"/>
      <c r="L88" s="5"/>
      <c r="M88" s="5"/>
      <c r="N88" s="5"/>
      <c r="O88" s="7"/>
      <c r="P88" s="7"/>
      <c r="Q88" s="7"/>
      <c r="R88" s="7"/>
    </row>
    <row r="89" spans="1:18" x14ac:dyDescent="0.55000000000000004">
      <c r="A89" s="4"/>
      <c r="B89" s="4"/>
      <c r="C89" s="4">
        <f t="shared" si="9"/>
        <v>19</v>
      </c>
      <c r="D89" s="4" t="str">
        <f t="shared" si="40"/>
        <v>19</v>
      </c>
      <c r="E89" s="4">
        <f t="shared" si="46"/>
        <v>5</v>
      </c>
      <c r="F89" s="5"/>
      <c r="G89" s="5"/>
      <c r="H89" s="5"/>
      <c r="I89" s="5"/>
      <c r="J89" s="5"/>
      <c r="K89" s="5"/>
      <c r="L89" s="5"/>
      <c r="M89" s="5"/>
      <c r="N89" s="5"/>
      <c r="O89" s="7"/>
      <c r="P89" s="7"/>
      <c r="Q89" s="7"/>
      <c r="R89" s="7"/>
    </row>
    <row r="90" spans="1:18" x14ac:dyDescent="0.55000000000000004">
      <c r="A90" s="15"/>
      <c r="B90" s="15"/>
      <c r="C90" s="15"/>
      <c r="D90" s="15"/>
      <c r="E90" s="15"/>
      <c r="F90" s="16"/>
      <c r="G90" s="16"/>
      <c r="H90" s="16"/>
      <c r="I90" s="16"/>
      <c r="J90" s="16"/>
      <c r="K90" s="16"/>
      <c r="L90" s="16"/>
      <c r="M90" s="16"/>
      <c r="N90" s="16"/>
      <c r="O90" s="17"/>
      <c r="P90" s="17"/>
      <c r="Q90" s="17"/>
      <c r="R90" s="17"/>
    </row>
    <row r="92" spans="1:18" x14ac:dyDescent="0.55000000000000004">
      <c r="A92" t="s">
        <v>9</v>
      </c>
      <c r="F92" t="s">
        <v>8</v>
      </c>
    </row>
    <row r="93" spans="1:18" x14ac:dyDescent="0.55000000000000004">
      <c r="A93">
        <f>MAX(A$2:A$90)</f>
        <v>0</v>
      </c>
      <c r="F93">
        <f>MAX(F$2:F$90)</f>
        <v>0</v>
      </c>
    </row>
    <row r="94" spans="1:18" x14ac:dyDescent="0.55000000000000004">
      <c r="A94" t="s">
        <v>40</v>
      </c>
      <c r="D94" t="s">
        <v>14</v>
      </c>
      <c r="E94" t="s">
        <v>13</v>
      </c>
    </row>
    <row r="95" spans="1:18" x14ac:dyDescent="0.55000000000000004">
      <c r="A95">
        <f>ROW(A91)-ROW(A1)-1</f>
        <v>89</v>
      </c>
      <c r="D95">
        <f>COUNTIF(D$2:D$90,D94)</f>
        <v>0</v>
      </c>
      <c r="E95" s="25">
        <f>_xlfn.MAXIFS(E$2:E$90,$D$2:$D$90,E94)</f>
        <v>0</v>
      </c>
    </row>
    <row r="96" spans="1:18" x14ac:dyDescent="0.55000000000000004">
      <c r="D96" t="s">
        <v>12</v>
      </c>
      <c r="E96" t="s">
        <v>12</v>
      </c>
    </row>
    <row r="97" spans="4:5" x14ac:dyDescent="0.55000000000000004">
      <c r="D97">
        <f>COUNTIF(D$2:D$90,D96)</f>
        <v>0</v>
      </c>
      <c r="E97" s="25">
        <f>_xlfn.MAXIFS(E$2:E$90,$D$2:$D$90,E96)</f>
        <v>0</v>
      </c>
    </row>
  </sheetData>
  <autoFilter ref="A1:R89" xr:uid="{48D32264-F25D-40E9-9C76-26E43E79C8CC}">
    <sortState xmlns:xlrd2="http://schemas.microsoft.com/office/spreadsheetml/2017/richdata2" ref="A2:R89">
      <sortCondition ref="D1:D89"/>
    </sortState>
  </autoFilter>
  <phoneticPr fontId="1"/>
  <conditionalFormatting sqref="A2:R90">
    <cfRule type="expression" dxfId="2" priority="2">
      <formula>MOD(ROW(A2),2)=1</formula>
    </cfRule>
  </conditionalFormatting>
  <conditionalFormatting sqref="A1:XFD1048576">
    <cfRule type="expression" dxfId="1" priority="1">
      <formula>_xlfn.ISFORMULA(A1)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8130-827D-4D3B-BD9D-BF7AF7772D03}">
  <sheetPr codeName="Sheet2"/>
  <dimension ref="A1:AM205"/>
  <sheetViews>
    <sheetView tabSelected="1" workbookViewId="0">
      <pane xSplit="8" ySplit="2" topLeftCell="I3" activePane="bottomRight" state="frozen"/>
      <selection activeCell="I12" sqref="I12"/>
      <selection pane="topRight" activeCell="I12" sqref="I12"/>
      <selection pane="bottomLeft" activeCell="I12" sqref="I12"/>
      <selection pane="bottomRight" activeCell="B13" sqref="B13"/>
    </sheetView>
  </sheetViews>
  <sheetFormatPr defaultRowHeight="18" x14ac:dyDescent="0.55000000000000004"/>
  <cols>
    <col min="1" max="1" width="12.33203125" bestFit="1" customWidth="1"/>
    <col min="4" max="6" width="3.58203125" customWidth="1"/>
    <col min="12" max="12" width="27.33203125" bestFit="1" customWidth="1"/>
    <col min="13" max="13" width="5.58203125" customWidth="1"/>
    <col min="14" max="14" width="8.58203125" customWidth="1"/>
    <col min="15" max="15" width="5.58203125" customWidth="1"/>
    <col min="16" max="16" width="8.58203125" customWidth="1"/>
    <col min="17" max="17" width="5.58203125" customWidth="1"/>
    <col min="18" max="26" width="8.58203125" customWidth="1"/>
    <col min="40" max="40" width="3.58203125" customWidth="1"/>
  </cols>
  <sheetData>
    <row r="1" spans="1:39" x14ac:dyDescent="0.55000000000000004">
      <c r="H1" t="s">
        <v>60</v>
      </c>
      <c r="L1" t="s">
        <v>56</v>
      </c>
      <c r="N1" t="s">
        <v>57</v>
      </c>
      <c r="P1" t="s">
        <v>58</v>
      </c>
      <c r="R1" t="s">
        <v>59</v>
      </c>
      <c r="AC1" t="str">
        <f>IF(LEN(L1),L2&amp;CHAR(9)&amp;":"&amp;L1,"")</f>
        <v>name	:装置内で使用される名称</v>
      </c>
      <c r="AE1" t="str">
        <f>IF(LEN(AC1),AC1,"")&amp;IF(LEN(N1),CHAR(10)&amp;N2&amp;CHAR(9)&amp;":"&amp;N1,"")</f>
        <v>name	:装置内で使用される名称
index_name	:装置内の連番＋名称</v>
      </c>
      <c r="AG1" t="str">
        <f>IF(LEN(AE1),AE1,"")&amp;IF(LEN(P1),CHAR(10)&amp;P2&amp;CHAR(9)&amp;":"&amp;P1,"")</f>
        <v>name	:装置内で使用される名称
index_name	:装置内の連番＋名称
model	:使用される機器の型番</v>
      </c>
      <c r="AI1" t="str">
        <f>IF(LEN(AG1),AG1,"")&amp;IF(LEN(R1),CHAR(10)&amp;R2&amp;CHAR(9)&amp;":"&amp;R1,"")</f>
        <v>name	:装置内で使用される名称
index_name	:装置内の連番＋名称
model	:使用される機器の型番
mf	:使用される機器のメーカー</v>
      </c>
      <c r="AK1" t="str">
        <f>AI1</f>
        <v>name	:装置内で使用される名称
index_name	:装置内の連番＋名称
model	:使用される機器の型番
mf	:使用される機器のメーカー</v>
      </c>
    </row>
    <row r="2" spans="1:39" s="30" customFormat="1" x14ac:dyDescent="0.55000000000000004">
      <c r="A2" s="30" t="s">
        <v>47</v>
      </c>
      <c r="G2" s="30" t="s">
        <v>52</v>
      </c>
      <c r="H2" s="30" t="s">
        <v>4</v>
      </c>
      <c r="I2" s="30" t="s">
        <v>39</v>
      </c>
      <c r="J2" s="30" t="s">
        <v>51</v>
      </c>
      <c r="L2" s="30" t="s">
        <v>31</v>
      </c>
      <c r="N2" s="30" t="s">
        <v>32</v>
      </c>
      <c r="P2" s="30" t="s">
        <v>42</v>
      </c>
      <c r="R2" s="30" t="s">
        <v>53</v>
      </c>
      <c r="Z2" s="30" t="s">
        <v>43</v>
      </c>
      <c r="AA2" s="30" t="s">
        <v>34</v>
      </c>
      <c r="AB2" s="30" t="s">
        <v>35</v>
      </c>
      <c r="AC2" s="30" t="s">
        <v>36</v>
      </c>
      <c r="AD2" s="30" t="s">
        <v>37</v>
      </c>
      <c r="AE2" s="30" t="s">
        <v>38</v>
      </c>
      <c r="AF2" s="30" t="s">
        <v>37</v>
      </c>
      <c r="AG2" s="30" t="s">
        <v>44</v>
      </c>
      <c r="AH2" s="30" t="s">
        <v>45</v>
      </c>
      <c r="AI2" s="30" t="s">
        <v>55</v>
      </c>
      <c r="AJ2" s="30" t="s">
        <v>45</v>
      </c>
      <c r="AK2" s="30" t="s">
        <v>49</v>
      </c>
      <c r="AL2" s="30" t="s">
        <v>50</v>
      </c>
      <c r="AM2" s="30" t="s">
        <v>46</v>
      </c>
    </row>
    <row r="3" spans="1:39" x14ac:dyDescent="0.55000000000000004">
      <c r="A3" t="s">
        <v>26</v>
      </c>
      <c r="B3" t="str" cm="1">
        <f t="array" aca="1" ref="B3" ca="1">CELL("filename")</f>
        <v>C:\tk\prj\hg-0025-0016\git\kv-x520\doc\[kv_script_cycle_info.xlsx]info_script</v>
      </c>
      <c r="F3">
        <v>1</v>
      </c>
      <c r="G3" t="str">
        <f>E3&amp;F3</f>
        <v>1</v>
      </c>
      <c r="H3">
        <f>COUNTIF(G$3:G3,G3)</f>
        <v>1</v>
      </c>
      <c r="J3" cm="1">
        <f t="array" ref="J3:J202">IFERROR(MATCH($G$3:$G$202&amp;$H$3:$H$202,info_index!$D$2:$D$90&amp;info_index!$E$2:$E$90,0),"")</f>
        <v>1</v>
      </c>
      <c r="K3" t="str" cm="1">
        <f t="array" aca="1" ref="K3:K202" ca="1">IF(LEN(_xlfn.ANCHORARRAY(J3)),INDEX(OFFSET(info_index!$H$2:$H$90,0,$B$23),MATCH($G$3:$G$202&amp;$H$3:$H$202,info_index!$D$2:$D$90&amp;info_index!$E$2:$E$90,0),1)&amp;"","")</f>
        <v>原点復帰動作</v>
      </c>
      <c r="L3" t="str" cm="1">
        <f t="array" aca="1" ref="L3:L202" ca="1">IF(LEN(_xlfn.ANCHORARRAY($J3)),IF(LEN(_xlfn.ANCHORARRAY(K3)),_xlfn.ANCHORARRAY(K3),"unknown"),"")</f>
        <v>原点復帰動作</v>
      </c>
      <c r="N3" t="str" cm="1">
        <f t="array" aca="1" ref="N3:N202" ca="1">IF(LEN(_xlfn.ANCHORARRAY(L3)),"【"&amp;G3:G202&amp;H3:H202&amp;"】 "&amp;_xlfn.ANCHORARRAY(L3),"")</f>
        <v>【11】 原点復帰動作</v>
      </c>
      <c r="O3" t="str" cm="1">
        <f t="array" ref="O3:O202">IFERROR(INDEX(info_index!$J$2:$J$90,MATCH($G$3:$G$202&amp;$H$3:$H$202,info_index!$D$2:$D$90&amp;info_index!$E$2:$E$90,0),1)&amp;"","")</f>
        <v/>
      </c>
      <c r="P3" t="str" cm="1">
        <f t="array" ref="P3:P202">IF(LEN(_xlfn.ANCHORARRAY(J3)),IF(LEN(_xlfn.ANCHORARRAY(O3)),_xlfn.ANCHORARRAY(O3),"unknown"),"")</f>
        <v>unknown</v>
      </c>
      <c r="Q3" t="str" cm="1">
        <f t="array" aca="1" ref="Q3:Q202" ca="1">IF(LEN(_xlfn.ANCHORARRAY(J3)),INDEX(OFFSET(info_index!$L$2:$L$90,0,$B$23),MATCH($G$3:$G$202&amp;$H$3:$H$202,info_index!$D$2:$D$90&amp;info_index!$E$2:$E$90,0),1)&amp;"","")</f>
        <v/>
      </c>
      <c r="R3" t="str" cm="1">
        <f t="array" aca="1" ref="R3:R202" ca="1">IF(LEN(_xlfn.ANCHORARRAY($J3)),IF(LEN(_xlfn.ANCHORARRAY(Q3)),_xlfn.ANCHORARRAY(Q3),"unknown"),"")</f>
        <v>unknown</v>
      </c>
      <c r="Z3" t="str" cm="1">
        <f t="array" aca="1" ref="Z3:Z202" ca="1">IF(LENB(_xlfn.ANCHORARRAY(L3)),IF(ROW($H$3)&lt;ROW($H3:$H202),CHAR(10),"")&amp;IF(1=H3:H202,IF(ROW($H$3)&lt;ROW($H3:$H202),CHAR(10),"")&amp;$B$7&amp;IF(LEN(G3:G202)=0,"名称未設定",G3:G202),""),"")</f>
        <v>//1</v>
      </c>
      <c r="AA3" t="str" cm="1">
        <f t="array" aca="1" ref="AA3:AA202" ca="1">IF(LEN(_xlfn.ANCHORARRAY(Z3)),_xlfn.ANCHORARRAY(Z3),"")&amp;IF(LEN(L3:L202),IF(H3:H202=1,CHAR(10)&amp;IF(ROW($H$3)&lt;ROW(H3:H202),"ELSIF ","IF ")&amp;$B$25&amp;" = "&amp;G3:G202&amp;" THEN",""),"")</f>
        <v>//1
IF strInfoType = 1 THEN</v>
      </c>
      <c r="AB3" t="str" cm="1">
        <f t="array" aca="1" ref="AB3:AB202" ca="1">IF(LEN(_xlfn.ANCHORARRAY(AA3)),_xlfn.ANCHORARRAY(AA3),"")&amp;IF(LEN(L3:L202),CHAR(10)&amp;CHAR(9)&amp;$B$7&amp;_xlfn.ANCHORARRAY(L3)&amp;CHAR(10)&amp;CHAR(9)&amp;IF(H3:H202=1,"IF ","ELSIF ")&amp;$B$26&amp;" = "&amp;H3:H202&amp;" THEN","")</f>
        <v>//1
IF strInfoType = 1 THEN
	//原点復帰動作
	IF uiInfoIdx = 1 THEN</v>
      </c>
      <c r="AC3" t="str" cm="1">
        <f t="array" aca="1" ref="AC3:AC202" ca="1">IF(LEN(AB3:AB202),AB3:AB202,"")&amp;IF(LEN(L3:L202),CHAR(10)&amp;CHAR(9)&amp;CHAR(9)&amp;"IF "&amp;$B$27&amp;" = '"&amp;$L$2&amp;"' THEN","")</f>
        <v>//1
IF strInfoType = 1 THEN
	//原点復帰動作
	IF uiInfoIdx = 1 THEN
		IF strInfoKey = 'name' THEN</v>
      </c>
      <c r="AD3" t="str" cm="1">
        <f t="array" aca="1" ref="AD3:AD202" ca="1">IF(LEN(AC3:AC202),AC3:AC202,"")&amp;IF(LEN(L3:L202),CHAR(10)&amp;CHAR(9)&amp;CHAR(9)&amp;CHAR(9)&amp;$B$28&amp;CHAR(9)&amp;$B$8&amp;" '"&amp;_xlfn.ANCHORARRAY(L3)&amp;"'"&amp;$B$9,"")</f>
        <v>//1
IF strInfoType = 1 THEN
	//原点復帰動作
	IF uiInfoIdx = 1 THEN
		IF strInfoKey = 'name' THEN
			strRt	:= '原点復帰動作';</v>
      </c>
      <c r="AE3" t="str" cm="1">
        <f t="array" aca="1" ref="AE3:AE202" ca="1">IF(LEN(AD3:AD202),AD3:AD202,"")&amp;IF(LEN(N3:N202),CHAR(10)&amp;CHAR(9)&amp;CHAR(9)&amp;"ELSIF "&amp;$B$27&amp;" = '"&amp;N$2&amp;"' THEN","")</f>
        <v>//1
IF strInfoType = 1 THEN
	//原点復帰動作
	IF uiInfoIdx = 1 THEN
		IF strInfoKey = 'name' THEN
			strRt	:= '原点復帰動作';
		ELSIF strInfoKey = 'index_name' THEN</v>
      </c>
      <c r="AF3" t="str" cm="1">
        <f t="array" aca="1" ref="AF3:AF202" ca="1">IF(LEN(AE3:AE202),AE3:AE202,"")&amp;IF(LEN(N3:N202),CHAR(10)&amp;CHAR(9)&amp;CHAR(9)&amp;CHAR(9)&amp;$B$28&amp;CHAR(9)&amp;$B$8&amp;" '"&amp;_xlfn.ANCHORARRAY(N3)&amp;"'"&amp;$B$9,"")</f>
        <v>//1
IF strInfoType = 1 THEN
	//原点復帰動作
	IF uiInfoIdx = 1 THEN
		IF strInfoKey = 'name' THEN
			strRt	:= '原点復帰動作';
		ELSIF strInfoKey = 'index_name' THEN
			strRt	:= '【11】 原点復帰動作';</v>
      </c>
      <c r="AG3" t="str" cm="1">
        <f t="array" aca="1" ref="AG3:AG202" ca="1">IF(LEN(AF3:AF202),AF3:AF202,"")&amp;IF(LEN(P3:P202),CHAR(10)&amp;CHAR(9)&amp;CHAR(9)&amp;"ELSIF "&amp;$B$27&amp;" = '"&amp;P$2&amp;"' THEN","")</f>
        <v>//1
IF strInfoType = 1 THEN
	//原点復帰動作
	IF uiInfoIdx = 1 THEN
		IF strInfoKey = 'name' THEN
			strRt	:= '原点復帰動作';
		ELSIF strInfoKey = 'index_name' THEN
			strRt	:= '【11】 原点復帰動作';
		ELSIF strInfoKey = 'model' THEN</v>
      </c>
      <c r="AH3" t="str" cm="1">
        <f t="array" aca="1" ref="AH3:AH202" ca="1">IF(LEN(AG3:AG202),AG3:AG202,"")&amp;IF(LEN(P3:P202),CHAR(10)&amp;CHAR(9)&amp;CHAR(9)&amp;CHAR(9)&amp;$B$28&amp;CHAR(9)&amp;$B$8&amp;" '"&amp;_xlfn.ANCHORARRAY(P3)&amp;"'"&amp;$B$9,"")</f>
        <v>//1
IF strInfoType = 1 THEN
	//原点復帰動作
	IF uiInfoIdx = 1 THEN
		IF strInfoKey = 'name' THEN
			strRt	:= '原点復帰動作';
		ELSIF strInfoKey = 'index_name' THEN
			strRt	:= '【11】 原点復帰動作';
		ELSIF strInfoKey = 'model' THEN
			strRt	:= 'unknown';</v>
      </c>
      <c r="AI3" t="str" cm="1">
        <f t="array" aca="1" ref="AI3:AI202" ca="1">IF(LEN(AH3:AH202),AH3:AH202,"")&amp;IF(LEN(R3:R202),CHAR(10)&amp;CHAR(9)&amp;CHAR(9)&amp;"ELSIF "&amp;$B$27&amp;" = '"&amp;R$2&amp;"' THEN","")</f>
        <v>//1
IF strInfoType = 1 THEN
	//原点復帰動作
	IF uiInfoIdx = 1 THEN
		IF strInfoKey = 'name' THEN
			strRt	:= '原点復帰動作';
		ELSIF strInfoKey = 'index_name' THEN
			strRt	:= '【11】 原点復帰動作';
		ELSIF strInfoKey = 'model' THEN
			strRt	:= 'unknown';
		ELSIF strInfoKey = 'mf' THEN</v>
      </c>
      <c r="AJ3" t="str" cm="1">
        <f t="array" aca="1" ref="AJ3:AJ202" ca="1">IF(LEN(AI3:AI202),AI3:AI202,"")&amp;IF(LEN(R3:R202),CHAR(10)&amp;CHAR(9)&amp;CHAR(9)&amp;CHAR(9)&amp;$B$28&amp;CHAR(9)&amp;$B$8&amp;" '"&amp;_xlfn.ANCHORARRAY(R3)&amp;"'"&amp;$B$9,"")</f>
        <v>//1
IF strInfoType = 1 THEN
	//原点復帰動作
	IF uiInfoIdx = 1 THEN
		IF strInfoKey = 'name' THEN
			strRt	:= '原点復帰動作';
		ELSIF strInfoKey = 'index_name' THEN
			strRt	:= '【11】 原点復帰動作';
		ELSIF strInfoKey = 'model' THEN
			strRt	:= 'unknown';
		ELSIF strInfoKey = 'mf' THEN
			strRt	:= 'unknown';</v>
      </c>
      <c r="AK3" t="str" cm="1">
        <f t="array" aca="1" ref="AK3:AK202" ca="1">IF(LEN(AJ3:AJ202),AJ3:AJ202,"")&amp;IF(LEN(L3:L202),CHAR(10)&amp;CHAR(9)&amp;CHAR(9)&amp;"ELSE"&amp;CHAR(10)&amp;CHAR(9)&amp;CHAR(9)&amp;CHAR(9)&amp;$B$29&amp;CHAR(9)&amp;$B$8&amp;" 3"&amp;$B$9&amp;CHAR(10)&amp;CHAR(9)&amp;CHAR(9)&amp;"END_IF"&amp;$B$9,"")</f>
        <v>//1
IF strInfoType = 1 THEN
	//原点復帰動作
	IF uiInfoIdx = 1 THEN
		IF strInfoKey = 'name' THEN
			strRt	:= '原点復帰動作';
		ELSIF strInfoKey = 'index_name' THEN
			strRt	:= '【11】 原点復帰動作';
		ELSIF strInfoKey = 'model' THEN
			strRt	:= 'unknown';
		ELSIF strInfoKey = 'mf' THEN
			strRt	:= 'unknown';
		ELSE
			uiErrCode	:= 3;
		END_IF;</v>
      </c>
      <c r="AL3" t="str" cm="1">
        <f t="array" aca="1" ref="AL3:AL202" ca="1">IF(LEN(_xlfn.ANCHORARRAY(AK3)),_xlfn.ANCHORARRAY(AK3),"")&amp;IF(I3:I202="●",CHAR(10)&amp;CHAR(9)&amp;"ELSE"&amp;CHAR(10)&amp;CHAR(9)&amp;CHAR(9)&amp;$B$29&amp;CHAR(9)&amp;$B$8&amp;" 2"&amp;$B$9&amp;CHAR(10)&amp;CHAR(9)&amp;"END_IF"&amp;$B$9,"")</f>
        <v>//1
IF strInfoType = 1 THEN
	//原点復帰動作
	IF uiInfoIdx = 1 THEN
		IF strInfoKey = 'name' THEN
			strRt	:= '原点復帰動作';
		ELSIF strInfoKey = 'index_name' THEN
			strRt	:= '【11】 原点復帰動作';
		ELSIF strInfoKey = 'model' THEN
			strRt	:= 'unknown';
		ELSIF strInfoKey = 'mf' THEN
			strRt	:= 'unknown';
		ELSE
			uiErrCode	:= 3;
		END_IF;</v>
      </c>
      <c r="AM3" t="str" cm="1">
        <f t="array" aca="1" ref="AM3:AM202" ca="1">_xlfn.ANCHORARRAY(AL3)</f>
        <v>//1
IF strInfoType = 1 THEN
	//原点復帰動作
	IF uiInfoIdx = 1 THEN
		IF strInfoKey = 'name' THEN
			strRt	:= '原点復帰動作';
		ELSIF strInfoKey = 'index_name' THEN
			strRt	:= '【11】 原点復帰動作';
		ELSIF strInfoKey = 'model' THEN
			strRt	:= 'unknown';
		ELSIF strInfoKey = 'mf' THEN
			strRt	:= 'unknown';
		ELSE
			uiErrCode	:= 3;
		END_IF;</v>
      </c>
    </row>
    <row r="4" spans="1:39" x14ac:dyDescent="0.55000000000000004">
      <c r="F4">
        <f>F3</f>
        <v>1</v>
      </c>
      <c r="G4" t="str">
        <f t="shared" ref="G4:G17" si="0">E4&amp;F4</f>
        <v>1</v>
      </c>
      <c r="H4">
        <f>COUNTIF(G$3:G4,G4)</f>
        <v>2</v>
      </c>
      <c r="I4" t="str" cm="1">
        <f t="array" ref="I4:I202">IF($H$5:$H$203&lt;H4:H202,"●","")</f>
        <v/>
      </c>
      <c r="J4">
        <v>2</v>
      </c>
      <c r="K4" t="str">
        <f ca="1"/>
        <v>供給準備動作</v>
      </c>
      <c r="L4" t="str">
        <f ca="1"/>
        <v>供給準備動作</v>
      </c>
      <c r="N4" t="str">
        <f ca="1"/>
        <v>【12】 供給準備動作</v>
      </c>
      <c r="O4" t="str">
        <v/>
      </c>
      <c r="P4" t="str">
        <v>unknown</v>
      </c>
      <c r="Q4" t="str">
        <f ca="1"/>
        <v/>
      </c>
      <c r="R4" t="str">
        <f ca="1"/>
        <v>unknown</v>
      </c>
      <c r="Z4" t="str">
        <f ca="1"/>
        <v xml:space="preserve">
</v>
      </c>
      <c r="AA4" t="str">
        <f ca="1"/>
        <v xml:space="preserve">
</v>
      </c>
      <c r="AB4" t="str">
        <f ca="1"/>
        <v xml:space="preserve">
	//供給準備動作
	ELSIF uiInfoIdx = 2 THEN</v>
      </c>
      <c r="AC4" t="str">
        <f ca="1"/>
        <v xml:space="preserve">
	//供給準備動作
	ELSIF uiInfoIdx = 2 THEN
		IF strInfoKey = 'name' THEN</v>
      </c>
      <c r="AD4" t="str">
        <f ca="1"/>
        <v xml:space="preserve">
	//供給準備動作
	ELSIF uiInfoIdx = 2 THEN
		IF strInfoKey = 'name' THEN
			strRt	:= '供給準備動作';</v>
      </c>
      <c r="AE4" t="str">
        <f ca="1"/>
        <v xml:space="preserve">
	//供給準備動作
	ELSIF uiInfoIdx = 2 THEN
		IF strInfoKey = 'name' THEN
			strRt	:= '供給準備動作';
		ELSIF strInfoKey = 'index_name' THEN</v>
      </c>
      <c r="AF4" t="str">
        <f ca="1"/>
        <v xml:space="preserve">
	//供給準備動作
	ELSIF uiInfoIdx = 2 THEN
		IF strInfoKey = 'name' THEN
			strRt	:= '供給準備動作';
		ELSIF strInfoKey = 'index_name' THEN
			strRt	:= '【12】 供給準備動作';</v>
      </c>
      <c r="AG4" t="str">
        <f ca="1"/>
        <v xml:space="preserve">
	//供給準備動作
	ELSIF uiInfoIdx = 2 THEN
		IF strInfoKey = 'name' THEN
			strRt	:= '供給準備動作';
		ELSIF strInfoKey = 'index_name' THEN
			strRt	:= '【12】 供給準備動作';
		ELSIF strInfoKey = 'model' THEN</v>
      </c>
      <c r="AH4" t="str">
        <f ca="1"/>
        <v xml:space="preserve">
	//供給準備動作
	ELSIF uiInfoIdx = 2 THEN
		IF strInfoKey = 'name' THEN
			strRt	:= '供給準備動作';
		ELSIF strInfoKey = 'index_name' THEN
			strRt	:= '【12】 供給準備動作';
		ELSIF strInfoKey = 'model' THEN
			strRt	:= 'unknown';</v>
      </c>
      <c r="AI4" t="str">
        <f ca="1"/>
        <v xml:space="preserve">
	//供給準備動作
	ELSIF uiInfoIdx = 2 THEN
		IF strInfoKey = 'name' THEN
			strRt	:= '供給準備動作';
		ELSIF strInfoKey = 'index_name' THEN
			strRt	:= '【12】 供給準備動作';
		ELSIF strInfoKey = 'model' THEN
			strRt	:= 'unknown';
		ELSIF strInfoKey = 'mf' THEN</v>
      </c>
      <c r="AJ4" t="str">
        <f ca="1"/>
        <v xml:space="preserve">
	//供給準備動作
	ELSIF uiInfoIdx = 2 THEN
		IF strInfoKey = 'name' THEN
			strRt	:= '供給準備動作';
		ELSIF strInfoKey = 'index_name' THEN
			strRt	:= '【12】 供給準備動作';
		ELSIF strInfoKey = 'model' THEN
			strRt	:= 'unknown';
		ELSIF strInfoKey = 'mf' THEN
			strRt	:= 'unknown';</v>
      </c>
      <c r="AK4" t="str">
        <f ca="1"/>
        <v xml:space="preserve">
	//供給準備動作
	ELSIF uiInfoIdx = 2 THEN
		IF strInfoKey = 'name' THEN
			strRt	:= '供給準備動作';
		ELSIF strInfoKey = 'index_name' THEN
			strRt	:= '【12】 供給準備動作';
		ELSIF strInfoKey = 'model' THEN
			strRt	:= 'unknown';
		ELSIF strInfoKey = 'mf' THEN
			strRt	:= 'unknown';
		ELSE
			uiErrCode	:= 3;
		END_IF;</v>
      </c>
      <c r="AL4" t="str">
        <f ca="1"/>
        <v xml:space="preserve">
	//供給準備動作
	ELSIF uiInfoIdx = 2 THEN
		IF strInfoKey = 'name' THEN
			strRt	:= '供給準備動作';
		ELSIF strInfoKey = 'index_name' THEN
			strRt	:= '【12】 供給準備動作';
		ELSIF strInfoKey = 'model' THEN
			strRt	:= 'unknown';
		ELSIF strInfoKey = 'mf' THEN
			strRt	:= 'unknown';
		ELSE
			uiErrCode	:= 3;
		END_IF;</v>
      </c>
      <c r="AM4" t="str">
        <f ca="1"/>
        <v xml:space="preserve">
	//供給準備動作
	ELSIF uiInfoIdx = 2 THEN
		IF strInfoKey = 'name' THEN
			strRt	:= '供給準備動作';
		ELSIF strInfoKey = 'index_name' THEN
			strRt	:= '【12】 供給準備動作';
		ELSIF strInfoKey = 'model' THEN
			strRt	:= 'unknown';
		ELSIF strInfoKey = 'mf' THEN
			strRt	:= 'unknown';
		ELSE
			uiErrCode	:= 3;
		END_IF;</v>
      </c>
    </row>
    <row r="5" spans="1:39" x14ac:dyDescent="0.55000000000000004">
      <c r="A5" t="s">
        <v>23</v>
      </c>
      <c r="B5" t="str">
        <f ca="1">"このスクリプトは "&amp;B3&amp;" によって生成されました。"</f>
        <v>このスクリプトは C:\tk\prj\hg-0025-0016\git\kv-x520\doc\[kv_script_cycle_info.xlsx]info_script によって生成されました。</v>
      </c>
      <c r="F5">
        <f t="shared" ref="F5:F68" si="1">F4</f>
        <v>1</v>
      </c>
      <c r="G5" t="str">
        <f t="shared" si="0"/>
        <v>1</v>
      </c>
      <c r="H5">
        <f>COUNTIF(G$3:G5,G5)</f>
        <v>3</v>
      </c>
      <c r="I5" t="str">
        <v/>
      </c>
      <c r="J5">
        <v>3</v>
      </c>
      <c r="K5" t="str">
        <f ca="1"/>
        <v>カット動作</v>
      </c>
      <c r="L5" t="str">
        <f ca="1"/>
        <v>カット動作</v>
      </c>
      <c r="N5" t="str">
        <f ca="1"/>
        <v>【13】 カット動作</v>
      </c>
      <c r="O5" t="str">
        <v/>
      </c>
      <c r="P5" t="str">
        <v>unknown</v>
      </c>
      <c r="Q5" t="str">
        <f ca="1"/>
        <v/>
      </c>
      <c r="R5" t="str">
        <f ca="1"/>
        <v>unknown</v>
      </c>
      <c r="Z5" t="str">
        <f ca="1"/>
        <v xml:space="preserve">
</v>
      </c>
      <c r="AA5" t="str">
        <f ca="1"/>
        <v xml:space="preserve">
</v>
      </c>
      <c r="AB5" t="str">
        <f ca="1"/>
        <v xml:space="preserve">
	//カット動作
	ELSIF uiInfoIdx = 3 THEN</v>
      </c>
      <c r="AC5" t="str">
        <f ca="1"/>
        <v xml:space="preserve">
	//カット動作
	ELSIF uiInfoIdx = 3 THEN
		IF strInfoKey = 'name' THEN</v>
      </c>
      <c r="AD5" t="str">
        <f ca="1"/>
        <v xml:space="preserve">
	//カット動作
	ELSIF uiInfoIdx = 3 THEN
		IF strInfoKey = 'name' THEN
			strRt	:= 'カット動作';</v>
      </c>
      <c r="AE5" t="str">
        <f ca="1"/>
        <v xml:space="preserve">
	//カット動作
	ELSIF uiInfoIdx = 3 THEN
		IF strInfoKey = 'name' THEN
			strRt	:= 'カット動作';
		ELSIF strInfoKey = 'index_name' THEN</v>
      </c>
      <c r="AF5" t="str">
        <f ca="1"/>
        <v xml:space="preserve">
	//カット動作
	ELSIF uiInfoIdx = 3 THEN
		IF strInfoKey = 'name' THEN
			strRt	:= 'カット動作';
		ELSIF strInfoKey = 'index_name' THEN
			strRt	:= '【13】 カット動作';</v>
      </c>
      <c r="AG5" t="str">
        <f ca="1"/>
        <v xml:space="preserve">
	//カット動作
	ELSIF uiInfoIdx = 3 THEN
		IF strInfoKey = 'name' THEN
			strRt	:= 'カット動作';
		ELSIF strInfoKey = 'index_name' THEN
			strRt	:= '【13】 カット動作';
		ELSIF strInfoKey = 'model' THEN</v>
      </c>
      <c r="AH5" t="str">
        <f ca="1"/>
        <v xml:space="preserve">
	//カット動作
	ELSIF uiInfoIdx = 3 THEN
		IF strInfoKey = 'name' THEN
			strRt	:= 'カット動作';
		ELSIF strInfoKey = 'index_name' THEN
			strRt	:= '【13】 カット動作';
		ELSIF strInfoKey = 'model' THEN
			strRt	:= 'unknown';</v>
      </c>
      <c r="AI5" t="str">
        <f ca="1"/>
        <v xml:space="preserve">
	//カット動作
	ELSIF uiInfoIdx = 3 THEN
		IF strInfoKey = 'name' THEN
			strRt	:= 'カット動作';
		ELSIF strInfoKey = 'index_name' THEN
			strRt	:= '【13】 カット動作';
		ELSIF strInfoKey = 'model' THEN
			strRt	:= 'unknown';
		ELSIF strInfoKey = 'mf' THEN</v>
      </c>
      <c r="AJ5" t="str">
        <f ca="1"/>
        <v xml:space="preserve">
	//カット動作
	ELSIF uiInfoIdx = 3 THEN
		IF strInfoKey = 'name' THEN
			strRt	:= 'カット動作';
		ELSIF strInfoKey = 'index_name' THEN
			strRt	:= '【13】 カット動作';
		ELSIF strInfoKey = 'model' THEN
			strRt	:= 'unknown';
		ELSIF strInfoKey = 'mf' THEN
			strRt	:= 'unknown';</v>
      </c>
      <c r="AK5" t="str">
        <f ca="1"/>
        <v xml:space="preserve">
	//カット動作
	ELSIF uiInfoIdx = 3 THEN
		IF strInfoKey = 'name' THEN
			strRt	:= 'カット動作';
		ELSIF strInfoKey = 'index_name' THEN
			strRt	:= '【13】 カット動作';
		ELSIF strInfoKey = 'model' THEN
			strRt	:= 'unknown';
		ELSIF strInfoKey = 'mf' THEN
			strRt	:= 'unknown';
		ELSE
			uiErrCode	:= 3;
		END_IF;</v>
      </c>
      <c r="AL5" t="str">
        <f ca="1"/>
        <v xml:space="preserve">
	//カット動作
	ELSIF uiInfoIdx = 3 THEN
		IF strInfoKey = 'name' THEN
			strRt	:= 'カット動作';
		ELSIF strInfoKey = 'index_name' THEN
			strRt	:= '【13】 カット動作';
		ELSIF strInfoKey = 'model' THEN
			strRt	:= 'unknown';
		ELSIF strInfoKey = 'mf' THEN
			strRt	:= 'unknown';
		ELSE
			uiErrCode	:= 3;
		END_IF;</v>
      </c>
      <c r="AM5" t="str">
        <f ca="1"/>
        <v xml:space="preserve">
	//カット動作
	ELSIF uiInfoIdx = 3 THEN
		IF strInfoKey = 'name' THEN
			strRt	:= 'カット動作';
		ELSIF strInfoKey = 'index_name' THEN
			strRt	:= '【13】 カット動作';
		ELSIF strInfoKey = 'model' THEN
			strRt	:= 'unknown';
		ELSIF strInfoKey = 'mf' THEN
			strRt	:= 'unknown';
		ELSE
			uiErrCode	:= 3;
		END_IF;</v>
      </c>
    </row>
    <row r="6" spans="1:39" x14ac:dyDescent="0.55000000000000004">
      <c r="A6" t="s">
        <v>24</v>
      </c>
      <c r="B6" t="s">
        <v>25</v>
      </c>
      <c r="F6">
        <f t="shared" si="1"/>
        <v>1</v>
      </c>
      <c r="G6" t="str">
        <f t="shared" si="0"/>
        <v>1</v>
      </c>
      <c r="H6">
        <f>COUNTIF(G$3:G6,G6)</f>
        <v>4</v>
      </c>
      <c r="I6" t="str">
        <v/>
      </c>
      <c r="J6" t="str">
        <v/>
      </c>
      <c r="K6" t="str">
        <f ca="1"/>
        <v/>
      </c>
      <c r="L6" t="str">
        <f ca="1"/>
        <v/>
      </c>
      <c r="N6" t="str">
        <f ca="1"/>
        <v/>
      </c>
      <c r="O6" t="str">
        <v/>
      </c>
      <c r="P6" t="str">
        <v/>
      </c>
      <c r="Q6" t="str">
        <f ca="1"/>
        <v/>
      </c>
      <c r="R6" t="str">
        <f ca="1"/>
        <v/>
      </c>
      <c r="Z6" t="str">
        <f ca="1"/>
        <v/>
      </c>
      <c r="AA6" t="str">
        <f ca="1"/>
        <v/>
      </c>
      <c r="AB6" t="str">
        <f ca="1"/>
        <v/>
      </c>
      <c r="AC6" t="str">
        <f ca="1"/>
        <v/>
      </c>
      <c r="AD6" t="str">
        <f ca="1"/>
        <v/>
      </c>
      <c r="AE6" t="str">
        <f ca="1"/>
        <v/>
      </c>
      <c r="AF6" t="str">
        <f ca="1"/>
        <v/>
      </c>
      <c r="AG6" t="str">
        <f ca="1"/>
        <v/>
      </c>
      <c r="AH6" t="str">
        <f ca="1"/>
        <v/>
      </c>
      <c r="AI6" t="str">
        <f ca="1"/>
        <v/>
      </c>
      <c r="AJ6" t="str">
        <f ca="1"/>
        <v/>
      </c>
      <c r="AK6" t="str">
        <f ca="1"/>
        <v/>
      </c>
      <c r="AL6" t="str">
        <f ca="1"/>
        <v/>
      </c>
      <c r="AM6" t="str">
        <f ca="1"/>
        <v/>
      </c>
    </row>
    <row r="7" spans="1:39" x14ac:dyDescent="0.55000000000000004">
      <c r="A7" t="s">
        <v>17</v>
      </c>
      <c r="B7" t="s">
        <v>18</v>
      </c>
      <c r="F7">
        <f t="shared" si="1"/>
        <v>1</v>
      </c>
      <c r="G7" t="str">
        <f t="shared" si="0"/>
        <v>1</v>
      </c>
      <c r="H7">
        <f>COUNTIF(G$3:G7,G7)</f>
        <v>5</v>
      </c>
      <c r="I7" t="str">
        <v/>
      </c>
      <c r="J7" t="str">
        <v/>
      </c>
      <c r="K7" t="str">
        <f ca="1"/>
        <v/>
      </c>
      <c r="L7" t="str">
        <f ca="1"/>
        <v/>
      </c>
      <c r="N7" t="str">
        <f ca="1"/>
        <v/>
      </c>
      <c r="O7" t="str">
        <v/>
      </c>
      <c r="P7" t="str">
        <v/>
      </c>
      <c r="Q7" t="str">
        <f ca="1"/>
        <v/>
      </c>
      <c r="R7" t="str">
        <f ca="1"/>
        <v/>
      </c>
      <c r="Z7" t="str">
        <f ca="1"/>
        <v/>
      </c>
      <c r="AA7" t="str">
        <f ca="1"/>
        <v/>
      </c>
      <c r="AB7" t="str">
        <f ca="1"/>
        <v/>
      </c>
      <c r="AC7" t="str">
        <f ca="1"/>
        <v/>
      </c>
      <c r="AD7" t="str">
        <f ca="1"/>
        <v/>
      </c>
      <c r="AE7" t="str">
        <f ca="1"/>
        <v/>
      </c>
      <c r="AF7" t="str">
        <f ca="1"/>
        <v/>
      </c>
      <c r="AG7" t="str">
        <f ca="1"/>
        <v/>
      </c>
      <c r="AH7" t="str">
        <f ca="1"/>
        <v/>
      </c>
      <c r="AI7" t="str">
        <f ca="1"/>
        <v/>
      </c>
      <c r="AJ7" t="str">
        <f ca="1"/>
        <v/>
      </c>
      <c r="AK7" t="str">
        <f ca="1"/>
        <v/>
      </c>
      <c r="AL7" t="str">
        <f ca="1"/>
        <v/>
      </c>
      <c r="AM7" t="str">
        <f ca="1"/>
        <v/>
      </c>
    </row>
    <row r="8" spans="1:39" x14ac:dyDescent="0.55000000000000004">
      <c r="A8" t="s">
        <v>19</v>
      </c>
      <c r="B8" t="s">
        <v>20</v>
      </c>
      <c r="F8">
        <f t="shared" si="1"/>
        <v>1</v>
      </c>
      <c r="G8" t="str">
        <f t="shared" ref="G8:G12" si="2">E8&amp;F8</f>
        <v>1</v>
      </c>
      <c r="H8">
        <f>COUNTIF(G$3:G8,G8)</f>
        <v>6</v>
      </c>
      <c r="I8" t="str">
        <v/>
      </c>
      <c r="J8">
        <v>4</v>
      </c>
      <c r="K8" t="str">
        <f ca="1"/>
        <v>供給開始動作</v>
      </c>
      <c r="L8" t="str">
        <f ca="1"/>
        <v>供給開始動作</v>
      </c>
      <c r="N8" t="str">
        <f ca="1"/>
        <v>【16】 供給開始動作</v>
      </c>
      <c r="O8" t="str">
        <v/>
      </c>
      <c r="P8" t="str">
        <v>unknown</v>
      </c>
      <c r="Q8" t="str">
        <f ca="1"/>
        <v/>
      </c>
      <c r="R8" t="str">
        <f ca="1"/>
        <v>unknown</v>
      </c>
      <c r="Z8" t="str">
        <f ca="1"/>
        <v xml:space="preserve">
</v>
      </c>
      <c r="AA8" t="str">
        <f ca="1"/>
        <v xml:space="preserve">
</v>
      </c>
      <c r="AB8" t="str">
        <f ca="1"/>
        <v xml:space="preserve">
	//供給開始動作
	ELSIF uiInfoIdx = 6 THEN</v>
      </c>
      <c r="AC8" t="str">
        <f ca="1"/>
        <v xml:space="preserve">
	//供給開始動作
	ELSIF uiInfoIdx = 6 THEN
		IF strInfoKey = 'name' THEN</v>
      </c>
      <c r="AD8" t="str">
        <f ca="1"/>
        <v xml:space="preserve">
	//供給開始動作
	ELSIF uiInfoIdx = 6 THEN
		IF strInfoKey = 'name' THEN
			strRt	:= '供給開始動作';</v>
      </c>
      <c r="AE8" t="str">
        <f ca="1"/>
        <v xml:space="preserve">
	//供給開始動作
	ELSIF uiInfoIdx = 6 THEN
		IF strInfoKey = 'name' THEN
			strRt	:= '供給開始動作';
		ELSIF strInfoKey = 'index_name' THEN</v>
      </c>
      <c r="AF8" t="str">
        <f ca="1"/>
        <v xml:space="preserve">
	//供給開始動作
	ELSIF uiInfoIdx = 6 THEN
		IF strInfoKey = 'name' THEN
			strRt	:= '供給開始動作';
		ELSIF strInfoKey = 'index_name' THEN
			strRt	:= '【16】 供給開始動作';</v>
      </c>
      <c r="AG8" t="str">
        <f ca="1"/>
        <v xml:space="preserve">
	//供給開始動作
	ELSIF uiInfoIdx = 6 THEN
		IF strInfoKey = 'name' THEN
			strRt	:= '供給開始動作';
		ELSIF strInfoKey = 'index_name' THEN
			strRt	:= '【16】 供給開始動作';
		ELSIF strInfoKey = 'model' THEN</v>
      </c>
      <c r="AH8" t="str">
        <f ca="1"/>
        <v xml:space="preserve">
	//供給開始動作
	ELSIF uiInfoIdx = 6 THEN
		IF strInfoKey = 'name' THEN
			strRt	:= '供給開始動作';
		ELSIF strInfoKey = 'index_name' THEN
			strRt	:= '【16】 供給開始動作';
		ELSIF strInfoKey = 'model' THEN
			strRt	:= 'unknown';</v>
      </c>
      <c r="AI8" t="str">
        <f ca="1"/>
        <v xml:space="preserve">
	//供給開始動作
	ELSIF uiInfoIdx = 6 THEN
		IF strInfoKey = 'name' THEN
			strRt	:= '供給開始動作';
		ELSIF strInfoKey = 'index_name' THEN
			strRt	:= '【16】 供給開始動作';
		ELSIF strInfoKey = 'model' THEN
			strRt	:= 'unknown';
		ELSIF strInfoKey = 'mf' THEN</v>
      </c>
      <c r="AJ8" t="str">
        <f ca="1"/>
        <v xml:space="preserve">
	//供給開始動作
	ELSIF uiInfoIdx = 6 THEN
		IF strInfoKey = 'name' THEN
			strRt	:= '供給開始動作';
		ELSIF strInfoKey = 'index_name' THEN
			strRt	:= '【16】 供給開始動作';
		ELSIF strInfoKey = 'model' THEN
			strRt	:= 'unknown';
		ELSIF strInfoKey = 'mf' THEN
			strRt	:= 'unknown';</v>
      </c>
      <c r="AK8" t="str">
        <f ca="1"/>
        <v xml:space="preserve">
	//供給開始動作
	ELSIF uiInfoIdx = 6 THEN
		IF strInfoKey = 'name' THEN
			strRt	:= '供給開始動作';
		ELSIF strInfoKey = 'index_name' THEN
			strRt	:= '【16】 供給開始動作';
		ELSIF strInfoKey = 'model' THEN
			strRt	:= 'unknown';
		ELSIF strInfoKey = 'mf' THEN
			strRt	:= 'unknown';
		ELSE
			uiErrCode	:= 3;
		END_IF;</v>
      </c>
      <c r="AL8" t="str">
        <f ca="1"/>
        <v xml:space="preserve">
	//供給開始動作
	ELSIF uiInfoIdx = 6 THEN
		IF strInfoKey = 'name' THEN
			strRt	:= '供給開始動作';
		ELSIF strInfoKey = 'index_name' THEN
			strRt	:= '【16】 供給開始動作';
		ELSIF strInfoKey = 'model' THEN
			strRt	:= 'unknown';
		ELSIF strInfoKey = 'mf' THEN
			strRt	:= 'unknown';
		ELSE
			uiErrCode	:= 3;
		END_IF;</v>
      </c>
      <c r="AM8" t="str">
        <f ca="1"/>
        <v xml:space="preserve">
	//供給開始動作
	ELSIF uiInfoIdx = 6 THEN
		IF strInfoKey = 'name' THEN
			strRt	:= '供給開始動作';
		ELSIF strInfoKey = 'index_name' THEN
			strRt	:= '【16】 供給開始動作';
		ELSIF strInfoKey = 'model' THEN
			strRt	:= 'unknown';
		ELSIF strInfoKey = 'mf' THEN
			strRt	:= 'unknown';
		ELSE
			uiErrCode	:= 3;
		END_IF;</v>
      </c>
    </row>
    <row r="9" spans="1:39" x14ac:dyDescent="0.55000000000000004">
      <c r="A9" t="s">
        <v>21</v>
      </c>
      <c r="B9" t="s">
        <v>22</v>
      </c>
      <c r="F9">
        <f t="shared" si="1"/>
        <v>1</v>
      </c>
      <c r="G9" t="str">
        <f t="shared" si="2"/>
        <v>1</v>
      </c>
      <c r="H9">
        <f>COUNTIF(G$3:G9,G9)</f>
        <v>7</v>
      </c>
      <c r="I9" t="str">
        <v/>
      </c>
      <c r="J9">
        <v>5</v>
      </c>
      <c r="K9" t="str">
        <f ca="1"/>
        <v>供給動作</v>
      </c>
      <c r="L9" t="str">
        <f ca="1"/>
        <v>供給動作</v>
      </c>
      <c r="N9" t="str">
        <f ca="1"/>
        <v>【17】 供給動作</v>
      </c>
      <c r="O9" t="str">
        <v/>
      </c>
      <c r="P9" t="str">
        <v>unknown</v>
      </c>
      <c r="Q9" t="str">
        <f ca="1"/>
        <v/>
      </c>
      <c r="R9" t="str">
        <f ca="1"/>
        <v>unknown</v>
      </c>
      <c r="Z9" t="str">
        <f ca="1"/>
        <v xml:space="preserve">
</v>
      </c>
      <c r="AA9" t="str">
        <f ca="1"/>
        <v xml:space="preserve">
</v>
      </c>
      <c r="AB9" t="str">
        <f ca="1"/>
        <v xml:space="preserve">
	//供給動作
	ELSIF uiInfoIdx = 7 THEN</v>
      </c>
      <c r="AC9" t="str">
        <f ca="1"/>
        <v xml:space="preserve">
	//供給動作
	ELSIF uiInfoIdx = 7 THEN
		IF strInfoKey = 'name' THEN</v>
      </c>
      <c r="AD9" t="str">
        <f ca="1"/>
        <v xml:space="preserve">
	//供給動作
	ELSIF uiInfoIdx = 7 THEN
		IF strInfoKey = 'name' THEN
			strRt	:= '供給動作';</v>
      </c>
      <c r="AE9" t="str">
        <f ca="1"/>
        <v xml:space="preserve">
	//供給動作
	ELSIF uiInfoIdx = 7 THEN
		IF strInfoKey = 'name' THEN
			strRt	:= '供給動作';
		ELSIF strInfoKey = 'index_name' THEN</v>
      </c>
      <c r="AF9" t="str">
        <f ca="1"/>
        <v xml:space="preserve">
	//供給動作
	ELSIF uiInfoIdx = 7 THEN
		IF strInfoKey = 'name' THEN
			strRt	:= '供給動作';
		ELSIF strInfoKey = 'index_name' THEN
			strRt	:= '【17】 供給動作';</v>
      </c>
      <c r="AG9" t="str">
        <f ca="1"/>
        <v xml:space="preserve">
	//供給動作
	ELSIF uiInfoIdx = 7 THEN
		IF strInfoKey = 'name' THEN
			strRt	:= '供給動作';
		ELSIF strInfoKey = 'index_name' THEN
			strRt	:= '【17】 供給動作';
		ELSIF strInfoKey = 'model' THEN</v>
      </c>
      <c r="AH9" t="str">
        <f ca="1"/>
        <v xml:space="preserve">
	//供給動作
	ELSIF uiInfoIdx = 7 THEN
		IF strInfoKey = 'name' THEN
			strRt	:= '供給動作';
		ELSIF strInfoKey = 'index_name' THEN
			strRt	:= '【17】 供給動作';
		ELSIF strInfoKey = 'model' THEN
			strRt	:= 'unknown';</v>
      </c>
      <c r="AI9" t="str">
        <f ca="1"/>
        <v xml:space="preserve">
	//供給動作
	ELSIF uiInfoIdx = 7 THEN
		IF strInfoKey = 'name' THEN
			strRt	:= '供給動作';
		ELSIF strInfoKey = 'index_name' THEN
			strRt	:= '【17】 供給動作';
		ELSIF strInfoKey = 'model' THEN
			strRt	:= 'unknown';
		ELSIF strInfoKey = 'mf' THEN</v>
      </c>
      <c r="AJ9" t="str">
        <f ca="1"/>
        <v xml:space="preserve">
	//供給動作
	ELSIF uiInfoIdx = 7 THEN
		IF strInfoKey = 'name' THEN
			strRt	:= '供給動作';
		ELSIF strInfoKey = 'index_name' THEN
			strRt	:= '【17】 供給動作';
		ELSIF strInfoKey = 'model' THEN
			strRt	:= 'unknown';
		ELSIF strInfoKey = 'mf' THEN
			strRt	:= 'unknown';</v>
      </c>
      <c r="AK9" t="str">
        <f ca="1"/>
        <v xml:space="preserve">
	//供給動作
	ELSIF uiInfoIdx = 7 THEN
		IF strInfoKey = 'name' THEN
			strRt	:= '供給動作';
		ELSIF strInfoKey = 'index_name' THEN
			strRt	:= '【17】 供給動作';
		ELSIF strInfoKey = 'model' THEN
			strRt	:= 'unknown';
		ELSIF strInfoKey = 'mf' THEN
			strRt	:= 'unknown';
		ELSE
			uiErrCode	:= 3;
		END_IF;</v>
      </c>
      <c r="AL9" t="str">
        <f ca="1"/>
        <v xml:space="preserve">
	//供給動作
	ELSIF uiInfoIdx = 7 THEN
		IF strInfoKey = 'name' THEN
			strRt	:= '供給動作';
		ELSIF strInfoKey = 'index_name' THEN
			strRt	:= '【17】 供給動作';
		ELSIF strInfoKey = 'model' THEN
			strRt	:= 'unknown';
		ELSIF strInfoKey = 'mf' THEN
			strRt	:= 'unknown';
		ELSE
			uiErrCode	:= 3;
		END_IF;</v>
      </c>
      <c r="AM9" t="str">
        <f ca="1"/>
        <v xml:space="preserve">
	//供給動作
	ELSIF uiInfoIdx = 7 THEN
		IF strInfoKey = 'name' THEN
			strRt	:= '供給動作';
		ELSIF strInfoKey = 'index_name' THEN
			strRt	:= '【17】 供給動作';
		ELSIF strInfoKey = 'model' THEN
			strRt	:= 'unknown';
		ELSIF strInfoKey = 'mf' THEN
			strRt	:= 'unknown';
		ELSE
			uiErrCode	:= 3;
		END_IF;</v>
      </c>
    </row>
    <row r="10" spans="1:39" x14ac:dyDescent="0.55000000000000004">
      <c r="F10">
        <f t="shared" si="1"/>
        <v>1</v>
      </c>
      <c r="G10" t="str">
        <f t="shared" si="2"/>
        <v>1</v>
      </c>
      <c r="H10">
        <f>COUNTIF(G$3:G10,G10)</f>
        <v>8</v>
      </c>
      <c r="I10" t="str">
        <v/>
      </c>
      <c r="J10" t="str">
        <v/>
      </c>
      <c r="K10" t="str">
        <f ca="1"/>
        <v/>
      </c>
      <c r="L10" t="str">
        <f ca="1"/>
        <v/>
      </c>
      <c r="N10" t="str">
        <f ca="1"/>
        <v/>
      </c>
      <c r="O10" t="str">
        <v/>
      </c>
      <c r="P10" t="str">
        <v/>
      </c>
      <c r="Q10" t="str">
        <f ca="1"/>
        <v/>
      </c>
      <c r="R10" t="str">
        <f ca="1"/>
        <v/>
      </c>
      <c r="Z10" t="str">
        <f ca="1"/>
        <v/>
      </c>
      <c r="AA10" t="str">
        <f ca="1"/>
        <v/>
      </c>
      <c r="AB10" t="str">
        <f ca="1"/>
        <v/>
      </c>
      <c r="AC10" t="str">
        <f ca="1"/>
        <v/>
      </c>
      <c r="AD10" t="str">
        <f ca="1"/>
        <v/>
      </c>
      <c r="AE10" t="str">
        <f ca="1"/>
        <v/>
      </c>
      <c r="AF10" t="str">
        <f ca="1"/>
        <v/>
      </c>
      <c r="AG10" t="str">
        <f ca="1"/>
        <v/>
      </c>
      <c r="AH10" t="str">
        <f ca="1"/>
        <v/>
      </c>
      <c r="AI10" t="str">
        <f ca="1"/>
        <v/>
      </c>
      <c r="AJ10" t="str">
        <f ca="1"/>
        <v/>
      </c>
      <c r="AK10" t="str">
        <f ca="1"/>
        <v/>
      </c>
      <c r="AL10" t="str">
        <f ca="1"/>
        <v/>
      </c>
      <c r="AM10" t="str">
        <f ca="1"/>
        <v/>
      </c>
    </row>
    <row r="11" spans="1:39" x14ac:dyDescent="0.55000000000000004">
      <c r="F11">
        <f t="shared" si="1"/>
        <v>1</v>
      </c>
      <c r="G11" t="str">
        <f t="shared" si="2"/>
        <v>1</v>
      </c>
      <c r="H11">
        <f>COUNTIF(G$3:G11,G11)</f>
        <v>9</v>
      </c>
      <c r="I11" t="str">
        <v/>
      </c>
      <c r="J11" t="str">
        <v/>
      </c>
      <c r="K11" t="str">
        <f ca="1"/>
        <v/>
      </c>
      <c r="L11" t="str">
        <f ca="1"/>
        <v/>
      </c>
      <c r="N11" t="str">
        <f ca="1"/>
        <v/>
      </c>
      <c r="O11" t="str">
        <v/>
      </c>
      <c r="P11" t="str">
        <v/>
      </c>
      <c r="Q11" t="str">
        <f ca="1"/>
        <v/>
      </c>
      <c r="R11" t="str">
        <f ca="1"/>
        <v/>
      </c>
      <c r="Z11" t="str">
        <f ca="1"/>
        <v/>
      </c>
      <c r="AA11" t="str">
        <f ca="1"/>
        <v/>
      </c>
      <c r="AB11" t="str">
        <f ca="1"/>
        <v/>
      </c>
      <c r="AC11" t="str">
        <f ca="1"/>
        <v/>
      </c>
      <c r="AD11" t="str">
        <f ca="1"/>
        <v/>
      </c>
      <c r="AE11" t="str">
        <f ca="1"/>
        <v/>
      </c>
      <c r="AF11" t="str">
        <f ca="1"/>
        <v/>
      </c>
      <c r="AG11" t="str">
        <f ca="1"/>
        <v/>
      </c>
      <c r="AH11" t="str">
        <f ca="1"/>
        <v/>
      </c>
      <c r="AI11" t="str">
        <f ca="1"/>
        <v/>
      </c>
      <c r="AJ11" t="str">
        <f ca="1"/>
        <v/>
      </c>
      <c r="AK11" t="str">
        <f ca="1"/>
        <v/>
      </c>
      <c r="AL11" t="str">
        <f ca="1"/>
        <v/>
      </c>
      <c r="AM11" t="str">
        <f ca="1"/>
        <v/>
      </c>
    </row>
    <row r="12" spans="1:39" x14ac:dyDescent="0.55000000000000004">
      <c r="F12">
        <f t="shared" si="1"/>
        <v>1</v>
      </c>
      <c r="G12" t="str">
        <f t="shared" si="2"/>
        <v>1</v>
      </c>
      <c r="H12">
        <f>COUNTIF(G$3:G12,G12)</f>
        <v>10</v>
      </c>
      <c r="I12" t="str">
        <v>●</v>
      </c>
      <c r="J12" t="str">
        <v/>
      </c>
      <c r="K12" t="str">
        <f ca="1"/>
        <v/>
      </c>
      <c r="L12" t="str">
        <f ca="1"/>
        <v/>
      </c>
      <c r="N12" t="str">
        <f ca="1"/>
        <v/>
      </c>
      <c r="O12" t="str">
        <v/>
      </c>
      <c r="P12" t="str">
        <v/>
      </c>
      <c r="Q12" t="str">
        <f ca="1"/>
        <v/>
      </c>
      <c r="R12" t="str">
        <f ca="1"/>
        <v/>
      </c>
      <c r="Z12" t="str">
        <f ca="1"/>
        <v/>
      </c>
      <c r="AA12" t="str">
        <f ca="1"/>
        <v/>
      </c>
      <c r="AB12" t="str">
        <f ca="1"/>
        <v/>
      </c>
      <c r="AC12" t="str">
        <f ca="1"/>
        <v/>
      </c>
      <c r="AD12" t="str">
        <f ca="1"/>
        <v/>
      </c>
      <c r="AE12" t="str">
        <f ca="1"/>
        <v/>
      </c>
      <c r="AF12" t="str">
        <f ca="1"/>
        <v/>
      </c>
      <c r="AG12" t="str">
        <f ca="1"/>
        <v/>
      </c>
      <c r="AH12" t="str">
        <f ca="1"/>
        <v/>
      </c>
      <c r="AI12" t="str">
        <f ca="1"/>
        <v/>
      </c>
      <c r="AJ12" t="str">
        <f ca="1"/>
        <v/>
      </c>
      <c r="AK12" t="str">
        <f ca="1"/>
        <v/>
      </c>
      <c r="AL12" t="str">
        <f ca="1"/>
        <v xml:space="preserve">
	ELSE
		uiErrCode	:= 2;
	END_IF;</v>
      </c>
      <c r="AM12" t="str">
        <f ca="1"/>
        <v xml:space="preserve">
	ELSE
		uiErrCode	:= 2;
	END_IF;</v>
      </c>
    </row>
    <row r="13" spans="1:39" x14ac:dyDescent="0.55000000000000004">
      <c r="A13" t="s">
        <v>27</v>
      </c>
      <c r="B13" t="str">
        <f ca="1">$AM$205</f>
        <v>//このスクリプトは C:\tk\prj\hg-0025-0016\git\kv-x520\doc\[kv_script_cycle_info.xlsx]info_script によって生成されました。
//1
IF strInfoType = 1 THEN
	//原点復帰動作
	IF uiInfoIdx = 1 THEN
		IF strInfoKey = 'name' THEN
			strRt	:= '原点復帰動作';
		ELSIF strInfoKey = 'index_name' THEN
			strRt	:= '【11】 原点復帰動作';
		ELSIF strInfoKey = 'model' THEN
			strRt	:= 'unknown';
		ELSIF strInfoKey = 'mf' THEN
			strRt	:= 'unknown';
		ELSE
			uiErrCode	:= 3;
		END_IF;
	//供給準備動作
	ELSIF uiInfoIdx = 2 THEN
		IF strInfoKey = 'name' THEN
			strRt	:= '供給準備動作';
		ELSIF strInfoKey = 'index_name' THEN
			strRt	:= '【12】 供給準備動作';
		ELSIF strInfoKey = 'model' THEN
			strRt	:= 'unknown';
		ELSIF strInfoKey = 'mf' THEN
			strRt	:= 'unknown';
		ELSE
			uiErrCode	:= 3;
		END_IF;
	//カット動作
	ELSIF uiInfoIdx = 3 THEN
		IF strInfoKey = 'name' THEN
			strRt	:= 'カット動作';
		ELSIF strInfoKey = 'index_name' THEN
			strRt	:= '【13】 カット動作';
		ELSIF strInfoKey = 'model' THEN
			strRt	:= 'unknown';
		ELSIF strInfoKey = 'mf' THEN
			strRt	:= 'unknown';
		ELSE
			uiErrCode	:= 3;
		END_IF;
	//供給開始動作
	ELSIF uiInfoIdx = 6 THEN
		IF strInfoKey = 'name' THEN
			strRt	:= '供給開始動作';
		ELSIF strInfoKey = 'index_name' THEN
			strRt	:= '【16】 供給開始動作';
		ELSIF strInfoKey = 'model' THEN
			strRt	:= 'unknown';
		ELSIF strInfoKey = 'mf' THEN
			strRt	:= 'unknown';
		ELSE
			uiErrCode	:= 3;
		END_IF;
	//供給動作
	ELSIF uiInfoIdx = 7 THEN
		IF strInfoKey = 'name' THEN
			strRt	:= '供給動作';
		ELSIF strInfoKey = 'index_name' THEN
			strRt	:= '【17】 供給動作';
		ELSIF strInfoKey = 'model' THEN
			strRt	:= 'unknown';
		ELSIF strInfoKey = 'mf' THEN
			strRt	:= 'unknown';
		ELSE
			uiErrCode	:= 3;
		END_IF;
	ELSE
		uiErrCode	:= 2;
	END_IF;
//2
ELSIF strInfoType = 2 THEN
	//原点復帰動作
	IF uiInfoIdx = 1 THEN
		IF strInfoKey = 'name' THEN
			strRt	:= '原点復帰動作';
		ELSIF strInfoKey = 'index_name' THEN
			strRt	:= '【21】 原点復帰動作';
		ELSIF strInfoKey = 'model' THEN
			strRt	:= 'unknown';
		ELSIF strInfoKey = 'mf' THEN
			strRt	:= 'unknown';
		ELSE
			uiErrCode	:= 3;
		END_IF;
	//供給準備動作
	ELSIF uiInfoIdx = 2 THEN
		IF strInfoKey = 'name' THEN
			strRt	:= '供給準備動作';
		ELSIF strInfoKey = 'index_name' THEN
			strRt	:= '【22】 供給準備動作';
		ELSIF strInfoKey = 'model' THEN
			strRt	:= 'unknown';
		ELSIF strInfoKey = 'mf' THEN
			strRt	:= 'unknown';
		ELSE
			uiErrCode	:= 3;
		END_IF;
	//カット動作
	ELSIF uiInfoIdx = 3 THEN
		IF strInfoKey = 'name' THEN
			strRt	:= 'カット動作';
		ELSIF strInfoKey = 'index_name' THEN
			strRt	:= '【23】 カット動作';
		ELSIF strInfoKey = 'model' THEN
			strRt	:= 'unknown';
		ELSIF strInfoKey = 'mf' THEN
			strRt	:= 'unknown';
		ELSE
			uiErrCode	:= 3;
		END_IF;
	//供給確認動作
	ELSIF uiInfoIdx = 4 THEN
		IF strInfoKey = 'name' THEN
			strRt	:= '供給確認動作';
		ELSIF strInfoKey = 'index_name' THEN
			strRt	:= '【24】 供給確認動作';
		ELSIF strInfoKey = 'model' THEN
			strRt	:= 'unknown';
		ELSIF strInfoKey = 'mf' THEN
			strRt	:= 'unknown';
		ELSE
			uiErrCode	:= 3;
		END_IF;
	//ひらき動作
	ELSIF uiInfoIdx = 5 THEN
		IF strInfoKey = 'name' THEN
			strRt	:= 'ひらき動作';
		ELSIF strInfoKey = 'index_name' THEN
			strRt	:= '【25】 ひらき動作';
		ELSIF strInfoKey = 'model' THEN
			strRt	:= 'unknown';
		ELSIF strInfoKey = 'mf' THEN
			strRt	:= 'unknown';
		ELSE
			uiErrCode	:= 3;
		END_IF;
	//供給開始動作
	ELSIF uiInfoIdx = 6 THEN
		IF strInfoKey = 'name' THEN
			strRt	:= '供給開始動作';
		ELSIF strInfoKey = 'index_name' THEN
			strRt	:= '【26】 供給開始動作';
		ELSIF strInfoKey = 'model' THEN
			strRt	:= 'unknown';
		ELSIF strInfoKey = 'mf' THEN
			strRt	:= 'unknown';
		ELSE
			uiErrCode	:= 3;
		END_IF;
	//供給動作
	ELSIF uiInfoIdx = 7 THEN
		IF strInfoKey = 'name' THEN
			strRt	:= '供給動作';
		ELSIF strInfoKey = 'index_name' THEN
			strRt	:= '【27】 供給動作';
		ELSIF strInfoKey = 'model' THEN
			strRt	:= 'unknown';
		ELSIF strInfoKey = 'mf' THEN
			strRt	:= 'unknown';
		ELSE
			uiErrCode	:= 3;
		END_IF;
	ELSE
		uiErrCode	:= 2;
	END_IF;
//3
ELSIF strInfoType = 3 THEN
	//原点復帰動作
	IF uiInfoIdx = 1 THEN
		IF strInfoKey = 'name' THEN
			strRt	:= '原点復帰動作';
		ELSIF strInfoKey = 'index_name' THEN
			strRt	:= '【31】 原点復帰動作';
		ELSIF strInfoKey = 'model' THEN
			strRt	:= 'unknown';
		ELSIF strInfoKey = 'mf' THEN
			strRt	:= 'unknown';
		ELSE
			uiErrCode	:= 3;
		END_IF;
	//供給準備動作
	ELSIF uiInfoIdx = 2 THEN
		IF strInfoKey = 'name' THEN
			strRt	:= '供給準備動作';
		ELSIF strInfoKey = 'index_name' THEN
			strRt	:= '【32】 供給準備動作';
		ELSIF strInfoKey = 'model' THEN
			strRt	:= 'unknown';
		ELSIF strInfoKey = 'mf' THEN
			strRt	:= 'unknown';
		ELSE
			uiErrCode	:= 3;
		END_IF;
	//供給動作
	ELSIF uiInfoIdx = 3 THEN
		IF strInfoKey = 'name' THEN
			strRt	:= '供給動作';
		ELSIF strInfoKey = 'index_name' THEN
			strRt	:= '【33】 供給動作';
		ELSIF strInfoKey = 'model' THEN
			strRt	:= 'unknown';
		ELSIF strInfoKey = 'mf' THEN
			strRt	:= 'unknown';
		ELSE
			uiErrCode	:= 3;
		END_IF;
	ELSE
		uiErrCode	:= 2;
	END_IF;
//4
ELSIF strInfoType = 4 THEN
	//原点復帰動作
	IF uiInfoIdx = 1 THEN
		IF strInfoKey = 'name' THEN
			strRt	:= '原点復帰動作';
		ELSIF strInfoKey = 'index_name' THEN
			strRt	:= '【41】 原点復帰動作';
		ELSIF strInfoKey = 'model' THEN
			strRt	:= 'unknown';
		ELSIF strInfoKey = 'mf' THEN
			strRt	:= 'unknown';
		ELSE
			uiErrCode	:= 3;
		END_IF;
	//周長測定子プリセット
	ELSIF uiInfoIdx = 2 THEN
		IF strInfoKey = 'name' THEN
			strRt	:= '周長測定子プリセット';
		ELSIF strInfoKey = 'index_name' THEN
			strRt	:= '【42】 周長測定子プリセット';
		ELSIF strInfoKey = 'model' THEN
			strRt	:= 'unknown';
		ELSIF strInfoKey = 'mf' THEN
			strRt	:= 'unknown';
		ELSE
			uiErrCode	:= 3;
		END_IF;
	//巻き準備動作
	ELSIF uiInfoIdx = 3 THEN
		IF strInfoKey = 'name' THEN
			strRt	:= '巻き準備動作';
		ELSIF strInfoKey = 'index_name' THEN
			strRt	:= '【43】 巻き準備動作';
		ELSIF strInfoKey = 'model' THEN
			strRt	:= 'unknown';
		ELSIF strInfoKey = 'mf' THEN
			strRt	:= 'unknown';
		ELSE
			uiErrCode	:= 3;
		END_IF;
	//巻き動作
	ELSIF uiInfoIdx = 4 THEN
		IF strInfoKey = 'name' THEN
			strRt	:= '巻き動作';
		ELSIF strInfoKey = 'index_name' THEN
			strRt	:= '【44】 巻き動作';
		ELSIF strInfoKey = 'model' THEN
			strRt	:= 'unknown';
		ELSIF strInfoKey = 'mf' THEN
			strRt	:= 'unknown';
		ELSE
			uiErrCode	:= 3;
		END_IF;
	//箔ロウ巻き動作
	ELSIF uiInfoIdx = 5 THEN
		IF strInfoKey = 'name' THEN
			strRt	:= '箔ロウ巻き動作';
		ELSIF strInfoKey = 'index_name' THEN
			strRt	:= '【45】 箔ロウ巻き動作';
		ELSIF strInfoKey = 'model' THEN
			strRt	:= 'unknown';
		ELSIF strInfoKey = 'mf' THEN
			strRt	:= 'unknown';
		ELSE
			uiErrCode	:= 3;
		END_IF;
	//周長測定動作
	ELSIF uiInfoIdx = 6 THEN
		IF strInfoKey = 'name' THEN
			strRt	:= '周長測定動作';
		ELSIF strInfoKey = 'index_name' THEN
			strRt	:= '【46】 周長測定動作';
		ELSIF strInfoKey = 'model' THEN
			strRt	:= 'unknown';
		ELSIF strInfoKey = 'mf' THEN
			strRt	:= 'unknown';
		ELSE
			uiErrCode	:= 3;
		END_IF;
	ELSE
		uiErrCode	:= 2;
	END_IF;
//5
ELSIF strInfoType = 5 THEN
	//原点復帰動作
	IF uiInfoIdx = 1 THEN
		IF strInfoKey = 'name' THEN
			strRt	:= '原点復帰動作';
		ELSIF strInfoKey = 'index_name' THEN
			strRt	:= '【51】 原点復帰動作';
		ELSIF strInfoKey = 'model' THEN
			strRt	:= 'unknown';
		ELSIF strInfoKey = 'mf' THEN
			strRt	:= 'unknown';
		ELSE
			uiErrCode	:= 3;
		END_IF;
	//巻き押え動作
	ELSIF uiInfoIdx = 2 THEN
		IF strInfoKey = 'name' THEN
			strRt	:= '巻き押え動作';
		ELSIF strInfoKey = 'index_name' THEN
			strRt	:= '【52】 巻き押え動作';
		ELSIF strInfoKey = 'model' THEN
			strRt	:= 'unknown';
		ELSIF strInfoKey = 'mf' THEN
			strRt	:= 'unknown';
		ELSE
			uiErrCode	:= 3;
		END_IF;
	//溶接動作
	ELSIF uiInfoIdx = 3 THEN
		IF strInfoKey = 'name' THEN
			strRt	:= '溶接動作';
		ELSIF strInfoKey = 'index_name' THEN
			strRt	:= '【53】 溶接動作';
		ELSIF strInfoKey = 'model' THEN
			strRt	:= 'unknown';
		ELSIF strInfoKey = 'mf' THEN
			strRt	:= 'unknown';
		ELSE
			uiErrCode	:= 3;
		END_IF;
	ELSE
		uiErrCode	:= 2;
	END_IF;
//6
ELSIF strInfoType = 6 THEN
	//原点復帰動作
	IF uiInfoIdx = 1 THEN
		IF strInfoKey = 'name' THEN
			strRt	:= '原点復帰動作';
		ELSIF strInfoKey = 'index_name' THEN
			strRt	:= '【61】 原点復帰動作';
		ELSIF strInfoKey = 'model' THEN
			strRt	:= 'unknown';
		ELSIF strInfoKey = 'mf' THEN
			strRt	:= 'unknown';
		ELSE
			uiErrCode	:= 3;
		END_IF;
	//排出受取り動作
	ELSIF uiInfoIdx = 2 THEN
		IF strInfoKey = 'name' THEN
			strRt	:= '排出受取り動作';
		ELSIF strInfoKey = 'index_name' THEN
			strRt	:= '【62】 排出受取り動作';
		ELSIF strInfoKey = 'model' THEN
			strRt	:= 'unknown';
		ELSIF strInfoKey = 'mf' THEN
			strRt	:= 'unknown';
		ELSE
			uiErrCode	:= 3;
		END_IF;
	//排出受渡し動作
	ELSIF uiInfoIdx = 3 THEN
		IF strInfoKey = 'name' THEN
			strRt	:= '排出受渡し動作';
		ELSIF strInfoKey = 'index_name' THEN
			strRt	:= '【63】 排出受渡し動作';
		ELSIF strInfoKey = 'model' THEN
			strRt	:= 'unknown';
		ELSIF strInfoKey = 'mf' THEN
			strRt	:= 'unknown';
		ELSE
			uiErrCode	:= 3;
		END_IF;
	//計測準備
	ELSIF uiInfoIdx = 6 THEN
		IF strInfoKey = 'name' THEN
			strRt	:= '計測準備';
		ELSIF strInfoKey = 'index_name' THEN
			strRt	:= '【66】 計測準備';
		ELSIF strInfoKey = 'model' THEN
			strRt	:= 'unknown';
		ELSIF strInfoKey = 'mf' THEN
			strRt	:= 'unknown';
		ELSE
			uiErrCode	:= 3;
		END_IF;
	//巻き中測定動作
	ELSIF uiInfoIdx = 7 THEN
		IF strInfoKey = 'name' THEN
			strRt	:= '巻き中測定動作';
		ELSIF strInfoKey = 'index_name' THEN
			strRt	:= '【67】 巻き中測定動作';
		ELSIF strInfoKey = 'model' THEN
			strRt	:= 'unknown';
		ELSIF strInfoKey = 'mf' THEN
			strRt	:= 'unknown';
		ELSE
			uiErrCode	:= 3;
		END_IF;
	ELSE
		uiErrCode	:= 2;
	END_IF;
//7
ELSIF strInfoType = 7 THEN
	//ひらき動作
	IF uiInfoIdx = 1 THEN
		IF strInfoKey = 'name' THEN
			strRt	:= 'ひらき動作';
		ELSIF strInfoKey = 'index_name' THEN
			strRt	:= '【71】 ひらき動作';
		ELSIF strInfoKey = 'model' THEN
			strRt	:= 'unknown';
		ELSIF strInfoKey = 'mf' THEN
			strRt	:= 'unknown';
		ELSE
			uiErrCode	:= 3;
		END_IF;
	//とじ動作
	ELSIF uiInfoIdx = 2 THEN
		IF strInfoKey = 'name' THEN
			strRt	:= 'とじ動作';
		ELSIF strInfoKey = 'index_name' THEN
			strRt	:= '【72】 とじ動作';
		ELSIF strInfoKey = 'model' THEN
			strRt	:= 'unknown';
		ELSIF strInfoKey = 'mf' THEN
			strRt	:= 'unknown';
		ELSE
			uiErrCode	:= 3;
		END_IF;
	//糊付け動作
	ELSIF uiInfoIdx = 6 THEN
		IF strInfoKey = 'name' THEN
			strRt	:= '糊付け動作';
		ELSIF strInfoKey = 'index_name' THEN
			strRt	:= '【76】 糊付け動作';
		ELSIF strInfoKey = 'model' THEN
			strRt	:= 'unknown';
		ELSIF strInfoKey = 'mf' THEN
			strRt	:= 'unknown';
		ELSE
			uiErrCode	:= 3;
		END_IF;
	ELSE
		uiErrCode	:= 2;
	END_IF;
//8
ELSIF strInfoType = 8 THEN
	//送り動作
	IF uiInfoIdx = 1 THEN
		IF strInfoKey = 'name' THEN
			strRt	:= '送り動作';
		ELSIF strInfoKey = 'index_name' THEN
			strRt	:= '【81】 送り動作';
		ELSIF strInfoKey = 'model' THEN
			strRt	:= 'unknown';
		ELSIF strInfoKey = 'mf' THEN
			strRt	:= 'unknown';
		ELSE
			uiErrCode	:= 3;
		END_IF;
	ELSE
		uiErrCode	:= 2;
	END_IF;
ELSE
	uiErrCode	:= 1;
END_IF;
//-----ここまで生成script-----</v>
      </c>
      <c r="F13">
        <f>F3+1</f>
        <v>2</v>
      </c>
      <c r="G13" t="str">
        <f t="shared" si="0"/>
        <v>2</v>
      </c>
      <c r="H13">
        <f>COUNTIF(G$3:G13,G13)</f>
        <v>1</v>
      </c>
      <c r="I13" t="str">
        <v/>
      </c>
      <c r="J13">
        <v>6</v>
      </c>
      <c r="K13" t="str">
        <f ca="1"/>
        <v>原点復帰動作</v>
      </c>
      <c r="L13" t="str">
        <f ca="1"/>
        <v>原点復帰動作</v>
      </c>
      <c r="N13" t="str">
        <f ca="1"/>
        <v>【21】 原点復帰動作</v>
      </c>
      <c r="O13" t="str">
        <v/>
      </c>
      <c r="P13" t="str">
        <v>unknown</v>
      </c>
      <c r="Q13" t="str">
        <f ca="1"/>
        <v/>
      </c>
      <c r="R13" t="str">
        <f ca="1"/>
        <v>unknown</v>
      </c>
      <c r="Z13" t="str">
        <f ca="1"/>
        <v xml:space="preserve">
//2</v>
      </c>
      <c r="AA13" t="str">
        <f ca="1"/>
        <v xml:space="preserve">
//2
ELSIF strInfoType = 2 THEN</v>
      </c>
      <c r="AB13" t="str">
        <f ca="1"/>
        <v xml:space="preserve">
//2
ELSIF strInfoType = 2 THEN
	//原点復帰動作
	IF uiInfoIdx = 1 THEN</v>
      </c>
      <c r="AC13" t="str">
        <f ca="1"/>
        <v xml:space="preserve">
//2
ELSIF strInfoType = 2 THEN
	//原点復帰動作
	IF uiInfoIdx = 1 THEN
		IF strInfoKey = 'name' THEN</v>
      </c>
      <c r="AD13" t="str">
        <f ca="1"/>
        <v xml:space="preserve">
//2
ELSIF strInfoType = 2 THEN
	//原点復帰動作
	IF uiInfoIdx = 1 THEN
		IF strInfoKey = 'name' THEN
			strRt	:= '原点復帰動作';</v>
      </c>
      <c r="AE13" t="str">
        <f ca="1"/>
        <v xml:space="preserve">
//2
ELSIF strInfoType = 2 THEN
	//原点復帰動作
	IF uiInfoIdx = 1 THEN
		IF strInfoKey = 'name' THEN
			strRt	:= '原点復帰動作';
		ELSIF strInfoKey = 'index_name' THEN</v>
      </c>
      <c r="AF13" t="str">
        <f ca="1"/>
        <v xml:space="preserve">
//2
ELSIF strInfoType = 2 THEN
	//原点復帰動作
	IF uiInfoIdx = 1 THEN
		IF strInfoKey = 'name' THEN
			strRt	:= '原点復帰動作';
		ELSIF strInfoKey = 'index_name' THEN
			strRt	:= '【21】 原点復帰動作';</v>
      </c>
      <c r="AG13" t="str">
        <f ca="1"/>
        <v xml:space="preserve">
//2
ELSIF strInfoType = 2 THEN
	//原点復帰動作
	IF uiInfoIdx = 1 THEN
		IF strInfoKey = 'name' THEN
			strRt	:= '原点復帰動作';
		ELSIF strInfoKey = 'index_name' THEN
			strRt	:= '【21】 原点復帰動作';
		ELSIF strInfoKey = 'model' THEN</v>
      </c>
      <c r="AH13" t="str">
        <f ca="1"/>
        <v xml:space="preserve">
//2
ELSIF strInfoType = 2 THEN
	//原点復帰動作
	IF uiInfoIdx = 1 THEN
		IF strInfoKey = 'name' THEN
			strRt	:= '原点復帰動作';
		ELSIF strInfoKey = 'index_name' THEN
			strRt	:= '【21】 原点復帰動作';
		ELSIF strInfoKey = 'model' THEN
			strRt	:= 'unknown';</v>
      </c>
      <c r="AI13" t="str">
        <f ca="1"/>
        <v xml:space="preserve">
//2
ELSIF strInfoType = 2 THEN
	//原点復帰動作
	IF uiInfoIdx = 1 THEN
		IF strInfoKey = 'name' THEN
			strRt	:= '原点復帰動作';
		ELSIF strInfoKey = 'index_name' THEN
			strRt	:= '【21】 原点復帰動作';
		ELSIF strInfoKey = 'model' THEN
			strRt	:= 'unknown';
		ELSIF strInfoKey = 'mf' THEN</v>
      </c>
      <c r="AJ13" t="str">
        <f ca="1"/>
        <v xml:space="preserve">
//2
ELSIF strInfoType = 2 THEN
	//原点復帰動作
	IF uiInfoIdx = 1 THEN
		IF strInfoKey = 'name' THEN
			strRt	:= '原点復帰動作';
		ELSIF strInfoKey = 'index_name' THEN
			strRt	:= '【21】 原点復帰動作';
		ELSIF strInfoKey = 'model' THEN
			strRt	:= 'unknown';
		ELSIF strInfoKey = 'mf' THEN
			strRt	:= 'unknown';</v>
      </c>
      <c r="AK13" t="str">
        <f ca="1"/>
        <v xml:space="preserve">
//2
ELSIF strInfoType = 2 THEN
	//原点復帰動作
	IF uiInfoIdx = 1 THEN
		IF strInfoKey = 'name' THEN
			strRt	:= '原点復帰動作';
		ELSIF strInfoKey = 'index_name' THEN
			strRt	:= '【21】 原点復帰動作';
		ELSIF strInfoKey = 'model' THEN
			strRt	:= 'unknown';
		ELSIF strInfoKey = 'mf' THEN
			strRt	:= 'unknown';
		ELSE
			uiErrCode	:= 3;
		END_IF;</v>
      </c>
      <c r="AL13" t="str">
        <f ca="1"/>
        <v xml:space="preserve">
//2
ELSIF strInfoType = 2 THEN
	//原点復帰動作
	IF uiInfoIdx = 1 THEN
		IF strInfoKey = 'name' THEN
			strRt	:= '原点復帰動作';
		ELSIF strInfoKey = 'index_name' THEN
			strRt	:= '【21】 原点復帰動作';
		ELSIF strInfoKey = 'model' THEN
			strRt	:= 'unknown';
		ELSIF strInfoKey = 'mf' THEN
			strRt	:= 'unknown';
		ELSE
			uiErrCode	:= 3;
		END_IF;</v>
      </c>
      <c r="AM13" t="str">
        <f ca="1"/>
        <v xml:space="preserve">
//2
ELSIF strInfoType = 2 THEN
	//原点復帰動作
	IF uiInfoIdx = 1 THEN
		IF strInfoKey = 'name' THEN
			strRt	:= '原点復帰動作';
		ELSIF strInfoKey = 'index_name' THEN
			strRt	:= '【21】 原点復帰動作';
		ELSIF strInfoKey = 'model' THEN
			strRt	:= 'unknown';
		ELSIF strInfoKey = 'mf' THEN
			strRt	:= 'unknown';
		ELSE
			uiErrCode	:= 3;
		END_IF;</v>
      </c>
    </row>
    <row r="14" spans="1:39" x14ac:dyDescent="0.55000000000000004">
      <c r="A14" t="s">
        <v>61</v>
      </c>
      <c r="B14" t="str">
        <f>IF(LEN(AK1),"●"&amp;B27&amp;CHAR(10)&amp;AK1,"")</f>
        <v>●strInfoKey
name	:装置内で使用される名称
index_name	:装置内の連番＋名称
model	:使用される機器の型番
mf	:使用される機器のメーカー</v>
      </c>
      <c r="F14">
        <f t="shared" si="1"/>
        <v>2</v>
      </c>
      <c r="G14" t="str">
        <f t="shared" si="0"/>
        <v>2</v>
      </c>
      <c r="H14">
        <f>COUNTIF(G$3:G14,G14)</f>
        <v>2</v>
      </c>
      <c r="I14" t="str">
        <v/>
      </c>
      <c r="J14">
        <v>7</v>
      </c>
      <c r="K14" t="str">
        <f ca="1"/>
        <v>供給準備動作</v>
      </c>
      <c r="L14" t="str">
        <f ca="1"/>
        <v>供給準備動作</v>
      </c>
      <c r="N14" t="str">
        <f ca="1"/>
        <v>【22】 供給準備動作</v>
      </c>
      <c r="O14" t="str">
        <v/>
      </c>
      <c r="P14" t="str">
        <v>unknown</v>
      </c>
      <c r="Q14" t="str">
        <f ca="1"/>
        <v/>
      </c>
      <c r="R14" t="str">
        <f ca="1"/>
        <v>unknown</v>
      </c>
      <c r="Z14" t="str">
        <f ca="1"/>
        <v xml:space="preserve">
</v>
      </c>
      <c r="AA14" t="str">
        <f ca="1"/>
        <v xml:space="preserve">
</v>
      </c>
      <c r="AB14" t="str">
        <f ca="1"/>
        <v xml:space="preserve">
	//供給準備動作
	ELSIF uiInfoIdx = 2 THEN</v>
      </c>
      <c r="AC14" t="str">
        <f ca="1"/>
        <v xml:space="preserve">
	//供給準備動作
	ELSIF uiInfoIdx = 2 THEN
		IF strInfoKey = 'name' THEN</v>
      </c>
      <c r="AD14" t="str">
        <f ca="1"/>
        <v xml:space="preserve">
	//供給準備動作
	ELSIF uiInfoIdx = 2 THEN
		IF strInfoKey = 'name' THEN
			strRt	:= '供給準備動作';</v>
      </c>
      <c r="AE14" t="str">
        <f ca="1"/>
        <v xml:space="preserve">
	//供給準備動作
	ELSIF uiInfoIdx = 2 THEN
		IF strInfoKey = 'name' THEN
			strRt	:= '供給準備動作';
		ELSIF strInfoKey = 'index_name' THEN</v>
      </c>
      <c r="AF14" t="str">
        <f ca="1"/>
        <v xml:space="preserve">
	//供給準備動作
	ELSIF uiInfoIdx = 2 THEN
		IF strInfoKey = 'name' THEN
			strRt	:= '供給準備動作';
		ELSIF strInfoKey = 'index_name' THEN
			strRt	:= '【22】 供給準備動作';</v>
      </c>
      <c r="AG14" t="str">
        <f ca="1"/>
        <v xml:space="preserve">
	//供給準備動作
	ELSIF uiInfoIdx = 2 THEN
		IF strInfoKey = 'name' THEN
			strRt	:= '供給準備動作';
		ELSIF strInfoKey = 'index_name' THEN
			strRt	:= '【22】 供給準備動作';
		ELSIF strInfoKey = 'model' THEN</v>
      </c>
      <c r="AH14" t="str">
        <f ca="1"/>
        <v xml:space="preserve">
	//供給準備動作
	ELSIF uiInfoIdx = 2 THEN
		IF strInfoKey = 'name' THEN
			strRt	:= '供給準備動作';
		ELSIF strInfoKey = 'index_name' THEN
			strRt	:= '【22】 供給準備動作';
		ELSIF strInfoKey = 'model' THEN
			strRt	:= 'unknown';</v>
      </c>
      <c r="AI14" t="str">
        <f ca="1"/>
        <v xml:space="preserve">
	//供給準備動作
	ELSIF uiInfoIdx = 2 THEN
		IF strInfoKey = 'name' THEN
			strRt	:= '供給準備動作';
		ELSIF strInfoKey = 'index_name' THEN
			strRt	:= '【22】 供給準備動作';
		ELSIF strInfoKey = 'model' THEN
			strRt	:= 'unknown';
		ELSIF strInfoKey = 'mf' THEN</v>
      </c>
      <c r="AJ14" t="str">
        <f ca="1"/>
        <v xml:space="preserve">
	//供給準備動作
	ELSIF uiInfoIdx = 2 THEN
		IF strInfoKey = 'name' THEN
			strRt	:= '供給準備動作';
		ELSIF strInfoKey = 'index_name' THEN
			strRt	:= '【22】 供給準備動作';
		ELSIF strInfoKey = 'model' THEN
			strRt	:= 'unknown';
		ELSIF strInfoKey = 'mf' THEN
			strRt	:= 'unknown';</v>
      </c>
      <c r="AK14" t="str">
        <f ca="1"/>
        <v xml:space="preserve">
	//供給準備動作
	ELSIF uiInfoIdx = 2 THEN
		IF strInfoKey = 'name' THEN
			strRt	:= '供給準備動作';
		ELSIF strInfoKey = 'index_name' THEN
			strRt	:= '【22】 供給準備動作';
		ELSIF strInfoKey = 'model' THEN
			strRt	:= 'unknown';
		ELSIF strInfoKey = 'mf' THEN
			strRt	:= 'unknown';
		ELSE
			uiErrCode	:= 3;
		END_IF;</v>
      </c>
      <c r="AL14" t="str">
        <f ca="1"/>
        <v xml:space="preserve">
	//供給準備動作
	ELSIF uiInfoIdx = 2 THEN
		IF strInfoKey = 'name' THEN
			strRt	:= '供給準備動作';
		ELSIF strInfoKey = 'index_name' THEN
			strRt	:= '【22】 供給準備動作';
		ELSIF strInfoKey = 'model' THEN
			strRt	:= 'unknown';
		ELSIF strInfoKey = 'mf' THEN
			strRt	:= 'unknown';
		ELSE
			uiErrCode	:= 3;
		END_IF;</v>
      </c>
      <c r="AM14" t="str">
        <f ca="1"/>
        <v xml:space="preserve">
	//供給準備動作
	ELSIF uiInfoIdx = 2 THEN
		IF strInfoKey = 'name' THEN
			strRt	:= '供給準備動作';
		ELSIF strInfoKey = 'index_name' THEN
			strRt	:= '【22】 供給準備動作';
		ELSIF strInfoKey = 'model' THEN
			strRt	:= 'unknown';
		ELSIF strInfoKey = 'mf' THEN
			strRt	:= 'unknown';
		ELSE
			uiErrCode	:= 3;
		END_IF;</v>
      </c>
    </row>
    <row r="15" spans="1:39" x14ac:dyDescent="0.55000000000000004">
      <c r="F15">
        <f t="shared" si="1"/>
        <v>2</v>
      </c>
      <c r="G15" t="str">
        <f t="shared" si="0"/>
        <v>2</v>
      </c>
      <c r="H15">
        <f>COUNTIF(G$3:G15,G15)</f>
        <v>3</v>
      </c>
      <c r="I15" t="str">
        <v/>
      </c>
      <c r="J15">
        <v>8</v>
      </c>
      <c r="K15" t="str">
        <f ca="1"/>
        <v>カット動作</v>
      </c>
      <c r="L15" t="str">
        <f ca="1"/>
        <v>カット動作</v>
      </c>
      <c r="N15" t="str">
        <f ca="1"/>
        <v>【23】 カット動作</v>
      </c>
      <c r="O15" t="str">
        <v/>
      </c>
      <c r="P15" t="str">
        <v>unknown</v>
      </c>
      <c r="Q15" t="str">
        <f ca="1"/>
        <v/>
      </c>
      <c r="R15" t="str">
        <f ca="1"/>
        <v>unknown</v>
      </c>
      <c r="Z15" t="str">
        <f ca="1"/>
        <v xml:space="preserve">
</v>
      </c>
      <c r="AA15" t="str">
        <f ca="1"/>
        <v xml:space="preserve">
</v>
      </c>
      <c r="AB15" t="str">
        <f ca="1"/>
        <v xml:space="preserve">
	//カット動作
	ELSIF uiInfoIdx = 3 THEN</v>
      </c>
      <c r="AC15" t="str">
        <f ca="1"/>
        <v xml:space="preserve">
	//カット動作
	ELSIF uiInfoIdx = 3 THEN
		IF strInfoKey = 'name' THEN</v>
      </c>
      <c r="AD15" t="str">
        <f ca="1"/>
        <v xml:space="preserve">
	//カット動作
	ELSIF uiInfoIdx = 3 THEN
		IF strInfoKey = 'name' THEN
			strRt	:= 'カット動作';</v>
      </c>
      <c r="AE15" t="str">
        <f ca="1"/>
        <v xml:space="preserve">
	//カット動作
	ELSIF uiInfoIdx = 3 THEN
		IF strInfoKey = 'name' THEN
			strRt	:= 'カット動作';
		ELSIF strInfoKey = 'index_name' THEN</v>
      </c>
      <c r="AF15" t="str">
        <f ca="1"/>
        <v xml:space="preserve">
	//カット動作
	ELSIF uiInfoIdx = 3 THEN
		IF strInfoKey = 'name' THEN
			strRt	:= 'カット動作';
		ELSIF strInfoKey = 'index_name' THEN
			strRt	:= '【23】 カット動作';</v>
      </c>
      <c r="AG15" t="str">
        <f ca="1"/>
        <v xml:space="preserve">
	//カット動作
	ELSIF uiInfoIdx = 3 THEN
		IF strInfoKey = 'name' THEN
			strRt	:= 'カット動作';
		ELSIF strInfoKey = 'index_name' THEN
			strRt	:= '【23】 カット動作';
		ELSIF strInfoKey = 'model' THEN</v>
      </c>
      <c r="AH15" t="str">
        <f ca="1"/>
        <v xml:space="preserve">
	//カット動作
	ELSIF uiInfoIdx = 3 THEN
		IF strInfoKey = 'name' THEN
			strRt	:= 'カット動作';
		ELSIF strInfoKey = 'index_name' THEN
			strRt	:= '【23】 カット動作';
		ELSIF strInfoKey = 'model' THEN
			strRt	:= 'unknown';</v>
      </c>
      <c r="AI15" t="str">
        <f ca="1"/>
        <v xml:space="preserve">
	//カット動作
	ELSIF uiInfoIdx = 3 THEN
		IF strInfoKey = 'name' THEN
			strRt	:= 'カット動作';
		ELSIF strInfoKey = 'index_name' THEN
			strRt	:= '【23】 カット動作';
		ELSIF strInfoKey = 'model' THEN
			strRt	:= 'unknown';
		ELSIF strInfoKey = 'mf' THEN</v>
      </c>
      <c r="AJ15" t="str">
        <f ca="1"/>
        <v xml:space="preserve">
	//カット動作
	ELSIF uiInfoIdx = 3 THEN
		IF strInfoKey = 'name' THEN
			strRt	:= 'カット動作';
		ELSIF strInfoKey = 'index_name' THEN
			strRt	:= '【23】 カット動作';
		ELSIF strInfoKey = 'model' THEN
			strRt	:= 'unknown';
		ELSIF strInfoKey = 'mf' THEN
			strRt	:= 'unknown';</v>
      </c>
      <c r="AK15" t="str">
        <f ca="1"/>
        <v xml:space="preserve">
	//カット動作
	ELSIF uiInfoIdx = 3 THEN
		IF strInfoKey = 'name' THEN
			strRt	:= 'カット動作';
		ELSIF strInfoKey = 'index_name' THEN
			strRt	:= '【23】 カット動作';
		ELSIF strInfoKey = 'model' THEN
			strRt	:= 'unknown';
		ELSIF strInfoKey = 'mf' THEN
			strRt	:= 'unknown';
		ELSE
			uiErrCode	:= 3;
		END_IF;</v>
      </c>
      <c r="AL15" t="str">
        <f ca="1"/>
        <v xml:space="preserve">
	//カット動作
	ELSIF uiInfoIdx = 3 THEN
		IF strInfoKey = 'name' THEN
			strRt	:= 'カット動作';
		ELSIF strInfoKey = 'index_name' THEN
			strRt	:= '【23】 カット動作';
		ELSIF strInfoKey = 'model' THEN
			strRt	:= 'unknown';
		ELSIF strInfoKey = 'mf' THEN
			strRt	:= 'unknown';
		ELSE
			uiErrCode	:= 3;
		END_IF;</v>
      </c>
      <c r="AM15" t="str">
        <f ca="1"/>
        <v xml:space="preserve">
	//カット動作
	ELSIF uiInfoIdx = 3 THEN
		IF strInfoKey = 'name' THEN
			strRt	:= 'カット動作';
		ELSIF strInfoKey = 'index_name' THEN
			strRt	:= '【23】 カット動作';
		ELSIF strInfoKey = 'model' THEN
			strRt	:= 'unknown';
		ELSIF strInfoKey = 'mf' THEN
			strRt	:= 'unknown';
		ELSE
			uiErrCode	:= 3;
		END_IF;</v>
      </c>
    </row>
    <row r="16" spans="1:39" x14ac:dyDescent="0.55000000000000004">
      <c r="F16">
        <f t="shared" si="1"/>
        <v>2</v>
      </c>
      <c r="G16" t="str">
        <f t="shared" si="0"/>
        <v>2</v>
      </c>
      <c r="H16">
        <f>COUNTIF(G$3:G16,G16)</f>
        <v>4</v>
      </c>
      <c r="I16" t="str">
        <v/>
      </c>
      <c r="J16">
        <v>9</v>
      </c>
      <c r="K16" t="str">
        <f ca="1"/>
        <v>供給確認動作</v>
      </c>
      <c r="L16" t="str">
        <f ca="1"/>
        <v>供給確認動作</v>
      </c>
      <c r="N16" t="str">
        <f ca="1"/>
        <v>【24】 供給確認動作</v>
      </c>
      <c r="O16" t="str">
        <v/>
      </c>
      <c r="P16" t="str">
        <v>unknown</v>
      </c>
      <c r="Q16" t="str">
        <f ca="1"/>
        <v/>
      </c>
      <c r="R16" t="str">
        <f ca="1"/>
        <v>unknown</v>
      </c>
      <c r="Z16" t="str">
        <f ca="1"/>
        <v xml:space="preserve">
</v>
      </c>
      <c r="AA16" t="str">
        <f ca="1"/>
        <v xml:space="preserve">
</v>
      </c>
      <c r="AB16" t="str">
        <f ca="1"/>
        <v xml:space="preserve">
	//供給確認動作
	ELSIF uiInfoIdx = 4 THEN</v>
      </c>
      <c r="AC16" t="str">
        <f ca="1"/>
        <v xml:space="preserve">
	//供給確認動作
	ELSIF uiInfoIdx = 4 THEN
		IF strInfoKey = 'name' THEN</v>
      </c>
      <c r="AD16" t="str">
        <f ca="1"/>
        <v xml:space="preserve">
	//供給確認動作
	ELSIF uiInfoIdx = 4 THEN
		IF strInfoKey = 'name' THEN
			strRt	:= '供給確認動作';</v>
      </c>
      <c r="AE16" t="str">
        <f ca="1"/>
        <v xml:space="preserve">
	//供給確認動作
	ELSIF uiInfoIdx = 4 THEN
		IF strInfoKey = 'name' THEN
			strRt	:= '供給確認動作';
		ELSIF strInfoKey = 'index_name' THEN</v>
      </c>
      <c r="AF16" t="str">
        <f ca="1"/>
        <v xml:space="preserve">
	//供給確認動作
	ELSIF uiInfoIdx = 4 THEN
		IF strInfoKey = 'name' THEN
			strRt	:= '供給確認動作';
		ELSIF strInfoKey = 'index_name' THEN
			strRt	:= '【24】 供給確認動作';</v>
      </c>
      <c r="AG16" t="str">
        <f ca="1"/>
        <v xml:space="preserve">
	//供給確認動作
	ELSIF uiInfoIdx = 4 THEN
		IF strInfoKey = 'name' THEN
			strRt	:= '供給確認動作';
		ELSIF strInfoKey = 'index_name' THEN
			strRt	:= '【24】 供給確認動作';
		ELSIF strInfoKey = 'model' THEN</v>
      </c>
      <c r="AH16" t="str">
        <f ca="1"/>
        <v xml:space="preserve">
	//供給確認動作
	ELSIF uiInfoIdx = 4 THEN
		IF strInfoKey = 'name' THEN
			strRt	:= '供給確認動作';
		ELSIF strInfoKey = 'index_name' THEN
			strRt	:= '【24】 供給確認動作';
		ELSIF strInfoKey = 'model' THEN
			strRt	:= 'unknown';</v>
      </c>
      <c r="AI16" t="str">
        <f ca="1"/>
        <v xml:space="preserve">
	//供給確認動作
	ELSIF uiInfoIdx = 4 THEN
		IF strInfoKey = 'name' THEN
			strRt	:= '供給確認動作';
		ELSIF strInfoKey = 'index_name' THEN
			strRt	:= '【24】 供給確認動作';
		ELSIF strInfoKey = 'model' THEN
			strRt	:= 'unknown';
		ELSIF strInfoKey = 'mf' THEN</v>
      </c>
      <c r="AJ16" t="str">
        <f ca="1"/>
        <v xml:space="preserve">
	//供給確認動作
	ELSIF uiInfoIdx = 4 THEN
		IF strInfoKey = 'name' THEN
			strRt	:= '供給確認動作';
		ELSIF strInfoKey = 'index_name' THEN
			strRt	:= '【24】 供給確認動作';
		ELSIF strInfoKey = 'model' THEN
			strRt	:= 'unknown';
		ELSIF strInfoKey = 'mf' THEN
			strRt	:= 'unknown';</v>
      </c>
      <c r="AK16" t="str">
        <f ca="1"/>
        <v xml:space="preserve">
	//供給確認動作
	ELSIF uiInfoIdx = 4 THEN
		IF strInfoKey = 'name' THEN
			strRt	:= '供給確認動作';
		ELSIF strInfoKey = 'index_name' THEN
			strRt	:= '【24】 供給確認動作';
		ELSIF strInfoKey = 'model' THEN
			strRt	:= 'unknown';
		ELSIF strInfoKey = 'mf' THEN
			strRt	:= 'unknown';
		ELSE
			uiErrCode	:= 3;
		END_IF;</v>
      </c>
      <c r="AL16" t="str">
        <f ca="1"/>
        <v xml:space="preserve">
	//供給確認動作
	ELSIF uiInfoIdx = 4 THEN
		IF strInfoKey = 'name' THEN
			strRt	:= '供給確認動作';
		ELSIF strInfoKey = 'index_name' THEN
			strRt	:= '【24】 供給確認動作';
		ELSIF strInfoKey = 'model' THEN
			strRt	:= 'unknown';
		ELSIF strInfoKey = 'mf' THEN
			strRt	:= 'unknown';
		ELSE
			uiErrCode	:= 3;
		END_IF;</v>
      </c>
      <c r="AM16" t="str">
        <f ca="1"/>
        <v xml:space="preserve">
	//供給確認動作
	ELSIF uiInfoIdx = 4 THEN
		IF strInfoKey = 'name' THEN
			strRt	:= '供給確認動作';
		ELSIF strInfoKey = 'index_name' THEN
			strRt	:= '【24】 供給確認動作';
		ELSIF strInfoKey = 'model' THEN
			strRt	:= 'unknown';
		ELSIF strInfoKey = 'mf' THEN
			strRt	:= 'unknown';
		ELSE
			uiErrCode	:= 3;
		END_IF;</v>
      </c>
    </row>
    <row r="17" spans="1:39" x14ac:dyDescent="0.55000000000000004">
      <c r="F17">
        <f t="shared" si="1"/>
        <v>2</v>
      </c>
      <c r="G17" t="str">
        <f t="shared" si="0"/>
        <v>2</v>
      </c>
      <c r="H17">
        <f>COUNTIF(G$3:G17,G17)</f>
        <v>5</v>
      </c>
      <c r="I17" t="str">
        <v/>
      </c>
      <c r="J17">
        <v>10</v>
      </c>
      <c r="K17" t="str">
        <f ca="1"/>
        <v>ひらき動作</v>
      </c>
      <c r="L17" t="str">
        <f ca="1"/>
        <v>ひらき動作</v>
      </c>
      <c r="N17" t="str">
        <f ca="1"/>
        <v>【25】 ひらき動作</v>
      </c>
      <c r="O17" t="str">
        <v/>
      </c>
      <c r="P17" t="str">
        <v>unknown</v>
      </c>
      <c r="Q17" t="str">
        <f ca="1"/>
        <v/>
      </c>
      <c r="R17" t="str">
        <f ca="1"/>
        <v>unknown</v>
      </c>
      <c r="Z17" t="str">
        <f ca="1"/>
        <v xml:space="preserve">
</v>
      </c>
      <c r="AA17" t="str">
        <f ca="1"/>
        <v xml:space="preserve">
</v>
      </c>
      <c r="AB17" t="str">
        <f ca="1"/>
        <v xml:space="preserve">
	//ひらき動作
	ELSIF uiInfoIdx = 5 THEN</v>
      </c>
      <c r="AC17" t="str">
        <f ca="1"/>
        <v xml:space="preserve">
	//ひらき動作
	ELSIF uiInfoIdx = 5 THEN
		IF strInfoKey = 'name' THEN</v>
      </c>
      <c r="AD17" t="str">
        <f ca="1"/>
        <v xml:space="preserve">
	//ひらき動作
	ELSIF uiInfoIdx = 5 THEN
		IF strInfoKey = 'name' THEN
			strRt	:= 'ひらき動作';</v>
      </c>
      <c r="AE17" t="str">
        <f ca="1"/>
        <v xml:space="preserve">
	//ひらき動作
	ELSIF uiInfoIdx = 5 THEN
		IF strInfoKey = 'name' THEN
			strRt	:= 'ひらき動作';
		ELSIF strInfoKey = 'index_name' THEN</v>
      </c>
      <c r="AF17" t="str">
        <f ca="1"/>
        <v xml:space="preserve">
	//ひらき動作
	ELSIF uiInfoIdx = 5 THEN
		IF strInfoKey = 'name' THEN
			strRt	:= 'ひらき動作';
		ELSIF strInfoKey = 'index_name' THEN
			strRt	:= '【25】 ひらき動作';</v>
      </c>
      <c r="AG17" t="str">
        <f ca="1"/>
        <v xml:space="preserve">
	//ひらき動作
	ELSIF uiInfoIdx = 5 THEN
		IF strInfoKey = 'name' THEN
			strRt	:= 'ひらき動作';
		ELSIF strInfoKey = 'index_name' THEN
			strRt	:= '【25】 ひらき動作';
		ELSIF strInfoKey = 'model' THEN</v>
      </c>
      <c r="AH17" t="str">
        <f ca="1"/>
        <v xml:space="preserve">
	//ひらき動作
	ELSIF uiInfoIdx = 5 THEN
		IF strInfoKey = 'name' THEN
			strRt	:= 'ひらき動作';
		ELSIF strInfoKey = 'index_name' THEN
			strRt	:= '【25】 ひらき動作';
		ELSIF strInfoKey = 'model' THEN
			strRt	:= 'unknown';</v>
      </c>
      <c r="AI17" t="str">
        <f ca="1"/>
        <v xml:space="preserve">
	//ひらき動作
	ELSIF uiInfoIdx = 5 THEN
		IF strInfoKey = 'name' THEN
			strRt	:= 'ひらき動作';
		ELSIF strInfoKey = 'index_name' THEN
			strRt	:= '【25】 ひらき動作';
		ELSIF strInfoKey = 'model' THEN
			strRt	:= 'unknown';
		ELSIF strInfoKey = 'mf' THEN</v>
      </c>
      <c r="AJ17" t="str">
        <f ca="1"/>
        <v xml:space="preserve">
	//ひらき動作
	ELSIF uiInfoIdx = 5 THEN
		IF strInfoKey = 'name' THEN
			strRt	:= 'ひらき動作';
		ELSIF strInfoKey = 'index_name' THEN
			strRt	:= '【25】 ひらき動作';
		ELSIF strInfoKey = 'model' THEN
			strRt	:= 'unknown';
		ELSIF strInfoKey = 'mf' THEN
			strRt	:= 'unknown';</v>
      </c>
      <c r="AK17" t="str">
        <f ca="1"/>
        <v xml:space="preserve">
	//ひらき動作
	ELSIF uiInfoIdx = 5 THEN
		IF strInfoKey = 'name' THEN
			strRt	:= 'ひらき動作';
		ELSIF strInfoKey = 'index_name' THEN
			strRt	:= '【25】 ひらき動作';
		ELSIF strInfoKey = 'model' THEN
			strRt	:= 'unknown';
		ELSIF strInfoKey = 'mf' THEN
			strRt	:= 'unknown';
		ELSE
			uiErrCode	:= 3;
		END_IF;</v>
      </c>
      <c r="AL17" t="str">
        <f ca="1"/>
        <v xml:space="preserve">
	//ひらき動作
	ELSIF uiInfoIdx = 5 THEN
		IF strInfoKey = 'name' THEN
			strRt	:= 'ひらき動作';
		ELSIF strInfoKey = 'index_name' THEN
			strRt	:= '【25】 ひらき動作';
		ELSIF strInfoKey = 'model' THEN
			strRt	:= 'unknown';
		ELSIF strInfoKey = 'mf' THEN
			strRt	:= 'unknown';
		ELSE
			uiErrCode	:= 3;
		END_IF;</v>
      </c>
      <c r="AM17" t="str">
        <f ca="1"/>
        <v xml:space="preserve">
	//ひらき動作
	ELSIF uiInfoIdx = 5 THEN
		IF strInfoKey = 'name' THEN
			strRt	:= 'ひらき動作';
		ELSIF strInfoKey = 'index_name' THEN
			strRt	:= '【25】 ひらき動作';
		ELSIF strInfoKey = 'model' THEN
			strRt	:= 'unknown';
		ELSIF strInfoKey = 'mf' THEN
			strRt	:= 'unknown';
		ELSE
			uiErrCode	:= 3;
		END_IF;</v>
      </c>
    </row>
    <row r="18" spans="1:39" x14ac:dyDescent="0.55000000000000004">
      <c r="F18">
        <f t="shared" si="1"/>
        <v>2</v>
      </c>
      <c r="G18" t="str">
        <f t="shared" ref="G18:G27" si="3">E18&amp;F18</f>
        <v>2</v>
      </c>
      <c r="H18">
        <f>COUNTIF(G$3:G18,G18)</f>
        <v>6</v>
      </c>
      <c r="I18" t="str">
        <v/>
      </c>
      <c r="J18">
        <v>11</v>
      </c>
      <c r="K18" t="str">
        <f ca="1"/>
        <v>供給開始動作</v>
      </c>
      <c r="L18" t="str">
        <f ca="1"/>
        <v>供給開始動作</v>
      </c>
      <c r="N18" t="str">
        <f ca="1"/>
        <v>【26】 供給開始動作</v>
      </c>
      <c r="O18" t="str">
        <v/>
      </c>
      <c r="P18" t="str">
        <v>unknown</v>
      </c>
      <c r="Q18" t="str">
        <f ca="1"/>
        <v/>
      </c>
      <c r="R18" t="str">
        <f ca="1"/>
        <v>unknown</v>
      </c>
      <c r="Z18" t="str">
        <f ca="1"/>
        <v xml:space="preserve">
</v>
      </c>
      <c r="AA18" t="str">
        <f ca="1"/>
        <v xml:space="preserve">
</v>
      </c>
      <c r="AB18" t="str">
        <f ca="1"/>
        <v xml:space="preserve">
	//供給開始動作
	ELSIF uiInfoIdx = 6 THEN</v>
      </c>
      <c r="AC18" t="str">
        <f ca="1"/>
        <v xml:space="preserve">
	//供給開始動作
	ELSIF uiInfoIdx = 6 THEN
		IF strInfoKey = 'name' THEN</v>
      </c>
      <c r="AD18" t="str">
        <f ca="1"/>
        <v xml:space="preserve">
	//供給開始動作
	ELSIF uiInfoIdx = 6 THEN
		IF strInfoKey = 'name' THEN
			strRt	:= '供給開始動作';</v>
      </c>
      <c r="AE18" t="str">
        <f ca="1"/>
        <v xml:space="preserve">
	//供給開始動作
	ELSIF uiInfoIdx = 6 THEN
		IF strInfoKey = 'name' THEN
			strRt	:= '供給開始動作';
		ELSIF strInfoKey = 'index_name' THEN</v>
      </c>
      <c r="AF18" t="str">
        <f ca="1"/>
        <v xml:space="preserve">
	//供給開始動作
	ELSIF uiInfoIdx = 6 THEN
		IF strInfoKey = 'name' THEN
			strRt	:= '供給開始動作';
		ELSIF strInfoKey = 'index_name' THEN
			strRt	:= '【26】 供給開始動作';</v>
      </c>
      <c r="AG18" t="str">
        <f ca="1"/>
        <v xml:space="preserve">
	//供給開始動作
	ELSIF uiInfoIdx = 6 THEN
		IF strInfoKey = 'name' THEN
			strRt	:= '供給開始動作';
		ELSIF strInfoKey = 'index_name' THEN
			strRt	:= '【26】 供給開始動作';
		ELSIF strInfoKey = 'model' THEN</v>
      </c>
      <c r="AH18" t="str">
        <f ca="1"/>
        <v xml:space="preserve">
	//供給開始動作
	ELSIF uiInfoIdx = 6 THEN
		IF strInfoKey = 'name' THEN
			strRt	:= '供給開始動作';
		ELSIF strInfoKey = 'index_name' THEN
			strRt	:= '【26】 供給開始動作';
		ELSIF strInfoKey = 'model' THEN
			strRt	:= 'unknown';</v>
      </c>
      <c r="AI18" t="str">
        <f ca="1"/>
        <v xml:space="preserve">
	//供給開始動作
	ELSIF uiInfoIdx = 6 THEN
		IF strInfoKey = 'name' THEN
			strRt	:= '供給開始動作';
		ELSIF strInfoKey = 'index_name' THEN
			strRt	:= '【26】 供給開始動作';
		ELSIF strInfoKey = 'model' THEN
			strRt	:= 'unknown';
		ELSIF strInfoKey = 'mf' THEN</v>
      </c>
      <c r="AJ18" t="str">
        <f ca="1"/>
        <v xml:space="preserve">
	//供給開始動作
	ELSIF uiInfoIdx = 6 THEN
		IF strInfoKey = 'name' THEN
			strRt	:= '供給開始動作';
		ELSIF strInfoKey = 'index_name' THEN
			strRt	:= '【26】 供給開始動作';
		ELSIF strInfoKey = 'model' THEN
			strRt	:= 'unknown';
		ELSIF strInfoKey = 'mf' THEN
			strRt	:= 'unknown';</v>
      </c>
      <c r="AK18" t="str">
        <f ca="1"/>
        <v xml:space="preserve">
	//供給開始動作
	ELSIF uiInfoIdx = 6 THEN
		IF strInfoKey = 'name' THEN
			strRt	:= '供給開始動作';
		ELSIF strInfoKey = 'index_name' THEN
			strRt	:= '【26】 供給開始動作';
		ELSIF strInfoKey = 'model' THEN
			strRt	:= 'unknown';
		ELSIF strInfoKey = 'mf' THEN
			strRt	:= 'unknown';
		ELSE
			uiErrCode	:= 3;
		END_IF;</v>
      </c>
      <c r="AL18" t="str">
        <f ca="1"/>
        <v xml:space="preserve">
	//供給開始動作
	ELSIF uiInfoIdx = 6 THEN
		IF strInfoKey = 'name' THEN
			strRt	:= '供給開始動作';
		ELSIF strInfoKey = 'index_name' THEN
			strRt	:= '【26】 供給開始動作';
		ELSIF strInfoKey = 'model' THEN
			strRt	:= 'unknown';
		ELSIF strInfoKey = 'mf' THEN
			strRt	:= 'unknown';
		ELSE
			uiErrCode	:= 3;
		END_IF;</v>
      </c>
      <c r="AM18" t="str">
        <f ca="1"/>
        <v xml:space="preserve">
	//供給開始動作
	ELSIF uiInfoIdx = 6 THEN
		IF strInfoKey = 'name' THEN
			strRt	:= '供給開始動作';
		ELSIF strInfoKey = 'index_name' THEN
			strRt	:= '【26】 供給開始動作';
		ELSIF strInfoKey = 'model' THEN
			strRt	:= 'unknown';
		ELSIF strInfoKey = 'mf' THEN
			strRt	:= 'unknown';
		ELSE
			uiErrCode	:= 3;
		END_IF;</v>
      </c>
    </row>
    <row r="19" spans="1:39" x14ac:dyDescent="0.55000000000000004">
      <c r="F19">
        <f t="shared" si="1"/>
        <v>2</v>
      </c>
      <c r="G19" t="str">
        <f t="shared" si="3"/>
        <v>2</v>
      </c>
      <c r="H19">
        <f>COUNTIF(G$3:G19,G19)</f>
        <v>7</v>
      </c>
      <c r="I19" t="str">
        <v/>
      </c>
      <c r="J19">
        <v>12</v>
      </c>
      <c r="K19" t="str">
        <f ca="1"/>
        <v>供給動作</v>
      </c>
      <c r="L19" t="str">
        <f ca="1"/>
        <v>供給動作</v>
      </c>
      <c r="N19" t="str">
        <f ca="1"/>
        <v>【27】 供給動作</v>
      </c>
      <c r="O19" t="str">
        <v/>
      </c>
      <c r="P19" t="str">
        <v>unknown</v>
      </c>
      <c r="Q19" t="str">
        <f ca="1"/>
        <v/>
      </c>
      <c r="R19" t="str">
        <f ca="1"/>
        <v>unknown</v>
      </c>
      <c r="Z19" t="str">
        <f ca="1"/>
        <v xml:space="preserve">
</v>
      </c>
      <c r="AA19" t="str">
        <f ca="1"/>
        <v xml:space="preserve">
</v>
      </c>
      <c r="AB19" t="str">
        <f ca="1"/>
        <v xml:space="preserve">
	//供給動作
	ELSIF uiInfoIdx = 7 THEN</v>
      </c>
      <c r="AC19" t="str">
        <f ca="1"/>
        <v xml:space="preserve">
	//供給動作
	ELSIF uiInfoIdx = 7 THEN
		IF strInfoKey = 'name' THEN</v>
      </c>
      <c r="AD19" t="str">
        <f ca="1"/>
        <v xml:space="preserve">
	//供給動作
	ELSIF uiInfoIdx = 7 THEN
		IF strInfoKey = 'name' THEN
			strRt	:= '供給動作';</v>
      </c>
      <c r="AE19" t="str">
        <f ca="1"/>
        <v xml:space="preserve">
	//供給動作
	ELSIF uiInfoIdx = 7 THEN
		IF strInfoKey = 'name' THEN
			strRt	:= '供給動作';
		ELSIF strInfoKey = 'index_name' THEN</v>
      </c>
      <c r="AF19" t="str">
        <f ca="1"/>
        <v xml:space="preserve">
	//供給動作
	ELSIF uiInfoIdx = 7 THEN
		IF strInfoKey = 'name' THEN
			strRt	:= '供給動作';
		ELSIF strInfoKey = 'index_name' THEN
			strRt	:= '【27】 供給動作';</v>
      </c>
      <c r="AG19" t="str">
        <f ca="1"/>
        <v xml:space="preserve">
	//供給動作
	ELSIF uiInfoIdx = 7 THEN
		IF strInfoKey = 'name' THEN
			strRt	:= '供給動作';
		ELSIF strInfoKey = 'index_name' THEN
			strRt	:= '【27】 供給動作';
		ELSIF strInfoKey = 'model' THEN</v>
      </c>
      <c r="AH19" t="str">
        <f ca="1"/>
        <v xml:space="preserve">
	//供給動作
	ELSIF uiInfoIdx = 7 THEN
		IF strInfoKey = 'name' THEN
			strRt	:= '供給動作';
		ELSIF strInfoKey = 'index_name' THEN
			strRt	:= '【27】 供給動作';
		ELSIF strInfoKey = 'model' THEN
			strRt	:= 'unknown';</v>
      </c>
      <c r="AI19" t="str">
        <f ca="1"/>
        <v xml:space="preserve">
	//供給動作
	ELSIF uiInfoIdx = 7 THEN
		IF strInfoKey = 'name' THEN
			strRt	:= '供給動作';
		ELSIF strInfoKey = 'index_name' THEN
			strRt	:= '【27】 供給動作';
		ELSIF strInfoKey = 'model' THEN
			strRt	:= 'unknown';
		ELSIF strInfoKey = 'mf' THEN</v>
      </c>
      <c r="AJ19" t="str">
        <f ca="1"/>
        <v xml:space="preserve">
	//供給動作
	ELSIF uiInfoIdx = 7 THEN
		IF strInfoKey = 'name' THEN
			strRt	:= '供給動作';
		ELSIF strInfoKey = 'index_name' THEN
			strRt	:= '【27】 供給動作';
		ELSIF strInfoKey = 'model' THEN
			strRt	:= 'unknown';
		ELSIF strInfoKey = 'mf' THEN
			strRt	:= 'unknown';</v>
      </c>
      <c r="AK19" t="str">
        <f ca="1"/>
        <v xml:space="preserve">
	//供給動作
	ELSIF uiInfoIdx = 7 THEN
		IF strInfoKey = 'name' THEN
			strRt	:= '供給動作';
		ELSIF strInfoKey = 'index_name' THEN
			strRt	:= '【27】 供給動作';
		ELSIF strInfoKey = 'model' THEN
			strRt	:= 'unknown';
		ELSIF strInfoKey = 'mf' THEN
			strRt	:= 'unknown';
		ELSE
			uiErrCode	:= 3;
		END_IF;</v>
      </c>
      <c r="AL19" t="str">
        <f ca="1"/>
        <v xml:space="preserve">
	//供給動作
	ELSIF uiInfoIdx = 7 THEN
		IF strInfoKey = 'name' THEN
			strRt	:= '供給動作';
		ELSIF strInfoKey = 'index_name' THEN
			strRt	:= '【27】 供給動作';
		ELSIF strInfoKey = 'model' THEN
			strRt	:= 'unknown';
		ELSIF strInfoKey = 'mf' THEN
			strRt	:= 'unknown';
		ELSE
			uiErrCode	:= 3;
		END_IF;</v>
      </c>
      <c r="AM19" t="str">
        <f ca="1"/>
        <v xml:space="preserve">
	//供給動作
	ELSIF uiInfoIdx = 7 THEN
		IF strInfoKey = 'name' THEN
			strRt	:= '供給動作';
		ELSIF strInfoKey = 'index_name' THEN
			strRt	:= '【27】 供給動作';
		ELSIF strInfoKey = 'model' THEN
			strRt	:= 'unknown';
		ELSIF strInfoKey = 'mf' THEN
			strRt	:= 'unknown';
		ELSE
			uiErrCode	:= 3;
		END_IF;</v>
      </c>
    </row>
    <row r="20" spans="1:39" x14ac:dyDescent="0.55000000000000004">
      <c r="F20">
        <f t="shared" si="1"/>
        <v>2</v>
      </c>
      <c r="G20" t="str">
        <f t="shared" si="3"/>
        <v>2</v>
      </c>
      <c r="H20">
        <f>COUNTIF(G$3:G20,G20)</f>
        <v>8</v>
      </c>
      <c r="I20" t="str">
        <v/>
      </c>
      <c r="J20" t="str">
        <v/>
      </c>
      <c r="K20" t="str">
        <f ca="1"/>
        <v/>
      </c>
      <c r="L20" t="str">
        <f ca="1"/>
        <v/>
      </c>
      <c r="N20" t="str">
        <f ca="1"/>
        <v/>
      </c>
      <c r="O20" t="str">
        <v/>
      </c>
      <c r="P20" t="str">
        <v/>
      </c>
      <c r="Q20" t="str">
        <f ca="1"/>
        <v/>
      </c>
      <c r="R20" t="str">
        <f ca="1"/>
        <v/>
      </c>
      <c r="Z20" t="str">
        <f ca="1"/>
        <v/>
      </c>
      <c r="AA20" t="str">
        <f ca="1"/>
        <v/>
      </c>
      <c r="AB20" t="str">
        <f ca="1"/>
        <v/>
      </c>
      <c r="AC20" t="str">
        <f ca="1"/>
        <v/>
      </c>
      <c r="AD20" t="str">
        <f ca="1"/>
        <v/>
      </c>
      <c r="AE20" t="str">
        <f ca="1"/>
        <v/>
      </c>
      <c r="AF20" t="str">
        <f ca="1"/>
        <v/>
      </c>
      <c r="AG20" t="str">
        <f ca="1"/>
        <v/>
      </c>
      <c r="AH20" t="str">
        <f ca="1"/>
        <v/>
      </c>
      <c r="AI20" t="str">
        <f ca="1"/>
        <v/>
      </c>
      <c r="AJ20" t="str">
        <f ca="1"/>
        <v/>
      </c>
      <c r="AK20" t="str">
        <f ca="1"/>
        <v/>
      </c>
      <c r="AL20" t="str">
        <f ca="1"/>
        <v/>
      </c>
      <c r="AM20" t="str">
        <f ca="1"/>
        <v/>
      </c>
    </row>
    <row r="21" spans="1:39" x14ac:dyDescent="0.55000000000000004">
      <c r="F21">
        <f t="shared" si="1"/>
        <v>2</v>
      </c>
      <c r="G21" t="str">
        <f t="shared" si="3"/>
        <v>2</v>
      </c>
      <c r="H21">
        <f>COUNTIF(G$3:G21,G21)</f>
        <v>9</v>
      </c>
      <c r="I21" t="str">
        <v/>
      </c>
      <c r="J21" t="str">
        <v/>
      </c>
      <c r="K21" t="str">
        <f ca="1"/>
        <v/>
      </c>
      <c r="L21" t="str">
        <f ca="1"/>
        <v/>
      </c>
      <c r="N21" t="str">
        <f ca="1"/>
        <v/>
      </c>
      <c r="O21" t="str">
        <v/>
      </c>
      <c r="P21" t="str">
        <v/>
      </c>
      <c r="Q21" t="str">
        <f ca="1"/>
        <v/>
      </c>
      <c r="R21" t="str">
        <f ca="1"/>
        <v/>
      </c>
      <c r="Z21" t="str">
        <f ca="1"/>
        <v/>
      </c>
      <c r="AA21" t="str">
        <f ca="1"/>
        <v/>
      </c>
      <c r="AB21" t="str">
        <f ca="1"/>
        <v/>
      </c>
      <c r="AC21" t="str">
        <f ca="1"/>
        <v/>
      </c>
      <c r="AD21" t="str">
        <f ca="1"/>
        <v/>
      </c>
      <c r="AE21" t="str">
        <f ca="1"/>
        <v/>
      </c>
      <c r="AF21" t="str">
        <f ca="1"/>
        <v/>
      </c>
      <c r="AG21" t="str">
        <f ca="1"/>
        <v/>
      </c>
      <c r="AH21" t="str">
        <f ca="1"/>
        <v/>
      </c>
      <c r="AI21" t="str">
        <f ca="1"/>
        <v/>
      </c>
      <c r="AJ21" t="str">
        <f ca="1"/>
        <v/>
      </c>
      <c r="AK21" t="str">
        <f ca="1"/>
        <v/>
      </c>
      <c r="AL21" t="str">
        <f ca="1"/>
        <v/>
      </c>
      <c r="AM21" t="str">
        <f ca="1"/>
        <v/>
      </c>
    </row>
    <row r="22" spans="1:39" x14ac:dyDescent="0.55000000000000004">
      <c r="F22">
        <f t="shared" si="1"/>
        <v>2</v>
      </c>
      <c r="G22" t="str">
        <f t="shared" si="3"/>
        <v>2</v>
      </c>
      <c r="H22">
        <f>COUNTIF(G$3:G22,G22)</f>
        <v>10</v>
      </c>
      <c r="I22" t="str">
        <v>●</v>
      </c>
      <c r="J22" t="str">
        <v/>
      </c>
      <c r="K22" t="str">
        <f ca="1"/>
        <v/>
      </c>
      <c r="L22" t="str">
        <f ca="1"/>
        <v/>
      </c>
      <c r="N22" t="str">
        <f ca="1"/>
        <v/>
      </c>
      <c r="O22" t="str">
        <v/>
      </c>
      <c r="P22" t="str">
        <v/>
      </c>
      <c r="Q22" t="str">
        <f ca="1"/>
        <v/>
      </c>
      <c r="R22" t="str">
        <f ca="1"/>
        <v/>
      </c>
      <c r="Z22" t="str">
        <f ca="1"/>
        <v/>
      </c>
      <c r="AA22" t="str">
        <f ca="1"/>
        <v/>
      </c>
      <c r="AB22" t="str">
        <f ca="1"/>
        <v/>
      </c>
      <c r="AC22" t="str">
        <f ca="1"/>
        <v/>
      </c>
      <c r="AD22" t="str">
        <f ca="1"/>
        <v/>
      </c>
      <c r="AE22" t="str">
        <f ca="1"/>
        <v/>
      </c>
      <c r="AF22" t="str">
        <f ca="1"/>
        <v/>
      </c>
      <c r="AG22" t="str">
        <f ca="1"/>
        <v/>
      </c>
      <c r="AH22" t="str">
        <f ca="1"/>
        <v/>
      </c>
      <c r="AI22" t="str">
        <f ca="1"/>
        <v/>
      </c>
      <c r="AJ22" t="str">
        <f ca="1"/>
        <v/>
      </c>
      <c r="AK22" t="str">
        <f ca="1"/>
        <v/>
      </c>
      <c r="AL22" t="str">
        <f ca="1"/>
        <v xml:space="preserve">
	ELSE
		uiErrCode	:= 2;
	END_IF;</v>
      </c>
      <c r="AM22" t="str">
        <f ca="1"/>
        <v xml:space="preserve">
	ELSE
		uiErrCode	:= 2;
	END_IF;</v>
      </c>
    </row>
    <row r="23" spans="1:39" x14ac:dyDescent="0.55000000000000004">
      <c r="A23" t="s">
        <v>41</v>
      </c>
      <c r="B23">
        <v>0</v>
      </c>
      <c r="F23">
        <f>F13+1</f>
        <v>3</v>
      </c>
      <c r="G23" t="str">
        <f t="shared" si="3"/>
        <v>3</v>
      </c>
      <c r="H23">
        <f>COUNTIF(G$3:G23,G23)</f>
        <v>1</v>
      </c>
      <c r="I23" t="str">
        <v/>
      </c>
      <c r="J23">
        <v>13</v>
      </c>
      <c r="K23" t="str">
        <f ca="1"/>
        <v>原点復帰動作</v>
      </c>
      <c r="L23" t="str">
        <f ca="1"/>
        <v>原点復帰動作</v>
      </c>
      <c r="N23" t="str">
        <f ca="1"/>
        <v>【31】 原点復帰動作</v>
      </c>
      <c r="O23" t="str">
        <v/>
      </c>
      <c r="P23" t="str">
        <v>unknown</v>
      </c>
      <c r="Q23" t="str">
        <f ca="1"/>
        <v/>
      </c>
      <c r="R23" t="str">
        <f ca="1"/>
        <v>unknown</v>
      </c>
      <c r="Z23" t="str">
        <f ca="1"/>
        <v xml:space="preserve">
//3</v>
      </c>
      <c r="AA23" t="str">
        <f ca="1"/>
        <v xml:space="preserve">
//3
ELSIF strInfoType = 3 THEN</v>
      </c>
      <c r="AB23" t="str">
        <f ca="1"/>
        <v xml:space="preserve">
//3
ELSIF strInfoType = 3 THEN
	//原点復帰動作
	IF uiInfoIdx = 1 THEN</v>
      </c>
      <c r="AC23" t="str">
        <f ca="1"/>
        <v xml:space="preserve">
//3
ELSIF strInfoType = 3 THEN
	//原点復帰動作
	IF uiInfoIdx = 1 THEN
		IF strInfoKey = 'name' THEN</v>
      </c>
      <c r="AD23" t="str">
        <f ca="1"/>
        <v xml:space="preserve">
//3
ELSIF strInfoType = 3 THEN
	//原点復帰動作
	IF uiInfoIdx = 1 THEN
		IF strInfoKey = 'name' THEN
			strRt	:= '原点復帰動作';</v>
      </c>
      <c r="AE23" t="str">
        <f ca="1"/>
        <v xml:space="preserve">
//3
ELSIF strInfoType = 3 THEN
	//原点復帰動作
	IF uiInfoIdx = 1 THEN
		IF strInfoKey = 'name' THEN
			strRt	:= '原点復帰動作';
		ELSIF strInfoKey = 'index_name' THEN</v>
      </c>
      <c r="AF23" t="str">
        <f ca="1"/>
        <v xml:space="preserve">
//3
ELSIF strInfoType = 3 THEN
	//原点復帰動作
	IF uiInfoIdx = 1 THEN
		IF strInfoKey = 'name' THEN
			strRt	:= '原点復帰動作';
		ELSIF strInfoKey = 'index_name' THEN
			strRt	:= '【31】 原点復帰動作';</v>
      </c>
      <c r="AG23" t="str">
        <f ca="1"/>
        <v xml:space="preserve">
//3
ELSIF strInfoType = 3 THEN
	//原点復帰動作
	IF uiInfoIdx = 1 THEN
		IF strInfoKey = 'name' THEN
			strRt	:= '原点復帰動作';
		ELSIF strInfoKey = 'index_name' THEN
			strRt	:= '【31】 原点復帰動作';
		ELSIF strInfoKey = 'model' THEN</v>
      </c>
      <c r="AH23" t="str">
        <f ca="1"/>
        <v xml:space="preserve">
//3
ELSIF strInfoType = 3 THEN
	//原点復帰動作
	IF uiInfoIdx = 1 THEN
		IF strInfoKey = 'name' THEN
			strRt	:= '原点復帰動作';
		ELSIF strInfoKey = 'index_name' THEN
			strRt	:= '【31】 原点復帰動作';
		ELSIF strInfoKey = 'model' THEN
			strRt	:= 'unknown';</v>
      </c>
      <c r="AI23" t="str">
        <f ca="1"/>
        <v xml:space="preserve">
//3
ELSIF strInfoType = 3 THEN
	//原点復帰動作
	IF uiInfoIdx = 1 THEN
		IF strInfoKey = 'name' THEN
			strRt	:= '原点復帰動作';
		ELSIF strInfoKey = 'index_name' THEN
			strRt	:= '【31】 原点復帰動作';
		ELSIF strInfoKey = 'model' THEN
			strRt	:= 'unknown';
		ELSIF strInfoKey = 'mf' THEN</v>
      </c>
      <c r="AJ23" t="str">
        <f ca="1"/>
        <v xml:space="preserve">
//3
ELSIF strInfoType = 3 THEN
	//原点復帰動作
	IF uiInfoIdx = 1 THEN
		IF strInfoKey = 'name' THEN
			strRt	:= '原点復帰動作';
		ELSIF strInfoKey = 'index_name' THEN
			strRt	:= '【31】 原点復帰動作';
		ELSIF strInfoKey = 'model' THEN
			strRt	:= 'unknown';
		ELSIF strInfoKey = 'mf' THEN
			strRt	:= 'unknown';</v>
      </c>
      <c r="AK23" t="str">
        <f ca="1"/>
        <v xml:space="preserve">
//3
ELSIF strInfoType = 3 THEN
	//原点復帰動作
	IF uiInfoIdx = 1 THEN
		IF strInfoKey = 'name' THEN
			strRt	:= '原点復帰動作';
		ELSIF strInfoKey = 'index_name' THEN
			strRt	:= '【31】 原点復帰動作';
		ELSIF strInfoKey = 'model' THEN
			strRt	:= 'unknown';
		ELSIF strInfoKey = 'mf' THEN
			strRt	:= 'unknown';
		ELSE
			uiErrCode	:= 3;
		END_IF;</v>
      </c>
      <c r="AL23" t="str">
        <f ca="1"/>
        <v xml:space="preserve">
//3
ELSIF strInfoType = 3 THEN
	//原点復帰動作
	IF uiInfoIdx = 1 THEN
		IF strInfoKey = 'name' THEN
			strRt	:= '原点復帰動作';
		ELSIF strInfoKey = 'index_name' THEN
			strRt	:= '【31】 原点復帰動作';
		ELSIF strInfoKey = 'model' THEN
			strRt	:= 'unknown';
		ELSIF strInfoKey = 'mf' THEN
			strRt	:= 'unknown';
		ELSE
			uiErrCode	:= 3;
		END_IF;</v>
      </c>
      <c r="AM23" t="str">
        <f ca="1"/>
        <v xml:space="preserve">
//3
ELSIF strInfoType = 3 THEN
	//原点復帰動作
	IF uiInfoIdx = 1 THEN
		IF strInfoKey = 'name' THEN
			strRt	:= '原点復帰動作';
		ELSIF strInfoKey = 'index_name' THEN
			strRt	:= '【31】 原点復帰動作';
		ELSIF strInfoKey = 'model' THEN
			strRt	:= 'unknown';
		ELSIF strInfoKey = 'mf' THEN
			strRt	:= 'unknown';
		ELSE
			uiErrCode	:= 3;
		END_IF;</v>
      </c>
    </row>
    <row r="24" spans="1:39" x14ac:dyDescent="0.55000000000000004">
      <c r="F24">
        <f t="shared" si="1"/>
        <v>3</v>
      </c>
      <c r="G24" t="str">
        <f t="shared" si="3"/>
        <v>3</v>
      </c>
      <c r="H24">
        <f>COUNTIF(G$3:G24,G24)</f>
        <v>2</v>
      </c>
      <c r="I24" t="str">
        <v/>
      </c>
      <c r="J24">
        <v>14</v>
      </c>
      <c r="K24" t="str">
        <f ca="1"/>
        <v>供給準備動作</v>
      </c>
      <c r="L24" t="str">
        <f ca="1"/>
        <v>供給準備動作</v>
      </c>
      <c r="N24" t="str">
        <f ca="1"/>
        <v>【32】 供給準備動作</v>
      </c>
      <c r="O24" t="str">
        <v/>
      </c>
      <c r="P24" t="str">
        <v>unknown</v>
      </c>
      <c r="Q24" t="str">
        <f ca="1"/>
        <v/>
      </c>
      <c r="R24" t="str">
        <f ca="1"/>
        <v>unknown</v>
      </c>
      <c r="Z24" t="str">
        <f ca="1"/>
        <v xml:space="preserve">
</v>
      </c>
      <c r="AA24" t="str">
        <f ca="1"/>
        <v xml:space="preserve">
</v>
      </c>
      <c r="AB24" t="str">
        <f ca="1"/>
        <v xml:space="preserve">
	//供給準備動作
	ELSIF uiInfoIdx = 2 THEN</v>
      </c>
      <c r="AC24" t="str">
        <f ca="1"/>
        <v xml:space="preserve">
	//供給準備動作
	ELSIF uiInfoIdx = 2 THEN
		IF strInfoKey = 'name' THEN</v>
      </c>
      <c r="AD24" t="str">
        <f ca="1"/>
        <v xml:space="preserve">
	//供給準備動作
	ELSIF uiInfoIdx = 2 THEN
		IF strInfoKey = 'name' THEN
			strRt	:= '供給準備動作';</v>
      </c>
      <c r="AE24" t="str">
        <f ca="1"/>
        <v xml:space="preserve">
	//供給準備動作
	ELSIF uiInfoIdx = 2 THEN
		IF strInfoKey = 'name' THEN
			strRt	:= '供給準備動作';
		ELSIF strInfoKey = 'index_name' THEN</v>
      </c>
      <c r="AF24" t="str">
        <f ca="1"/>
        <v xml:space="preserve">
	//供給準備動作
	ELSIF uiInfoIdx = 2 THEN
		IF strInfoKey = 'name' THEN
			strRt	:= '供給準備動作';
		ELSIF strInfoKey = 'index_name' THEN
			strRt	:= '【32】 供給準備動作';</v>
      </c>
      <c r="AG24" t="str">
        <f ca="1"/>
        <v xml:space="preserve">
	//供給準備動作
	ELSIF uiInfoIdx = 2 THEN
		IF strInfoKey = 'name' THEN
			strRt	:= '供給準備動作';
		ELSIF strInfoKey = 'index_name' THEN
			strRt	:= '【32】 供給準備動作';
		ELSIF strInfoKey = 'model' THEN</v>
      </c>
      <c r="AH24" t="str">
        <f ca="1"/>
        <v xml:space="preserve">
	//供給準備動作
	ELSIF uiInfoIdx = 2 THEN
		IF strInfoKey = 'name' THEN
			strRt	:= '供給準備動作';
		ELSIF strInfoKey = 'index_name' THEN
			strRt	:= '【32】 供給準備動作';
		ELSIF strInfoKey = 'model' THEN
			strRt	:= 'unknown';</v>
      </c>
      <c r="AI24" t="str">
        <f ca="1"/>
        <v xml:space="preserve">
	//供給準備動作
	ELSIF uiInfoIdx = 2 THEN
		IF strInfoKey = 'name' THEN
			strRt	:= '供給準備動作';
		ELSIF strInfoKey = 'index_name' THEN
			strRt	:= '【32】 供給準備動作';
		ELSIF strInfoKey = 'model' THEN
			strRt	:= 'unknown';
		ELSIF strInfoKey = 'mf' THEN</v>
      </c>
      <c r="AJ24" t="str">
        <f ca="1"/>
        <v xml:space="preserve">
	//供給準備動作
	ELSIF uiInfoIdx = 2 THEN
		IF strInfoKey = 'name' THEN
			strRt	:= '供給準備動作';
		ELSIF strInfoKey = 'index_name' THEN
			strRt	:= '【32】 供給準備動作';
		ELSIF strInfoKey = 'model' THEN
			strRt	:= 'unknown';
		ELSIF strInfoKey = 'mf' THEN
			strRt	:= 'unknown';</v>
      </c>
      <c r="AK24" t="str">
        <f ca="1"/>
        <v xml:space="preserve">
	//供給準備動作
	ELSIF uiInfoIdx = 2 THEN
		IF strInfoKey = 'name' THEN
			strRt	:= '供給準備動作';
		ELSIF strInfoKey = 'index_name' THEN
			strRt	:= '【32】 供給準備動作';
		ELSIF strInfoKey = 'model' THEN
			strRt	:= 'unknown';
		ELSIF strInfoKey = 'mf' THEN
			strRt	:= 'unknown';
		ELSE
			uiErrCode	:= 3;
		END_IF;</v>
      </c>
      <c r="AL24" t="str">
        <f ca="1"/>
        <v xml:space="preserve">
	//供給準備動作
	ELSIF uiInfoIdx = 2 THEN
		IF strInfoKey = 'name' THEN
			strRt	:= '供給準備動作';
		ELSIF strInfoKey = 'index_name' THEN
			strRt	:= '【32】 供給準備動作';
		ELSIF strInfoKey = 'model' THEN
			strRt	:= 'unknown';
		ELSIF strInfoKey = 'mf' THEN
			strRt	:= 'unknown';
		ELSE
			uiErrCode	:= 3;
		END_IF;</v>
      </c>
      <c r="AM24" t="str">
        <f ca="1"/>
        <v xml:space="preserve">
	//供給準備動作
	ELSIF uiInfoIdx = 2 THEN
		IF strInfoKey = 'name' THEN
			strRt	:= '供給準備動作';
		ELSIF strInfoKey = 'index_name' THEN
			strRt	:= '【32】 供給準備動作';
		ELSIF strInfoKey = 'model' THEN
			strRt	:= 'unknown';
		ELSIF strInfoKey = 'mf' THEN
			strRt	:= 'unknown';
		ELSE
			uiErrCode	:= 3;
		END_IF;</v>
      </c>
    </row>
    <row r="25" spans="1:39" x14ac:dyDescent="0.55000000000000004">
      <c r="A25" t="s">
        <v>33</v>
      </c>
      <c r="B25" t="s">
        <v>62</v>
      </c>
      <c r="F25">
        <f t="shared" si="1"/>
        <v>3</v>
      </c>
      <c r="G25" t="str">
        <f t="shared" si="3"/>
        <v>3</v>
      </c>
      <c r="H25">
        <f>COUNTIF(G$3:G25,G25)</f>
        <v>3</v>
      </c>
      <c r="I25" t="str">
        <v/>
      </c>
      <c r="J25">
        <v>15</v>
      </c>
      <c r="K25" t="str">
        <f ca="1"/>
        <v>供給動作</v>
      </c>
      <c r="L25" t="str">
        <f ca="1"/>
        <v>供給動作</v>
      </c>
      <c r="N25" t="str">
        <f ca="1"/>
        <v>【33】 供給動作</v>
      </c>
      <c r="O25" t="str">
        <v/>
      </c>
      <c r="P25" t="str">
        <v>unknown</v>
      </c>
      <c r="Q25" t="str">
        <f ca="1"/>
        <v/>
      </c>
      <c r="R25" t="str">
        <f ca="1"/>
        <v>unknown</v>
      </c>
      <c r="Z25" t="str">
        <f ca="1"/>
        <v xml:space="preserve">
</v>
      </c>
      <c r="AA25" t="str">
        <f ca="1"/>
        <v xml:space="preserve">
</v>
      </c>
      <c r="AB25" t="str">
        <f ca="1"/>
        <v xml:space="preserve">
	//供給動作
	ELSIF uiInfoIdx = 3 THEN</v>
      </c>
      <c r="AC25" t="str">
        <f ca="1"/>
        <v xml:space="preserve">
	//供給動作
	ELSIF uiInfoIdx = 3 THEN
		IF strInfoKey = 'name' THEN</v>
      </c>
      <c r="AD25" t="str">
        <f ca="1"/>
        <v xml:space="preserve">
	//供給動作
	ELSIF uiInfoIdx = 3 THEN
		IF strInfoKey = 'name' THEN
			strRt	:= '供給動作';</v>
      </c>
      <c r="AE25" t="str">
        <f ca="1"/>
        <v xml:space="preserve">
	//供給動作
	ELSIF uiInfoIdx = 3 THEN
		IF strInfoKey = 'name' THEN
			strRt	:= '供給動作';
		ELSIF strInfoKey = 'index_name' THEN</v>
      </c>
      <c r="AF25" t="str">
        <f ca="1"/>
        <v xml:space="preserve">
	//供給動作
	ELSIF uiInfoIdx = 3 THEN
		IF strInfoKey = 'name' THEN
			strRt	:= '供給動作';
		ELSIF strInfoKey = 'index_name' THEN
			strRt	:= '【33】 供給動作';</v>
      </c>
      <c r="AG25" t="str">
        <f ca="1"/>
        <v xml:space="preserve">
	//供給動作
	ELSIF uiInfoIdx = 3 THEN
		IF strInfoKey = 'name' THEN
			strRt	:= '供給動作';
		ELSIF strInfoKey = 'index_name' THEN
			strRt	:= '【33】 供給動作';
		ELSIF strInfoKey = 'model' THEN</v>
      </c>
      <c r="AH25" t="str">
        <f ca="1"/>
        <v xml:space="preserve">
	//供給動作
	ELSIF uiInfoIdx = 3 THEN
		IF strInfoKey = 'name' THEN
			strRt	:= '供給動作';
		ELSIF strInfoKey = 'index_name' THEN
			strRt	:= '【33】 供給動作';
		ELSIF strInfoKey = 'model' THEN
			strRt	:= 'unknown';</v>
      </c>
      <c r="AI25" t="str">
        <f ca="1"/>
        <v xml:space="preserve">
	//供給動作
	ELSIF uiInfoIdx = 3 THEN
		IF strInfoKey = 'name' THEN
			strRt	:= '供給動作';
		ELSIF strInfoKey = 'index_name' THEN
			strRt	:= '【33】 供給動作';
		ELSIF strInfoKey = 'model' THEN
			strRt	:= 'unknown';
		ELSIF strInfoKey = 'mf' THEN</v>
      </c>
      <c r="AJ25" t="str">
        <f ca="1"/>
        <v xml:space="preserve">
	//供給動作
	ELSIF uiInfoIdx = 3 THEN
		IF strInfoKey = 'name' THEN
			strRt	:= '供給動作';
		ELSIF strInfoKey = 'index_name' THEN
			strRt	:= '【33】 供給動作';
		ELSIF strInfoKey = 'model' THEN
			strRt	:= 'unknown';
		ELSIF strInfoKey = 'mf' THEN
			strRt	:= 'unknown';</v>
      </c>
      <c r="AK25" t="str">
        <f ca="1"/>
        <v xml:space="preserve">
	//供給動作
	ELSIF uiInfoIdx = 3 THEN
		IF strInfoKey = 'name' THEN
			strRt	:= '供給動作';
		ELSIF strInfoKey = 'index_name' THEN
			strRt	:= '【33】 供給動作';
		ELSIF strInfoKey = 'model' THEN
			strRt	:= 'unknown';
		ELSIF strInfoKey = 'mf' THEN
			strRt	:= 'unknown';
		ELSE
			uiErrCode	:= 3;
		END_IF;</v>
      </c>
      <c r="AL25" t="str">
        <f ca="1"/>
        <v xml:space="preserve">
	//供給動作
	ELSIF uiInfoIdx = 3 THEN
		IF strInfoKey = 'name' THEN
			strRt	:= '供給動作';
		ELSIF strInfoKey = 'index_name' THEN
			strRt	:= '【33】 供給動作';
		ELSIF strInfoKey = 'model' THEN
			strRt	:= 'unknown';
		ELSIF strInfoKey = 'mf' THEN
			strRt	:= 'unknown';
		ELSE
			uiErrCode	:= 3;
		END_IF;</v>
      </c>
      <c r="AM25" t="str">
        <f ca="1"/>
        <v xml:space="preserve">
	//供給動作
	ELSIF uiInfoIdx = 3 THEN
		IF strInfoKey = 'name' THEN
			strRt	:= '供給動作';
		ELSIF strInfoKey = 'index_name' THEN
			strRt	:= '【33】 供給動作';
		ELSIF strInfoKey = 'model' THEN
			strRt	:= 'unknown';
		ELSIF strInfoKey = 'mf' THEN
			strRt	:= 'unknown';
		ELSE
			uiErrCode	:= 3;
		END_IF;</v>
      </c>
    </row>
    <row r="26" spans="1:39" x14ac:dyDescent="0.55000000000000004">
      <c r="A26" t="s">
        <v>29</v>
      </c>
      <c r="B26" t="s">
        <v>63</v>
      </c>
      <c r="F26">
        <f t="shared" si="1"/>
        <v>3</v>
      </c>
      <c r="G26" t="str">
        <f t="shared" si="3"/>
        <v>3</v>
      </c>
      <c r="H26">
        <f>COUNTIF(G$3:G26,G26)</f>
        <v>4</v>
      </c>
      <c r="I26" t="str">
        <v/>
      </c>
      <c r="J26" t="str">
        <v/>
      </c>
      <c r="K26" t="str">
        <f ca="1"/>
        <v/>
      </c>
      <c r="L26" t="str">
        <f ca="1"/>
        <v/>
      </c>
      <c r="N26" t="str">
        <f ca="1"/>
        <v/>
      </c>
      <c r="O26" t="str">
        <v/>
      </c>
      <c r="P26" t="str">
        <v/>
      </c>
      <c r="Q26" t="str">
        <f ca="1"/>
        <v/>
      </c>
      <c r="R26" t="str">
        <f ca="1"/>
        <v/>
      </c>
      <c r="Z26" t="str">
        <f ca="1"/>
        <v/>
      </c>
      <c r="AA26" t="str">
        <f ca="1"/>
        <v/>
      </c>
      <c r="AB26" t="str">
        <f ca="1"/>
        <v/>
      </c>
      <c r="AC26" t="str">
        <f ca="1"/>
        <v/>
      </c>
      <c r="AD26" t="str">
        <f ca="1"/>
        <v/>
      </c>
      <c r="AE26" t="str">
        <f ca="1"/>
        <v/>
      </c>
      <c r="AF26" t="str">
        <f ca="1"/>
        <v/>
      </c>
      <c r="AG26" t="str">
        <f ca="1"/>
        <v/>
      </c>
      <c r="AH26" t="str">
        <f ca="1"/>
        <v/>
      </c>
      <c r="AI26" t="str">
        <f ca="1"/>
        <v/>
      </c>
      <c r="AJ26" t="str">
        <f ca="1"/>
        <v/>
      </c>
      <c r="AK26" t="str">
        <f ca="1"/>
        <v/>
      </c>
      <c r="AL26" t="str">
        <f ca="1"/>
        <v/>
      </c>
      <c r="AM26" t="str">
        <f ca="1"/>
        <v/>
      </c>
    </row>
    <row r="27" spans="1:39" x14ac:dyDescent="0.55000000000000004">
      <c r="A27" t="s">
        <v>30</v>
      </c>
      <c r="B27" t="s">
        <v>64</v>
      </c>
      <c r="F27">
        <f t="shared" si="1"/>
        <v>3</v>
      </c>
      <c r="G27" t="str">
        <f t="shared" si="3"/>
        <v>3</v>
      </c>
      <c r="H27">
        <f>COUNTIF(G$3:G27,G27)</f>
        <v>5</v>
      </c>
      <c r="I27" t="str">
        <v/>
      </c>
      <c r="J27" t="str">
        <v/>
      </c>
      <c r="K27" t="str">
        <f ca="1"/>
        <v/>
      </c>
      <c r="L27" t="str">
        <f ca="1"/>
        <v/>
      </c>
      <c r="N27" t="str">
        <f ca="1"/>
        <v/>
      </c>
      <c r="O27" t="str">
        <v/>
      </c>
      <c r="P27" t="str">
        <v/>
      </c>
      <c r="Q27" t="str">
        <f ca="1"/>
        <v/>
      </c>
      <c r="R27" t="str">
        <f ca="1"/>
        <v/>
      </c>
      <c r="Z27" t="str">
        <f ca="1"/>
        <v/>
      </c>
      <c r="AA27" t="str">
        <f ca="1"/>
        <v/>
      </c>
      <c r="AB27" t="str">
        <f ca="1"/>
        <v/>
      </c>
      <c r="AC27" t="str">
        <f ca="1"/>
        <v/>
      </c>
      <c r="AD27" t="str">
        <f ca="1"/>
        <v/>
      </c>
      <c r="AE27" t="str">
        <f ca="1"/>
        <v/>
      </c>
      <c r="AF27" t="str">
        <f ca="1"/>
        <v/>
      </c>
      <c r="AG27" t="str">
        <f ca="1"/>
        <v/>
      </c>
      <c r="AH27" t="str">
        <f ca="1"/>
        <v/>
      </c>
      <c r="AI27" t="str">
        <f ca="1"/>
        <v/>
      </c>
      <c r="AJ27" t="str">
        <f ca="1"/>
        <v/>
      </c>
      <c r="AK27" t="str">
        <f ca="1"/>
        <v/>
      </c>
      <c r="AL27" t="str">
        <f ca="1"/>
        <v/>
      </c>
      <c r="AM27" t="str">
        <f ca="1"/>
        <v/>
      </c>
    </row>
    <row r="28" spans="1:39" x14ac:dyDescent="0.55000000000000004">
      <c r="A28" t="s">
        <v>28</v>
      </c>
      <c r="B28" t="s">
        <v>67</v>
      </c>
      <c r="F28">
        <f t="shared" si="1"/>
        <v>3</v>
      </c>
      <c r="G28" t="str">
        <f t="shared" ref="G28:G62" si="4">E28&amp;F28</f>
        <v>3</v>
      </c>
      <c r="H28">
        <f>COUNTIF(G$3:G28,G28)</f>
        <v>6</v>
      </c>
      <c r="I28" t="str">
        <v/>
      </c>
      <c r="J28" t="str">
        <v/>
      </c>
      <c r="K28" t="str">
        <f ca="1"/>
        <v/>
      </c>
      <c r="L28" t="str">
        <f ca="1"/>
        <v/>
      </c>
      <c r="N28" t="str">
        <f ca="1"/>
        <v/>
      </c>
      <c r="O28" t="str">
        <v/>
      </c>
      <c r="P28" t="str">
        <v/>
      </c>
      <c r="Q28" t="str">
        <f ca="1"/>
        <v/>
      </c>
      <c r="R28" t="str">
        <f ca="1"/>
        <v/>
      </c>
      <c r="Z28" t="str">
        <f ca="1"/>
        <v/>
      </c>
      <c r="AA28" t="str">
        <f ca="1"/>
        <v/>
      </c>
      <c r="AB28" t="str">
        <f ca="1"/>
        <v/>
      </c>
      <c r="AC28" t="str">
        <f ca="1"/>
        <v/>
      </c>
      <c r="AD28" t="str">
        <f ca="1"/>
        <v/>
      </c>
      <c r="AE28" t="str">
        <f ca="1"/>
        <v/>
      </c>
      <c r="AF28" t="str">
        <f ca="1"/>
        <v/>
      </c>
      <c r="AG28" t="str">
        <f ca="1"/>
        <v/>
      </c>
      <c r="AH28" t="str">
        <f ca="1"/>
        <v/>
      </c>
      <c r="AI28" t="str">
        <f ca="1"/>
        <v/>
      </c>
      <c r="AJ28" t="str">
        <f ca="1"/>
        <v/>
      </c>
      <c r="AK28" t="str">
        <f ca="1"/>
        <v/>
      </c>
      <c r="AL28" t="str">
        <f ca="1"/>
        <v/>
      </c>
      <c r="AM28" t="str">
        <f ca="1"/>
        <v/>
      </c>
    </row>
    <row r="29" spans="1:39" x14ac:dyDescent="0.55000000000000004">
      <c r="A29" t="s">
        <v>48</v>
      </c>
      <c r="B29" t="s">
        <v>68</v>
      </c>
      <c r="F29">
        <f t="shared" si="1"/>
        <v>3</v>
      </c>
      <c r="G29" t="str">
        <f t="shared" si="4"/>
        <v>3</v>
      </c>
      <c r="H29">
        <f>COUNTIF(G$3:G29,G29)</f>
        <v>7</v>
      </c>
      <c r="I29" t="str">
        <v/>
      </c>
      <c r="J29" t="str">
        <v/>
      </c>
      <c r="K29" t="str">
        <f ca="1"/>
        <v/>
      </c>
      <c r="L29" t="str">
        <f ca="1"/>
        <v/>
      </c>
      <c r="N29" t="str">
        <f ca="1"/>
        <v/>
      </c>
      <c r="O29" t="str">
        <v/>
      </c>
      <c r="P29" t="str">
        <v/>
      </c>
      <c r="Q29" t="str">
        <f ca="1"/>
        <v/>
      </c>
      <c r="R29" t="str">
        <f ca="1"/>
        <v/>
      </c>
      <c r="Z29" t="str">
        <f ca="1"/>
        <v/>
      </c>
      <c r="AA29" t="str">
        <f ca="1"/>
        <v/>
      </c>
      <c r="AB29" t="str">
        <f ca="1"/>
        <v/>
      </c>
      <c r="AC29" t="str">
        <f ca="1"/>
        <v/>
      </c>
      <c r="AD29" t="str">
        <f ca="1"/>
        <v/>
      </c>
      <c r="AE29" t="str">
        <f ca="1"/>
        <v/>
      </c>
      <c r="AF29" t="str">
        <f ca="1"/>
        <v/>
      </c>
      <c r="AG29" t="str">
        <f ca="1"/>
        <v/>
      </c>
      <c r="AH29" t="str">
        <f ca="1"/>
        <v/>
      </c>
      <c r="AI29" t="str">
        <f ca="1"/>
        <v/>
      </c>
      <c r="AJ29" t="str">
        <f ca="1"/>
        <v/>
      </c>
      <c r="AK29" t="str">
        <f ca="1"/>
        <v/>
      </c>
      <c r="AL29" t="str">
        <f ca="1"/>
        <v/>
      </c>
      <c r="AM29" t="str">
        <f ca="1"/>
        <v/>
      </c>
    </row>
    <row r="30" spans="1:39" x14ac:dyDescent="0.55000000000000004">
      <c r="F30">
        <f t="shared" si="1"/>
        <v>3</v>
      </c>
      <c r="G30" t="str">
        <f t="shared" si="4"/>
        <v>3</v>
      </c>
      <c r="H30">
        <f>COUNTIF(G$3:G30,G30)</f>
        <v>8</v>
      </c>
      <c r="I30" t="str">
        <v/>
      </c>
      <c r="J30" t="str">
        <v/>
      </c>
      <c r="K30" t="str">
        <f ca="1"/>
        <v/>
      </c>
      <c r="L30" t="str">
        <f ca="1"/>
        <v/>
      </c>
      <c r="N30" t="str">
        <f ca="1"/>
        <v/>
      </c>
      <c r="O30" t="str">
        <v/>
      </c>
      <c r="P30" t="str">
        <v/>
      </c>
      <c r="Q30" t="str">
        <f ca="1"/>
        <v/>
      </c>
      <c r="R30" t="str">
        <f ca="1"/>
        <v/>
      </c>
      <c r="Z30" t="str">
        <f ca="1"/>
        <v/>
      </c>
      <c r="AA30" t="str">
        <f ca="1"/>
        <v/>
      </c>
      <c r="AB30" t="str">
        <f ca="1"/>
        <v/>
      </c>
      <c r="AC30" t="str">
        <f ca="1"/>
        <v/>
      </c>
      <c r="AD30" t="str">
        <f ca="1"/>
        <v/>
      </c>
      <c r="AE30" t="str">
        <f ca="1"/>
        <v/>
      </c>
      <c r="AF30" t="str">
        <f ca="1"/>
        <v/>
      </c>
      <c r="AG30" t="str">
        <f ca="1"/>
        <v/>
      </c>
      <c r="AH30" t="str">
        <f ca="1"/>
        <v/>
      </c>
      <c r="AI30" t="str">
        <f ca="1"/>
        <v/>
      </c>
      <c r="AJ30" t="str">
        <f ca="1"/>
        <v/>
      </c>
      <c r="AK30" t="str">
        <f ca="1"/>
        <v/>
      </c>
      <c r="AL30" t="str">
        <f ca="1"/>
        <v/>
      </c>
      <c r="AM30" t="str">
        <f ca="1"/>
        <v/>
      </c>
    </row>
    <row r="31" spans="1:39" x14ac:dyDescent="0.55000000000000004">
      <c r="F31">
        <f t="shared" si="1"/>
        <v>3</v>
      </c>
      <c r="G31" t="str">
        <f t="shared" si="4"/>
        <v>3</v>
      </c>
      <c r="H31">
        <f>COUNTIF(G$3:G31,G31)</f>
        <v>9</v>
      </c>
      <c r="I31" t="str">
        <v/>
      </c>
      <c r="J31" t="str">
        <v/>
      </c>
      <c r="K31" t="str">
        <f ca="1"/>
        <v/>
      </c>
      <c r="L31" t="str">
        <f ca="1"/>
        <v/>
      </c>
      <c r="N31" t="str">
        <f ca="1"/>
        <v/>
      </c>
      <c r="O31" t="str">
        <v/>
      </c>
      <c r="P31" t="str">
        <v/>
      </c>
      <c r="Q31" t="str">
        <f ca="1"/>
        <v/>
      </c>
      <c r="R31" t="str">
        <f ca="1"/>
        <v/>
      </c>
      <c r="Z31" t="str">
        <f ca="1"/>
        <v/>
      </c>
      <c r="AA31" t="str">
        <f ca="1"/>
        <v/>
      </c>
      <c r="AB31" t="str">
        <f ca="1"/>
        <v/>
      </c>
      <c r="AC31" t="str">
        <f ca="1"/>
        <v/>
      </c>
      <c r="AD31" t="str">
        <f ca="1"/>
        <v/>
      </c>
      <c r="AE31" t="str">
        <f ca="1"/>
        <v/>
      </c>
      <c r="AF31" t="str">
        <f ca="1"/>
        <v/>
      </c>
      <c r="AG31" t="str">
        <f ca="1"/>
        <v/>
      </c>
      <c r="AH31" t="str">
        <f ca="1"/>
        <v/>
      </c>
      <c r="AI31" t="str">
        <f ca="1"/>
        <v/>
      </c>
      <c r="AJ31" t="str">
        <f ca="1"/>
        <v/>
      </c>
      <c r="AK31" t="str">
        <f ca="1"/>
        <v/>
      </c>
      <c r="AL31" t="str">
        <f ca="1"/>
        <v/>
      </c>
      <c r="AM31" t="str">
        <f ca="1"/>
        <v/>
      </c>
    </row>
    <row r="32" spans="1:39" x14ac:dyDescent="0.55000000000000004">
      <c r="F32">
        <f t="shared" si="1"/>
        <v>3</v>
      </c>
      <c r="G32" t="str">
        <f t="shared" si="4"/>
        <v>3</v>
      </c>
      <c r="H32">
        <f>COUNTIF(G$3:G32,G32)</f>
        <v>10</v>
      </c>
      <c r="I32" t="str">
        <v>●</v>
      </c>
      <c r="J32" t="str">
        <v/>
      </c>
      <c r="K32" t="str">
        <f ca="1"/>
        <v/>
      </c>
      <c r="L32" t="str">
        <f ca="1"/>
        <v/>
      </c>
      <c r="N32" t="str">
        <f ca="1"/>
        <v/>
      </c>
      <c r="O32" t="str">
        <v/>
      </c>
      <c r="P32" t="str">
        <v/>
      </c>
      <c r="Q32" t="str">
        <f ca="1"/>
        <v/>
      </c>
      <c r="R32" t="str">
        <f ca="1"/>
        <v/>
      </c>
      <c r="Z32" t="str">
        <f ca="1"/>
        <v/>
      </c>
      <c r="AA32" t="str">
        <f ca="1"/>
        <v/>
      </c>
      <c r="AB32" t="str">
        <f ca="1"/>
        <v/>
      </c>
      <c r="AC32" t="str">
        <f ca="1"/>
        <v/>
      </c>
      <c r="AD32" t="str">
        <f ca="1"/>
        <v/>
      </c>
      <c r="AE32" t="str">
        <f ca="1"/>
        <v/>
      </c>
      <c r="AF32" t="str">
        <f ca="1"/>
        <v/>
      </c>
      <c r="AG32" t="str">
        <f ca="1"/>
        <v/>
      </c>
      <c r="AH32" t="str">
        <f ca="1"/>
        <v/>
      </c>
      <c r="AI32" t="str">
        <f ca="1"/>
        <v/>
      </c>
      <c r="AJ32" t="str">
        <f ca="1"/>
        <v/>
      </c>
      <c r="AK32" t="str">
        <f ca="1"/>
        <v/>
      </c>
      <c r="AL32" t="str">
        <f ca="1"/>
        <v xml:space="preserve">
	ELSE
		uiErrCode	:= 2;
	END_IF;</v>
      </c>
      <c r="AM32" t="str">
        <f ca="1"/>
        <v xml:space="preserve">
	ELSE
		uiErrCode	:= 2;
	END_IF;</v>
      </c>
    </row>
    <row r="33" spans="6:39" x14ac:dyDescent="0.55000000000000004">
      <c r="F33">
        <f>F23+1</f>
        <v>4</v>
      </c>
      <c r="G33" t="str">
        <f t="shared" si="4"/>
        <v>4</v>
      </c>
      <c r="H33">
        <f>COUNTIF(G$3:G33,G33)</f>
        <v>1</v>
      </c>
      <c r="I33" t="str">
        <v/>
      </c>
      <c r="J33">
        <v>16</v>
      </c>
      <c r="K33" t="str">
        <f ca="1"/>
        <v>原点復帰動作</v>
      </c>
      <c r="L33" t="str">
        <f ca="1"/>
        <v>原点復帰動作</v>
      </c>
      <c r="N33" t="str">
        <f ca="1"/>
        <v>【41】 原点復帰動作</v>
      </c>
      <c r="O33" t="str">
        <v/>
      </c>
      <c r="P33" t="str">
        <v>unknown</v>
      </c>
      <c r="Q33" t="str">
        <f ca="1"/>
        <v/>
      </c>
      <c r="R33" t="str">
        <f ca="1"/>
        <v>unknown</v>
      </c>
      <c r="Z33" t="str">
        <f ca="1"/>
        <v xml:space="preserve">
//4</v>
      </c>
      <c r="AA33" t="str">
        <f ca="1"/>
        <v xml:space="preserve">
//4
ELSIF strInfoType = 4 THEN</v>
      </c>
      <c r="AB33" t="str">
        <f ca="1"/>
        <v xml:space="preserve">
//4
ELSIF strInfoType = 4 THEN
	//原点復帰動作
	IF uiInfoIdx = 1 THEN</v>
      </c>
      <c r="AC33" t="str">
        <f ca="1"/>
        <v xml:space="preserve">
//4
ELSIF strInfoType = 4 THEN
	//原点復帰動作
	IF uiInfoIdx = 1 THEN
		IF strInfoKey = 'name' THEN</v>
      </c>
      <c r="AD33" t="str">
        <f ca="1"/>
        <v xml:space="preserve">
//4
ELSIF strInfoType = 4 THEN
	//原点復帰動作
	IF uiInfoIdx = 1 THEN
		IF strInfoKey = 'name' THEN
			strRt	:= '原点復帰動作';</v>
      </c>
      <c r="AE33" t="str">
        <f ca="1"/>
        <v xml:space="preserve">
//4
ELSIF strInfoType = 4 THEN
	//原点復帰動作
	IF uiInfoIdx = 1 THEN
		IF strInfoKey = 'name' THEN
			strRt	:= '原点復帰動作';
		ELSIF strInfoKey = 'index_name' THEN</v>
      </c>
      <c r="AF33" t="str">
        <f ca="1"/>
        <v xml:space="preserve">
//4
ELSIF strInfoType = 4 THEN
	//原点復帰動作
	IF uiInfoIdx = 1 THEN
		IF strInfoKey = 'name' THEN
			strRt	:= '原点復帰動作';
		ELSIF strInfoKey = 'index_name' THEN
			strRt	:= '【41】 原点復帰動作';</v>
      </c>
      <c r="AG33" t="str">
        <f ca="1"/>
        <v xml:space="preserve">
//4
ELSIF strInfoType = 4 THEN
	//原点復帰動作
	IF uiInfoIdx = 1 THEN
		IF strInfoKey = 'name' THEN
			strRt	:= '原点復帰動作';
		ELSIF strInfoKey = 'index_name' THEN
			strRt	:= '【41】 原点復帰動作';
		ELSIF strInfoKey = 'model' THEN</v>
      </c>
      <c r="AH33" t="str">
        <f ca="1"/>
        <v xml:space="preserve">
//4
ELSIF strInfoType = 4 THEN
	//原点復帰動作
	IF uiInfoIdx = 1 THEN
		IF strInfoKey = 'name' THEN
			strRt	:= '原点復帰動作';
		ELSIF strInfoKey = 'index_name' THEN
			strRt	:= '【41】 原点復帰動作';
		ELSIF strInfoKey = 'model' THEN
			strRt	:= 'unknown';</v>
      </c>
      <c r="AI33" t="str">
        <f ca="1"/>
        <v xml:space="preserve">
//4
ELSIF strInfoType = 4 THEN
	//原点復帰動作
	IF uiInfoIdx = 1 THEN
		IF strInfoKey = 'name' THEN
			strRt	:= '原点復帰動作';
		ELSIF strInfoKey = 'index_name' THEN
			strRt	:= '【41】 原点復帰動作';
		ELSIF strInfoKey = 'model' THEN
			strRt	:= 'unknown';
		ELSIF strInfoKey = 'mf' THEN</v>
      </c>
      <c r="AJ33" t="str">
        <f ca="1"/>
        <v xml:space="preserve">
//4
ELSIF strInfoType = 4 THEN
	//原点復帰動作
	IF uiInfoIdx = 1 THEN
		IF strInfoKey = 'name' THEN
			strRt	:= '原点復帰動作';
		ELSIF strInfoKey = 'index_name' THEN
			strRt	:= '【41】 原点復帰動作';
		ELSIF strInfoKey = 'model' THEN
			strRt	:= 'unknown';
		ELSIF strInfoKey = 'mf' THEN
			strRt	:= 'unknown';</v>
      </c>
      <c r="AK33" t="str">
        <f ca="1"/>
        <v xml:space="preserve">
//4
ELSIF strInfoType = 4 THEN
	//原点復帰動作
	IF uiInfoIdx = 1 THEN
		IF strInfoKey = 'name' THEN
			strRt	:= '原点復帰動作';
		ELSIF strInfoKey = 'index_name' THEN
			strRt	:= '【41】 原点復帰動作';
		ELSIF strInfoKey = 'model' THEN
			strRt	:= 'unknown';
		ELSIF strInfoKey = 'mf' THEN
			strRt	:= 'unknown';
		ELSE
			uiErrCode	:= 3;
		END_IF;</v>
      </c>
      <c r="AL33" t="str">
        <f ca="1"/>
        <v xml:space="preserve">
//4
ELSIF strInfoType = 4 THEN
	//原点復帰動作
	IF uiInfoIdx = 1 THEN
		IF strInfoKey = 'name' THEN
			strRt	:= '原点復帰動作';
		ELSIF strInfoKey = 'index_name' THEN
			strRt	:= '【41】 原点復帰動作';
		ELSIF strInfoKey = 'model' THEN
			strRt	:= 'unknown';
		ELSIF strInfoKey = 'mf' THEN
			strRt	:= 'unknown';
		ELSE
			uiErrCode	:= 3;
		END_IF;</v>
      </c>
      <c r="AM33" t="str">
        <f ca="1"/>
        <v xml:space="preserve">
//4
ELSIF strInfoType = 4 THEN
	//原点復帰動作
	IF uiInfoIdx = 1 THEN
		IF strInfoKey = 'name' THEN
			strRt	:= '原点復帰動作';
		ELSIF strInfoKey = 'index_name' THEN
			strRt	:= '【41】 原点復帰動作';
		ELSIF strInfoKey = 'model' THEN
			strRt	:= 'unknown';
		ELSIF strInfoKey = 'mf' THEN
			strRt	:= 'unknown';
		ELSE
			uiErrCode	:= 3;
		END_IF;</v>
      </c>
    </row>
    <row r="34" spans="6:39" x14ac:dyDescent="0.55000000000000004">
      <c r="F34">
        <f t="shared" si="1"/>
        <v>4</v>
      </c>
      <c r="G34" t="str">
        <f t="shared" si="4"/>
        <v>4</v>
      </c>
      <c r="H34">
        <f>COUNTIF(G$3:G34,G34)</f>
        <v>2</v>
      </c>
      <c r="I34" t="str">
        <v/>
      </c>
      <c r="J34">
        <v>17</v>
      </c>
      <c r="K34" t="str">
        <f ca="1"/>
        <v>周長測定子プリセット</v>
      </c>
      <c r="L34" t="str">
        <f ca="1"/>
        <v>周長測定子プリセット</v>
      </c>
      <c r="N34" t="str">
        <f ca="1"/>
        <v>【42】 周長測定子プリセット</v>
      </c>
      <c r="O34" t="str">
        <v/>
      </c>
      <c r="P34" t="str">
        <v>unknown</v>
      </c>
      <c r="Q34" t="str">
        <f ca="1"/>
        <v/>
      </c>
      <c r="R34" t="str">
        <f ca="1"/>
        <v>unknown</v>
      </c>
      <c r="Z34" t="str">
        <f ca="1"/>
        <v xml:space="preserve">
</v>
      </c>
      <c r="AA34" t="str">
        <f ca="1"/>
        <v xml:space="preserve">
</v>
      </c>
      <c r="AB34" t="str">
        <f ca="1"/>
        <v xml:space="preserve">
	//周長測定子プリセット
	ELSIF uiInfoIdx = 2 THEN</v>
      </c>
      <c r="AC34" t="str">
        <f ca="1"/>
        <v xml:space="preserve">
	//周長測定子プリセット
	ELSIF uiInfoIdx = 2 THEN
		IF strInfoKey = 'name' THEN</v>
      </c>
      <c r="AD34" t="str">
        <f ca="1"/>
        <v xml:space="preserve">
	//周長測定子プリセット
	ELSIF uiInfoIdx = 2 THEN
		IF strInfoKey = 'name' THEN
			strRt	:= '周長測定子プリセット';</v>
      </c>
      <c r="AE34" t="str">
        <f ca="1"/>
        <v xml:space="preserve">
	//周長測定子プリセット
	ELSIF uiInfoIdx = 2 THEN
		IF strInfoKey = 'name' THEN
			strRt	:= '周長測定子プリセット';
		ELSIF strInfoKey = 'index_name' THEN</v>
      </c>
      <c r="AF34" t="str">
        <f ca="1"/>
        <v xml:space="preserve">
	//周長測定子プリセット
	ELSIF uiInfoIdx = 2 THEN
		IF strInfoKey = 'name' THEN
			strRt	:= '周長測定子プリセット';
		ELSIF strInfoKey = 'index_name' THEN
			strRt	:= '【42】 周長測定子プリセット';</v>
      </c>
      <c r="AG34" t="str">
        <f ca="1"/>
        <v xml:space="preserve">
	//周長測定子プリセット
	ELSIF uiInfoIdx = 2 THEN
		IF strInfoKey = 'name' THEN
			strRt	:= '周長測定子プリセット';
		ELSIF strInfoKey = 'index_name' THEN
			strRt	:= '【42】 周長測定子プリセット';
		ELSIF strInfoKey = 'model' THEN</v>
      </c>
      <c r="AH34" t="str">
        <f ca="1"/>
        <v xml:space="preserve">
	//周長測定子プリセット
	ELSIF uiInfoIdx = 2 THEN
		IF strInfoKey = 'name' THEN
			strRt	:= '周長測定子プリセット';
		ELSIF strInfoKey = 'index_name' THEN
			strRt	:= '【42】 周長測定子プリセット';
		ELSIF strInfoKey = 'model' THEN
			strRt	:= 'unknown';</v>
      </c>
      <c r="AI34" t="str">
        <f ca="1"/>
        <v xml:space="preserve">
	//周長測定子プリセット
	ELSIF uiInfoIdx = 2 THEN
		IF strInfoKey = 'name' THEN
			strRt	:= '周長測定子プリセット';
		ELSIF strInfoKey = 'index_name' THEN
			strRt	:= '【42】 周長測定子プリセット';
		ELSIF strInfoKey = 'model' THEN
			strRt	:= 'unknown';
		ELSIF strInfoKey = 'mf' THEN</v>
      </c>
      <c r="AJ34" t="str">
        <f ca="1"/>
        <v xml:space="preserve">
	//周長測定子プリセット
	ELSIF uiInfoIdx = 2 THEN
		IF strInfoKey = 'name' THEN
			strRt	:= '周長測定子プリセット';
		ELSIF strInfoKey = 'index_name' THEN
			strRt	:= '【42】 周長測定子プリセット';
		ELSIF strInfoKey = 'model' THEN
			strRt	:= 'unknown';
		ELSIF strInfoKey = 'mf' THEN
			strRt	:= 'unknown';</v>
      </c>
      <c r="AK34" t="str">
        <f ca="1"/>
        <v xml:space="preserve">
	//周長測定子プリセット
	ELSIF uiInfoIdx = 2 THEN
		IF strInfoKey = 'name' THEN
			strRt	:= '周長測定子プリセット';
		ELSIF strInfoKey = 'index_name' THEN
			strRt	:= '【42】 周長測定子プリセット';
		ELSIF strInfoKey = 'model' THEN
			strRt	:= 'unknown';
		ELSIF strInfoKey = 'mf' THEN
			strRt	:= 'unknown';
		ELSE
			uiErrCode	:= 3;
		END_IF;</v>
      </c>
      <c r="AL34" t="str">
        <f ca="1"/>
        <v xml:space="preserve">
	//周長測定子プリセット
	ELSIF uiInfoIdx = 2 THEN
		IF strInfoKey = 'name' THEN
			strRt	:= '周長測定子プリセット';
		ELSIF strInfoKey = 'index_name' THEN
			strRt	:= '【42】 周長測定子プリセット';
		ELSIF strInfoKey = 'model' THEN
			strRt	:= 'unknown';
		ELSIF strInfoKey = 'mf' THEN
			strRt	:= 'unknown';
		ELSE
			uiErrCode	:= 3;
		END_IF;</v>
      </c>
      <c r="AM34" t="str">
        <f ca="1"/>
        <v xml:space="preserve">
	//周長測定子プリセット
	ELSIF uiInfoIdx = 2 THEN
		IF strInfoKey = 'name' THEN
			strRt	:= '周長測定子プリセット';
		ELSIF strInfoKey = 'index_name' THEN
			strRt	:= '【42】 周長測定子プリセット';
		ELSIF strInfoKey = 'model' THEN
			strRt	:= 'unknown';
		ELSIF strInfoKey = 'mf' THEN
			strRt	:= 'unknown';
		ELSE
			uiErrCode	:= 3;
		END_IF;</v>
      </c>
    </row>
    <row r="35" spans="6:39" x14ac:dyDescent="0.55000000000000004">
      <c r="F35">
        <f t="shared" si="1"/>
        <v>4</v>
      </c>
      <c r="G35" t="str">
        <f t="shared" si="4"/>
        <v>4</v>
      </c>
      <c r="H35">
        <f>COUNTIF(G$3:G35,G35)</f>
        <v>3</v>
      </c>
      <c r="I35" t="str">
        <v/>
      </c>
      <c r="J35">
        <v>18</v>
      </c>
      <c r="K35" t="str">
        <f ca="1"/>
        <v>巻き準備動作</v>
      </c>
      <c r="L35" t="str">
        <f ca="1"/>
        <v>巻き準備動作</v>
      </c>
      <c r="N35" t="str">
        <f ca="1"/>
        <v>【43】 巻き準備動作</v>
      </c>
      <c r="O35" t="str">
        <v/>
      </c>
      <c r="P35" t="str">
        <v>unknown</v>
      </c>
      <c r="Q35" t="str">
        <f ca="1"/>
        <v/>
      </c>
      <c r="R35" t="str">
        <f ca="1"/>
        <v>unknown</v>
      </c>
      <c r="Z35" t="str">
        <f ca="1"/>
        <v xml:space="preserve">
</v>
      </c>
      <c r="AA35" t="str">
        <f ca="1"/>
        <v xml:space="preserve">
</v>
      </c>
      <c r="AB35" t="str">
        <f ca="1"/>
        <v xml:space="preserve">
	//巻き準備動作
	ELSIF uiInfoIdx = 3 THEN</v>
      </c>
      <c r="AC35" t="str">
        <f ca="1"/>
        <v xml:space="preserve">
	//巻き準備動作
	ELSIF uiInfoIdx = 3 THEN
		IF strInfoKey = 'name' THEN</v>
      </c>
      <c r="AD35" t="str">
        <f ca="1"/>
        <v xml:space="preserve">
	//巻き準備動作
	ELSIF uiInfoIdx = 3 THEN
		IF strInfoKey = 'name' THEN
			strRt	:= '巻き準備動作';</v>
      </c>
      <c r="AE35" t="str">
        <f ca="1"/>
        <v xml:space="preserve">
	//巻き準備動作
	ELSIF uiInfoIdx = 3 THEN
		IF strInfoKey = 'name' THEN
			strRt	:= '巻き準備動作';
		ELSIF strInfoKey = 'index_name' THEN</v>
      </c>
      <c r="AF35" t="str">
        <f ca="1"/>
        <v xml:space="preserve">
	//巻き準備動作
	ELSIF uiInfoIdx = 3 THEN
		IF strInfoKey = 'name' THEN
			strRt	:= '巻き準備動作';
		ELSIF strInfoKey = 'index_name' THEN
			strRt	:= '【43】 巻き準備動作';</v>
      </c>
      <c r="AG35" t="str">
        <f ca="1"/>
        <v xml:space="preserve">
	//巻き準備動作
	ELSIF uiInfoIdx = 3 THEN
		IF strInfoKey = 'name' THEN
			strRt	:= '巻き準備動作';
		ELSIF strInfoKey = 'index_name' THEN
			strRt	:= '【43】 巻き準備動作';
		ELSIF strInfoKey = 'model' THEN</v>
      </c>
      <c r="AH35" t="str">
        <f ca="1"/>
        <v xml:space="preserve">
	//巻き準備動作
	ELSIF uiInfoIdx = 3 THEN
		IF strInfoKey = 'name' THEN
			strRt	:= '巻き準備動作';
		ELSIF strInfoKey = 'index_name' THEN
			strRt	:= '【43】 巻き準備動作';
		ELSIF strInfoKey = 'model' THEN
			strRt	:= 'unknown';</v>
      </c>
      <c r="AI35" t="str">
        <f ca="1"/>
        <v xml:space="preserve">
	//巻き準備動作
	ELSIF uiInfoIdx = 3 THEN
		IF strInfoKey = 'name' THEN
			strRt	:= '巻き準備動作';
		ELSIF strInfoKey = 'index_name' THEN
			strRt	:= '【43】 巻き準備動作';
		ELSIF strInfoKey = 'model' THEN
			strRt	:= 'unknown';
		ELSIF strInfoKey = 'mf' THEN</v>
      </c>
      <c r="AJ35" t="str">
        <f ca="1"/>
        <v xml:space="preserve">
	//巻き準備動作
	ELSIF uiInfoIdx = 3 THEN
		IF strInfoKey = 'name' THEN
			strRt	:= '巻き準備動作';
		ELSIF strInfoKey = 'index_name' THEN
			strRt	:= '【43】 巻き準備動作';
		ELSIF strInfoKey = 'model' THEN
			strRt	:= 'unknown';
		ELSIF strInfoKey = 'mf' THEN
			strRt	:= 'unknown';</v>
      </c>
      <c r="AK35" t="str">
        <f ca="1"/>
        <v xml:space="preserve">
	//巻き準備動作
	ELSIF uiInfoIdx = 3 THEN
		IF strInfoKey = 'name' THEN
			strRt	:= '巻き準備動作';
		ELSIF strInfoKey = 'index_name' THEN
			strRt	:= '【43】 巻き準備動作';
		ELSIF strInfoKey = 'model' THEN
			strRt	:= 'unknown';
		ELSIF strInfoKey = 'mf' THEN
			strRt	:= 'unknown';
		ELSE
			uiErrCode	:= 3;
		END_IF;</v>
      </c>
      <c r="AL35" t="str">
        <f ca="1"/>
        <v xml:space="preserve">
	//巻き準備動作
	ELSIF uiInfoIdx = 3 THEN
		IF strInfoKey = 'name' THEN
			strRt	:= '巻き準備動作';
		ELSIF strInfoKey = 'index_name' THEN
			strRt	:= '【43】 巻き準備動作';
		ELSIF strInfoKey = 'model' THEN
			strRt	:= 'unknown';
		ELSIF strInfoKey = 'mf' THEN
			strRt	:= 'unknown';
		ELSE
			uiErrCode	:= 3;
		END_IF;</v>
      </c>
      <c r="AM35" t="str">
        <f ca="1"/>
        <v xml:space="preserve">
	//巻き準備動作
	ELSIF uiInfoIdx = 3 THEN
		IF strInfoKey = 'name' THEN
			strRt	:= '巻き準備動作';
		ELSIF strInfoKey = 'index_name' THEN
			strRt	:= '【43】 巻き準備動作';
		ELSIF strInfoKey = 'model' THEN
			strRt	:= 'unknown';
		ELSIF strInfoKey = 'mf' THEN
			strRt	:= 'unknown';
		ELSE
			uiErrCode	:= 3;
		END_IF;</v>
      </c>
    </row>
    <row r="36" spans="6:39" x14ac:dyDescent="0.55000000000000004">
      <c r="F36">
        <f t="shared" si="1"/>
        <v>4</v>
      </c>
      <c r="G36" t="str">
        <f t="shared" si="4"/>
        <v>4</v>
      </c>
      <c r="H36">
        <f>COUNTIF(G$3:G36,G36)</f>
        <v>4</v>
      </c>
      <c r="I36" t="str">
        <v/>
      </c>
      <c r="J36">
        <v>19</v>
      </c>
      <c r="K36" t="str">
        <f ca="1"/>
        <v>巻き動作</v>
      </c>
      <c r="L36" t="str">
        <f ca="1"/>
        <v>巻き動作</v>
      </c>
      <c r="N36" t="str">
        <f ca="1"/>
        <v>【44】 巻き動作</v>
      </c>
      <c r="O36" t="str">
        <v/>
      </c>
      <c r="P36" t="str">
        <v>unknown</v>
      </c>
      <c r="Q36" t="str">
        <f ca="1"/>
        <v/>
      </c>
      <c r="R36" t="str">
        <f ca="1"/>
        <v>unknown</v>
      </c>
      <c r="Z36" t="str">
        <f ca="1"/>
        <v xml:space="preserve">
</v>
      </c>
      <c r="AA36" t="str">
        <f ca="1"/>
        <v xml:space="preserve">
</v>
      </c>
      <c r="AB36" t="str">
        <f ca="1"/>
        <v xml:space="preserve">
	//巻き動作
	ELSIF uiInfoIdx = 4 THEN</v>
      </c>
      <c r="AC36" t="str">
        <f ca="1"/>
        <v xml:space="preserve">
	//巻き動作
	ELSIF uiInfoIdx = 4 THEN
		IF strInfoKey = 'name' THEN</v>
      </c>
      <c r="AD36" t="str">
        <f ca="1"/>
        <v xml:space="preserve">
	//巻き動作
	ELSIF uiInfoIdx = 4 THEN
		IF strInfoKey = 'name' THEN
			strRt	:= '巻き動作';</v>
      </c>
      <c r="AE36" t="str">
        <f ca="1"/>
        <v xml:space="preserve">
	//巻き動作
	ELSIF uiInfoIdx = 4 THEN
		IF strInfoKey = 'name' THEN
			strRt	:= '巻き動作';
		ELSIF strInfoKey = 'index_name' THEN</v>
      </c>
      <c r="AF36" t="str">
        <f ca="1"/>
        <v xml:space="preserve">
	//巻き動作
	ELSIF uiInfoIdx = 4 THEN
		IF strInfoKey = 'name' THEN
			strRt	:= '巻き動作';
		ELSIF strInfoKey = 'index_name' THEN
			strRt	:= '【44】 巻き動作';</v>
      </c>
      <c r="AG36" t="str">
        <f ca="1"/>
        <v xml:space="preserve">
	//巻き動作
	ELSIF uiInfoIdx = 4 THEN
		IF strInfoKey = 'name' THEN
			strRt	:= '巻き動作';
		ELSIF strInfoKey = 'index_name' THEN
			strRt	:= '【44】 巻き動作';
		ELSIF strInfoKey = 'model' THEN</v>
      </c>
      <c r="AH36" t="str">
        <f ca="1"/>
        <v xml:space="preserve">
	//巻き動作
	ELSIF uiInfoIdx = 4 THEN
		IF strInfoKey = 'name' THEN
			strRt	:= '巻き動作';
		ELSIF strInfoKey = 'index_name' THEN
			strRt	:= '【44】 巻き動作';
		ELSIF strInfoKey = 'model' THEN
			strRt	:= 'unknown';</v>
      </c>
      <c r="AI36" t="str">
        <f ca="1"/>
        <v xml:space="preserve">
	//巻き動作
	ELSIF uiInfoIdx = 4 THEN
		IF strInfoKey = 'name' THEN
			strRt	:= '巻き動作';
		ELSIF strInfoKey = 'index_name' THEN
			strRt	:= '【44】 巻き動作';
		ELSIF strInfoKey = 'model' THEN
			strRt	:= 'unknown';
		ELSIF strInfoKey = 'mf' THEN</v>
      </c>
      <c r="AJ36" t="str">
        <f ca="1"/>
        <v xml:space="preserve">
	//巻き動作
	ELSIF uiInfoIdx = 4 THEN
		IF strInfoKey = 'name' THEN
			strRt	:= '巻き動作';
		ELSIF strInfoKey = 'index_name' THEN
			strRt	:= '【44】 巻き動作';
		ELSIF strInfoKey = 'model' THEN
			strRt	:= 'unknown';
		ELSIF strInfoKey = 'mf' THEN
			strRt	:= 'unknown';</v>
      </c>
      <c r="AK36" t="str">
        <f ca="1"/>
        <v xml:space="preserve">
	//巻き動作
	ELSIF uiInfoIdx = 4 THEN
		IF strInfoKey = 'name' THEN
			strRt	:= '巻き動作';
		ELSIF strInfoKey = 'index_name' THEN
			strRt	:= '【44】 巻き動作';
		ELSIF strInfoKey = 'model' THEN
			strRt	:= 'unknown';
		ELSIF strInfoKey = 'mf' THEN
			strRt	:= 'unknown';
		ELSE
			uiErrCode	:= 3;
		END_IF;</v>
      </c>
      <c r="AL36" t="str">
        <f ca="1"/>
        <v xml:space="preserve">
	//巻き動作
	ELSIF uiInfoIdx = 4 THEN
		IF strInfoKey = 'name' THEN
			strRt	:= '巻き動作';
		ELSIF strInfoKey = 'index_name' THEN
			strRt	:= '【44】 巻き動作';
		ELSIF strInfoKey = 'model' THEN
			strRt	:= 'unknown';
		ELSIF strInfoKey = 'mf' THEN
			strRt	:= 'unknown';
		ELSE
			uiErrCode	:= 3;
		END_IF;</v>
      </c>
      <c r="AM36" t="str">
        <f ca="1"/>
        <v xml:space="preserve">
	//巻き動作
	ELSIF uiInfoIdx = 4 THEN
		IF strInfoKey = 'name' THEN
			strRt	:= '巻き動作';
		ELSIF strInfoKey = 'index_name' THEN
			strRt	:= '【44】 巻き動作';
		ELSIF strInfoKey = 'model' THEN
			strRt	:= 'unknown';
		ELSIF strInfoKey = 'mf' THEN
			strRt	:= 'unknown';
		ELSE
			uiErrCode	:= 3;
		END_IF;</v>
      </c>
    </row>
    <row r="37" spans="6:39" x14ac:dyDescent="0.55000000000000004">
      <c r="F37">
        <f t="shared" si="1"/>
        <v>4</v>
      </c>
      <c r="G37" t="str">
        <f t="shared" si="4"/>
        <v>4</v>
      </c>
      <c r="H37">
        <f>COUNTIF(G$3:G37,G37)</f>
        <v>5</v>
      </c>
      <c r="I37" t="str">
        <v/>
      </c>
      <c r="J37">
        <v>20</v>
      </c>
      <c r="K37" t="str">
        <f ca="1"/>
        <v>箔ロウ巻き動作</v>
      </c>
      <c r="L37" t="str">
        <f ca="1"/>
        <v>箔ロウ巻き動作</v>
      </c>
      <c r="N37" t="str">
        <f ca="1"/>
        <v>【45】 箔ロウ巻き動作</v>
      </c>
      <c r="O37" t="str">
        <v/>
      </c>
      <c r="P37" t="str">
        <v>unknown</v>
      </c>
      <c r="Q37" t="str">
        <f ca="1"/>
        <v/>
      </c>
      <c r="R37" t="str">
        <f ca="1"/>
        <v>unknown</v>
      </c>
      <c r="Z37" t="str">
        <f ca="1"/>
        <v xml:space="preserve">
</v>
      </c>
      <c r="AA37" t="str">
        <f ca="1"/>
        <v xml:space="preserve">
</v>
      </c>
      <c r="AB37" t="str">
        <f ca="1"/>
        <v xml:space="preserve">
	//箔ロウ巻き動作
	ELSIF uiInfoIdx = 5 THEN</v>
      </c>
      <c r="AC37" t="str">
        <f ca="1"/>
        <v xml:space="preserve">
	//箔ロウ巻き動作
	ELSIF uiInfoIdx = 5 THEN
		IF strInfoKey = 'name' THEN</v>
      </c>
      <c r="AD37" t="str">
        <f ca="1"/>
        <v xml:space="preserve">
	//箔ロウ巻き動作
	ELSIF uiInfoIdx = 5 THEN
		IF strInfoKey = 'name' THEN
			strRt	:= '箔ロウ巻き動作';</v>
      </c>
      <c r="AE37" t="str">
        <f ca="1"/>
        <v xml:space="preserve">
	//箔ロウ巻き動作
	ELSIF uiInfoIdx = 5 THEN
		IF strInfoKey = 'name' THEN
			strRt	:= '箔ロウ巻き動作';
		ELSIF strInfoKey = 'index_name' THEN</v>
      </c>
      <c r="AF37" t="str">
        <f ca="1"/>
        <v xml:space="preserve">
	//箔ロウ巻き動作
	ELSIF uiInfoIdx = 5 THEN
		IF strInfoKey = 'name' THEN
			strRt	:= '箔ロウ巻き動作';
		ELSIF strInfoKey = 'index_name' THEN
			strRt	:= '【45】 箔ロウ巻き動作';</v>
      </c>
      <c r="AG37" t="str">
        <f ca="1"/>
        <v xml:space="preserve">
	//箔ロウ巻き動作
	ELSIF uiInfoIdx = 5 THEN
		IF strInfoKey = 'name' THEN
			strRt	:= '箔ロウ巻き動作';
		ELSIF strInfoKey = 'index_name' THEN
			strRt	:= '【45】 箔ロウ巻き動作';
		ELSIF strInfoKey = 'model' THEN</v>
      </c>
      <c r="AH37" t="str">
        <f ca="1"/>
        <v xml:space="preserve">
	//箔ロウ巻き動作
	ELSIF uiInfoIdx = 5 THEN
		IF strInfoKey = 'name' THEN
			strRt	:= '箔ロウ巻き動作';
		ELSIF strInfoKey = 'index_name' THEN
			strRt	:= '【45】 箔ロウ巻き動作';
		ELSIF strInfoKey = 'model' THEN
			strRt	:= 'unknown';</v>
      </c>
      <c r="AI37" t="str">
        <f ca="1"/>
        <v xml:space="preserve">
	//箔ロウ巻き動作
	ELSIF uiInfoIdx = 5 THEN
		IF strInfoKey = 'name' THEN
			strRt	:= '箔ロウ巻き動作';
		ELSIF strInfoKey = 'index_name' THEN
			strRt	:= '【45】 箔ロウ巻き動作';
		ELSIF strInfoKey = 'model' THEN
			strRt	:= 'unknown';
		ELSIF strInfoKey = 'mf' THEN</v>
      </c>
      <c r="AJ37" t="str">
        <f ca="1"/>
        <v xml:space="preserve">
	//箔ロウ巻き動作
	ELSIF uiInfoIdx = 5 THEN
		IF strInfoKey = 'name' THEN
			strRt	:= '箔ロウ巻き動作';
		ELSIF strInfoKey = 'index_name' THEN
			strRt	:= '【45】 箔ロウ巻き動作';
		ELSIF strInfoKey = 'model' THEN
			strRt	:= 'unknown';
		ELSIF strInfoKey = 'mf' THEN
			strRt	:= 'unknown';</v>
      </c>
      <c r="AK37" t="str">
        <f ca="1"/>
        <v xml:space="preserve">
	//箔ロウ巻き動作
	ELSIF uiInfoIdx = 5 THEN
		IF strInfoKey = 'name' THEN
			strRt	:= '箔ロウ巻き動作';
		ELSIF strInfoKey = 'index_name' THEN
			strRt	:= '【45】 箔ロウ巻き動作';
		ELSIF strInfoKey = 'model' THEN
			strRt	:= 'unknown';
		ELSIF strInfoKey = 'mf' THEN
			strRt	:= 'unknown';
		ELSE
			uiErrCode	:= 3;
		END_IF;</v>
      </c>
      <c r="AL37" t="str">
        <f ca="1"/>
        <v xml:space="preserve">
	//箔ロウ巻き動作
	ELSIF uiInfoIdx = 5 THEN
		IF strInfoKey = 'name' THEN
			strRt	:= '箔ロウ巻き動作';
		ELSIF strInfoKey = 'index_name' THEN
			strRt	:= '【45】 箔ロウ巻き動作';
		ELSIF strInfoKey = 'model' THEN
			strRt	:= 'unknown';
		ELSIF strInfoKey = 'mf' THEN
			strRt	:= 'unknown';
		ELSE
			uiErrCode	:= 3;
		END_IF;</v>
      </c>
      <c r="AM37" t="str">
        <f ca="1"/>
        <v xml:space="preserve">
	//箔ロウ巻き動作
	ELSIF uiInfoIdx = 5 THEN
		IF strInfoKey = 'name' THEN
			strRt	:= '箔ロウ巻き動作';
		ELSIF strInfoKey = 'index_name' THEN
			strRt	:= '【45】 箔ロウ巻き動作';
		ELSIF strInfoKey = 'model' THEN
			strRt	:= 'unknown';
		ELSIF strInfoKey = 'mf' THEN
			strRt	:= 'unknown';
		ELSE
			uiErrCode	:= 3;
		END_IF;</v>
      </c>
    </row>
    <row r="38" spans="6:39" x14ac:dyDescent="0.55000000000000004">
      <c r="F38">
        <f t="shared" si="1"/>
        <v>4</v>
      </c>
      <c r="G38" t="str">
        <f t="shared" si="4"/>
        <v>4</v>
      </c>
      <c r="H38">
        <f>COUNTIF(G$3:G38,G38)</f>
        <v>6</v>
      </c>
      <c r="I38" t="str">
        <v/>
      </c>
      <c r="J38">
        <v>21</v>
      </c>
      <c r="K38" t="str">
        <f ca="1"/>
        <v>周長測定動作</v>
      </c>
      <c r="L38" t="str">
        <f ca="1"/>
        <v>周長測定動作</v>
      </c>
      <c r="N38" t="str">
        <f ca="1"/>
        <v>【46】 周長測定動作</v>
      </c>
      <c r="O38" t="str">
        <v/>
      </c>
      <c r="P38" t="str">
        <v>unknown</v>
      </c>
      <c r="Q38" t="str">
        <f ca="1"/>
        <v/>
      </c>
      <c r="R38" t="str">
        <f ca="1"/>
        <v>unknown</v>
      </c>
      <c r="Z38" t="str">
        <f ca="1"/>
        <v xml:space="preserve">
</v>
      </c>
      <c r="AA38" t="str">
        <f ca="1"/>
        <v xml:space="preserve">
</v>
      </c>
      <c r="AB38" t="str">
        <f ca="1"/>
        <v xml:space="preserve">
	//周長測定動作
	ELSIF uiInfoIdx = 6 THEN</v>
      </c>
      <c r="AC38" t="str">
        <f ca="1"/>
        <v xml:space="preserve">
	//周長測定動作
	ELSIF uiInfoIdx = 6 THEN
		IF strInfoKey = 'name' THEN</v>
      </c>
      <c r="AD38" t="str">
        <f ca="1"/>
        <v xml:space="preserve">
	//周長測定動作
	ELSIF uiInfoIdx = 6 THEN
		IF strInfoKey = 'name' THEN
			strRt	:= '周長測定動作';</v>
      </c>
      <c r="AE38" t="str">
        <f ca="1"/>
        <v xml:space="preserve">
	//周長測定動作
	ELSIF uiInfoIdx = 6 THEN
		IF strInfoKey = 'name' THEN
			strRt	:= '周長測定動作';
		ELSIF strInfoKey = 'index_name' THEN</v>
      </c>
      <c r="AF38" t="str">
        <f ca="1"/>
        <v xml:space="preserve">
	//周長測定動作
	ELSIF uiInfoIdx = 6 THEN
		IF strInfoKey = 'name' THEN
			strRt	:= '周長測定動作';
		ELSIF strInfoKey = 'index_name' THEN
			strRt	:= '【46】 周長測定動作';</v>
      </c>
      <c r="AG38" t="str">
        <f ca="1"/>
        <v xml:space="preserve">
	//周長測定動作
	ELSIF uiInfoIdx = 6 THEN
		IF strInfoKey = 'name' THEN
			strRt	:= '周長測定動作';
		ELSIF strInfoKey = 'index_name' THEN
			strRt	:= '【46】 周長測定動作';
		ELSIF strInfoKey = 'model' THEN</v>
      </c>
      <c r="AH38" t="str">
        <f ca="1"/>
        <v xml:space="preserve">
	//周長測定動作
	ELSIF uiInfoIdx = 6 THEN
		IF strInfoKey = 'name' THEN
			strRt	:= '周長測定動作';
		ELSIF strInfoKey = 'index_name' THEN
			strRt	:= '【46】 周長測定動作';
		ELSIF strInfoKey = 'model' THEN
			strRt	:= 'unknown';</v>
      </c>
      <c r="AI38" t="str">
        <f ca="1"/>
        <v xml:space="preserve">
	//周長測定動作
	ELSIF uiInfoIdx = 6 THEN
		IF strInfoKey = 'name' THEN
			strRt	:= '周長測定動作';
		ELSIF strInfoKey = 'index_name' THEN
			strRt	:= '【46】 周長測定動作';
		ELSIF strInfoKey = 'model' THEN
			strRt	:= 'unknown';
		ELSIF strInfoKey = 'mf' THEN</v>
      </c>
      <c r="AJ38" t="str">
        <f ca="1"/>
        <v xml:space="preserve">
	//周長測定動作
	ELSIF uiInfoIdx = 6 THEN
		IF strInfoKey = 'name' THEN
			strRt	:= '周長測定動作';
		ELSIF strInfoKey = 'index_name' THEN
			strRt	:= '【46】 周長測定動作';
		ELSIF strInfoKey = 'model' THEN
			strRt	:= 'unknown';
		ELSIF strInfoKey = 'mf' THEN
			strRt	:= 'unknown';</v>
      </c>
      <c r="AK38" t="str">
        <f ca="1"/>
        <v xml:space="preserve">
	//周長測定動作
	ELSIF uiInfoIdx = 6 THEN
		IF strInfoKey = 'name' THEN
			strRt	:= '周長測定動作';
		ELSIF strInfoKey = 'index_name' THEN
			strRt	:= '【46】 周長測定動作';
		ELSIF strInfoKey = 'model' THEN
			strRt	:= 'unknown';
		ELSIF strInfoKey = 'mf' THEN
			strRt	:= 'unknown';
		ELSE
			uiErrCode	:= 3;
		END_IF;</v>
      </c>
      <c r="AL38" t="str">
        <f ca="1"/>
        <v xml:space="preserve">
	//周長測定動作
	ELSIF uiInfoIdx = 6 THEN
		IF strInfoKey = 'name' THEN
			strRt	:= '周長測定動作';
		ELSIF strInfoKey = 'index_name' THEN
			strRt	:= '【46】 周長測定動作';
		ELSIF strInfoKey = 'model' THEN
			strRt	:= 'unknown';
		ELSIF strInfoKey = 'mf' THEN
			strRt	:= 'unknown';
		ELSE
			uiErrCode	:= 3;
		END_IF;</v>
      </c>
      <c r="AM38" t="str">
        <f ca="1"/>
        <v xml:space="preserve">
	//周長測定動作
	ELSIF uiInfoIdx = 6 THEN
		IF strInfoKey = 'name' THEN
			strRt	:= '周長測定動作';
		ELSIF strInfoKey = 'index_name' THEN
			strRt	:= '【46】 周長測定動作';
		ELSIF strInfoKey = 'model' THEN
			strRt	:= 'unknown';
		ELSIF strInfoKey = 'mf' THEN
			strRt	:= 'unknown';
		ELSE
			uiErrCode	:= 3;
		END_IF;</v>
      </c>
    </row>
    <row r="39" spans="6:39" x14ac:dyDescent="0.55000000000000004">
      <c r="F39">
        <f t="shared" si="1"/>
        <v>4</v>
      </c>
      <c r="G39" t="str">
        <f t="shared" si="4"/>
        <v>4</v>
      </c>
      <c r="H39">
        <f>COUNTIF(G$3:G39,G39)</f>
        <v>7</v>
      </c>
      <c r="I39" t="str">
        <v/>
      </c>
      <c r="J39" t="str">
        <v/>
      </c>
      <c r="K39" t="str">
        <f ca="1"/>
        <v/>
      </c>
      <c r="L39" t="str">
        <f ca="1"/>
        <v/>
      </c>
      <c r="N39" t="str">
        <f ca="1"/>
        <v/>
      </c>
      <c r="O39" t="str">
        <v/>
      </c>
      <c r="P39" t="str">
        <v/>
      </c>
      <c r="Q39" t="str">
        <f ca="1"/>
        <v/>
      </c>
      <c r="R39" t="str">
        <f ca="1"/>
        <v/>
      </c>
      <c r="Z39" t="str">
        <f ca="1"/>
        <v/>
      </c>
      <c r="AA39" t="str">
        <f ca="1"/>
        <v/>
      </c>
      <c r="AB39" t="str">
        <f ca="1"/>
        <v/>
      </c>
      <c r="AC39" t="str">
        <f ca="1"/>
        <v/>
      </c>
      <c r="AD39" t="str">
        <f ca="1"/>
        <v/>
      </c>
      <c r="AE39" t="str">
        <f ca="1"/>
        <v/>
      </c>
      <c r="AF39" t="str">
        <f ca="1"/>
        <v/>
      </c>
      <c r="AG39" t="str">
        <f ca="1"/>
        <v/>
      </c>
      <c r="AH39" t="str">
        <f ca="1"/>
        <v/>
      </c>
      <c r="AI39" t="str">
        <f ca="1"/>
        <v/>
      </c>
      <c r="AJ39" t="str">
        <f ca="1"/>
        <v/>
      </c>
      <c r="AK39" t="str">
        <f ca="1"/>
        <v/>
      </c>
      <c r="AL39" t="str">
        <f ca="1"/>
        <v/>
      </c>
      <c r="AM39" t="str">
        <f ca="1"/>
        <v/>
      </c>
    </row>
    <row r="40" spans="6:39" x14ac:dyDescent="0.55000000000000004">
      <c r="F40">
        <f t="shared" si="1"/>
        <v>4</v>
      </c>
      <c r="G40" t="str">
        <f t="shared" si="4"/>
        <v>4</v>
      </c>
      <c r="H40">
        <f>COUNTIF(G$3:G40,G40)</f>
        <v>8</v>
      </c>
      <c r="I40" t="str">
        <v/>
      </c>
      <c r="J40" t="str">
        <v/>
      </c>
      <c r="K40" t="str">
        <f ca="1"/>
        <v/>
      </c>
      <c r="L40" t="str">
        <f ca="1"/>
        <v/>
      </c>
      <c r="N40" t="str">
        <f ca="1"/>
        <v/>
      </c>
      <c r="O40" t="str">
        <v/>
      </c>
      <c r="P40" t="str">
        <v/>
      </c>
      <c r="Q40" t="str">
        <f ca="1"/>
        <v/>
      </c>
      <c r="R40" t="str">
        <f ca="1"/>
        <v/>
      </c>
      <c r="Z40" t="str">
        <f ca="1"/>
        <v/>
      </c>
      <c r="AA40" t="str">
        <f ca="1"/>
        <v/>
      </c>
      <c r="AB40" t="str">
        <f ca="1"/>
        <v/>
      </c>
      <c r="AC40" t="str">
        <f ca="1"/>
        <v/>
      </c>
      <c r="AD40" t="str">
        <f ca="1"/>
        <v/>
      </c>
      <c r="AE40" t="str">
        <f ca="1"/>
        <v/>
      </c>
      <c r="AF40" t="str">
        <f ca="1"/>
        <v/>
      </c>
      <c r="AG40" t="str">
        <f ca="1"/>
        <v/>
      </c>
      <c r="AH40" t="str">
        <f ca="1"/>
        <v/>
      </c>
      <c r="AI40" t="str">
        <f ca="1"/>
        <v/>
      </c>
      <c r="AJ40" t="str">
        <f ca="1"/>
        <v/>
      </c>
      <c r="AK40" t="str">
        <f ca="1"/>
        <v/>
      </c>
      <c r="AL40" t="str">
        <f ca="1"/>
        <v/>
      </c>
      <c r="AM40" t="str">
        <f ca="1"/>
        <v/>
      </c>
    </row>
    <row r="41" spans="6:39" x14ac:dyDescent="0.55000000000000004">
      <c r="F41">
        <f t="shared" si="1"/>
        <v>4</v>
      </c>
      <c r="G41" t="str">
        <f t="shared" si="4"/>
        <v>4</v>
      </c>
      <c r="H41">
        <f>COUNTIF(G$3:G41,G41)</f>
        <v>9</v>
      </c>
      <c r="I41" t="str">
        <v/>
      </c>
      <c r="J41" t="str">
        <v/>
      </c>
      <c r="K41" t="str">
        <f ca="1"/>
        <v/>
      </c>
      <c r="L41" t="str">
        <f ca="1"/>
        <v/>
      </c>
      <c r="N41" t="str">
        <f ca="1"/>
        <v/>
      </c>
      <c r="O41" t="str">
        <v/>
      </c>
      <c r="P41" t="str">
        <v/>
      </c>
      <c r="Q41" t="str">
        <f ca="1"/>
        <v/>
      </c>
      <c r="R41" t="str">
        <f ca="1"/>
        <v/>
      </c>
      <c r="Z41" t="str">
        <f ca="1"/>
        <v/>
      </c>
      <c r="AA41" t="str">
        <f ca="1"/>
        <v/>
      </c>
      <c r="AB41" t="str">
        <f ca="1"/>
        <v/>
      </c>
      <c r="AC41" t="str">
        <f ca="1"/>
        <v/>
      </c>
      <c r="AD41" t="str">
        <f ca="1"/>
        <v/>
      </c>
      <c r="AE41" t="str">
        <f ca="1"/>
        <v/>
      </c>
      <c r="AF41" t="str">
        <f ca="1"/>
        <v/>
      </c>
      <c r="AG41" t="str">
        <f ca="1"/>
        <v/>
      </c>
      <c r="AH41" t="str">
        <f ca="1"/>
        <v/>
      </c>
      <c r="AI41" t="str">
        <f ca="1"/>
        <v/>
      </c>
      <c r="AJ41" t="str">
        <f ca="1"/>
        <v/>
      </c>
      <c r="AK41" t="str">
        <f ca="1"/>
        <v/>
      </c>
      <c r="AL41" t="str">
        <f ca="1"/>
        <v/>
      </c>
      <c r="AM41" t="str">
        <f ca="1"/>
        <v/>
      </c>
    </row>
    <row r="42" spans="6:39" x14ac:dyDescent="0.55000000000000004">
      <c r="F42">
        <f t="shared" si="1"/>
        <v>4</v>
      </c>
      <c r="G42" t="str">
        <f t="shared" si="4"/>
        <v>4</v>
      </c>
      <c r="H42">
        <f>COUNTIF(G$3:G42,G42)</f>
        <v>10</v>
      </c>
      <c r="I42" t="str">
        <v>●</v>
      </c>
      <c r="J42" t="str">
        <v/>
      </c>
      <c r="K42" t="str">
        <f ca="1"/>
        <v/>
      </c>
      <c r="L42" t="str">
        <f ca="1"/>
        <v/>
      </c>
      <c r="N42" t="str">
        <f ca="1"/>
        <v/>
      </c>
      <c r="O42" t="str">
        <v/>
      </c>
      <c r="P42" t="str">
        <v/>
      </c>
      <c r="Q42" t="str">
        <f ca="1"/>
        <v/>
      </c>
      <c r="R42" t="str">
        <f ca="1"/>
        <v/>
      </c>
      <c r="Z42" t="str">
        <f ca="1"/>
        <v/>
      </c>
      <c r="AA42" t="str">
        <f ca="1"/>
        <v/>
      </c>
      <c r="AB42" t="str">
        <f ca="1"/>
        <v/>
      </c>
      <c r="AC42" t="str">
        <f ca="1"/>
        <v/>
      </c>
      <c r="AD42" t="str">
        <f ca="1"/>
        <v/>
      </c>
      <c r="AE42" t="str">
        <f ca="1"/>
        <v/>
      </c>
      <c r="AF42" t="str">
        <f ca="1"/>
        <v/>
      </c>
      <c r="AG42" t="str">
        <f ca="1"/>
        <v/>
      </c>
      <c r="AH42" t="str">
        <f ca="1"/>
        <v/>
      </c>
      <c r="AI42" t="str">
        <f ca="1"/>
        <v/>
      </c>
      <c r="AJ42" t="str">
        <f ca="1"/>
        <v/>
      </c>
      <c r="AK42" t="str">
        <f ca="1"/>
        <v/>
      </c>
      <c r="AL42" t="str">
        <f ca="1"/>
        <v xml:space="preserve">
	ELSE
		uiErrCode	:= 2;
	END_IF;</v>
      </c>
      <c r="AM42" t="str">
        <f ca="1"/>
        <v xml:space="preserve">
	ELSE
		uiErrCode	:= 2;
	END_IF;</v>
      </c>
    </row>
    <row r="43" spans="6:39" x14ac:dyDescent="0.55000000000000004">
      <c r="F43">
        <f>F33+1</f>
        <v>5</v>
      </c>
      <c r="G43" t="str">
        <f t="shared" si="4"/>
        <v>5</v>
      </c>
      <c r="H43">
        <f>COUNTIF(G$3:G43,G43)</f>
        <v>1</v>
      </c>
      <c r="I43" t="str">
        <v/>
      </c>
      <c r="J43">
        <v>22</v>
      </c>
      <c r="K43" t="str">
        <f ca="1"/>
        <v>原点復帰動作</v>
      </c>
      <c r="L43" t="str">
        <f ca="1"/>
        <v>原点復帰動作</v>
      </c>
      <c r="N43" t="str">
        <f ca="1"/>
        <v>【51】 原点復帰動作</v>
      </c>
      <c r="O43" t="str">
        <v/>
      </c>
      <c r="P43" t="str">
        <v>unknown</v>
      </c>
      <c r="Q43" t="str">
        <f ca="1"/>
        <v/>
      </c>
      <c r="R43" t="str">
        <f ca="1"/>
        <v>unknown</v>
      </c>
      <c r="Z43" t="str">
        <f ca="1"/>
        <v xml:space="preserve">
//5</v>
      </c>
      <c r="AA43" t="str">
        <f ca="1"/>
        <v xml:space="preserve">
//5
ELSIF strInfoType = 5 THEN</v>
      </c>
      <c r="AB43" t="str">
        <f ca="1"/>
        <v xml:space="preserve">
//5
ELSIF strInfoType = 5 THEN
	//原点復帰動作
	IF uiInfoIdx = 1 THEN</v>
      </c>
      <c r="AC43" t="str">
        <f ca="1"/>
        <v xml:space="preserve">
//5
ELSIF strInfoType = 5 THEN
	//原点復帰動作
	IF uiInfoIdx = 1 THEN
		IF strInfoKey = 'name' THEN</v>
      </c>
      <c r="AD43" t="str">
        <f ca="1"/>
        <v xml:space="preserve">
//5
ELSIF strInfoType = 5 THEN
	//原点復帰動作
	IF uiInfoIdx = 1 THEN
		IF strInfoKey = 'name' THEN
			strRt	:= '原点復帰動作';</v>
      </c>
      <c r="AE43" t="str">
        <f ca="1"/>
        <v xml:space="preserve">
//5
ELSIF strInfoType = 5 THEN
	//原点復帰動作
	IF uiInfoIdx = 1 THEN
		IF strInfoKey = 'name' THEN
			strRt	:= '原点復帰動作';
		ELSIF strInfoKey = 'index_name' THEN</v>
      </c>
      <c r="AF43" t="str">
        <f ca="1"/>
        <v xml:space="preserve">
//5
ELSIF strInfoType = 5 THEN
	//原点復帰動作
	IF uiInfoIdx = 1 THEN
		IF strInfoKey = 'name' THEN
			strRt	:= '原点復帰動作';
		ELSIF strInfoKey = 'index_name' THEN
			strRt	:= '【51】 原点復帰動作';</v>
      </c>
      <c r="AG43" t="str">
        <f ca="1"/>
        <v xml:space="preserve">
//5
ELSIF strInfoType = 5 THEN
	//原点復帰動作
	IF uiInfoIdx = 1 THEN
		IF strInfoKey = 'name' THEN
			strRt	:= '原点復帰動作';
		ELSIF strInfoKey = 'index_name' THEN
			strRt	:= '【51】 原点復帰動作';
		ELSIF strInfoKey = 'model' THEN</v>
      </c>
      <c r="AH43" t="str">
        <f ca="1"/>
        <v xml:space="preserve">
//5
ELSIF strInfoType = 5 THEN
	//原点復帰動作
	IF uiInfoIdx = 1 THEN
		IF strInfoKey = 'name' THEN
			strRt	:= '原点復帰動作';
		ELSIF strInfoKey = 'index_name' THEN
			strRt	:= '【51】 原点復帰動作';
		ELSIF strInfoKey = 'model' THEN
			strRt	:= 'unknown';</v>
      </c>
      <c r="AI43" t="str">
        <f ca="1"/>
        <v xml:space="preserve">
//5
ELSIF strInfoType = 5 THEN
	//原点復帰動作
	IF uiInfoIdx = 1 THEN
		IF strInfoKey = 'name' THEN
			strRt	:= '原点復帰動作';
		ELSIF strInfoKey = 'index_name' THEN
			strRt	:= '【51】 原点復帰動作';
		ELSIF strInfoKey = 'model' THEN
			strRt	:= 'unknown';
		ELSIF strInfoKey = 'mf' THEN</v>
      </c>
      <c r="AJ43" t="str">
        <f ca="1"/>
        <v xml:space="preserve">
//5
ELSIF strInfoType = 5 THEN
	//原点復帰動作
	IF uiInfoIdx = 1 THEN
		IF strInfoKey = 'name' THEN
			strRt	:= '原点復帰動作';
		ELSIF strInfoKey = 'index_name' THEN
			strRt	:= '【51】 原点復帰動作';
		ELSIF strInfoKey = 'model' THEN
			strRt	:= 'unknown';
		ELSIF strInfoKey = 'mf' THEN
			strRt	:= 'unknown';</v>
      </c>
      <c r="AK43" t="str">
        <f ca="1"/>
        <v xml:space="preserve">
//5
ELSIF strInfoType = 5 THEN
	//原点復帰動作
	IF uiInfoIdx = 1 THEN
		IF strInfoKey = 'name' THEN
			strRt	:= '原点復帰動作';
		ELSIF strInfoKey = 'index_name' THEN
			strRt	:= '【51】 原点復帰動作';
		ELSIF strInfoKey = 'model' THEN
			strRt	:= 'unknown';
		ELSIF strInfoKey = 'mf' THEN
			strRt	:= 'unknown';
		ELSE
			uiErrCode	:= 3;
		END_IF;</v>
      </c>
      <c r="AL43" t="str">
        <f ca="1"/>
        <v xml:space="preserve">
//5
ELSIF strInfoType = 5 THEN
	//原点復帰動作
	IF uiInfoIdx = 1 THEN
		IF strInfoKey = 'name' THEN
			strRt	:= '原点復帰動作';
		ELSIF strInfoKey = 'index_name' THEN
			strRt	:= '【51】 原点復帰動作';
		ELSIF strInfoKey = 'model' THEN
			strRt	:= 'unknown';
		ELSIF strInfoKey = 'mf' THEN
			strRt	:= 'unknown';
		ELSE
			uiErrCode	:= 3;
		END_IF;</v>
      </c>
      <c r="AM43" t="str">
        <f ca="1"/>
        <v xml:space="preserve">
//5
ELSIF strInfoType = 5 THEN
	//原点復帰動作
	IF uiInfoIdx = 1 THEN
		IF strInfoKey = 'name' THEN
			strRt	:= '原点復帰動作';
		ELSIF strInfoKey = 'index_name' THEN
			strRt	:= '【51】 原点復帰動作';
		ELSIF strInfoKey = 'model' THEN
			strRt	:= 'unknown';
		ELSIF strInfoKey = 'mf' THEN
			strRt	:= 'unknown';
		ELSE
			uiErrCode	:= 3;
		END_IF;</v>
      </c>
    </row>
    <row r="44" spans="6:39" x14ac:dyDescent="0.55000000000000004">
      <c r="F44">
        <f t="shared" si="1"/>
        <v>5</v>
      </c>
      <c r="G44" t="str">
        <f t="shared" si="4"/>
        <v>5</v>
      </c>
      <c r="H44">
        <f>COUNTIF(G$3:G44,G44)</f>
        <v>2</v>
      </c>
      <c r="I44" t="str">
        <v/>
      </c>
      <c r="J44">
        <v>23</v>
      </c>
      <c r="K44" t="str">
        <f ca="1"/>
        <v>巻き押え動作</v>
      </c>
      <c r="L44" t="str">
        <f ca="1"/>
        <v>巻き押え動作</v>
      </c>
      <c r="N44" t="str">
        <f ca="1"/>
        <v>【52】 巻き押え動作</v>
      </c>
      <c r="O44" t="str">
        <v/>
      </c>
      <c r="P44" t="str">
        <v>unknown</v>
      </c>
      <c r="Q44" t="str">
        <f ca="1"/>
        <v/>
      </c>
      <c r="R44" t="str">
        <f ca="1"/>
        <v>unknown</v>
      </c>
      <c r="Z44" t="str">
        <f ca="1"/>
        <v xml:space="preserve">
</v>
      </c>
      <c r="AA44" t="str">
        <f ca="1"/>
        <v xml:space="preserve">
</v>
      </c>
      <c r="AB44" t="str">
        <f ca="1"/>
        <v xml:space="preserve">
	//巻き押え動作
	ELSIF uiInfoIdx = 2 THEN</v>
      </c>
      <c r="AC44" t="str">
        <f ca="1"/>
        <v xml:space="preserve">
	//巻き押え動作
	ELSIF uiInfoIdx = 2 THEN
		IF strInfoKey = 'name' THEN</v>
      </c>
      <c r="AD44" t="str">
        <f ca="1"/>
        <v xml:space="preserve">
	//巻き押え動作
	ELSIF uiInfoIdx = 2 THEN
		IF strInfoKey = 'name' THEN
			strRt	:= '巻き押え動作';</v>
      </c>
      <c r="AE44" t="str">
        <f ca="1"/>
        <v xml:space="preserve">
	//巻き押え動作
	ELSIF uiInfoIdx = 2 THEN
		IF strInfoKey = 'name' THEN
			strRt	:= '巻き押え動作';
		ELSIF strInfoKey = 'index_name' THEN</v>
      </c>
      <c r="AF44" t="str">
        <f ca="1"/>
        <v xml:space="preserve">
	//巻き押え動作
	ELSIF uiInfoIdx = 2 THEN
		IF strInfoKey = 'name' THEN
			strRt	:= '巻き押え動作';
		ELSIF strInfoKey = 'index_name' THEN
			strRt	:= '【52】 巻き押え動作';</v>
      </c>
      <c r="AG44" t="str">
        <f ca="1"/>
        <v xml:space="preserve">
	//巻き押え動作
	ELSIF uiInfoIdx = 2 THEN
		IF strInfoKey = 'name' THEN
			strRt	:= '巻き押え動作';
		ELSIF strInfoKey = 'index_name' THEN
			strRt	:= '【52】 巻き押え動作';
		ELSIF strInfoKey = 'model' THEN</v>
      </c>
      <c r="AH44" t="str">
        <f ca="1"/>
        <v xml:space="preserve">
	//巻き押え動作
	ELSIF uiInfoIdx = 2 THEN
		IF strInfoKey = 'name' THEN
			strRt	:= '巻き押え動作';
		ELSIF strInfoKey = 'index_name' THEN
			strRt	:= '【52】 巻き押え動作';
		ELSIF strInfoKey = 'model' THEN
			strRt	:= 'unknown';</v>
      </c>
      <c r="AI44" t="str">
        <f ca="1"/>
        <v xml:space="preserve">
	//巻き押え動作
	ELSIF uiInfoIdx = 2 THEN
		IF strInfoKey = 'name' THEN
			strRt	:= '巻き押え動作';
		ELSIF strInfoKey = 'index_name' THEN
			strRt	:= '【52】 巻き押え動作';
		ELSIF strInfoKey = 'model' THEN
			strRt	:= 'unknown';
		ELSIF strInfoKey = 'mf' THEN</v>
      </c>
      <c r="AJ44" t="str">
        <f ca="1"/>
        <v xml:space="preserve">
	//巻き押え動作
	ELSIF uiInfoIdx = 2 THEN
		IF strInfoKey = 'name' THEN
			strRt	:= '巻き押え動作';
		ELSIF strInfoKey = 'index_name' THEN
			strRt	:= '【52】 巻き押え動作';
		ELSIF strInfoKey = 'model' THEN
			strRt	:= 'unknown';
		ELSIF strInfoKey = 'mf' THEN
			strRt	:= 'unknown';</v>
      </c>
      <c r="AK44" t="str">
        <f ca="1"/>
        <v xml:space="preserve">
	//巻き押え動作
	ELSIF uiInfoIdx = 2 THEN
		IF strInfoKey = 'name' THEN
			strRt	:= '巻き押え動作';
		ELSIF strInfoKey = 'index_name' THEN
			strRt	:= '【52】 巻き押え動作';
		ELSIF strInfoKey = 'model' THEN
			strRt	:= 'unknown';
		ELSIF strInfoKey = 'mf' THEN
			strRt	:= 'unknown';
		ELSE
			uiErrCode	:= 3;
		END_IF;</v>
      </c>
      <c r="AL44" t="str">
        <f ca="1"/>
        <v xml:space="preserve">
	//巻き押え動作
	ELSIF uiInfoIdx = 2 THEN
		IF strInfoKey = 'name' THEN
			strRt	:= '巻き押え動作';
		ELSIF strInfoKey = 'index_name' THEN
			strRt	:= '【52】 巻き押え動作';
		ELSIF strInfoKey = 'model' THEN
			strRt	:= 'unknown';
		ELSIF strInfoKey = 'mf' THEN
			strRt	:= 'unknown';
		ELSE
			uiErrCode	:= 3;
		END_IF;</v>
      </c>
      <c r="AM44" t="str">
        <f ca="1"/>
        <v xml:space="preserve">
	//巻き押え動作
	ELSIF uiInfoIdx = 2 THEN
		IF strInfoKey = 'name' THEN
			strRt	:= '巻き押え動作';
		ELSIF strInfoKey = 'index_name' THEN
			strRt	:= '【52】 巻き押え動作';
		ELSIF strInfoKey = 'model' THEN
			strRt	:= 'unknown';
		ELSIF strInfoKey = 'mf' THEN
			strRt	:= 'unknown';
		ELSE
			uiErrCode	:= 3;
		END_IF;</v>
      </c>
    </row>
    <row r="45" spans="6:39" x14ac:dyDescent="0.55000000000000004">
      <c r="F45">
        <f t="shared" si="1"/>
        <v>5</v>
      </c>
      <c r="G45" t="str">
        <f t="shared" si="4"/>
        <v>5</v>
      </c>
      <c r="H45">
        <f>COUNTIF(G$3:G45,G45)</f>
        <v>3</v>
      </c>
      <c r="I45" t="str">
        <v/>
      </c>
      <c r="J45">
        <v>24</v>
      </c>
      <c r="K45" t="str">
        <f ca="1"/>
        <v>溶接動作</v>
      </c>
      <c r="L45" t="str">
        <f ca="1"/>
        <v>溶接動作</v>
      </c>
      <c r="N45" t="str">
        <f ca="1"/>
        <v>【53】 溶接動作</v>
      </c>
      <c r="O45" t="str">
        <v/>
      </c>
      <c r="P45" t="str">
        <v>unknown</v>
      </c>
      <c r="Q45" t="str">
        <f ca="1"/>
        <v/>
      </c>
      <c r="R45" t="str">
        <f ca="1"/>
        <v>unknown</v>
      </c>
      <c r="Z45" t="str">
        <f ca="1"/>
        <v xml:space="preserve">
</v>
      </c>
      <c r="AA45" t="str">
        <f ca="1"/>
        <v xml:space="preserve">
</v>
      </c>
      <c r="AB45" t="str">
        <f ca="1"/>
        <v xml:space="preserve">
	//溶接動作
	ELSIF uiInfoIdx = 3 THEN</v>
      </c>
      <c r="AC45" t="str">
        <f ca="1"/>
        <v xml:space="preserve">
	//溶接動作
	ELSIF uiInfoIdx = 3 THEN
		IF strInfoKey = 'name' THEN</v>
      </c>
      <c r="AD45" t="str">
        <f ca="1"/>
        <v xml:space="preserve">
	//溶接動作
	ELSIF uiInfoIdx = 3 THEN
		IF strInfoKey = 'name' THEN
			strRt	:= '溶接動作';</v>
      </c>
      <c r="AE45" t="str">
        <f ca="1"/>
        <v xml:space="preserve">
	//溶接動作
	ELSIF uiInfoIdx = 3 THEN
		IF strInfoKey = 'name' THEN
			strRt	:= '溶接動作';
		ELSIF strInfoKey = 'index_name' THEN</v>
      </c>
      <c r="AF45" t="str">
        <f ca="1"/>
        <v xml:space="preserve">
	//溶接動作
	ELSIF uiInfoIdx = 3 THEN
		IF strInfoKey = 'name' THEN
			strRt	:= '溶接動作';
		ELSIF strInfoKey = 'index_name' THEN
			strRt	:= '【53】 溶接動作';</v>
      </c>
      <c r="AG45" t="str">
        <f ca="1"/>
        <v xml:space="preserve">
	//溶接動作
	ELSIF uiInfoIdx = 3 THEN
		IF strInfoKey = 'name' THEN
			strRt	:= '溶接動作';
		ELSIF strInfoKey = 'index_name' THEN
			strRt	:= '【53】 溶接動作';
		ELSIF strInfoKey = 'model' THEN</v>
      </c>
      <c r="AH45" t="str">
        <f ca="1"/>
        <v xml:space="preserve">
	//溶接動作
	ELSIF uiInfoIdx = 3 THEN
		IF strInfoKey = 'name' THEN
			strRt	:= '溶接動作';
		ELSIF strInfoKey = 'index_name' THEN
			strRt	:= '【53】 溶接動作';
		ELSIF strInfoKey = 'model' THEN
			strRt	:= 'unknown';</v>
      </c>
      <c r="AI45" t="str">
        <f ca="1"/>
        <v xml:space="preserve">
	//溶接動作
	ELSIF uiInfoIdx = 3 THEN
		IF strInfoKey = 'name' THEN
			strRt	:= '溶接動作';
		ELSIF strInfoKey = 'index_name' THEN
			strRt	:= '【53】 溶接動作';
		ELSIF strInfoKey = 'model' THEN
			strRt	:= 'unknown';
		ELSIF strInfoKey = 'mf' THEN</v>
      </c>
      <c r="AJ45" t="str">
        <f ca="1"/>
        <v xml:space="preserve">
	//溶接動作
	ELSIF uiInfoIdx = 3 THEN
		IF strInfoKey = 'name' THEN
			strRt	:= '溶接動作';
		ELSIF strInfoKey = 'index_name' THEN
			strRt	:= '【53】 溶接動作';
		ELSIF strInfoKey = 'model' THEN
			strRt	:= 'unknown';
		ELSIF strInfoKey = 'mf' THEN
			strRt	:= 'unknown';</v>
      </c>
      <c r="AK45" t="str">
        <f ca="1"/>
        <v xml:space="preserve">
	//溶接動作
	ELSIF uiInfoIdx = 3 THEN
		IF strInfoKey = 'name' THEN
			strRt	:= '溶接動作';
		ELSIF strInfoKey = 'index_name' THEN
			strRt	:= '【53】 溶接動作';
		ELSIF strInfoKey = 'model' THEN
			strRt	:= 'unknown';
		ELSIF strInfoKey = 'mf' THEN
			strRt	:= 'unknown';
		ELSE
			uiErrCode	:= 3;
		END_IF;</v>
      </c>
      <c r="AL45" t="str">
        <f ca="1"/>
        <v xml:space="preserve">
	//溶接動作
	ELSIF uiInfoIdx = 3 THEN
		IF strInfoKey = 'name' THEN
			strRt	:= '溶接動作';
		ELSIF strInfoKey = 'index_name' THEN
			strRt	:= '【53】 溶接動作';
		ELSIF strInfoKey = 'model' THEN
			strRt	:= 'unknown';
		ELSIF strInfoKey = 'mf' THEN
			strRt	:= 'unknown';
		ELSE
			uiErrCode	:= 3;
		END_IF;</v>
      </c>
      <c r="AM45" t="str">
        <f ca="1"/>
        <v xml:space="preserve">
	//溶接動作
	ELSIF uiInfoIdx = 3 THEN
		IF strInfoKey = 'name' THEN
			strRt	:= '溶接動作';
		ELSIF strInfoKey = 'index_name' THEN
			strRt	:= '【53】 溶接動作';
		ELSIF strInfoKey = 'model' THEN
			strRt	:= 'unknown';
		ELSIF strInfoKey = 'mf' THEN
			strRt	:= 'unknown';
		ELSE
			uiErrCode	:= 3;
		END_IF;</v>
      </c>
    </row>
    <row r="46" spans="6:39" x14ac:dyDescent="0.55000000000000004">
      <c r="F46">
        <f t="shared" si="1"/>
        <v>5</v>
      </c>
      <c r="G46" t="str">
        <f t="shared" si="4"/>
        <v>5</v>
      </c>
      <c r="H46">
        <f>COUNTIF(G$3:G46,G46)</f>
        <v>4</v>
      </c>
      <c r="I46" t="str">
        <v/>
      </c>
      <c r="J46" t="str">
        <v/>
      </c>
      <c r="K46" t="str">
        <f ca="1"/>
        <v/>
      </c>
      <c r="L46" t="str">
        <f ca="1"/>
        <v/>
      </c>
      <c r="N46" t="str">
        <f ca="1"/>
        <v/>
      </c>
      <c r="O46" t="str">
        <v/>
      </c>
      <c r="P46" t="str">
        <v/>
      </c>
      <c r="Q46" t="str">
        <f ca="1"/>
        <v/>
      </c>
      <c r="R46" t="str">
        <f ca="1"/>
        <v/>
      </c>
      <c r="Z46" t="str">
        <f ca="1"/>
        <v/>
      </c>
      <c r="AA46" t="str">
        <f ca="1"/>
        <v/>
      </c>
      <c r="AB46" t="str">
        <f ca="1"/>
        <v/>
      </c>
      <c r="AC46" t="str">
        <f ca="1"/>
        <v/>
      </c>
      <c r="AD46" t="str">
        <f ca="1"/>
        <v/>
      </c>
      <c r="AE46" t="str">
        <f ca="1"/>
        <v/>
      </c>
      <c r="AF46" t="str">
        <f ca="1"/>
        <v/>
      </c>
      <c r="AG46" t="str">
        <f ca="1"/>
        <v/>
      </c>
      <c r="AH46" t="str">
        <f ca="1"/>
        <v/>
      </c>
      <c r="AI46" t="str">
        <f ca="1"/>
        <v/>
      </c>
      <c r="AJ46" t="str">
        <f ca="1"/>
        <v/>
      </c>
      <c r="AK46" t="str">
        <f ca="1"/>
        <v/>
      </c>
      <c r="AL46" t="str">
        <f ca="1"/>
        <v/>
      </c>
      <c r="AM46" t="str">
        <f ca="1"/>
        <v/>
      </c>
    </row>
    <row r="47" spans="6:39" x14ac:dyDescent="0.55000000000000004">
      <c r="F47">
        <f t="shared" si="1"/>
        <v>5</v>
      </c>
      <c r="G47" t="str">
        <f t="shared" si="4"/>
        <v>5</v>
      </c>
      <c r="H47">
        <f>COUNTIF(G$3:G47,G47)</f>
        <v>5</v>
      </c>
      <c r="I47" t="str">
        <v/>
      </c>
      <c r="J47" t="str">
        <v/>
      </c>
      <c r="K47" t="str">
        <f ca="1"/>
        <v/>
      </c>
      <c r="L47" t="str">
        <f ca="1"/>
        <v/>
      </c>
      <c r="N47" t="str">
        <f ca="1"/>
        <v/>
      </c>
      <c r="O47" t="str">
        <v/>
      </c>
      <c r="P47" t="str">
        <v/>
      </c>
      <c r="Q47" t="str">
        <f ca="1"/>
        <v/>
      </c>
      <c r="R47" t="str">
        <f ca="1"/>
        <v/>
      </c>
      <c r="Z47" t="str">
        <f ca="1"/>
        <v/>
      </c>
      <c r="AA47" t="str">
        <f ca="1"/>
        <v/>
      </c>
      <c r="AB47" t="str">
        <f ca="1"/>
        <v/>
      </c>
      <c r="AC47" t="str">
        <f ca="1"/>
        <v/>
      </c>
      <c r="AD47" t="str">
        <f ca="1"/>
        <v/>
      </c>
      <c r="AE47" t="str">
        <f ca="1"/>
        <v/>
      </c>
      <c r="AF47" t="str">
        <f ca="1"/>
        <v/>
      </c>
      <c r="AG47" t="str">
        <f ca="1"/>
        <v/>
      </c>
      <c r="AH47" t="str">
        <f ca="1"/>
        <v/>
      </c>
      <c r="AI47" t="str">
        <f ca="1"/>
        <v/>
      </c>
      <c r="AJ47" t="str">
        <f ca="1"/>
        <v/>
      </c>
      <c r="AK47" t="str">
        <f ca="1"/>
        <v/>
      </c>
      <c r="AL47" t="str">
        <f ca="1"/>
        <v/>
      </c>
      <c r="AM47" t="str">
        <f ca="1"/>
        <v/>
      </c>
    </row>
    <row r="48" spans="6:39" x14ac:dyDescent="0.55000000000000004">
      <c r="F48">
        <f t="shared" si="1"/>
        <v>5</v>
      </c>
      <c r="G48" t="str">
        <f t="shared" si="4"/>
        <v>5</v>
      </c>
      <c r="H48">
        <f>COUNTIF(G$3:G48,G48)</f>
        <v>6</v>
      </c>
      <c r="I48" t="str">
        <v/>
      </c>
      <c r="J48" t="str">
        <v/>
      </c>
      <c r="K48" t="str">
        <f ca="1"/>
        <v/>
      </c>
      <c r="L48" t="str">
        <f ca="1"/>
        <v/>
      </c>
      <c r="N48" t="str">
        <f ca="1"/>
        <v/>
      </c>
      <c r="O48" t="str">
        <v/>
      </c>
      <c r="P48" t="str">
        <v/>
      </c>
      <c r="Q48" t="str">
        <f ca="1"/>
        <v/>
      </c>
      <c r="R48" t="str">
        <f ca="1"/>
        <v/>
      </c>
      <c r="Z48" t="str">
        <f ca="1"/>
        <v/>
      </c>
      <c r="AA48" t="str">
        <f ca="1"/>
        <v/>
      </c>
      <c r="AB48" t="str">
        <f ca="1"/>
        <v/>
      </c>
      <c r="AC48" t="str">
        <f ca="1"/>
        <v/>
      </c>
      <c r="AD48" t="str">
        <f ca="1"/>
        <v/>
      </c>
      <c r="AE48" t="str">
        <f ca="1"/>
        <v/>
      </c>
      <c r="AF48" t="str">
        <f ca="1"/>
        <v/>
      </c>
      <c r="AG48" t="str">
        <f ca="1"/>
        <v/>
      </c>
      <c r="AH48" t="str">
        <f ca="1"/>
        <v/>
      </c>
      <c r="AI48" t="str">
        <f ca="1"/>
        <v/>
      </c>
      <c r="AJ48" t="str">
        <f ca="1"/>
        <v/>
      </c>
      <c r="AK48" t="str">
        <f ca="1"/>
        <v/>
      </c>
      <c r="AL48" t="str">
        <f ca="1"/>
        <v/>
      </c>
      <c r="AM48" t="str">
        <f ca="1"/>
        <v/>
      </c>
    </row>
    <row r="49" spans="6:39" x14ac:dyDescent="0.55000000000000004">
      <c r="F49">
        <f t="shared" si="1"/>
        <v>5</v>
      </c>
      <c r="G49" t="str">
        <f t="shared" si="4"/>
        <v>5</v>
      </c>
      <c r="H49">
        <f>COUNTIF(G$3:G49,G49)</f>
        <v>7</v>
      </c>
      <c r="I49" t="str">
        <v/>
      </c>
      <c r="J49" t="str">
        <v/>
      </c>
      <c r="K49" t="str">
        <f ca="1"/>
        <v/>
      </c>
      <c r="L49" t="str">
        <f ca="1"/>
        <v/>
      </c>
      <c r="N49" t="str">
        <f ca="1"/>
        <v/>
      </c>
      <c r="O49" t="str">
        <v/>
      </c>
      <c r="P49" t="str">
        <v/>
      </c>
      <c r="Q49" t="str">
        <f ca="1"/>
        <v/>
      </c>
      <c r="R49" t="str">
        <f ca="1"/>
        <v/>
      </c>
      <c r="Z49" t="str">
        <f ca="1"/>
        <v/>
      </c>
      <c r="AA49" t="str">
        <f ca="1"/>
        <v/>
      </c>
      <c r="AB49" t="str">
        <f ca="1"/>
        <v/>
      </c>
      <c r="AC49" t="str">
        <f ca="1"/>
        <v/>
      </c>
      <c r="AD49" t="str">
        <f ca="1"/>
        <v/>
      </c>
      <c r="AE49" t="str">
        <f ca="1"/>
        <v/>
      </c>
      <c r="AF49" t="str">
        <f ca="1"/>
        <v/>
      </c>
      <c r="AG49" t="str">
        <f ca="1"/>
        <v/>
      </c>
      <c r="AH49" t="str">
        <f ca="1"/>
        <v/>
      </c>
      <c r="AI49" t="str">
        <f ca="1"/>
        <v/>
      </c>
      <c r="AJ49" t="str">
        <f ca="1"/>
        <v/>
      </c>
      <c r="AK49" t="str">
        <f ca="1"/>
        <v/>
      </c>
      <c r="AL49" t="str">
        <f ca="1"/>
        <v/>
      </c>
      <c r="AM49" t="str">
        <f ca="1"/>
        <v/>
      </c>
    </row>
    <row r="50" spans="6:39" x14ac:dyDescent="0.55000000000000004">
      <c r="F50">
        <f t="shared" si="1"/>
        <v>5</v>
      </c>
      <c r="G50" t="str">
        <f t="shared" si="4"/>
        <v>5</v>
      </c>
      <c r="H50">
        <f>COUNTIF(G$3:G50,G50)</f>
        <v>8</v>
      </c>
      <c r="I50" t="str">
        <v/>
      </c>
      <c r="J50" t="str">
        <v/>
      </c>
      <c r="K50" t="str">
        <f ca="1"/>
        <v/>
      </c>
      <c r="L50" t="str">
        <f ca="1"/>
        <v/>
      </c>
      <c r="N50" t="str">
        <f ca="1"/>
        <v/>
      </c>
      <c r="O50" t="str">
        <v/>
      </c>
      <c r="P50" t="str">
        <v/>
      </c>
      <c r="Q50" t="str">
        <f ca="1"/>
        <v/>
      </c>
      <c r="R50" t="str">
        <f ca="1"/>
        <v/>
      </c>
      <c r="Z50" t="str">
        <f ca="1"/>
        <v/>
      </c>
      <c r="AA50" t="str">
        <f ca="1"/>
        <v/>
      </c>
      <c r="AB50" t="str">
        <f ca="1"/>
        <v/>
      </c>
      <c r="AC50" t="str">
        <f ca="1"/>
        <v/>
      </c>
      <c r="AD50" t="str">
        <f ca="1"/>
        <v/>
      </c>
      <c r="AE50" t="str">
        <f ca="1"/>
        <v/>
      </c>
      <c r="AF50" t="str">
        <f ca="1"/>
        <v/>
      </c>
      <c r="AG50" t="str">
        <f ca="1"/>
        <v/>
      </c>
      <c r="AH50" t="str">
        <f ca="1"/>
        <v/>
      </c>
      <c r="AI50" t="str">
        <f ca="1"/>
        <v/>
      </c>
      <c r="AJ50" t="str">
        <f ca="1"/>
        <v/>
      </c>
      <c r="AK50" t="str">
        <f ca="1"/>
        <v/>
      </c>
      <c r="AL50" t="str">
        <f ca="1"/>
        <v/>
      </c>
      <c r="AM50" t="str">
        <f ca="1"/>
        <v/>
      </c>
    </row>
    <row r="51" spans="6:39" x14ac:dyDescent="0.55000000000000004">
      <c r="F51">
        <f t="shared" si="1"/>
        <v>5</v>
      </c>
      <c r="G51" t="str">
        <f t="shared" si="4"/>
        <v>5</v>
      </c>
      <c r="H51">
        <f>COUNTIF(G$3:G51,G51)</f>
        <v>9</v>
      </c>
      <c r="I51" t="str">
        <v/>
      </c>
      <c r="J51" t="str">
        <v/>
      </c>
      <c r="K51" t="str">
        <f ca="1"/>
        <v/>
      </c>
      <c r="L51" t="str">
        <f ca="1"/>
        <v/>
      </c>
      <c r="N51" t="str">
        <f ca="1"/>
        <v/>
      </c>
      <c r="O51" t="str">
        <v/>
      </c>
      <c r="P51" t="str">
        <v/>
      </c>
      <c r="Q51" t="str">
        <f ca="1"/>
        <v/>
      </c>
      <c r="R51" t="str">
        <f ca="1"/>
        <v/>
      </c>
      <c r="Z51" t="str">
        <f ca="1"/>
        <v/>
      </c>
      <c r="AA51" t="str">
        <f ca="1"/>
        <v/>
      </c>
      <c r="AB51" t="str">
        <f ca="1"/>
        <v/>
      </c>
      <c r="AC51" t="str">
        <f ca="1"/>
        <v/>
      </c>
      <c r="AD51" t="str">
        <f ca="1"/>
        <v/>
      </c>
      <c r="AE51" t="str">
        <f ca="1"/>
        <v/>
      </c>
      <c r="AF51" t="str">
        <f ca="1"/>
        <v/>
      </c>
      <c r="AG51" t="str">
        <f ca="1"/>
        <v/>
      </c>
      <c r="AH51" t="str">
        <f ca="1"/>
        <v/>
      </c>
      <c r="AI51" t="str">
        <f ca="1"/>
        <v/>
      </c>
      <c r="AJ51" t="str">
        <f ca="1"/>
        <v/>
      </c>
      <c r="AK51" t="str">
        <f ca="1"/>
        <v/>
      </c>
      <c r="AL51" t="str">
        <f ca="1"/>
        <v/>
      </c>
      <c r="AM51" t="str">
        <f ca="1"/>
        <v/>
      </c>
    </row>
    <row r="52" spans="6:39" x14ac:dyDescent="0.55000000000000004">
      <c r="F52">
        <f t="shared" si="1"/>
        <v>5</v>
      </c>
      <c r="G52" t="str">
        <f t="shared" si="4"/>
        <v>5</v>
      </c>
      <c r="H52">
        <f>COUNTIF(G$3:G52,G52)</f>
        <v>10</v>
      </c>
      <c r="I52" t="str">
        <v>●</v>
      </c>
      <c r="J52" t="str">
        <v/>
      </c>
      <c r="K52" t="str">
        <f ca="1"/>
        <v/>
      </c>
      <c r="L52" t="str">
        <f ca="1"/>
        <v/>
      </c>
      <c r="N52" t="str">
        <f ca="1"/>
        <v/>
      </c>
      <c r="O52" t="str">
        <v/>
      </c>
      <c r="P52" t="str">
        <v/>
      </c>
      <c r="Q52" t="str">
        <f ca="1"/>
        <v/>
      </c>
      <c r="R52" t="str">
        <f ca="1"/>
        <v/>
      </c>
      <c r="Z52" t="str">
        <f ca="1"/>
        <v/>
      </c>
      <c r="AA52" t="str">
        <f ca="1"/>
        <v/>
      </c>
      <c r="AB52" t="str">
        <f ca="1"/>
        <v/>
      </c>
      <c r="AC52" t="str">
        <f ca="1"/>
        <v/>
      </c>
      <c r="AD52" t="str">
        <f ca="1"/>
        <v/>
      </c>
      <c r="AE52" t="str">
        <f ca="1"/>
        <v/>
      </c>
      <c r="AF52" t="str">
        <f ca="1"/>
        <v/>
      </c>
      <c r="AG52" t="str">
        <f ca="1"/>
        <v/>
      </c>
      <c r="AH52" t="str">
        <f ca="1"/>
        <v/>
      </c>
      <c r="AI52" t="str">
        <f ca="1"/>
        <v/>
      </c>
      <c r="AJ52" t="str">
        <f ca="1"/>
        <v/>
      </c>
      <c r="AK52" t="str">
        <f ca="1"/>
        <v/>
      </c>
      <c r="AL52" t="str">
        <f ca="1"/>
        <v xml:space="preserve">
	ELSE
		uiErrCode	:= 2;
	END_IF;</v>
      </c>
      <c r="AM52" t="str">
        <f ca="1"/>
        <v xml:space="preserve">
	ELSE
		uiErrCode	:= 2;
	END_IF;</v>
      </c>
    </row>
    <row r="53" spans="6:39" x14ac:dyDescent="0.55000000000000004">
      <c r="F53">
        <f>F43+1</f>
        <v>6</v>
      </c>
      <c r="G53" t="str">
        <f t="shared" si="4"/>
        <v>6</v>
      </c>
      <c r="H53">
        <f>COUNTIF(G$3:G53,G53)</f>
        <v>1</v>
      </c>
      <c r="I53" t="str">
        <v/>
      </c>
      <c r="J53">
        <v>25</v>
      </c>
      <c r="K53" t="str">
        <f ca="1"/>
        <v>原点復帰動作</v>
      </c>
      <c r="L53" t="str">
        <f ca="1"/>
        <v>原点復帰動作</v>
      </c>
      <c r="N53" t="str">
        <f ca="1"/>
        <v>【61】 原点復帰動作</v>
      </c>
      <c r="O53" t="str">
        <v/>
      </c>
      <c r="P53" t="str">
        <v>unknown</v>
      </c>
      <c r="Q53" t="str">
        <f ca="1"/>
        <v/>
      </c>
      <c r="R53" t="str">
        <f ca="1"/>
        <v>unknown</v>
      </c>
      <c r="Z53" t="str">
        <f ca="1"/>
        <v xml:space="preserve">
//6</v>
      </c>
      <c r="AA53" t="str">
        <f ca="1"/>
        <v xml:space="preserve">
//6
ELSIF strInfoType = 6 THEN</v>
      </c>
      <c r="AB53" t="str">
        <f ca="1"/>
        <v xml:space="preserve">
//6
ELSIF strInfoType = 6 THEN
	//原点復帰動作
	IF uiInfoIdx = 1 THEN</v>
      </c>
      <c r="AC53" t="str">
        <f ca="1"/>
        <v xml:space="preserve">
//6
ELSIF strInfoType = 6 THEN
	//原点復帰動作
	IF uiInfoIdx = 1 THEN
		IF strInfoKey = 'name' THEN</v>
      </c>
      <c r="AD53" t="str">
        <f ca="1"/>
        <v xml:space="preserve">
//6
ELSIF strInfoType = 6 THEN
	//原点復帰動作
	IF uiInfoIdx = 1 THEN
		IF strInfoKey = 'name' THEN
			strRt	:= '原点復帰動作';</v>
      </c>
      <c r="AE53" t="str">
        <f ca="1"/>
        <v xml:space="preserve">
//6
ELSIF strInfoType = 6 THEN
	//原点復帰動作
	IF uiInfoIdx = 1 THEN
		IF strInfoKey = 'name' THEN
			strRt	:= '原点復帰動作';
		ELSIF strInfoKey = 'index_name' THEN</v>
      </c>
      <c r="AF53" t="str">
        <f ca="1"/>
        <v xml:space="preserve">
//6
ELSIF strInfoType = 6 THEN
	//原点復帰動作
	IF uiInfoIdx = 1 THEN
		IF strInfoKey = 'name' THEN
			strRt	:= '原点復帰動作';
		ELSIF strInfoKey = 'index_name' THEN
			strRt	:= '【61】 原点復帰動作';</v>
      </c>
      <c r="AG53" t="str">
        <f ca="1"/>
        <v xml:space="preserve">
//6
ELSIF strInfoType = 6 THEN
	//原点復帰動作
	IF uiInfoIdx = 1 THEN
		IF strInfoKey = 'name' THEN
			strRt	:= '原点復帰動作';
		ELSIF strInfoKey = 'index_name' THEN
			strRt	:= '【61】 原点復帰動作';
		ELSIF strInfoKey = 'model' THEN</v>
      </c>
      <c r="AH53" t="str">
        <f ca="1"/>
        <v xml:space="preserve">
//6
ELSIF strInfoType = 6 THEN
	//原点復帰動作
	IF uiInfoIdx = 1 THEN
		IF strInfoKey = 'name' THEN
			strRt	:= '原点復帰動作';
		ELSIF strInfoKey = 'index_name' THEN
			strRt	:= '【61】 原点復帰動作';
		ELSIF strInfoKey = 'model' THEN
			strRt	:= 'unknown';</v>
      </c>
      <c r="AI53" t="str">
        <f ca="1"/>
        <v xml:space="preserve">
//6
ELSIF strInfoType = 6 THEN
	//原点復帰動作
	IF uiInfoIdx = 1 THEN
		IF strInfoKey = 'name' THEN
			strRt	:= '原点復帰動作';
		ELSIF strInfoKey = 'index_name' THEN
			strRt	:= '【61】 原点復帰動作';
		ELSIF strInfoKey = 'model' THEN
			strRt	:= 'unknown';
		ELSIF strInfoKey = 'mf' THEN</v>
      </c>
      <c r="AJ53" t="str">
        <f ca="1"/>
        <v xml:space="preserve">
//6
ELSIF strInfoType = 6 THEN
	//原点復帰動作
	IF uiInfoIdx = 1 THEN
		IF strInfoKey = 'name' THEN
			strRt	:= '原点復帰動作';
		ELSIF strInfoKey = 'index_name' THEN
			strRt	:= '【61】 原点復帰動作';
		ELSIF strInfoKey = 'model' THEN
			strRt	:= 'unknown';
		ELSIF strInfoKey = 'mf' THEN
			strRt	:= 'unknown';</v>
      </c>
      <c r="AK53" t="str">
        <f ca="1"/>
        <v xml:space="preserve">
//6
ELSIF strInfoType = 6 THEN
	//原点復帰動作
	IF uiInfoIdx = 1 THEN
		IF strInfoKey = 'name' THEN
			strRt	:= '原点復帰動作';
		ELSIF strInfoKey = 'index_name' THEN
			strRt	:= '【61】 原点復帰動作';
		ELSIF strInfoKey = 'model' THEN
			strRt	:= 'unknown';
		ELSIF strInfoKey = 'mf' THEN
			strRt	:= 'unknown';
		ELSE
			uiErrCode	:= 3;
		END_IF;</v>
      </c>
      <c r="AL53" t="str">
        <f ca="1"/>
        <v xml:space="preserve">
//6
ELSIF strInfoType = 6 THEN
	//原点復帰動作
	IF uiInfoIdx = 1 THEN
		IF strInfoKey = 'name' THEN
			strRt	:= '原点復帰動作';
		ELSIF strInfoKey = 'index_name' THEN
			strRt	:= '【61】 原点復帰動作';
		ELSIF strInfoKey = 'model' THEN
			strRt	:= 'unknown';
		ELSIF strInfoKey = 'mf' THEN
			strRt	:= 'unknown';
		ELSE
			uiErrCode	:= 3;
		END_IF;</v>
      </c>
      <c r="AM53" t="str">
        <f ca="1"/>
        <v xml:space="preserve">
//6
ELSIF strInfoType = 6 THEN
	//原点復帰動作
	IF uiInfoIdx = 1 THEN
		IF strInfoKey = 'name' THEN
			strRt	:= '原点復帰動作';
		ELSIF strInfoKey = 'index_name' THEN
			strRt	:= '【61】 原点復帰動作';
		ELSIF strInfoKey = 'model' THEN
			strRt	:= 'unknown';
		ELSIF strInfoKey = 'mf' THEN
			strRt	:= 'unknown';
		ELSE
			uiErrCode	:= 3;
		END_IF;</v>
      </c>
    </row>
    <row r="54" spans="6:39" x14ac:dyDescent="0.55000000000000004">
      <c r="F54">
        <f t="shared" si="1"/>
        <v>6</v>
      </c>
      <c r="G54" t="str">
        <f t="shared" si="4"/>
        <v>6</v>
      </c>
      <c r="H54">
        <f>COUNTIF(G$3:G54,G54)</f>
        <v>2</v>
      </c>
      <c r="I54" t="str">
        <v/>
      </c>
      <c r="J54">
        <v>26</v>
      </c>
      <c r="K54" t="str">
        <f ca="1"/>
        <v>排出受取り動作</v>
      </c>
      <c r="L54" t="str">
        <f ca="1"/>
        <v>排出受取り動作</v>
      </c>
      <c r="N54" t="str">
        <f ca="1"/>
        <v>【62】 排出受取り動作</v>
      </c>
      <c r="O54" t="str">
        <v/>
      </c>
      <c r="P54" t="str">
        <v>unknown</v>
      </c>
      <c r="Q54" t="str">
        <f ca="1"/>
        <v/>
      </c>
      <c r="R54" t="str">
        <f ca="1"/>
        <v>unknown</v>
      </c>
      <c r="Z54" t="str">
        <f ca="1"/>
        <v xml:space="preserve">
</v>
      </c>
      <c r="AA54" t="str">
        <f ca="1"/>
        <v xml:space="preserve">
</v>
      </c>
      <c r="AB54" t="str">
        <f ca="1"/>
        <v xml:space="preserve">
	//排出受取り動作
	ELSIF uiInfoIdx = 2 THEN</v>
      </c>
      <c r="AC54" t="str">
        <f ca="1"/>
        <v xml:space="preserve">
	//排出受取り動作
	ELSIF uiInfoIdx = 2 THEN
		IF strInfoKey = 'name' THEN</v>
      </c>
      <c r="AD54" t="str">
        <f ca="1"/>
        <v xml:space="preserve">
	//排出受取り動作
	ELSIF uiInfoIdx = 2 THEN
		IF strInfoKey = 'name' THEN
			strRt	:= '排出受取り動作';</v>
      </c>
      <c r="AE54" t="str">
        <f ca="1"/>
        <v xml:space="preserve">
	//排出受取り動作
	ELSIF uiInfoIdx = 2 THEN
		IF strInfoKey = 'name' THEN
			strRt	:= '排出受取り動作';
		ELSIF strInfoKey = 'index_name' THEN</v>
      </c>
      <c r="AF54" t="str">
        <f ca="1"/>
        <v xml:space="preserve">
	//排出受取り動作
	ELSIF uiInfoIdx = 2 THEN
		IF strInfoKey = 'name' THEN
			strRt	:= '排出受取り動作';
		ELSIF strInfoKey = 'index_name' THEN
			strRt	:= '【62】 排出受取り動作';</v>
      </c>
      <c r="AG54" t="str">
        <f ca="1"/>
        <v xml:space="preserve">
	//排出受取り動作
	ELSIF uiInfoIdx = 2 THEN
		IF strInfoKey = 'name' THEN
			strRt	:= '排出受取り動作';
		ELSIF strInfoKey = 'index_name' THEN
			strRt	:= '【62】 排出受取り動作';
		ELSIF strInfoKey = 'model' THEN</v>
      </c>
      <c r="AH54" t="str">
        <f ca="1"/>
        <v xml:space="preserve">
	//排出受取り動作
	ELSIF uiInfoIdx = 2 THEN
		IF strInfoKey = 'name' THEN
			strRt	:= '排出受取り動作';
		ELSIF strInfoKey = 'index_name' THEN
			strRt	:= '【62】 排出受取り動作';
		ELSIF strInfoKey = 'model' THEN
			strRt	:= 'unknown';</v>
      </c>
      <c r="AI54" t="str">
        <f ca="1"/>
        <v xml:space="preserve">
	//排出受取り動作
	ELSIF uiInfoIdx = 2 THEN
		IF strInfoKey = 'name' THEN
			strRt	:= '排出受取り動作';
		ELSIF strInfoKey = 'index_name' THEN
			strRt	:= '【62】 排出受取り動作';
		ELSIF strInfoKey = 'model' THEN
			strRt	:= 'unknown';
		ELSIF strInfoKey = 'mf' THEN</v>
      </c>
      <c r="AJ54" t="str">
        <f ca="1"/>
        <v xml:space="preserve">
	//排出受取り動作
	ELSIF uiInfoIdx = 2 THEN
		IF strInfoKey = 'name' THEN
			strRt	:= '排出受取り動作';
		ELSIF strInfoKey = 'index_name' THEN
			strRt	:= '【62】 排出受取り動作';
		ELSIF strInfoKey = 'model' THEN
			strRt	:= 'unknown';
		ELSIF strInfoKey = 'mf' THEN
			strRt	:= 'unknown';</v>
      </c>
      <c r="AK54" t="str">
        <f ca="1"/>
        <v xml:space="preserve">
	//排出受取り動作
	ELSIF uiInfoIdx = 2 THEN
		IF strInfoKey = 'name' THEN
			strRt	:= '排出受取り動作';
		ELSIF strInfoKey = 'index_name' THEN
			strRt	:= '【62】 排出受取り動作';
		ELSIF strInfoKey = 'model' THEN
			strRt	:= 'unknown';
		ELSIF strInfoKey = 'mf' THEN
			strRt	:= 'unknown';
		ELSE
			uiErrCode	:= 3;
		END_IF;</v>
      </c>
      <c r="AL54" t="str">
        <f ca="1"/>
        <v xml:space="preserve">
	//排出受取り動作
	ELSIF uiInfoIdx = 2 THEN
		IF strInfoKey = 'name' THEN
			strRt	:= '排出受取り動作';
		ELSIF strInfoKey = 'index_name' THEN
			strRt	:= '【62】 排出受取り動作';
		ELSIF strInfoKey = 'model' THEN
			strRt	:= 'unknown';
		ELSIF strInfoKey = 'mf' THEN
			strRt	:= 'unknown';
		ELSE
			uiErrCode	:= 3;
		END_IF;</v>
      </c>
      <c r="AM54" t="str">
        <f ca="1"/>
        <v xml:space="preserve">
	//排出受取り動作
	ELSIF uiInfoIdx = 2 THEN
		IF strInfoKey = 'name' THEN
			strRt	:= '排出受取り動作';
		ELSIF strInfoKey = 'index_name' THEN
			strRt	:= '【62】 排出受取り動作';
		ELSIF strInfoKey = 'model' THEN
			strRt	:= 'unknown';
		ELSIF strInfoKey = 'mf' THEN
			strRt	:= 'unknown';
		ELSE
			uiErrCode	:= 3;
		END_IF;</v>
      </c>
    </row>
    <row r="55" spans="6:39" x14ac:dyDescent="0.55000000000000004">
      <c r="F55">
        <f t="shared" si="1"/>
        <v>6</v>
      </c>
      <c r="G55" t="str">
        <f t="shared" si="4"/>
        <v>6</v>
      </c>
      <c r="H55">
        <f>COUNTIF(G$3:G55,G55)</f>
        <v>3</v>
      </c>
      <c r="I55" t="str">
        <v/>
      </c>
      <c r="J55">
        <v>27</v>
      </c>
      <c r="K55" t="str">
        <f ca="1"/>
        <v>排出受渡し動作</v>
      </c>
      <c r="L55" t="str">
        <f ca="1"/>
        <v>排出受渡し動作</v>
      </c>
      <c r="N55" t="str">
        <f ca="1"/>
        <v>【63】 排出受渡し動作</v>
      </c>
      <c r="O55" t="str">
        <v/>
      </c>
      <c r="P55" t="str">
        <v>unknown</v>
      </c>
      <c r="Q55" t="str">
        <f ca="1"/>
        <v/>
      </c>
      <c r="R55" t="str">
        <f ca="1"/>
        <v>unknown</v>
      </c>
      <c r="Z55" t="str">
        <f ca="1"/>
        <v xml:space="preserve">
</v>
      </c>
      <c r="AA55" t="str">
        <f ca="1"/>
        <v xml:space="preserve">
</v>
      </c>
      <c r="AB55" t="str">
        <f ca="1"/>
        <v xml:space="preserve">
	//排出受渡し動作
	ELSIF uiInfoIdx = 3 THEN</v>
      </c>
      <c r="AC55" t="str">
        <f ca="1"/>
        <v xml:space="preserve">
	//排出受渡し動作
	ELSIF uiInfoIdx = 3 THEN
		IF strInfoKey = 'name' THEN</v>
      </c>
      <c r="AD55" t="str">
        <f ca="1"/>
        <v xml:space="preserve">
	//排出受渡し動作
	ELSIF uiInfoIdx = 3 THEN
		IF strInfoKey = 'name' THEN
			strRt	:= '排出受渡し動作';</v>
      </c>
      <c r="AE55" t="str">
        <f ca="1"/>
        <v xml:space="preserve">
	//排出受渡し動作
	ELSIF uiInfoIdx = 3 THEN
		IF strInfoKey = 'name' THEN
			strRt	:= '排出受渡し動作';
		ELSIF strInfoKey = 'index_name' THEN</v>
      </c>
      <c r="AF55" t="str">
        <f ca="1"/>
        <v xml:space="preserve">
	//排出受渡し動作
	ELSIF uiInfoIdx = 3 THEN
		IF strInfoKey = 'name' THEN
			strRt	:= '排出受渡し動作';
		ELSIF strInfoKey = 'index_name' THEN
			strRt	:= '【63】 排出受渡し動作';</v>
      </c>
      <c r="AG55" t="str">
        <f ca="1"/>
        <v xml:space="preserve">
	//排出受渡し動作
	ELSIF uiInfoIdx = 3 THEN
		IF strInfoKey = 'name' THEN
			strRt	:= '排出受渡し動作';
		ELSIF strInfoKey = 'index_name' THEN
			strRt	:= '【63】 排出受渡し動作';
		ELSIF strInfoKey = 'model' THEN</v>
      </c>
      <c r="AH55" t="str">
        <f ca="1"/>
        <v xml:space="preserve">
	//排出受渡し動作
	ELSIF uiInfoIdx = 3 THEN
		IF strInfoKey = 'name' THEN
			strRt	:= '排出受渡し動作';
		ELSIF strInfoKey = 'index_name' THEN
			strRt	:= '【63】 排出受渡し動作';
		ELSIF strInfoKey = 'model' THEN
			strRt	:= 'unknown';</v>
      </c>
      <c r="AI55" t="str">
        <f ca="1"/>
        <v xml:space="preserve">
	//排出受渡し動作
	ELSIF uiInfoIdx = 3 THEN
		IF strInfoKey = 'name' THEN
			strRt	:= '排出受渡し動作';
		ELSIF strInfoKey = 'index_name' THEN
			strRt	:= '【63】 排出受渡し動作';
		ELSIF strInfoKey = 'model' THEN
			strRt	:= 'unknown';
		ELSIF strInfoKey = 'mf' THEN</v>
      </c>
      <c r="AJ55" t="str">
        <f ca="1"/>
        <v xml:space="preserve">
	//排出受渡し動作
	ELSIF uiInfoIdx = 3 THEN
		IF strInfoKey = 'name' THEN
			strRt	:= '排出受渡し動作';
		ELSIF strInfoKey = 'index_name' THEN
			strRt	:= '【63】 排出受渡し動作';
		ELSIF strInfoKey = 'model' THEN
			strRt	:= 'unknown';
		ELSIF strInfoKey = 'mf' THEN
			strRt	:= 'unknown';</v>
      </c>
      <c r="AK55" t="str">
        <f ca="1"/>
        <v xml:space="preserve">
	//排出受渡し動作
	ELSIF uiInfoIdx = 3 THEN
		IF strInfoKey = 'name' THEN
			strRt	:= '排出受渡し動作';
		ELSIF strInfoKey = 'index_name' THEN
			strRt	:= '【63】 排出受渡し動作';
		ELSIF strInfoKey = 'model' THEN
			strRt	:= 'unknown';
		ELSIF strInfoKey = 'mf' THEN
			strRt	:= 'unknown';
		ELSE
			uiErrCode	:= 3;
		END_IF;</v>
      </c>
      <c r="AL55" t="str">
        <f ca="1"/>
        <v xml:space="preserve">
	//排出受渡し動作
	ELSIF uiInfoIdx = 3 THEN
		IF strInfoKey = 'name' THEN
			strRt	:= '排出受渡し動作';
		ELSIF strInfoKey = 'index_name' THEN
			strRt	:= '【63】 排出受渡し動作';
		ELSIF strInfoKey = 'model' THEN
			strRt	:= 'unknown';
		ELSIF strInfoKey = 'mf' THEN
			strRt	:= 'unknown';
		ELSE
			uiErrCode	:= 3;
		END_IF;</v>
      </c>
      <c r="AM55" t="str">
        <f ca="1"/>
        <v xml:space="preserve">
	//排出受渡し動作
	ELSIF uiInfoIdx = 3 THEN
		IF strInfoKey = 'name' THEN
			strRt	:= '排出受渡し動作';
		ELSIF strInfoKey = 'index_name' THEN
			strRt	:= '【63】 排出受渡し動作';
		ELSIF strInfoKey = 'model' THEN
			strRt	:= 'unknown';
		ELSIF strInfoKey = 'mf' THEN
			strRt	:= 'unknown';
		ELSE
			uiErrCode	:= 3;
		END_IF;</v>
      </c>
    </row>
    <row r="56" spans="6:39" x14ac:dyDescent="0.55000000000000004">
      <c r="F56">
        <f t="shared" si="1"/>
        <v>6</v>
      </c>
      <c r="G56" t="str">
        <f t="shared" si="4"/>
        <v>6</v>
      </c>
      <c r="H56">
        <f>COUNTIF(G$3:G56,G56)</f>
        <v>4</v>
      </c>
      <c r="I56" t="str">
        <v/>
      </c>
      <c r="J56" t="str">
        <v/>
      </c>
      <c r="K56" t="str">
        <f ca="1"/>
        <v/>
      </c>
      <c r="L56" t="str">
        <f ca="1"/>
        <v/>
      </c>
      <c r="N56" t="str">
        <f ca="1"/>
        <v/>
      </c>
      <c r="O56" t="str">
        <v/>
      </c>
      <c r="P56" t="str">
        <v/>
      </c>
      <c r="Q56" t="str">
        <f ca="1"/>
        <v/>
      </c>
      <c r="R56" t="str">
        <f ca="1"/>
        <v/>
      </c>
      <c r="Z56" t="str">
        <f ca="1"/>
        <v/>
      </c>
      <c r="AA56" t="str">
        <f ca="1"/>
        <v/>
      </c>
      <c r="AB56" t="str">
        <f ca="1"/>
        <v/>
      </c>
      <c r="AC56" t="str">
        <f ca="1"/>
        <v/>
      </c>
      <c r="AD56" t="str">
        <f ca="1"/>
        <v/>
      </c>
      <c r="AE56" t="str">
        <f ca="1"/>
        <v/>
      </c>
      <c r="AF56" t="str">
        <f ca="1"/>
        <v/>
      </c>
      <c r="AG56" t="str">
        <f ca="1"/>
        <v/>
      </c>
      <c r="AH56" t="str">
        <f ca="1"/>
        <v/>
      </c>
      <c r="AI56" t="str">
        <f ca="1"/>
        <v/>
      </c>
      <c r="AJ56" t="str">
        <f ca="1"/>
        <v/>
      </c>
      <c r="AK56" t="str">
        <f ca="1"/>
        <v/>
      </c>
      <c r="AL56" t="str">
        <f ca="1"/>
        <v/>
      </c>
      <c r="AM56" t="str">
        <f ca="1"/>
        <v/>
      </c>
    </row>
    <row r="57" spans="6:39" x14ac:dyDescent="0.55000000000000004">
      <c r="F57">
        <f t="shared" si="1"/>
        <v>6</v>
      </c>
      <c r="G57" t="str">
        <f t="shared" si="4"/>
        <v>6</v>
      </c>
      <c r="H57">
        <f>COUNTIF(G$3:G57,G57)</f>
        <v>5</v>
      </c>
      <c r="I57" t="str">
        <v/>
      </c>
      <c r="J57" t="str">
        <v/>
      </c>
      <c r="K57" t="str">
        <f ca="1"/>
        <v/>
      </c>
      <c r="L57" t="str">
        <f ca="1"/>
        <v/>
      </c>
      <c r="N57" t="str">
        <f ca="1"/>
        <v/>
      </c>
      <c r="O57" t="str">
        <v/>
      </c>
      <c r="P57" t="str">
        <v/>
      </c>
      <c r="Q57" t="str">
        <f ca="1"/>
        <v/>
      </c>
      <c r="R57" t="str">
        <f ca="1"/>
        <v/>
      </c>
      <c r="Z57" t="str">
        <f ca="1"/>
        <v/>
      </c>
      <c r="AA57" t="str">
        <f ca="1"/>
        <v/>
      </c>
      <c r="AB57" t="str">
        <f ca="1"/>
        <v/>
      </c>
      <c r="AC57" t="str">
        <f ca="1"/>
        <v/>
      </c>
      <c r="AD57" t="str">
        <f ca="1"/>
        <v/>
      </c>
      <c r="AE57" t="str">
        <f ca="1"/>
        <v/>
      </c>
      <c r="AF57" t="str">
        <f ca="1"/>
        <v/>
      </c>
      <c r="AG57" t="str">
        <f ca="1"/>
        <v/>
      </c>
      <c r="AH57" t="str">
        <f ca="1"/>
        <v/>
      </c>
      <c r="AI57" t="str">
        <f ca="1"/>
        <v/>
      </c>
      <c r="AJ57" t="str">
        <f ca="1"/>
        <v/>
      </c>
      <c r="AK57" t="str">
        <f ca="1"/>
        <v/>
      </c>
      <c r="AL57" t="str">
        <f ca="1"/>
        <v/>
      </c>
      <c r="AM57" t="str">
        <f ca="1"/>
        <v/>
      </c>
    </row>
    <row r="58" spans="6:39" x14ac:dyDescent="0.55000000000000004">
      <c r="F58">
        <f t="shared" si="1"/>
        <v>6</v>
      </c>
      <c r="G58" t="str">
        <f t="shared" si="4"/>
        <v>6</v>
      </c>
      <c r="H58">
        <f>COUNTIF(G$3:G58,G58)</f>
        <v>6</v>
      </c>
      <c r="I58" t="str">
        <v/>
      </c>
      <c r="J58">
        <v>28</v>
      </c>
      <c r="K58" t="str">
        <f ca="1"/>
        <v>計測準備</v>
      </c>
      <c r="L58" t="str">
        <f ca="1"/>
        <v>計測準備</v>
      </c>
      <c r="N58" t="str">
        <f ca="1"/>
        <v>【66】 計測準備</v>
      </c>
      <c r="O58" t="str">
        <v/>
      </c>
      <c r="P58" t="str">
        <v>unknown</v>
      </c>
      <c r="Q58" t="str">
        <f ca="1"/>
        <v/>
      </c>
      <c r="R58" t="str">
        <f ca="1"/>
        <v>unknown</v>
      </c>
      <c r="Z58" t="str">
        <f ca="1"/>
        <v xml:space="preserve">
</v>
      </c>
      <c r="AA58" t="str">
        <f ca="1"/>
        <v xml:space="preserve">
</v>
      </c>
      <c r="AB58" t="str">
        <f ca="1"/>
        <v xml:space="preserve">
	//計測準備
	ELSIF uiInfoIdx = 6 THEN</v>
      </c>
      <c r="AC58" t="str">
        <f ca="1"/>
        <v xml:space="preserve">
	//計測準備
	ELSIF uiInfoIdx = 6 THEN
		IF strInfoKey = 'name' THEN</v>
      </c>
      <c r="AD58" t="str">
        <f ca="1"/>
        <v xml:space="preserve">
	//計測準備
	ELSIF uiInfoIdx = 6 THEN
		IF strInfoKey = 'name' THEN
			strRt	:= '計測準備';</v>
      </c>
      <c r="AE58" t="str">
        <f ca="1"/>
        <v xml:space="preserve">
	//計測準備
	ELSIF uiInfoIdx = 6 THEN
		IF strInfoKey = 'name' THEN
			strRt	:= '計測準備';
		ELSIF strInfoKey = 'index_name' THEN</v>
      </c>
      <c r="AF58" t="str">
        <f ca="1"/>
        <v xml:space="preserve">
	//計測準備
	ELSIF uiInfoIdx = 6 THEN
		IF strInfoKey = 'name' THEN
			strRt	:= '計測準備';
		ELSIF strInfoKey = 'index_name' THEN
			strRt	:= '【66】 計測準備';</v>
      </c>
      <c r="AG58" t="str">
        <f ca="1"/>
        <v xml:space="preserve">
	//計測準備
	ELSIF uiInfoIdx = 6 THEN
		IF strInfoKey = 'name' THEN
			strRt	:= '計測準備';
		ELSIF strInfoKey = 'index_name' THEN
			strRt	:= '【66】 計測準備';
		ELSIF strInfoKey = 'model' THEN</v>
      </c>
      <c r="AH58" t="str">
        <f ca="1"/>
        <v xml:space="preserve">
	//計測準備
	ELSIF uiInfoIdx = 6 THEN
		IF strInfoKey = 'name' THEN
			strRt	:= '計測準備';
		ELSIF strInfoKey = 'index_name' THEN
			strRt	:= '【66】 計測準備';
		ELSIF strInfoKey = 'model' THEN
			strRt	:= 'unknown';</v>
      </c>
      <c r="AI58" t="str">
        <f ca="1"/>
        <v xml:space="preserve">
	//計測準備
	ELSIF uiInfoIdx = 6 THEN
		IF strInfoKey = 'name' THEN
			strRt	:= '計測準備';
		ELSIF strInfoKey = 'index_name' THEN
			strRt	:= '【66】 計測準備';
		ELSIF strInfoKey = 'model' THEN
			strRt	:= 'unknown';
		ELSIF strInfoKey = 'mf' THEN</v>
      </c>
      <c r="AJ58" t="str">
        <f ca="1"/>
        <v xml:space="preserve">
	//計測準備
	ELSIF uiInfoIdx = 6 THEN
		IF strInfoKey = 'name' THEN
			strRt	:= '計測準備';
		ELSIF strInfoKey = 'index_name' THEN
			strRt	:= '【66】 計測準備';
		ELSIF strInfoKey = 'model' THEN
			strRt	:= 'unknown';
		ELSIF strInfoKey = 'mf' THEN
			strRt	:= 'unknown';</v>
      </c>
      <c r="AK58" t="str">
        <f ca="1"/>
        <v xml:space="preserve">
	//計測準備
	ELSIF uiInfoIdx = 6 THEN
		IF strInfoKey = 'name' THEN
			strRt	:= '計測準備';
		ELSIF strInfoKey = 'index_name' THEN
			strRt	:= '【66】 計測準備';
		ELSIF strInfoKey = 'model' THEN
			strRt	:= 'unknown';
		ELSIF strInfoKey = 'mf' THEN
			strRt	:= 'unknown';
		ELSE
			uiErrCode	:= 3;
		END_IF;</v>
      </c>
      <c r="AL58" t="str">
        <f ca="1"/>
        <v xml:space="preserve">
	//計測準備
	ELSIF uiInfoIdx = 6 THEN
		IF strInfoKey = 'name' THEN
			strRt	:= '計測準備';
		ELSIF strInfoKey = 'index_name' THEN
			strRt	:= '【66】 計測準備';
		ELSIF strInfoKey = 'model' THEN
			strRt	:= 'unknown';
		ELSIF strInfoKey = 'mf' THEN
			strRt	:= 'unknown';
		ELSE
			uiErrCode	:= 3;
		END_IF;</v>
      </c>
      <c r="AM58" t="str">
        <f ca="1"/>
        <v xml:space="preserve">
	//計測準備
	ELSIF uiInfoIdx = 6 THEN
		IF strInfoKey = 'name' THEN
			strRt	:= '計測準備';
		ELSIF strInfoKey = 'index_name' THEN
			strRt	:= '【66】 計測準備';
		ELSIF strInfoKey = 'model' THEN
			strRt	:= 'unknown';
		ELSIF strInfoKey = 'mf' THEN
			strRt	:= 'unknown';
		ELSE
			uiErrCode	:= 3;
		END_IF;</v>
      </c>
    </row>
    <row r="59" spans="6:39" x14ac:dyDescent="0.55000000000000004">
      <c r="F59">
        <f t="shared" si="1"/>
        <v>6</v>
      </c>
      <c r="G59" t="str">
        <f t="shared" si="4"/>
        <v>6</v>
      </c>
      <c r="H59">
        <f>COUNTIF(G$3:G59,G59)</f>
        <v>7</v>
      </c>
      <c r="I59" t="str">
        <v/>
      </c>
      <c r="J59">
        <v>29</v>
      </c>
      <c r="K59" t="str">
        <f ca="1"/>
        <v>巻き中測定動作</v>
      </c>
      <c r="L59" t="str">
        <f ca="1"/>
        <v>巻き中測定動作</v>
      </c>
      <c r="N59" t="str">
        <f ca="1"/>
        <v>【67】 巻き中測定動作</v>
      </c>
      <c r="O59" t="str">
        <v/>
      </c>
      <c r="P59" t="str">
        <v>unknown</v>
      </c>
      <c r="Q59" t="str">
        <f ca="1"/>
        <v/>
      </c>
      <c r="R59" t="str">
        <f ca="1"/>
        <v>unknown</v>
      </c>
      <c r="Z59" t="str">
        <f ca="1"/>
        <v xml:space="preserve">
</v>
      </c>
      <c r="AA59" t="str">
        <f ca="1"/>
        <v xml:space="preserve">
</v>
      </c>
      <c r="AB59" t="str">
        <f ca="1"/>
        <v xml:space="preserve">
	//巻き中測定動作
	ELSIF uiInfoIdx = 7 THEN</v>
      </c>
      <c r="AC59" t="str">
        <f ca="1"/>
        <v xml:space="preserve">
	//巻き中測定動作
	ELSIF uiInfoIdx = 7 THEN
		IF strInfoKey = 'name' THEN</v>
      </c>
      <c r="AD59" t="str">
        <f ca="1"/>
        <v xml:space="preserve">
	//巻き中測定動作
	ELSIF uiInfoIdx = 7 THEN
		IF strInfoKey = 'name' THEN
			strRt	:= '巻き中測定動作';</v>
      </c>
      <c r="AE59" t="str">
        <f ca="1"/>
        <v xml:space="preserve">
	//巻き中測定動作
	ELSIF uiInfoIdx = 7 THEN
		IF strInfoKey = 'name' THEN
			strRt	:= '巻き中測定動作';
		ELSIF strInfoKey = 'index_name' THEN</v>
      </c>
      <c r="AF59" t="str">
        <f ca="1"/>
        <v xml:space="preserve">
	//巻き中測定動作
	ELSIF uiInfoIdx = 7 THEN
		IF strInfoKey = 'name' THEN
			strRt	:= '巻き中測定動作';
		ELSIF strInfoKey = 'index_name' THEN
			strRt	:= '【67】 巻き中測定動作';</v>
      </c>
      <c r="AG59" t="str">
        <f ca="1"/>
        <v xml:space="preserve">
	//巻き中測定動作
	ELSIF uiInfoIdx = 7 THEN
		IF strInfoKey = 'name' THEN
			strRt	:= '巻き中測定動作';
		ELSIF strInfoKey = 'index_name' THEN
			strRt	:= '【67】 巻き中測定動作';
		ELSIF strInfoKey = 'model' THEN</v>
      </c>
      <c r="AH59" t="str">
        <f ca="1"/>
        <v xml:space="preserve">
	//巻き中測定動作
	ELSIF uiInfoIdx = 7 THEN
		IF strInfoKey = 'name' THEN
			strRt	:= '巻き中測定動作';
		ELSIF strInfoKey = 'index_name' THEN
			strRt	:= '【67】 巻き中測定動作';
		ELSIF strInfoKey = 'model' THEN
			strRt	:= 'unknown';</v>
      </c>
      <c r="AI59" t="str">
        <f ca="1"/>
        <v xml:space="preserve">
	//巻き中測定動作
	ELSIF uiInfoIdx = 7 THEN
		IF strInfoKey = 'name' THEN
			strRt	:= '巻き中測定動作';
		ELSIF strInfoKey = 'index_name' THEN
			strRt	:= '【67】 巻き中測定動作';
		ELSIF strInfoKey = 'model' THEN
			strRt	:= 'unknown';
		ELSIF strInfoKey = 'mf' THEN</v>
      </c>
      <c r="AJ59" t="str">
        <f ca="1"/>
        <v xml:space="preserve">
	//巻き中測定動作
	ELSIF uiInfoIdx = 7 THEN
		IF strInfoKey = 'name' THEN
			strRt	:= '巻き中測定動作';
		ELSIF strInfoKey = 'index_name' THEN
			strRt	:= '【67】 巻き中測定動作';
		ELSIF strInfoKey = 'model' THEN
			strRt	:= 'unknown';
		ELSIF strInfoKey = 'mf' THEN
			strRt	:= 'unknown';</v>
      </c>
      <c r="AK59" t="str">
        <f ca="1"/>
        <v xml:space="preserve">
	//巻き中測定動作
	ELSIF uiInfoIdx = 7 THEN
		IF strInfoKey = 'name' THEN
			strRt	:= '巻き中測定動作';
		ELSIF strInfoKey = 'index_name' THEN
			strRt	:= '【67】 巻き中測定動作';
		ELSIF strInfoKey = 'model' THEN
			strRt	:= 'unknown';
		ELSIF strInfoKey = 'mf' THEN
			strRt	:= 'unknown';
		ELSE
			uiErrCode	:= 3;
		END_IF;</v>
      </c>
      <c r="AL59" t="str">
        <f ca="1"/>
        <v xml:space="preserve">
	//巻き中測定動作
	ELSIF uiInfoIdx = 7 THEN
		IF strInfoKey = 'name' THEN
			strRt	:= '巻き中測定動作';
		ELSIF strInfoKey = 'index_name' THEN
			strRt	:= '【67】 巻き中測定動作';
		ELSIF strInfoKey = 'model' THEN
			strRt	:= 'unknown';
		ELSIF strInfoKey = 'mf' THEN
			strRt	:= 'unknown';
		ELSE
			uiErrCode	:= 3;
		END_IF;</v>
      </c>
      <c r="AM59" t="str">
        <f ca="1"/>
        <v xml:space="preserve">
	//巻き中測定動作
	ELSIF uiInfoIdx = 7 THEN
		IF strInfoKey = 'name' THEN
			strRt	:= '巻き中測定動作';
		ELSIF strInfoKey = 'index_name' THEN
			strRt	:= '【67】 巻き中測定動作';
		ELSIF strInfoKey = 'model' THEN
			strRt	:= 'unknown';
		ELSIF strInfoKey = 'mf' THEN
			strRt	:= 'unknown';
		ELSE
			uiErrCode	:= 3;
		END_IF;</v>
      </c>
    </row>
    <row r="60" spans="6:39" x14ac:dyDescent="0.55000000000000004">
      <c r="F60">
        <f t="shared" si="1"/>
        <v>6</v>
      </c>
      <c r="G60" t="str">
        <f t="shared" si="4"/>
        <v>6</v>
      </c>
      <c r="H60">
        <f>COUNTIF(G$3:G60,G60)</f>
        <v>8</v>
      </c>
      <c r="I60" t="str">
        <v/>
      </c>
      <c r="J60" t="str">
        <v/>
      </c>
      <c r="K60" t="str">
        <f ca="1"/>
        <v/>
      </c>
      <c r="L60" t="str">
        <f ca="1"/>
        <v/>
      </c>
      <c r="N60" t="str">
        <f ca="1"/>
        <v/>
      </c>
      <c r="O60" t="str">
        <v/>
      </c>
      <c r="P60" t="str">
        <v/>
      </c>
      <c r="Q60" t="str">
        <f ca="1"/>
        <v/>
      </c>
      <c r="R60" t="str">
        <f ca="1"/>
        <v/>
      </c>
      <c r="Z60" t="str">
        <f ca="1"/>
        <v/>
      </c>
      <c r="AA60" t="str">
        <f ca="1"/>
        <v/>
      </c>
      <c r="AB60" t="str">
        <f ca="1"/>
        <v/>
      </c>
      <c r="AC60" t="str">
        <f ca="1"/>
        <v/>
      </c>
      <c r="AD60" t="str">
        <f ca="1"/>
        <v/>
      </c>
      <c r="AE60" t="str">
        <f ca="1"/>
        <v/>
      </c>
      <c r="AF60" t="str">
        <f ca="1"/>
        <v/>
      </c>
      <c r="AG60" t="str">
        <f ca="1"/>
        <v/>
      </c>
      <c r="AH60" t="str">
        <f ca="1"/>
        <v/>
      </c>
      <c r="AI60" t="str">
        <f ca="1"/>
        <v/>
      </c>
      <c r="AJ60" t="str">
        <f ca="1"/>
        <v/>
      </c>
      <c r="AK60" t="str">
        <f ca="1"/>
        <v/>
      </c>
      <c r="AL60" t="str">
        <f ca="1"/>
        <v/>
      </c>
      <c r="AM60" t="str">
        <f ca="1"/>
        <v/>
      </c>
    </row>
    <row r="61" spans="6:39" x14ac:dyDescent="0.55000000000000004">
      <c r="F61">
        <f t="shared" si="1"/>
        <v>6</v>
      </c>
      <c r="G61" t="str">
        <f t="shared" si="4"/>
        <v>6</v>
      </c>
      <c r="H61">
        <f>COUNTIF(G$3:G61,G61)</f>
        <v>9</v>
      </c>
      <c r="I61" t="str">
        <v/>
      </c>
      <c r="J61" t="str">
        <v/>
      </c>
      <c r="K61" t="str">
        <f ca="1"/>
        <v/>
      </c>
      <c r="L61" t="str">
        <f ca="1"/>
        <v/>
      </c>
      <c r="N61" t="str">
        <f ca="1"/>
        <v/>
      </c>
      <c r="O61" t="str">
        <v/>
      </c>
      <c r="P61" t="str">
        <v/>
      </c>
      <c r="Q61" t="str">
        <f ca="1"/>
        <v/>
      </c>
      <c r="R61" t="str">
        <f ca="1"/>
        <v/>
      </c>
      <c r="Z61" t="str">
        <f ca="1"/>
        <v/>
      </c>
      <c r="AA61" t="str">
        <f ca="1"/>
        <v/>
      </c>
      <c r="AB61" t="str">
        <f ca="1"/>
        <v/>
      </c>
      <c r="AC61" t="str">
        <f ca="1"/>
        <v/>
      </c>
      <c r="AD61" t="str">
        <f ca="1"/>
        <v/>
      </c>
      <c r="AE61" t="str">
        <f ca="1"/>
        <v/>
      </c>
      <c r="AF61" t="str">
        <f ca="1"/>
        <v/>
      </c>
      <c r="AG61" t="str">
        <f ca="1"/>
        <v/>
      </c>
      <c r="AH61" t="str">
        <f ca="1"/>
        <v/>
      </c>
      <c r="AI61" t="str">
        <f ca="1"/>
        <v/>
      </c>
      <c r="AJ61" t="str">
        <f ca="1"/>
        <v/>
      </c>
      <c r="AK61" t="str">
        <f ca="1"/>
        <v/>
      </c>
      <c r="AL61" t="str">
        <f ca="1"/>
        <v/>
      </c>
      <c r="AM61" t="str">
        <f ca="1"/>
        <v/>
      </c>
    </row>
    <row r="62" spans="6:39" x14ac:dyDescent="0.55000000000000004">
      <c r="F62">
        <f t="shared" si="1"/>
        <v>6</v>
      </c>
      <c r="G62" t="str">
        <f t="shared" si="4"/>
        <v>6</v>
      </c>
      <c r="H62">
        <f>COUNTIF(G$3:G62,G62)</f>
        <v>10</v>
      </c>
      <c r="I62" t="str">
        <v>●</v>
      </c>
      <c r="J62" t="str">
        <v/>
      </c>
      <c r="K62" t="str">
        <f ca="1"/>
        <v/>
      </c>
      <c r="L62" t="str">
        <f ca="1"/>
        <v/>
      </c>
      <c r="N62" t="str">
        <f ca="1"/>
        <v/>
      </c>
      <c r="O62" t="str">
        <v/>
      </c>
      <c r="P62" t="str">
        <v/>
      </c>
      <c r="Q62" t="str">
        <f ca="1"/>
        <v/>
      </c>
      <c r="R62" t="str">
        <f ca="1"/>
        <v/>
      </c>
      <c r="Z62" t="str">
        <f ca="1"/>
        <v/>
      </c>
      <c r="AA62" t="str">
        <f ca="1"/>
        <v/>
      </c>
      <c r="AB62" t="str">
        <f ca="1"/>
        <v/>
      </c>
      <c r="AC62" t="str">
        <f ca="1"/>
        <v/>
      </c>
      <c r="AD62" t="str">
        <f ca="1"/>
        <v/>
      </c>
      <c r="AE62" t="str">
        <f ca="1"/>
        <v/>
      </c>
      <c r="AF62" t="str">
        <f ca="1"/>
        <v/>
      </c>
      <c r="AG62" t="str">
        <f ca="1"/>
        <v/>
      </c>
      <c r="AH62" t="str">
        <f ca="1"/>
        <v/>
      </c>
      <c r="AI62" t="str">
        <f ca="1"/>
        <v/>
      </c>
      <c r="AJ62" t="str">
        <f ca="1"/>
        <v/>
      </c>
      <c r="AK62" t="str">
        <f ca="1"/>
        <v/>
      </c>
      <c r="AL62" t="str">
        <f ca="1"/>
        <v xml:space="preserve">
	ELSE
		uiErrCode	:= 2;
	END_IF;</v>
      </c>
      <c r="AM62" t="str">
        <f ca="1"/>
        <v xml:space="preserve">
	ELSE
		uiErrCode	:= 2;
	END_IF;</v>
      </c>
    </row>
    <row r="63" spans="6:39" x14ac:dyDescent="0.55000000000000004">
      <c r="F63">
        <f>F53+1</f>
        <v>7</v>
      </c>
      <c r="G63" t="str">
        <f t="shared" ref="G63:G96" si="5">E63&amp;F63</f>
        <v>7</v>
      </c>
      <c r="H63">
        <f>COUNTIF(G$3:G63,G63)</f>
        <v>1</v>
      </c>
      <c r="I63" t="str">
        <v/>
      </c>
      <c r="J63">
        <v>30</v>
      </c>
      <c r="K63" t="str">
        <f ca="1"/>
        <v>ひらき動作</v>
      </c>
      <c r="L63" t="str">
        <f ca="1"/>
        <v>ひらき動作</v>
      </c>
      <c r="N63" t="str">
        <f ca="1"/>
        <v>【71】 ひらき動作</v>
      </c>
      <c r="O63" t="str">
        <v/>
      </c>
      <c r="P63" t="str">
        <v>unknown</v>
      </c>
      <c r="Q63" t="str">
        <f ca="1"/>
        <v/>
      </c>
      <c r="R63" t="str">
        <f ca="1"/>
        <v>unknown</v>
      </c>
      <c r="Z63" t="str">
        <f ca="1"/>
        <v xml:space="preserve">
//7</v>
      </c>
      <c r="AA63" t="str">
        <f ca="1"/>
        <v xml:space="preserve">
//7
ELSIF strInfoType = 7 THEN</v>
      </c>
      <c r="AB63" t="str">
        <f ca="1"/>
        <v xml:space="preserve">
//7
ELSIF strInfoType = 7 THEN
	//ひらき動作
	IF uiInfoIdx = 1 THEN</v>
      </c>
      <c r="AC63" t="str">
        <f ca="1"/>
        <v xml:space="preserve">
//7
ELSIF strInfoType = 7 THEN
	//ひらき動作
	IF uiInfoIdx = 1 THEN
		IF strInfoKey = 'name' THEN</v>
      </c>
      <c r="AD63" t="str">
        <f ca="1"/>
        <v xml:space="preserve">
//7
ELSIF strInfoType = 7 THEN
	//ひらき動作
	IF uiInfoIdx = 1 THEN
		IF strInfoKey = 'name' THEN
			strRt	:= 'ひらき動作';</v>
      </c>
      <c r="AE63" t="str">
        <f ca="1"/>
        <v xml:space="preserve">
//7
ELSIF strInfoType = 7 THEN
	//ひらき動作
	IF uiInfoIdx = 1 THEN
		IF strInfoKey = 'name' THEN
			strRt	:= 'ひらき動作';
		ELSIF strInfoKey = 'index_name' THEN</v>
      </c>
      <c r="AF63" t="str">
        <f ca="1"/>
        <v xml:space="preserve">
//7
ELSIF strInfoType = 7 THEN
	//ひらき動作
	IF uiInfoIdx = 1 THEN
		IF strInfoKey = 'name' THEN
			strRt	:= 'ひらき動作';
		ELSIF strInfoKey = 'index_name' THEN
			strRt	:= '【71】 ひらき動作';</v>
      </c>
      <c r="AG63" t="str">
        <f ca="1"/>
        <v xml:space="preserve">
//7
ELSIF strInfoType = 7 THEN
	//ひらき動作
	IF uiInfoIdx = 1 THEN
		IF strInfoKey = 'name' THEN
			strRt	:= 'ひらき動作';
		ELSIF strInfoKey = 'index_name' THEN
			strRt	:= '【71】 ひらき動作';
		ELSIF strInfoKey = 'model' THEN</v>
      </c>
      <c r="AH63" t="str">
        <f ca="1"/>
        <v xml:space="preserve">
//7
ELSIF strInfoType = 7 THEN
	//ひらき動作
	IF uiInfoIdx = 1 THEN
		IF strInfoKey = 'name' THEN
			strRt	:= 'ひらき動作';
		ELSIF strInfoKey = 'index_name' THEN
			strRt	:= '【71】 ひらき動作';
		ELSIF strInfoKey = 'model' THEN
			strRt	:= 'unknown';</v>
      </c>
      <c r="AI63" t="str">
        <f ca="1"/>
        <v xml:space="preserve">
//7
ELSIF strInfoType = 7 THEN
	//ひらき動作
	IF uiInfoIdx = 1 THEN
		IF strInfoKey = 'name' THEN
			strRt	:= 'ひらき動作';
		ELSIF strInfoKey = 'index_name' THEN
			strRt	:= '【71】 ひらき動作';
		ELSIF strInfoKey = 'model' THEN
			strRt	:= 'unknown';
		ELSIF strInfoKey = 'mf' THEN</v>
      </c>
      <c r="AJ63" t="str">
        <f ca="1"/>
        <v xml:space="preserve">
//7
ELSIF strInfoType = 7 THEN
	//ひらき動作
	IF uiInfoIdx = 1 THEN
		IF strInfoKey = 'name' THEN
			strRt	:= 'ひらき動作';
		ELSIF strInfoKey = 'index_name' THEN
			strRt	:= '【71】 ひらき動作';
		ELSIF strInfoKey = 'model' THEN
			strRt	:= 'unknown';
		ELSIF strInfoKey = 'mf' THEN
			strRt	:= 'unknown';</v>
      </c>
      <c r="AK63" t="str">
        <f ca="1"/>
        <v xml:space="preserve">
//7
ELSIF strInfoType = 7 THEN
	//ひらき動作
	IF uiInfoIdx = 1 THEN
		IF strInfoKey = 'name' THEN
			strRt	:= 'ひらき動作';
		ELSIF strInfoKey = 'index_name' THEN
			strRt	:= '【71】 ひらき動作';
		ELSIF strInfoKey = 'model' THEN
			strRt	:= 'unknown';
		ELSIF strInfoKey = 'mf' THEN
			strRt	:= 'unknown';
		ELSE
			uiErrCode	:= 3;
		END_IF;</v>
      </c>
      <c r="AL63" t="str">
        <f ca="1"/>
        <v xml:space="preserve">
//7
ELSIF strInfoType = 7 THEN
	//ひらき動作
	IF uiInfoIdx = 1 THEN
		IF strInfoKey = 'name' THEN
			strRt	:= 'ひらき動作';
		ELSIF strInfoKey = 'index_name' THEN
			strRt	:= '【71】 ひらき動作';
		ELSIF strInfoKey = 'model' THEN
			strRt	:= 'unknown';
		ELSIF strInfoKey = 'mf' THEN
			strRt	:= 'unknown';
		ELSE
			uiErrCode	:= 3;
		END_IF;</v>
      </c>
      <c r="AM63" t="str">
        <f ca="1"/>
        <v xml:space="preserve">
//7
ELSIF strInfoType = 7 THEN
	//ひらき動作
	IF uiInfoIdx = 1 THEN
		IF strInfoKey = 'name' THEN
			strRt	:= 'ひらき動作';
		ELSIF strInfoKey = 'index_name' THEN
			strRt	:= '【71】 ひらき動作';
		ELSIF strInfoKey = 'model' THEN
			strRt	:= 'unknown';
		ELSIF strInfoKey = 'mf' THEN
			strRt	:= 'unknown';
		ELSE
			uiErrCode	:= 3;
		END_IF;</v>
      </c>
    </row>
    <row r="64" spans="6:39" x14ac:dyDescent="0.55000000000000004">
      <c r="F64">
        <f t="shared" si="1"/>
        <v>7</v>
      </c>
      <c r="G64" t="str">
        <f t="shared" si="5"/>
        <v>7</v>
      </c>
      <c r="H64">
        <f>COUNTIF(G$3:G64,G64)</f>
        <v>2</v>
      </c>
      <c r="I64" t="str">
        <v/>
      </c>
      <c r="J64">
        <v>31</v>
      </c>
      <c r="K64" t="str">
        <f ca="1"/>
        <v>とじ動作</v>
      </c>
      <c r="L64" t="str">
        <f ca="1"/>
        <v>とじ動作</v>
      </c>
      <c r="N64" t="str">
        <f ca="1"/>
        <v>【72】 とじ動作</v>
      </c>
      <c r="O64" t="str">
        <v/>
      </c>
      <c r="P64" t="str">
        <v>unknown</v>
      </c>
      <c r="Q64" t="str">
        <f ca="1"/>
        <v/>
      </c>
      <c r="R64" t="str">
        <f ca="1"/>
        <v>unknown</v>
      </c>
      <c r="Z64" t="str">
        <f ca="1"/>
        <v xml:space="preserve">
</v>
      </c>
      <c r="AA64" t="str">
        <f ca="1"/>
        <v xml:space="preserve">
</v>
      </c>
      <c r="AB64" t="str">
        <f ca="1"/>
        <v xml:space="preserve">
	//とじ動作
	ELSIF uiInfoIdx = 2 THEN</v>
      </c>
      <c r="AC64" t="str">
        <f ca="1"/>
        <v xml:space="preserve">
	//とじ動作
	ELSIF uiInfoIdx = 2 THEN
		IF strInfoKey = 'name' THEN</v>
      </c>
      <c r="AD64" t="str">
        <f ca="1"/>
        <v xml:space="preserve">
	//とじ動作
	ELSIF uiInfoIdx = 2 THEN
		IF strInfoKey = 'name' THEN
			strRt	:= 'とじ動作';</v>
      </c>
      <c r="AE64" t="str">
        <f ca="1"/>
        <v xml:space="preserve">
	//とじ動作
	ELSIF uiInfoIdx = 2 THEN
		IF strInfoKey = 'name' THEN
			strRt	:= 'とじ動作';
		ELSIF strInfoKey = 'index_name' THEN</v>
      </c>
      <c r="AF64" t="str">
        <f ca="1"/>
        <v xml:space="preserve">
	//とじ動作
	ELSIF uiInfoIdx = 2 THEN
		IF strInfoKey = 'name' THEN
			strRt	:= 'とじ動作';
		ELSIF strInfoKey = 'index_name' THEN
			strRt	:= '【72】 とじ動作';</v>
      </c>
      <c r="AG64" t="str">
        <f ca="1"/>
        <v xml:space="preserve">
	//とじ動作
	ELSIF uiInfoIdx = 2 THEN
		IF strInfoKey = 'name' THEN
			strRt	:= 'とじ動作';
		ELSIF strInfoKey = 'index_name' THEN
			strRt	:= '【72】 とじ動作';
		ELSIF strInfoKey = 'model' THEN</v>
      </c>
      <c r="AH64" t="str">
        <f ca="1"/>
        <v xml:space="preserve">
	//とじ動作
	ELSIF uiInfoIdx = 2 THEN
		IF strInfoKey = 'name' THEN
			strRt	:= 'とじ動作';
		ELSIF strInfoKey = 'index_name' THEN
			strRt	:= '【72】 とじ動作';
		ELSIF strInfoKey = 'model' THEN
			strRt	:= 'unknown';</v>
      </c>
      <c r="AI64" t="str">
        <f ca="1"/>
        <v xml:space="preserve">
	//とじ動作
	ELSIF uiInfoIdx = 2 THEN
		IF strInfoKey = 'name' THEN
			strRt	:= 'とじ動作';
		ELSIF strInfoKey = 'index_name' THEN
			strRt	:= '【72】 とじ動作';
		ELSIF strInfoKey = 'model' THEN
			strRt	:= 'unknown';
		ELSIF strInfoKey = 'mf' THEN</v>
      </c>
      <c r="AJ64" t="str">
        <f ca="1"/>
        <v xml:space="preserve">
	//とじ動作
	ELSIF uiInfoIdx = 2 THEN
		IF strInfoKey = 'name' THEN
			strRt	:= 'とじ動作';
		ELSIF strInfoKey = 'index_name' THEN
			strRt	:= '【72】 とじ動作';
		ELSIF strInfoKey = 'model' THEN
			strRt	:= 'unknown';
		ELSIF strInfoKey = 'mf' THEN
			strRt	:= 'unknown';</v>
      </c>
      <c r="AK64" t="str">
        <f ca="1"/>
        <v xml:space="preserve">
	//とじ動作
	ELSIF uiInfoIdx = 2 THEN
		IF strInfoKey = 'name' THEN
			strRt	:= 'とじ動作';
		ELSIF strInfoKey = 'index_name' THEN
			strRt	:= '【72】 とじ動作';
		ELSIF strInfoKey = 'model' THEN
			strRt	:= 'unknown';
		ELSIF strInfoKey = 'mf' THEN
			strRt	:= 'unknown';
		ELSE
			uiErrCode	:= 3;
		END_IF;</v>
      </c>
      <c r="AL64" t="str">
        <f ca="1"/>
        <v xml:space="preserve">
	//とじ動作
	ELSIF uiInfoIdx = 2 THEN
		IF strInfoKey = 'name' THEN
			strRt	:= 'とじ動作';
		ELSIF strInfoKey = 'index_name' THEN
			strRt	:= '【72】 とじ動作';
		ELSIF strInfoKey = 'model' THEN
			strRt	:= 'unknown';
		ELSIF strInfoKey = 'mf' THEN
			strRt	:= 'unknown';
		ELSE
			uiErrCode	:= 3;
		END_IF;</v>
      </c>
      <c r="AM64" t="str">
        <f ca="1"/>
        <v xml:space="preserve">
	//とじ動作
	ELSIF uiInfoIdx = 2 THEN
		IF strInfoKey = 'name' THEN
			strRt	:= 'とじ動作';
		ELSIF strInfoKey = 'index_name' THEN
			strRt	:= '【72】 とじ動作';
		ELSIF strInfoKey = 'model' THEN
			strRt	:= 'unknown';
		ELSIF strInfoKey = 'mf' THEN
			strRt	:= 'unknown';
		ELSE
			uiErrCode	:= 3;
		END_IF;</v>
      </c>
    </row>
    <row r="65" spans="6:39" x14ac:dyDescent="0.55000000000000004">
      <c r="F65">
        <f t="shared" si="1"/>
        <v>7</v>
      </c>
      <c r="G65" t="str">
        <f t="shared" si="5"/>
        <v>7</v>
      </c>
      <c r="H65">
        <f>COUNTIF(G$3:G65,G65)</f>
        <v>3</v>
      </c>
      <c r="I65" t="str">
        <v/>
      </c>
      <c r="J65" t="str">
        <v/>
      </c>
      <c r="K65" t="str">
        <f ca="1"/>
        <v/>
      </c>
      <c r="L65" t="str">
        <f ca="1"/>
        <v/>
      </c>
      <c r="N65" t="str">
        <f ca="1"/>
        <v/>
      </c>
      <c r="O65" t="str">
        <v/>
      </c>
      <c r="P65" t="str">
        <v/>
      </c>
      <c r="Q65" t="str">
        <f ca="1"/>
        <v/>
      </c>
      <c r="R65" t="str">
        <f ca="1"/>
        <v/>
      </c>
      <c r="Z65" t="str">
        <f ca="1"/>
        <v/>
      </c>
      <c r="AA65" t="str">
        <f ca="1"/>
        <v/>
      </c>
      <c r="AB65" t="str">
        <f ca="1"/>
        <v/>
      </c>
      <c r="AC65" t="str">
        <f ca="1"/>
        <v/>
      </c>
      <c r="AD65" t="str">
        <f ca="1"/>
        <v/>
      </c>
      <c r="AE65" t="str">
        <f ca="1"/>
        <v/>
      </c>
      <c r="AF65" t="str">
        <f ca="1"/>
        <v/>
      </c>
      <c r="AG65" t="str">
        <f ca="1"/>
        <v/>
      </c>
      <c r="AH65" t="str">
        <f ca="1"/>
        <v/>
      </c>
      <c r="AI65" t="str">
        <f ca="1"/>
        <v/>
      </c>
      <c r="AJ65" t="str">
        <f ca="1"/>
        <v/>
      </c>
      <c r="AK65" t="str">
        <f ca="1"/>
        <v/>
      </c>
      <c r="AL65" t="str">
        <f ca="1"/>
        <v/>
      </c>
      <c r="AM65" t="str">
        <f ca="1"/>
        <v/>
      </c>
    </row>
    <row r="66" spans="6:39" x14ac:dyDescent="0.55000000000000004">
      <c r="F66">
        <f t="shared" si="1"/>
        <v>7</v>
      </c>
      <c r="G66" t="str">
        <f t="shared" si="5"/>
        <v>7</v>
      </c>
      <c r="H66">
        <f>COUNTIF(G$3:G66,G66)</f>
        <v>4</v>
      </c>
      <c r="I66" t="str">
        <v/>
      </c>
      <c r="J66" t="str">
        <v/>
      </c>
      <c r="K66" t="str">
        <f ca="1"/>
        <v/>
      </c>
      <c r="L66" t="str">
        <f ca="1"/>
        <v/>
      </c>
      <c r="N66" t="str">
        <f ca="1"/>
        <v/>
      </c>
      <c r="O66" t="str">
        <v/>
      </c>
      <c r="P66" t="str">
        <v/>
      </c>
      <c r="Q66" t="str">
        <f ca="1"/>
        <v/>
      </c>
      <c r="R66" t="str">
        <f ca="1"/>
        <v/>
      </c>
      <c r="Z66" t="str">
        <f ca="1"/>
        <v/>
      </c>
      <c r="AA66" t="str">
        <f ca="1"/>
        <v/>
      </c>
      <c r="AB66" t="str">
        <f ca="1"/>
        <v/>
      </c>
      <c r="AC66" t="str">
        <f ca="1"/>
        <v/>
      </c>
      <c r="AD66" t="str">
        <f ca="1"/>
        <v/>
      </c>
      <c r="AE66" t="str">
        <f ca="1"/>
        <v/>
      </c>
      <c r="AF66" t="str">
        <f ca="1"/>
        <v/>
      </c>
      <c r="AG66" t="str">
        <f ca="1"/>
        <v/>
      </c>
      <c r="AH66" t="str">
        <f ca="1"/>
        <v/>
      </c>
      <c r="AI66" t="str">
        <f ca="1"/>
        <v/>
      </c>
      <c r="AJ66" t="str">
        <f ca="1"/>
        <v/>
      </c>
      <c r="AK66" t="str">
        <f ca="1"/>
        <v/>
      </c>
      <c r="AL66" t="str">
        <f ca="1"/>
        <v/>
      </c>
      <c r="AM66" t="str">
        <f ca="1"/>
        <v/>
      </c>
    </row>
    <row r="67" spans="6:39" x14ac:dyDescent="0.55000000000000004">
      <c r="F67">
        <f t="shared" si="1"/>
        <v>7</v>
      </c>
      <c r="G67" t="str">
        <f t="shared" si="5"/>
        <v>7</v>
      </c>
      <c r="H67">
        <f>COUNTIF(G$3:G67,G67)</f>
        <v>5</v>
      </c>
      <c r="I67" t="str">
        <v/>
      </c>
      <c r="J67" t="str">
        <v/>
      </c>
      <c r="K67" t="str">
        <f ca="1"/>
        <v/>
      </c>
      <c r="L67" t="str">
        <f ca="1"/>
        <v/>
      </c>
      <c r="N67" t="str">
        <f ca="1"/>
        <v/>
      </c>
      <c r="O67" t="str">
        <v/>
      </c>
      <c r="P67" t="str">
        <v/>
      </c>
      <c r="Q67" t="str">
        <f ca="1"/>
        <v/>
      </c>
      <c r="R67" t="str">
        <f ca="1"/>
        <v/>
      </c>
      <c r="Z67" t="str">
        <f ca="1"/>
        <v/>
      </c>
      <c r="AA67" t="str">
        <f ca="1"/>
        <v/>
      </c>
      <c r="AB67" t="str">
        <f ca="1"/>
        <v/>
      </c>
      <c r="AC67" t="str">
        <f ca="1"/>
        <v/>
      </c>
      <c r="AD67" t="str">
        <f ca="1"/>
        <v/>
      </c>
      <c r="AE67" t="str">
        <f ca="1"/>
        <v/>
      </c>
      <c r="AF67" t="str">
        <f ca="1"/>
        <v/>
      </c>
      <c r="AG67" t="str">
        <f ca="1"/>
        <v/>
      </c>
      <c r="AH67" t="str">
        <f ca="1"/>
        <v/>
      </c>
      <c r="AI67" t="str">
        <f ca="1"/>
        <v/>
      </c>
      <c r="AJ67" t="str">
        <f ca="1"/>
        <v/>
      </c>
      <c r="AK67" t="str">
        <f ca="1"/>
        <v/>
      </c>
      <c r="AL67" t="str">
        <f ca="1"/>
        <v/>
      </c>
      <c r="AM67" t="str">
        <f ca="1"/>
        <v/>
      </c>
    </row>
    <row r="68" spans="6:39" x14ac:dyDescent="0.55000000000000004">
      <c r="F68">
        <f t="shared" si="1"/>
        <v>7</v>
      </c>
      <c r="G68" t="str">
        <f t="shared" si="5"/>
        <v>7</v>
      </c>
      <c r="H68">
        <f>COUNTIF(G$3:G68,G68)</f>
        <v>6</v>
      </c>
      <c r="I68" t="str">
        <v/>
      </c>
      <c r="J68">
        <v>32</v>
      </c>
      <c r="K68" t="str">
        <f ca="1"/>
        <v>糊付け動作</v>
      </c>
      <c r="L68" t="str">
        <f ca="1"/>
        <v>糊付け動作</v>
      </c>
      <c r="N68" t="str">
        <f ca="1"/>
        <v>【76】 糊付け動作</v>
      </c>
      <c r="O68" t="str">
        <v/>
      </c>
      <c r="P68" t="str">
        <v>unknown</v>
      </c>
      <c r="Q68" t="str">
        <f ca="1"/>
        <v/>
      </c>
      <c r="R68" t="str">
        <f ca="1"/>
        <v>unknown</v>
      </c>
      <c r="Z68" t="str">
        <f ca="1"/>
        <v xml:space="preserve">
</v>
      </c>
      <c r="AA68" t="str">
        <f ca="1"/>
        <v xml:space="preserve">
</v>
      </c>
      <c r="AB68" t="str">
        <f ca="1"/>
        <v xml:space="preserve">
	//糊付け動作
	ELSIF uiInfoIdx = 6 THEN</v>
      </c>
      <c r="AC68" t="str">
        <f ca="1"/>
        <v xml:space="preserve">
	//糊付け動作
	ELSIF uiInfoIdx = 6 THEN
		IF strInfoKey = 'name' THEN</v>
      </c>
      <c r="AD68" t="str">
        <f ca="1"/>
        <v xml:space="preserve">
	//糊付け動作
	ELSIF uiInfoIdx = 6 THEN
		IF strInfoKey = 'name' THEN
			strRt	:= '糊付け動作';</v>
      </c>
      <c r="AE68" t="str">
        <f ca="1"/>
        <v xml:space="preserve">
	//糊付け動作
	ELSIF uiInfoIdx = 6 THEN
		IF strInfoKey = 'name' THEN
			strRt	:= '糊付け動作';
		ELSIF strInfoKey = 'index_name' THEN</v>
      </c>
      <c r="AF68" t="str">
        <f ca="1"/>
        <v xml:space="preserve">
	//糊付け動作
	ELSIF uiInfoIdx = 6 THEN
		IF strInfoKey = 'name' THEN
			strRt	:= '糊付け動作';
		ELSIF strInfoKey = 'index_name' THEN
			strRt	:= '【76】 糊付け動作';</v>
      </c>
      <c r="AG68" t="str">
        <f ca="1"/>
        <v xml:space="preserve">
	//糊付け動作
	ELSIF uiInfoIdx = 6 THEN
		IF strInfoKey = 'name' THEN
			strRt	:= '糊付け動作';
		ELSIF strInfoKey = 'index_name' THEN
			strRt	:= '【76】 糊付け動作';
		ELSIF strInfoKey = 'model' THEN</v>
      </c>
      <c r="AH68" t="str">
        <f ca="1"/>
        <v xml:space="preserve">
	//糊付け動作
	ELSIF uiInfoIdx = 6 THEN
		IF strInfoKey = 'name' THEN
			strRt	:= '糊付け動作';
		ELSIF strInfoKey = 'index_name' THEN
			strRt	:= '【76】 糊付け動作';
		ELSIF strInfoKey = 'model' THEN
			strRt	:= 'unknown';</v>
      </c>
      <c r="AI68" t="str">
        <f ca="1"/>
        <v xml:space="preserve">
	//糊付け動作
	ELSIF uiInfoIdx = 6 THEN
		IF strInfoKey = 'name' THEN
			strRt	:= '糊付け動作';
		ELSIF strInfoKey = 'index_name' THEN
			strRt	:= '【76】 糊付け動作';
		ELSIF strInfoKey = 'model' THEN
			strRt	:= 'unknown';
		ELSIF strInfoKey = 'mf' THEN</v>
      </c>
      <c r="AJ68" t="str">
        <f ca="1"/>
        <v xml:space="preserve">
	//糊付け動作
	ELSIF uiInfoIdx = 6 THEN
		IF strInfoKey = 'name' THEN
			strRt	:= '糊付け動作';
		ELSIF strInfoKey = 'index_name' THEN
			strRt	:= '【76】 糊付け動作';
		ELSIF strInfoKey = 'model' THEN
			strRt	:= 'unknown';
		ELSIF strInfoKey = 'mf' THEN
			strRt	:= 'unknown';</v>
      </c>
      <c r="AK68" t="str">
        <f ca="1"/>
        <v xml:space="preserve">
	//糊付け動作
	ELSIF uiInfoIdx = 6 THEN
		IF strInfoKey = 'name' THEN
			strRt	:= '糊付け動作';
		ELSIF strInfoKey = 'index_name' THEN
			strRt	:= '【76】 糊付け動作';
		ELSIF strInfoKey = 'model' THEN
			strRt	:= 'unknown';
		ELSIF strInfoKey = 'mf' THEN
			strRt	:= 'unknown';
		ELSE
			uiErrCode	:= 3;
		END_IF;</v>
      </c>
      <c r="AL68" t="str">
        <f ca="1"/>
        <v xml:space="preserve">
	//糊付け動作
	ELSIF uiInfoIdx = 6 THEN
		IF strInfoKey = 'name' THEN
			strRt	:= '糊付け動作';
		ELSIF strInfoKey = 'index_name' THEN
			strRt	:= '【76】 糊付け動作';
		ELSIF strInfoKey = 'model' THEN
			strRt	:= 'unknown';
		ELSIF strInfoKey = 'mf' THEN
			strRt	:= 'unknown';
		ELSE
			uiErrCode	:= 3;
		END_IF;</v>
      </c>
      <c r="AM68" t="str">
        <f ca="1"/>
        <v xml:space="preserve">
	//糊付け動作
	ELSIF uiInfoIdx = 6 THEN
		IF strInfoKey = 'name' THEN
			strRt	:= '糊付け動作';
		ELSIF strInfoKey = 'index_name' THEN
			strRt	:= '【76】 糊付け動作';
		ELSIF strInfoKey = 'model' THEN
			strRt	:= 'unknown';
		ELSIF strInfoKey = 'mf' THEN
			strRt	:= 'unknown';
		ELSE
			uiErrCode	:= 3;
		END_IF;</v>
      </c>
    </row>
    <row r="69" spans="6:39" x14ac:dyDescent="0.55000000000000004">
      <c r="F69">
        <f t="shared" ref="F69:F132" si="6">F68</f>
        <v>7</v>
      </c>
      <c r="G69" t="str">
        <f t="shared" si="5"/>
        <v>7</v>
      </c>
      <c r="H69">
        <f>COUNTIF(G$3:G69,G69)</f>
        <v>7</v>
      </c>
      <c r="I69" t="str">
        <v/>
      </c>
      <c r="J69" t="str">
        <v/>
      </c>
      <c r="K69" t="str">
        <f ca="1"/>
        <v/>
      </c>
      <c r="L69" t="str">
        <f ca="1"/>
        <v/>
      </c>
      <c r="N69" t="str">
        <f ca="1"/>
        <v/>
      </c>
      <c r="O69" t="str">
        <v/>
      </c>
      <c r="P69" t="str">
        <v/>
      </c>
      <c r="Q69" t="str">
        <f ca="1"/>
        <v/>
      </c>
      <c r="R69" t="str">
        <f ca="1"/>
        <v/>
      </c>
      <c r="Z69" t="str">
        <f ca="1"/>
        <v/>
      </c>
      <c r="AA69" t="str">
        <f ca="1"/>
        <v/>
      </c>
      <c r="AB69" t="str">
        <f ca="1"/>
        <v/>
      </c>
      <c r="AC69" t="str">
        <f ca="1"/>
        <v/>
      </c>
      <c r="AD69" t="str">
        <f ca="1"/>
        <v/>
      </c>
      <c r="AE69" t="str">
        <f ca="1"/>
        <v/>
      </c>
      <c r="AF69" t="str">
        <f ca="1"/>
        <v/>
      </c>
      <c r="AG69" t="str">
        <f ca="1"/>
        <v/>
      </c>
      <c r="AH69" t="str">
        <f ca="1"/>
        <v/>
      </c>
      <c r="AI69" t="str">
        <f ca="1"/>
        <v/>
      </c>
      <c r="AJ69" t="str">
        <f ca="1"/>
        <v/>
      </c>
      <c r="AK69" t="str">
        <f ca="1"/>
        <v/>
      </c>
      <c r="AL69" t="str">
        <f ca="1"/>
        <v/>
      </c>
      <c r="AM69" t="str">
        <f ca="1"/>
        <v/>
      </c>
    </row>
    <row r="70" spans="6:39" x14ac:dyDescent="0.55000000000000004">
      <c r="F70">
        <f t="shared" si="6"/>
        <v>7</v>
      </c>
      <c r="G70" t="str">
        <f t="shared" si="5"/>
        <v>7</v>
      </c>
      <c r="H70">
        <f>COUNTIF(G$3:G70,G70)</f>
        <v>8</v>
      </c>
      <c r="I70" t="str">
        <v/>
      </c>
      <c r="J70" t="str">
        <v/>
      </c>
      <c r="K70" t="str">
        <f ca="1"/>
        <v/>
      </c>
      <c r="L70" t="str">
        <f ca="1"/>
        <v/>
      </c>
      <c r="N70" t="str">
        <f ca="1"/>
        <v/>
      </c>
      <c r="O70" t="str">
        <v/>
      </c>
      <c r="P70" t="str">
        <v/>
      </c>
      <c r="Q70" t="str">
        <f ca="1"/>
        <v/>
      </c>
      <c r="R70" t="str">
        <f ca="1"/>
        <v/>
      </c>
      <c r="Z70" t="str">
        <f ca="1"/>
        <v/>
      </c>
      <c r="AA70" t="str">
        <f ca="1"/>
        <v/>
      </c>
      <c r="AB70" t="str">
        <f ca="1"/>
        <v/>
      </c>
      <c r="AC70" t="str">
        <f ca="1"/>
        <v/>
      </c>
      <c r="AD70" t="str">
        <f ca="1"/>
        <v/>
      </c>
      <c r="AE70" t="str">
        <f ca="1"/>
        <v/>
      </c>
      <c r="AF70" t="str">
        <f ca="1"/>
        <v/>
      </c>
      <c r="AG70" t="str">
        <f ca="1"/>
        <v/>
      </c>
      <c r="AH70" t="str">
        <f ca="1"/>
        <v/>
      </c>
      <c r="AI70" t="str">
        <f ca="1"/>
        <v/>
      </c>
      <c r="AJ70" t="str">
        <f ca="1"/>
        <v/>
      </c>
      <c r="AK70" t="str">
        <f ca="1"/>
        <v/>
      </c>
      <c r="AL70" t="str">
        <f ca="1"/>
        <v/>
      </c>
      <c r="AM70" t="str">
        <f ca="1"/>
        <v/>
      </c>
    </row>
    <row r="71" spans="6:39" x14ac:dyDescent="0.55000000000000004">
      <c r="F71">
        <f t="shared" si="6"/>
        <v>7</v>
      </c>
      <c r="G71" t="str">
        <f t="shared" si="5"/>
        <v>7</v>
      </c>
      <c r="H71">
        <f>COUNTIF(G$3:G71,G71)</f>
        <v>9</v>
      </c>
      <c r="I71" t="str">
        <v/>
      </c>
      <c r="J71" t="str">
        <v/>
      </c>
      <c r="K71" t="str">
        <f ca="1"/>
        <v/>
      </c>
      <c r="L71" t="str">
        <f ca="1"/>
        <v/>
      </c>
      <c r="N71" t="str">
        <f ca="1"/>
        <v/>
      </c>
      <c r="O71" t="str">
        <v/>
      </c>
      <c r="P71" t="str">
        <v/>
      </c>
      <c r="Q71" t="str">
        <f ca="1"/>
        <v/>
      </c>
      <c r="R71" t="str">
        <f ca="1"/>
        <v/>
      </c>
      <c r="Z71" t="str">
        <f ca="1"/>
        <v/>
      </c>
      <c r="AA71" t="str">
        <f ca="1"/>
        <v/>
      </c>
      <c r="AB71" t="str">
        <f ca="1"/>
        <v/>
      </c>
      <c r="AC71" t="str">
        <f ca="1"/>
        <v/>
      </c>
      <c r="AD71" t="str">
        <f ca="1"/>
        <v/>
      </c>
      <c r="AE71" t="str">
        <f ca="1"/>
        <v/>
      </c>
      <c r="AF71" t="str">
        <f ca="1"/>
        <v/>
      </c>
      <c r="AG71" t="str">
        <f ca="1"/>
        <v/>
      </c>
      <c r="AH71" t="str">
        <f ca="1"/>
        <v/>
      </c>
      <c r="AI71" t="str">
        <f ca="1"/>
        <v/>
      </c>
      <c r="AJ71" t="str">
        <f ca="1"/>
        <v/>
      </c>
      <c r="AK71" t="str">
        <f ca="1"/>
        <v/>
      </c>
      <c r="AL71" t="str">
        <f ca="1"/>
        <v/>
      </c>
      <c r="AM71" t="str">
        <f ca="1"/>
        <v/>
      </c>
    </row>
    <row r="72" spans="6:39" x14ac:dyDescent="0.55000000000000004">
      <c r="F72">
        <f t="shared" si="6"/>
        <v>7</v>
      </c>
      <c r="G72" t="str">
        <f t="shared" si="5"/>
        <v>7</v>
      </c>
      <c r="H72">
        <f>COUNTIF(G$3:G72,G72)</f>
        <v>10</v>
      </c>
      <c r="I72" t="str">
        <v>●</v>
      </c>
      <c r="J72" t="str">
        <v/>
      </c>
      <c r="K72" t="str">
        <f ca="1"/>
        <v/>
      </c>
      <c r="L72" t="str">
        <f ca="1"/>
        <v/>
      </c>
      <c r="N72" t="str">
        <f ca="1"/>
        <v/>
      </c>
      <c r="O72" t="str">
        <v/>
      </c>
      <c r="P72" t="str">
        <v/>
      </c>
      <c r="Q72" t="str">
        <f ca="1"/>
        <v/>
      </c>
      <c r="R72" t="str">
        <f ca="1"/>
        <v/>
      </c>
      <c r="Z72" t="str">
        <f ca="1"/>
        <v/>
      </c>
      <c r="AA72" t="str">
        <f ca="1"/>
        <v/>
      </c>
      <c r="AB72" t="str">
        <f ca="1"/>
        <v/>
      </c>
      <c r="AC72" t="str">
        <f ca="1"/>
        <v/>
      </c>
      <c r="AD72" t="str">
        <f ca="1"/>
        <v/>
      </c>
      <c r="AE72" t="str">
        <f ca="1"/>
        <v/>
      </c>
      <c r="AF72" t="str">
        <f ca="1"/>
        <v/>
      </c>
      <c r="AG72" t="str">
        <f ca="1"/>
        <v/>
      </c>
      <c r="AH72" t="str">
        <f ca="1"/>
        <v/>
      </c>
      <c r="AI72" t="str">
        <f ca="1"/>
        <v/>
      </c>
      <c r="AJ72" t="str">
        <f ca="1"/>
        <v/>
      </c>
      <c r="AK72" t="str">
        <f ca="1"/>
        <v/>
      </c>
      <c r="AL72" t="str">
        <f ca="1"/>
        <v xml:space="preserve">
	ELSE
		uiErrCode	:= 2;
	END_IF;</v>
      </c>
      <c r="AM72" t="str">
        <f ca="1"/>
        <v xml:space="preserve">
	ELSE
		uiErrCode	:= 2;
	END_IF;</v>
      </c>
    </row>
    <row r="73" spans="6:39" x14ac:dyDescent="0.55000000000000004">
      <c r="F73">
        <f>F63+1</f>
        <v>8</v>
      </c>
      <c r="G73" t="str">
        <f t="shared" ref="G73" si="7">E73&amp;F73</f>
        <v>8</v>
      </c>
      <c r="H73">
        <f>COUNTIF(G$3:G73,G73)</f>
        <v>1</v>
      </c>
      <c r="I73" t="str">
        <v/>
      </c>
      <c r="J73">
        <v>33</v>
      </c>
      <c r="K73" t="str">
        <f ca="1"/>
        <v>送り動作</v>
      </c>
      <c r="L73" t="str">
        <f ca="1"/>
        <v>送り動作</v>
      </c>
      <c r="N73" t="str">
        <f ca="1"/>
        <v>【81】 送り動作</v>
      </c>
      <c r="O73" t="str">
        <v/>
      </c>
      <c r="P73" t="str">
        <v>unknown</v>
      </c>
      <c r="Q73" t="str">
        <f ca="1"/>
        <v/>
      </c>
      <c r="R73" t="str">
        <f ca="1"/>
        <v>unknown</v>
      </c>
      <c r="Z73" t="str">
        <f ca="1"/>
        <v xml:space="preserve">
//8</v>
      </c>
      <c r="AA73" t="str">
        <f ca="1"/>
        <v xml:space="preserve">
//8
ELSIF strInfoType = 8 THEN</v>
      </c>
      <c r="AB73" t="str">
        <f ca="1"/>
        <v xml:space="preserve">
//8
ELSIF strInfoType = 8 THEN
	//送り動作
	IF uiInfoIdx = 1 THEN</v>
      </c>
      <c r="AC73" t="str">
        <f ca="1"/>
        <v xml:space="preserve">
//8
ELSIF strInfoType = 8 THEN
	//送り動作
	IF uiInfoIdx = 1 THEN
		IF strInfoKey = 'name' THEN</v>
      </c>
      <c r="AD73" t="str">
        <f ca="1"/>
        <v xml:space="preserve">
//8
ELSIF strInfoType = 8 THEN
	//送り動作
	IF uiInfoIdx = 1 THEN
		IF strInfoKey = 'name' THEN
			strRt	:= '送り動作';</v>
      </c>
      <c r="AE73" t="str">
        <f ca="1"/>
        <v xml:space="preserve">
//8
ELSIF strInfoType = 8 THEN
	//送り動作
	IF uiInfoIdx = 1 THEN
		IF strInfoKey = 'name' THEN
			strRt	:= '送り動作';
		ELSIF strInfoKey = 'index_name' THEN</v>
      </c>
      <c r="AF73" t="str">
        <f ca="1"/>
        <v xml:space="preserve">
//8
ELSIF strInfoType = 8 THEN
	//送り動作
	IF uiInfoIdx = 1 THEN
		IF strInfoKey = 'name' THEN
			strRt	:= '送り動作';
		ELSIF strInfoKey = 'index_name' THEN
			strRt	:= '【81】 送り動作';</v>
      </c>
      <c r="AG73" t="str">
        <f ca="1"/>
        <v xml:space="preserve">
//8
ELSIF strInfoType = 8 THEN
	//送り動作
	IF uiInfoIdx = 1 THEN
		IF strInfoKey = 'name' THEN
			strRt	:= '送り動作';
		ELSIF strInfoKey = 'index_name' THEN
			strRt	:= '【81】 送り動作';
		ELSIF strInfoKey = 'model' THEN</v>
      </c>
      <c r="AH73" t="str">
        <f ca="1"/>
        <v xml:space="preserve">
//8
ELSIF strInfoType = 8 THEN
	//送り動作
	IF uiInfoIdx = 1 THEN
		IF strInfoKey = 'name' THEN
			strRt	:= '送り動作';
		ELSIF strInfoKey = 'index_name' THEN
			strRt	:= '【81】 送り動作';
		ELSIF strInfoKey = 'model' THEN
			strRt	:= 'unknown';</v>
      </c>
      <c r="AI73" t="str">
        <f ca="1"/>
        <v xml:space="preserve">
//8
ELSIF strInfoType = 8 THEN
	//送り動作
	IF uiInfoIdx = 1 THEN
		IF strInfoKey = 'name' THEN
			strRt	:= '送り動作';
		ELSIF strInfoKey = 'index_name' THEN
			strRt	:= '【81】 送り動作';
		ELSIF strInfoKey = 'model' THEN
			strRt	:= 'unknown';
		ELSIF strInfoKey = 'mf' THEN</v>
      </c>
      <c r="AJ73" t="str">
        <f ca="1"/>
        <v xml:space="preserve">
//8
ELSIF strInfoType = 8 THEN
	//送り動作
	IF uiInfoIdx = 1 THEN
		IF strInfoKey = 'name' THEN
			strRt	:= '送り動作';
		ELSIF strInfoKey = 'index_name' THEN
			strRt	:= '【81】 送り動作';
		ELSIF strInfoKey = 'model' THEN
			strRt	:= 'unknown';
		ELSIF strInfoKey = 'mf' THEN
			strRt	:= 'unknown';</v>
      </c>
      <c r="AK73" t="str">
        <f ca="1"/>
        <v xml:space="preserve">
//8
ELSIF strInfoType = 8 THEN
	//送り動作
	IF uiInfoIdx = 1 THEN
		IF strInfoKey = 'name' THEN
			strRt	:= '送り動作';
		ELSIF strInfoKey = 'index_name' THEN
			strRt	:= '【81】 送り動作';
		ELSIF strInfoKey = 'model' THEN
			strRt	:= 'unknown';
		ELSIF strInfoKey = 'mf' THEN
			strRt	:= 'unknown';
		ELSE
			uiErrCode	:= 3;
		END_IF;</v>
      </c>
      <c r="AL73" t="str">
        <f ca="1"/>
        <v xml:space="preserve">
//8
ELSIF strInfoType = 8 THEN
	//送り動作
	IF uiInfoIdx = 1 THEN
		IF strInfoKey = 'name' THEN
			strRt	:= '送り動作';
		ELSIF strInfoKey = 'index_name' THEN
			strRt	:= '【81】 送り動作';
		ELSIF strInfoKey = 'model' THEN
			strRt	:= 'unknown';
		ELSIF strInfoKey = 'mf' THEN
			strRt	:= 'unknown';
		ELSE
			uiErrCode	:= 3;
		END_IF;</v>
      </c>
      <c r="AM73" t="str">
        <f ca="1"/>
        <v xml:space="preserve">
//8
ELSIF strInfoType = 8 THEN
	//送り動作
	IF uiInfoIdx = 1 THEN
		IF strInfoKey = 'name' THEN
			strRt	:= '送り動作';
		ELSIF strInfoKey = 'index_name' THEN
			strRt	:= '【81】 送り動作';
		ELSIF strInfoKey = 'model' THEN
			strRt	:= 'unknown';
		ELSIF strInfoKey = 'mf' THEN
			strRt	:= 'unknown';
		ELSE
			uiErrCode	:= 3;
		END_IF;</v>
      </c>
    </row>
    <row r="74" spans="6:39" x14ac:dyDescent="0.55000000000000004">
      <c r="F74">
        <f t="shared" si="6"/>
        <v>8</v>
      </c>
      <c r="G74" t="str">
        <f t="shared" si="5"/>
        <v>8</v>
      </c>
      <c r="H74">
        <f>COUNTIF(G$3:G74,G74)</f>
        <v>2</v>
      </c>
      <c r="I74" t="str">
        <v/>
      </c>
      <c r="J74" t="str">
        <v/>
      </c>
      <c r="K74" t="str">
        <f ca="1"/>
        <v/>
      </c>
      <c r="L74" t="str">
        <f ca="1"/>
        <v/>
      </c>
      <c r="N74" t="str">
        <f ca="1"/>
        <v/>
      </c>
      <c r="O74" t="str">
        <v/>
      </c>
      <c r="P74" t="str">
        <v/>
      </c>
      <c r="Q74" t="str">
        <f ca="1"/>
        <v/>
      </c>
      <c r="R74" t="str">
        <f ca="1"/>
        <v/>
      </c>
      <c r="Z74" t="str">
        <f ca="1"/>
        <v/>
      </c>
      <c r="AA74" t="str">
        <f ca="1"/>
        <v/>
      </c>
      <c r="AB74" t="str">
        <f ca="1"/>
        <v/>
      </c>
      <c r="AC74" t="str">
        <f ca="1"/>
        <v/>
      </c>
      <c r="AD74" t="str">
        <f ca="1"/>
        <v/>
      </c>
      <c r="AE74" t="str">
        <f ca="1"/>
        <v/>
      </c>
      <c r="AF74" t="str">
        <f ca="1"/>
        <v/>
      </c>
      <c r="AG74" t="str">
        <f ca="1"/>
        <v/>
      </c>
      <c r="AH74" t="str">
        <f ca="1"/>
        <v/>
      </c>
      <c r="AI74" t="str">
        <f ca="1"/>
        <v/>
      </c>
      <c r="AJ74" t="str">
        <f ca="1"/>
        <v/>
      </c>
      <c r="AK74" t="str">
        <f ca="1"/>
        <v/>
      </c>
      <c r="AL74" t="str">
        <f ca="1"/>
        <v/>
      </c>
      <c r="AM74" t="str">
        <f ca="1"/>
        <v/>
      </c>
    </row>
    <row r="75" spans="6:39" x14ac:dyDescent="0.55000000000000004">
      <c r="F75">
        <f t="shared" si="6"/>
        <v>8</v>
      </c>
      <c r="G75" t="str">
        <f t="shared" si="5"/>
        <v>8</v>
      </c>
      <c r="H75">
        <f>COUNTIF(G$3:G75,G75)</f>
        <v>3</v>
      </c>
      <c r="I75" t="str">
        <v/>
      </c>
      <c r="J75" t="str">
        <v/>
      </c>
      <c r="K75" t="str">
        <f ca="1"/>
        <v/>
      </c>
      <c r="L75" t="str">
        <f ca="1"/>
        <v/>
      </c>
      <c r="N75" t="str">
        <f ca="1"/>
        <v/>
      </c>
      <c r="O75" t="str">
        <v/>
      </c>
      <c r="P75" t="str">
        <v/>
      </c>
      <c r="Q75" t="str">
        <f ca="1"/>
        <v/>
      </c>
      <c r="R75" t="str">
        <f ca="1"/>
        <v/>
      </c>
      <c r="Z75" t="str">
        <f ca="1"/>
        <v/>
      </c>
      <c r="AA75" t="str">
        <f ca="1"/>
        <v/>
      </c>
      <c r="AB75" t="str">
        <f ca="1"/>
        <v/>
      </c>
      <c r="AC75" t="str">
        <f ca="1"/>
        <v/>
      </c>
      <c r="AD75" t="str">
        <f ca="1"/>
        <v/>
      </c>
      <c r="AE75" t="str">
        <f ca="1"/>
        <v/>
      </c>
      <c r="AF75" t="str">
        <f ca="1"/>
        <v/>
      </c>
      <c r="AG75" t="str">
        <f ca="1"/>
        <v/>
      </c>
      <c r="AH75" t="str">
        <f ca="1"/>
        <v/>
      </c>
      <c r="AI75" t="str">
        <f ca="1"/>
        <v/>
      </c>
      <c r="AJ75" t="str">
        <f ca="1"/>
        <v/>
      </c>
      <c r="AK75" t="str">
        <f ca="1"/>
        <v/>
      </c>
      <c r="AL75" t="str">
        <f ca="1"/>
        <v/>
      </c>
      <c r="AM75" t="str">
        <f ca="1"/>
        <v/>
      </c>
    </row>
    <row r="76" spans="6:39" x14ac:dyDescent="0.55000000000000004">
      <c r="F76">
        <f t="shared" si="6"/>
        <v>8</v>
      </c>
      <c r="G76" t="str">
        <f t="shared" si="5"/>
        <v>8</v>
      </c>
      <c r="H76">
        <f>COUNTIF(G$3:G76,G76)</f>
        <v>4</v>
      </c>
      <c r="I76" t="str">
        <v/>
      </c>
      <c r="J76" t="str">
        <v/>
      </c>
      <c r="K76" t="str">
        <f ca="1"/>
        <v/>
      </c>
      <c r="L76" t="str">
        <f ca="1"/>
        <v/>
      </c>
      <c r="N76" t="str">
        <f ca="1"/>
        <v/>
      </c>
      <c r="O76" t="str">
        <v/>
      </c>
      <c r="P76" t="str">
        <v/>
      </c>
      <c r="Q76" t="str">
        <f ca="1"/>
        <v/>
      </c>
      <c r="R76" t="str">
        <f ca="1"/>
        <v/>
      </c>
      <c r="Z76" t="str">
        <f ca="1"/>
        <v/>
      </c>
      <c r="AA76" t="str">
        <f ca="1"/>
        <v/>
      </c>
      <c r="AB76" t="str">
        <f ca="1"/>
        <v/>
      </c>
      <c r="AC76" t="str">
        <f ca="1"/>
        <v/>
      </c>
      <c r="AD76" t="str">
        <f ca="1"/>
        <v/>
      </c>
      <c r="AE76" t="str">
        <f ca="1"/>
        <v/>
      </c>
      <c r="AF76" t="str">
        <f ca="1"/>
        <v/>
      </c>
      <c r="AG76" t="str">
        <f ca="1"/>
        <v/>
      </c>
      <c r="AH76" t="str">
        <f ca="1"/>
        <v/>
      </c>
      <c r="AI76" t="str">
        <f ca="1"/>
        <v/>
      </c>
      <c r="AJ76" t="str">
        <f ca="1"/>
        <v/>
      </c>
      <c r="AK76" t="str">
        <f ca="1"/>
        <v/>
      </c>
      <c r="AL76" t="str">
        <f ca="1"/>
        <v/>
      </c>
      <c r="AM76" t="str">
        <f ca="1"/>
        <v/>
      </c>
    </row>
    <row r="77" spans="6:39" x14ac:dyDescent="0.55000000000000004">
      <c r="F77">
        <f t="shared" si="6"/>
        <v>8</v>
      </c>
      <c r="G77" t="str">
        <f t="shared" si="5"/>
        <v>8</v>
      </c>
      <c r="H77">
        <f>COUNTIF(G$3:G77,G77)</f>
        <v>5</v>
      </c>
      <c r="I77" t="str">
        <v/>
      </c>
      <c r="J77" t="str">
        <v/>
      </c>
      <c r="K77" t="str">
        <f ca="1"/>
        <v/>
      </c>
      <c r="L77" t="str">
        <f ca="1"/>
        <v/>
      </c>
      <c r="N77" t="str">
        <f ca="1"/>
        <v/>
      </c>
      <c r="O77" t="str">
        <v/>
      </c>
      <c r="P77" t="str">
        <v/>
      </c>
      <c r="Q77" t="str">
        <f ca="1"/>
        <v/>
      </c>
      <c r="R77" t="str">
        <f ca="1"/>
        <v/>
      </c>
      <c r="Z77" t="str">
        <f ca="1"/>
        <v/>
      </c>
      <c r="AA77" t="str">
        <f ca="1"/>
        <v/>
      </c>
      <c r="AB77" t="str">
        <f ca="1"/>
        <v/>
      </c>
      <c r="AC77" t="str">
        <f ca="1"/>
        <v/>
      </c>
      <c r="AD77" t="str">
        <f ca="1"/>
        <v/>
      </c>
      <c r="AE77" t="str">
        <f ca="1"/>
        <v/>
      </c>
      <c r="AF77" t="str">
        <f ca="1"/>
        <v/>
      </c>
      <c r="AG77" t="str">
        <f ca="1"/>
        <v/>
      </c>
      <c r="AH77" t="str">
        <f ca="1"/>
        <v/>
      </c>
      <c r="AI77" t="str">
        <f ca="1"/>
        <v/>
      </c>
      <c r="AJ77" t="str">
        <f ca="1"/>
        <v/>
      </c>
      <c r="AK77" t="str">
        <f ca="1"/>
        <v/>
      </c>
      <c r="AL77" t="str">
        <f ca="1"/>
        <v/>
      </c>
      <c r="AM77" t="str">
        <f ca="1"/>
        <v/>
      </c>
    </row>
    <row r="78" spans="6:39" x14ac:dyDescent="0.55000000000000004">
      <c r="F78">
        <f t="shared" si="6"/>
        <v>8</v>
      </c>
      <c r="G78" t="str">
        <f t="shared" si="5"/>
        <v>8</v>
      </c>
      <c r="H78">
        <f>COUNTIF(G$3:G78,G78)</f>
        <v>6</v>
      </c>
      <c r="I78" t="str">
        <v/>
      </c>
      <c r="J78" t="str">
        <v/>
      </c>
      <c r="K78" t="str">
        <f ca="1"/>
        <v/>
      </c>
      <c r="L78" t="str">
        <f ca="1"/>
        <v/>
      </c>
      <c r="N78" t="str">
        <f ca="1"/>
        <v/>
      </c>
      <c r="O78" t="str">
        <v/>
      </c>
      <c r="P78" t="str">
        <v/>
      </c>
      <c r="Q78" t="str">
        <f ca="1"/>
        <v/>
      </c>
      <c r="R78" t="str">
        <f ca="1"/>
        <v/>
      </c>
      <c r="Z78" t="str">
        <f ca="1"/>
        <v/>
      </c>
      <c r="AA78" t="str">
        <f ca="1"/>
        <v/>
      </c>
      <c r="AB78" t="str">
        <f ca="1"/>
        <v/>
      </c>
      <c r="AC78" t="str">
        <f ca="1"/>
        <v/>
      </c>
      <c r="AD78" t="str">
        <f ca="1"/>
        <v/>
      </c>
      <c r="AE78" t="str">
        <f ca="1"/>
        <v/>
      </c>
      <c r="AF78" t="str">
        <f ca="1"/>
        <v/>
      </c>
      <c r="AG78" t="str">
        <f ca="1"/>
        <v/>
      </c>
      <c r="AH78" t="str">
        <f ca="1"/>
        <v/>
      </c>
      <c r="AI78" t="str">
        <f ca="1"/>
        <v/>
      </c>
      <c r="AJ78" t="str">
        <f ca="1"/>
        <v/>
      </c>
      <c r="AK78" t="str">
        <f ca="1"/>
        <v/>
      </c>
      <c r="AL78" t="str">
        <f ca="1"/>
        <v/>
      </c>
      <c r="AM78" t="str">
        <f ca="1"/>
        <v/>
      </c>
    </row>
    <row r="79" spans="6:39" x14ac:dyDescent="0.55000000000000004">
      <c r="F79">
        <f t="shared" si="6"/>
        <v>8</v>
      </c>
      <c r="G79" t="str">
        <f t="shared" si="5"/>
        <v>8</v>
      </c>
      <c r="H79">
        <f>COUNTIF(G$3:G79,G79)</f>
        <v>7</v>
      </c>
      <c r="I79" t="str">
        <v/>
      </c>
      <c r="J79" t="str">
        <v/>
      </c>
      <c r="K79" t="str">
        <f ca="1"/>
        <v/>
      </c>
      <c r="L79" t="str">
        <f ca="1"/>
        <v/>
      </c>
      <c r="N79" t="str">
        <f ca="1"/>
        <v/>
      </c>
      <c r="O79" t="str">
        <v/>
      </c>
      <c r="P79" t="str">
        <v/>
      </c>
      <c r="Q79" t="str">
        <f ca="1"/>
        <v/>
      </c>
      <c r="R79" t="str">
        <f ca="1"/>
        <v/>
      </c>
      <c r="Z79" t="str">
        <f ca="1"/>
        <v/>
      </c>
      <c r="AA79" t="str">
        <f ca="1"/>
        <v/>
      </c>
      <c r="AB79" t="str">
        <f ca="1"/>
        <v/>
      </c>
      <c r="AC79" t="str">
        <f ca="1"/>
        <v/>
      </c>
      <c r="AD79" t="str">
        <f ca="1"/>
        <v/>
      </c>
      <c r="AE79" t="str">
        <f ca="1"/>
        <v/>
      </c>
      <c r="AF79" t="str">
        <f ca="1"/>
        <v/>
      </c>
      <c r="AG79" t="str">
        <f ca="1"/>
        <v/>
      </c>
      <c r="AH79" t="str">
        <f ca="1"/>
        <v/>
      </c>
      <c r="AI79" t="str">
        <f ca="1"/>
        <v/>
      </c>
      <c r="AJ79" t="str">
        <f ca="1"/>
        <v/>
      </c>
      <c r="AK79" t="str">
        <f ca="1"/>
        <v/>
      </c>
      <c r="AL79" t="str">
        <f ca="1"/>
        <v/>
      </c>
      <c r="AM79" t="str">
        <f ca="1"/>
        <v/>
      </c>
    </row>
    <row r="80" spans="6:39" x14ac:dyDescent="0.55000000000000004">
      <c r="F80">
        <f t="shared" si="6"/>
        <v>8</v>
      </c>
      <c r="G80" t="str">
        <f t="shared" si="5"/>
        <v>8</v>
      </c>
      <c r="H80">
        <f>COUNTIF(G$3:G80,G80)</f>
        <v>8</v>
      </c>
      <c r="I80" t="str">
        <v/>
      </c>
      <c r="J80" t="str">
        <v/>
      </c>
      <c r="K80" t="str">
        <f ca="1"/>
        <v/>
      </c>
      <c r="L80" t="str">
        <f ca="1"/>
        <v/>
      </c>
      <c r="N80" t="str">
        <f ca="1"/>
        <v/>
      </c>
      <c r="O80" t="str">
        <v/>
      </c>
      <c r="P80" t="str">
        <v/>
      </c>
      <c r="Q80" t="str">
        <f ca="1"/>
        <v/>
      </c>
      <c r="R80" t="str">
        <f ca="1"/>
        <v/>
      </c>
      <c r="Z80" t="str">
        <f ca="1"/>
        <v/>
      </c>
      <c r="AA80" t="str">
        <f ca="1"/>
        <v/>
      </c>
      <c r="AB80" t="str">
        <f ca="1"/>
        <v/>
      </c>
      <c r="AC80" t="str">
        <f ca="1"/>
        <v/>
      </c>
      <c r="AD80" t="str">
        <f ca="1"/>
        <v/>
      </c>
      <c r="AE80" t="str">
        <f ca="1"/>
        <v/>
      </c>
      <c r="AF80" t="str">
        <f ca="1"/>
        <v/>
      </c>
      <c r="AG80" t="str">
        <f ca="1"/>
        <v/>
      </c>
      <c r="AH80" t="str">
        <f ca="1"/>
        <v/>
      </c>
      <c r="AI80" t="str">
        <f ca="1"/>
        <v/>
      </c>
      <c r="AJ80" t="str">
        <f ca="1"/>
        <v/>
      </c>
      <c r="AK80" t="str">
        <f ca="1"/>
        <v/>
      </c>
      <c r="AL80" t="str">
        <f ca="1"/>
        <v/>
      </c>
      <c r="AM80" t="str">
        <f ca="1"/>
        <v/>
      </c>
    </row>
    <row r="81" spans="6:39" x14ac:dyDescent="0.55000000000000004">
      <c r="F81">
        <f t="shared" si="6"/>
        <v>8</v>
      </c>
      <c r="G81" t="str">
        <f t="shared" si="5"/>
        <v>8</v>
      </c>
      <c r="H81">
        <f>COUNTIF(G$3:G81,G81)</f>
        <v>9</v>
      </c>
      <c r="I81" t="str">
        <v/>
      </c>
      <c r="J81" t="str">
        <v/>
      </c>
      <c r="K81" t="str">
        <f ca="1"/>
        <v/>
      </c>
      <c r="L81" t="str">
        <f ca="1"/>
        <v/>
      </c>
      <c r="N81" t="str">
        <f ca="1"/>
        <v/>
      </c>
      <c r="O81" t="str">
        <v/>
      </c>
      <c r="P81" t="str">
        <v/>
      </c>
      <c r="Q81" t="str">
        <f ca="1"/>
        <v/>
      </c>
      <c r="R81" t="str">
        <f ca="1"/>
        <v/>
      </c>
      <c r="Z81" t="str">
        <f ca="1"/>
        <v/>
      </c>
      <c r="AA81" t="str">
        <f ca="1"/>
        <v/>
      </c>
      <c r="AB81" t="str">
        <f ca="1"/>
        <v/>
      </c>
      <c r="AC81" t="str">
        <f ca="1"/>
        <v/>
      </c>
      <c r="AD81" t="str">
        <f ca="1"/>
        <v/>
      </c>
      <c r="AE81" t="str">
        <f ca="1"/>
        <v/>
      </c>
      <c r="AF81" t="str">
        <f ca="1"/>
        <v/>
      </c>
      <c r="AG81" t="str">
        <f ca="1"/>
        <v/>
      </c>
      <c r="AH81" t="str">
        <f ca="1"/>
        <v/>
      </c>
      <c r="AI81" t="str">
        <f ca="1"/>
        <v/>
      </c>
      <c r="AJ81" t="str">
        <f ca="1"/>
        <v/>
      </c>
      <c r="AK81" t="str">
        <f ca="1"/>
        <v/>
      </c>
      <c r="AL81" t="str">
        <f ca="1"/>
        <v/>
      </c>
      <c r="AM81" t="str">
        <f ca="1"/>
        <v/>
      </c>
    </row>
    <row r="82" spans="6:39" x14ac:dyDescent="0.55000000000000004">
      <c r="F82">
        <f t="shared" si="6"/>
        <v>8</v>
      </c>
      <c r="G82" t="str">
        <f t="shared" si="5"/>
        <v>8</v>
      </c>
      <c r="H82">
        <f>COUNTIF(G$3:G82,G82)</f>
        <v>10</v>
      </c>
      <c r="I82" t="str">
        <v/>
      </c>
      <c r="J82" t="str">
        <v/>
      </c>
      <c r="K82" t="str">
        <f ca="1"/>
        <v/>
      </c>
      <c r="L82" t="str">
        <f ca="1"/>
        <v/>
      </c>
      <c r="N82" t="str">
        <f ca="1"/>
        <v/>
      </c>
      <c r="O82" t="str">
        <v/>
      </c>
      <c r="P82" t="str">
        <v/>
      </c>
      <c r="Q82" t="str">
        <f ca="1"/>
        <v/>
      </c>
      <c r="R82" t="str">
        <f ca="1"/>
        <v/>
      </c>
      <c r="Z82" t="str">
        <f ca="1"/>
        <v/>
      </c>
      <c r="AA82" t="str">
        <f ca="1"/>
        <v/>
      </c>
      <c r="AB82" t="str">
        <f ca="1"/>
        <v/>
      </c>
      <c r="AC82" t="str">
        <f ca="1"/>
        <v/>
      </c>
      <c r="AD82" t="str">
        <f ca="1"/>
        <v/>
      </c>
      <c r="AE82" t="str">
        <f ca="1"/>
        <v/>
      </c>
      <c r="AF82" t="str">
        <f ca="1"/>
        <v/>
      </c>
      <c r="AG82" t="str">
        <f ca="1"/>
        <v/>
      </c>
      <c r="AH82" t="str">
        <f ca="1"/>
        <v/>
      </c>
      <c r="AI82" t="str">
        <f ca="1"/>
        <v/>
      </c>
      <c r="AJ82" t="str">
        <f ca="1"/>
        <v/>
      </c>
      <c r="AK82" t="str">
        <f ca="1"/>
        <v/>
      </c>
      <c r="AL82" t="str">
        <f ca="1"/>
        <v/>
      </c>
      <c r="AM82" t="str">
        <f ca="1"/>
        <v/>
      </c>
    </row>
    <row r="83" spans="6:39" x14ac:dyDescent="0.55000000000000004">
      <c r="F83">
        <f t="shared" si="6"/>
        <v>8</v>
      </c>
      <c r="G83" t="str">
        <f t="shared" si="5"/>
        <v>8</v>
      </c>
      <c r="H83">
        <f>COUNTIF(G$3:G83,G83)</f>
        <v>11</v>
      </c>
      <c r="I83" t="str">
        <v/>
      </c>
      <c r="J83" t="str">
        <v/>
      </c>
      <c r="K83" t="str">
        <f ca="1"/>
        <v/>
      </c>
      <c r="L83" t="str">
        <f ca="1"/>
        <v/>
      </c>
      <c r="N83" t="str">
        <f ca="1"/>
        <v/>
      </c>
      <c r="O83" t="str">
        <v/>
      </c>
      <c r="P83" t="str">
        <v/>
      </c>
      <c r="Q83" t="str">
        <f ca="1"/>
        <v/>
      </c>
      <c r="R83" t="str">
        <f ca="1"/>
        <v/>
      </c>
      <c r="Z83" t="str">
        <f ca="1"/>
        <v/>
      </c>
      <c r="AA83" t="str">
        <f ca="1"/>
        <v/>
      </c>
      <c r="AB83" t="str">
        <f ca="1"/>
        <v/>
      </c>
      <c r="AC83" t="str">
        <f ca="1"/>
        <v/>
      </c>
      <c r="AD83" t="str">
        <f ca="1"/>
        <v/>
      </c>
      <c r="AE83" t="str">
        <f ca="1"/>
        <v/>
      </c>
      <c r="AF83" t="str">
        <f ca="1"/>
        <v/>
      </c>
      <c r="AG83" t="str">
        <f ca="1"/>
        <v/>
      </c>
      <c r="AH83" t="str">
        <f ca="1"/>
        <v/>
      </c>
      <c r="AI83" t="str">
        <f ca="1"/>
        <v/>
      </c>
      <c r="AJ83" t="str">
        <f ca="1"/>
        <v/>
      </c>
      <c r="AK83" t="str">
        <f ca="1"/>
        <v/>
      </c>
      <c r="AL83" t="str">
        <f ca="1"/>
        <v/>
      </c>
      <c r="AM83" t="str">
        <f ca="1"/>
        <v/>
      </c>
    </row>
    <row r="84" spans="6:39" x14ac:dyDescent="0.55000000000000004">
      <c r="F84">
        <f t="shared" si="6"/>
        <v>8</v>
      </c>
      <c r="G84" t="str">
        <f t="shared" si="5"/>
        <v>8</v>
      </c>
      <c r="H84">
        <f>COUNTIF(G$3:G84,G84)</f>
        <v>12</v>
      </c>
      <c r="I84" t="str">
        <v/>
      </c>
      <c r="J84" t="str">
        <v/>
      </c>
      <c r="K84" t="str">
        <f ca="1"/>
        <v/>
      </c>
      <c r="L84" t="str">
        <f ca="1"/>
        <v/>
      </c>
      <c r="N84" t="str">
        <f ca="1"/>
        <v/>
      </c>
      <c r="O84" t="str">
        <v/>
      </c>
      <c r="P84" t="str">
        <v/>
      </c>
      <c r="Q84" t="str">
        <f ca="1"/>
        <v/>
      </c>
      <c r="R84" t="str">
        <f ca="1"/>
        <v/>
      </c>
      <c r="Z84" t="str">
        <f ca="1"/>
        <v/>
      </c>
      <c r="AA84" t="str">
        <f ca="1"/>
        <v/>
      </c>
      <c r="AB84" t="str">
        <f ca="1"/>
        <v/>
      </c>
      <c r="AC84" t="str">
        <f ca="1"/>
        <v/>
      </c>
      <c r="AD84" t="str">
        <f ca="1"/>
        <v/>
      </c>
      <c r="AE84" t="str">
        <f ca="1"/>
        <v/>
      </c>
      <c r="AF84" t="str">
        <f ca="1"/>
        <v/>
      </c>
      <c r="AG84" t="str">
        <f ca="1"/>
        <v/>
      </c>
      <c r="AH84" t="str">
        <f ca="1"/>
        <v/>
      </c>
      <c r="AI84" t="str">
        <f ca="1"/>
        <v/>
      </c>
      <c r="AJ84" t="str">
        <f ca="1"/>
        <v/>
      </c>
      <c r="AK84" t="str">
        <f ca="1"/>
        <v/>
      </c>
      <c r="AL84" t="str">
        <f ca="1"/>
        <v/>
      </c>
      <c r="AM84" t="str">
        <f ca="1"/>
        <v/>
      </c>
    </row>
    <row r="85" spans="6:39" x14ac:dyDescent="0.55000000000000004">
      <c r="F85">
        <f t="shared" si="6"/>
        <v>8</v>
      </c>
      <c r="G85" t="str">
        <f t="shared" si="5"/>
        <v>8</v>
      </c>
      <c r="H85">
        <f>COUNTIF(G$3:G85,G85)</f>
        <v>13</v>
      </c>
      <c r="I85" t="str">
        <v/>
      </c>
      <c r="J85" t="str">
        <v/>
      </c>
      <c r="K85" t="str">
        <f ca="1"/>
        <v/>
      </c>
      <c r="L85" t="str">
        <f ca="1"/>
        <v/>
      </c>
      <c r="N85" t="str">
        <f ca="1"/>
        <v/>
      </c>
      <c r="O85" t="str">
        <v/>
      </c>
      <c r="P85" t="str">
        <v/>
      </c>
      <c r="Q85" t="str">
        <f ca="1"/>
        <v/>
      </c>
      <c r="R85" t="str">
        <f ca="1"/>
        <v/>
      </c>
      <c r="Z85" t="str">
        <f ca="1"/>
        <v/>
      </c>
      <c r="AA85" t="str">
        <f ca="1"/>
        <v/>
      </c>
      <c r="AB85" t="str">
        <f ca="1"/>
        <v/>
      </c>
      <c r="AC85" t="str">
        <f ca="1"/>
        <v/>
      </c>
      <c r="AD85" t="str">
        <f ca="1"/>
        <v/>
      </c>
      <c r="AE85" t="str">
        <f ca="1"/>
        <v/>
      </c>
      <c r="AF85" t="str">
        <f ca="1"/>
        <v/>
      </c>
      <c r="AG85" t="str">
        <f ca="1"/>
        <v/>
      </c>
      <c r="AH85" t="str">
        <f ca="1"/>
        <v/>
      </c>
      <c r="AI85" t="str">
        <f ca="1"/>
        <v/>
      </c>
      <c r="AJ85" t="str">
        <f ca="1"/>
        <v/>
      </c>
      <c r="AK85" t="str">
        <f ca="1"/>
        <v/>
      </c>
      <c r="AL85" t="str">
        <f ca="1"/>
        <v/>
      </c>
      <c r="AM85" t="str">
        <f ca="1"/>
        <v/>
      </c>
    </row>
    <row r="86" spans="6:39" x14ac:dyDescent="0.55000000000000004">
      <c r="F86">
        <f t="shared" si="6"/>
        <v>8</v>
      </c>
      <c r="G86" t="str">
        <f t="shared" si="5"/>
        <v>8</v>
      </c>
      <c r="H86">
        <f>COUNTIF(G$3:G86,G86)</f>
        <v>14</v>
      </c>
      <c r="I86" t="str">
        <v/>
      </c>
      <c r="J86" t="str">
        <v/>
      </c>
      <c r="K86" t="str">
        <f ca="1"/>
        <v/>
      </c>
      <c r="L86" t="str">
        <f ca="1"/>
        <v/>
      </c>
      <c r="N86" t="str">
        <f ca="1"/>
        <v/>
      </c>
      <c r="O86" t="str">
        <v/>
      </c>
      <c r="P86" t="str">
        <v/>
      </c>
      <c r="Q86" t="str">
        <f ca="1"/>
        <v/>
      </c>
      <c r="R86" t="str">
        <f ca="1"/>
        <v/>
      </c>
      <c r="Z86" t="str">
        <f ca="1"/>
        <v/>
      </c>
      <c r="AA86" t="str">
        <f ca="1"/>
        <v/>
      </c>
      <c r="AB86" t="str">
        <f ca="1"/>
        <v/>
      </c>
      <c r="AC86" t="str">
        <f ca="1"/>
        <v/>
      </c>
      <c r="AD86" t="str">
        <f ca="1"/>
        <v/>
      </c>
      <c r="AE86" t="str">
        <f ca="1"/>
        <v/>
      </c>
      <c r="AF86" t="str">
        <f ca="1"/>
        <v/>
      </c>
      <c r="AG86" t="str">
        <f ca="1"/>
        <v/>
      </c>
      <c r="AH86" t="str">
        <f ca="1"/>
        <v/>
      </c>
      <c r="AI86" t="str">
        <f ca="1"/>
        <v/>
      </c>
      <c r="AJ86" t="str">
        <f ca="1"/>
        <v/>
      </c>
      <c r="AK86" t="str">
        <f ca="1"/>
        <v/>
      </c>
      <c r="AL86" t="str">
        <f ca="1"/>
        <v/>
      </c>
      <c r="AM86" t="str">
        <f ca="1"/>
        <v/>
      </c>
    </row>
    <row r="87" spans="6:39" x14ac:dyDescent="0.55000000000000004">
      <c r="F87">
        <f t="shared" si="6"/>
        <v>8</v>
      </c>
      <c r="G87" t="str">
        <f t="shared" si="5"/>
        <v>8</v>
      </c>
      <c r="H87">
        <f>COUNTIF(G$3:G87,G87)</f>
        <v>15</v>
      </c>
      <c r="I87" t="str">
        <v/>
      </c>
      <c r="J87" t="str">
        <v/>
      </c>
      <c r="K87" t="str">
        <f ca="1"/>
        <v/>
      </c>
      <c r="L87" t="str">
        <f ca="1"/>
        <v/>
      </c>
      <c r="N87" t="str">
        <f ca="1"/>
        <v/>
      </c>
      <c r="O87" t="str">
        <v/>
      </c>
      <c r="P87" t="str">
        <v/>
      </c>
      <c r="Q87" t="str">
        <f ca="1"/>
        <v/>
      </c>
      <c r="R87" t="str">
        <f ca="1"/>
        <v/>
      </c>
      <c r="Z87" t="str">
        <f ca="1"/>
        <v/>
      </c>
      <c r="AA87" t="str">
        <f ca="1"/>
        <v/>
      </c>
      <c r="AB87" t="str">
        <f ca="1"/>
        <v/>
      </c>
      <c r="AC87" t="str">
        <f ca="1"/>
        <v/>
      </c>
      <c r="AD87" t="str">
        <f ca="1"/>
        <v/>
      </c>
      <c r="AE87" t="str">
        <f ca="1"/>
        <v/>
      </c>
      <c r="AF87" t="str">
        <f ca="1"/>
        <v/>
      </c>
      <c r="AG87" t="str">
        <f ca="1"/>
        <v/>
      </c>
      <c r="AH87" t="str">
        <f ca="1"/>
        <v/>
      </c>
      <c r="AI87" t="str">
        <f ca="1"/>
        <v/>
      </c>
      <c r="AJ87" t="str">
        <f ca="1"/>
        <v/>
      </c>
      <c r="AK87" t="str">
        <f ca="1"/>
        <v/>
      </c>
      <c r="AL87" t="str">
        <f ca="1"/>
        <v/>
      </c>
      <c r="AM87" t="str">
        <f ca="1"/>
        <v/>
      </c>
    </row>
    <row r="88" spans="6:39" x14ac:dyDescent="0.55000000000000004">
      <c r="F88">
        <f t="shared" si="6"/>
        <v>8</v>
      </c>
      <c r="G88" t="str">
        <f t="shared" si="5"/>
        <v>8</v>
      </c>
      <c r="H88">
        <f>COUNTIF(G$3:G88,G88)</f>
        <v>16</v>
      </c>
      <c r="I88" t="str">
        <v/>
      </c>
      <c r="J88" t="str">
        <v/>
      </c>
      <c r="K88" t="str">
        <f ca="1"/>
        <v/>
      </c>
      <c r="L88" t="str">
        <f ca="1"/>
        <v/>
      </c>
      <c r="N88" t="str">
        <f ca="1"/>
        <v/>
      </c>
      <c r="O88" t="str">
        <v/>
      </c>
      <c r="P88" t="str">
        <v/>
      </c>
      <c r="Q88" t="str">
        <f ca="1"/>
        <v/>
      </c>
      <c r="R88" t="str">
        <f ca="1"/>
        <v/>
      </c>
      <c r="Z88" t="str">
        <f ca="1"/>
        <v/>
      </c>
      <c r="AA88" t="str">
        <f ca="1"/>
        <v/>
      </c>
      <c r="AB88" t="str">
        <f ca="1"/>
        <v/>
      </c>
      <c r="AC88" t="str">
        <f ca="1"/>
        <v/>
      </c>
      <c r="AD88" t="str">
        <f ca="1"/>
        <v/>
      </c>
      <c r="AE88" t="str">
        <f ca="1"/>
        <v/>
      </c>
      <c r="AF88" t="str">
        <f ca="1"/>
        <v/>
      </c>
      <c r="AG88" t="str">
        <f ca="1"/>
        <v/>
      </c>
      <c r="AH88" t="str">
        <f ca="1"/>
        <v/>
      </c>
      <c r="AI88" t="str">
        <f ca="1"/>
        <v/>
      </c>
      <c r="AJ88" t="str">
        <f ca="1"/>
        <v/>
      </c>
      <c r="AK88" t="str">
        <f ca="1"/>
        <v/>
      </c>
      <c r="AL88" t="str">
        <f ca="1"/>
        <v/>
      </c>
      <c r="AM88" t="str">
        <f ca="1"/>
        <v/>
      </c>
    </row>
    <row r="89" spans="6:39" x14ac:dyDescent="0.55000000000000004">
      <c r="F89">
        <f t="shared" si="6"/>
        <v>8</v>
      </c>
      <c r="G89" t="str">
        <f t="shared" si="5"/>
        <v>8</v>
      </c>
      <c r="H89">
        <f>COUNTIF(G$3:G89,G89)</f>
        <v>17</v>
      </c>
      <c r="I89" t="str">
        <v/>
      </c>
      <c r="J89" t="str">
        <v/>
      </c>
      <c r="K89" t="str">
        <f ca="1"/>
        <v/>
      </c>
      <c r="L89" t="str">
        <f ca="1"/>
        <v/>
      </c>
      <c r="N89" t="str">
        <f ca="1"/>
        <v/>
      </c>
      <c r="O89" t="str">
        <v/>
      </c>
      <c r="P89" t="str">
        <v/>
      </c>
      <c r="Q89" t="str">
        <f ca="1"/>
        <v/>
      </c>
      <c r="R89" t="str">
        <f ca="1"/>
        <v/>
      </c>
      <c r="Z89" t="str">
        <f ca="1"/>
        <v/>
      </c>
      <c r="AA89" t="str">
        <f ca="1"/>
        <v/>
      </c>
      <c r="AB89" t="str">
        <f ca="1"/>
        <v/>
      </c>
      <c r="AC89" t="str">
        <f ca="1"/>
        <v/>
      </c>
      <c r="AD89" t="str">
        <f ca="1"/>
        <v/>
      </c>
      <c r="AE89" t="str">
        <f ca="1"/>
        <v/>
      </c>
      <c r="AF89" t="str">
        <f ca="1"/>
        <v/>
      </c>
      <c r="AG89" t="str">
        <f ca="1"/>
        <v/>
      </c>
      <c r="AH89" t="str">
        <f ca="1"/>
        <v/>
      </c>
      <c r="AI89" t="str">
        <f ca="1"/>
        <v/>
      </c>
      <c r="AJ89" t="str">
        <f ca="1"/>
        <v/>
      </c>
      <c r="AK89" t="str">
        <f ca="1"/>
        <v/>
      </c>
      <c r="AL89" t="str">
        <f ca="1"/>
        <v/>
      </c>
      <c r="AM89" t="str">
        <f ca="1"/>
        <v/>
      </c>
    </row>
    <row r="90" spans="6:39" x14ac:dyDescent="0.55000000000000004">
      <c r="F90">
        <f t="shared" si="6"/>
        <v>8</v>
      </c>
      <c r="G90" t="str">
        <f t="shared" si="5"/>
        <v>8</v>
      </c>
      <c r="H90">
        <f>COUNTIF(G$3:G90,G90)</f>
        <v>18</v>
      </c>
      <c r="I90" t="str">
        <v/>
      </c>
      <c r="J90" t="str">
        <v/>
      </c>
      <c r="K90" t="str">
        <f ca="1"/>
        <v/>
      </c>
      <c r="L90" t="str">
        <f ca="1"/>
        <v/>
      </c>
      <c r="N90" t="str">
        <f ca="1"/>
        <v/>
      </c>
      <c r="O90" t="str">
        <v/>
      </c>
      <c r="P90" t="str">
        <v/>
      </c>
      <c r="Q90" t="str">
        <f ca="1"/>
        <v/>
      </c>
      <c r="R90" t="str">
        <f ca="1"/>
        <v/>
      </c>
      <c r="Z90" t="str">
        <f ca="1"/>
        <v/>
      </c>
      <c r="AA90" t="str">
        <f ca="1"/>
        <v/>
      </c>
      <c r="AB90" t="str">
        <f ca="1"/>
        <v/>
      </c>
      <c r="AC90" t="str">
        <f ca="1"/>
        <v/>
      </c>
      <c r="AD90" t="str">
        <f ca="1"/>
        <v/>
      </c>
      <c r="AE90" t="str">
        <f ca="1"/>
        <v/>
      </c>
      <c r="AF90" t="str">
        <f ca="1"/>
        <v/>
      </c>
      <c r="AG90" t="str">
        <f ca="1"/>
        <v/>
      </c>
      <c r="AH90" t="str">
        <f ca="1"/>
        <v/>
      </c>
      <c r="AI90" t="str">
        <f ca="1"/>
        <v/>
      </c>
      <c r="AJ90" t="str">
        <f ca="1"/>
        <v/>
      </c>
      <c r="AK90" t="str">
        <f ca="1"/>
        <v/>
      </c>
      <c r="AL90" t="str">
        <f ca="1"/>
        <v/>
      </c>
      <c r="AM90" t="str">
        <f ca="1"/>
        <v/>
      </c>
    </row>
    <row r="91" spans="6:39" x14ac:dyDescent="0.55000000000000004">
      <c r="F91">
        <f t="shared" si="6"/>
        <v>8</v>
      </c>
      <c r="G91" t="str">
        <f t="shared" si="5"/>
        <v>8</v>
      </c>
      <c r="H91">
        <f>COUNTIF(G$3:G91,G91)</f>
        <v>19</v>
      </c>
      <c r="I91" t="str">
        <v/>
      </c>
      <c r="J91" t="str">
        <v/>
      </c>
      <c r="K91" t="str">
        <f ca="1"/>
        <v/>
      </c>
      <c r="L91" t="str">
        <f ca="1"/>
        <v/>
      </c>
      <c r="N91" t="str">
        <f ca="1"/>
        <v/>
      </c>
      <c r="O91" t="str">
        <v/>
      </c>
      <c r="P91" t="str">
        <v/>
      </c>
      <c r="Q91" t="str">
        <f ca="1"/>
        <v/>
      </c>
      <c r="R91" t="str">
        <f ca="1"/>
        <v/>
      </c>
      <c r="Z91" t="str">
        <f ca="1"/>
        <v/>
      </c>
      <c r="AA91" t="str">
        <f ca="1"/>
        <v/>
      </c>
      <c r="AB91" t="str">
        <f ca="1"/>
        <v/>
      </c>
      <c r="AC91" t="str">
        <f ca="1"/>
        <v/>
      </c>
      <c r="AD91" t="str">
        <f ca="1"/>
        <v/>
      </c>
      <c r="AE91" t="str">
        <f ca="1"/>
        <v/>
      </c>
      <c r="AF91" t="str">
        <f ca="1"/>
        <v/>
      </c>
      <c r="AG91" t="str">
        <f ca="1"/>
        <v/>
      </c>
      <c r="AH91" t="str">
        <f ca="1"/>
        <v/>
      </c>
      <c r="AI91" t="str">
        <f ca="1"/>
        <v/>
      </c>
      <c r="AJ91" t="str">
        <f ca="1"/>
        <v/>
      </c>
      <c r="AK91" t="str">
        <f ca="1"/>
        <v/>
      </c>
      <c r="AL91" t="str">
        <f ca="1"/>
        <v/>
      </c>
      <c r="AM91" t="str">
        <f ca="1"/>
        <v/>
      </c>
    </row>
    <row r="92" spans="6:39" x14ac:dyDescent="0.55000000000000004">
      <c r="F92">
        <f t="shared" si="6"/>
        <v>8</v>
      </c>
      <c r="G92" t="str">
        <f t="shared" si="5"/>
        <v>8</v>
      </c>
      <c r="H92">
        <f>COUNTIF(G$3:G92,G92)</f>
        <v>20</v>
      </c>
      <c r="I92" t="str">
        <v/>
      </c>
      <c r="J92" t="str">
        <v/>
      </c>
      <c r="K92" t="str">
        <f ca="1"/>
        <v/>
      </c>
      <c r="L92" t="str">
        <f ca="1"/>
        <v/>
      </c>
      <c r="N92" t="str">
        <f ca="1"/>
        <v/>
      </c>
      <c r="O92" t="str">
        <v/>
      </c>
      <c r="P92" t="str">
        <v/>
      </c>
      <c r="Q92" t="str">
        <f ca="1"/>
        <v/>
      </c>
      <c r="R92" t="str">
        <f ca="1"/>
        <v/>
      </c>
      <c r="Z92" t="str">
        <f ca="1"/>
        <v/>
      </c>
      <c r="AA92" t="str">
        <f ca="1"/>
        <v/>
      </c>
      <c r="AB92" t="str">
        <f ca="1"/>
        <v/>
      </c>
      <c r="AC92" t="str">
        <f ca="1"/>
        <v/>
      </c>
      <c r="AD92" t="str">
        <f ca="1"/>
        <v/>
      </c>
      <c r="AE92" t="str">
        <f ca="1"/>
        <v/>
      </c>
      <c r="AF92" t="str">
        <f ca="1"/>
        <v/>
      </c>
      <c r="AG92" t="str">
        <f ca="1"/>
        <v/>
      </c>
      <c r="AH92" t="str">
        <f ca="1"/>
        <v/>
      </c>
      <c r="AI92" t="str">
        <f ca="1"/>
        <v/>
      </c>
      <c r="AJ92" t="str">
        <f ca="1"/>
        <v/>
      </c>
      <c r="AK92" t="str">
        <f ca="1"/>
        <v/>
      </c>
      <c r="AL92" t="str">
        <f ca="1"/>
        <v/>
      </c>
      <c r="AM92" t="str">
        <f ca="1"/>
        <v/>
      </c>
    </row>
    <row r="93" spans="6:39" x14ac:dyDescent="0.55000000000000004">
      <c r="F93">
        <f t="shared" si="6"/>
        <v>8</v>
      </c>
      <c r="G93" t="str">
        <f t="shared" si="5"/>
        <v>8</v>
      </c>
      <c r="H93">
        <f>COUNTIF(G$3:G93,G93)</f>
        <v>21</v>
      </c>
      <c r="I93" t="str">
        <v/>
      </c>
      <c r="J93" t="str">
        <v/>
      </c>
      <c r="K93" t="str">
        <f ca="1"/>
        <v/>
      </c>
      <c r="L93" t="str">
        <f ca="1"/>
        <v/>
      </c>
      <c r="N93" t="str">
        <f ca="1"/>
        <v/>
      </c>
      <c r="O93" t="str">
        <v/>
      </c>
      <c r="P93" t="str">
        <v/>
      </c>
      <c r="Q93" t="str">
        <f ca="1"/>
        <v/>
      </c>
      <c r="R93" t="str">
        <f ca="1"/>
        <v/>
      </c>
      <c r="Z93" t="str">
        <f ca="1"/>
        <v/>
      </c>
      <c r="AA93" t="str">
        <f ca="1"/>
        <v/>
      </c>
      <c r="AB93" t="str">
        <f ca="1"/>
        <v/>
      </c>
      <c r="AC93" t="str">
        <f ca="1"/>
        <v/>
      </c>
      <c r="AD93" t="str">
        <f ca="1"/>
        <v/>
      </c>
      <c r="AE93" t="str">
        <f ca="1"/>
        <v/>
      </c>
      <c r="AF93" t="str">
        <f ca="1"/>
        <v/>
      </c>
      <c r="AG93" t="str">
        <f ca="1"/>
        <v/>
      </c>
      <c r="AH93" t="str">
        <f ca="1"/>
        <v/>
      </c>
      <c r="AI93" t="str">
        <f ca="1"/>
        <v/>
      </c>
      <c r="AJ93" t="str">
        <f ca="1"/>
        <v/>
      </c>
      <c r="AK93" t="str">
        <f ca="1"/>
        <v/>
      </c>
      <c r="AL93" t="str">
        <f ca="1"/>
        <v/>
      </c>
      <c r="AM93" t="str">
        <f ca="1"/>
        <v/>
      </c>
    </row>
    <row r="94" spans="6:39" x14ac:dyDescent="0.55000000000000004">
      <c r="F94">
        <f t="shared" si="6"/>
        <v>8</v>
      </c>
      <c r="G94" t="str">
        <f t="shared" si="5"/>
        <v>8</v>
      </c>
      <c r="H94">
        <f>COUNTIF(G$3:G94,G94)</f>
        <v>22</v>
      </c>
      <c r="I94" t="str">
        <v/>
      </c>
      <c r="J94" t="str">
        <v/>
      </c>
      <c r="K94" t="str">
        <f ca="1"/>
        <v/>
      </c>
      <c r="L94" t="str">
        <f ca="1"/>
        <v/>
      </c>
      <c r="N94" t="str">
        <f ca="1"/>
        <v/>
      </c>
      <c r="O94" t="str">
        <v/>
      </c>
      <c r="P94" t="str">
        <v/>
      </c>
      <c r="Q94" t="str">
        <f ca="1"/>
        <v/>
      </c>
      <c r="R94" t="str">
        <f ca="1"/>
        <v/>
      </c>
      <c r="Z94" t="str">
        <f ca="1"/>
        <v/>
      </c>
      <c r="AA94" t="str">
        <f ca="1"/>
        <v/>
      </c>
      <c r="AB94" t="str">
        <f ca="1"/>
        <v/>
      </c>
      <c r="AC94" t="str">
        <f ca="1"/>
        <v/>
      </c>
      <c r="AD94" t="str">
        <f ca="1"/>
        <v/>
      </c>
      <c r="AE94" t="str">
        <f ca="1"/>
        <v/>
      </c>
      <c r="AF94" t="str">
        <f ca="1"/>
        <v/>
      </c>
      <c r="AG94" t="str">
        <f ca="1"/>
        <v/>
      </c>
      <c r="AH94" t="str">
        <f ca="1"/>
        <v/>
      </c>
      <c r="AI94" t="str">
        <f ca="1"/>
        <v/>
      </c>
      <c r="AJ94" t="str">
        <f ca="1"/>
        <v/>
      </c>
      <c r="AK94" t="str">
        <f ca="1"/>
        <v/>
      </c>
      <c r="AL94" t="str">
        <f ca="1"/>
        <v/>
      </c>
      <c r="AM94" t="str">
        <f ca="1"/>
        <v/>
      </c>
    </row>
    <row r="95" spans="6:39" x14ac:dyDescent="0.55000000000000004">
      <c r="F95">
        <f t="shared" si="6"/>
        <v>8</v>
      </c>
      <c r="G95" t="str">
        <f t="shared" si="5"/>
        <v>8</v>
      </c>
      <c r="H95">
        <f>COUNTIF(G$3:G95,G95)</f>
        <v>23</v>
      </c>
      <c r="I95" t="str">
        <v/>
      </c>
      <c r="J95" t="str">
        <v/>
      </c>
      <c r="K95" t="str">
        <f ca="1"/>
        <v/>
      </c>
      <c r="L95" t="str">
        <f ca="1"/>
        <v/>
      </c>
      <c r="N95" t="str">
        <f ca="1"/>
        <v/>
      </c>
      <c r="O95" t="str">
        <v/>
      </c>
      <c r="P95" t="str">
        <v/>
      </c>
      <c r="Q95" t="str">
        <f ca="1"/>
        <v/>
      </c>
      <c r="R95" t="str">
        <f ca="1"/>
        <v/>
      </c>
      <c r="Z95" t="str">
        <f ca="1"/>
        <v/>
      </c>
      <c r="AA95" t="str">
        <f ca="1"/>
        <v/>
      </c>
      <c r="AB95" t="str">
        <f ca="1"/>
        <v/>
      </c>
      <c r="AC95" t="str">
        <f ca="1"/>
        <v/>
      </c>
      <c r="AD95" t="str">
        <f ca="1"/>
        <v/>
      </c>
      <c r="AE95" t="str">
        <f ca="1"/>
        <v/>
      </c>
      <c r="AF95" t="str">
        <f ca="1"/>
        <v/>
      </c>
      <c r="AG95" t="str">
        <f ca="1"/>
        <v/>
      </c>
      <c r="AH95" t="str">
        <f ca="1"/>
        <v/>
      </c>
      <c r="AI95" t="str">
        <f ca="1"/>
        <v/>
      </c>
      <c r="AJ95" t="str">
        <f ca="1"/>
        <v/>
      </c>
      <c r="AK95" t="str">
        <f ca="1"/>
        <v/>
      </c>
      <c r="AL95" t="str">
        <f ca="1"/>
        <v/>
      </c>
      <c r="AM95" t="str">
        <f ca="1"/>
        <v/>
      </c>
    </row>
    <row r="96" spans="6:39" x14ac:dyDescent="0.55000000000000004">
      <c r="F96">
        <f t="shared" si="6"/>
        <v>8</v>
      </c>
      <c r="G96" t="str">
        <f t="shared" si="5"/>
        <v>8</v>
      </c>
      <c r="H96">
        <f>COUNTIF(G$3:G96,G96)</f>
        <v>24</v>
      </c>
      <c r="I96" t="str">
        <v/>
      </c>
      <c r="J96" t="str">
        <v/>
      </c>
      <c r="K96" t="str">
        <f ca="1"/>
        <v/>
      </c>
      <c r="L96" t="str">
        <f ca="1"/>
        <v/>
      </c>
      <c r="N96" t="str">
        <f ca="1"/>
        <v/>
      </c>
      <c r="O96" t="str">
        <v/>
      </c>
      <c r="P96" t="str">
        <v/>
      </c>
      <c r="Q96" t="str">
        <f ca="1"/>
        <v/>
      </c>
      <c r="R96" t="str">
        <f ca="1"/>
        <v/>
      </c>
      <c r="Z96" t="str">
        <f ca="1"/>
        <v/>
      </c>
      <c r="AA96" t="str">
        <f ca="1"/>
        <v/>
      </c>
      <c r="AB96" t="str">
        <f ca="1"/>
        <v/>
      </c>
      <c r="AC96" t="str">
        <f ca="1"/>
        <v/>
      </c>
      <c r="AD96" t="str">
        <f ca="1"/>
        <v/>
      </c>
      <c r="AE96" t="str">
        <f ca="1"/>
        <v/>
      </c>
      <c r="AF96" t="str">
        <f ca="1"/>
        <v/>
      </c>
      <c r="AG96" t="str">
        <f ca="1"/>
        <v/>
      </c>
      <c r="AH96" t="str">
        <f ca="1"/>
        <v/>
      </c>
      <c r="AI96" t="str">
        <f ca="1"/>
        <v/>
      </c>
      <c r="AJ96" t="str">
        <f ca="1"/>
        <v/>
      </c>
      <c r="AK96" t="str">
        <f ca="1"/>
        <v/>
      </c>
      <c r="AL96" t="str">
        <f ca="1"/>
        <v/>
      </c>
      <c r="AM96" t="str">
        <f ca="1"/>
        <v/>
      </c>
    </row>
    <row r="97" spans="6:39" x14ac:dyDescent="0.55000000000000004">
      <c r="F97">
        <f t="shared" si="6"/>
        <v>8</v>
      </c>
      <c r="G97" t="str">
        <f t="shared" ref="G97:G160" si="8">E97&amp;F97</f>
        <v>8</v>
      </c>
      <c r="H97">
        <f>COUNTIF(G$3:G97,G97)</f>
        <v>25</v>
      </c>
      <c r="I97" t="str">
        <v/>
      </c>
      <c r="J97" t="str">
        <v/>
      </c>
      <c r="K97" t="str">
        <f ca="1"/>
        <v/>
      </c>
      <c r="L97" t="str">
        <f ca="1"/>
        <v/>
      </c>
      <c r="N97" t="str">
        <f ca="1"/>
        <v/>
      </c>
      <c r="O97" t="str">
        <v/>
      </c>
      <c r="P97" t="str">
        <v/>
      </c>
      <c r="Q97" t="str">
        <f ca="1"/>
        <v/>
      </c>
      <c r="R97" t="str">
        <f ca="1"/>
        <v/>
      </c>
      <c r="Z97" t="str">
        <f ca="1"/>
        <v/>
      </c>
      <c r="AA97" t="str">
        <f ca="1"/>
        <v/>
      </c>
      <c r="AB97" t="str">
        <f ca="1"/>
        <v/>
      </c>
      <c r="AC97" t="str">
        <f ca="1"/>
        <v/>
      </c>
      <c r="AD97" t="str">
        <f ca="1"/>
        <v/>
      </c>
      <c r="AE97" t="str">
        <f ca="1"/>
        <v/>
      </c>
      <c r="AF97" t="str">
        <f ca="1"/>
        <v/>
      </c>
      <c r="AG97" t="str">
        <f ca="1"/>
        <v/>
      </c>
      <c r="AH97" t="str">
        <f ca="1"/>
        <v/>
      </c>
      <c r="AI97" t="str">
        <f ca="1"/>
        <v/>
      </c>
      <c r="AJ97" t="str">
        <f ca="1"/>
        <v/>
      </c>
      <c r="AK97" t="str">
        <f ca="1"/>
        <v/>
      </c>
      <c r="AL97" t="str">
        <f ca="1"/>
        <v/>
      </c>
      <c r="AM97" t="str">
        <f ca="1"/>
        <v/>
      </c>
    </row>
    <row r="98" spans="6:39" x14ac:dyDescent="0.55000000000000004">
      <c r="F98">
        <f t="shared" si="6"/>
        <v>8</v>
      </c>
      <c r="G98" t="str">
        <f t="shared" si="8"/>
        <v>8</v>
      </c>
      <c r="H98">
        <f>COUNTIF(G$3:G98,G98)</f>
        <v>26</v>
      </c>
      <c r="I98" t="str">
        <v/>
      </c>
      <c r="J98" t="str">
        <v/>
      </c>
      <c r="K98" t="str">
        <f ca="1"/>
        <v/>
      </c>
      <c r="L98" t="str">
        <f ca="1"/>
        <v/>
      </c>
      <c r="N98" t="str">
        <f ca="1"/>
        <v/>
      </c>
      <c r="O98" t="str">
        <v/>
      </c>
      <c r="P98" t="str">
        <v/>
      </c>
      <c r="Q98" t="str">
        <f ca="1"/>
        <v/>
      </c>
      <c r="R98" t="str">
        <f ca="1"/>
        <v/>
      </c>
      <c r="Z98" t="str">
        <f ca="1"/>
        <v/>
      </c>
      <c r="AA98" t="str">
        <f ca="1"/>
        <v/>
      </c>
      <c r="AB98" t="str">
        <f ca="1"/>
        <v/>
      </c>
      <c r="AC98" t="str">
        <f ca="1"/>
        <v/>
      </c>
      <c r="AD98" t="str">
        <f ca="1"/>
        <v/>
      </c>
      <c r="AE98" t="str">
        <f ca="1"/>
        <v/>
      </c>
      <c r="AF98" t="str">
        <f ca="1"/>
        <v/>
      </c>
      <c r="AG98" t="str">
        <f ca="1"/>
        <v/>
      </c>
      <c r="AH98" t="str">
        <f ca="1"/>
        <v/>
      </c>
      <c r="AI98" t="str">
        <f ca="1"/>
        <v/>
      </c>
      <c r="AJ98" t="str">
        <f ca="1"/>
        <v/>
      </c>
      <c r="AK98" t="str">
        <f ca="1"/>
        <v/>
      </c>
      <c r="AL98" t="str">
        <f ca="1"/>
        <v/>
      </c>
      <c r="AM98" t="str">
        <f ca="1"/>
        <v/>
      </c>
    </row>
    <row r="99" spans="6:39" x14ac:dyDescent="0.55000000000000004">
      <c r="F99">
        <f t="shared" si="6"/>
        <v>8</v>
      </c>
      <c r="G99" t="str">
        <f t="shared" si="8"/>
        <v>8</v>
      </c>
      <c r="H99">
        <f>COUNTIF(G$3:G99,G99)</f>
        <v>27</v>
      </c>
      <c r="I99" t="str">
        <v/>
      </c>
      <c r="J99" t="str">
        <v/>
      </c>
      <c r="K99" t="str">
        <f ca="1"/>
        <v/>
      </c>
      <c r="L99" t="str">
        <f ca="1"/>
        <v/>
      </c>
      <c r="N99" t="str">
        <f ca="1"/>
        <v/>
      </c>
      <c r="O99" t="str">
        <v/>
      </c>
      <c r="P99" t="str">
        <v/>
      </c>
      <c r="Q99" t="str">
        <f ca="1"/>
        <v/>
      </c>
      <c r="R99" t="str">
        <f ca="1"/>
        <v/>
      </c>
      <c r="Z99" t="str">
        <f ca="1"/>
        <v/>
      </c>
      <c r="AA99" t="str">
        <f ca="1"/>
        <v/>
      </c>
      <c r="AB99" t="str">
        <f ca="1"/>
        <v/>
      </c>
      <c r="AC99" t="str">
        <f ca="1"/>
        <v/>
      </c>
      <c r="AD99" t="str">
        <f ca="1"/>
        <v/>
      </c>
      <c r="AE99" t="str">
        <f ca="1"/>
        <v/>
      </c>
      <c r="AF99" t="str">
        <f ca="1"/>
        <v/>
      </c>
      <c r="AG99" t="str">
        <f ca="1"/>
        <v/>
      </c>
      <c r="AH99" t="str">
        <f ca="1"/>
        <v/>
      </c>
      <c r="AI99" t="str">
        <f ca="1"/>
        <v/>
      </c>
      <c r="AJ99" t="str">
        <f ca="1"/>
        <v/>
      </c>
      <c r="AK99" t="str">
        <f ca="1"/>
        <v/>
      </c>
      <c r="AL99" t="str">
        <f ca="1"/>
        <v/>
      </c>
      <c r="AM99" t="str">
        <f ca="1"/>
        <v/>
      </c>
    </row>
    <row r="100" spans="6:39" x14ac:dyDescent="0.55000000000000004">
      <c r="F100">
        <f t="shared" si="6"/>
        <v>8</v>
      </c>
      <c r="G100" t="str">
        <f t="shared" si="8"/>
        <v>8</v>
      </c>
      <c r="H100">
        <f>COUNTIF(G$3:G100,G100)</f>
        <v>28</v>
      </c>
      <c r="I100" t="str">
        <v/>
      </c>
      <c r="J100" t="str">
        <v/>
      </c>
      <c r="K100" t="str">
        <f ca="1"/>
        <v/>
      </c>
      <c r="L100" t="str">
        <f ca="1"/>
        <v/>
      </c>
      <c r="N100" t="str">
        <f ca="1"/>
        <v/>
      </c>
      <c r="O100" t="str">
        <v/>
      </c>
      <c r="P100" t="str">
        <v/>
      </c>
      <c r="Q100" t="str">
        <f ca="1"/>
        <v/>
      </c>
      <c r="R100" t="str">
        <f ca="1"/>
        <v/>
      </c>
      <c r="Z100" t="str">
        <f ca="1"/>
        <v/>
      </c>
      <c r="AA100" t="str">
        <f ca="1"/>
        <v/>
      </c>
      <c r="AB100" t="str">
        <f ca="1"/>
        <v/>
      </c>
      <c r="AC100" t="str">
        <f ca="1"/>
        <v/>
      </c>
      <c r="AD100" t="str">
        <f ca="1"/>
        <v/>
      </c>
      <c r="AE100" t="str">
        <f ca="1"/>
        <v/>
      </c>
      <c r="AF100" t="str">
        <f ca="1"/>
        <v/>
      </c>
      <c r="AG100" t="str">
        <f ca="1"/>
        <v/>
      </c>
      <c r="AH100" t="str">
        <f ca="1"/>
        <v/>
      </c>
      <c r="AI100" t="str">
        <f ca="1"/>
        <v/>
      </c>
      <c r="AJ100" t="str">
        <f ca="1"/>
        <v/>
      </c>
      <c r="AK100" t="str">
        <f ca="1"/>
        <v/>
      </c>
      <c r="AL100" t="str">
        <f ca="1"/>
        <v/>
      </c>
      <c r="AM100" t="str">
        <f ca="1"/>
        <v/>
      </c>
    </row>
    <row r="101" spans="6:39" x14ac:dyDescent="0.55000000000000004">
      <c r="F101">
        <f t="shared" si="6"/>
        <v>8</v>
      </c>
      <c r="G101" t="str">
        <f t="shared" si="8"/>
        <v>8</v>
      </c>
      <c r="H101">
        <f>COUNTIF(G$3:G101,G101)</f>
        <v>29</v>
      </c>
      <c r="I101" t="str">
        <v/>
      </c>
      <c r="J101" t="str">
        <v/>
      </c>
      <c r="K101" t="str">
        <f ca="1"/>
        <v/>
      </c>
      <c r="L101" t="str">
        <f ca="1"/>
        <v/>
      </c>
      <c r="N101" t="str">
        <f ca="1"/>
        <v/>
      </c>
      <c r="O101" t="str">
        <v/>
      </c>
      <c r="P101" t="str">
        <v/>
      </c>
      <c r="Q101" t="str">
        <f ca="1"/>
        <v/>
      </c>
      <c r="R101" t="str">
        <f ca="1"/>
        <v/>
      </c>
      <c r="Z101" t="str">
        <f ca="1"/>
        <v/>
      </c>
      <c r="AA101" t="str">
        <f ca="1"/>
        <v/>
      </c>
      <c r="AB101" t="str">
        <f ca="1"/>
        <v/>
      </c>
      <c r="AC101" t="str">
        <f ca="1"/>
        <v/>
      </c>
      <c r="AD101" t="str">
        <f ca="1"/>
        <v/>
      </c>
      <c r="AE101" t="str">
        <f ca="1"/>
        <v/>
      </c>
      <c r="AF101" t="str">
        <f ca="1"/>
        <v/>
      </c>
      <c r="AG101" t="str">
        <f ca="1"/>
        <v/>
      </c>
      <c r="AH101" t="str">
        <f ca="1"/>
        <v/>
      </c>
      <c r="AI101" t="str">
        <f ca="1"/>
        <v/>
      </c>
      <c r="AJ101" t="str">
        <f ca="1"/>
        <v/>
      </c>
      <c r="AK101" t="str">
        <f ca="1"/>
        <v/>
      </c>
      <c r="AL101" t="str">
        <f ca="1"/>
        <v/>
      </c>
      <c r="AM101" t="str">
        <f ca="1"/>
        <v/>
      </c>
    </row>
    <row r="102" spans="6:39" x14ac:dyDescent="0.55000000000000004">
      <c r="F102">
        <f t="shared" si="6"/>
        <v>8</v>
      </c>
      <c r="G102" t="str">
        <f t="shared" si="8"/>
        <v>8</v>
      </c>
      <c r="H102">
        <f>COUNTIF(G$3:G102,G102)</f>
        <v>30</v>
      </c>
      <c r="I102" t="str">
        <v/>
      </c>
      <c r="J102" t="str">
        <v/>
      </c>
      <c r="K102" t="str">
        <f ca="1"/>
        <v/>
      </c>
      <c r="L102" t="str">
        <f ca="1"/>
        <v/>
      </c>
      <c r="N102" t="str">
        <f ca="1"/>
        <v/>
      </c>
      <c r="O102" t="str">
        <v/>
      </c>
      <c r="P102" t="str">
        <v/>
      </c>
      <c r="Q102" t="str">
        <f ca="1"/>
        <v/>
      </c>
      <c r="R102" t="str">
        <f ca="1"/>
        <v/>
      </c>
      <c r="Z102" t="str">
        <f ca="1"/>
        <v/>
      </c>
      <c r="AA102" t="str">
        <f ca="1"/>
        <v/>
      </c>
      <c r="AB102" t="str">
        <f ca="1"/>
        <v/>
      </c>
      <c r="AC102" t="str">
        <f ca="1"/>
        <v/>
      </c>
      <c r="AD102" t="str">
        <f ca="1"/>
        <v/>
      </c>
      <c r="AE102" t="str">
        <f ca="1"/>
        <v/>
      </c>
      <c r="AF102" t="str">
        <f ca="1"/>
        <v/>
      </c>
      <c r="AG102" t="str">
        <f ca="1"/>
        <v/>
      </c>
      <c r="AH102" t="str">
        <f ca="1"/>
        <v/>
      </c>
      <c r="AI102" t="str">
        <f ca="1"/>
        <v/>
      </c>
      <c r="AJ102" t="str">
        <f ca="1"/>
        <v/>
      </c>
      <c r="AK102" t="str">
        <f ca="1"/>
        <v/>
      </c>
      <c r="AL102" t="str">
        <f ca="1"/>
        <v/>
      </c>
      <c r="AM102" t="str">
        <f ca="1"/>
        <v/>
      </c>
    </row>
    <row r="103" spans="6:39" x14ac:dyDescent="0.55000000000000004">
      <c r="F103">
        <f t="shared" si="6"/>
        <v>8</v>
      </c>
      <c r="G103" t="str">
        <f t="shared" si="8"/>
        <v>8</v>
      </c>
      <c r="H103">
        <f>COUNTIF(G$3:G103,G103)</f>
        <v>31</v>
      </c>
      <c r="I103" t="str">
        <v/>
      </c>
      <c r="J103" t="str">
        <v/>
      </c>
      <c r="K103" t="str">
        <f ca="1"/>
        <v/>
      </c>
      <c r="L103" t="str">
        <f ca="1"/>
        <v/>
      </c>
      <c r="N103" t="str">
        <f ca="1"/>
        <v/>
      </c>
      <c r="O103" t="str">
        <v/>
      </c>
      <c r="P103" t="str">
        <v/>
      </c>
      <c r="Q103" t="str">
        <f ca="1"/>
        <v/>
      </c>
      <c r="R103" t="str">
        <f ca="1"/>
        <v/>
      </c>
      <c r="Z103" t="str">
        <f ca="1"/>
        <v/>
      </c>
      <c r="AA103" t="str">
        <f ca="1"/>
        <v/>
      </c>
      <c r="AB103" t="str">
        <f ca="1"/>
        <v/>
      </c>
      <c r="AC103" t="str">
        <f ca="1"/>
        <v/>
      </c>
      <c r="AD103" t="str">
        <f ca="1"/>
        <v/>
      </c>
      <c r="AE103" t="str">
        <f ca="1"/>
        <v/>
      </c>
      <c r="AF103" t="str">
        <f ca="1"/>
        <v/>
      </c>
      <c r="AG103" t="str">
        <f ca="1"/>
        <v/>
      </c>
      <c r="AH103" t="str">
        <f ca="1"/>
        <v/>
      </c>
      <c r="AI103" t="str">
        <f ca="1"/>
        <v/>
      </c>
      <c r="AJ103" t="str">
        <f ca="1"/>
        <v/>
      </c>
      <c r="AK103" t="str">
        <f ca="1"/>
        <v/>
      </c>
      <c r="AL103" t="str">
        <f ca="1"/>
        <v/>
      </c>
      <c r="AM103" t="str">
        <f ca="1"/>
        <v/>
      </c>
    </row>
    <row r="104" spans="6:39" x14ac:dyDescent="0.55000000000000004">
      <c r="F104">
        <f t="shared" si="6"/>
        <v>8</v>
      </c>
      <c r="G104" t="str">
        <f t="shared" si="8"/>
        <v>8</v>
      </c>
      <c r="H104">
        <f>COUNTIF(G$3:G104,G104)</f>
        <v>32</v>
      </c>
      <c r="I104" t="str">
        <v/>
      </c>
      <c r="J104" t="str">
        <v/>
      </c>
      <c r="K104" t="str">
        <f ca="1"/>
        <v/>
      </c>
      <c r="L104" t="str">
        <f ca="1"/>
        <v/>
      </c>
      <c r="N104" t="str">
        <f ca="1"/>
        <v/>
      </c>
      <c r="O104" t="str">
        <v/>
      </c>
      <c r="P104" t="str">
        <v/>
      </c>
      <c r="Q104" t="str">
        <f ca="1"/>
        <v/>
      </c>
      <c r="R104" t="str">
        <f ca="1"/>
        <v/>
      </c>
      <c r="Z104" t="str">
        <f ca="1"/>
        <v/>
      </c>
      <c r="AA104" t="str">
        <f ca="1"/>
        <v/>
      </c>
      <c r="AB104" t="str">
        <f ca="1"/>
        <v/>
      </c>
      <c r="AC104" t="str">
        <f ca="1"/>
        <v/>
      </c>
      <c r="AD104" t="str">
        <f ca="1"/>
        <v/>
      </c>
      <c r="AE104" t="str">
        <f ca="1"/>
        <v/>
      </c>
      <c r="AF104" t="str">
        <f ca="1"/>
        <v/>
      </c>
      <c r="AG104" t="str">
        <f ca="1"/>
        <v/>
      </c>
      <c r="AH104" t="str">
        <f ca="1"/>
        <v/>
      </c>
      <c r="AI104" t="str">
        <f ca="1"/>
        <v/>
      </c>
      <c r="AJ104" t="str">
        <f ca="1"/>
        <v/>
      </c>
      <c r="AK104" t="str">
        <f ca="1"/>
        <v/>
      </c>
      <c r="AL104" t="str">
        <f ca="1"/>
        <v/>
      </c>
      <c r="AM104" t="str">
        <f ca="1"/>
        <v/>
      </c>
    </row>
    <row r="105" spans="6:39" x14ac:dyDescent="0.55000000000000004">
      <c r="F105">
        <f t="shared" si="6"/>
        <v>8</v>
      </c>
      <c r="G105" t="str">
        <f t="shared" si="8"/>
        <v>8</v>
      </c>
      <c r="H105">
        <f>COUNTIF(G$3:G105,G105)</f>
        <v>33</v>
      </c>
      <c r="I105" t="str">
        <v/>
      </c>
      <c r="J105" t="str">
        <v/>
      </c>
      <c r="K105" t="str">
        <f ca="1"/>
        <v/>
      </c>
      <c r="L105" t="str">
        <f ca="1"/>
        <v/>
      </c>
      <c r="N105" t="str">
        <f ca="1"/>
        <v/>
      </c>
      <c r="O105" t="str">
        <v/>
      </c>
      <c r="P105" t="str">
        <v/>
      </c>
      <c r="Q105" t="str">
        <f ca="1"/>
        <v/>
      </c>
      <c r="R105" t="str">
        <f ca="1"/>
        <v/>
      </c>
      <c r="Z105" t="str">
        <f ca="1"/>
        <v/>
      </c>
      <c r="AA105" t="str">
        <f ca="1"/>
        <v/>
      </c>
      <c r="AB105" t="str">
        <f ca="1"/>
        <v/>
      </c>
      <c r="AC105" t="str">
        <f ca="1"/>
        <v/>
      </c>
      <c r="AD105" t="str">
        <f ca="1"/>
        <v/>
      </c>
      <c r="AE105" t="str">
        <f ca="1"/>
        <v/>
      </c>
      <c r="AF105" t="str">
        <f ca="1"/>
        <v/>
      </c>
      <c r="AG105" t="str">
        <f ca="1"/>
        <v/>
      </c>
      <c r="AH105" t="str">
        <f ca="1"/>
        <v/>
      </c>
      <c r="AI105" t="str">
        <f ca="1"/>
        <v/>
      </c>
      <c r="AJ105" t="str">
        <f ca="1"/>
        <v/>
      </c>
      <c r="AK105" t="str">
        <f ca="1"/>
        <v/>
      </c>
      <c r="AL105" t="str">
        <f ca="1"/>
        <v/>
      </c>
      <c r="AM105" t="str">
        <f ca="1"/>
        <v/>
      </c>
    </row>
    <row r="106" spans="6:39" x14ac:dyDescent="0.55000000000000004">
      <c r="F106">
        <f t="shared" si="6"/>
        <v>8</v>
      </c>
      <c r="G106" t="str">
        <f t="shared" si="8"/>
        <v>8</v>
      </c>
      <c r="H106">
        <f>COUNTIF(G$3:G106,G106)</f>
        <v>34</v>
      </c>
      <c r="I106" t="str">
        <v/>
      </c>
      <c r="J106" t="str">
        <v/>
      </c>
      <c r="K106" t="str">
        <f ca="1"/>
        <v/>
      </c>
      <c r="L106" t="str">
        <f ca="1"/>
        <v/>
      </c>
      <c r="N106" t="str">
        <f ca="1"/>
        <v/>
      </c>
      <c r="O106" t="str">
        <v/>
      </c>
      <c r="P106" t="str">
        <v/>
      </c>
      <c r="Q106" t="str">
        <f ca="1"/>
        <v/>
      </c>
      <c r="R106" t="str">
        <f ca="1"/>
        <v/>
      </c>
      <c r="Z106" t="str">
        <f ca="1"/>
        <v/>
      </c>
      <c r="AA106" t="str">
        <f ca="1"/>
        <v/>
      </c>
      <c r="AB106" t="str">
        <f ca="1"/>
        <v/>
      </c>
      <c r="AC106" t="str">
        <f ca="1"/>
        <v/>
      </c>
      <c r="AD106" t="str">
        <f ca="1"/>
        <v/>
      </c>
      <c r="AE106" t="str">
        <f ca="1"/>
        <v/>
      </c>
      <c r="AF106" t="str">
        <f ca="1"/>
        <v/>
      </c>
      <c r="AG106" t="str">
        <f ca="1"/>
        <v/>
      </c>
      <c r="AH106" t="str">
        <f ca="1"/>
        <v/>
      </c>
      <c r="AI106" t="str">
        <f ca="1"/>
        <v/>
      </c>
      <c r="AJ106" t="str">
        <f ca="1"/>
        <v/>
      </c>
      <c r="AK106" t="str">
        <f ca="1"/>
        <v/>
      </c>
      <c r="AL106" t="str">
        <f ca="1"/>
        <v/>
      </c>
      <c r="AM106" t="str">
        <f ca="1"/>
        <v/>
      </c>
    </row>
    <row r="107" spans="6:39" x14ac:dyDescent="0.55000000000000004">
      <c r="F107">
        <f t="shared" si="6"/>
        <v>8</v>
      </c>
      <c r="G107" t="str">
        <f t="shared" si="8"/>
        <v>8</v>
      </c>
      <c r="H107">
        <f>COUNTIF(G$3:G107,G107)</f>
        <v>35</v>
      </c>
      <c r="I107" t="str">
        <v/>
      </c>
      <c r="J107" t="str">
        <v/>
      </c>
      <c r="K107" t="str">
        <f ca="1"/>
        <v/>
      </c>
      <c r="L107" t="str">
        <f ca="1"/>
        <v/>
      </c>
      <c r="N107" t="str">
        <f ca="1"/>
        <v/>
      </c>
      <c r="O107" t="str">
        <v/>
      </c>
      <c r="P107" t="str">
        <v/>
      </c>
      <c r="Q107" t="str">
        <f ca="1"/>
        <v/>
      </c>
      <c r="R107" t="str">
        <f ca="1"/>
        <v/>
      </c>
      <c r="Z107" t="str">
        <f ca="1"/>
        <v/>
      </c>
      <c r="AA107" t="str">
        <f ca="1"/>
        <v/>
      </c>
      <c r="AB107" t="str">
        <f ca="1"/>
        <v/>
      </c>
      <c r="AC107" t="str">
        <f ca="1"/>
        <v/>
      </c>
      <c r="AD107" t="str">
        <f ca="1"/>
        <v/>
      </c>
      <c r="AE107" t="str">
        <f ca="1"/>
        <v/>
      </c>
      <c r="AF107" t="str">
        <f ca="1"/>
        <v/>
      </c>
      <c r="AG107" t="str">
        <f ca="1"/>
        <v/>
      </c>
      <c r="AH107" t="str">
        <f ca="1"/>
        <v/>
      </c>
      <c r="AI107" t="str">
        <f ca="1"/>
        <v/>
      </c>
      <c r="AJ107" t="str">
        <f ca="1"/>
        <v/>
      </c>
      <c r="AK107" t="str">
        <f ca="1"/>
        <v/>
      </c>
      <c r="AL107" t="str">
        <f ca="1"/>
        <v/>
      </c>
      <c r="AM107" t="str">
        <f ca="1"/>
        <v/>
      </c>
    </row>
    <row r="108" spans="6:39" x14ac:dyDescent="0.55000000000000004">
      <c r="F108">
        <f t="shared" si="6"/>
        <v>8</v>
      </c>
      <c r="G108" t="str">
        <f t="shared" si="8"/>
        <v>8</v>
      </c>
      <c r="H108">
        <f>COUNTIF(G$3:G108,G108)</f>
        <v>36</v>
      </c>
      <c r="I108" t="str">
        <v/>
      </c>
      <c r="J108" t="str">
        <v/>
      </c>
      <c r="K108" t="str">
        <f ca="1"/>
        <v/>
      </c>
      <c r="L108" t="str">
        <f ca="1"/>
        <v/>
      </c>
      <c r="N108" t="str">
        <f ca="1"/>
        <v/>
      </c>
      <c r="O108" t="str">
        <v/>
      </c>
      <c r="P108" t="str">
        <v/>
      </c>
      <c r="Q108" t="str">
        <f ca="1"/>
        <v/>
      </c>
      <c r="R108" t="str">
        <f ca="1"/>
        <v/>
      </c>
      <c r="Z108" t="str">
        <f ca="1"/>
        <v/>
      </c>
      <c r="AA108" t="str">
        <f ca="1"/>
        <v/>
      </c>
      <c r="AB108" t="str">
        <f ca="1"/>
        <v/>
      </c>
      <c r="AC108" t="str">
        <f ca="1"/>
        <v/>
      </c>
      <c r="AD108" t="str">
        <f ca="1"/>
        <v/>
      </c>
      <c r="AE108" t="str">
        <f ca="1"/>
        <v/>
      </c>
      <c r="AF108" t="str">
        <f ca="1"/>
        <v/>
      </c>
      <c r="AG108" t="str">
        <f ca="1"/>
        <v/>
      </c>
      <c r="AH108" t="str">
        <f ca="1"/>
        <v/>
      </c>
      <c r="AI108" t="str">
        <f ca="1"/>
        <v/>
      </c>
      <c r="AJ108" t="str">
        <f ca="1"/>
        <v/>
      </c>
      <c r="AK108" t="str">
        <f ca="1"/>
        <v/>
      </c>
      <c r="AL108" t="str">
        <f ca="1"/>
        <v/>
      </c>
      <c r="AM108" t="str">
        <f ca="1"/>
        <v/>
      </c>
    </row>
    <row r="109" spans="6:39" x14ac:dyDescent="0.55000000000000004">
      <c r="F109">
        <f t="shared" si="6"/>
        <v>8</v>
      </c>
      <c r="G109" t="str">
        <f t="shared" si="8"/>
        <v>8</v>
      </c>
      <c r="H109">
        <f>COUNTIF(G$3:G109,G109)</f>
        <v>37</v>
      </c>
      <c r="I109" t="str">
        <v/>
      </c>
      <c r="J109" t="str">
        <v/>
      </c>
      <c r="K109" t="str">
        <f ca="1"/>
        <v/>
      </c>
      <c r="L109" t="str">
        <f ca="1"/>
        <v/>
      </c>
      <c r="N109" t="str">
        <f ca="1"/>
        <v/>
      </c>
      <c r="O109" t="str">
        <v/>
      </c>
      <c r="P109" t="str">
        <v/>
      </c>
      <c r="Q109" t="str">
        <f ca="1"/>
        <v/>
      </c>
      <c r="R109" t="str">
        <f ca="1"/>
        <v/>
      </c>
      <c r="Z109" t="str">
        <f ca="1"/>
        <v/>
      </c>
      <c r="AA109" t="str">
        <f ca="1"/>
        <v/>
      </c>
      <c r="AB109" t="str">
        <f ca="1"/>
        <v/>
      </c>
      <c r="AC109" t="str">
        <f ca="1"/>
        <v/>
      </c>
      <c r="AD109" t="str">
        <f ca="1"/>
        <v/>
      </c>
      <c r="AE109" t="str">
        <f ca="1"/>
        <v/>
      </c>
      <c r="AF109" t="str">
        <f ca="1"/>
        <v/>
      </c>
      <c r="AG109" t="str">
        <f ca="1"/>
        <v/>
      </c>
      <c r="AH109" t="str">
        <f ca="1"/>
        <v/>
      </c>
      <c r="AI109" t="str">
        <f ca="1"/>
        <v/>
      </c>
      <c r="AJ109" t="str">
        <f ca="1"/>
        <v/>
      </c>
      <c r="AK109" t="str">
        <f ca="1"/>
        <v/>
      </c>
      <c r="AL109" t="str">
        <f ca="1"/>
        <v/>
      </c>
      <c r="AM109" t="str">
        <f ca="1"/>
        <v/>
      </c>
    </row>
    <row r="110" spans="6:39" x14ac:dyDescent="0.55000000000000004">
      <c r="F110">
        <f t="shared" si="6"/>
        <v>8</v>
      </c>
      <c r="G110" t="str">
        <f t="shared" si="8"/>
        <v>8</v>
      </c>
      <c r="H110">
        <f>COUNTIF(G$3:G110,G110)</f>
        <v>38</v>
      </c>
      <c r="I110" t="str">
        <v/>
      </c>
      <c r="J110" t="str">
        <v/>
      </c>
      <c r="K110" t="str">
        <f ca="1"/>
        <v/>
      </c>
      <c r="L110" t="str">
        <f ca="1"/>
        <v/>
      </c>
      <c r="N110" t="str">
        <f ca="1"/>
        <v/>
      </c>
      <c r="O110" t="str">
        <v/>
      </c>
      <c r="P110" t="str">
        <v/>
      </c>
      <c r="Q110" t="str">
        <f ca="1"/>
        <v/>
      </c>
      <c r="R110" t="str">
        <f ca="1"/>
        <v/>
      </c>
      <c r="Z110" t="str">
        <f ca="1"/>
        <v/>
      </c>
      <c r="AA110" t="str">
        <f ca="1"/>
        <v/>
      </c>
      <c r="AB110" t="str">
        <f ca="1"/>
        <v/>
      </c>
      <c r="AC110" t="str">
        <f ca="1"/>
        <v/>
      </c>
      <c r="AD110" t="str">
        <f ca="1"/>
        <v/>
      </c>
      <c r="AE110" t="str">
        <f ca="1"/>
        <v/>
      </c>
      <c r="AF110" t="str">
        <f ca="1"/>
        <v/>
      </c>
      <c r="AG110" t="str">
        <f ca="1"/>
        <v/>
      </c>
      <c r="AH110" t="str">
        <f ca="1"/>
        <v/>
      </c>
      <c r="AI110" t="str">
        <f ca="1"/>
        <v/>
      </c>
      <c r="AJ110" t="str">
        <f ca="1"/>
        <v/>
      </c>
      <c r="AK110" t="str">
        <f ca="1"/>
        <v/>
      </c>
      <c r="AL110" t="str">
        <f ca="1"/>
        <v/>
      </c>
      <c r="AM110" t="str">
        <f ca="1"/>
        <v/>
      </c>
    </row>
    <row r="111" spans="6:39" x14ac:dyDescent="0.55000000000000004">
      <c r="F111">
        <f t="shared" si="6"/>
        <v>8</v>
      </c>
      <c r="G111" t="str">
        <f t="shared" si="8"/>
        <v>8</v>
      </c>
      <c r="H111">
        <f>COUNTIF(G$3:G111,G111)</f>
        <v>39</v>
      </c>
      <c r="I111" t="str">
        <v/>
      </c>
      <c r="J111" t="str">
        <v/>
      </c>
      <c r="K111" t="str">
        <f ca="1"/>
        <v/>
      </c>
      <c r="L111" t="str">
        <f ca="1"/>
        <v/>
      </c>
      <c r="N111" t="str">
        <f ca="1"/>
        <v/>
      </c>
      <c r="O111" t="str">
        <v/>
      </c>
      <c r="P111" t="str">
        <v/>
      </c>
      <c r="Q111" t="str">
        <f ca="1"/>
        <v/>
      </c>
      <c r="R111" t="str">
        <f ca="1"/>
        <v/>
      </c>
      <c r="Z111" t="str">
        <f ca="1"/>
        <v/>
      </c>
      <c r="AA111" t="str">
        <f ca="1"/>
        <v/>
      </c>
      <c r="AB111" t="str">
        <f ca="1"/>
        <v/>
      </c>
      <c r="AC111" t="str">
        <f ca="1"/>
        <v/>
      </c>
      <c r="AD111" t="str">
        <f ca="1"/>
        <v/>
      </c>
      <c r="AE111" t="str">
        <f ca="1"/>
        <v/>
      </c>
      <c r="AF111" t="str">
        <f ca="1"/>
        <v/>
      </c>
      <c r="AG111" t="str">
        <f ca="1"/>
        <v/>
      </c>
      <c r="AH111" t="str">
        <f ca="1"/>
        <v/>
      </c>
      <c r="AI111" t="str">
        <f ca="1"/>
        <v/>
      </c>
      <c r="AJ111" t="str">
        <f ca="1"/>
        <v/>
      </c>
      <c r="AK111" t="str">
        <f ca="1"/>
        <v/>
      </c>
      <c r="AL111" t="str">
        <f ca="1"/>
        <v/>
      </c>
      <c r="AM111" t="str">
        <f ca="1"/>
        <v/>
      </c>
    </row>
    <row r="112" spans="6:39" x14ac:dyDescent="0.55000000000000004">
      <c r="F112">
        <f t="shared" si="6"/>
        <v>8</v>
      </c>
      <c r="G112" t="str">
        <f t="shared" si="8"/>
        <v>8</v>
      </c>
      <c r="H112">
        <f>COUNTIF(G$3:G112,G112)</f>
        <v>40</v>
      </c>
      <c r="I112" t="str">
        <v/>
      </c>
      <c r="J112" t="str">
        <v/>
      </c>
      <c r="K112" t="str">
        <f ca="1"/>
        <v/>
      </c>
      <c r="L112" t="str">
        <f ca="1"/>
        <v/>
      </c>
      <c r="N112" t="str">
        <f ca="1"/>
        <v/>
      </c>
      <c r="O112" t="str">
        <v/>
      </c>
      <c r="P112" t="str">
        <v/>
      </c>
      <c r="Q112" t="str">
        <f ca="1"/>
        <v/>
      </c>
      <c r="R112" t="str">
        <f ca="1"/>
        <v/>
      </c>
      <c r="Z112" t="str">
        <f ca="1"/>
        <v/>
      </c>
      <c r="AA112" t="str">
        <f ca="1"/>
        <v/>
      </c>
      <c r="AB112" t="str">
        <f ca="1"/>
        <v/>
      </c>
      <c r="AC112" t="str">
        <f ca="1"/>
        <v/>
      </c>
      <c r="AD112" t="str">
        <f ca="1"/>
        <v/>
      </c>
      <c r="AE112" t="str">
        <f ca="1"/>
        <v/>
      </c>
      <c r="AF112" t="str">
        <f ca="1"/>
        <v/>
      </c>
      <c r="AG112" t="str">
        <f ca="1"/>
        <v/>
      </c>
      <c r="AH112" t="str">
        <f ca="1"/>
        <v/>
      </c>
      <c r="AI112" t="str">
        <f ca="1"/>
        <v/>
      </c>
      <c r="AJ112" t="str">
        <f ca="1"/>
        <v/>
      </c>
      <c r="AK112" t="str">
        <f ca="1"/>
        <v/>
      </c>
      <c r="AL112" t="str">
        <f ca="1"/>
        <v/>
      </c>
      <c r="AM112" t="str">
        <f ca="1"/>
        <v/>
      </c>
    </row>
    <row r="113" spans="6:39" x14ac:dyDescent="0.55000000000000004">
      <c r="F113">
        <f t="shared" si="6"/>
        <v>8</v>
      </c>
      <c r="G113" t="str">
        <f t="shared" si="8"/>
        <v>8</v>
      </c>
      <c r="H113">
        <f>COUNTIF(G$3:G113,G113)</f>
        <v>41</v>
      </c>
      <c r="I113" t="str">
        <v/>
      </c>
      <c r="J113" t="str">
        <v/>
      </c>
      <c r="K113" t="str">
        <f ca="1"/>
        <v/>
      </c>
      <c r="L113" t="str">
        <f ca="1"/>
        <v/>
      </c>
      <c r="N113" t="str">
        <f ca="1"/>
        <v/>
      </c>
      <c r="O113" t="str">
        <v/>
      </c>
      <c r="P113" t="str">
        <v/>
      </c>
      <c r="Q113" t="str">
        <f ca="1"/>
        <v/>
      </c>
      <c r="R113" t="str">
        <f ca="1"/>
        <v/>
      </c>
      <c r="Z113" t="str">
        <f ca="1"/>
        <v/>
      </c>
      <c r="AA113" t="str">
        <f ca="1"/>
        <v/>
      </c>
      <c r="AB113" t="str">
        <f ca="1"/>
        <v/>
      </c>
      <c r="AC113" t="str">
        <f ca="1"/>
        <v/>
      </c>
      <c r="AD113" t="str">
        <f ca="1"/>
        <v/>
      </c>
      <c r="AE113" t="str">
        <f ca="1"/>
        <v/>
      </c>
      <c r="AF113" t="str">
        <f ca="1"/>
        <v/>
      </c>
      <c r="AG113" t="str">
        <f ca="1"/>
        <v/>
      </c>
      <c r="AH113" t="str">
        <f ca="1"/>
        <v/>
      </c>
      <c r="AI113" t="str">
        <f ca="1"/>
        <v/>
      </c>
      <c r="AJ113" t="str">
        <f ca="1"/>
        <v/>
      </c>
      <c r="AK113" t="str">
        <f ca="1"/>
        <v/>
      </c>
      <c r="AL113" t="str">
        <f ca="1"/>
        <v/>
      </c>
      <c r="AM113" t="str">
        <f ca="1"/>
        <v/>
      </c>
    </row>
    <row r="114" spans="6:39" x14ac:dyDescent="0.55000000000000004">
      <c r="F114">
        <f t="shared" si="6"/>
        <v>8</v>
      </c>
      <c r="G114" t="str">
        <f t="shared" si="8"/>
        <v>8</v>
      </c>
      <c r="H114">
        <f>COUNTIF(G$3:G114,G114)</f>
        <v>42</v>
      </c>
      <c r="I114" t="str">
        <v/>
      </c>
      <c r="J114" t="str">
        <v/>
      </c>
      <c r="K114" t="str">
        <f ca="1"/>
        <v/>
      </c>
      <c r="L114" t="str">
        <f ca="1"/>
        <v/>
      </c>
      <c r="N114" t="str">
        <f ca="1"/>
        <v/>
      </c>
      <c r="O114" t="str">
        <v/>
      </c>
      <c r="P114" t="str">
        <v/>
      </c>
      <c r="Q114" t="str">
        <f ca="1"/>
        <v/>
      </c>
      <c r="R114" t="str">
        <f ca="1"/>
        <v/>
      </c>
      <c r="Z114" t="str">
        <f ca="1"/>
        <v/>
      </c>
      <c r="AA114" t="str">
        <f ca="1"/>
        <v/>
      </c>
      <c r="AB114" t="str">
        <f ca="1"/>
        <v/>
      </c>
      <c r="AC114" t="str">
        <f ca="1"/>
        <v/>
      </c>
      <c r="AD114" t="str">
        <f ca="1"/>
        <v/>
      </c>
      <c r="AE114" t="str">
        <f ca="1"/>
        <v/>
      </c>
      <c r="AF114" t="str">
        <f ca="1"/>
        <v/>
      </c>
      <c r="AG114" t="str">
        <f ca="1"/>
        <v/>
      </c>
      <c r="AH114" t="str">
        <f ca="1"/>
        <v/>
      </c>
      <c r="AI114" t="str">
        <f ca="1"/>
        <v/>
      </c>
      <c r="AJ114" t="str">
        <f ca="1"/>
        <v/>
      </c>
      <c r="AK114" t="str">
        <f ca="1"/>
        <v/>
      </c>
      <c r="AL114" t="str">
        <f ca="1"/>
        <v/>
      </c>
      <c r="AM114" t="str">
        <f ca="1"/>
        <v/>
      </c>
    </row>
    <row r="115" spans="6:39" x14ac:dyDescent="0.55000000000000004">
      <c r="F115">
        <f t="shared" si="6"/>
        <v>8</v>
      </c>
      <c r="G115" t="str">
        <f t="shared" si="8"/>
        <v>8</v>
      </c>
      <c r="H115">
        <f>COUNTIF(G$3:G115,G115)</f>
        <v>43</v>
      </c>
      <c r="I115" t="str">
        <v/>
      </c>
      <c r="J115" t="str">
        <v/>
      </c>
      <c r="K115" t="str">
        <f ca="1"/>
        <v/>
      </c>
      <c r="L115" t="str">
        <f ca="1"/>
        <v/>
      </c>
      <c r="N115" t="str">
        <f ca="1"/>
        <v/>
      </c>
      <c r="O115" t="str">
        <v/>
      </c>
      <c r="P115" t="str">
        <v/>
      </c>
      <c r="Q115" t="str">
        <f ca="1"/>
        <v/>
      </c>
      <c r="R115" t="str">
        <f ca="1"/>
        <v/>
      </c>
      <c r="Z115" t="str">
        <f ca="1"/>
        <v/>
      </c>
      <c r="AA115" t="str">
        <f ca="1"/>
        <v/>
      </c>
      <c r="AB115" t="str">
        <f ca="1"/>
        <v/>
      </c>
      <c r="AC115" t="str">
        <f ca="1"/>
        <v/>
      </c>
      <c r="AD115" t="str">
        <f ca="1"/>
        <v/>
      </c>
      <c r="AE115" t="str">
        <f ca="1"/>
        <v/>
      </c>
      <c r="AF115" t="str">
        <f ca="1"/>
        <v/>
      </c>
      <c r="AG115" t="str">
        <f ca="1"/>
        <v/>
      </c>
      <c r="AH115" t="str">
        <f ca="1"/>
        <v/>
      </c>
      <c r="AI115" t="str">
        <f ca="1"/>
        <v/>
      </c>
      <c r="AJ115" t="str">
        <f ca="1"/>
        <v/>
      </c>
      <c r="AK115" t="str">
        <f ca="1"/>
        <v/>
      </c>
      <c r="AL115" t="str">
        <f ca="1"/>
        <v/>
      </c>
      <c r="AM115" t="str">
        <f ca="1"/>
        <v/>
      </c>
    </row>
    <row r="116" spans="6:39" x14ac:dyDescent="0.55000000000000004">
      <c r="F116">
        <f t="shared" si="6"/>
        <v>8</v>
      </c>
      <c r="G116" t="str">
        <f t="shared" si="8"/>
        <v>8</v>
      </c>
      <c r="H116">
        <f>COUNTIF(G$3:G116,G116)</f>
        <v>44</v>
      </c>
      <c r="I116" t="str">
        <v/>
      </c>
      <c r="J116" t="str">
        <v/>
      </c>
      <c r="K116" t="str">
        <f ca="1"/>
        <v/>
      </c>
      <c r="L116" t="str">
        <f ca="1"/>
        <v/>
      </c>
      <c r="N116" t="str">
        <f ca="1"/>
        <v/>
      </c>
      <c r="O116" t="str">
        <v/>
      </c>
      <c r="P116" t="str">
        <v/>
      </c>
      <c r="Q116" t="str">
        <f ca="1"/>
        <v/>
      </c>
      <c r="R116" t="str">
        <f ca="1"/>
        <v/>
      </c>
      <c r="Z116" t="str">
        <f ca="1"/>
        <v/>
      </c>
      <c r="AA116" t="str">
        <f ca="1"/>
        <v/>
      </c>
      <c r="AB116" t="str">
        <f ca="1"/>
        <v/>
      </c>
      <c r="AC116" t="str">
        <f ca="1"/>
        <v/>
      </c>
      <c r="AD116" t="str">
        <f ca="1"/>
        <v/>
      </c>
      <c r="AE116" t="str">
        <f ca="1"/>
        <v/>
      </c>
      <c r="AF116" t="str">
        <f ca="1"/>
        <v/>
      </c>
      <c r="AG116" t="str">
        <f ca="1"/>
        <v/>
      </c>
      <c r="AH116" t="str">
        <f ca="1"/>
        <v/>
      </c>
      <c r="AI116" t="str">
        <f ca="1"/>
        <v/>
      </c>
      <c r="AJ116" t="str">
        <f ca="1"/>
        <v/>
      </c>
      <c r="AK116" t="str">
        <f ca="1"/>
        <v/>
      </c>
      <c r="AL116" t="str">
        <f ca="1"/>
        <v/>
      </c>
      <c r="AM116" t="str">
        <f ca="1"/>
        <v/>
      </c>
    </row>
    <row r="117" spans="6:39" x14ac:dyDescent="0.55000000000000004">
      <c r="F117">
        <f t="shared" si="6"/>
        <v>8</v>
      </c>
      <c r="G117" t="str">
        <f t="shared" si="8"/>
        <v>8</v>
      </c>
      <c r="H117">
        <f>COUNTIF(G$3:G117,G117)</f>
        <v>45</v>
      </c>
      <c r="I117" t="str">
        <v/>
      </c>
      <c r="J117" t="str">
        <v/>
      </c>
      <c r="K117" t="str">
        <f ca="1"/>
        <v/>
      </c>
      <c r="L117" t="str">
        <f ca="1"/>
        <v/>
      </c>
      <c r="N117" t="str">
        <f ca="1"/>
        <v/>
      </c>
      <c r="O117" t="str">
        <v/>
      </c>
      <c r="P117" t="str">
        <v/>
      </c>
      <c r="Q117" t="str">
        <f ca="1"/>
        <v/>
      </c>
      <c r="R117" t="str">
        <f ca="1"/>
        <v/>
      </c>
      <c r="Z117" t="str">
        <f ca="1"/>
        <v/>
      </c>
      <c r="AA117" t="str">
        <f ca="1"/>
        <v/>
      </c>
      <c r="AB117" t="str">
        <f ca="1"/>
        <v/>
      </c>
      <c r="AC117" t="str">
        <f ca="1"/>
        <v/>
      </c>
      <c r="AD117" t="str">
        <f ca="1"/>
        <v/>
      </c>
      <c r="AE117" t="str">
        <f ca="1"/>
        <v/>
      </c>
      <c r="AF117" t="str">
        <f ca="1"/>
        <v/>
      </c>
      <c r="AG117" t="str">
        <f ca="1"/>
        <v/>
      </c>
      <c r="AH117" t="str">
        <f ca="1"/>
        <v/>
      </c>
      <c r="AI117" t="str">
        <f ca="1"/>
        <v/>
      </c>
      <c r="AJ117" t="str">
        <f ca="1"/>
        <v/>
      </c>
      <c r="AK117" t="str">
        <f ca="1"/>
        <v/>
      </c>
      <c r="AL117" t="str">
        <f ca="1"/>
        <v/>
      </c>
      <c r="AM117" t="str">
        <f ca="1"/>
        <v/>
      </c>
    </row>
    <row r="118" spans="6:39" x14ac:dyDescent="0.55000000000000004">
      <c r="F118">
        <f t="shared" si="6"/>
        <v>8</v>
      </c>
      <c r="G118" t="str">
        <f t="shared" si="8"/>
        <v>8</v>
      </c>
      <c r="H118">
        <f>COUNTIF(G$3:G118,G118)</f>
        <v>46</v>
      </c>
      <c r="I118" t="str">
        <v/>
      </c>
      <c r="J118" t="str">
        <v/>
      </c>
      <c r="K118" t="str">
        <f ca="1"/>
        <v/>
      </c>
      <c r="L118" t="str">
        <f ca="1"/>
        <v/>
      </c>
      <c r="N118" t="str">
        <f ca="1"/>
        <v/>
      </c>
      <c r="O118" t="str">
        <v/>
      </c>
      <c r="P118" t="str">
        <v/>
      </c>
      <c r="Q118" t="str">
        <f ca="1"/>
        <v/>
      </c>
      <c r="R118" t="str">
        <f ca="1"/>
        <v/>
      </c>
      <c r="Z118" t="str">
        <f ca="1"/>
        <v/>
      </c>
      <c r="AA118" t="str">
        <f ca="1"/>
        <v/>
      </c>
      <c r="AB118" t="str">
        <f ca="1"/>
        <v/>
      </c>
      <c r="AC118" t="str">
        <f ca="1"/>
        <v/>
      </c>
      <c r="AD118" t="str">
        <f ca="1"/>
        <v/>
      </c>
      <c r="AE118" t="str">
        <f ca="1"/>
        <v/>
      </c>
      <c r="AF118" t="str">
        <f ca="1"/>
        <v/>
      </c>
      <c r="AG118" t="str">
        <f ca="1"/>
        <v/>
      </c>
      <c r="AH118" t="str">
        <f ca="1"/>
        <v/>
      </c>
      <c r="AI118" t="str">
        <f ca="1"/>
        <v/>
      </c>
      <c r="AJ118" t="str">
        <f ca="1"/>
        <v/>
      </c>
      <c r="AK118" t="str">
        <f ca="1"/>
        <v/>
      </c>
      <c r="AL118" t="str">
        <f ca="1"/>
        <v/>
      </c>
      <c r="AM118" t="str">
        <f ca="1"/>
        <v/>
      </c>
    </row>
    <row r="119" spans="6:39" x14ac:dyDescent="0.55000000000000004">
      <c r="F119">
        <f t="shared" si="6"/>
        <v>8</v>
      </c>
      <c r="G119" t="str">
        <f t="shared" si="8"/>
        <v>8</v>
      </c>
      <c r="H119">
        <f>COUNTIF(G$3:G119,G119)</f>
        <v>47</v>
      </c>
      <c r="I119" t="str">
        <v/>
      </c>
      <c r="J119" t="str">
        <v/>
      </c>
      <c r="K119" t="str">
        <f ca="1"/>
        <v/>
      </c>
      <c r="L119" t="str">
        <f ca="1"/>
        <v/>
      </c>
      <c r="N119" t="str">
        <f ca="1"/>
        <v/>
      </c>
      <c r="O119" t="str">
        <v/>
      </c>
      <c r="P119" t="str">
        <v/>
      </c>
      <c r="Q119" t="str">
        <f ca="1"/>
        <v/>
      </c>
      <c r="R119" t="str">
        <f ca="1"/>
        <v/>
      </c>
      <c r="Z119" t="str">
        <f ca="1"/>
        <v/>
      </c>
      <c r="AA119" t="str">
        <f ca="1"/>
        <v/>
      </c>
      <c r="AB119" t="str">
        <f ca="1"/>
        <v/>
      </c>
      <c r="AC119" t="str">
        <f ca="1"/>
        <v/>
      </c>
      <c r="AD119" t="str">
        <f ca="1"/>
        <v/>
      </c>
      <c r="AE119" t="str">
        <f ca="1"/>
        <v/>
      </c>
      <c r="AF119" t="str">
        <f ca="1"/>
        <v/>
      </c>
      <c r="AG119" t="str">
        <f ca="1"/>
        <v/>
      </c>
      <c r="AH119" t="str">
        <f ca="1"/>
        <v/>
      </c>
      <c r="AI119" t="str">
        <f ca="1"/>
        <v/>
      </c>
      <c r="AJ119" t="str">
        <f ca="1"/>
        <v/>
      </c>
      <c r="AK119" t="str">
        <f ca="1"/>
        <v/>
      </c>
      <c r="AL119" t="str">
        <f ca="1"/>
        <v/>
      </c>
      <c r="AM119" t="str">
        <f ca="1"/>
        <v/>
      </c>
    </row>
    <row r="120" spans="6:39" x14ac:dyDescent="0.55000000000000004">
      <c r="F120">
        <f t="shared" si="6"/>
        <v>8</v>
      </c>
      <c r="G120" t="str">
        <f t="shared" si="8"/>
        <v>8</v>
      </c>
      <c r="H120">
        <f>COUNTIF(G$3:G120,G120)</f>
        <v>48</v>
      </c>
      <c r="I120" t="str">
        <v/>
      </c>
      <c r="J120" t="str">
        <v/>
      </c>
      <c r="K120" t="str">
        <f ca="1"/>
        <v/>
      </c>
      <c r="L120" t="str">
        <f ca="1"/>
        <v/>
      </c>
      <c r="N120" t="str">
        <f ca="1"/>
        <v/>
      </c>
      <c r="O120" t="str">
        <v/>
      </c>
      <c r="P120" t="str">
        <v/>
      </c>
      <c r="Q120" t="str">
        <f ca="1"/>
        <v/>
      </c>
      <c r="R120" t="str">
        <f ca="1"/>
        <v/>
      </c>
      <c r="Z120" t="str">
        <f ca="1"/>
        <v/>
      </c>
      <c r="AA120" t="str">
        <f ca="1"/>
        <v/>
      </c>
      <c r="AB120" t="str">
        <f ca="1"/>
        <v/>
      </c>
      <c r="AC120" t="str">
        <f ca="1"/>
        <v/>
      </c>
      <c r="AD120" t="str">
        <f ca="1"/>
        <v/>
      </c>
      <c r="AE120" t="str">
        <f ca="1"/>
        <v/>
      </c>
      <c r="AF120" t="str">
        <f ca="1"/>
        <v/>
      </c>
      <c r="AG120" t="str">
        <f ca="1"/>
        <v/>
      </c>
      <c r="AH120" t="str">
        <f ca="1"/>
        <v/>
      </c>
      <c r="AI120" t="str">
        <f ca="1"/>
        <v/>
      </c>
      <c r="AJ120" t="str">
        <f ca="1"/>
        <v/>
      </c>
      <c r="AK120" t="str">
        <f ca="1"/>
        <v/>
      </c>
      <c r="AL120" t="str">
        <f ca="1"/>
        <v/>
      </c>
      <c r="AM120" t="str">
        <f ca="1"/>
        <v/>
      </c>
    </row>
    <row r="121" spans="6:39" x14ac:dyDescent="0.55000000000000004">
      <c r="F121">
        <f t="shared" si="6"/>
        <v>8</v>
      </c>
      <c r="G121" t="str">
        <f t="shared" si="8"/>
        <v>8</v>
      </c>
      <c r="H121">
        <f>COUNTIF(G$3:G121,G121)</f>
        <v>49</v>
      </c>
      <c r="I121" t="str">
        <v/>
      </c>
      <c r="J121" t="str">
        <v/>
      </c>
      <c r="K121" t="str">
        <f ca="1"/>
        <v/>
      </c>
      <c r="L121" t="str">
        <f ca="1"/>
        <v/>
      </c>
      <c r="N121" t="str">
        <f ca="1"/>
        <v/>
      </c>
      <c r="O121" t="str">
        <v/>
      </c>
      <c r="P121" t="str">
        <v/>
      </c>
      <c r="Q121" t="str">
        <f ca="1"/>
        <v/>
      </c>
      <c r="R121" t="str">
        <f ca="1"/>
        <v/>
      </c>
      <c r="Z121" t="str">
        <f ca="1"/>
        <v/>
      </c>
      <c r="AA121" t="str">
        <f ca="1"/>
        <v/>
      </c>
      <c r="AB121" t="str">
        <f ca="1"/>
        <v/>
      </c>
      <c r="AC121" t="str">
        <f ca="1"/>
        <v/>
      </c>
      <c r="AD121" t="str">
        <f ca="1"/>
        <v/>
      </c>
      <c r="AE121" t="str">
        <f ca="1"/>
        <v/>
      </c>
      <c r="AF121" t="str">
        <f ca="1"/>
        <v/>
      </c>
      <c r="AG121" t="str">
        <f ca="1"/>
        <v/>
      </c>
      <c r="AH121" t="str">
        <f ca="1"/>
        <v/>
      </c>
      <c r="AI121" t="str">
        <f ca="1"/>
        <v/>
      </c>
      <c r="AJ121" t="str">
        <f ca="1"/>
        <v/>
      </c>
      <c r="AK121" t="str">
        <f ca="1"/>
        <v/>
      </c>
      <c r="AL121" t="str">
        <f ca="1"/>
        <v/>
      </c>
      <c r="AM121" t="str">
        <f ca="1"/>
        <v/>
      </c>
    </row>
    <row r="122" spans="6:39" x14ac:dyDescent="0.55000000000000004">
      <c r="F122">
        <f t="shared" si="6"/>
        <v>8</v>
      </c>
      <c r="G122" t="str">
        <f t="shared" si="8"/>
        <v>8</v>
      </c>
      <c r="H122">
        <f>COUNTIF(G$3:G122,G122)</f>
        <v>50</v>
      </c>
      <c r="I122" t="str">
        <v/>
      </c>
      <c r="J122" t="str">
        <v/>
      </c>
      <c r="K122" t="str">
        <f ca="1"/>
        <v/>
      </c>
      <c r="L122" t="str">
        <f ca="1"/>
        <v/>
      </c>
      <c r="N122" t="str">
        <f ca="1"/>
        <v/>
      </c>
      <c r="O122" t="str">
        <v/>
      </c>
      <c r="P122" t="str">
        <v/>
      </c>
      <c r="Q122" t="str">
        <f ca="1"/>
        <v/>
      </c>
      <c r="R122" t="str">
        <f ca="1"/>
        <v/>
      </c>
      <c r="Z122" t="str">
        <f ca="1"/>
        <v/>
      </c>
      <c r="AA122" t="str">
        <f ca="1"/>
        <v/>
      </c>
      <c r="AB122" t="str">
        <f ca="1"/>
        <v/>
      </c>
      <c r="AC122" t="str">
        <f ca="1"/>
        <v/>
      </c>
      <c r="AD122" t="str">
        <f ca="1"/>
        <v/>
      </c>
      <c r="AE122" t="str">
        <f ca="1"/>
        <v/>
      </c>
      <c r="AF122" t="str">
        <f ca="1"/>
        <v/>
      </c>
      <c r="AG122" t="str">
        <f ca="1"/>
        <v/>
      </c>
      <c r="AH122" t="str">
        <f ca="1"/>
        <v/>
      </c>
      <c r="AI122" t="str">
        <f ca="1"/>
        <v/>
      </c>
      <c r="AJ122" t="str">
        <f ca="1"/>
        <v/>
      </c>
      <c r="AK122" t="str">
        <f ca="1"/>
        <v/>
      </c>
      <c r="AL122" t="str">
        <f ca="1"/>
        <v/>
      </c>
      <c r="AM122" t="str">
        <f ca="1"/>
        <v/>
      </c>
    </row>
    <row r="123" spans="6:39" x14ac:dyDescent="0.55000000000000004">
      <c r="F123">
        <f t="shared" si="6"/>
        <v>8</v>
      </c>
      <c r="G123" t="str">
        <f t="shared" si="8"/>
        <v>8</v>
      </c>
      <c r="H123">
        <f>COUNTIF(G$3:G123,G123)</f>
        <v>51</v>
      </c>
      <c r="I123" t="str">
        <v/>
      </c>
      <c r="J123" t="str">
        <v/>
      </c>
      <c r="K123" t="str">
        <f ca="1"/>
        <v/>
      </c>
      <c r="L123" t="str">
        <f ca="1"/>
        <v/>
      </c>
      <c r="N123" t="str">
        <f ca="1"/>
        <v/>
      </c>
      <c r="O123" t="str">
        <v/>
      </c>
      <c r="P123" t="str">
        <v/>
      </c>
      <c r="Q123" t="str">
        <f ca="1"/>
        <v/>
      </c>
      <c r="R123" t="str">
        <f ca="1"/>
        <v/>
      </c>
      <c r="Z123" t="str">
        <f ca="1"/>
        <v/>
      </c>
      <c r="AA123" t="str">
        <f ca="1"/>
        <v/>
      </c>
      <c r="AB123" t="str">
        <f ca="1"/>
        <v/>
      </c>
      <c r="AC123" t="str">
        <f ca="1"/>
        <v/>
      </c>
      <c r="AD123" t="str">
        <f ca="1"/>
        <v/>
      </c>
      <c r="AE123" t="str">
        <f ca="1"/>
        <v/>
      </c>
      <c r="AF123" t="str">
        <f ca="1"/>
        <v/>
      </c>
      <c r="AG123" t="str">
        <f ca="1"/>
        <v/>
      </c>
      <c r="AH123" t="str">
        <f ca="1"/>
        <v/>
      </c>
      <c r="AI123" t="str">
        <f ca="1"/>
        <v/>
      </c>
      <c r="AJ123" t="str">
        <f ca="1"/>
        <v/>
      </c>
      <c r="AK123" t="str">
        <f ca="1"/>
        <v/>
      </c>
      <c r="AL123" t="str">
        <f ca="1"/>
        <v/>
      </c>
      <c r="AM123" t="str">
        <f ca="1"/>
        <v/>
      </c>
    </row>
    <row r="124" spans="6:39" x14ac:dyDescent="0.55000000000000004">
      <c r="F124">
        <f t="shared" si="6"/>
        <v>8</v>
      </c>
      <c r="G124" t="str">
        <f t="shared" si="8"/>
        <v>8</v>
      </c>
      <c r="H124">
        <f>COUNTIF(G$3:G124,G124)</f>
        <v>52</v>
      </c>
      <c r="I124" t="str">
        <v/>
      </c>
      <c r="J124" t="str">
        <v/>
      </c>
      <c r="K124" t="str">
        <f ca="1"/>
        <v/>
      </c>
      <c r="L124" t="str">
        <f ca="1"/>
        <v/>
      </c>
      <c r="N124" t="str">
        <f ca="1"/>
        <v/>
      </c>
      <c r="O124" t="str">
        <v/>
      </c>
      <c r="P124" t="str">
        <v/>
      </c>
      <c r="Q124" t="str">
        <f ca="1"/>
        <v/>
      </c>
      <c r="R124" t="str">
        <f ca="1"/>
        <v/>
      </c>
      <c r="Z124" t="str">
        <f ca="1"/>
        <v/>
      </c>
      <c r="AA124" t="str">
        <f ca="1"/>
        <v/>
      </c>
      <c r="AB124" t="str">
        <f ca="1"/>
        <v/>
      </c>
      <c r="AC124" t="str">
        <f ca="1"/>
        <v/>
      </c>
      <c r="AD124" t="str">
        <f ca="1"/>
        <v/>
      </c>
      <c r="AE124" t="str">
        <f ca="1"/>
        <v/>
      </c>
      <c r="AF124" t="str">
        <f ca="1"/>
        <v/>
      </c>
      <c r="AG124" t="str">
        <f ca="1"/>
        <v/>
      </c>
      <c r="AH124" t="str">
        <f ca="1"/>
        <v/>
      </c>
      <c r="AI124" t="str">
        <f ca="1"/>
        <v/>
      </c>
      <c r="AJ124" t="str">
        <f ca="1"/>
        <v/>
      </c>
      <c r="AK124" t="str">
        <f ca="1"/>
        <v/>
      </c>
      <c r="AL124" t="str">
        <f ca="1"/>
        <v/>
      </c>
      <c r="AM124" t="str">
        <f ca="1"/>
        <v/>
      </c>
    </row>
    <row r="125" spans="6:39" x14ac:dyDescent="0.55000000000000004">
      <c r="F125">
        <f t="shared" si="6"/>
        <v>8</v>
      </c>
      <c r="G125" t="str">
        <f t="shared" si="8"/>
        <v>8</v>
      </c>
      <c r="H125">
        <f>COUNTIF(G$3:G125,G125)</f>
        <v>53</v>
      </c>
      <c r="I125" t="str">
        <v/>
      </c>
      <c r="J125" t="str">
        <v/>
      </c>
      <c r="K125" t="str">
        <f ca="1"/>
        <v/>
      </c>
      <c r="L125" t="str">
        <f ca="1"/>
        <v/>
      </c>
      <c r="N125" t="str">
        <f ca="1"/>
        <v/>
      </c>
      <c r="O125" t="str">
        <v/>
      </c>
      <c r="P125" t="str">
        <v/>
      </c>
      <c r="Q125" t="str">
        <f ca="1"/>
        <v/>
      </c>
      <c r="R125" t="str">
        <f ca="1"/>
        <v/>
      </c>
      <c r="Z125" t="str">
        <f ca="1"/>
        <v/>
      </c>
      <c r="AA125" t="str">
        <f ca="1"/>
        <v/>
      </c>
      <c r="AB125" t="str">
        <f ca="1"/>
        <v/>
      </c>
      <c r="AC125" t="str">
        <f ca="1"/>
        <v/>
      </c>
      <c r="AD125" t="str">
        <f ca="1"/>
        <v/>
      </c>
      <c r="AE125" t="str">
        <f ca="1"/>
        <v/>
      </c>
      <c r="AF125" t="str">
        <f ca="1"/>
        <v/>
      </c>
      <c r="AG125" t="str">
        <f ca="1"/>
        <v/>
      </c>
      <c r="AH125" t="str">
        <f ca="1"/>
        <v/>
      </c>
      <c r="AI125" t="str">
        <f ca="1"/>
        <v/>
      </c>
      <c r="AJ125" t="str">
        <f ca="1"/>
        <v/>
      </c>
      <c r="AK125" t="str">
        <f ca="1"/>
        <v/>
      </c>
      <c r="AL125" t="str">
        <f ca="1"/>
        <v/>
      </c>
      <c r="AM125" t="str">
        <f ca="1"/>
        <v/>
      </c>
    </row>
    <row r="126" spans="6:39" x14ac:dyDescent="0.55000000000000004">
      <c r="F126">
        <f t="shared" si="6"/>
        <v>8</v>
      </c>
      <c r="G126" t="str">
        <f t="shared" si="8"/>
        <v>8</v>
      </c>
      <c r="H126">
        <f>COUNTIF(G$3:G126,G126)</f>
        <v>54</v>
      </c>
      <c r="I126" t="str">
        <v/>
      </c>
      <c r="J126" t="str">
        <v/>
      </c>
      <c r="K126" t="str">
        <f ca="1"/>
        <v/>
      </c>
      <c r="L126" t="str">
        <f ca="1"/>
        <v/>
      </c>
      <c r="N126" t="str">
        <f ca="1"/>
        <v/>
      </c>
      <c r="O126" t="str">
        <v/>
      </c>
      <c r="P126" t="str">
        <v/>
      </c>
      <c r="Q126" t="str">
        <f ca="1"/>
        <v/>
      </c>
      <c r="R126" t="str">
        <f ca="1"/>
        <v/>
      </c>
      <c r="Z126" t="str">
        <f ca="1"/>
        <v/>
      </c>
      <c r="AA126" t="str">
        <f ca="1"/>
        <v/>
      </c>
      <c r="AB126" t="str">
        <f ca="1"/>
        <v/>
      </c>
      <c r="AC126" t="str">
        <f ca="1"/>
        <v/>
      </c>
      <c r="AD126" t="str">
        <f ca="1"/>
        <v/>
      </c>
      <c r="AE126" t="str">
        <f ca="1"/>
        <v/>
      </c>
      <c r="AF126" t="str">
        <f ca="1"/>
        <v/>
      </c>
      <c r="AG126" t="str">
        <f ca="1"/>
        <v/>
      </c>
      <c r="AH126" t="str">
        <f ca="1"/>
        <v/>
      </c>
      <c r="AI126" t="str">
        <f ca="1"/>
        <v/>
      </c>
      <c r="AJ126" t="str">
        <f ca="1"/>
        <v/>
      </c>
      <c r="AK126" t="str">
        <f ca="1"/>
        <v/>
      </c>
      <c r="AL126" t="str">
        <f ca="1"/>
        <v/>
      </c>
      <c r="AM126" t="str">
        <f ca="1"/>
        <v/>
      </c>
    </row>
    <row r="127" spans="6:39" x14ac:dyDescent="0.55000000000000004">
      <c r="F127">
        <f t="shared" si="6"/>
        <v>8</v>
      </c>
      <c r="G127" t="str">
        <f t="shared" si="8"/>
        <v>8</v>
      </c>
      <c r="H127">
        <f>COUNTIF(G$3:G127,G127)</f>
        <v>55</v>
      </c>
      <c r="I127" t="str">
        <v/>
      </c>
      <c r="J127" t="str">
        <v/>
      </c>
      <c r="K127" t="str">
        <f ca="1"/>
        <v/>
      </c>
      <c r="L127" t="str">
        <f ca="1"/>
        <v/>
      </c>
      <c r="N127" t="str">
        <f ca="1"/>
        <v/>
      </c>
      <c r="O127" t="str">
        <v/>
      </c>
      <c r="P127" t="str">
        <v/>
      </c>
      <c r="Q127" t="str">
        <f ca="1"/>
        <v/>
      </c>
      <c r="R127" t="str">
        <f ca="1"/>
        <v/>
      </c>
      <c r="Z127" t="str">
        <f ca="1"/>
        <v/>
      </c>
      <c r="AA127" t="str">
        <f ca="1"/>
        <v/>
      </c>
      <c r="AB127" t="str">
        <f ca="1"/>
        <v/>
      </c>
      <c r="AC127" t="str">
        <f ca="1"/>
        <v/>
      </c>
      <c r="AD127" t="str">
        <f ca="1"/>
        <v/>
      </c>
      <c r="AE127" t="str">
        <f ca="1"/>
        <v/>
      </c>
      <c r="AF127" t="str">
        <f ca="1"/>
        <v/>
      </c>
      <c r="AG127" t="str">
        <f ca="1"/>
        <v/>
      </c>
      <c r="AH127" t="str">
        <f ca="1"/>
        <v/>
      </c>
      <c r="AI127" t="str">
        <f ca="1"/>
        <v/>
      </c>
      <c r="AJ127" t="str">
        <f ca="1"/>
        <v/>
      </c>
      <c r="AK127" t="str">
        <f ca="1"/>
        <v/>
      </c>
      <c r="AL127" t="str">
        <f ca="1"/>
        <v/>
      </c>
      <c r="AM127" t="str">
        <f ca="1"/>
        <v/>
      </c>
    </row>
    <row r="128" spans="6:39" x14ac:dyDescent="0.55000000000000004">
      <c r="F128">
        <f t="shared" si="6"/>
        <v>8</v>
      </c>
      <c r="G128" t="str">
        <f t="shared" si="8"/>
        <v>8</v>
      </c>
      <c r="H128">
        <f>COUNTIF(G$3:G128,G128)</f>
        <v>56</v>
      </c>
      <c r="I128" t="str">
        <v/>
      </c>
      <c r="J128" t="str">
        <v/>
      </c>
      <c r="K128" t="str">
        <f ca="1"/>
        <v/>
      </c>
      <c r="L128" t="str">
        <f ca="1"/>
        <v/>
      </c>
      <c r="N128" t="str">
        <f ca="1"/>
        <v/>
      </c>
      <c r="O128" t="str">
        <v/>
      </c>
      <c r="P128" t="str">
        <v/>
      </c>
      <c r="Q128" t="str">
        <f ca="1"/>
        <v/>
      </c>
      <c r="R128" t="str">
        <f ca="1"/>
        <v/>
      </c>
      <c r="Z128" t="str">
        <f ca="1"/>
        <v/>
      </c>
      <c r="AA128" t="str">
        <f ca="1"/>
        <v/>
      </c>
      <c r="AB128" t="str">
        <f ca="1"/>
        <v/>
      </c>
      <c r="AC128" t="str">
        <f ca="1"/>
        <v/>
      </c>
      <c r="AD128" t="str">
        <f ca="1"/>
        <v/>
      </c>
      <c r="AE128" t="str">
        <f ca="1"/>
        <v/>
      </c>
      <c r="AF128" t="str">
        <f ca="1"/>
        <v/>
      </c>
      <c r="AG128" t="str">
        <f ca="1"/>
        <v/>
      </c>
      <c r="AH128" t="str">
        <f ca="1"/>
        <v/>
      </c>
      <c r="AI128" t="str">
        <f ca="1"/>
        <v/>
      </c>
      <c r="AJ128" t="str">
        <f ca="1"/>
        <v/>
      </c>
      <c r="AK128" t="str">
        <f ca="1"/>
        <v/>
      </c>
      <c r="AL128" t="str">
        <f ca="1"/>
        <v/>
      </c>
      <c r="AM128" t="str">
        <f ca="1"/>
        <v/>
      </c>
    </row>
    <row r="129" spans="6:39" x14ac:dyDescent="0.55000000000000004">
      <c r="F129">
        <f t="shared" si="6"/>
        <v>8</v>
      </c>
      <c r="G129" t="str">
        <f t="shared" si="8"/>
        <v>8</v>
      </c>
      <c r="H129">
        <f>COUNTIF(G$3:G129,G129)</f>
        <v>57</v>
      </c>
      <c r="I129" t="str">
        <v/>
      </c>
      <c r="J129" t="str">
        <v/>
      </c>
      <c r="K129" t="str">
        <f ca="1"/>
        <v/>
      </c>
      <c r="L129" t="str">
        <f ca="1"/>
        <v/>
      </c>
      <c r="N129" t="str">
        <f ca="1"/>
        <v/>
      </c>
      <c r="O129" t="str">
        <v/>
      </c>
      <c r="P129" t="str">
        <v/>
      </c>
      <c r="Q129" t="str">
        <f ca="1"/>
        <v/>
      </c>
      <c r="R129" t="str">
        <f ca="1"/>
        <v/>
      </c>
      <c r="Z129" t="str">
        <f ca="1"/>
        <v/>
      </c>
      <c r="AA129" t="str">
        <f ca="1"/>
        <v/>
      </c>
      <c r="AB129" t="str">
        <f ca="1"/>
        <v/>
      </c>
      <c r="AC129" t="str">
        <f ca="1"/>
        <v/>
      </c>
      <c r="AD129" t="str">
        <f ca="1"/>
        <v/>
      </c>
      <c r="AE129" t="str">
        <f ca="1"/>
        <v/>
      </c>
      <c r="AF129" t="str">
        <f ca="1"/>
        <v/>
      </c>
      <c r="AG129" t="str">
        <f ca="1"/>
        <v/>
      </c>
      <c r="AH129" t="str">
        <f ca="1"/>
        <v/>
      </c>
      <c r="AI129" t="str">
        <f ca="1"/>
        <v/>
      </c>
      <c r="AJ129" t="str">
        <f ca="1"/>
        <v/>
      </c>
      <c r="AK129" t="str">
        <f ca="1"/>
        <v/>
      </c>
      <c r="AL129" t="str">
        <f ca="1"/>
        <v/>
      </c>
      <c r="AM129" t="str">
        <f ca="1"/>
        <v/>
      </c>
    </row>
    <row r="130" spans="6:39" x14ac:dyDescent="0.55000000000000004">
      <c r="F130">
        <f t="shared" si="6"/>
        <v>8</v>
      </c>
      <c r="G130" t="str">
        <f t="shared" si="8"/>
        <v>8</v>
      </c>
      <c r="H130">
        <f>COUNTIF(G$3:G130,G130)</f>
        <v>58</v>
      </c>
      <c r="I130" t="str">
        <v/>
      </c>
      <c r="J130" t="str">
        <v/>
      </c>
      <c r="K130" t="str">
        <f ca="1"/>
        <v/>
      </c>
      <c r="L130" t="str">
        <f ca="1"/>
        <v/>
      </c>
      <c r="N130" t="str">
        <f ca="1"/>
        <v/>
      </c>
      <c r="O130" t="str">
        <v/>
      </c>
      <c r="P130" t="str">
        <v/>
      </c>
      <c r="Q130" t="str">
        <f ca="1"/>
        <v/>
      </c>
      <c r="R130" t="str">
        <f ca="1"/>
        <v/>
      </c>
      <c r="Z130" t="str">
        <f ca="1"/>
        <v/>
      </c>
      <c r="AA130" t="str">
        <f ca="1"/>
        <v/>
      </c>
      <c r="AB130" t="str">
        <f ca="1"/>
        <v/>
      </c>
      <c r="AC130" t="str">
        <f ca="1"/>
        <v/>
      </c>
      <c r="AD130" t="str">
        <f ca="1"/>
        <v/>
      </c>
      <c r="AE130" t="str">
        <f ca="1"/>
        <v/>
      </c>
      <c r="AF130" t="str">
        <f ca="1"/>
        <v/>
      </c>
      <c r="AG130" t="str">
        <f ca="1"/>
        <v/>
      </c>
      <c r="AH130" t="str">
        <f ca="1"/>
        <v/>
      </c>
      <c r="AI130" t="str">
        <f ca="1"/>
        <v/>
      </c>
      <c r="AJ130" t="str">
        <f ca="1"/>
        <v/>
      </c>
      <c r="AK130" t="str">
        <f ca="1"/>
        <v/>
      </c>
      <c r="AL130" t="str">
        <f ca="1"/>
        <v/>
      </c>
      <c r="AM130" t="str">
        <f ca="1"/>
        <v/>
      </c>
    </row>
    <row r="131" spans="6:39" x14ac:dyDescent="0.55000000000000004">
      <c r="F131">
        <f t="shared" si="6"/>
        <v>8</v>
      </c>
      <c r="G131" t="str">
        <f t="shared" si="8"/>
        <v>8</v>
      </c>
      <c r="H131">
        <f>COUNTIF(G$3:G131,G131)</f>
        <v>59</v>
      </c>
      <c r="I131" t="str">
        <v/>
      </c>
      <c r="J131" t="str">
        <v/>
      </c>
      <c r="K131" t="str">
        <f ca="1"/>
        <v/>
      </c>
      <c r="L131" t="str">
        <f ca="1"/>
        <v/>
      </c>
      <c r="N131" t="str">
        <f ca="1"/>
        <v/>
      </c>
      <c r="O131" t="str">
        <v/>
      </c>
      <c r="P131" t="str">
        <v/>
      </c>
      <c r="Q131" t="str">
        <f ca="1"/>
        <v/>
      </c>
      <c r="R131" t="str">
        <f ca="1"/>
        <v/>
      </c>
      <c r="Z131" t="str">
        <f ca="1"/>
        <v/>
      </c>
      <c r="AA131" t="str">
        <f ca="1"/>
        <v/>
      </c>
      <c r="AB131" t="str">
        <f ca="1"/>
        <v/>
      </c>
      <c r="AC131" t="str">
        <f ca="1"/>
        <v/>
      </c>
      <c r="AD131" t="str">
        <f ca="1"/>
        <v/>
      </c>
      <c r="AE131" t="str">
        <f ca="1"/>
        <v/>
      </c>
      <c r="AF131" t="str">
        <f ca="1"/>
        <v/>
      </c>
      <c r="AG131" t="str">
        <f ca="1"/>
        <v/>
      </c>
      <c r="AH131" t="str">
        <f ca="1"/>
        <v/>
      </c>
      <c r="AI131" t="str">
        <f ca="1"/>
        <v/>
      </c>
      <c r="AJ131" t="str">
        <f ca="1"/>
        <v/>
      </c>
      <c r="AK131" t="str">
        <f ca="1"/>
        <v/>
      </c>
      <c r="AL131" t="str">
        <f ca="1"/>
        <v/>
      </c>
      <c r="AM131" t="str">
        <f ca="1"/>
        <v/>
      </c>
    </row>
    <row r="132" spans="6:39" x14ac:dyDescent="0.55000000000000004">
      <c r="F132">
        <f t="shared" si="6"/>
        <v>8</v>
      </c>
      <c r="G132" t="str">
        <f t="shared" si="8"/>
        <v>8</v>
      </c>
      <c r="H132">
        <f>COUNTIF(G$3:G132,G132)</f>
        <v>60</v>
      </c>
      <c r="I132" t="str">
        <v/>
      </c>
      <c r="J132" t="str">
        <v/>
      </c>
      <c r="K132" t="str">
        <f ca="1"/>
        <v/>
      </c>
      <c r="L132" t="str">
        <f ca="1"/>
        <v/>
      </c>
      <c r="N132" t="str">
        <f ca="1"/>
        <v/>
      </c>
      <c r="O132" t="str">
        <v/>
      </c>
      <c r="P132" t="str">
        <v/>
      </c>
      <c r="Q132" t="str">
        <f ca="1"/>
        <v/>
      </c>
      <c r="R132" t="str">
        <f ca="1"/>
        <v/>
      </c>
      <c r="Z132" t="str">
        <f ca="1"/>
        <v/>
      </c>
      <c r="AA132" t="str">
        <f ca="1"/>
        <v/>
      </c>
      <c r="AB132" t="str">
        <f ca="1"/>
        <v/>
      </c>
      <c r="AC132" t="str">
        <f ca="1"/>
        <v/>
      </c>
      <c r="AD132" t="str">
        <f ca="1"/>
        <v/>
      </c>
      <c r="AE132" t="str">
        <f ca="1"/>
        <v/>
      </c>
      <c r="AF132" t="str">
        <f ca="1"/>
        <v/>
      </c>
      <c r="AG132" t="str">
        <f ca="1"/>
        <v/>
      </c>
      <c r="AH132" t="str">
        <f ca="1"/>
        <v/>
      </c>
      <c r="AI132" t="str">
        <f ca="1"/>
        <v/>
      </c>
      <c r="AJ132" t="str">
        <f ca="1"/>
        <v/>
      </c>
      <c r="AK132" t="str">
        <f ca="1"/>
        <v/>
      </c>
      <c r="AL132" t="str">
        <f ca="1"/>
        <v/>
      </c>
      <c r="AM132" t="str">
        <f ca="1"/>
        <v/>
      </c>
    </row>
    <row r="133" spans="6:39" x14ac:dyDescent="0.55000000000000004">
      <c r="F133">
        <f t="shared" ref="F133:F196" si="9">F132</f>
        <v>8</v>
      </c>
      <c r="G133" t="str">
        <f t="shared" si="8"/>
        <v>8</v>
      </c>
      <c r="H133">
        <f>COUNTIF(G$3:G133,G133)</f>
        <v>61</v>
      </c>
      <c r="I133" t="str">
        <v/>
      </c>
      <c r="J133" t="str">
        <v/>
      </c>
      <c r="K133" t="str">
        <f ca="1"/>
        <v/>
      </c>
      <c r="L133" t="str">
        <f ca="1"/>
        <v/>
      </c>
      <c r="N133" t="str">
        <f ca="1"/>
        <v/>
      </c>
      <c r="O133" t="str">
        <v/>
      </c>
      <c r="P133" t="str">
        <v/>
      </c>
      <c r="Q133" t="str">
        <f ca="1"/>
        <v/>
      </c>
      <c r="R133" t="str">
        <f ca="1"/>
        <v/>
      </c>
      <c r="Z133" t="str">
        <f ca="1"/>
        <v/>
      </c>
      <c r="AA133" t="str">
        <f ca="1"/>
        <v/>
      </c>
      <c r="AB133" t="str">
        <f ca="1"/>
        <v/>
      </c>
      <c r="AC133" t="str">
        <f ca="1"/>
        <v/>
      </c>
      <c r="AD133" t="str">
        <f ca="1"/>
        <v/>
      </c>
      <c r="AE133" t="str">
        <f ca="1"/>
        <v/>
      </c>
      <c r="AF133" t="str">
        <f ca="1"/>
        <v/>
      </c>
      <c r="AG133" t="str">
        <f ca="1"/>
        <v/>
      </c>
      <c r="AH133" t="str">
        <f ca="1"/>
        <v/>
      </c>
      <c r="AI133" t="str">
        <f ca="1"/>
        <v/>
      </c>
      <c r="AJ133" t="str">
        <f ca="1"/>
        <v/>
      </c>
      <c r="AK133" t="str">
        <f ca="1"/>
        <v/>
      </c>
      <c r="AL133" t="str">
        <f ca="1"/>
        <v/>
      </c>
      <c r="AM133" t="str">
        <f ca="1"/>
        <v/>
      </c>
    </row>
    <row r="134" spans="6:39" x14ac:dyDescent="0.55000000000000004">
      <c r="F134">
        <f t="shared" si="9"/>
        <v>8</v>
      </c>
      <c r="G134" t="str">
        <f t="shared" si="8"/>
        <v>8</v>
      </c>
      <c r="H134">
        <f>COUNTIF(G$3:G134,G134)</f>
        <v>62</v>
      </c>
      <c r="I134" t="str">
        <v/>
      </c>
      <c r="J134" t="str">
        <v/>
      </c>
      <c r="K134" t="str">
        <f ca="1"/>
        <v/>
      </c>
      <c r="L134" t="str">
        <f ca="1"/>
        <v/>
      </c>
      <c r="N134" t="str">
        <f ca="1"/>
        <v/>
      </c>
      <c r="O134" t="str">
        <v/>
      </c>
      <c r="P134" t="str">
        <v/>
      </c>
      <c r="Q134" t="str">
        <f ca="1"/>
        <v/>
      </c>
      <c r="R134" t="str">
        <f ca="1"/>
        <v/>
      </c>
      <c r="Z134" t="str">
        <f ca="1"/>
        <v/>
      </c>
      <c r="AA134" t="str">
        <f ca="1"/>
        <v/>
      </c>
      <c r="AB134" t="str">
        <f ca="1"/>
        <v/>
      </c>
      <c r="AC134" t="str">
        <f ca="1"/>
        <v/>
      </c>
      <c r="AD134" t="str">
        <f ca="1"/>
        <v/>
      </c>
      <c r="AE134" t="str">
        <f ca="1"/>
        <v/>
      </c>
      <c r="AF134" t="str">
        <f ca="1"/>
        <v/>
      </c>
      <c r="AG134" t="str">
        <f ca="1"/>
        <v/>
      </c>
      <c r="AH134" t="str">
        <f ca="1"/>
        <v/>
      </c>
      <c r="AI134" t="str">
        <f ca="1"/>
        <v/>
      </c>
      <c r="AJ134" t="str">
        <f ca="1"/>
        <v/>
      </c>
      <c r="AK134" t="str">
        <f ca="1"/>
        <v/>
      </c>
      <c r="AL134" t="str">
        <f ca="1"/>
        <v/>
      </c>
      <c r="AM134" t="str">
        <f ca="1"/>
        <v/>
      </c>
    </row>
    <row r="135" spans="6:39" x14ac:dyDescent="0.55000000000000004">
      <c r="F135">
        <f t="shared" si="9"/>
        <v>8</v>
      </c>
      <c r="G135" t="str">
        <f t="shared" si="8"/>
        <v>8</v>
      </c>
      <c r="H135">
        <f>COUNTIF(G$3:G135,G135)</f>
        <v>63</v>
      </c>
      <c r="I135" t="str">
        <v/>
      </c>
      <c r="J135" t="str">
        <v/>
      </c>
      <c r="K135" t="str">
        <f ca="1"/>
        <v/>
      </c>
      <c r="L135" t="str">
        <f ca="1"/>
        <v/>
      </c>
      <c r="N135" t="str">
        <f ca="1"/>
        <v/>
      </c>
      <c r="O135" t="str">
        <v/>
      </c>
      <c r="P135" t="str">
        <v/>
      </c>
      <c r="Q135" t="str">
        <f ca="1"/>
        <v/>
      </c>
      <c r="R135" t="str">
        <f ca="1"/>
        <v/>
      </c>
      <c r="Z135" t="str">
        <f ca="1"/>
        <v/>
      </c>
      <c r="AA135" t="str">
        <f ca="1"/>
        <v/>
      </c>
      <c r="AB135" t="str">
        <f ca="1"/>
        <v/>
      </c>
      <c r="AC135" t="str">
        <f ca="1"/>
        <v/>
      </c>
      <c r="AD135" t="str">
        <f ca="1"/>
        <v/>
      </c>
      <c r="AE135" t="str">
        <f ca="1"/>
        <v/>
      </c>
      <c r="AF135" t="str">
        <f ca="1"/>
        <v/>
      </c>
      <c r="AG135" t="str">
        <f ca="1"/>
        <v/>
      </c>
      <c r="AH135" t="str">
        <f ca="1"/>
        <v/>
      </c>
      <c r="AI135" t="str">
        <f ca="1"/>
        <v/>
      </c>
      <c r="AJ135" t="str">
        <f ca="1"/>
        <v/>
      </c>
      <c r="AK135" t="str">
        <f ca="1"/>
        <v/>
      </c>
      <c r="AL135" t="str">
        <f ca="1"/>
        <v/>
      </c>
      <c r="AM135" t="str">
        <f ca="1"/>
        <v/>
      </c>
    </row>
    <row r="136" spans="6:39" x14ac:dyDescent="0.55000000000000004">
      <c r="F136">
        <f t="shared" si="9"/>
        <v>8</v>
      </c>
      <c r="G136" t="str">
        <f t="shared" si="8"/>
        <v>8</v>
      </c>
      <c r="H136">
        <f>COUNTIF(G$3:G136,G136)</f>
        <v>64</v>
      </c>
      <c r="I136" t="str">
        <v/>
      </c>
      <c r="J136" t="str">
        <v/>
      </c>
      <c r="K136" t="str">
        <f ca="1"/>
        <v/>
      </c>
      <c r="L136" t="str">
        <f ca="1"/>
        <v/>
      </c>
      <c r="N136" t="str">
        <f ca="1"/>
        <v/>
      </c>
      <c r="O136" t="str">
        <v/>
      </c>
      <c r="P136" t="str">
        <v/>
      </c>
      <c r="Q136" t="str">
        <f ca="1"/>
        <v/>
      </c>
      <c r="R136" t="str">
        <f ca="1"/>
        <v/>
      </c>
      <c r="Z136" t="str">
        <f ca="1"/>
        <v/>
      </c>
      <c r="AA136" t="str">
        <f ca="1"/>
        <v/>
      </c>
      <c r="AB136" t="str">
        <f ca="1"/>
        <v/>
      </c>
      <c r="AC136" t="str">
        <f ca="1"/>
        <v/>
      </c>
      <c r="AD136" t="str">
        <f ca="1"/>
        <v/>
      </c>
      <c r="AE136" t="str">
        <f ca="1"/>
        <v/>
      </c>
      <c r="AF136" t="str">
        <f ca="1"/>
        <v/>
      </c>
      <c r="AG136" t="str">
        <f ca="1"/>
        <v/>
      </c>
      <c r="AH136" t="str">
        <f ca="1"/>
        <v/>
      </c>
      <c r="AI136" t="str">
        <f ca="1"/>
        <v/>
      </c>
      <c r="AJ136" t="str">
        <f ca="1"/>
        <v/>
      </c>
      <c r="AK136" t="str">
        <f ca="1"/>
        <v/>
      </c>
      <c r="AL136" t="str">
        <f ca="1"/>
        <v/>
      </c>
      <c r="AM136" t="str">
        <f ca="1"/>
        <v/>
      </c>
    </row>
    <row r="137" spans="6:39" x14ac:dyDescent="0.55000000000000004">
      <c r="F137">
        <f t="shared" si="9"/>
        <v>8</v>
      </c>
      <c r="G137" t="str">
        <f t="shared" si="8"/>
        <v>8</v>
      </c>
      <c r="H137">
        <f>COUNTIF(G$3:G137,G137)</f>
        <v>65</v>
      </c>
      <c r="I137" t="str">
        <v/>
      </c>
      <c r="J137" t="str">
        <v/>
      </c>
      <c r="K137" t="str">
        <f ca="1"/>
        <v/>
      </c>
      <c r="L137" t="str">
        <f ca="1"/>
        <v/>
      </c>
      <c r="N137" t="str">
        <f ca="1"/>
        <v/>
      </c>
      <c r="O137" t="str">
        <v/>
      </c>
      <c r="P137" t="str">
        <v/>
      </c>
      <c r="Q137" t="str">
        <f ca="1"/>
        <v/>
      </c>
      <c r="R137" t="str">
        <f ca="1"/>
        <v/>
      </c>
      <c r="Z137" t="str">
        <f ca="1"/>
        <v/>
      </c>
      <c r="AA137" t="str">
        <f ca="1"/>
        <v/>
      </c>
      <c r="AB137" t="str">
        <f ca="1"/>
        <v/>
      </c>
      <c r="AC137" t="str">
        <f ca="1"/>
        <v/>
      </c>
      <c r="AD137" t="str">
        <f ca="1"/>
        <v/>
      </c>
      <c r="AE137" t="str">
        <f ca="1"/>
        <v/>
      </c>
      <c r="AF137" t="str">
        <f ca="1"/>
        <v/>
      </c>
      <c r="AG137" t="str">
        <f ca="1"/>
        <v/>
      </c>
      <c r="AH137" t="str">
        <f ca="1"/>
        <v/>
      </c>
      <c r="AI137" t="str">
        <f ca="1"/>
        <v/>
      </c>
      <c r="AJ137" t="str">
        <f ca="1"/>
        <v/>
      </c>
      <c r="AK137" t="str">
        <f ca="1"/>
        <v/>
      </c>
      <c r="AL137" t="str">
        <f ca="1"/>
        <v/>
      </c>
      <c r="AM137" t="str">
        <f ca="1"/>
        <v/>
      </c>
    </row>
    <row r="138" spans="6:39" x14ac:dyDescent="0.55000000000000004">
      <c r="F138">
        <f t="shared" si="9"/>
        <v>8</v>
      </c>
      <c r="G138" t="str">
        <f t="shared" si="8"/>
        <v>8</v>
      </c>
      <c r="H138">
        <f>COUNTIF(G$3:G138,G138)</f>
        <v>66</v>
      </c>
      <c r="I138" t="str">
        <v/>
      </c>
      <c r="J138" t="str">
        <v/>
      </c>
      <c r="K138" t="str">
        <f ca="1"/>
        <v/>
      </c>
      <c r="L138" t="str">
        <f ca="1"/>
        <v/>
      </c>
      <c r="N138" t="str">
        <f ca="1"/>
        <v/>
      </c>
      <c r="O138" t="str">
        <v/>
      </c>
      <c r="P138" t="str">
        <v/>
      </c>
      <c r="Q138" t="str">
        <f ca="1"/>
        <v/>
      </c>
      <c r="R138" t="str">
        <f ca="1"/>
        <v/>
      </c>
      <c r="Z138" t="str">
        <f ca="1"/>
        <v/>
      </c>
      <c r="AA138" t="str">
        <f ca="1"/>
        <v/>
      </c>
      <c r="AB138" t="str">
        <f ca="1"/>
        <v/>
      </c>
      <c r="AC138" t="str">
        <f ca="1"/>
        <v/>
      </c>
      <c r="AD138" t="str">
        <f ca="1"/>
        <v/>
      </c>
      <c r="AE138" t="str">
        <f ca="1"/>
        <v/>
      </c>
      <c r="AF138" t="str">
        <f ca="1"/>
        <v/>
      </c>
      <c r="AG138" t="str">
        <f ca="1"/>
        <v/>
      </c>
      <c r="AH138" t="str">
        <f ca="1"/>
        <v/>
      </c>
      <c r="AI138" t="str">
        <f ca="1"/>
        <v/>
      </c>
      <c r="AJ138" t="str">
        <f ca="1"/>
        <v/>
      </c>
      <c r="AK138" t="str">
        <f ca="1"/>
        <v/>
      </c>
      <c r="AL138" t="str">
        <f ca="1"/>
        <v/>
      </c>
      <c r="AM138" t="str">
        <f ca="1"/>
        <v/>
      </c>
    </row>
    <row r="139" spans="6:39" x14ac:dyDescent="0.55000000000000004">
      <c r="F139">
        <f t="shared" si="9"/>
        <v>8</v>
      </c>
      <c r="G139" t="str">
        <f t="shared" si="8"/>
        <v>8</v>
      </c>
      <c r="H139">
        <f>COUNTIF(G$3:G139,G139)</f>
        <v>67</v>
      </c>
      <c r="I139" t="str">
        <v/>
      </c>
      <c r="J139" t="str">
        <v/>
      </c>
      <c r="K139" t="str">
        <f ca="1"/>
        <v/>
      </c>
      <c r="L139" t="str">
        <f ca="1"/>
        <v/>
      </c>
      <c r="N139" t="str">
        <f ca="1"/>
        <v/>
      </c>
      <c r="O139" t="str">
        <v/>
      </c>
      <c r="P139" t="str">
        <v/>
      </c>
      <c r="Q139" t="str">
        <f ca="1"/>
        <v/>
      </c>
      <c r="R139" t="str">
        <f ca="1"/>
        <v/>
      </c>
      <c r="Z139" t="str">
        <f ca="1"/>
        <v/>
      </c>
      <c r="AA139" t="str">
        <f ca="1"/>
        <v/>
      </c>
      <c r="AB139" t="str">
        <f ca="1"/>
        <v/>
      </c>
      <c r="AC139" t="str">
        <f ca="1"/>
        <v/>
      </c>
      <c r="AD139" t="str">
        <f ca="1"/>
        <v/>
      </c>
      <c r="AE139" t="str">
        <f ca="1"/>
        <v/>
      </c>
      <c r="AF139" t="str">
        <f ca="1"/>
        <v/>
      </c>
      <c r="AG139" t="str">
        <f ca="1"/>
        <v/>
      </c>
      <c r="AH139" t="str">
        <f ca="1"/>
        <v/>
      </c>
      <c r="AI139" t="str">
        <f ca="1"/>
        <v/>
      </c>
      <c r="AJ139" t="str">
        <f ca="1"/>
        <v/>
      </c>
      <c r="AK139" t="str">
        <f ca="1"/>
        <v/>
      </c>
      <c r="AL139" t="str">
        <f ca="1"/>
        <v/>
      </c>
      <c r="AM139" t="str">
        <f ca="1"/>
        <v/>
      </c>
    </row>
    <row r="140" spans="6:39" x14ac:dyDescent="0.55000000000000004">
      <c r="F140">
        <f t="shared" si="9"/>
        <v>8</v>
      </c>
      <c r="G140" t="str">
        <f t="shared" si="8"/>
        <v>8</v>
      </c>
      <c r="H140">
        <f>COUNTIF(G$3:G140,G140)</f>
        <v>68</v>
      </c>
      <c r="I140" t="str">
        <v/>
      </c>
      <c r="J140" t="str">
        <v/>
      </c>
      <c r="K140" t="str">
        <f ca="1"/>
        <v/>
      </c>
      <c r="L140" t="str">
        <f ca="1"/>
        <v/>
      </c>
      <c r="N140" t="str">
        <f ca="1"/>
        <v/>
      </c>
      <c r="O140" t="str">
        <v/>
      </c>
      <c r="P140" t="str">
        <v/>
      </c>
      <c r="Q140" t="str">
        <f ca="1"/>
        <v/>
      </c>
      <c r="R140" t="str">
        <f ca="1"/>
        <v/>
      </c>
      <c r="Z140" t="str">
        <f ca="1"/>
        <v/>
      </c>
      <c r="AA140" t="str">
        <f ca="1"/>
        <v/>
      </c>
      <c r="AB140" t="str">
        <f ca="1"/>
        <v/>
      </c>
      <c r="AC140" t="str">
        <f ca="1"/>
        <v/>
      </c>
      <c r="AD140" t="str">
        <f ca="1"/>
        <v/>
      </c>
      <c r="AE140" t="str">
        <f ca="1"/>
        <v/>
      </c>
      <c r="AF140" t="str">
        <f ca="1"/>
        <v/>
      </c>
      <c r="AG140" t="str">
        <f ca="1"/>
        <v/>
      </c>
      <c r="AH140" t="str">
        <f ca="1"/>
        <v/>
      </c>
      <c r="AI140" t="str">
        <f ca="1"/>
        <v/>
      </c>
      <c r="AJ140" t="str">
        <f ca="1"/>
        <v/>
      </c>
      <c r="AK140" t="str">
        <f ca="1"/>
        <v/>
      </c>
      <c r="AL140" t="str">
        <f ca="1"/>
        <v/>
      </c>
      <c r="AM140" t="str">
        <f ca="1"/>
        <v/>
      </c>
    </row>
    <row r="141" spans="6:39" x14ac:dyDescent="0.55000000000000004">
      <c r="F141">
        <f t="shared" si="9"/>
        <v>8</v>
      </c>
      <c r="G141" t="str">
        <f t="shared" si="8"/>
        <v>8</v>
      </c>
      <c r="H141">
        <f>COUNTIF(G$3:G141,G141)</f>
        <v>69</v>
      </c>
      <c r="I141" t="str">
        <v/>
      </c>
      <c r="J141" t="str">
        <v/>
      </c>
      <c r="K141" t="str">
        <f ca="1"/>
        <v/>
      </c>
      <c r="L141" t="str">
        <f ca="1"/>
        <v/>
      </c>
      <c r="N141" t="str">
        <f ca="1"/>
        <v/>
      </c>
      <c r="O141" t="str">
        <v/>
      </c>
      <c r="P141" t="str">
        <v/>
      </c>
      <c r="Q141" t="str">
        <f ca="1"/>
        <v/>
      </c>
      <c r="R141" t="str">
        <f ca="1"/>
        <v/>
      </c>
      <c r="Z141" t="str">
        <f ca="1"/>
        <v/>
      </c>
      <c r="AA141" t="str">
        <f ca="1"/>
        <v/>
      </c>
      <c r="AB141" t="str">
        <f ca="1"/>
        <v/>
      </c>
      <c r="AC141" t="str">
        <f ca="1"/>
        <v/>
      </c>
      <c r="AD141" t="str">
        <f ca="1"/>
        <v/>
      </c>
      <c r="AE141" t="str">
        <f ca="1"/>
        <v/>
      </c>
      <c r="AF141" t="str">
        <f ca="1"/>
        <v/>
      </c>
      <c r="AG141" t="str">
        <f ca="1"/>
        <v/>
      </c>
      <c r="AH141" t="str">
        <f ca="1"/>
        <v/>
      </c>
      <c r="AI141" t="str">
        <f ca="1"/>
        <v/>
      </c>
      <c r="AJ141" t="str">
        <f ca="1"/>
        <v/>
      </c>
      <c r="AK141" t="str">
        <f ca="1"/>
        <v/>
      </c>
      <c r="AL141" t="str">
        <f ca="1"/>
        <v/>
      </c>
      <c r="AM141" t="str">
        <f ca="1"/>
        <v/>
      </c>
    </row>
    <row r="142" spans="6:39" x14ac:dyDescent="0.55000000000000004">
      <c r="F142">
        <f t="shared" si="9"/>
        <v>8</v>
      </c>
      <c r="G142" t="str">
        <f t="shared" si="8"/>
        <v>8</v>
      </c>
      <c r="H142">
        <f>COUNTIF(G$3:G142,G142)</f>
        <v>70</v>
      </c>
      <c r="I142" t="str">
        <v/>
      </c>
      <c r="J142" t="str">
        <v/>
      </c>
      <c r="K142" t="str">
        <f ca="1"/>
        <v/>
      </c>
      <c r="L142" t="str">
        <f ca="1"/>
        <v/>
      </c>
      <c r="N142" t="str">
        <f ca="1"/>
        <v/>
      </c>
      <c r="O142" t="str">
        <v/>
      </c>
      <c r="P142" t="str">
        <v/>
      </c>
      <c r="Q142" t="str">
        <f ca="1"/>
        <v/>
      </c>
      <c r="R142" t="str">
        <f ca="1"/>
        <v/>
      </c>
      <c r="Z142" t="str">
        <f ca="1"/>
        <v/>
      </c>
      <c r="AA142" t="str">
        <f ca="1"/>
        <v/>
      </c>
      <c r="AB142" t="str">
        <f ca="1"/>
        <v/>
      </c>
      <c r="AC142" t="str">
        <f ca="1"/>
        <v/>
      </c>
      <c r="AD142" t="str">
        <f ca="1"/>
        <v/>
      </c>
      <c r="AE142" t="str">
        <f ca="1"/>
        <v/>
      </c>
      <c r="AF142" t="str">
        <f ca="1"/>
        <v/>
      </c>
      <c r="AG142" t="str">
        <f ca="1"/>
        <v/>
      </c>
      <c r="AH142" t="str">
        <f ca="1"/>
        <v/>
      </c>
      <c r="AI142" t="str">
        <f ca="1"/>
        <v/>
      </c>
      <c r="AJ142" t="str">
        <f ca="1"/>
        <v/>
      </c>
      <c r="AK142" t="str">
        <f ca="1"/>
        <v/>
      </c>
      <c r="AL142" t="str">
        <f ca="1"/>
        <v/>
      </c>
      <c r="AM142" t="str">
        <f ca="1"/>
        <v/>
      </c>
    </row>
    <row r="143" spans="6:39" x14ac:dyDescent="0.55000000000000004">
      <c r="F143">
        <f t="shared" si="9"/>
        <v>8</v>
      </c>
      <c r="G143" t="str">
        <f t="shared" si="8"/>
        <v>8</v>
      </c>
      <c r="H143">
        <f>COUNTIF(G$3:G143,G143)</f>
        <v>71</v>
      </c>
      <c r="I143" t="str">
        <v/>
      </c>
      <c r="J143" t="str">
        <v/>
      </c>
      <c r="K143" t="str">
        <f ca="1"/>
        <v/>
      </c>
      <c r="L143" t="str">
        <f ca="1"/>
        <v/>
      </c>
      <c r="N143" t="str">
        <f ca="1"/>
        <v/>
      </c>
      <c r="O143" t="str">
        <v/>
      </c>
      <c r="P143" t="str">
        <v/>
      </c>
      <c r="Q143" t="str">
        <f ca="1"/>
        <v/>
      </c>
      <c r="R143" t="str">
        <f ca="1"/>
        <v/>
      </c>
      <c r="Z143" t="str">
        <f ca="1"/>
        <v/>
      </c>
      <c r="AA143" t="str">
        <f ca="1"/>
        <v/>
      </c>
      <c r="AB143" t="str">
        <f ca="1"/>
        <v/>
      </c>
      <c r="AC143" t="str">
        <f ca="1"/>
        <v/>
      </c>
      <c r="AD143" t="str">
        <f ca="1"/>
        <v/>
      </c>
      <c r="AE143" t="str">
        <f ca="1"/>
        <v/>
      </c>
      <c r="AF143" t="str">
        <f ca="1"/>
        <v/>
      </c>
      <c r="AG143" t="str">
        <f ca="1"/>
        <v/>
      </c>
      <c r="AH143" t="str">
        <f ca="1"/>
        <v/>
      </c>
      <c r="AI143" t="str">
        <f ca="1"/>
        <v/>
      </c>
      <c r="AJ143" t="str">
        <f ca="1"/>
        <v/>
      </c>
      <c r="AK143" t="str">
        <f ca="1"/>
        <v/>
      </c>
      <c r="AL143" t="str">
        <f ca="1"/>
        <v/>
      </c>
      <c r="AM143" t="str">
        <f ca="1"/>
        <v/>
      </c>
    </row>
    <row r="144" spans="6:39" x14ac:dyDescent="0.55000000000000004">
      <c r="F144">
        <f t="shared" si="9"/>
        <v>8</v>
      </c>
      <c r="G144" t="str">
        <f t="shared" si="8"/>
        <v>8</v>
      </c>
      <c r="H144">
        <f>COUNTIF(G$3:G144,G144)</f>
        <v>72</v>
      </c>
      <c r="I144" t="str">
        <v/>
      </c>
      <c r="J144" t="str">
        <v/>
      </c>
      <c r="K144" t="str">
        <f ca="1"/>
        <v/>
      </c>
      <c r="L144" t="str">
        <f ca="1"/>
        <v/>
      </c>
      <c r="N144" t="str">
        <f ca="1"/>
        <v/>
      </c>
      <c r="O144" t="str">
        <v/>
      </c>
      <c r="P144" t="str">
        <v/>
      </c>
      <c r="Q144" t="str">
        <f ca="1"/>
        <v/>
      </c>
      <c r="R144" t="str">
        <f ca="1"/>
        <v/>
      </c>
      <c r="Z144" t="str">
        <f ca="1"/>
        <v/>
      </c>
      <c r="AA144" t="str">
        <f ca="1"/>
        <v/>
      </c>
      <c r="AB144" t="str">
        <f ca="1"/>
        <v/>
      </c>
      <c r="AC144" t="str">
        <f ca="1"/>
        <v/>
      </c>
      <c r="AD144" t="str">
        <f ca="1"/>
        <v/>
      </c>
      <c r="AE144" t="str">
        <f ca="1"/>
        <v/>
      </c>
      <c r="AF144" t="str">
        <f ca="1"/>
        <v/>
      </c>
      <c r="AG144" t="str">
        <f ca="1"/>
        <v/>
      </c>
      <c r="AH144" t="str">
        <f ca="1"/>
        <v/>
      </c>
      <c r="AI144" t="str">
        <f ca="1"/>
        <v/>
      </c>
      <c r="AJ144" t="str">
        <f ca="1"/>
        <v/>
      </c>
      <c r="AK144" t="str">
        <f ca="1"/>
        <v/>
      </c>
      <c r="AL144" t="str">
        <f ca="1"/>
        <v/>
      </c>
      <c r="AM144" t="str">
        <f ca="1"/>
        <v/>
      </c>
    </row>
    <row r="145" spans="6:39" x14ac:dyDescent="0.55000000000000004">
      <c r="F145">
        <f t="shared" si="9"/>
        <v>8</v>
      </c>
      <c r="G145" t="str">
        <f t="shared" si="8"/>
        <v>8</v>
      </c>
      <c r="H145">
        <f>COUNTIF(G$3:G145,G145)</f>
        <v>73</v>
      </c>
      <c r="I145" t="str">
        <v/>
      </c>
      <c r="J145" t="str">
        <v/>
      </c>
      <c r="K145" t="str">
        <f ca="1"/>
        <v/>
      </c>
      <c r="L145" t="str">
        <f ca="1"/>
        <v/>
      </c>
      <c r="N145" t="str">
        <f ca="1"/>
        <v/>
      </c>
      <c r="O145" t="str">
        <v/>
      </c>
      <c r="P145" t="str">
        <v/>
      </c>
      <c r="Q145" t="str">
        <f ca="1"/>
        <v/>
      </c>
      <c r="R145" t="str">
        <f ca="1"/>
        <v/>
      </c>
      <c r="Z145" t="str">
        <f ca="1"/>
        <v/>
      </c>
      <c r="AA145" t="str">
        <f ca="1"/>
        <v/>
      </c>
      <c r="AB145" t="str">
        <f ca="1"/>
        <v/>
      </c>
      <c r="AC145" t="str">
        <f ca="1"/>
        <v/>
      </c>
      <c r="AD145" t="str">
        <f ca="1"/>
        <v/>
      </c>
      <c r="AE145" t="str">
        <f ca="1"/>
        <v/>
      </c>
      <c r="AF145" t="str">
        <f ca="1"/>
        <v/>
      </c>
      <c r="AG145" t="str">
        <f ca="1"/>
        <v/>
      </c>
      <c r="AH145" t="str">
        <f ca="1"/>
        <v/>
      </c>
      <c r="AI145" t="str">
        <f ca="1"/>
        <v/>
      </c>
      <c r="AJ145" t="str">
        <f ca="1"/>
        <v/>
      </c>
      <c r="AK145" t="str">
        <f ca="1"/>
        <v/>
      </c>
      <c r="AL145" t="str">
        <f ca="1"/>
        <v/>
      </c>
      <c r="AM145" t="str">
        <f ca="1"/>
        <v/>
      </c>
    </row>
    <row r="146" spans="6:39" x14ac:dyDescent="0.55000000000000004">
      <c r="F146">
        <f t="shared" si="9"/>
        <v>8</v>
      </c>
      <c r="G146" t="str">
        <f t="shared" si="8"/>
        <v>8</v>
      </c>
      <c r="H146">
        <f>COUNTIF(G$3:G146,G146)</f>
        <v>74</v>
      </c>
      <c r="I146" t="str">
        <v/>
      </c>
      <c r="J146" t="str">
        <v/>
      </c>
      <c r="K146" t="str">
        <f ca="1"/>
        <v/>
      </c>
      <c r="L146" t="str">
        <f ca="1"/>
        <v/>
      </c>
      <c r="N146" t="str">
        <f ca="1"/>
        <v/>
      </c>
      <c r="O146" t="str">
        <v/>
      </c>
      <c r="P146" t="str">
        <v/>
      </c>
      <c r="Q146" t="str">
        <f ca="1"/>
        <v/>
      </c>
      <c r="R146" t="str">
        <f ca="1"/>
        <v/>
      </c>
      <c r="Z146" t="str">
        <f ca="1"/>
        <v/>
      </c>
      <c r="AA146" t="str">
        <f ca="1"/>
        <v/>
      </c>
      <c r="AB146" t="str">
        <f ca="1"/>
        <v/>
      </c>
      <c r="AC146" t="str">
        <f ca="1"/>
        <v/>
      </c>
      <c r="AD146" t="str">
        <f ca="1"/>
        <v/>
      </c>
      <c r="AE146" t="str">
        <f ca="1"/>
        <v/>
      </c>
      <c r="AF146" t="str">
        <f ca="1"/>
        <v/>
      </c>
      <c r="AG146" t="str">
        <f ca="1"/>
        <v/>
      </c>
      <c r="AH146" t="str">
        <f ca="1"/>
        <v/>
      </c>
      <c r="AI146" t="str">
        <f ca="1"/>
        <v/>
      </c>
      <c r="AJ146" t="str">
        <f ca="1"/>
        <v/>
      </c>
      <c r="AK146" t="str">
        <f ca="1"/>
        <v/>
      </c>
      <c r="AL146" t="str">
        <f ca="1"/>
        <v/>
      </c>
      <c r="AM146" t="str">
        <f ca="1"/>
        <v/>
      </c>
    </row>
    <row r="147" spans="6:39" x14ac:dyDescent="0.55000000000000004">
      <c r="F147">
        <f t="shared" si="9"/>
        <v>8</v>
      </c>
      <c r="G147" t="str">
        <f t="shared" si="8"/>
        <v>8</v>
      </c>
      <c r="H147">
        <f>COUNTIF(G$3:G147,G147)</f>
        <v>75</v>
      </c>
      <c r="I147" t="str">
        <v/>
      </c>
      <c r="J147" t="str">
        <v/>
      </c>
      <c r="K147" t="str">
        <f ca="1"/>
        <v/>
      </c>
      <c r="L147" t="str">
        <f ca="1"/>
        <v/>
      </c>
      <c r="N147" t="str">
        <f ca="1"/>
        <v/>
      </c>
      <c r="O147" t="str">
        <v/>
      </c>
      <c r="P147" t="str">
        <v/>
      </c>
      <c r="Q147" t="str">
        <f ca="1"/>
        <v/>
      </c>
      <c r="R147" t="str">
        <f ca="1"/>
        <v/>
      </c>
      <c r="Z147" t="str">
        <f ca="1"/>
        <v/>
      </c>
      <c r="AA147" t="str">
        <f ca="1"/>
        <v/>
      </c>
      <c r="AB147" t="str">
        <f ca="1"/>
        <v/>
      </c>
      <c r="AC147" t="str">
        <f ca="1"/>
        <v/>
      </c>
      <c r="AD147" t="str">
        <f ca="1"/>
        <v/>
      </c>
      <c r="AE147" t="str">
        <f ca="1"/>
        <v/>
      </c>
      <c r="AF147" t="str">
        <f ca="1"/>
        <v/>
      </c>
      <c r="AG147" t="str">
        <f ca="1"/>
        <v/>
      </c>
      <c r="AH147" t="str">
        <f ca="1"/>
        <v/>
      </c>
      <c r="AI147" t="str">
        <f ca="1"/>
        <v/>
      </c>
      <c r="AJ147" t="str">
        <f ca="1"/>
        <v/>
      </c>
      <c r="AK147" t="str">
        <f ca="1"/>
        <v/>
      </c>
      <c r="AL147" t="str">
        <f ca="1"/>
        <v/>
      </c>
      <c r="AM147" t="str">
        <f ca="1"/>
        <v/>
      </c>
    </row>
    <row r="148" spans="6:39" x14ac:dyDescent="0.55000000000000004">
      <c r="F148">
        <f t="shared" si="9"/>
        <v>8</v>
      </c>
      <c r="G148" t="str">
        <f t="shared" si="8"/>
        <v>8</v>
      </c>
      <c r="H148">
        <f>COUNTIF(G$3:G148,G148)</f>
        <v>76</v>
      </c>
      <c r="I148" t="str">
        <v/>
      </c>
      <c r="J148" t="str">
        <v/>
      </c>
      <c r="K148" t="str">
        <f ca="1"/>
        <v/>
      </c>
      <c r="L148" t="str">
        <f ca="1"/>
        <v/>
      </c>
      <c r="N148" t="str">
        <f ca="1"/>
        <v/>
      </c>
      <c r="O148" t="str">
        <v/>
      </c>
      <c r="P148" t="str">
        <v/>
      </c>
      <c r="Q148" t="str">
        <f ca="1"/>
        <v/>
      </c>
      <c r="R148" t="str">
        <f ca="1"/>
        <v/>
      </c>
      <c r="Z148" t="str">
        <f ca="1"/>
        <v/>
      </c>
      <c r="AA148" t="str">
        <f ca="1"/>
        <v/>
      </c>
      <c r="AB148" t="str">
        <f ca="1"/>
        <v/>
      </c>
      <c r="AC148" t="str">
        <f ca="1"/>
        <v/>
      </c>
      <c r="AD148" t="str">
        <f ca="1"/>
        <v/>
      </c>
      <c r="AE148" t="str">
        <f ca="1"/>
        <v/>
      </c>
      <c r="AF148" t="str">
        <f ca="1"/>
        <v/>
      </c>
      <c r="AG148" t="str">
        <f ca="1"/>
        <v/>
      </c>
      <c r="AH148" t="str">
        <f ca="1"/>
        <v/>
      </c>
      <c r="AI148" t="str">
        <f ca="1"/>
        <v/>
      </c>
      <c r="AJ148" t="str">
        <f ca="1"/>
        <v/>
      </c>
      <c r="AK148" t="str">
        <f ca="1"/>
        <v/>
      </c>
      <c r="AL148" t="str">
        <f ca="1"/>
        <v/>
      </c>
      <c r="AM148" t="str">
        <f ca="1"/>
        <v/>
      </c>
    </row>
    <row r="149" spans="6:39" x14ac:dyDescent="0.55000000000000004">
      <c r="F149">
        <f t="shared" si="9"/>
        <v>8</v>
      </c>
      <c r="G149" t="str">
        <f t="shared" si="8"/>
        <v>8</v>
      </c>
      <c r="H149">
        <f>COUNTIF(G$3:G149,G149)</f>
        <v>77</v>
      </c>
      <c r="I149" t="str">
        <v/>
      </c>
      <c r="J149" t="str">
        <v/>
      </c>
      <c r="K149" t="str">
        <f ca="1"/>
        <v/>
      </c>
      <c r="L149" t="str">
        <f ca="1"/>
        <v/>
      </c>
      <c r="N149" t="str">
        <f ca="1"/>
        <v/>
      </c>
      <c r="O149" t="str">
        <v/>
      </c>
      <c r="P149" t="str">
        <v/>
      </c>
      <c r="Q149" t="str">
        <f ca="1"/>
        <v/>
      </c>
      <c r="R149" t="str">
        <f ca="1"/>
        <v/>
      </c>
      <c r="Z149" t="str">
        <f ca="1"/>
        <v/>
      </c>
      <c r="AA149" t="str">
        <f ca="1"/>
        <v/>
      </c>
      <c r="AB149" t="str">
        <f ca="1"/>
        <v/>
      </c>
      <c r="AC149" t="str">
        <f ca="1"/>
        <v/>
      </c>
      <c r="AD149" t="str">
        <f ca="1"/>
        <v/>
      </c>
      <c r="AE149" t="str">
        <f ca="1"/>
        <v/>
      </c>
      <c r="AF149" t="str">
        <f ca="1"/>
        <v/>
      </c>
      <c r="AG149" t="str">
        <f ca="1"/>
        <v/>
      </c>
      <c r="AH149" t="str">
        <f ca="1"/>
        <v/>
      </c>
      <c r="AI149" t="str">
        <f ca="1"/>
        <v/>
      </c>
      <c r="AJ149" t="str">
        <f ca="1"/>
        <v/>
      </c>
      <c r="AK149" t="str">
        <f ca="1"/>
        <v/>
      </c>
      <c r="AL149" t="str">
        <f ca="1"/>
        <v/>
      </c>
      <c r="AM149" t="str">
        <f ca="1"/>
        <v/>
      </c>
    </row>
    <row r="150" spans="6:39" x14ac:dyDescent="0.55000000000000004">
      <c r="F150">
        <f t="shared" si="9"/>
        <v>8</v>
      </c>
      <c r="G150" t="str">
        <f t="shared" si="8"/>
        <v>8</v>
      </c>
      <c r="H150">
        <f>COUNTIF(G$3:G150,G150)</f>
        <v>78</v>
      </c>
      <c r="I150" t="str">
        <v/>
      </c>
      <c r="J150" t="str">
        <v/>
      </c>
      <c r="K150" t="str">
        <f ca="1"/>
        <v/>
      </c>
      <c r="L150" t="str">
        <f ca="1"/>
        <v/>
      </c>
      <c r="N150" t="str">
        <f ca="1"/>
        <v/>
      </c>
      <c r="O150" t="str">
        <v/>
      </c>
      <c r="P150" t="str">
        <v/>
      </c>
      <c r="Q150" t="str">
        <f ca="1"/>
        <v/>
      </c>
      <c r="R150" t="str">
        <f ca="1"/>
        <v/>
      </c>
      <c r="Z150" t="str">
        <f ca="1"/>
        <v/>
      </c>
      <c r="AA150" t="str">
        <f ca="1"/>
        <v/>
      </c>
      <c r="AB150" t="str">
        <f ca="1"/>
        <v/>
      </c>
      <c r="AC150" t="str">
        <f ca="1"/>
        <v/>
      </c>
      <c r="AD150" t="str">
        <f ca="1"/>
        <v/>
      </c>
      <c r="AE150" t="str">
        <f ca="1"/>
        <v/>
      </c>
      <c r="AF150" t="str">
        <f ca="1"/>
        <v/>
      </c>
      <c r="AG150" t="str">
        <f ca="1"/>
        <v/>
      </c>
      <c r="AH150" t="str">
        <f ca="1"/>
        <v/>
      </c>
      <c r="AI150" t="str">
        <f ca="1"/>
        <v/>
      </c>
      <c r="AJ150" t="str">
        <f ca="1"/>
        <v/>
      </c>
      <c r="AK150" t="str">
        <f ca="1"/>
        <v/>
      </c>
      <c r="AL150" t="str">
        <f ca="1"/>
        <v/>
      </c>
      <c r="AM150" t="str">
        <f ca="1"/>
        <v/>
      </c>
    </row>
    <row r="151" spans="6:39" x14ac:dyDescent="0.55000000000000004">
      <c r="F151">
        <f t="shared" si="9"/>
        <v>8</v>
      </c>
      <c r="G151" t="str">
        <f t="shared" si="8"/>
        <v>8</v>
      </c>
      <c r="H151">
        <f>COUNTIF(G$3:G151,G151)</f>
        <v>79</v>
      </c>
      <c r="I151" t="str">
        <v/>
      </c>
      <c r="J151" t="str">
        <v/>
      </c>
      <c r="K151" t="str">
        <f ca="1"/>
        <v/>
      </c>
      <c r="L151" t="str">
        <f ca="1"/>
        <v/>
      </c>
      <c r="N151" t="str">
        <f ca="1"/>
        <v/>
      </c>
      <c r="O151" t="str">
        <v/>
      </c>
      <c r="P151" t="str">
        <v/>
      </c>
      <c r="Q151" t="str">
        <f ca="1"/>
        <v/>
      </c>
      <c r="R151" t="str">
        <f ca="1"/>
        <v/>
      </c>
      <c r="Z151" t="str">
        <f ca="1"/>
        <v/>
      </c>
      <c r="AA151" t="str">
        <f ca="1"/>
        <v/>
      </c>
      <c r="AB151" t="str">
        <f ca="1"/>
        <v/>
      </c>
      <c r="AC151" t="str">
        <f ca="1"/>
        <v/>
      </c>
      <c r="AD151" t="str">
        <f ca="1"/>
        <v/>
      </c>
      <c r="AE151" t="str">
        <f ca="1"/>
        <v/>
      </c>
      <c r="AF151" t="str">
        <f ca="1"/>
        <v/>
      </c>
      <c r="AG151" t="str">
        <f ca="1"/>
        <v/>
      </c>
      <c r="AH151" t="str">
        <f ca="1"/>
        <v/>
      </c>
      <c r="AI151" t="str">
        <f ca="1"/>
        <v/>
      </c>
      <c r="AJ151" t="str">
        <f ca="1"/>
        <v/>
      </c>
      <c r="AK151" t="str">
        <f ca="1"/>
        <v/>
      </c>
      <c r="AL151" t="str">
        <f ca="1"/>
        <v/>
      </c>
      <c r="AM151" t="str">
        <f ca="1"/>
        <v/>
      </c>
    </row>
    <row r="152" spans="6:39" x14ac:dyDescent="0.55000000000000004">
      <c r="F152">
        <f t="shared" si="9"/>
        <v>8</v>
      </c>
      <c r="G152" t="str">
        <f t="shared" si="8"/>
        <v>8</v>
      </c>
      <c r="H152">
        <f>COUNTIF(G$3:G152,G152)</f>
        <v>80</v>
      </c>
      <c r="I152" t="str">
        <v/>
      </c>
      <c r="J152" t="str">
        <v/>
      </c>
      <c r="K152" t="str">
        <f ca="1"/>
        <v/>
      </c>
      <c r="L152" t="str">
        <f ca="1"/>
        <v/>
      </c>
      <c r="N152" t="str">
        <f ca="1"/>
        <v/>
      </c>
      <c r="O152" t="str">
        <v/>
      </c>
      <c r="P152" t="str">
        <v/>
      </c>
      <c r="Q152" t="str">
        <f ca="1"/>
        <v/>
      </c>
      <c r="R152" t="str">
        <f ca="1"/>
        <v/>
      </c>
      <c r="Z152" t="str">
        <f ca="1"/>
        <v/>
      </c>
      <c r="AA152" t="str">
        <f ca="1"/>
        <v/>
      </c>
      <c r="AB152" t="str">
        <f ca="1"/>
        <v/>
      </c>
      <c r="AC152" t="str">
        <f ca="1"/>
        <v/>
      </c>
      <c r="AD152" t="str">
        <f ca="1"/>
        <v/>
      </c>
      <c r="AE152" t="str">
        <f ca="1"/>
        <v/>
      </c>
      <c r="AF152" t="str">
        <f ca="1"/>
        <v/>
      </c>
      <c r="AG152" t="str">
        <f ca="1"/>
        <v/>
      </c>
      <c r="AH152" t="str">
        <f ca="1"/>
        <v/>
      </c>
      <c r="AI152" t="str">
        <f ca="1"/>
        <v/>
      </c>
      <c r="AJ152" t="str">
        <f ca="1"/>
        <v/>
      </c>
      <c r="AK152" t="str">
        <f ca="1"/>
        <v/>
      </c>
      <c r="AL152" t="str">
        <f ca="1"/>
        <v/>
      </c>
      <c r="AM152" t="str">
        <f ca="1"/>
        <v/>
      </c>
    </row>
    <row r="153" spans="6:39" x14ac:dyDescent="0.55000000000000004">
      <c r="F153">
        <f t="shared" si="9"/>
        <v>8</v>
      </c>
      <c r="G153" t="str">
        <f t="shared" si="8"/>
        <v>8</v>
      </c>
      <c r="H153">
        <f>COUNTIF(G$3:G153,G153)</f>
        <v>81</v>
      </c>
      <c r="I153" t="str">
        <v/>
      </c>
      <c r="J153" t="str">
        <v/>
      </c>
      <c r="K153" t="str">
        <f ca="1"/>
        <v/>
      </c>
      <c r="L153" t="str">
        <f ca="1"/>
        <v/>
      </c>
      <c r="N153" t="str">
        <f ca="1"/>
        <v/>
      </c>
      <c r="O153" t="str">
        <v/>
      </c>
      <c r="P153" t="str">
        <v/>
      </c>
      <c r="Q153" t="str">
        <f ca="1"/>
        <v/>
      </c>
      <c r="R153" t="str">
        <f ca="1"/>
        <v/>
      </c>
      <c r="Z153" t="str">
        <f ca="1"/>
        <v/>
      </c>
      <c r="AA153" t="str">
        <f ca="1"/>
        <v/>
      </c>
      <c r="AB153" t="str">
        <f ca="1"/>
        <v/>
      </c>
      <c r="AC153" t="str">
        <f ca="1"/>
        <v/>
      </c>
      <c r="AD153" t="str">
        <f ca="1"/>
        <v/>
      </c>
      <c r="AE153" t="str">
        <f ca="1"/>
        <v/>
      </c>
      <c r="AF153" t="str">
        <f ca="1"/>
        <v/>
      </c>
      <c r="AG153" t="str">
        <f ca="1"/>
        <v/>
      </c>
      <c r="AH153" t="str">
        <f ca="1"/>
        <v/>
      </c>
      <c r="AI153" t="str">
        <f ca="1"/>
        <v/>
      </c>
      <c r="AJ153" t="str">
        <f ca="1"/>
        <v/>
      </c>
      <c r="AK153" t="str">
        <f ca="1"/>
        <v/>
      </c>
      <c r="AL153" t="str">
        <f ca="1"/>
        <v/>
      </c>
      <c r="AM153" t="str">
        <f ca="1"/>
        <v/>
      </c>
    </row>
    <row r="154" spans="6:39" x14ac:dyDescent="0.55000000000000004">
      <c r="F154">
        <f t="shared" si="9"/>
        <v>8</v>
      </c>
      <c r="G154" t="str">
        <f t="shared" si="8"/>
        <v>8</v>
      </c>
      <c r="H154">
        <f>COUNTIF(G$3:G154,G154)</f>
        <v>82</v>
      </c>
      <c r="I154" t="str">
        <v/>
      </c>
      <c r="J154" t="str">
        <v/>
      </c>
      <c r="K154" t="str">
        <f ca="1"/>
        <v/>
      </c>
      <c r="L154" t="str">
        <f ca="1"/>
        <v/>
      </c>
      <c r="N154" t="str">
        <f ca="1"/>
        <v/>
      </c>
      <c r="O154" t="str">
        <v/>
      </c>
      <c r="P154" t="str">
        <v/>
      </c>
      <c r="Q154" t="str">
        <f ca="1"/>
        <v/>
      </c>
      <c r="R154" t="str">
        <f ca="1"/>
        <v/>
      </c>
      <c r="Z154" t="str">
        <f ca="1"/>
        <v/>
      </c>
      <c r="AA154" t="str">
        <f ca="1"/>
        <v/>
      </c>
      <c r="AB154" t="str">
        <f ca="1"/>
        <v/>
      </c>
      <c r="AC154" t="str">
        <f ca="1"/>
        <v/>
      </c>
      <c r="AD154" t="str">
        <f ca="1"/>
        <v/>
      </c>
      <c r="AE154" t="str">
        <f ca="1"/>
        <v/>
      </c>
      <c r="AF154" t="str">
        <f ca="1"/>
        <v/>
      </c>
      <c r="AG154" t="str">
        <f ca="1"/>
        <v/>
      </c>
      <c r="AH154" t="str">
        <f ca="1"/>
        <v/>
      </c>
      <c r="AI154" t="str">
        <f ca="1"/>
        <v/>
      </c>
      <c r="AJ154" t="str">
        <f ca="1"/>
        <v/>
      </c>
      <c r="AK154" t="str">
        <f ca="1"/>
        <v/>
      </c>
      <c r="AL154" t="str">
        <f ca="1"/>
        <v/>
      </c>
      <c r="AM154" t="str">
        <f ca="1"/>
        <v/>
      </c>
    </row>
    <row r="155" spans="6:39" x14ac:dyDescent="0.55000000000000004">
      <c r="F155">
        <f t="shared" si="9"/>
        <v>8</v>
      </c>
      <c r="G155" t="str">
        <f t="shared" si="8"/>
        <v>8</v>
      </c>
      <c r="H155">
        <f>COUNTIF(G$3:G155,G155)</f>
        <v>83</v>
      </c>
      <c r="I155" t="str">
        <v/>
      </c>
      <c r="J155" t="str">
        <v/>
      </c>
      <c r="K155" t="str">
        <f ca="1"/>
        <v/>
      </c>
      <c r="L155" t="str">
        <f ca="1"/>
        <v/>
      </c>
      <c r="N155" t="str">
        <f ca="1"/>
        <v/>
      </c>
      <c r="O155" t="str">
        <v/>
      </c>
      <c r="P155" t="str">
        <v/>
      </c>
      <c r="Q155" t="str">
        <f ca="1"/>
        <v/>
      </c>
      <c r="R155" t="str">
        <f ca="1"/>
        <v/>
      </c>
      <c r="Z155" t="str">
        <f ca="1"/>
        <v/>
      </c>
      <c r="AA155" t="str">
        <f ca="1"/>
        <v/>
      </c>
      <c r="AB155" t="str">
        <f ca="1"/>
        <v/>
      </c>
      <c r="AC155" t="str">
        <f ca="1"/>
        <v/>
      </c>
      <c r="AD155" t="str">
        <f ca="1"/>
        <v/>
      </c>
      <c r="AE155" t="str">
        <f ca="1"/>
        <v/>
      </c>
      <c r="AF155" t="str">
        <f ca="1"/>
        <v/>
      </c>
      <c r="AG155" t="str">
        <f ca="1"/>
        <v/>
      </c>
      <c r="AH155" t="str">
        <f ca="1"/>
        <v/>
      </c>
      <c r="AI155" t="str">
        <f ca="1"/>
        <v/>
      </c>
      <c r="AJ155" t="str">
        <f ca="1"/>
        <v/>
      </c>
      <c r="AK155" t="str">
        <f ca="1"/>
        <v/>
      </c>
      <c r="AL155" t="str">
        <f ca="1"/>
        <v/>
      </c>
      <c r="AM155" t="str">
        <f ca="1"/>
        <v/>
      </c>
    </row>
    <row r="156" spans="6:39" x14ac:dyDescent="0.55000000000000004">
      <c r="F156">
        <f t="shared" si="9"/>
        <v>8</v>
      </c>
      <c r="G156" t="str">
        <f t="shared" si="8"/>
        <v>8</v>
      </c>
      <c r="H156">
        <f>COUNTIF(G$3:G156,G156)</f>
        <v>84</v>
      </c>
      <c r="I156" t="str">
        <v/>
      </c>
      <c r="J156" t="str">
        <v/>
      </c>
      <c r="K156" t="str">
        <f ca="1"/>
        <v/>
      </c>
      <c r="L156" t="str">
        <f ca="1"/>
        <v/>
      </c>
      <c r="N156" t="str">
        <f ca="1"/>
        <v/>
      </c>
      <c r="O156" t="str">
        <v/>
      </c>
      <c r="P156" t="str">
        <v/>
      </c>
      <c r="Q156" t="str">
        <f ca="1"/>
        <v/>
      </c>
      <c r="R156" t="str">
        <f ca="1"/>
        <v/>
      </c>
      <c r="Z156" t="str">
        <f ca="1"/>
        <v/>
      </c>
      <c r="AA156" t="str">
        <f ca="1"/>
        <v/>
      </c>
      <c r="AB156" t="str">
        <f ca="1"/>
        <v/>
      </c>
      <c r="AC156" t="str">
        <f ca="1"/>
        <v/>
      </c>
      <c r="AD156" t="str">
        <f ca="1"/>
        <v/>
      </c>
      <c r="AE156" t="str">
        <f ca="1"/>
        <v/>
      </c>
      <c r="AF156" t="str">
        <f ca="1"/>
        <v/>
      </c>
      <c r="AG156" t="str">
        <f ca="1"/>
        <v/>
      </c>
      <c r="AH156" t="str">
        <f ca="1"/>
        <v/>
      </c>
      <c r="AI156" t="str">
        <f ca="1"/>
        <v/>
      </c>
      <c r="AJ156" t="str">
        <f ca="1"/>
        <v/>
      </c>
      <c r="AK156" t="str">
        <f ca="1"/>
        <v/>
      </c>
      <c r="AL156" t="str">
        <f ca="1"/>
        <v/>
      </c>
      <c r="AM156" t="str">
        <f ca="1"/>
        <v/>
      </c>
    </row>
    <row r="157" spans="6:39" x14ac:dyDescent="0.55000000000000004">
      <c r="F157">
        <f t="shared" si="9"/>
        <v>8</v>
      </c>
      <c r="G157" t="str">
        <f t="shared" si="8"/>
        <v>8</v>
      </c>
      <c r="H157">
        <f>COUNTIF(G$3:G157,G157)</f>
        <v>85</v>
      </c>
      <c r="I157" t="str">
        <v/>
      </c>
      <c r="J157" t="str">
        <v/>
      </c>
      <c r="K157" t="str">
        <f ca="1"/>
        <v/>
      </c>
      <c r="L157" t="str">
        <f ca="1"/>
        <v/>
      </c>
      <c r="N157" t="str">
        <f ca="1"/>
        <v/>
      </c>
      <c r="O157" t="str">
        <v/>
      </c>
      <c r="P157" t="str">
        <v/>
      </c>
      <c r="Q157" t="str">
        <f ca="1"/>
        <v/>
      </c>
      <c r="R157" t="str">
        <f ca="1"/>
        <v/>
      </c>
      <c r="Z157" t="str">
        <f ca="1"/>
        <v/>
      </c>
      <c r="AA157" t="str">
        <f ca="1"/>
        <v/>
      </c>
      <c r="AB157" t="str">
        <f ca="1"/>
        <v/>
      </c>
      <c r="AC157" t="str">
        <f ca="1"/>
        <v/>
      </c>
      <c r="AD157" t="str">
        <f ca="1"/>
        <v/>
      </c>
      <c r="AE157" t="str">
        <f ca="1"/>
        <v/>
      </c>
      <c r="AF157" t="str">
        <f ca="1"/>
        <v/>
      </c>
      <c r="AG157" t="str">
        <f ca="1"/>
        <v/>
      </c>
      <c r="AH157" t="str">
        <f ca="1"/>
        <v/>
      </c>
      <c r="AI157" t="str">
        <f ca="1"/>
        <v/>
      </c>
      <c r="AJ157" t="str">
        <f ca="1"/>
        <v/>
      </c>
      <c r="AK157" t="str">
        <f ca="1"/>
        <v/>
      </c>
      <c r="AL157" t="str">
        <f ca="1"/>
        <v/>
      </c>
      <c r="AM157" t="str">
        <f ca="1"/>
        <v/>
      </c>
    </row>
    <row r="158" spans="6:39" x14ac:dyDescent="0.55000000000000004">
      <c r="F158">
        <f t="shared" si="9"/>
        <v>8</v>
      </c>
      <c r="G158" t="str">
        <f t="shared" si="8"/>
        <v>8</v>
      </c>
      <c r="H158">
        <f>COUNTIF(G$3:G158,G158)</f>
        <v>86</v>
      </c>
      <c r="I158" t="str">
        <v/>
      </c>
      <c r="J158" t="str">
        <v/>
      </c>
      <c r="K158" t="str">
        <f ca="1"/>
        <v/>
      </c>
      <c r="L158" t="str">
        <f ca="1"/>
        <v/>
      </c>
      <c r="N158" t="str">
        <f ca="1"/>
        <v/>
      </c>
      <c r="O158" t="str">
        <v/>
      </c>
      <c r="P158" t="str">
        <v/>
      </c>
      <c r="Q158" t="str">
        <f ca="1"/>
        <v/>
      </c>
      <c r="R158" t="str">
        <f ca="1"/>
        <v/>
      </c>
      <c r="Z158" t="str">
        <f ca="1"/>
        <v/>
      </c>
      <c r="AA158" t="str">
        <f ca="1"/>
        <v/>
      </c>
      <c r="AB158" t="str">
        <f ca="1"/>
        <v/>
      </c>
      <c r="AC158" t="str">
        <f ca="1"/>
        <v/>
      </c>
      <c r="AD158" t="str">
        <f ca="1"/>
        <v/>
      </c>
      <c r="AE158" t="str">
        <f ca="1"/>
        <v/>
      </c>
      <c r="AF158" t="str">
        <f ca="1"/>
        <v/>
      </c>
      <c r="AG158" t="str">
        <f ca="1"/>
        <v/>
      </c>
      <c r="AH158" t="str">
        <f ca="1"/>
        <v/>
      </c>
      <c r="AI158" t="str">
        <f ca="1"/>
        <v/>
      </c>
      <c r="AJ158" t="str">
        <f ca="1"/>
        <v/>
      </c>
      <c r="AK158" t="str">
        <f ca="1"/>
        <v/>
      </c>
      <c r="AL158" t="str">
        <f ca="1"/>
        <v/>
      </c>
      <c r="AM158" t="str">
        <f ca="1"/>
        <v/>
      </c>
    </row>
    <row r="159" spans="6:39" x14ac:dyDescent="0.55000000000000004">
      <c r="F159">
        <f t="shared" si="9"/>
        <v>8</v>
      </c>
      <c r="G159" t="str">
        <f t="shared" si="8"/>
        <v>8</v>
      </c>
      <c r="H159">
        <f>COUNTIF(G$3:G159,G159)</f>
        <v>87</v>
      </c>
      <c r="I159" t="str">
        <v/>
      </c>
      <c r="J159" t="str">
        <v/>
      </c>
      <c r="K159" t="str">
        <f ca="1"/>
        <v/>
      </c>
      <c r="L159" t="str">
        <f ca="1"/>
        <v/>
      </c>
      <c r="N159" t="str">
        <f ca="1"/>
        <v/>
      </c>
      <c r="O159" t="str">
        <v/>
      </c>
      <c r="P159" t="str">
        <v/>
      </c>
      <c r="Q159" t="str">
        <f ca="1"/>
        <v/>
      </c>
      <c r="R159" t="str">
        <f ca="1"/>
        <v/>
      </c>
      <c r="Z159" t="str">
        <f ca="1"/>
        <v/>
      </c>
      <c r="AA159" t="str">
        <f ca="1"/>
        <v/>
      </c>
      <c r="AB159" t="str">
        <f ca="1"/>
        <v/>
      </c>
      <c r="AC159" t="str">
        <f ca="1"/>
        <v/>
      </c>
      <c r="AD159" t="str">
        <f ca="1"/>
        <v/>
      </c>
      <c r="AE159" t="str">
        <f ca="1"/>
        <v/>
      </c>
      <c r="AF159" t="str">
        <f ca="1"/>
        <v/>
      </c>
      <c r="AG159" t="str">
        <f ca="1"/>
        <v/>
      </c>
      <c r="AH159" t="str">
        <f ca="1"/>
        <v/>
      </c>
      <c r="AI159" t="str">
        <f ca="1"/>
        <v/>
      </c>
      <c r="AJ159" t="str">
        <f ca="1"/>
        <v/>
      </c>
      <c r="AK159" t="str">
        <f ca="1"/>
        <v/>
      </c>
      <c r="AL159" t="str">
        <f ca="1"/>
        <v/>
      </c>
      <c r="AM159" t="str">
        <f ca="1"/>
        <v/>
      </c>
    </row>
    <row r="160" spans="6:39" x14ac:dyDescent="0.55000000000000004">
      <c r="F160">
        <f t="shared" si="9"/>
        <v>8</v>
      </c>
      <c r="G160" t="str">
        <f t="shared" si="8"/>
        <v>8</v>
      </c>
      <c r="H160">
        <f>COUNTIF(G$3:G160,G160)</f>
        <v>88</v>
      </c>
      <c r="I160" t="str">
        <v/>
      </c>
      <c r="J160" t="str">
        <v/>
      </c>
      <c r="K160" t="str">
        <f ca="1"/>
        <v/>
      </c>
      <c r="L160" t="str">
        <f ca="1"/>
        <v/>
      </c>
      <c r="N160" t="str">
        <f ca="1"/>
        <v/>
      </c>
      <c r="O160" t="str">
        <v/>
      </c>
      <c r="P160" t="str">
        <v/>
      </c>
      <c r="Q160" t="str">
        <f ca="1"/>
        <v/>
      </c>
      <c r="R160" t="str">
        <f ca="1"/>
        <v/>
      </c>
      <c r="Z160" t="str">
        <f ca="1"/>
        <v/>
      </c>
      <c r="AA160" t="str">
        <f ca="1"/>
        <v/>
      </c>
      <c r="AB160" t="str">
        <f ca="1"/>
        <v/>
      </c>
      <c r="AC160" t="str">
        <f ca="1"/>
        <v/>
      </c>
      <c r="AD160" t="str">
        <f ca="1"/>
        <v/>
      </c>
      <c r="AE160" t="str">
        <f ca="1"/>
        <v/>
      </c>
      <c r="AF160" t="str">
        <f ca="1"/>
        <v/>
      </c>
      <c r="AG160" t="str">
        <f ca="1"/>
        <v/>
      </c>
      <c r="AH160" t="str">
        <f ca="1"/>
        <v/>
      </c>
      <c r="AI160" t="str">
        <f ca="1"/>
        <v/>
      </c>
      <c r="AJ160" t="str">
        <f ca="1"/>
        <v/>
      </c>
      <c r="AK160" t="str">
        <f ca="1"/>
        <v/>
      </c>
      <c r="AL160" t="str">
        <f ca="1"/>
        <v/>
      </c>
      <c r="AM160" t="str">
        <f ca="1"/>
        <v/>
      </c>
    </row>
    <row r="161" spans="6:39" x14ac:dyDescent="0.55000000000000004">
      <c r="F161">
        <f t="shared" si="9"/>
        <v>8</v>
      </c>
      <c r="G161" t="str">
        <f t="shared" ref="G161:G202" si="10">E161&amp;F161</f>
        <v>8</v>
      </c>
      <c r="H161">
        <f>COUNTIF(G$3:G161,G161)</f>
        <v>89</v>
      </c>
      <c r="I161" t="str">
        <v/>
      </c>
      <c r="J161" t="str">
        <v/>
      </c>
      <c r="K161" t="str">
        <f ca="1"/>
        <v/>
      </c>
      <c r="L161" t="str">
        <f ca="1"/>
        <v/>
      </c>
      <c r="N161" t="str">
        <f ca="1"/>
        <v/>
      </c>
      <c r="O161" t="str">
        <v/>
      </c>
      <c r="P161" t="str">
        <v/>
      </c>
      <c r="Q161" t="str">
        <f ca="1"/>
        <v/>
      </c>
      <c r="R161" t="str">
        <f ca="1"/>
        <v/>
      </c>
      <c r="Z161" t="str">
        <f ca="1"/>
        <v/>
      </c>
      <c r="AA161" t="str">
        <f ca="1"/>
        <v/>
      </c>
      <c r="AB161" t="str">
        <f ca="1"/>
        <v/>
      </c>
      <c r="AC161" t="str">
        <f ca="1"/>
        <v/>
      </c>
      <c r="AD161" t="str">
        <f ca="1"/>
        <v/>
      </c>
      <c r="AE161" t="str">
        <f ca="1"/>
        <v/>
      </c>
      <c r="AF161" t="str">
        <f ca="1"/>
        <v/>
      </c>
      <c r="AG161" t="str">
        <f ca="1"/>
        <v/>
      </c>
      <c r="AH161" t="str">
        <f ca="1"/>
        <v/>
      </c>
      <c r="AI161" t="str">
        <f ca="1"/>
        <v/>
      </c>
      <c r="AJ161" t="str">
        <f ca="1"/>
        <v/>
      </c>
      <c r="AK161" t="str">
        <f ca="1"/>
        <v/>
      </c>
      <c r="AL161" t="str">
        <f ca="1"/>
        <v/>
      </c>
      <c r="AM161" t="str">
        <f ca="1"/>
        <v/>
      </c>
    </row>
    <row r="162" spans="6:39" x14ac:dyDescent="0.55000000000000004">
      <c r="F162">
        <f t="shared" si="9"/>
        <v>8</v>
      </c>
      <c r="G162" t="str">
        <f t="shared" si="10"/>
        <v>8</v>
      </c>
      <c r="H162">
        <f>COUNTIF(G$3:G162,G162)</f>
        <v>90</v>
      </c>
      <c r="I162" t="str">
        <v/>
      </c>
      <c r="J162" t="str">
        <v/>
      </c>
      <c r="K162" t="str">
        <f ca="1"/>
        <v/>
      </c>
      <c r="L162" t="str">
        <f ca="1"/>
        <v/>
      </c>
      <c r="N162" t="str">
        <f ca="1"/>
        <v/>
      </c>
      <c r="O162" t="str">
        <v/>
      </c>
      <c r="P162" t="str">
        <v/>
      </c>
      <c r="Q162" t="str">
        <f ca="1"/>
        <v/>
      </c>
      <c r="R162" t="str">
        <f ca="1"/>
        <v/>
      </c>
      <c r="Z162" t="str">
        <f ca="1"/>
        <v/>
      </c>
      <c r="AA162" t="str">
        <f ca="1"/>
        <v/>
      </c>
      <c r="AB162" t="str">
        <f ca="1"/>
        <v/>
      </c>
      <c r="AC162" t="str">
        <f ca="1"/>
        <v/>
      </c>
      <c r="AD162" t="str">
        <f ca="1"/>
        <v/>
      </c>
      <c r="AE162" t="str">
        <f ca="1"/>
        <v/>
      </c>
      <c r="AF162" t="str">
        <f ca="1"/>
        <v/>
      </c>
      <c r="AG162" t="str">
        <f ca="1"/>
        <v/>
      </c>
      <c r="AH162" t="str">
        <f ca="1"/>
        <v/>
      </c>
      <c r="AI162" t="str">
        <f ca="1"/>
        <v/>
      </c>
      <c r="AJ162" t="str">
        <f ca="1"/>
        <v/>
      </c>
      <c r="AK162" t="str">
        <f ca="1"/>
        <v/>
      </c>
      <c r="AL162" t="str">
        <f ca="1"/>
        <v/>
      </c>
      <c r="AM162" t="str">
        <f ca="1"/>
        <v/>
      </c>
    </row>
    <row r="163" spans="6:39" x14ac:dyDescent="0.55000000000000004">
      <c r="F163">
        <f t="shared" si="9"/>
        <v>8</v>
      </c>
      <c r="G163" t="str">
        <f t="shared" si="10"/>
        <v>8</v>
      </c>
      <c r="H163">
        <f>COUNTIF(G$3:G163,G163)</f>
        <v>91</v>
      </c>
      <c r="I163" t="str">
        <v/>
      </c>
      <c r="J163" t="str">
        <v/>
      </c>
      <c r="K163" t="str">
        <f ca="1"/>
        <v/>
      </c>
      <c r="L163" t="str">
        <f ca="1"/>
        <v/>
      </c>
      <c r="N163" t="str">
        <f ca="1"/>
        <v/>
      </c>
      <c r="O163" t="str">
        <v/>
      </c>
      <c r="P163" t="str">
        <v/>
      </c>
      <c r="Q163" t="str">
        <f ca="1"/>
        <v/>
      </c>
      <c r="R163" t="str">
        <f ca="1"/>
        <v/>
      </c>
      <c r="Z163" t="str">
        <f ca="1"/>
        <v/>
      </c>
      <c r="AA163" t="str">
        <f ca="1"/>
        <v/>
      </c>
      <c r="AB163" t="str">
        <f ca="1"/>
        <v/>
      </c>
      <c r="AC163" t="str">
        <f ca="1"/>
        <v/>
      </c>
      <c r="AD163" t="str">
        <f ca="1"/>
        <v/>
      </c>
      <c r="AE163" t="str">
        <f ca="1"/>
        <v/>
      </c>
      <c r="AF163" t="str">
        <f ca="1"/>
        <v/>
      </c>
      <c r="AG163" t="str">
        <f ca="1"/>
        <v/>
      </c>
      <c r="AH163" t="str">
        <f ca="1"/>
        <v/>
      </c>
      <c r="AI163" t="str">
        <f ca="1"/>
        <v/>
      </c>
      <c r="AJ163" t="str">
        <f ca="1"/>
        <v/>
      </c>
      <c r="AK163" t="str">
        <f ca="1"/>
        <v/>
      </c>
      <c r="AL163" t="str">
        <f ca="1"/>
        <v/>
      </c>
      <c r="AM163" t="str">
        <f ca="1"/>
        <v/>
      </c>
    </row>
    <row r="164" spans="6:39" x14ac:dyDescent="0.55000000000000004">
      <c r="F164">
        <f t="shared" si="9"/>
        <v>8</v>
      </c>
      <c r="G164" t="str">
        <f t="shared" si="10"/>
        <v>8</v>
      </c>
      <c r="H164">
        <f>COUNTIF(G$3:G164,G164)</f>
        <v>92</v>
      </c>
      <c r="I164" t="str">
        <v/>
      </c>
      <c r="J164" t="str">
        <v/>
      </c>
      <c r="K164" t="str">
        <f ca="1"/>
        <v/>
      </c>
      <c r="L164" t="str">
        <f ca="1"/>
        <v/>
      </c>
      <c r="N164" t="str">
        <f ca="1"/>
        <v/>
      </c>
      <c r="O164" t="str">
        <v/>
      </c>
      <c r="P164" t="str">
        <v/>
      </c>
      <c r="Q164" t="str">
        <f ca="1"/>
        <v/>
      </c>
      <c r="R164" t="str">
        <f ca="1"/>
        <v/>
      </c>
      <c r="Z164" t="str">
        <f ca="1"/>
        <v/>
      </c>
      <c r="AA164" t="str">
        <f ca="1"/>
        <v/>
      </c>
      <c r="AB164" t="str">
        <f ca="1"/>
        <v/>
      </c>
      <c r="AC164" t="str">
        <f ca="1"/>
        <v/>
      </c>
      <c r="AD164" t="str">
        <f ca="1"/>
        <v/>
      </c>
      <c r="AE164" t="str">
        <f ca="1"/>
        <v/>
      </c>
      <c r="AF164" t="str">
        <f ca="1"/>
        <v/>
      </c>
      <c r="AG164" t="str">
        <f ca="1"/>
        <v/>
      </c>
      <c r="AH164" t="str">
        <f ca="1"/>
        <v/>
      </c>
      <c r="AI164" t="str">
        <f ca="1"/>
        <v/>
      </c>
      <c r="AJ164" t="str">
        <f ca="1"/>
        <v/>
      </c>
      <c r="AK164" t="str">
        <f ca="1"/>
        <v/>
      </c>
      <c r="AL164" t="str">
        <f ca="1"/>
        <v/>
      </c>
      <c r="AM164" t="str">
        <f ca="1"/>
        <v/>
      </c>
    </row>
    <row r="165" spans="6:39" x14ac:dyDescent="0.55000000000000004">
      <c r="F165">
        <f t="shared" si="9"/>
        <v>8</v>
      </c>
      <c r="G165" t="str">
        <f t="shared" si="10"/>
        <v>8</v>
      </c>
      <c r="H165">
        <f>COUNTIF(G$3:G165,G165)</f>
        <v>93</v>
      </c>
      <c r="I165" t="str">
        <v/>
      </c>
      <c r="J165" t="str">
        <v/>
      </c>
      <c r="K165" t="str">
        <f ca="1"/>
        <v/>
      </c>
      <c r="L165" t="str">
        <f ca="1"/>
        <v/>
      </c>
      <c r="N165" t="str">
        <f ca="1"/>
        <v/>
      </c>
      <c r="O165" t="str">
        <v/>
      </c>
      <c r="P165" t="str">
        <v/>
      </c>
      <c r="Q165" t="str">
        <f ca="1"/>
        <v/>
      </c>
      <c r="R165" t="str">
        <f ca="1"/>
        <v/>
      </c>
      <c r="Z165" t="str">
        <f ca="1"/>
        <v/>
      </c>
      <c r="AA165" t="str">
        <f ca="1"/>
        <v/>
      </c>
      <c r="AB165" t="str">
        <f ca="1"/>
        <v/>
      </c>
      <c r="AC165" t="str">
        <f ca="1"/>
        <v/>
      </c>
      <c r="AD165" t="str">
        <f ca="1"/>
        <v/>
      </c>
      <c r="AE165" t="str">
        <f ca="1"/>
        <v/>
      </c>
      <c r="AF165" t="str">
        <f ca="1"/>
        <v/>
      </c>
      <c r="AG165" t="str">
        <f ca="1"/>
        <v/>
      </c>
      <c r="AH165" t="str">
        <f ca="1"/>
        <v/>
      </c>
      <c r="AI165" t="str">
        <f ca="1"/>
        <v/>
      </c>
      <c r="AJ165" t="str">
        <f ca="1"/>
        <v/>
      </c>
      <c r="AK165" t="str">
        <f ca="1"/>
        <v/>
      </c>
      <c r="AL165" t="str">
        <f ca="1"/>
        <v/>
      </c>
      <c r="AM165" t="str">
        <f ca="1"/>
        <v/>
      </c>
    </row>
    <row r="166" spans="6:39" x14ac:dyDescent="0.55000000000000004">
      <c r="F166">
        <f t="shared" si="9"/>
        <v>8</v>
      </c>
      <c r="G166" t="str">
        <f t="shared" si="10"/>
        <v>8</v>
      </c>
      <c r="H166">
        <f>COUNTIF(G$3:G166,G166)</f>
        <v>94</v>
      </c>
      <c r="I166" t="str">
        <v/>
      </c>
      <c r="J166" t="str">
        <v/>
      </c>
      <c r="K166" t="str">
        <f ca="1"/>
        <v/>
      </c>
      <c r="L166" t="str">
        <f ca="1"/>
        <v/>
      </c>
      <c r="N166" t="str">
        <f ca="1"/>
        <v/>
      </c>
      <c r="O166" t="str">
        <v/>
      </c>
      <c r="P166" t="str">
        <v/>
      </c>
      <c r="Q166" t="str">
        <f ca="1"/>
        <v/>
      </c>
      <c r="R166" t="str">
        <f ca="1"/>
        <v/>
      </c>
      <c r="Z166" t="str">
        <f ca="1"/>
        <v/>
      </c>
      <c r="AA166" t="str">
        <f ca="1"/>
        <v/>
      </c>
      <c r="AB166" t="str">
        <f ca="1"/>
        <v/>
      </c>
      <c r="AC166" t="str">
        <f ca="1"/>
        <v/>
      </c>
      <c r="AD166" t="str">
        <f ca="1"/>
        <v/>
      </c>
      <c r="AE166" t="str">
        <f ca="1"/>
        <v/>
      </c>
      <c r="AF166" t="str">
        <f ca="1"/>
        <v/>
      </c>
      <c r="AG166" t="str">
        <f ca="1"/>
        <v/>
      </c>
      <c r="AH166" t="str">
        <f ca="1"/>
        <v/>
      </c>
      <c r="AI166" t="str">
        <f ca="1"/>
        <v/>
      </c>
      <c r="AJ166" t="str">
        <f ca="1"/>
        <v/>
      </c>
      <c r="AK166" t="str">
        <f ca="1"/>
        <v/>
      </c>
      <c r="AL166" t="str">
        <f ca="1"/>
        <v/>
      </c>
      <c r="AM166" t="str">
        <f ca="1"/>
        <v/>
      </c>
    </row>
    <row r="167" spans="6:39" x14ac:dyDescent="0.55000000000000004">
      <c r="F167">
        <f t="shared" si="9"/>
        <v>8</v>
      </c>
      <c r="G167" t="str">
        <f t="shared" si="10"/>
        <v>8</v>
      </c>
      <c r="H167">
        <f>COUNTIF(G$3:G167,G167)</f>
        <v>95</v>
      </c>
      <c r="I167" t="str">
        <v/>
      </c>
      <c r="J167" t="str">
        <v/>
      </c>
      <c r="K167" t="str">
        <f ca="1"/>
        <v/>
      </c>
      <c r="L167" t="str">
        <f ca="1"/>
        <v/>
      </c>
      <c r="N167" t="str">
        <f ca="1"/>
        <v/>
      </c>
      <c r="O167" t="str">
        <v/>
      </c>
      <c r="P167" t="str">
        <v/>
      </c>
      <c r="Q167" t="str">
        <f ca="1"/>
        <v/>
      </c>
      <c r="R167" t="str">
        <f ca="1"/>
        <v/>
      </c>
      <c r="Z167" t="str">
        <f ca="1"/>
        <v/>
      </c>
      <c r="AA167" t="str">
        <f ca="1"/>
        <v/>
      </c>
      <c r="AB167" t="str">
        <f ca="1"/>
        <v/>
      </c>
      <c r="AC167" t="str">
        <f ca="1"/>
        <v/>
      </c>
      <c r="AD167" t="str">
        <f ca="1"/>
        <v/>
      </c>
      <c r="AE167" t="str">
        <f ca="1"/>
        <v/>
      </c>
      <c r="AF167" t="str">
        <f ca="1"/>
        <v/>
      </c>
      <c r="AG167" t="str">
        <f ca="1"/>
        <v/>
      </c>
      <c r="AH167" t="str">
        <f ca="1"/>
        <v/>
      </c>
      <c r="AI167" t="str">
        <f ca="1"/>
        <v/>
      </c>
      <c r="AJ167" t="str">
        <f ca="1"/>
        <v/>
      </c>
      <c r="AK167" t="str">
        <f ca="1"/>
        <v/>
      </c>
      <c r="AL167" t="str">
        <f ca="1"/>
        <v/>
      </c>
      <c r="AM167" t="str">
        <f ca="1"/>
        <v/>
      </c>
    </row>
    <row r="168" spans="6:39" x14ac:dyDescent="0.55000000000000004">
      <c r="F168">
        <f t="shared" si="9"/>
        <v>8</v>
      </c>
      <c r="G168" t="str">
        <f t="shared" si="10"/>
        <v>8</v>
      </c>
      <c r="H168">
        <f>COUNTIF(G$3:G168,G168)</f>
        <v>96</v>
      </c>
      <c r="I168" t="str">
        <v/>
      </c>
      <c r="J168" t="str">
        <v/>
      </c>
      <c r="K168" t="str">
        <f ca="1"/>
        <v/>
      </c>
      <c r="L168" t="str">
        <f ca="1"/>
        <v/>
      </c>
      <c r="N168" t="str">
        <f ca="1"/>
        <v/>
      </c>
      <c r="O168" t="str">
        <v/>
      </c>
      <c r="P168" t="str">
        <v/>
      </c>
      <c r="Q168" t="str">
        <f ca="1"/>
        <v/>
      </c>
      <c r="R168" t="str">
        <f ca="1"/>
        <v/>
      </c>
      <c r="Z168" t="str">
        <f ca="1"/>
        <v/>
      </c>
      <c r="AA168" t="str">
        <f ca="1"/>
        <v/>
      </c>
      <c r="AB168" t="str">
        <f ca="1"/>
        <v/>
      </c>
      <c r="AC168" t="str">
        <f ca="1"/>
        <v/>
      </c>
      <c r="AD168" t="str">
        <f ca="1"/>
        <v/>
      </c>
      <c r="AE168" t="str">
        <f ca="1"/>
        <v/>
      </c>
      <c r="AF168" t="str">
        <f ca="1"/>
        <v/>
      </c>
      <c r="AG168" t="str">
        <f ca="1"/>
        <v/>
      </c>
      <c r="AH168" t="str">
        <f ca="1"/>
        <v/>
      </c>
      <c r="AI168" t="str">
        <f ca="1"/>
        <v/>
      </c>
      <c r="AJ168" t="str">
        <f ca="1"/>
        <v/>
      </c>
      <c r="AK168" t="str">
        <f ca="1"/>
        <v/>
      </c>
      <c r="AL168" t="str">
        <f ca="1"/>
        <v/>
      </c>
      <c r="AM168" t="str">
        <f ca="1"/>
        <v/>
      </c>
    </row>
    <row r="169" spans="6:39" x14ac:dyDescent="0.55000000000000004">
      <c r="F169">
        <f t="shared" si="9"/>
        <v>8</v>
      </c>
      <c r="G169" t="str">
        <f t="shared" si="10"/>
        <v>8</v>
      </c>
      <c r="H169">
        <f>COUNTIF(G$3:G169,G169)</f>
        <v>97</v>
      </c>
      <c r="I169" t="str">
        <v/>
      </c>
      <c r="J169" t="str">
        <v/>
      </c>
      <c r="K169" t="str">
        <f ca="1"/>
        <v/>
      </c>
      <c r="L169" t="str">
        <f ca="1"/>
        <v/>
      </c>
      <c r="N169" t="str">
        <f ca="1"/>
        <v/>
      </c>
      <c r="O169" t="str">
        <v/>
      </c>
      <c r="P169" t="str">
        <v/>
      </c>
      <c r="Q169" t="str">
        <f ca="1"/>
        <v/>
      </c>
      <c r="R169" t="str">
        <f ca="1"/>
        <v/>
      </c>
      <c r="Z169" t="str">
        <f ca="1"/>
        <v/>
      </c>
      <c r="AA169" t="str">
        <f ca="1"/>
        <v/>
      </c>
      <c r="AB169" t="str">
        <f ca="1"/>
        <v/>
      </c>
      <c r="AC169" t="str">
        <f ca="1"/>
        <v/>
      </c>
      <c r="AD169" t="str">
        <f ca="1"/>
        <v/>
      </c>
      <c r="AE169" t="str">
        <f ca="1"/>
        <v/>
      </c>
      <c r="AF169" t="str">
        <f ca="1"/>
        <v/>
      </c>
      <c r="AG169" t="str">
        <f ca="1"/>
        <v/>
      </c>
      <c r="AH169" t="str">
        <f ca="1"/>
        <v/>
      </c>
      <c r="AI169" t="str">
        <f ca="1"/>
        <v/>
      </c>
      <c r="AJ169" t="str">
        <f ca="1"/>
        <v/>
      </c>
      <c r="AK169" t="str">
        <f ca="1"/>
        <v/>
      </c>
      <c r="AL169" t="str">
        <f ca="1"/>
        <v/>
      </c>
      <c r="AM169" t="str">
        <f ca="1"/>
        <v/>
      </c>
    </row>
    <row r="170" spans="6:39" x14ac:dyDescent="0.55000000000000004">
      <c r="F170">
        <f t="shared" si="9"/>
        <v>8</v>
      </c>
      <c r="G170" t="str">
        <f t="shared" si="10"/>
        <v>8</v>
      </c>
      <c r="H170">
        <f>COUNTIF(G$3:G170,G170)</f>
        <v>98</v>
      </c>
      <c r="I170" t="str">
        <v/>
      </c>
      <c r="J170" t="str">
        <v/>
      </c>
      <c r="K170" t="str">
        <f ca="1"/>
        <v/>
      </c>
      <c r="L170" t="str">
        <f ca="1"/>
        <v/>
      </c>
      <c r="N170" t="str">
        <f ca="1"/>
        <v/>
      </c>
      <c r="O170" t="str">
        <v/>
      </c>
      <c r="P170" t="str">
        <v/>
      </c>
      <c r="Q170" t="str">
        <f ca="1"/>
        <v/>
      </c>
      <c r="R170" t="str">
        <f ca="1"/>
        <v/>
      </c>
      <c r="Z170" t="str">
        <f ca="1"/>
        <v/>
      </c>
      <c r="AA170" t="str">
        <f ca="1"/>
        <v/>
      </c>
      <c r="AB170" t="str">
        <f ca="1"/>
        <v/>
      </c>
      <c r="AC170" t="str">
        <f ca="1"/>
        <v/>
      </c>
      <c r="AD170" t="str">
        <f ca="1"/>
        <v/>
      </c>
      <c r="AE170" t="str">
        <f ca="1"/>
        <v/>
      </c>
      <c r="AF170" t="str">
        <f ca="1"/>
        <v/>
      </c>
      <c r="AG170" t="str">
        <f ca="1"/>
        <v/>
      </c>
      <c r="AH170" t="str">
        <f ca="1"/>
        <v/>
      </c>
      <c r="AI170" t="str">
        <f ca="1"/>
        <v/>
      </c>
      <c r="AJ170" t="str">
        <f ca="1"/>
        <v/>
      </c>
      <c r="AK170" t="str">
        <f ca="1"/>
        <v/>
      </c>
      <c r="AL170" t="str">
        <f ca="1"/>
        <v/>
      </c>
      <c r="AM170" t="str">
        <f ca="1"/>
        <v/>
      </c>
    </row>
    <row r="171" spans="6:39" x14ac:dyDescent="0.55000000000000004">
      <c r="F171">
        <f t="shared" si="9"/>
        <v>8</v>
      </c>
      <c r="G171" t="str">
        <f t="shared" si="10"/>
        <v>8</v>
      </c>
      <c r="H171">
        <f>COUNTIF(G$3:G171,G171)</f>
        <v>99</v>
      </c>
      <c r="I171" t="str">
        <v/>
      </c>
      <c r="J171" t="str">
        <v/>
      </c>
      <c r="K171" t="str">
        <f ca="1"/>
        <v/>
      </c>
      <c r="L171" t="str">
        <f ca="1"/>
        <v/>
      </c>
      <c r="N171" t="str">
        <f ca="1"/>
        <v/>
      </c>
      <c r="O171" t="str">
        <v/>
      </c>
      <c r="P171" t="str">
        <v/>
      </c>
      <c r="Q171" t="str">
        <f ca="1"/>
        <v/>
      </c>
      <c r="R171" t="str">
        <f ca="1"/>
        <v/>
      </c>
      <c r="Z171" t="str">
        <f ca="1"/>
        <v/>
      </c>
      <c r="AA171" t="str">
        <f ca="1"/>
        <v/>
      </c>
      <c r="AB171" t="str">
        <f ca="1"/>
        <v/>
      </c>
      <c r="AC171" t="str">
        <f ca="1"/>
        <v/>
      </c>
      <c r="AD171" t="str">
        <f ca="1"/>
        <v/>
      </c>
      <c r="AE171" t="str">
        <f ca="1"/>
        <v/>
      </c>
      <c r="AF171" t="str">
        <f ca="1"/>
        <v/>
      </c>
      <c r="AG171" t="str">
        <f ca="1"/>
        <v/>
      </c>
      <c r="AH171" t="str">
        <f ca="1"/>
        <v/>
      </c>
      <c r="AI171" t="str">
        <f ca="1"/>
        <v/>
      </c>
      <c r="AJ171" t="str">
        <f ca="1"/>
        <v/>
      </c>
      <c r="AK171" t="str">
        <f ca="1"/>
        <v/>
      </c>
      <c r="AL171" t="str">
        <f ca="1"/>
        <v/>
      </c>
      <c r="AM171" t="str">
        <f ca="1"/>
        <v/>
      </c>
    </row>
    <row r="172" spans="6:39" x14ac:dyDescent="0.55000000000000004">
      <c r="F172">
        <f t="shared" si="9"/>
        <v>8</v>
      </c>
      <c r="G172" t="str">
        <f t="shared" si="10"/>
        <v>8</v>
      </c>
      <c r="H172">
        <f>COUNTIF(G$3:G172,G172)</f>
        <v>100</v>
      </c>
      <c r="I172" t="str">
        <v/>
      </c>
      <c r="J172" t="str">
        <v/>
      </c>
      <c r="K172" t="str">
        <f ca="1"/>
        <v/>
      </c>
      <c r="L172" t="str">
        <f ca="1"/>
        <v/>
      </c>
      <c r="N172" t="str">
        <f ca="1"/>
        <v/>
      </c>
      <c r="O172" t="str">
        <v/>
      </c>
      <c r="P172" t="str">
        <v/>
      </c>
      <c r="Q172" t="str">
        <f ca="1"/>
        <v/>
      </c>
      <c r="R172" t="str">
        <f ca="1"/>
        <v/>
      </c>
      <c r="Z172" t="str">
        <f ca="1"/>
        <v/>
      </c>
      <c r="AA172" t="str">
        <f ca="1"/>
        <v/>
      </c>
      <c r="AB172" t="str">
        <f ca="1"/>
        <v/>
      </c>
      <c r="AC172" t="str">
        <f ca="1"/>
        <v/>
      </c>
      <c r="AD172" t="str">
        <f ca="1"/>
        <v/>
      </c>
      <c r="AE172" t="str">
        <f ca="1"/>
        <v/>
      </c>
      <c r="AF172" t="str">
        <f ca="1"/>
        <v/>
      </c>
      <c r="AG172" t="str">
        <f ca="1"/>
        <v/>
      </c>
      <c r="AH172" t="str">
        <f ca="1"/>
        <v/>
      </c>
      <c r="AI172" t="str">
        <f ca="1"/>
        <v/>
      </c>
      <c r="AJ172" t="str">
        <f ca="1"/>
        <v/>
      </c>
      <c r="AK172" t="str">
        <f ca="1"/>
        <v/>
      </c>
      <c r="AL172" t="str">
        <f ca="1"/>
        <v/>
      </c>
      <c r="AM172" t="str">
        <f ca="1"/>
        <v/>
      </c>
    </row>
    <row r="173" spans="6:39" x14ac:dyDescent="0.55000000000000004">
      <c r="F173">
        <f t="shared" si="9"/>
        <v>8</v>
      </c>
      <c r="G173" t="str">
        <f t="shared" si="10"/>
        <v>8</v>
      </c>
      <c r="H173">
        <f>COUNTIF(G$3:G173,G173)</f>
        <v>101</v>
      </c>
      <c r="I173" t="str">
        <v/>
      </c>
      <c r="J173" t="str">
        <v/>
      </c>
      <c r="K173" t="str">
        <f ca="1"/>
        <v/>
      </c>
      <c r="L173" t="str">
        <f ca="1"/>
        <v/>
      </c>
      <c r="N173" t="str">
        <f ca="1"/>
        <v/>
      </c>
      <c r="O173" t="str">
        <v/>
      </c>
      <c r="P173" t="str">
        <v/>
      </c>
      <c r="Q173" t="str">
        <f ca="1"/>
        <v/>
      </c>
      <c r="R173" t="str">
        <f ca="1"/>
        <v/>
      </c>
      <c r="Z173" t="str">
        <f ca="1"/>
        <v/>
      </c>
      <c r="AA173" t="str">
        <f ca="1"/>
        <v/>
      </c>
      <c r="AB173" t="str">
        <f ca="1"/>
        <v/>
      </c>
      <c r="AC173" t="str">
        <f ca="1"/>
        <v/>
      </c>
      <c r="AD173" t="str">
        <f ca="1"/>
        <v/>
      </c>
      <c r="AE173" t="str">
        <f ca="1"/>
        <v/>
      </c>
      <c r="AF173" t="str">
        <f ca="1"/>
        <v/>
      </c>
      <c r="AG173" t="str">
        <f ca="1"/>
        <v/>
      </c>
      <c r="AH173" t="str">
        <f ca="1"/>
        <v/>
      </c>
      <c r="AI173" t="str">
        <f ca="1"/>
        <v/>
      </c>
      <c r="AJ173" t="str">
        <f ca="1"/>
        <v/>
      </c>
      <c r="AK173" t="str">
        <f ca="1"/>
        <v/>
      </c>
      <c r="AL173" t="str">
        <f ca="1"/>
        <v/>
      </c>
      <c r="AM173" t="str">
        <f ca="1"/>
        <v/>
      </c>
    </row>
    <row r="174" spans="6:39" x14ac:dyDescent="0.55000000000000004">
      <c r="F174">
        <f t="shared" si="9"/>
        <v>8</v>
      </c>
      <c r="G174" t="str">
        <f t="shared" si="10"/>
        <v>8</v>
      </c>
      <c r="H174">
        <f>COUNTIF(G$3:G174,G174)</f>
        <v>102</v>
      </c>
      <c r="I174" t="str">
        <v/>
      </c>
      <c r="J174" t="str">
        <v/>
      </c>
      <c r="K174" t="str">
        <f ca="1"/>
        <v/>
      </c>
      <c r="L174" t="str">
        <f ca="1"/>
        <v/>
      </c>
      <c r="N174" t="str">
        <f ca="1"/>
        <v/>
      </c>
      <c r="O174" t="str">
        <v/>
      </c>
      <c r="P174" t="str">
        <v/>
      </c>
      <c r="Q174" t="str">
        <f ca="1"/>
        <v/>
      </c>
      <c r="R174" t="str">
        <f ca="1"/>
        <v/>
      </c>
      <c r="Z174" t="str">
        <f ca="1"/>
        <v/>
      </c>
      <c r="AA174" t="str">
        <f ca="1"/>
        <v/>
      </c>
      <c r="AB174" t="str">
        <f ca="1"/>
        <v/>
      </c>
      <c r="AC174" t="str">
        <f ca="1"/>
        <v/>
      </c>
      <c r="AD174" t="str">
        <f ca="1"/>
        <v/>
      </c>
      <c r="AE174" t="str">
        <f ca="1"/>
        <v/>
      </c>
      <c r="AF174" t="str">
        <f ca="1"/>
        <v/>
      </c>
      <c r="AG174" t="str">
        <f ca="1"/>
        <v/>
      </c>
      <c r="AH174" t="str">
        <f ca="1"/>
        <v/>
      </c>
      <c r="AI174" t="str">
        <f ca="1"/>
        <v/>
      </c>
      <c r="AJ174" t="str">
        <f ca="1"/>
        <v/>
      </c>
      <c r="AK174" t="str">
        <f ca="1"/>
        <v/>
      </c>
      <c r="AL174" t="str">
        <f ca="1"/>
        <v/>
      </c>
      <c r="AM174" t="str">
        <f ca="1"/>
        <v/>
      </c>
    </row>
    <row r="175" spans="6:39" x14ac:dyDescent="0.55000000000000004">
      <c r="F175">
        <f t="shared" si="9"/>
        <v>8</v>
      </c>
      <c r="G175" t="str">
        <f t="shared" si="10"/>
        <v>8</v>
      </c>
      <c r="H175">
        <f>COUNTIF(G$3:G175,G175)</f>
        <v>103</v>
      </c>
      <c r="I175" t="str">
        <v/>
      </c>
      <c r="J175" t="str">
        <v/>
      </c>
      <c r="K175" t="str">
        <f ca="1"/>
        <v/>
      </c>
      <c r="L175" t="str">
        <f ca="1"/>
        <v/>
      </c>
      <c r="N175" t="str">
        <f ca="1"/>
        <v/>
      </c>
      <c r="O175" t="str">
        <v/>
      </c>
      <c r="P175" t="str">
        <v/>
      </c>
      <c r="Q175" t="str">
        <f ca="1"/>
        <v/>
      </c>
      <c r="R175" t="str">
        <f ca="1"/>
        <v/>
      </c>
      <c r="Z175" t="str">
        <f ca="1"/>
        <v/>
      </c>
      <c r="AA175" t="str">
        <f ca="1"/>
        <v/>
      </c>
      <c r="AB175" t="str">
        <f ca="1"/>
        <v/>
      </c>
      <c r="AC175" t="str">
        <f ca="1"/>
        <v/>
      </c>
      <c r="AD175" t="str">
        <f ca="1"/>
        <v/>
      </c>
      <c r="AE175" t="str">
        <f ca="1"/>
        <v/>
      </c>
      <c r="AF175" t="str">
        <f ca="1"/>
        <v/>
      </c>
      <c r="AG175" t="str">
        <f ca="1"/>
        <v/>
      </c>
      <c r="AH175" t="str">
        <f ca="1"/>
        <v/>
      </c>
      <c r="AI175" t="str">
        <f ca="1"/>
        <v/>
      </c>
      <c r="AJ175" t="str">
        <f ca="1"/>
        <v/>
      </c>
      <c r="AK175" t="str">
        <f ca="1"/>
        <v/>
      </c>
      <c r="AL175" t="str">
        <f ca="1"/>
        <v/>
      </c>
      <c r="AM175" t="str">
        <f ca="1"/>
        <v/>
      </c>
    </row>
    <row r="176" spans="6:39" x14ac:dyDescent="0.55000000000000004">
      <c r="F176">
        <f t="shared" si="9"/>
        <v>8</v>
      </c>
      <c r="G176" t="str">
        <f t="shared" si="10"/>
        <v>8</v>
      </c>
      <c r="H176">
        <f>COUNTIF(G$3:G176,G176)</f>
        <v>104</v>
      </c>
      <c r="I176" t="str">
        <v/>
      </c>
      <c r="J176" t="str">
        <v/>
      </c>
      <c r="K176" t="str">
        <f ca="1"/>
        <v/>
      </c>
      <c r="L176" t="str">
        <f ca="1"/>
        <v/>
      </c>
      <c r="N176" t="str">
        <f ca="1"/>
        <v/>
      </c>
      <c r="O176" t="str">
        <v/>
      </c>
      <c r="P176" t="str">
        <v/>
      </c>
      <c r="Q176" t="str">
        <f ca="1"/>
        <v/>
      </c>
      <c r="R176" t="str">
        <f ca="1"/>
        <v/>
      </c>
      <c r="Z176" t="str">
        <f ca="1"/>
        <v/>
      </c>
      <c r="AA176" t="str">
        <f ca="1"/>
        <v/>
      </c>
      <c r="AB176" t="str">
        <f ca="1"/>
        <v/>
      </c>
      <c r="AC176" t="str">
        <f ca="1"/>
        <v/>
      </c>
      <c r="AD176" t="str">
        <f ca="1"/>
        <v/>
      </c>
      <c r="AE176" t="str">
        <f ca="1"/>
        <v/>
      </c>
      <c r="AF176" t="str">
        <f ca="1"/>
        <v/>
      </c>
      <c r="AG176" t="str">
        <f ca="1"/>
        <v/>
      </c>
      <c r="AH176" t="str">
        <f ca="1"/>
        <v/>
      </c>
      <c r="AI176" t="str">
        <f ca="1"/>
        <v/>
      </c>
      <c r="AJ176" t="str">
        <f ca="1"/>
        <v/>
      </c>
      <c r="AK176" t="str">
        <f ca="1"/>
        <v/>
      </c>
      <c r="AL176" t="str">
        <f ca="1"/>
        <v/>
      </c>
      <c r="AM176" t="str">
        <f ca="1"/>
        <v/>
      </c>
    </row>
    <row r="177" spans="6:39" x14ac:dyDescent="0.55000000000000004">
      <c r="F177">
        <f t="shared" si="9"/>
        <v>8</v>
      </c>
      <c r="G177" t="str">
        <f t="shared" si="10"/>
        <v>8</v>
      </c>
      <c r="H177">
        <f>COUNTIF(G$3:G177,G177)</f>
        <v>105</v>
      </c>
      <c r="I177" t="str">
        <v/>
      </c>
      <c r="J177" t="str">
        <v/>
      </c>
      <c r="K177" t="str">
        <f ca="1"/>
        <v/>
      </c>
      <c r="L177" t="str">
        <f ca="1"/>
        <v/>
      </c>
      <c r="N177" t="str">
        <f ca="1"/>
        <v/>
      </c>
      <c r="O177" t="str">
        <v/>
      </c>
      <c r="P177" t="str">
        <v/>
      </c>
      <c r="Q177" t="str">
        <f ca="1"/>
        <v/>
      </c>
      <c r="R177" t="str">
        <f ca="1"/>
        <v/>
      </c>
      <c r="Z177" t="str">
        <f ca="1"/>
        <v/>
      </c>
      <c r="AA177" t="str">
        <f ca="1"/>
        <v/>
      </c>
      <c r="AB177" t="str">
        <f ca="1"/>
        <v/>
      </c>
      <c r="AC177" t="str">
        <f ca="1"/>
        <v/>
      </c>
      <c r="AD177" t="str">
        <f ca="1"/>
        <v/>
      </c>
      <c r="AE177" t="str">
        <f ca="1"/>
        <v/>
      </c>
      <c r="AF177" t="str">
        <f ca="1"/>
        <v/>
      </c>
      <c r="AG177" t="str">
        <f ca="1"/>
        <v/>
      </c>
      <c r="AH177" t="str">
        <f ca="1"/>
        <v/>
      </c>
      <c r="AI177" t="str">
        <f ca="1"/>
        <v/>
      </c>
      <c r="AJ177" t="str">
        <f ca="1"/>
        <v/>
      </c>
      <c r="AK177" t="str">
        <f ca="1"/>
        <v/>
      </c>
      <c r="AL177" t="str">
        <f ca="1"/>
        <v/>
      </c>
      <c r="AM177" t="str">
        <f ca="1"/>
        <v/>
      </c>
    </row>
    <row r="178" spans="6:39" x14ac:dyDescent="0.55000000000000004">
      <c r="F178">
        <f t="shared" si="9"/>
        <v>8</v>
      </c>
      <c r="G178" t="str">
        <f t="shared" si="10"/>
        <v>8</v>
      </c>
      <c r="H178">
        <f>COUNTIF(G$3:G178,G178)</f>
        <v>106</v>
      </c>
      <c r="I178" t="str">
        <v/>
      </c>
      <c r="J178" t="str">
        <v/>
      </c>
      <c r="K178" t="str">
        <f ca="1"/>
        <v/>
      </c>
      <c r="L178" t="str">
        <f ca="1"/>
        <v/>
      </c>
      <c r="N178" t="str">
        <f ca="1"/>
        <v/>
      </c>
      <c r="O178" t="str">
        <v/>
      </c>
      <c r="P178" t="str">
        <v/>
      </c>
      <c r="Q178" t="str">
        <f ca="1"/>
        <v/>
      </c>
      <c r="R178" t="str">
        <f ca="1"/>
        <v/>
      </c>
      <c r="Z178" t="str">
        <f ca="1"/>
        <v/>
      </c>
      <c r="AA178" t="str">
        <f ca="1"/>
        <v/>
      </c>
      <c r="AB178" t="str">
        <f ca="1"/>
        <v/>
      </c>
      <c r="AC178" t="str">
        <f ca="1"/>
        <v/>
      </c>
      <c r="AD178" t="str">
        <f ca="1"/>
        <v/>
      </c>
      <c r="AE178" t="str">
        <f ca="1"/>
        <v/>
      </c>
      <c r="AF178" t="str">
        <f ca="1"/>
        <v/>
      </c>
      <c r="AG178" t="str">
        <f ca="1"/>
        <v/>
      </c>
      <c r="AH178" t="str">
        <f ca="1"/>
        <v/>
      </c>
      <c r="AI178" t="str">
        <f ca="1"/>
        <v/>
      </c>
      <c r="AJ178" t="str">
        <f ca="1"/>
        <v/>
      </c>
      <c r="AK178" t="str">
        <f ca="1"/>
        <v/>
      </c>
      <c r="AL178" t="str">
        <f ca="1"/>
        <v/>
      </c>
      <c r="AM178" t="str">
        <f ca="1"/>
        <v/>
      </c>
    </row>
    <row r="179" spans="6:39" x14ac:dyDescent="0.55000000000000004">
      <c r="F179">
        <f t="shared" si="9"/>
        <v>8</v>
      </c>
      <c r="G179" t="str">
        <f t="shared" si="10"/>
        <v>8</v>
      </c>
      <c r="H179">
        <f>COUNTIF(G$3:G179,G179)</f>
        <v>107</v>
      </c>
      <c r="I179" t="str">
        <v/>
      </c>
      <c r="J179" t="str">
        <v/>
      </c>
      <c r="K179" t="str">
        <f ca="1"/>
        <v/>
      </c>
      <c r="L179" t="str">
        <f ca="1"/>
        <v/>
      </c>
      <c r="N179" t="str">
        <f ca="1"/>
        <v/>
      </c>
      <c r="O179" t="str">
        <v/>
      </c>
      <c r="P179" t="str">
        <v/>
      </c>
      <c r="Q179" t="str">
        <f ca="1"/>
        <v/>
      </c>
      <c r="R179" t="str">
        <f ca="1"/>
        <v/>
      </c>
      <c r="Z179" t="str">
        <f ca="1"/>
        <v/>
      </c>
      <c r="AA179" t="str">
        <f ca="1"/>
        <v/>
      </c>
      <c r="AB179" t="str">
        <f ca="1"/>
        <v/>
      </c>
      <c r="AC179" t="str">
        <f ca="1"/>
        <v/>
      </c>
      <c r="AD179" t="str">
        <f ca="1"/>
        <v/>
      </c>
      <c r="AE179" t="str">
        <f ca="1"/>
        <v/>
      </c>
      <c r="AF179" t="str">
        <f ca="1"/>
        <v/>
      </c>
      <c r="AG179" t="str">
        <f ca="1"/>
        <v/>
      </c>
      <c r="AH179" t="str">
        <f ca="1"/>
        <v/>
      </c>
      <c r="AI179" t="str">
        <f ca="1"/>
        <v/>
      </c>
      <c r="AJ179" t="str">
        <f ca="1"/>
        <v/>
      </c>
      <c r="AK179" t="str">
        <f ca="1"/>
        <v/>
      </c>
      <c r="AL179" t="str">
        <f ca="1"/>
        <v/>
      </c>
      <c r="AM179" t="str">
        <f ca="1"/>
        <v/>
      </c>
    </row>
    <row r="180" spans="6:39" x14ac:dyDescent="0.55000000000000004">
      <c r="F180">
        <f t="shared" si="9"/>
        <v>8</v>
      </c>
      <c r="G180" t="str">
        <f t="shared" si="10"/>
        <v>8</v>
      </c>
      <c r="H180">
        <f>COUNTIF(G$3:G180,G180)</f>
        <v>108</v>
      </c>
      <c r="I180" t="str">
        <v/>
      </c>
      <c r="J180" t="str">
        <v/>
      </c>
      <c r="K180" t="str">
        <f ca="1"/>
        <v/>
      </c>
      <c r="L180" t="str">
        <f ca="1"/>
        <v/>
      </c>
      <c r="N180" t="str">
        <f ca="1"/>
        <v/>
      </c>
      <c r="O180" t="str">
        <v/>
      </c>
      <c r="P180" t="str">
        <v/>
      </c>
      <c r="Q180" t="str">
        <f ca="1"/>
        <v/>
      </c>
      <c r="R180" t="str">
        <f ca="1"/>
        <v/>
      </c>
      <c r="Z180" t="str">
        <f ca="1"/>
        <v/>
      </c>
      <c r="AA180" t="str">
        <f ca="1"/>
        <v/>
      </c>
      <c r="AB180" t="str">
        <f ca="1"/>
        <v/>
      </c>
      <c r="AC180" t="str">
        <f ca="1"/>
        <v/>
      </c>
      <c r="AD180" t="str">
        <f ca="1"/>
        <v/>
      </c>
      <c r="AE180" t="str">
        <f ca="1"/>
        <v/>
      </c>
      <c r="AF180" t="str">
        <f ca="1"/>
        <v/>
      </c>
      <c r="AG180" t="str">
        <f ca="1"/>
        <v/>
      </c>
      <c r="AH180" t="str">
        <f ca="1"/>
        <v/>
      </c>
      <c r="AI180" t="str">
        <f ca="1"/>
        <v/>
      </c>
      <c r="AJ180" t="str">
        <f ca="1"/>
        <v/>
      </c>
      <c r="AK180" t="str">
        <f ca="1"/>
        <v/>
      </c>
      <c r="AL180" t="str">
        <f ca="1"/>
        <v/>
      </c>
      <c r="AM180" t="str">
        <f ca="1"/>
        <v/>
      </c>
    </row>
    <row r="181" spans="6:39" x14ac:dyDescent="0.55000000000000004">
      <c r="F181">
        <f t="shared" si="9"/>
        <v>8</v>
      </c>
      <c r="G181" t="str">
        <f t="shared" si="10"/>
        <v>8</v>
      </c>
      <c r="H181">
        <f>COUNTIF(G$3:G181,G181)</f>
        <v>109</v>
      </c>
      <c r="I181" t="str">
        <v/>
      </c>
      <c r="J181" t="str">
        <v/>
      </c>
      <c r="K181" t="str">
        <f ca="1"/>
        <v/>
      </c>
      <c r="L181" t="str">
        <f ca="1"/>
        <v/>
      </c>
      <c r="N181" t="str">
        <f ca="1"/>
        <v/>
      </c>
      <c r="O181" t="str">
        <v/>
      </c>
      <c r="P181" t="str">
        <v/>
      </c>
      <c r="Q181" t="str">
        <f ca="1"/>
        <v/>
      </c>
      <c r="R181" t="str">
        <f ca="1"/>
        <v/>
      </c>
      <c r="Z181" t="str">
        <f ca="1"/>
        <v/>
      </c>
      <c r="AA181" t="str">
        <f ca="1"/>
        <v/>
      </c>
      <c r="AB181" t="str">
        <f ca="1"/>
        <v/>
      </c>
      <c r="AC181" t="str">
        <f ca="1"/>
        <v/>
      </c>
      <c r="AD181" t="str">
        <f ca="1"/>
        <v/>
      </c>
      <c r="AE181" t="str">
        <f ca="1"/>
        <v/>
      </c>
      <c r="AF181" t="str">
        <f ca="1"/>
        <v/>
      </c>
      <c r="AG181" t="str">
        <f ca="1"/>
        <v/>
      </c>
      <c r="AH181" t="str">
        <f ca="1"/>
        <v/>
      </c>
      <c r="AI181" t="str">
        <f ca="1"/>
        <v/>
      </c>
      <c r="AJ181" t="str">
        <f ca="1"/>
        <v/>
      </c>
      <c r="AK181" t="str">
        <f ca="1"/>
        <v/>
      </c>
      <c r="AL181" t="str">
        <f ca="1"/>
        <v/>
      </c>
      <c r="AM181" t="str">
        <f ca="1"/>
        <v/>
      </c>
    </row>
    <row r="182" spans="6:39" x14ac:dyDescent="0.55000000000000004">
      <c r="F182">
        <f t="shared" si="9"/>
        <v>8</v>
      </c>
      <c r="G182" t="str">
        <f t="shared" si="10"/>
        <v>8</v>
      </c>
      <c r="H182">
        <f>COUNTIF(G$3:G182,G182)</f>
        <v>110</v>
      </c>
      <c r="I182" t="str">
        <v/>
      </c>
      <c r="J182" t="str">
        <v/>
      </c>
      <c r="K182" t="str">
        <f ca="1"/>
        <v/>
      </c>
      <c r="L182" t="str">
        <f ca="1"/>
        <v/>
      </c>
      <c r="N182" t="str">
        <f ca="1"/>
        <v/>
      </c>
      <c r="O182" t="str">
        <v/>
      </c>
      <c r="P182" t="str">
        <v/>
      </c>
      <c r="Q182" t="str">
        <f ca="1"/>
        <v/>
      </c>
      <c r="R182" t="str">
        <f ca="1"/>
        <v/>
      </c>
      <c r="Z182" t="str">
        <f ca="1"/>
        <v/>
      </c>
      <c r="AA182" t="str">
        <f ca="1"/>
        <v/>
      </c>
      <c r="AB182" t="str">
        <f ca="1"/>
        <v/>
      </c>
      <c r="AC182" t="str">
        <f ca="1"/>
        <v/>
      </c>
      <c r="AD182" t="str">
        <f ca="1"/>
        <v/>
      </c>
      <c r="AE182" t="str">
        <f ca="1"/>
        <v/>
      </c>
      <c r="AF182" t="str">
        <f ca="1"/>
        <v/>
      </c>
      <c r="AG182" t="str">
        <f ca="1"/>
        <v/>
      </c>
      <c r="AH182" t="str">
        <f ca="1"/>
        <v/>
      </c>
      <c r="AI182" t="str">
        <f ca="1"/>
        <v/>
      </c>
      <c r="AJ182" t="str">
        <f ca="1"/>
        <v/>
      </c>
      <c r="AK182" t="str">
        <f ca="1"/>
        <v/>
      </c>
      <c r="AL182" t="str">
        <f ca="1"/>
        <v/>
      </c>
      <c r="AM182" t="str">
        <f ca="1"/>
        <v/>
      </c>
    </row>
    <row r="183" spans="6:39" x14ac:dyDescent="0.55000000000000004">
      <c r="F183">
        <f t="shared" si="9"/>
        <v>8</v>
      </c>
      <c r="G183" t="str">
        <f t="shared" si="10"/>
        <v>8</v>
      </c>
      <c r="H183">
        <f>COUNTIF(G$3:G183,G183)</f>
        <v>111</v>
      </c>
      <c r="I183" t="str">
        <v/>
      </c>
      <c r="J183" t="str">
        <v/>
      </c>
      <c r="K183" t="str">
        <f ca="1"/>
        <v/>
      </c>
      <c r="L183" t="str">
        <f ca="1"/>
        <v/>
      </c>
      <c r="N183" t="str">
        <f ca="1"/>
        <v/>
      </c>
      <c r="O183" t="str">
        <v/>
      </c>
      <c r="P183" t="str">
        <v/>
      </c>
      <c r="Q183" t="str">
        <f ca="1"/>
        <v/>
      </c>
      <c r="R183" t="str">
        <f ca="1"/>
        <v/>
      </c>
      <c r="Z183" t="str">
        <f ca="1"/>
        <v/>
      </c>
      <c r="AA183" t="str">
        <f ca="1"/>
        <v/>
      </c>
      <c r="AB183" t="str">
        <f ca="1"/>
        <v/>
      </c>
      <c r="AC183" t="str">
        <f ca="1"/>
        <v/>
      </c>
      <c r="AD183" t="str">
        <f ca="1"/>
        <v/>
      </c>
      <c r="AE183" t="str">
        <f ca="1"/>
        <v/>
      </c>
      <c r="AF183" t="str">
        <f ca="1"/>
        <v/>
      </c>
      <c r="AG183" t="str">
        <f ca="1"/>
        <v/>
      </c>
      <c r="AH183" t="str">
        <f ca="1"/>
        <v/>
      </c>
      <c r="AI183" t="str">
        <f ca="1"/>
        <v/>
      </c>
      <c r="AJ183" t="str">
        <f ca="1"/>
        <v/>
      </c>
      <c r="AK183" t="str">
        <f ca="1"/>
        <v/>
      </c>
      <c r="AL183" t="str">
        <f ca="1"/>
        <v/>
      </c>
      <c r="AM183" t="str">
        <f ca="1"/>
        <v/>
      </c>
    </row>
    <row r="184" spans="6:39" x14ac:dyDescent="0.55000000000000004">
      <c r="F184">
        <f t="shared" si="9"/>
        <v>8</v>
      </c>
      <c r="G184" t="str">
        <f t="shared" si="10"/>
        <v>8</v>
      </c>
      <c r="H184">
        <f>COUNTIF(G$3:G184,G184)</f>
        <v>112</v>
      </c>
      <c r="I184" t="str">
        <v/>
      </c>
      <c r="J184" t="str">
        <v/>
      </c>
      <c r="K184" t="str">
        <f ca="1"/>
        <v/>
      </c>
      <c r="L184" t="str">
        <f ca="1"/>
        <v/>
      </c>
      <c r="N184" t="str">
        <f ca="1"/>
        <v/>
      </c>
      <c r="O184" t="str">
        <v/>
      </c>
      <c r="P184" t="str">
        <v/>
      </c>
      <c r="Q184" t="str">
        <f ca="1"/>
        <v/>
      </c>
      <c r="R184" t="str">
        <f ca="1"/>
        <v/>
      </c>
      <c r="Z184" t="str">
        <f ca="1"/>
        <v/>
      </c>
      <c r="AA184" t="str">
        <f ca="1"/>
        <v/>
      </c>
      <c r="AB184" t="str">
        <f ca="1"/>
        <v/>
      </c>
      <c r="AC184" t="str">
        <f ca="1"/>
        <v/>
      </c>
      <c r="AD184" t="str">
        <f ca="1"/>
        <v/>
      </c>
      <c r="AE184" t="str">
        <f ca="1"/>
        <v/>
      </c>
      <c r="AF184" t="str">
        <f ca="1"/>
        <v/>
      </c>
      <c r="AG184" t="str">
        <f ca="1"/>
        <v/>
      </c>
      <c r="AH184" t="str">
        <f ca="1"/>
        <v/>
      </c>
      <c r="AI184" t="str">
        <f ca="1"/>
        <v/>
      </c>
      <c r="AJ184" t="str">
        <f ca="1"/>
        <v/>
      </c>
      <c r="AK184" t="str">
        <f ca="1"/>
        <v/>
      </c>
      <c r="AL184" t="str">
        <f ca="1"/>
        <v/>
      </c>
      <c r="AM184" t="str">
        <f ca="1"/>
        <v/>
      </c>
    </row>
    <row r="185" spans="6:39" x14ac:dyDescent="0.55000000000000004">
      <c r="F185">
        <f t="shared" si="9"/>
        <v>8</v>
      </c>
      <c r="G185" t="str">
        <f t="shared" si="10"/>
        <v>8</v>
      </c>
      <c r="H185">
        <f>COUNTIF(G$3:G185,G185)</f>
        <v>113</v>
      </c>
      <c r="I185" t="str">
        <v/>
      </c>
      <c r="J185" t="str">
        <v/>
      </c>
      <c r="K185" t="str">
        <f ca="1"/>
        <v/>
      </c>
      <c r="L185" t="str">
        <f ca="1"/>
        <v/>
      </c>
      <c r="N185" t="str">
        <f ca="1"/>
        <v/>
      </c>
      <c r="O185" t="str">
        <v/>
      </c>
      <c r="P185" t="str">
        <v/>
      </c>
      <c r="Q185" t="str">
        <f ca="1"/>
        <v/>
      </c>
      <c r="R185" t="str">
        <f ca="1"/>
        <v/>
      </c>
      <c r="Z185" t="str">
        <f ca="1"/>
        <v/>
      </c>
      <c r="AA185" t="str">
        <f ca="1"/>
        <v/>
      </c>
      <c r="AB185" t="str">
        <f ca="1"/>
        <v/>
      </c>
      <c r="AC185" t="str">
        <f ca="1"/>
        <v/>
      </c>
      <c r="AD185" t="str">
        <f ca="1"/>
        <v/>
      </c>
      <c r="AE185" t="str">
        <f ca="1"/>
        <v/>
      </c>
      <c r="AF185" t="str">
        <f ca="1"/>
        <v/>
      </c>
      <c r="AG185" t="str">
        <f ca="1"/>
        <v/>
      </c>
      <c r="AH185" t="str">
        <f ca="1"/>
        <v/>
      </c>
      <c r="AI185" t="str">
        <f ca="1"/>
        <v/>
      </c>
      <c r="AJ185" t="str">
        <f ca="1"/>
        <v/>
      </c>
      <c r="AK185" t="str">
        <f ca="1"/>
        <v/>
      </c>
      <c r="AL185" t="str">
        <f ca="1"/>
        <v/>
      </c>
      <c r="AM185" t="str">
        <f ca="1"/>
        <v/>
      </c>
    </row>
    <row r="186" spans="6:39" x14ac:dyDescent="0.55000000000000004">
      <c r="F186">
        <f t="shared" si="9"/>
        <v>8</v>
      </c>
      <c r="G186" t="str">
        <f t="shared" si="10"/>
        <v>8</v>
      </c>
      <c r="H186">
        <f>COUNTIF(G$3:G186,G186)</f>
        <v>114</v>
      </c>
      <c r="I186" t="str">
        <v/>
      </c>
      <c r="J186" t="str">
        <v/>
      </c>
      <c r="K186" t="str">
        <f ca="1"/>
        <v/>
      </c>
      <c r="L186" t="str">
        <f ca="1"/>
        <v/>
      </c>
      <c r="N186" t="str">
        <f ca="1"/>
        <v/>
      </c>
      <c r="O186" t="str">
        <v/>
      </c>
      <c r="P186" t="str">
        <v/>
      </c>
      <c r="Q186" t="str">
        <f ca="1"/>
        <v/>
      </c>
      <c r="R186" t="str">
        <f ca="1"/>
        <v/>
      </c>
      <c r="Z186" t="str">
        <f ca="1"/>
        <v/>
      </c>
      <c r="AA186" t="str">
        <f ca="1"/>
        <v/>
      </c>
      <c r="AB186" t="str">
        <f ca="1"/>
        <v/>
      </c>
      <c r="AC186" t="str">
        <f ca="1"/>
        <v/>
      </c>
      <c r="AD186" t="str">
        <f ca="1"/>
        <v/>
      </c>
      <c r="AE186" t="str">
        <f ca="1"/>
        <v/>
      </c>
      <c r="AF186" t="str">
        <f ca="1"/>
        <v/>
      </c>
      <c r="AG186" t="str">
        <f ca="1"/>
        <v/>
      </c>
      <c r="AH186" t="str">
        <f ca="1"/>
        <v/>
      </c>
      <c r="AI186" t="str">
        <f ca="1"/>
        <v/>
      </c>
      <c r="AJ186" t="str">
        <f ca="1"/>
        <v/>
      </c>
      <c r="AK186" t="str">
        <f ca="1"/>
        <v/>
      </c>
      <c r="AL186" t="str">
        <f ca="1"/>
        <v/>
      </c>
      <c r="AM186" t="str">
        <f ca="1"/>
        <v/>
      </c>
    </row>
    <row r="187" spans="6:39" x14ac:dyDescent="0.55000000000000004">
      <c r="F187">
        <f t="shared" si="9"/>
        <v>8</v>
      </c>
      <c r="G187" t="str">
        <f t="shared" si="10"/>
        <v>8</v>
      </c>
      <c r="H187">
        <f>COUNTIF(G$3:G187,G187)</f>
        <v>115</v>
      </c>
      <c r="I187" t="str">
        <v/>
      </c>
      <c r="J187" t="str">
        <v/>
      </c>
      <c r="K187" t="str">
        <f ca="1"/>
        <v/>
      </c>
      <c r="L187" t="str">
        <f ca="1"/>
        <v/>
      </c>
      <c r="N187" t="str">
        <f ca="1"/>
        <v/>
      </c>
      <c r="O187" t="str">
        <v/>
      </c>
      <c r="P187" t="str">
        <v/>
      </c>
      <c r="Q187" t="str">
        <f ca="1"/>
        <v/>
      </c>
      <c r="R187" t="str">
        <f ca="1"/>
        <v/>
      </c>
      <c r="Z187" t="str">
        <f ca="1"/>
        <v/>
      </c>
      <c r="AA187" t="str">
        <f ca="1"/>
        <v/>
      </c>
      <c r="AB187" t="str">
        <f ca="1"/>
        <v/>
      </c>
      <c r="AC187" t="str">
        <f ca="1"/>
        <v/>
      </c>
      <c r="AD187" t="str">
        <f ca="1"/>
        <v/>
      </c>
      <c r="AE187" t="str">
        <f ca="1"/>
        <v/>
      </c>
      <c r="AF187" t="str">
        <f ca="1"/>
        <v/>
      </c>
      <c r="AG187" t="str">
        <f ca="1"/>
        <v/>
      </c>
      <c r="AH187" t="str">
        <f ca="1"/>
        <v/>
      </c>
      <c r="AI187" t="str">
        <f ca="1"/>
        <v/>
      </c>
      <c r="AJ187" t="str">
        <f ca="1"/>
        <v/>
      </c>
      <c r="AK187" t="str">
        <f ca="1"/>
        <v/>
      </c>
      <c r="AL187" t="str">
        <f ca="1"/>
        <v/>
      </c>
      <c r="AM187" t="str">
        <f ca="1"/>
        <v/>
      </c>
    </row>
    <row r="188" spans="6:39" x14ac:dyDescent="0.55000000000000004">
      <c r="F188">
        <f t="shared" si="9"/>
        <v>8</v>
      </c>
      <c r="G188" t="str">
        <f t="shared" si="10"/>
        <v>8</v>
      </c>
      <c r="H188">
        <f>COUNTIF(G$3:G188,G188)</f>
        <v>116</v>
      </c>
      <c r="I188" t="str">
        <v/>
      </c>
      <c r="J188" t="str">
        <v/>
      </c>
      <c r="K188" t="str">
        <f ca="1"/>
        <v/>
      </c>
      <c r="L188" t="str">
        <f ca="1"/>
        <v/>
      </c>
      <c r="N188" t="str">
        <f ca="1"/>
        <v/>
      </c>
      <c r="O188" t="str">
        <v/>
      </c>
      <c r="P188" t="str">
        <v/>
      </c>
      <c r="Q188" t="str">
        <f ca="1"/>
        <v/>
      </c>
      <c r="R188" t="str">
        <f ca="1"/>
        <v/>
      </c>
      <c r="Z188" t="str">
        <f ca="1"/>
        <v/>
      </c>
      <c r="AA188" t="str">
        <f ca="1"/>
        <v/>
      </c>
      <c r="AB188" t="str">
        <f ca="1"/>
        <v/>
      </c>
      <c r="AC188" t="str">
        <f ca="1"/>
        <v/>
      </c>
      <c r="AD188" t="str">
        <f ca="1"/>
        <v/>
      </c>
      <c r="AE188" t="str">
        <f ca="1"/>
        <v/>
      </c>
      <c r="AF188" t="str">
        <f ca="1"/>
        <v/>
      </c>
      <c r="AG188" t="str">
        <f ca="1"/>
        <v/>
      </c>
      <c r="AH188" t="str">
        <f ca="1"/>
        <v/>
      </c>
      <c r="AI188" t="str">
        <f ca="1"/>
        <v/>
      </c>
      <c r="AJ188" t="str">
        <f ca="1"/>
        <v/>
      </c>
      <c r="AK188" t="str">
        <f ca="1"/>
        <v/>
      </c>
      <c r="AL188" t="str">
        <f ca="1"/>
        <v/>
      </c>
      <c r="AM188" t="str">
        <f ca="1"/>
        <v/>
      </c>
    </row>
    <row r="189" spans="6:39" x14ac:dyDescent="0.55000000000000004">
      <c r="F189">
        <f t="shared" si="9"/>
        <v>8</v>
      </c>
      <c r="G189" t="str">
        <f t="shared" si="10"/>
        <v>8</v>
      </c>
      <c r="H189">
        <f>COUNTIF(G$3:G189,G189)</f>
        <v>117</v>
      </c>
      <c r="I189" t="str">
        <v/>
      </c>
      <c r="J189" t="str">
        <v/>
      </c>
      <c r="K189" t="str">
        <f ca="1"/>
        <v/>
      </c>
      <c r="L189" t="str">
        <f ca="1"/>
        <v/>
      </c>
      <c r="N189" t="str">
        <f ca="1"/>
        <v/>
      </c>
      <c r="O189" t="str">
        <v/>
      </c>
      <c r="P189" t="str">
        <v/>
      </c>
      <c r="Q189" t="str">
        <f ca="1"/>
        <v/>
      </c>
      <c r="R189" t="str">
        <f ca="1"/>
        <v/>
      </c>
      <c r="Z189" t="str">
        <f ca="1"/>
        <v/>
      </c>
      <c r="AA189" t="str">
        <f ca="1"/>
        <v/>
      </c>
      <c r="AB189" t="str">
        <f ca="1"/>
        <v/>
      </c>
      <c r="AC189" t="str">
        <f ca="1"/>
        <v/>
      </c>
      <c r="AD189" t="str">
        <f ca="1"/>
        <v/>
      </c>
      <c r="AE189" t="str">
        <f ca="1"/>
        <v/>
      </c>
      <c r="AF189" t="str">
        <f ca="1"/>
        <v/>
      </c>
      <c r="AG189" t="str">
        <f ca="1"/>
        <v/>
      </c>
      <c r="AH189" t="str">
        <f ca="1"/>
        <v/>
      </c>
      <c r="AI189" t="str">
        <f ca="1"/>
        <v/>
      </c>
      <c r="AJ189" t="str">
        <f ca="1"/>
        <v/>
      </c>
      <c r="AK189" t="str">
        <f ca="1"/>
        <v/>
      </c>
      <c r="AL189" t="str">
        <f ca="1"/>
        <v/>
      </c>
      <c r="AM189" t="str">
        <f ca="1"/>
        <v/>
      </c>
    </row>
    <row r="190" spans="6:39" x14ac:dyDescent="0.55000000000000004">
      <c r="F190">
        <f t="shared" si="9"/>
        <v>8</v>
      </c>
      <c r="G190" t="str">
        <f t="shared" si="10"/>
        <v>8</v>
      </c>
      <c r="H190">
        <f>COUNTIF(G$3:G190,G190)</f>
        <v>118</v>
      </c>
      <c r="I190" t="str">
        <v/>
      </c>
      <c r="J190" t="str">
        <v/>
      </c>
      <c r="K190" t="str">
        <f ca="1"/>
        <v/>
      </c>
      <c r="L190" t="str">
        <f ca="1"/>
        <v/>
      </c>
      <c r="N190" t="str">
        <f ca="1"/>
        <v/>
      </c>
      <c r="O190" t="str">
        <v/>
      </c>
      <c r="P190" t="str">
        <v/>
      </c>
      <c r="Q190" t="str">
        <f ca="1"/>
        <v/>
      </c>
      <c r="R190" t="str">
        <f ca="1"/>
        <v/>
      </c>
      <c r="Z190" t="str">
        <f ca="1"/>
        <v/>
      </c>
      <c r="AA190" t="str">
        <f ca="1"/>
        <v/>
      </c>
      <c r="AB190" t="str">
        <f ca="1"/>
        <v/>
      </c>
      <c r="AC190" t="str">
        <f ca="1"/>
        <v/>
      </c>
      <c r="AD190" t="str">
        <f ca="1"/>
        <v/>
      </c>
      <c r="AE190" t="str">
        <f ca="1"/>
        <v/>
      </c>
      <c r="AF190" t="str">
        <f ca="1"/>
        <v/>
      </c>
      <c r="AG190" t="str">
        <f ca="1"/>
        <v/>
      </c>
      <c r="AH190" t="str">
        <f ca="1"/>
        <v/>
      </c>
      <c r="AI190" t="str">
        <f ca="1"/>
        <v/>
      </c>
      <c r="AJ190" t="str">
        <f ca="1"/>
        <v/>
      </c>
      <c r="AK190" t="str">
        <f ca="1"/>
        <v/>
      </c>
      <c r="AL190" t="str">
        <f ca="1"/>
        <v/>
      </c>
      <c r="AM190" t="str">
        <f ca="1"/>
        <v/>
      </c>
    </row>
    <row r="191" spans="6:39" x14ac:dyDescent="0.55000000000000004">
      <c r="F191">
        <f t="shared" si="9"/>
        <v>8</v>
      </c>
      <c r="G191" t="str">
        <f t="shared" si="10"/>
        <v>8</v>
      </c>
      <c r="H191">
        <f>COUNTIF(G$3:G191,G191)</f>
        <v>119</v>
      </c>
      <c r="I191" t="str">
        <v/>
      </c>
      <c r="J191" t="str">
        <v/>
      </c>
      <c r="K191" t="str">
        <f ca="1"/>
        <v/>
      </c>
      <c r="L191" t="str">
        <f ca="1"/>
        <v/>
      </c>
      <c r="N191" t="str">
        <f ca="1"/>
        <v/>
      </c>
      <c r="O191" t="str">
        <v/>
      </c>
      <c r="P191" t="str">
        <v/>
      </c>
      <c r="Q191" t="str">
        <f ca="1"/>
        <v/>
      </c>
      <c r="R191" t="str">
        <f ca="1"/>
        <v/>
      </c>
      <c r="Z191" t="str">
        <f ca="1"/>
        <v/>
      </c>
      <c r="AA191" t="str">
        <f ca="1"/>
        <v/>
      </c>
      <c r="AB191" t="str">
        <f ca="1"/>
        <v/>
      </c>
      <c r="AC191" t="str">
        <f ca="1"/>
        <v/>
      </c>
      <c r="AD191" t="str">
        <f ca="1"/>
        <v/>
      </c>
      <c r="AE191" t="str">
        <f ca="1"/>
        <v/>
      </c>
      <c r="AF191" t="str">
        <f ca="1"/>
        <v/>
      </c>
      <c r="AG191" t="str">
        <f ca="1"/>
        <v/>
      </c>
      <c r="AH191" t="str">
        <f ca="1"/>
        <v/>
      </c>
      <c r="AI191" t="str">
        <f ca="1"/>
        <v/>
      </c>
      <c r="AJ191" t="str">
        <f ca="1"/>
        <v/>
      </c>
      <c r="AK191" t="str">
        <f ca="1"/>
        <v/>
      </c>
      <c r="AL191" t="str">
        <f ca="1"/>
        <v/>
      </c>
      <c r="AM191" t="str">
        <f ca="1"/>
        <v/>
      </c>
    </row>
    <row r="192" spans="6:39" x14ac:dyDescent="0.55000000000000004">
      <c r="F192">
        <f t="shared" si="9"/>
        <v>8</v>
      </c>
      <c r="G192" t="str">
        <f t="shared" si="10"/>
        <v>8</v>
      </c>
      <c r="H192">
        <f>COUNTIF(G$3:G192,G192)</f>
        <v>120</v>
      </c>
      <c r="I192" t="str">
        <v/>
      </c>
      <c r="J192" t="str">
        <v/>
      </c>
      <c r="K192" t="str">
        <f ca="1"/>
        <v/>
      </c>
      <c r="L192" t="str">
        <f ca="1"/>
        <v/>
      </c>
      <c r="N192" t="str">
        <f ca="1"/>
        <v/>
      </c>
      <c r="O192" t="str">
        <v/>
      </c>
      <c r="P192" t="str">
        <v/>
      </c>
      <c r="Q192" t="str">
        <f ca="1"/>
        <v/>
      </c>
      <c r="R192" t="str">
        <f ca="1"/>
        <v/>
      </c>
      <c r="Z192" t="str">
        <f ca="1"/>
        <v/>
      </c>
      <c r="AA192" t="str">
        <f ca="1"/>
        <v/>
      </c>
      <c r="AB192" t="str">
        <f ca="1"/>
        <v/>
      </c>
      <c r="AC192" t="str">
        <f ca="1"/>
        <v/>
      </c>
      <c r="AD192" t="str">
        <f ca="1"/>
        <v/>
      </c>
      <c r="AE192" t="str">
        <f ca="1"/>
        <v/>
      </c>
      <c r="AF192" t="str">
        <f ca="1"/>
        <v/>
      </c>
      <c r="AG192" t="str">
        <f ca="1"/>
        <v/>
      </c>
      <c r="AH192" t="str">
        <f ca="1"/>
        <v/>
      </c>
      <c r="AI192" t="str">
        <f ca="1"/>
        <v/>
      </c>
      <c r="AJ192" t="str">
        <f ca="1"/>
        <v/>
      </c>
      <c r="AK192" t="str">
        <f ca="1"/>
        <v/>
      </c>
      <c r="AL192" t="str">
        <f ca="1"/>
        <v/>
      </c>
      <c r="AM192" t="str">
        <f ca="1"/>
        <v/>
      </c>
    </row>
    <row r="193" spans="6:39" x14ac:dyDescent="0.55000000000000004">
      <c r="F193">
        <f t="shared" si="9"/>
        <v>8</v>
      </c>
      <c r="G193" t="str">
        <f t="shared" si="10"/>
        <v>8</v>
      </c>
      <c r="H193">
        <f>COUNTIF(G$3:G193,G193)</f>
        <v>121</v>
      </c>
      <c r="I193" t="str">
        <v/>
      </c>
      <c r="J193" t="str">
        <v/>
      </c>
      <c r="K193" t="str">
        <f ca="1"/>
        <v/>
      </c>
      <c r="L193" t="str">
        <f ca="1"/>
        <v/>
      </c>
      <c r="N193" t="str">
        <f ca="1"/>
        <v/>
      </c>
      <c r="O193" t="str">
        <v/>
      </c>
      <c r="P193" t="str">
        <v/>
      </c>
      <c r="Q193" t="str">
        <f ca="1"/>
        <v/>
      </c>
      <c r="R193" t="str">
        <f ca="1"/>
        <v/>
      </c>
      <c r="Z193" t="str">
        <f ca="1"/>
        <v/>
      </c>
      <c r="AA193" t="str">
        <f ca="1"/>
        <v/>
      </c>
      <c r="AB193" t="str">
        <f ca="1"/>
        <v/>
      </c>
      <c r="AC193" t="str">
        <f ca="1"/>
        <v/>
      </c>
      <c r="AD193" t="str">
        <f ca="1"/>
        <v/>
      </c>
      <c r="AE193" t="str">
        <f ca="1"/>
        <v/>
      </c>
      <c r="AF193" t="str">
        <f ca="1"/>
        <v/>
      </c>
      <c r="AG193" t="str">
        <f ca="1"/>
        <v/>
      </c>
      <c r="AH193" t="str">
        <f ca="1"/>
        <v/>
      </c>
      <c r="AI193" t="str">
        <f ca="1"/>
        <v/>
      </c>
      <c r="AJ193" t="str">
        <f ca="1"/>
        <v/>
      </c>
      <c r="AK193" t="str">
        <f ca="1"/>
        <v/>
      </c>
      <c r="AL193" t="str">
        <f ca="1"/>
        <v/>
      </c>
      <c r="AM193" t="str">
        <f ca="1"/>
        <v/>
      </c>
    </row>
    <row r="194" spans="6:39" x14ac:dyDescent="0.55000000000000004">
      <c r="F194">
        <f t="shared" si="9"/>
        <v>8</v>
      </c>
      <c r="G194" t="str">
        <f t="shared" si="10"/>
        <v>8</v>
      </c>
      <c r="H194">
        <f>COUNTIF(G$3:G194,G194)</f>
        <v>122</v>
      </c>
      <c r="I194" t="str">
        <v/>
      </c>
      <c r="J194" t="str">
        <v/>
      </c>
      <c r="K194" t="str">
        <f ca="1"/>
        <v/>
      </c>
      <c r="L194" t="str">
        <f ca="1"/>
        <v/>
      </c>
      <c r="N194" t="str">
        <f ca="1"/>
        <v/>
      </c>
      <c r="O194" t="str">
        <v/>
      </c>
      <c r="P194" t="str">
        <v/>
      </c>
      <c r="Q194" t="str">
        <f ca="1"/>
        <v/>
      </c>
      <c r="R194" t="str">
        <f ca="1"/>
        <v/>
      </c>
      <c r="Z194" t="str">
        <f ca="1"/>
        <v/>
      </c>
      <c r="AA194" t="str">
        <f ca="1"/>
        <v/>
      </c>
      <c r="AB194" t="str">
        <f ca="1"/>
        <v/>
      </c>
      <c r="AC194" t="str">
        <f ca="1"/>
        <v/>
      </c>
      <c r="AD194" t="str">
        <f ca="1"/>
        <v/>
      </c>
      <c r="AE194" t="str">
        <f ca="1"/>
        <v/>
      </c>
      <c r="AF194" t="str">
        <f ca="1"/>
        <v/>
      </c>
      <c r="AG194" t="str">
        <f ca="1"/>
        <v/>
      </c>
      <c r="AH194" t="str">
        <f ca="1"/>
        <v/>
      </c>
      <c r="AI194" t="str">
        <f ca="1"/>
        <v/>
      </c>
      <c r="AJ194" t="str">
        <f ca="1"/>
        <v/>
      </c>
      <c r="AK194" t="str">
        <f ca="1"/>
        <v/>
      </c>
      <c r="AL194" t="str">
        <f ca="1"/>
        <v/>
      </c>
      <c r="AM194" t="str">
        <f ca="1"/>
        <v/>
      </c>
    </row>
    <row r="195" spans="6:39" x14ac:dyDescent="0.55000000000000004">
      <c r="F195">
        <f t="shared" si="9"/>
        <v>8</v>
      </c>
      <c r="G195" t="str">
        <f t="shared" si="10"/>
        <v>8</v>
      </c>
      <c r="H195">
        <f>COUNTIF(G$3:G195,G195)</f>
        <v>123</v>
      </c>
      <c r="I195" t="str">
        <v/>
      </c>
      <c r="J195" t="str">
        <v/>
      </c>
      <c r="K195" t="str">
        <f ca="1"/>
        <v/>
      </c>
      <c r="L195" t="str">
        <f ca="1"/>
        <v/>
      </c>
      <c r="N195" t="str">
        <f ca="1"/>
        <v/>
      </c>
      <c r="O195" t="str">
        <v/>
      </c>
      <c r="P195" t="str">
        <v/>
      </c>
      <c r="Q195" t="str">
        <f ca="1"/>
        <v/>
      </c>
      <c r="R195" t="str">
        <f ca="1"/>
        <v/>
      </c>
      <c r="Z195" t="str">
        <f ca="1"/>
        <v/>
      </c>
      <c r="AA195" t="str">
        <f ca="1"/>
        <v/>
      </c>
      <c r="AB195" t="str">
        <f ca="1"/>
        <v/>
      </c>
      <c r="AC195" t="str">
        <f ca="1"/>
        <v/>
      </c>
      <c r="AD195" t="str">
        <f ca="1"/>
        <v/>
      </c>
      <c r="AE195" t="str">
        <f ca="1"/>
        <v/>
      </c>
      <c r="AF195" t="str">
        <f ca="1"/>
        <v/>
      </c>
      <c r="AG195" t="str">
        <f ca="1"/>
        <v/>
      </c>
      <c r="AH195" t="str">
        <f ca="1"/>
        <v/>
      </c>
      <c r="AI195" t="str">
        <f ca="1"/>
        <v/>
      </c>
      <c r="AJ195" t="str">
        <f ca="1"/>
        <v/>
      </c>
      <c r="AK195" t="str">
        <f ca="1"/>
        <v/>
      </c>
      <c r="AL195" t="str">
        <f ca="1"/>
        <v/>
      </c>
      <c r="AM195" t="str">
        <f ca="1"/>
        <v/>
      </c>
    </row>
    <row r="196" spans="6:39" x14ac:dyDescent="0.55000000000000004">
      <c r="F196">
        <f t="shared" si="9"/>
        <v>8</v>
      </c>
      <c r="G196" t="str">
        <f t="shared" si="10"/>
        <v>8</v>
      </c>
      <c r="H196">
        <f>COUNTIF(G$3:G196,G196)</f>
        <v>124</v>
      </c>
      <c r="I196" t="str">
        <v/>
      </c>
      <c r="J196" t="str">
        <v/>
      </c>
      <c r="K196" t="str">
        <f ca="1"/>
        <v/>
      </c>
      <c r="L196" t="str">
        <f ca="1"/>
        <v/>
      </c>
      <c r="N196" t="str">
        <f ca="1"/>
        <v/>
      </c>
      <c r="O196" t="str">
        <v/>
      </c>
      <c r="P196" t="str">
        <v/>
      </c>
      <c r="Q196" t="str">
        <f ca="1"/>
        <v/>
      </c>
      <c r="R196" t="str">
        <f ca="1"/>
        <v/>
      </c>
      <c r="Z196" t="str">
        <f ca="1"/>
        <v/>
      </c>
      <c r="AA196" t="str">
        <f ca="1"/>
        <v/>
      </c>
      <c r="AB196" t="str">
        <f ca="1"/>
        <v/>
      </c>
      <c r="AC196" t="str">
        <f ca="1"/>
        <v/>
      </c>
      <c r="AD196" t="str">
        <f ca="1"/>
        <v/>
      </c>
      <c r="AE196" t="str">
        <f ca="1"/>
        <v/>
      </c>
      <c r="AF196" t="str">
        <f ca="1"/>
        <v/>
      </c>
      <c r="AG196" t="str">
        <f ca="1"/>
        <v/>
      </c>
      <c r="AH196" t="str">
        <f ca="1"/>
        <v/>
      </c>
      <c r="AI196" t="str">
        <f ca="1"/>
        <v/>
      </c>
      <c r="AJ196" t="str">
        <f ca="1"/>
        <v/>
      </c>
      <c r="AK196" t="str">
        <f ca="1"/>
        <v/>
      </c>
      <c r="AL196" t="str">
        <f ca="1"/>
        <v/>
      </c>
      <c r="AM196" t="str">
        <f ca="1"/>
        <v/>
      </c>
    </row>
    <row r="197" spans="6:39" x14ac:dyDescent="0.55000000000000004">
      <c r="F197">
        <f t="shared" ref="F197:F202" si="11">F196</f>
        <v>8</v>
      </c>
      <c r="G197" t="str">
        <f t="shared" si="10"/>
        <v>8</v>
      </c>
      <c r="H197">
        <f>COUNTIF(G$3:G197,G197)</f>
        <v>125</v>
      </c>
      <c r="I197" t="str">
        <v/>
      </c>
      <c r="J197" t="str">
        <v/>
      </c>
      <c r="K197" t="str">
        <f ca="1"/>
        <v/>
      </c>
      <c r="L197" t="str">
        <f ca="1"/>
        <v/>
      </c>
      <c r="N197" t="str">
        <f ca="1"/>
        <v/>
      </c>
      <c r="O197" t="str">
        <v/>
      </c>
      <c r="P197" t="str">
        <v/>
      </c>
      <c r="Q197" t="str">
        <f ca="1"/>
        <v/>
      </c>
      <c r="R197" t="str">
        <f ca="1"/>
        <v/>
      </c>
      <c r="Z197" t="str">
        <f ca="1"/>
        <v/>
      </c>
      <c r="AA197" t="str">
        <f ca="1"/>
        <v/>
      </c>
      <c r="AB197" t="str">
        <f ca="1"/>
        <v/>
      </c>
      <c r="AC197" t="str">
        <f ca="1"/>
        <v/>
      </c>
      <c r="AD197" t="str">
        <f ca="1"/>
        <v/>
      </c>
      <c r="AE197" t="str">
        <f ca="1"/>
        <v/>
      </c>
      <c r="AF197" t="str">
        <f ca="1"/>
        <v/>
      </c>
      <c r="AG197" t="str">
        <f ca="1"/>
        <v/>
      </c>
      <c r="AH197" t="str">
        <f ca="1"/>
        <v/>
      </c>
      <c r="AI197" t="str">
        <f ca="1"/>
        <v/>
      </c>
      <c r="AJ197" t="str">
        <f ca="1"/>
        <v/>
      </c>
      <c r="AK197" t="str">
        <f ca="1"/>
        <v/>
      </c>
      <c r="AL197" t="str">
        <f ca="1"/>
        <v/>
      </c>
      <c r="AM197" t="str">
        <f ca="1"/>
        <v/>
      </c>
    </row>
    <row r="198" spans="6:39" x14ac:dyDescent="0.55000000000000004">
      <c r="F198">
        <f t="shared" si="11"/>
        <v>8</v>
      </c>
      <c r="G198" t="str">
        <f t="shared" si="10"/>
        <v>8</v>
      </c>
      <c r="H198">
        <f>COUNTIF(G$3:G198,G198)</f>
        <v>126</v>
      </c>
      <c r="I198" t="str">
        <v/>
      </c>
      <c r="J198" t="str">
        <v/>
      </c>
      <c r="K198" t="str">
        <f ca="1"/>
        <v/>
      </c>
      <c r="L198" t="str">
        <f ca="1"/>
        <v/>
      </c>
      <c r="N198" t="str">
        <f ca="1"/>
        <v/>
      </c>
      <c r="O198" t="str">
        <v/>
      </c>
      <c r="P198" t="str">
        <v/>
      </c>
      <c r="Q198" t="str">
        <f ca="1"/>
        <v/>
      </c>
      <c r="R198" t="str">
        <f ca="1"/>
        <v/>
      </c>
      <c r="Z198" t="str">
        <f ca="1"/>
        <v/>
      </c>
      <c r="AA198" t="str">
        <f ca="1"/>
        <v/>
      </c>
      <c r="AB198" t="str">
        <f ca="1"/>
        <v/>
      </c>
      <c r="AC198" t="str">
        <f ca="1"/>
        <v/>
      </c>
      <c r="AD198" t="str">
        <f ca="1"/>
        <v/>
      </c>
      <c r="AE198" t="str">
        <f ca="1"/>
        <v/>
      </c>
      <c r="AF198" t="str">
        <f ca="1"/>
        <v/>
      </c>
      <c r="AG198" t="str">
        <f ca="1"/>
        <v/>
      </c>
      <c r="AH198" t="str">
        <f ca="1"/>
        <v/>
      </c>
      <c r="AI198" t="str">
        <f ca="1"/>
        <v/>
      </c>
      <c r="AJ198" t="str">
        <f ca="1"/>
        <v/>
      </c>
      <c r="AK198" t="str">
        <f ca="1"/>
        <v/>
      </c>
      <c r="AL198" t="str">
        <f ca="1"/>
        <v/>
      </c>
      <c r="AM198" t="str">
        <f ca="1"/>
        <v/>
      </c>
    </row>
    <row r="199" spans="6:39" x14ac:dyDescent="0.55000000000000004">
      <c r="F199">
        <f t="shared" si="11"/>
        <v>8</v>
      </c>
      <c r="G199" t="str">
        <f t="shared" si="10"/>
        <v>8</v>
      </c>
      <c r="H199">
        <f>COUNTIF(G$3:G199,G199)</f>
        <v>127</v>
      </c>
      <c r="I199" t="str">
        <v/>
      </c>
      <c r="J199" t="str">
        <v/>
      </c>
      <c r="K199" t="str">
        <f ca="1"/>
        <v/>
      </c>
      <c r="L199" t="str">
        <f ca="1"/>
        <v/>
      </c>
      <c r="N199" t="str">
        <f ca="1"/>
        <v/>
      </c>
      <c r="O199" t="str">
        <v/>
      </c>
      <c r="P199" t="str">
        <v/>
      </c>
      <c r="Q199" t="str">
        <f ca="1"/>
        <v/>
      </c>
      <c r="R199" t="str">
        <f ca="1"/>
        <v/>
      </c>
      <c r="Z199" t="str">
        <f ca="1"/>
        <v/>
      </c>
      <c r="AA199" t="str">
        <f ca="1"/>
        <v/>
      </c>
      <c r="AB199" t="str">
        <f ca="1"/>
        <v/>
      </c>
      <c r="AC199" t="str">
        <f ca="1"/>
        <v/>
      </c>
      <c r="AD199" t="str">
        <f ca="1"/>
        <v/>
      </c>
      <c r="AE199" t="str">
        <f ca="1"/>
        <v/>
      </c>
      <c r="AF199" t="str">
        <f ca="1"/>
        <v/>
      </c>
      <c r="AG199" t="str">
        <f ca="1"/>
        <v/>
      </c>
      <c r="AH199" t="str">
        <f ca="1"/>
        <v/>
      </c>
      <c r="AI199" t="str">
        <f ca="1"/>
        <v/>
      </c>
      <c r="AJ199" t="str">
        <f ca="1"/>
        <v/>
      </c>
      <c r="AK199" t="str">
        <f ca="1"/>
        <v/>
      </c>
      <c r="AL199" t="str">
        <f ca="1"/>
        <v/>
      </c>
      <c r="AM199" t="str">
        <f ca="1"/>
        <v/>
      </c>
    </row>
    <row r="200" spans="6:39" x14ac:dyDescent="0.55000000000000004">
      <c r="F200">
        <f t="shared" si="11"/>
        <v>8</v>
      </c>
      <c r="G200" t="str">
        <f t="shared" si="10"/>
        <v>8</v>
      </c>
      <c r="H200">
        <f>COUNTIF(G$3:G200,G200)</f>
        <v>128</v>
      </c>
      <c r="I200" t="str">
        <v/>
      </c>
      <c r="J200" t="str">
        <v/>
      </c>
      <c r="K200" t="str">
        <f ca="1"/>
        <v/>
      </c>
      <c r="L200" t="str">
        <f ca="1"/>
        <v/>
      </c>
      <c r="N200" t="str">
        <f ca="1"/>
        <v/>
      </c>
      <c r="O200" t="str">
        <v/>
      </c>
      <c r="P200" t="str">
        <v/>
      </c>
      <c r="Q200" t="str">
        <f ca="1"/>
        <v/>
      </c>
      <c r="R200" t="str">
        <f ca="1"/>
        <v/>
      </c>
      <c r="Z200" t="str">
        <f ca="1"/>
        <v/>
      </c>
      <c r="AA200" t="str">
        <f ca="1"/>
        <v/>
      </c>
      <c r="AB200" t="str">
        <f ca="1"/>
        <v/>
      </c>
      <c r="AC200" t="str">
        <f ca="1"/>
        <v/>
      </c>
      <c r="AD200" t="str">
        <f ca="1"/>
        <v/>
      </c>
      <c r="AE200" t="str">
        <f ca="1"/>
        <v/>
      </c>
      <c r="AF200" t="str">
        <f ca="1"/>
        <v/>
      </c>
      <c r="AG200" t="str">
        <f ca="1"/>
        <v/>
      </c>
      <c r="AH200" t="str">
        <f ca="1"/>
        <v/>
      </c>
      <c r="AI200" t="str">
        <f ca="1"/>
        <v/>
      </c>
      <c r="AJ200" t="str">
        <f ca="1"/>
        <v/>
      </c>
      <c r="AK200" t="str">
        <f ca="1"/>
        <v/>
      </c>
      <c r="AL200" t="str">
        <f ca="1"/>
        <v/>
      </c>
      <c r="AM200" t="str">
        <f ca="1"/>
        <v/>
      </c>
    </row>
    <row r="201" spans="6:39" x14ac:dyDescent="0.55000000000000004">
      <c r="F201">
        <f t="shared" si="11"/>
        <v>8</v>
      </c>
      <c r="G201" t="str">
        <f t="shared" si="10"/>
        <v>8</v>
      </c>
      <c r="H201">
        <f>COUNTIF(G$3:G201,G201)</f>
        <v>129</v>
      </c>
      <c r="I201" t="str">
        <v/>
      </c>
      <c r="J201" t="str">
        <v/>
      </c>
      <c r="K201" t="str">
        <f ca="1"/>
        <v/>
      </c>
      <c r="L201" t="str">
        <f ca="1"/>
        <v/>
      </c>
      <c r="N201" t="str">
        <f ca="1"/>
        <v/>
      </c>
      <c r="O201" t="str">
        <v/>
      </c>
      <c r="P201" t="str">
        <v/>
      </c>
      <c r="Q201" t="str">
        <f ca="1"/>
        <v/>
      </c>
      <c r="R201" t="str">
        <f ca="1"/>
        <v/>
      </c>
      <c r="Z201" t="str">
        <f ca="1"/>
        <v/>
      </c>
      <c r="AA201" t="str">
        <f ca="1"/>
        <v/>
      </c>
      <c r="AB201" t="str">
        <f ca="1"/>
        <v/>
      </c>
      <c r="AC201" t="str">
        <f ca="1"/>
        <v/>
      </c>
      <c r="AD201" t="str">
        <f ca="1"/>
        <v/>
      </c>
      <c r="AE201" t="str">
        <f ca="1"/>
        <v/>
      </c>
      <c r="AF201" t="str">
        <f ca="1"/>
        <v/>
      </c>
      <c r="AG201" t="str">
        <f ca="1"/>
        <v/>
      </c>
      <c r="AH201" t="str">
        <f ca="1"/>
        <v/>
      </c>
      <c r="AI201" t="str">
        <f ca="1"/>
        <v/>
      </c>
      <c r="AJ201" t="str">
        <f ca="1"/>
        <v/>
      </c>
      <c r="AK201" t="str">
        <f ca="1"/>
        <v/>
      </c>
      <c r="AL201" t="str">
        <f ca="1"/>
        <v/>
      </c>
      <c r="AM201" t="str">
        <f ca="1"/>
        <v/>
      </c>
    </row>
    <row r="202" spans="6:39" x14ac:dyDescent="0.55000000000000004">
      <c r="F202">
        <f t="shared" si="11"/>
        <v>8</v>
      </c>
      <c r="G202" t="str">
        <f t="shared" si="10"/>
        <v>8</v>
      </c>
      <c r="H202">
        <f>COUNTIF(G$3:G202,G202)</f>
        <v>130</v>
      </c>
      <c r="I202" t="str">
        <v>●</v>
      </c>
      <c r="J202" t="str">
        <v/>
      </c>
      <c r="K202" t="str">
        <f ca="1"/>
        <v/>
      </c>
      <c r="L202" t="str">
        <f ca="1"/>
        <v/>
      </c>
      <c r="N202" t="str">
        <f ca="1"/>
        <v/>
      </c>
      <c r="O202" t="str">
        <v/>
      </c>
      <c r="P202" t="str">
        <v/>
      </c>
      <c r="Q202" t="str">
        <f ca="1"/>
        <v/>
      </c>
      <c r="R202" t="str">
        <f ca="1"/>
        <v/>
      </c>
      <c r="Z202" t="str">
        <f ca="1"/>
        <v/>
      </c>
      <c r="AA202" t="str">
        <f ca="1"/>
        <v/>
      </c>
      <c r="AB202" t="str">
        <f ca="1"/>
        <v/>
      </c>
      <c r="AC202" t="str">
        <f ca="1"/>
        <v/>
      </c>
      <c r="AD202" t="str">
        <f ca="1"/>
        <v/>
      </c>
      <c r="AE202" t="str">
        <f ca="1"/>
        <v/>
      </c>
      <c r="AF202" t="str">
        <f ca="1"/>
        <v/>
      </c>
      <c r="AG202" t="str">
        <f ca="1"/>
        <v/>
      </c>
      <c r="AH202" t="str">
        <f ca="1"/>
        <v/>
      </c>
      <c r="AI202" t="str">
        <f ca="1"/>
        <v/>
      </c>
      <c r="AJ202" t="str">
        <f ca="1"/>
        <v/>
      </c>
      <c r="AK202" t="str">
        <f ca="1"/>
        <v/>
      </c>
      <c r="AL202" t="str">
        <f ca="1"/>
        <v xml:space="preserve">
	ELSE
		uiErrCode	:= 2;
	END_IF;</v>
      </c>
      <c r="AM202" t="str">
        <f ca="1"/>
        <v xml:space="preserve">
	ELSE
		uiErrCode	:= 2;
	END_IF;</v>
      </c>
    </row>
    <row r="205" spans="6:39" x14ac:dyDescent="0.55000000000000004">
      <c r="AM205" t="str">
        <f ca="1">IF(LENB($B$5),$B$7&amp;$B$5,"")&amp;CHAR(10)&amp;_xlfn.CONCAT(AM$3:AM$202)&amp;CHAR(10)&amp;"ELSE"&amp;CHAR(10)&amp;CHAR(9)&amp;$B$29&amp;CHAR(9)&amp;$B$8&amp;" 1"&amp;$B$9&amp;CHAR(10)&amp;"END_IF;"&amp;IF(LENB($B$6),CHAR(10)&amp;$B$7&amp;$B$6,"")</f>
        <v>//このスクリプトは C:\tk\prj\hg-0025-0016\git\kv-x520\doc\[kv_script_cycle_info.xlsx]info_script によって生成されました。
//1
IF strInfoType = 1 THEN
	//原点復帰動作
	IF uiInfoIdx = 1 THEN
		IF strInfoKey = 'name' THEN
			strRt	:= '原点復帰動作';
		ELSIF strInfoKey = 'index_name' THEN
			strRt	:= '【11】 原点復帰動作';
		ELSIF strInfoKey = 'model' THEN
			strRt	:= 'unknown';
		ELSIF strInfoKey = 'mf' THEN
			strRt	:= 'unknown';
		ELSE
			uiErrCode	:= 3;
		END_IF;
	//供給準備動作
	ELSIF uiInfoIdx = 2 THEN
		IF strInfoKey = 'name' THEN
			strRt	:= '供給準備動作';
		ELSIF strInfoKey = 'index_name' THEN
			strRt	:= '【12】 供給準備動作';
		ELSIF strInfoKey = 'model' THEN
			strRt	:= 'unknown';
		ELSIF strInfoKey = 'mf' THEN
			strRt	:= 'unknown';
		ELSE
			uiErrCode	:= 3;
		END_IF;
	//カット動作
	ELSIF uiInfoIdx = 3 THEN
		IF strInfoKey = 'name' THEN
			strRt	:= 'カット動作';
		ELSIF strInfoKey = 'index_name' THEN
			strRt	:= '【13】 カット動作';
		ELSIF strInfoKey = 'model' THEN
			strRt	:= 'unknown';
		ELSIF strInfoKey = 'mf' THEN
			strRt	:= 'unknown';
		ELSE
			uiErrCode	:= 3;
		END_IF;
	//供給開始動作
	ELSIF uiInfoIdx = 6 THEN
		IF strInfoKey = 'name' THEN
			strRt	:= '供給開始動作';
		ELSIF strInfoKey = 'index_name' THEN
			strRt	:= '【16】 供給開始動作';
		ELSIF strInfoKey = 'model' THEN
			strRt	:= 'unknown';
		ELSIF strInfoKey = 'mf' THEN
			strRt	:= 'unknown';
		ELSE
			uiErrCode	:= 3;
		END_IF;
	//供給動作
	ELSIF uiInfoIdx = 7 THEN
		IF strInfoKey = 'name' THEN
			strRt	:= '供給動作';
		ELSIF strInfoKey = 'index_name' THEN
			strRt	:= '【17】 供給動作';
		ELSIF strInfoKey = 'model' THEN
			strRt	:= 'unknown';
		ELSIF strInfoKey = 'mf' THEN
			strRt	:= 'unknown';
		ELSE
			uiErrCode	:= 3;
		END_IF;
	ELSE
		uiErrCode	:= 2;
	END_IF;
//2
ELSIF strInfoType = 2 THEN
	//原点復帰動作
	IF uiInfoIdx = 1 THEN
		IF strInfoKey = 'name' THEN
			strRt	:= '原点復帰動作';
		ELSIF strInfoKey = 'index_name' THEN
			strRt	:= '【21】 原点復帰動作';
		ELSIF strInfoKey = 'model' THEN
			strRt	:= 'unknown';
		ELSIF strInfoKey = 'mf' THEN
			strRt	:= 'unknown';
		ELSE
			uiErrCode	:= 3;
		END_IF;
	//供給準備動作
	ELSIF uiInfoIdx = 2 THEN
		IF strInfoKey = 'name' THEN
			strRt	:= '供給準備動作';
		ELSIF strInfoKey = 'index_name' THEN
			strRt	:= '【22】 供給準備動作';
		ELSIF strInfoKey = 'model' THEN
			strRt	:= 'unknown';
		ELSIF strInfoKey = 'mf' THEN
			strRt	:= 'unknown';
		ELSE
			uiErrCode	:= 3;
		END_IF;
	//カット動作
	ELSIF uiInfoIdx = 3 THEN
		IF strInfoKey = 'name' THEN
			strRt	:= 'カット動作';
		ELSIF strInfoKey = 'index_name' THEN
			strRt	:= '【23】 カット動作';
		ELSIF strInfoKey = 'model' THEN
			strRt	:= 'unknown';
		ELSIF strInfoKey = 'mf' THEN
			strRt	:= 'unknown';
		ELSE
			uiErrCode	:= 3;
		END_IF;
	//供給確認動作
	ELSIF uiInfoIdx = 4 THEN
		IF strInfoKey = 'name' THEN
			strRt	:= '供給確認動作';
		ELSIF strInfoKey = 'index_name' THEN
			strRt	:= '【24】 供給確認動作';
		ELSIF strInfoKey = 'model' THEN
			strRt	:= 'unknown';
		ELSIF strInfoKey = 'mf' THEN
			strRt	:= 'unknown';
		ELSE
			uiErrCode	:= 3;
		END_IF;
	//ひらき動作
	ELSIF uiInfoIdx = 5 THEN
		IF strInfoKey = 'name' THEN
			strRt	:= 'ひらき動作';
		ELSIF strInfoKey = 'index_name' THEN
			strRt	:= '【25】 ひらき動作';
		ELSIF strInfoKey = 'model' THEN
			strRt	:= 'unknown';
		ELSIF strInfoKey = 'mf' THEN
			strRt	:= 'unknown';
		ELSE
			uiErrCode	:= 3;
		END_IF;
	//供給開始動作
	ELSIF uiInfoIdx = 6 THEN
		IF strInfoKey = 'name' THEN
			strRt	:= '供給開始動作';
		ELSIF strInfoKey = 'index_name' THEN
			strRt	:= '【26】 供給開始動作';
		ELSIF strInfoKey = 'model' THEN
			strRt	:= 'unknown';
		ELSIF strInfoKey = 'mf' THEN
			strRt	:= 'unknown';
		ELSE
			uiErrCode	:= 3;
		END_IF;
	//供給動作
	ELSIF uiInfoIdx = 7 THEN
		IF strInfoKey = 'name' THEN
			strRt	:= '供給動作';
		ELSIF strInfoKey = 'index_name' THEN
			strRt	:= '【27】 供給動作';
		ELSIF strInfoKey = 'model' THEN
			strRt	:= 'unknown';
		ELSIF strInfoKey = 'mf' THEN
			strRt	:= 'unknown';
		ELSE
			uiErrCode	:= 3;
		END_IF;
	ELSE
		uiErrCode	:= 2;
	END_IF;
//3
ELSIF strInfoType = 3 THEN
	//原点復帰動作
	IF uiInfoIdx = 1 THEN
		IF strInfoKey = 'name' THEN
			strRt	:= '原点復帰動作';
		ELSIF strInfoKey = 'index_name' THEN
			strRt	:= '【31】 原点復帰動作';
		ELSIF strInfoKey = 'model' THEN
			strRt	:= 'unknown';
		ELSIF strInfoKey = 'mf' THEN
			strRt	:= 'unknown';
		ELSE
			uiErrCode	:= 3;
		END_IF;
	//供給準備動作
	ELSIF uiInfoIdx = 2 THEN
		IF strInfoKey = 'name' THEN
			strRt	:= '供給準備動作';
		ELSIF strInfoKey = 'index_name' THEN
			strRt	:= '【32】 供給準備動作';
		ELSIF strInfoKey = 'model' THEN
			strRt	:= 'unknown';
		ELSIF strInfoKey = 'mf' THEN
			strRt	:= 'unknown';
		ELSE
			uiErrCode	:= 3;
		END_IF;
	//供給動作
	ELSIF uiInfoIdx = 3 THEN
		IF strInfoKey = 'name' THEN
			strRt	:= '供給動作';
		ELSIF strInfoKey = 'index_name' THEN
			strRt	:= '【33】 供給動作';
		ELSIF strInfoKey = 'model' THEN
			strRt	:= 'unknown';
		ELSIF strInfoKey = 'mf' THEN
			strRt	:= 'unknown';
		ELSE
			uiErrCode	:= 3;
		END_IF;
	ELSE
		uiErrCode	:= 2;
	END_IF;
//4
ELSIF strInfoType = 4 THEN
	//原点復帰動作
	IF uiInfoIdx = 1 THEN
		IF strInfoKey = 'name' THEN
			strRt	:= '原点復帰動作';
		ELSIF strInfoKey = 'index_name' THEN
			strRt	:= '【41】 原点復帰動作';
		ELSIF strInfoKey = 'model' THEN
			strRt	:= 'unknown';
		ELSIF strInfoKey = 'mf' THEN
			strRt	:= 'unknown';
		ELSE
			uiErrCode	:= 3;
		END_IF;
	//周長測定子プリセット
	ELSIF uiInfoIdx = 2 THEN
		IF strInfoKey = 'name' THEN
			strRt	:= '周長測定子プリセット';
		ELSIF strInfoKey = 'index_name' THEN
			strRt	:= '【42】 周長測定子プリセット';
		ELSIF strInfoKey = 'model' THEN
			strRt	:= 'unknown';
		ELSIF strInfoKey = 'mf' THEN
			strRt	:= 'unknown';
		ELSE
			uiErrCode	:= 3;
		END_IF;
	//巻き準備動作
	ELSIF uiInfoIdx = 3 THEN
		IF strInfoKey = 'name' THEN
			strRt	:= '巻き準備動作';
		ELSIF strInfoKey = 'index_name' THEN
			strRt	:= '【43】 巻き準備動作';
		ELSIF strInfoKey = 'model' THEN
			strRt	:= 'unknown';
		ELSIF strInfoKey = 'mf' THEN
			strRt	:= 'unknown';
		ELSE
			uiErrCode	:= 3;
		END_IF;
	//巻き動作
	ELSIF uiInfoIdx = 4 THEN
		IF strInfoKey = 'name' THEN
			strRt	:= '巻き動作';
		ELSIF strInfoKey = 'index_name' THEN
			strRt	:= '【44】 巻き動作';
		ELSIF strInfoKey = 'model' THEN
			strRt	:= 'unknown';
		ELSIF strInfoKey = 'mf' THEN
			strRt	:= 'unknown';
		ELSE
			uiErrCode	:= 3;
		END_IF;
	//箔ロウ巻き動作
	ELSIF uiInfoIdx = 5 THEN
		IF strInfoKey = 'name' THEN
			strRt	:= '箔ロウ巻き動作';
		ELSIF strInfoKey = 'index_name' THEN
			strRt	:= '【45】 箔ロウ巻き動作';
		ELSIF strInfoKey = 'model' THEN
			strRt	:= 'unknown';
		ELSIF strInfoKey = 'mf' THEN
			strRt	:= 'unknown';
		ELSE
			uiErrCode	:= 3;
		END_IF;
	//周長測定動作
	ELSIF uiInfoIdx = 6 THEN
		IF strInfoKey = 'name' THEN
			strRt	:= '周長測定動作';
		ELSIF strInfoKey = 'index_name' THEN
			strRt	:= '【46】 周長測定動作';
		ELSIF strInfoKey = 'model' THEN
			strRt	:= 'unknown';
		ELSIF strInfoKey = 'mf' THEN
			strRt	:= 'unknown';
		ELSE
			uiErrCode	:= 3;
		END_IF;
	ELSE
		uiErrCode	:= 2;
	END_IF;
//5
ELSIF strInfoType = 5 THEN
	//原点復帰動作
	IF uiInfoIdx = 1 THEN
		IF strInfoKey = 'name' THEN
			strRt	:= '原点復帰動作';
		ELSIF strInfoKey = 'index_name' THEN
			strRt	:= '【51】 原点復帰動作';
		ELSIF strInfoKey = 'model' THEN
			strRt	:= 'unknown';
		ELSIF strInfoKey = 'mf' THEN
			strRt	:= 'unknown';
		ELSE
			uiErrCode	:= 3;
		END_IF;
	//巻き押え動作
	ELSIF uiInfoIdx = 2 THEN
		IF strInfoKey = 'name' THEN
			strRt	:= '巻き押え動作';
		ELSIF strInfoKey = 'index_name' THEN
			strRt	:= '【52】 巻き押え動作';
		ELSIF strInfoKey = 'model' THEN
			strRt	:= 'unknown';
		ELSIF strInfoKey = 'mf' THEN
			strRt	:= 'unknown';
		ELSE
			uiErrCode	:= 3;
		END_IF;
	//溶接動作
	ELSIF uiInfoIdx = 3 THEN
		IF strInfoKey = 'name' THEN
			strRt	:= '溶接動作';
		ELSIF strInfoKey = 'index_name' THEN
			strRt	:= '【53】 溶接動作';
		ELSIF strInfoKey = 'model' THEN
			strRt	:= 'unknown';
		ELSIF strInfoKey = 'mf' THEN
			strRt	:= 'unknown';
		ELSE
			uiErrCode	:= 3;
		END_IF;
	ELSE
		uiErrCode	:= 2;
	END_IF;
//6
ELSIF strInfoType = 6 THEN
	//原点復帰動作
	IF uiInfoIdx = 1 THEN
		IF strInfoKey = 'name' THEN
			strRt	:= '原点復帰動作';
		ELSIF strInfoKey = 'index_name' THEN
			strRt	:= '【61】 原点復帰動作';
		ELSIF strInfoKey = 'model' THEN
			strRt	:= 'unknown';
		ELSIF strInfoKey = 'mf' THEN
			strRt	:= 'unknown';
		ELSE
			uiErrCode	:= 3;
		END_IF;
	//排出受取り動作
	ELSIF uiInfoIdx = 2 THEN
		IF strInfoKey = 'name' THEN
			strRt	:= '排出受取り動作';
		ELSIF strInfoKey = 'index_name' THEN
			strRt	:= '【62】 排出受取り動作';
		ELSIF strInfoKey = 'model' THEN
			strRt	:= 'unknown';
		ELSIF strInfoKey = 'mf' THEN
			strRt	:= 'unknown';
		ELSE
			uiErrCode	:= 3;
		END_IF;
	//排出受渡し動作
	ELSIF uiInfoIdx = 3 THEN
		IF strInfoKey = 'name' THEN
			strRt	:= '排出受渡し動作';
		ELSIF strInfoKey = 'index_name' THEN
			strRt	:= '【63】 排出受渡し動作';
		ELSIF strInfoKey = 'model' THEN
			strRt	:= 'unknown';
		ELSIF strInfoKey = 'mf' THEN
			strRt	:= 'unknown';
		ELSE
			uiErrCode	:= 3;
		END_IF;
	//計測準備
	ELSIF uiInfoIdx = 6 THEN
		IF strInfoKey = 'name' THEN
			strRt	:= '計測準備';
		ELSIF strInfoKey = 'index_name' THEN
			strRt	:= '【66】 計測準備';
		ELSIF strInfoKey = 'model' THEN
			strRt	:= 'unknown';
		ELSIF strInfoKey = 'mf' THEN
			strRt	:= 'unknown';
		ELSE
			uiErrCode	:= 3;
		END_IF;
	//巻き中測定動作
	ELSIF uiInfoIdx = 7 THEN
		IF strInfoKey = 'name' THEN
			strRt	:= '巻き中測定動作';
		ELSIF strInfoKey = 'index_name' THEN
			strRt	:= '【67】 巻き中測定動作';
		ELSIF strInfoKey = 'model' THEN
			strRt	:= 'unknown';
		ELSIF strInfoKey = 'mf' THEN
			strRt	:= 'unknown';
		ELSE
			uiErrCode	:= 3;
		END_IF;
	ELSE
		uiErrCode	:= 2;
	END_IF;
//7
ELSIF strInfoType = 7 THEN
	//ひらき動作
	IF uiInfoIdx = 1 THEN
		IF strInfoKey = 'name' THEN
			strRt	:= 'ひらき動作';
		ELSIF strInfoKey = 'index_name' THEN
			strRt	:= '【71】 ひらき動作';
		ELSIF strInfoKey = 'model' THEN
			strRt	:= 'unknown';
		ELSIF strInfoKey = 'mf' THEN
			strRt	:= 'unknown';
		ELSE
			uiErrCode	:= 3;
		END_IF;
	//とじ動作
	ELSIF uiInfoIdx = 2 THEN
		IF strInfoKey = 'name' THEN
			strRt	:= 'とじ動作';
		ELSIF strInfoKey = 'index_name' THEN
			strRt	:= '【72】 とじ動作';
		ELSIF strInfoKey = 'model' THEN
			strRt	:= 'unknown';
		ELSIF strInfoKey = 'mf' THEN
			strRt	:= 'unknown';
		ELSE
			uiErrCode	:= 3;
		END_IF;
	//糊付け動作
	ELSIF uiInfoIdx = 6 THEN
		IF strInfoKey = 'name' THEN
			strRt	:= '糊付け動作';
		ELSIF strInfoKey = 'index_name' THEN
			strRt	:= '【76】 糊付け動作';
		ELSIF strInfoKey = 'model' THEN
			strRt	:= 'unknown';
		ELSIF strInfoKey = 'mf' THEN
			strRt	:= 'unknown';
		ELSE
			uiErrCode	:= 3;
		END_IF;
	ELSE
		uiErrCode	:= 2;
	END_IF;
//8
ELSIF strInfoType = 8 THEN
	//送り動作
	IF uiInfoIdx = 1 THEN
		IF strInfoKey = 'name' THEN
			strRt	:= '送り動作';
		ELSIF strInfoKey = 'index_name' THEN
			strRt	:= '【81】 送り動作';
		ELSIF strInfoKey = 'model' THEN
			strRt	:= 'unknown';
		ELSIF strInfoKey = 'mf' THEN
			strRt	:= 'unknown';
		ELSE
			uiErrCode	:= 3;
		END_IF;
	ELSE
		uiErrCode	:= 2;
	END_IF;
ELSE
	uiErrCode	:= 1;
END_IF;
//-----ここまで生成script-----</v>
      </c>
    </row>
  </sheetData>
  <phoneticPr fontId="1"/>
  <conditionalFormatting sqref="A1:XFD1048576">
    <cfRule type="expression" dxfId="0" priority="1">
      <formula>_xlfn.ISFORMULA(A1)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info_index</vt:lpstr>
      <vt:lpstr>info_script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2025-07-29T06:17:20Z</dcterms:created>
  <dcterms:modified xsi:type="dcterms:W3CDTF">2026-03-23T09:34:02Z</dcterms:modified>
</cp:coreProperties>
</file>