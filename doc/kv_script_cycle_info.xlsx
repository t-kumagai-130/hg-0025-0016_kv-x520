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ACAA4235-0FDF-409F-A0A1-6E672FAA9960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info_index!$D$2:$U$90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91" i="1" l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L2" i="1"/>
  <c r="F73" i="3"/>
  <c r="G73" i="3" s="1"/>
  <c r="G3" i="3"/>
  <c r="F13" i="3" l="1"/>
  <c r="G13" i="3" s="1"/>
  <c r="F14" i="3" l="1"/>
  <c r="F23" i="3"/>
  <c r="F33" i="3" l="1"/>
  <c r="F24" i="3"/>
  <c r="G23" i="3"/>
  <c r="G14" i="3"/>
  <c r="F15" i="3"/>
  <c r="F16" i="3" l="1"/>
  <c r="G15" i="3"/>
  <c r="F34" i="3"/>
  <c r="F43" i="3"/>
  <c r="G33" i="3"/>
  <c r="F25" i="3"/>
  <c r="G24" i="3"/>
  <c r="F26" i="3" l="1"/>
  <c r="G25" i="3"/>
  <c r="F17" i="3"/>
  <c r="G16" i="3"/>
  <c r="G43" i="3"/>
  <c r="F53" i="3"/>
  <c r="F44" i="3"/>
  <c r="G34" i="3"/>
  <c r="F35" i="3"/>
  <c r="F54" i="3" l="1"/>
  <c r="F63" i="3"/>
  <c r="G53" i="3"/>
  <c r="F45" i="3"/>
  <c r="G44" i="3"/>
  <c r="G17" i="3"/>
  <c r="F18" i="3"/>
  <c r="G35" i="3"/>
  <c r="F36" i="3"/>
  <c r="G26" i="3"/>
  <c r="F27" i="3"/>
  <c r="G18" i="3" l="1"/>
  <c r="F19" i="3"/>
  <c r="G45" i="3"/>
  <c r="F46" i="3"/>
  <c r="G27" i="3"/>
  <c r="F28" i="3"/>
  <c r="F37" i="3"/>
  <c r="G36" i="3"/>
  <c r="F55" i="3"/>
  <c r="G54" i="3"/>
  <c r="F47" i="3" l="1"/>
  <c r="G46" i="3"/>
  <c r="G19" i="3"/>
  <c r="F20" i="3"/>
  <c r="G55" i="3"/>
  <c r="F56" i="3"/>
  <c r="G37" i="3"/>
  <c r="F38" i="3"/>
  <c r="G28" i="3"/>
  <c r="F29" i="3"/>
  <c r="F30" i="3" l="1"/>
  <c r="G29" i="3"/>
  <c r="F48" i="3"/>
  <c r="G47" i="3"/>
  <c r="F39" i="3"/>
  <c r="G38" i="3"/>
  <c r="G56" i="3"/>
  <c r="F57" i="3"/>
  <c r="G20" i="3"/>
  <c r="F21" i="3"/>
  <c r="F58" i="3" l="1"/>
  <c r="G57" i="3"/>
  <c r="G39" i="3"/>
  <c r="F40" i="3"/>
  <c r="G48" i="3"/>
  <c r="F49" i="3"/>
  <c r="F22" i="3"/>
  <c r="G22" i="3" s="1"/>
  <c r="G21" i="3"/>
  <c r="G30" i="3"/>
  <c r="F31" i="3"/>
  <c r="H8" i="1"/>
  <c r="H9" i="1" s="1"/>
  <c r="H4" i="1"/>
  <c r="H5" i="1" s="1"/>
  <c r="H7" i="1" s="1"/>
  <c r="G3" i="1"/>
  <c r="F8" i="1"/>
  <c r="F15" i="1" s="1"/>
  <c r="F18" i="1" s="1"/>
  <c r="G18" i="1" s="1"/>
  <c r="F4" i="1"/>
  <c r="F5" i="1" s="1"/>
  <c r="F6" i="1" s="1"/>
  <c r="F7" i="1" s="1"/>
  <c r="F4" i="3"/>
  <c r="G4" i="3" s="1"/>
  <c r="AC1" i="3"/>
  <c r="AE1" i="3" s="1"/>
  <c r="AG1" i="3" s="1"/>
  <c r="AI1" i="3" s="1"/>
  <c r="AK1" i="3" s="1"/>
  <c r="B14" i="3" s="1"/>
  <c r="G49" i="3" l="1"/>
  <c r="F50" i="3"/>
  <c r="F41" i="3"/>
  <c r="G40" i="3"/>
  <c r="F32" i="3"/>
  <c r="G32" i="3" s="1"/>
  <c r="G31" i="3"/>
  <c r="F5" i="3"/>
  <c r="G58" i="3"/>
  <c r="F59" i="3"/>
  <c r="H10" i="1"/>
  <c r="H11" i="1" s="1"/>
  <c r="G7" i="1"/>
  <c r="G15" i="1"/>
  <c r="H15" i="1"/>
  <c r="H16" i="1" s="1"/>
  <c r="H17" i="1" s="1"/>
  <c r="G5" i="1"/>
  <c r="G4" i="1"/>
  <c r="G6" i="1"/>
  <c r="G8" i="1"/>
  <c r="F9" i="1"/>
  <c r="F10" i="1" s="1"/>
  <c r="G10" i="1" s="1"/>
  <c r="F19" i="1"/>
  <c r="F24" i="1"/>
  <c r="F16" i="1"/>
  <c r="B3" i="3" a="1"/>
  <c r="B3" i="3" s="1"/>
  <c r="B5" i="3" s="1"/>
  <c r="H3" i="3"/>
  <c r="D96" i="1"/>
  <c r="I94" i="1"/>
  <c r="D94" i="1"/>
  <c r="H14" i="1" l="1"/>
  <c r="H12" i="1"/>
  <c r="F6" i="3"/>
  <c r="G5" i="3"/>
  <c r="H5" i="3" s="1"/>
  <c r="F60" i="3"/>
  <c r="G59" i="3"/>
  <c r="F42" i="3"/>
  <c r="G42" i="3" s="1"/>
  <c r="G41" i="3"/>
  <c r="F51" i="3"/>
  <c r="G50" i="3"/>
  <c r="H18" i="1"/>
  <c r="H24" i="1" s="1"/>
  <c r="H27" i="1" s="1"/>
  <c r="G24" i="1"/>
  <c r="F27" i="1"/>
  <c r="F20" i="1"/>
  <c r="G19" i="1"/>
  <c r="G9" i="1"/>
  <c r="F17" i="1"/>
  <c r="G16" i="1"/>
  <c r="F25" i="1"/>
  <c r="H4" i="3"/>
  <c r="F7" i="3" l="1"/>
  <c r="G6" i="3"/>
  <c r="G51" i="3"/>
  <c r="F52" i="3"/>
  <c r="G52" i="3" s="1"/>
  <c r="G60" i="3"/>
  <c r="F61" i="3"/>
  <c r="H32" i="1"/>
  <c r="H28" i="1"/>
  <c r="H33" i="1" s="1"/>
  <c r="H19" i="1"/>
  <c r="H20" i="1" s="1"/>
  <c r="H21" i="1" s="1"/>
  <c r="H22" i="1" s="1"/>
  <c r="H23" i="1" s="1"/>
  <c r="F28" i="1"/>
  <c r="G27" i="1"/>
  <c r="F32" i="1"/>
  <c r="H25" i="1"/>
  <c r="H26" i="1" s="1"/>
  <c r="G17" i="1"/>
  <c r="F11" i="1"/>
  <c r="F26" i="1"/>
  <c r="G25" i="1"/>
  <c r="F21" i="1"/>
  <c r="G20" i="1"/>
  <c r="H6" i="3"/>
  <c r="F13" i="1" l="1"/>
  <c r="F14" i="1" s="1"/>
  <c r="G14" i="1" s="1"/>
  <c r="F12" i="1"/>
  <c r="G12" i="1" s="1"/>
  <c r="F29" i="1"/>
  <c r="G29" i="1" s="1"/>
  <c r="F33" i="1"/>
  <c r="G33" i="1" s="1"/>
  <c r="H31" i="1"/>
  <c r="H29" i="1"/>
  <c r="F8" i="3"/>
  <c r="G7" i="3"/>
  <c r="H7" i="3" s="1"/>
  <c r="F62" i="3"/>
  <c r="G62" i="3" s="1"/>
  <c r="G61" i="3"/>
  <c r="G13" i="1"/>
  <c r="F30" i="1"/>
  <c r="F31" i="1" s="1"/>
  <c r="G31" i="1" s="1"/>
  <c r="G28" i="1"/>
  <c r="H35" i="1"/>
  <c r="F34" i="1"/>
  <c r="F35" i="1"/>
  <c r="G32" i="1"/>
  <c r="G11" i="1"/>
  <c r="F22" i="1"/>
  <c r="G21" i="1"/>
  <c r="G26" i="1"/>
  <c r="G8" i="3" l="1"/>
  <c r="H8" i="3" s="1"/>
  <c r="F9" i="3"/>
  <c r="G22" i="1"/>
  <c r="F23" i="1"/>
  <c r="G30" i="1"/>
  <c r="G35" i="1"/>
  <c r="F36" i="1"/>
  <c r="G34" i="1"/>
  <c r="H36" i="1"/>
  <c r="G9" i="3" l="1"/>
  <c r="F10" i="3"/>
  <c r="G23" i="1"/>
  <c r="H37" i="1"/>
  <c r="H38" i="1" s="1"/>
  <c r="H39" i="1" s="1"/>
  <c r="H40" i="1" s="1"/>
  <c r="H41" i="1"/>
  <c r="F41" i="1"/>
  <c r="G36" i="1"/>
  <c r="F37" i="1"/>
  <c r="G10" i="3" l="1"/>
  <c r="F11" i="3"/>
  <c r="H9" i="3"/>
  <c r="H46" i="1"/>
  <c r="H42" i="1"/>
  <c r="H43" i="1" s="1"/>
  <c r="H44" i="1" s="1"/>
  <c r="H45" i="1" s="1"/>
  <c r="F38" i="1"/>
  <c r="G37" i="1"/>
  <c r="F46" i="1"/>
  <c r="F42" i="1"/>
  <c r="G41" i="1"/>
  <c r="G11" i="3" l="1"/>
  <c r="H11" i="3" s="1"/>
  <c r="F12" i="3"/>
  <c r="G12" i="3" s="1"/>
  <c r="H30" i="3"/>
  <c r="H10" i="3"/>
  <c r="H33" i="3"/>
  <c r="F43" i="1"/>
  <c r="G42" i="1"/>
  <c r="F51" i="1"/>
  <c r="G46" i="1"/>
  <c r="F47" i="1"/>
  <c r="G38" i="1"/>
  <c r="F39" i="1"/>
  <c r="H51" i="1"/>
  <c r="H47" i="1"/>
  <c r="H48" i="1" s="1"/>
  <c r="H49" i="1" s="1"/>
  <c r="H50" i="1" s="1"/>
  <c r="H29" i="3" l="1"/>
  <c r="H31" i="3"/>
  <c r="H32" i="3"/>
  <c r="H28" i="3"/>
  <c r="H34" i="3"/>
  <c r="F40" i="1"/>
  <c r="G40" i="1" s="1"/>
  <c r="G39" i="1"/>
  <c r="G47" i="1"/>
  <c r="F48" i="1"/>
  <c r="F56" i="1"/>
  <c r="G51" i="1"/>
  <c r="F52" i="1"/>
  <c r="H56" i="1"/>
  <c r="H52" i="1"/>
  <c r="H53" i="1" s="1"/>
  <c r="H54" i="1" s="1"/>
  <c r="H55" i="1" s="1"/>
  <c r="G43" i="1"/>
  <c r="F44" i="1"/>
  <c r="H12" i="3"/>
  <c r="H35" i="3" l="1"/>
  <c r="F53" i="1"/>
  <c r="G52" i="1"/>
  <c r="F49" i="1"/>
  <c r="G48" i="1"/>
  <c r="H57" i="1"/>
  <c r="H58" i="1" s="1"/>
  <c r="H59" i="1" s="1"/>
  <c r="H60" i="1" s="1"/>
  <c r="H61" i="1"/>
  <c r="F61" i="1"/>
  <c r="G56" i="1"/>
  <c r="F57" i="1"/>
  <c r="F45" i="1"/>
  <c r="G45" i="1" s="1"/>
  <c r="G44" i="1"/>
  <c r="H13" i="3"/>
  <c r="H36" i="3" l="1"/>
  <c r="F66" i="1"/>
  <c r="G61" i="1"/>
  <c r="F62" i="1"/>
  <c r="G49" i="1"/>
  <c r="F50" i="1"/>
  <c r="G50" i="1" s="1"/>
  <c r="H62" i="1"/>
  <c r="H63" i="1" s="1"/>
  <c r="H64" i="1" s="1"/>
  <c r="H65" i="1" s="1"/>
  <c r="H66" i="1"/>
  <c r="G57" i="1"/>
  <c r="F58" i="1"/>
  <c r="G53" i="1"/>
  <c r="F54" i="1"/>
  <c r="H14" i="3"/>
  <c r="H37" i="3" l="1"/>
  <c r="H67" i="1"/>
  <c r="H68" i="1" s="1"/>
  <c r="H69" i="1" s="1"/>
  <c r="H70" i="1" s="1"/>
  <c r="H71" i="1"/>
  <c r="G54" i="1"/>
  <c r="F55" i="1"/>
  <c r="G55" i="1" s="1"/>
  <c r="G62" i="1"/>
  <c r="F63" i="1"/>
  <c r="F59" i="1"/>
  <c r="G58" i="1"/>
  <c r="G66" i="1"/>
  <c r="F71" i="1"/>
  <c r="F67" i="1"/>
  <c r="H15" i="3"/>
  <c r="H38" i="3" l="1"/>
  <c r="G63" i="1"/>
  <c r="F64" i="1"/>
  <c r="G59" i="1"/>
  <c r="F60" i="1"/>
  <c r="G60" i="1" s="1"/>
  <c r="G67" i="1"/>
  <c r="F68" i="1"/>
  <c r="G71" i="1"/>
  <c r="F76" i="1"/>
  <c r="F72" i="1"/>
  <c r="H76" i="1"/>
  <c r="H72" i="1"/>
  <c r="H73" i="1" s="1"/>
  <c r="H74" i="1" s="1"/>
  <c r="H75" i="1" s="1"/>
  <c r="H16" i="3"/>
  <c r="H39" i="3" l="1"/>
  <c r="F81" i="1"/>
  <c r="G76" i="1"/>
  <c r="F77" i="1"/>
  <c r="F69" i="1"/>
  <c r="G68" i="1"/>
  <c r="H81" i="1"/>
  <c r="H77" i="1"/>
  <c r="H78" i="1" s="1"/>
  <c r="H79" i="1" s="1"/>
  <c r="H80" i="1" s="1"/>
  <c r="F65" i="1"/>
  <c r="G65" i="1" s="1"/>
  <c r="G64" i="1"/>
  <c r="F73" i="1"/>
  <c r="G72" i="1"/>
  <c r="H17" i="3"/>
  <c r="H40" i="3" l="1"/>
  <c r="H82" i="1"/>
  <c r="H83" i="1" s="1"/>
  <c r="H84" i="1" s="1"/>
  <c r="H85" i="1" s="1"/>
  <c r="H86" i="1"/>
  <c r="H87" i="1" s="1"/>
  <c r="H88" i="1" s="1"/>
  <c r="H89" i="1" s="1"/>
  <c r="H90" i="1" s="1"/>
  <c r="F70" i="1"/>
  <c r="G70" i="1" s="1"/>
  <c r="G69" i="1"/>
  <c r="F78" i="1"/>
  <c r="G77" i="1"/>
  <c r="F74" i="1"/>
  <c r="G73" i="1"/>
  <c r="F82" i="1"/>
  <c r="F86" i="1"/>
  <c r="G81" i="1"/>
  <c r="H18" i="3"/>
  <c r="H41" i="3" l="1"/>
  <c r="G74" i="1"/>
  <c r="F75" i="1"/>
  <c r="G75" i="1" s="1"/>
  <c r="G78" i="1"/>
  <c r="F79" i="1"/>
  <c r="F87" i="1"/>
  <c r="G86" i="1"/>
  <c r="G82" i="1"/>
  <c r="F83" i="1"/>
  <c r="H19" i="3"/>
  <c r="H42" i="3" l="1"/>
  <c r="G79" i="1"/>
  <c r="F80" i="1"/>
  <c r="G80" i="1" s="1"/>
  <c r="F88" i="1"/>
  <c r="G87" i="1"/>
  <c r="G83" i="1"/>
  <c r="F84" i="1"/>
  <c r="H20" i="3"/>
  <c r="H43" i="3" l="1"/>
  <c r="G88" i="1"/>
  <c r="F89" i="1"/>
  <c r="G84" i="1"/>
  <c r="F85" i="1"/>
  <c r="G85" i="1" s="1"/>
  <c r="H21" i="3"/>
  <c r="H44" i="3" l="1"/>
  <c r="F90" i="1"/>
  <c r="G90" i="1" s="1"/>
  <c r="G89" i="1"/>
  <c r="H22" i="3"/>
  <c r="H45" i="3" l="1"/>
  <c r="H23" i="3"/>
  <c r="H46" i="3" l="1"/>
  <c r="H96" i="1"/>
  <c r="G96" i="1"/>
  <c r="G98" i="1"/>
  <c r="H98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G72" i="3" l="1"/>
  <c r="H72" i="3" s="1"/>
  <c r="F74" i="3" l="1"/>
  <c r="H73" i="3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l="1" a="1"/>
  <c r="P3" i="3" s="1"/>
  <c r="K3" i="3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<sst xmlns="http://schemas.openxmlformats.org/spreadsheetml/2006/main" count="210" uniqueCount="154">
  <si>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</si>
  <si>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</si>
  <si>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</si>
  <si>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</si>
  <si>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</si>
  <si>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</si>
  <si>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</si>
  <si>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</si>
  <si>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</si>
  <si>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</si>
  <si>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</si>
  <si>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</si>
  <si>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</si>
  <si>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</si>
  <si>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</si>
  <si>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</si>
  <si>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</si>
  <si>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</si>
  <si>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</si>
  <si>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</si>
  <si>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</si>
  <si>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</si>
  <si>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</si>
  <si>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</si>
  <si>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</si>
  <si>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</si>
  <si>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</si>
  <si>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</si>
  <si>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</si>
  <si>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</si>
  <si>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</si>
  <si>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</si>
  <si>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</si>
  <si>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</si>
  <si>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</si>
  <si>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</si>
  <si>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</si>
  <si>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</si>
  <si>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</si>
  <si>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</si>
  <si>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</si>
  <si>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</si>
  <si>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</si>
  <si>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</si>
  <si>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</si>
  <si>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</si>
  <si>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</si>
  <si>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</si>
  <si>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</si>
  <si>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</si>
  <si>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</si>
  <si>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</si>
  <si>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</si>
  <si>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</si>
  <si>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</si>
  <si>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</si>
  <si>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</si>
  <si>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</si>
  <si>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</si>
  <si>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</si>
  <si>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</si>
  <si>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</si>
  <si>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</si>
  <si>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</si>
  <si>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</si>
  <si>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</si>
  <si>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</si>
  <si>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</si>
  <si>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</si>
  <si>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</si>
  <si>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</si>
  <si>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</si>
  <si>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</si>
  <si>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</si>
  <si>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</si>
  <si>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</si>
  <si>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</si>
  <si>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</si>
  <si>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</si>
  <si>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</si>
  <si>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</si>
  <si>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</si>
  <si>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</si>
  <si>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</si>
  <si>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</si>
  <si>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</si>
  <si>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</si>
  <si>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</si>
  <si>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</si>
  <si>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</si>
  <si>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</si>
  <si>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</si>
  <si>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</si>
  <si>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</si>
  <si>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</si>
  <si>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</si>
  <si>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</si>
  <si>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</si>
  <si>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</si>
  <si>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</si>
  <si>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</si>
  <si>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</si>
  <si>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</si>
  <si>
    <t>計測準備</t>
    <rPh sb="0" eb="2">
      <t>ケイソク</t>
    </rPh>
    <rPh sb="2" eb="4">
      <t>ジュンビ</t>
    </rPh>
    <phoneticPr fontId="1"/>
  </si>
  <si>
    <t>Measurement preparation</t>
  </si>
  <si>
    <t>Measurement operation during winding</t>
  </si>
  <si>
    <t>供給確認動作</t>
    <rPh sb="0" eb="2">
      <t>キョウキュウ</t>
    </rPh>
    <rPh sb="2" eb="4">
      <t>カクニン</t>
    </rPh>
    <rPh sb="4" eb="6">
      <t>ドウサ</t>
    </rPh>
    <phoneticPr fontId="1"/>
  </si>
  <si>
    <t>Supply confirmation operation</t>
  </si>
  <si>
    <t>Ｘロール部</t>
  </si>
  <si>
    <t>Ｘロール部</t>
    <rPh sb="4" eb="5">
      <t>ブ</t>
    </rPh>
    <phoneticPr fontId="1"/>
  </si>
  <si>
    <t>糊付け動作</t>
    <rPh sb="0" eb="2">
      <t>ノリヅ</t>
    </rPh>
    <rPh sb="3" eb="5">
      <t>ドウサ</t>
    </rPh>
    <phoneticPr fontId="1"/>
  </si>
  <si>
    <t>Gluing operation</t>
  </si>
  <si>
    <t>排出受渡し動作</t>
    <rPh sb="0" eb="2">
      <t>ハイシュツ</t>
    </rPh>
    <rPh sb="2" eb="4">
      <t>ウケワタ</t>
    </rPh>
    <rPh sb="5" eb="7">
      <t>ドウサ</t>
    </rPh>
    <phoneticPr fontId="1"/>
  </si>
  <si>
    <t>排出受取り動作</t>
    <rPh sb="0" eb="2">
      <t>ハイシュツ</t>
    </rPh>
    <rPh sb="2" eb="4">
      <t>ウケトリ</t>
    </rPh>
    <rPh sb="5" eb="7">
      <t>ドウサ</t>
    </rPh>
    <phoneticPr fontId="1"/>
  </si>
  <si>
    <t>Discharge and receiving operation</t>
  </si>
  <si>
    <t>Discharge and handover operation</t>
  </si>
  <si>
    <t>箔ロウリール部</t>
    <rPh sb="0" eb="1">
      <t>ハク</t>
    </rPh>
    <rPh sb="6" eb="7">
      <t>ブ</t>
    </rPh>
    <phoneticPr fontId="1"/>
  </si>
  <si>
    <t>送り動作</t>
    <rPh sb="0" eb="1">
      <t>オク</t>
    </rPh>
    <rPh sb="2" eb="4">
      <t>ドウサ</t>
    </rPh>
    <phoneticPr fontId="1"/>
  </si>
  <si>
    <t>Feed operation</t>
  </si>
  <si>
    <t>ひらき動作</t>
    <rPh sb="3" eb="5">
      <t>ドウサ</t>
    </rPh>
    <phoneticPr fontId="1"/>
  </si>
  <si>
    <t>とじ動作</t>
    <rPh sb="2" eb="4">
      <t>ドウサ</t>
    </rPh>
    <phoneticPr fontId="1"/>
  </si>
  <si>
    <t>Opening action</t>
  </si>
  <si>
    <t>Binding action</t>
  </si>
  <si>
    <t>ひらき動作</t>
    <rPh sb="3" eb="5">
      <t>ドウサ</t>
    </rPh>
    <phoneticPr fontId="1"/>
  </si>
  <si>
    <t>Opening motion</t>
  </si>
  <si>
    <t>id</t>
    <phoneticPr fontId="1"/>
  </si>
  <si>
    <t>unit</t>
    <phoneticPr fontId="1"/>
  </si>
  <si>
    <t>Home Return Operation</t>
  </si>
  <si>
    <t>Supply Prep Operation</t>
  </si>
  <si>
    <t>Cut Operation</t>
  </si>
  <si>
    <t>Supply Start Operation</t>
  </si>
  <si>
    <t>Supply Operation</t>
  </si>
  <si>
    <t>Supply Confirm Operation</t>
  </si>
  <si>
    <t>Open Operation</t>
  </si>
  <si>
    <t>Winding Prep Operation</t>
  </si>
  <si>
    <t>Winding Operation</t>
  </si>
  <si>
    <t>Braz Foil Winding Op</t>
  </si>
  <si>
    <t>Circ Measure Operation</t>
  </si>
  <si>
    <t>Winding Clamp Operation</t>
  </si>
  <si>
    <t>Welding Operation</t>
  </si>
  <si>
    <t>Discharge Receive Op</t>
  </si>
  <si>
    <t>Discharge Transfer Op</t>
  </si>
  <si>
    <t>Measurement Prep</t>
  </si>
  <si>
    <t>Measure During Winding</t>
  </si>
  <si>
    <t>Close Operation</t>
  </si>
  <si>
    <t>Gluing Operation</t>
  </si>
  <si>
    <t>Feed Operation</t>
  </si>
  <si>
    <t>緒言</t>
    <rPh sb="0" eb="2">
      <t>ショゲン</t>
    </rPh>
    <phoneticPr fontId="1"/>
  </si>
  <si>
    <t>短縮機器表示名最大文字列[byte]</t>
    <rPh sb="0" eb="2">
      <t>タンシュク</t>
    </rPh>
    <rPh sb="2" eb="4">
      <t>キキ</t>
    </rPh>
    <rPh sb="4" eb="7">
      <t>ヒョウジメイ</t>
    </rPh>
    <rPh sb="7" eb="9">
      <t>サイダイ</t>
    </rPh>
    <rPh sb="9" eb="12">
      <t>モジレツ</t>
    </rPh>
    <phoneticPr fontId="1"/>
  </si>
  <si>
    <t>機器名(EN)</t>
  </si>
  <si>
    <t>文字数オーバー</t>
  </si>
  <si>
    <t>文字数オーバー(EN)</t>
  </si>
  <si>
    <t>センサプリセット</t>
    <phoneticPr fontId="1"/>
  </si>
  <si>
    <t>Sensor Preset Operation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</si>
</sst>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10"/>
      <name val="メイリオ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3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2" fillId="2" borderId="10" xfId="0" applyFont="1" applyFill="1" applyBorder="1">
      <alignment vertical="center"/>
    </xf>
    <xf numFmtId="0" fontId="2" fillId="2" borderId="12" xfId="0" applyFont="1" applyFill="1" applyBorder="1">
      <alignment vertical="center"/>
    </xf>
    <xf numFmtId="176" fontId="0" fillId="0" borderId="0" xfId="0" applyNumberFormat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0" xfId="0" applyFont="1" applyAlignment="1">
      <alignment vertical="center" shrinkToFit="1"/>
    </xf>
    <xf numFmtId="0" fontId="4" fillId="0" borderId="0" xfId="0" applyFont="1">
      <alignment vertical="center"/>
    </xf>
    <xf numFmtId="0" fontId="5" fillId="2" borderId="10" xfId="0" applyFont="1" applyFill="1" applyBorder="1">
      <alignment vertical="center"/>
    </xf>
    <xf numFmtId="0" fontId="5" fillId="2" borderId="11" xfId="0" applyFont="1" applyFill="1" applyBorder="1">
      <alignment vertical="center"/>
    </xf>
    <xf numFmtId="0" fontId="5" fillId="2" borderId="12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6" xfId="0" applyFont="1" applyBorder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6" xfId="0" applyFont="1" applyBorder="1" applyAlignment="1">
      <alignment horizontal="right" vertical="center"/>
    </xf>
    <xf numFmtId="0" fontId="3" fillId="0" borderId="5" xfId="0" applyFont="1" applyBorder="1" applyAlignment="1">
      <alignment horizontal="right" vertical="center"/>
    </xf>
    <xf numFmtId="0" fontId="3" fillId="0" borderId="6" xfId="0" applyFont="1" applyBorder="1" applyAlignment="1">
      <alignment horizontal="right" vertical="center"/>
    </xf>
    <xf numFmtId="0" fontId="3" fillId="0" borderId="4" xfId="0" applyFont="1" applyBorder="1">
      <alignment vertical="center"/>
    </xf>
    <xf numFmtId="0" fontId="6" fillId="0" borderId="5" xfId="0" applyFont="1" applyBorder="1" applyAlignment="1">
      <alignment vertical="center" wrapTex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1</xdr:row>
      <xdr:rowOff>50800</xdr:rowOff>
    </xdr:from>
    <xdr:to>
      <xdr:col>3</xdr:col>
      <xdr:colOff>465915</xdr:colOff>
      <xdr:row>2</xdr:row>
      <xdr:rowOff>0</xdr:rowOff>
    </xdr:to>
    <xdr:sp macro="" textlink="$D$9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32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X98"/>
  <sheetViews>
    <sheetView tabSelected="1" workbookViewId="0">
      <pane xSplit="11" ySplit="3" topLeftCell="L4" activePane="bottomRight" state="frozen"/>
      <selection pane="topRight" activeCell="L1" sqref="L1"/>
      <selection pane="bottomLeft" activeCell="A4" sqref="A4"/>
      <selection pane="bottomRight" activeCell="L22" sqref="L22"/>
    </sheetView>
  </sheetViews>
  <sheetFormatPr defaultRowHeight="18" x14ac:dyDescent="0.55000000000000004"/>
  <cols>
    <col min="1" max="1" width="29.6640625" bestFit="1" customWidth="1"/>
    <col min="8" max="8" width="9.1640625" bestFit="1" customWidth="1"/>
    <col min="10" max="10" width="20" bestFit="1" customWidth="1"/>
    <col min="11" max="12" width="31.4140625" customWidth="1"/>
    <col min="13" max="13" width="81" bestFit="1" customWidth="1"/>
    <col min="14" max="14" width="71.08203125" customWidth="1"/>
    <col min="15" max="16" width="13.08203125" customWidth="1"/>
    <col min="17" max="20" width="18.33203125" customWidth="1"/>
    <col min="21" max="21" width="3.58203125" customWidth="1"/>
  </cols>
  <sheetData>
    <row r="1" spans="1:24" x14ac:dyDescent="0.55000000000000004">
      <c r="F1" s="17"/>
      <c r="G1" s="17"/>
      <c r="H1" s="17"/>
      <c r="I1" s="17"/>
      <c r="J1" s="17"/>
      <c r="K1" s="17"/>
      <c r="L1" s="17" t="s">
        <v>149</v>
      </c>
      <c r="M1" s="17"/>
      <c r="N1" s="17"/>
      <c r="O1" s="17"/>
      <c r="P1" s="17"/>
      <c r="Q1" s="17"/>
      <c r="R1" s="17"/>
      <c r="S1" s="17"/>
      <c r="T1" s="17"/>
    </row>
    <row r="2" spans="1:24" s="1" customFormat="1" x14ac:dyDescent="0.55000000000000004">
      <c r="A2" s="1" t="s">
        <v>147</v>
      </c>
      <c r="D2" s="10" t="s">
        <v>125</v>
      </c>
      <c r="E2" s="10"/>
      <c r="F2" s="18" t="s">
        <v>126</v>
      </c>
      <c r="G2" s="18" t="s">
        <v>11</v>
      </c>
      <c r="H2" s="18" t="s">
        <v>15</v>
      </c>
      <c r="I2" s="19" t="s">
        <v>5</v>
      </c>
      <c r="J2" s="19" t="s">
        <v>6</v>
      </c>
      <c r="K2" s="19" t="s">
        <v>7</v>
      </c>
      <c r="L2" s="19" t="str">
        <f>L1&amp;"(Max:"&amp;$B$3&amp;"byte)"</f>
        <v>機器名(EN)(Max:28byte)</v>
      </c>
      <c r="M2" s="19" t="s">
        <v>3</v>
      </c>
      <c r="N2" s="19" t="s">
        <v>2</v>
      </c>
      <c r="O2" s="19" t="s">
        <v>0</v>
      </c>
      <c r="P2" s="19" t="s">
        <v>53</v>
      </c>
      <c r="Q2" s="19" t="s">
        <v>1</v>
      </c>
      <c r="R2" s="20" t="s">
        <v>10</v>
      </c>
      <c r="S2" s="20" t="s">
        <v>65</v>
      </c>
      <c r="T2" s="20" t="s">
        <v>64</v>
      </c>
      <c r="U2" s="11"/>
      <c r="W2" s="1" t="s">
        <v>150</v>
      </c>
      <c r="X2" s="1" t="s">
        <v>151</v>
      </c>
    </row>
    <row r="3" spans="1:24" x14ac:dyDescent="0.55000000000000004">
      <c r="A3" t="s">
        <v>148</v>
      </c>
      <c r="B3">
        <v>28</v>
      </c>
      <c r="D3" s="13">
        <v>0</v>
      </c>
      <c r="E3" s="2"/>
      <c r="F3" s="13">
        <v>1</v>
      </c>
      <c r="G3" s="21" t="str">
        <f>E3&amp;F3</f>
        <v>1</v>
      </c>
      <c r="H3" s="21">
        <v>1</v>
      </c>
      <c r="I3" s="14"/>
      <c r="J3" s="14" t="s">
        <v>71</v>
      </c>
      <c r="K3" s="22" t="s">
        <v>95</v>
      </c>
      <c r="L3" s="14" t="s">
        <v>127</v>
      </c>
      <c r="M3" s="14" t="s">
        <v>98</v>
      </c>
      <c r="N3" s="14"/>
      <c r="O3" s="14"/>
      <c r="P3" s="14"/>
      <c r="Q3" s="14"/>
      <c r="R3" s="15"/>
      <c r="S3" s="15"/>
      <c r="T3" s="15"/>
      <c r="U3" s="3"/>
      <c r="X3">
        <f>LENB(L3)-$B$3</f>
        <v>-7</v>
      </c>
    </row>
    <row r="4" spans="1:24" x14ac:dyDescent="0.55000000000000004">
      <c r="D4" s="4">
        <v>1</v>
      </c>
      <c r="E4" s="4"/>
      <c r="F4" s="23">
        <f>F3</f>
        <v>1</v>
      </c>
      <c r="G4" s="23" t="str">
        <f t="shared" ref="G4:G60" si="0">E4&amp;F4</f>
        <v>1</v>
      </c>
      <c r="H4" s="23">
        <f>H3+1</f>
        <v>2</v>
      </c>
      <c r="I4" s="24"/>
      <c r="J4" s="24" t="s">
        <v>71</v>
      </c>
      <c r="K4" s="24" t="s">
        <v>96</v>
      </c>
      <c r="L4" s="24" t="s">
        <v>128</v>
      </c>
      <c r="M4" s="24" t="s">
        <v>99</v>
      </c>
      <c r="N4" s="24"/>
      <c r="O4" s="6"/>
      <c r="P4" s="24"/>
      <c r="Q4" s="24"/>
      <c r="R4" s="25"/>
      <c r="S4" s="25"/>
      <c r="T4" s="25"/>
      <c r="U4" s="5"/>
      <c r="X4">
        <f t="shared" ref="X4:X67" si="1">LENB(L4)-$B$3</f>
        <v>-7</v>
      </c>
    </row>
    <row r="5" spans="1:24" x14ac:dyDescent="0.55000000000000004">
      <c r="D5" s="4">
        <v>2</v>
      </c>
      <c r="E5" s="4"/>
      <c r="F5" s="23">
        <f t="shared" ref="F5:F7" si="2">F4</f>
        <v>1</v>
      </c>
      <c r="G5" s="23" t="str">
        <f t="shared" si="0"/>
        <v>1</v>
      </c>
      <c r="H5" s="23">
        <f t="shared" ref="H5:H7" si="3">H4+1</f>
        <v>3</v>
      </c>
      <c r="I5" s="24"/>
      <c r="J5" s="24" t="s">
        <v>71</v>
      </c>
      <c r="K5" s="24" t="s">
        <v>97</v>
      </c>
      <c r="L5" s="24" t="s">
        <v>129</v>
      </c>
      <c r="M5" s="24" t="s">
        <v>102</v>
      </c>
      <c r="N5" s="24"/>
      <c r="O5" s="6"/>
      <c r="P5" s="24"/>
      <c r="Q5" s="24"/>
      <c r="R5" s="25"/>
      <c r="S5" s="25"/>
      <c r="T5" s="25"/>
      <c r="U5" s="5"/>
      <c r="X5">
        <f t="shared" si="1"/>
        <v>-15</v>
      </c>
    </row>
    <row r="6" spans="1:24" x14ac:dyDescent="0.55000000000000004">
      <c r="D6" s="4">
        <v>3</v>
      </c>
      <c r="E6" s="4"/>
      <c r="F6" s="23">
        <f t="shared" si="2"/>
        <v>1</v>
      </c>
      <c r="G6" s="23" t="str">
        <f t="shared" si="0"/>
        <v>1</v>
      </c>
      <c r="H6" s="23">
        <v>6</v>
      </c>
      <c r="I6" s="24"/>
      <c r="J6" s="24" t="s">
        <v>71</v>
      </c>
      <c r="K6" s="24" t="s">
        <v>93</v>
      </c>
      <c r="L6" s="24" t="s">
        <v>130</v>
      </c>
      <c r="M6" s="24" t="s">
        <v>100</v>
      </c>
      <c r="N6" s="24"/>
      <c r="O6" s="6"/>
      <c r="P6" s="24"/>
      <c r="Q6" s="24"/>
      <c r="R6" s="25"/>
      <c r="S6" s="25"/>
      <c r="T6" s="25"/>
      <c r="U6" s="5"/>
      <c r="X6">
        <f t="shared" si="1"/>
        <v>-6</v>
      </c>
    </row>
    <row r="7" spans="1:24" x14ac:dyDescent="0.55000000000000004">
      <c r="D7" s="4">
        <v>4</v>
      </c>
      <c r="E7" s="4"/>
      <c r="F7" s="23">
        <f t="shared" si="2"/>
        <v>1</v>
      </c>
      <c r="G7" s="23" t="str">
        <f t="shared" ref="G7" si="4">E7&amp;F7</f>
        <v>1</v>
      </c>
      <c r="H7" s="23">
        <f t="shared" si="3"/>
        <v>7</v>
      </c>
      <c r="I7" s="24"/>
      <c r="J7" s="24" t="s">
        <v>71</v>
      </c>
      <c r="K7" s="24" t="s">
        <v>94</v>
      </c>
      <c r="L7" s="24" t="s">
        <v>131</v>
      </c>
      <c r="M7" s="24" t="s">
        <v>101</v>
      </c>
      <c r="N7" s="24"/>
      <c r="O7" s="6"/>
      <c r="P7" s="24"/>
      <c r="Q7" s="24"/>
      <c r="R7" s="25"/>
      <c r="S7" s="25"/>
      <c r="T7" s="25"/>
      <c r="U7" s="5"/>
      <c r="X7">
        <f t="shared" si="1"/>
        <v>-12</v>
      </c>
    </row>
    <row r="8" spans="1:24" x14ac:dyDescent="0.55000000000000004">
      <c r="D8" s="4">
        <v>5</v>
      </c>
      <c r="E8" s="4"/>
      <c r="F8" s="23">
        <f>F3+1</f>
        <v>2</v>
      </c>
      <c r="G8" s="23" t="str">
        <f t="shared" si="0"/>
        <v>2</v>
      </c>
      <c r="H8" s="23">
        <f>H3</f>
        <v>1</v>
      </c>
      <c r="I8" s="24"/>
      <c r="J8" s="24" t="s">
        <v>72</v>
      </c>
      <c r="K8" s="24" t="s">
        <v>95</v>
      </c>
      <c r="L8" s="24" t="s">
        <v>127</v>
      </c>
      <c r="M8" s="24" t="s">
        <v>98</v>
      </c>
      <c r="N8" s="24"/>
      <c r="O8" s="24"/>
      <c r="P8" s="24"/>
      <c r="Q8" s="24"/>
      <c r="R8" s="25"/>
      <c r="S8" s="25"/>
      <c r="T8" s="25"/>
      <c r="U8" s="5"/>
      <c r="X8">
        <f t="shared" si="1"/>
        <v>-7</v>
      </c>
    </row>
    <row r="9" spans="1:24" x14ac:dyDescent="0.55000000000000004">
      <c r="D9" s="4">
        <v>6</v>
      </c>
      <c r="E9" s="4"/>
      <c r="F9" s="23">
        <f>F8</f>
        <v>2</v>
      </c>
      <c r="G9" s="23" t="str">
        <f t="shared" si="0"/>
        <v>2</v>
      </c>
      <c r="H9" s="23">
        <f>H8+1</f>
        <v>2</v>
      </c>
      <c r="I9" s="24"/>
      <c r="J9" s="24" t="s">
        <v>72</v>
      </c>
      <c r="K9" s="24" t="s">
        <v>96</v>
      </c>
      <c r="L9" s="24" t="s">
        <v>128</v>
      </c>
      <c r="M9" s="24" t="s">
        <v>99</v>
      </c>
      <c r="N9" s="24"/>
      <c r="O9" s="24"/>
      <c r="P9" s="24"/>
      <c r="Q9" s="24"/>
      <c r="R9" s="25"/>
      <c r="S9" s="25"/>
      <c r="T9" s="25"/>
      <c r="U9" s="5"/>
      <c r="X9">
        <f t="shared" si="1"/>
        <v>-7</v>
      </c>
    </row>
    <row r="10" spans="1:24" x14ac:dyDescent="0.55000000000000004">
      <c r="D10" s="4">
        <v>7</v>
      </c>
      <c r="E10" s="4"/>
      <c r="F10" s="23">
        <f t="shared" ref="F10:F14" si="5">F9</f>
        <v>2</v>
      </c>
      <c r="G10" s="23" t="str">
        <f t="shared" si="0"/>
        <v>2</v>
      </c>
      <c r="H10" s="23">
        <f t="shared" ref="H10:H14" si="6">H9+1</f>
        <v>3</v>
      </c>
      <c r="I10" s="24"/>
      <c r="J10" s="24" t="s">
        <v>72</v>
      </c>
      <c r="K10" s="24" t="s">
        <v>97</v>
      </c>
      <c r="L10" s="24" t="s">
        <v>129</v>
      </c>
      <c r="M10" s="24" t="s">
        <v>102</v>
      </c>
      <c r="N10" s="24"/>
      <c r="O10" s="24"/>
      <c r="P10" s="24"/>
      <c r="Q10" s="24"/>
      <c r="R10" s="25"/>
      <c r="S10" s="25"/>
      <c r="T10" s="25"/>
      <c r="U10" s="5"/>
      <c r="X10">
        <f t="shared" si="1"/>
        <v>-15</v>
      </c>
    </row>
    <row r="11" spans="1:24" x14ac:dyDescent="0.55000000000000004">
      <c r="D11" s="4">
        <v>8</v>
      </c>
      <c r="E11" s="4"/>
      <c r="F11" s="23">
        <f>F10</f>
        <v>2</v>
      </c>
      <c r="G11" s="23" t="str">
        <f t="shared" si="0"/>
        <v>2</v>
      </c>
      <c r="H11" s="23">
        <f>H10+1</f>
        <v>4</v>
      </c>
      <c r="I11" s="24"/>
      <c r="J11" s="24" t="s">
        <v>72</v>
      </c>
      <c r="K11" s="24" t="s">
        <v>106</v>
      </c>
      <c r="L11" s="24" t="s">
        <v>132</v>
      </c>
      <c r="M11" s="24" t="s">
        <v>107</v>
      </c>
      <c r="N11" s="24"/>
      <c r="O11" s="24"/>
      <c r="P11" s="24"/>
      <c r="Q11" s="24"/>
      <c r="R11" s="25"/>
      <c r="S11" s="25"/>
      <c r="T11" s="25"/>
      <c r="U11" s="5"/>
      <c r="X11">
        <f t="shared" si="1"/>
        <v>-4</v>
      </c>
    </row>
    <row r="12" spans="1:24" x14ac:dyDescent="0.55000000000000004">
      <c r="D12" s="4">
        <v>9</v>
      </c>
      <c r="E12" s="4"/>
      <c r="F12" s="23">
        <f>F11</f>
        <v>2</v>
      </c>
      <c r="G12" s="23" t="str">
        <f t="shared" ref="G12" si="7">E12&amp;F12</f>
        <v>2</v>
      </c>
      <c r="H12" s="23">
        <f>H11+1</f>
        <v>5</v>
      </c>
      <c r="I12" s="24"/>
      <c r="J12" s="24" t="s">
        <v>72</v>
      </c>
      <c r="K12" s="24" t="s">
        <v>123</v>
      </c>
      <c r="L12" s="24" t="s">
        <v>133</v>
      </c>
      <c r="M12" s="24" t="s">
        <v>124</v>
      </c>
      <c r="N12" s="24"/>
      <c r="O12" s="24"/>
      <c r="P12" s="24"/>
      <c r="Q12" s="24"/>
      <c r="R12" s="25"/>
      <c r="S12" s="25"/>
      <c r="T12" s="25"/>
      <c r="U12" s="5"/>
      <c r="X12">
        <f t="shared" si="1"/>
        <v>-14</v>
      </c>
    </row>
    <row r="13" spans="1:24" x14ac:dyDescent="0.55000000000000004">
      <c r="D13" s="4">
        <v>10</v>
      </c>
      <c r="E13" s="4"/>
      <c r="F13" s="23">
        <f>F11</f>
        <v>2</v>
      </c>
      <c r="G13" s="23" t="str">
        <f t="shared" ref="G13" si="8">E13&amp;F13</f>
        <v>2</v>
      </c>
      <c r="H13" s="23">
        <v>6</v>
      </c>
      <c r="I13" s="24"/>
      <c r="J13" s="24" t="s">
        <v>72</v>
      </c>
      <c r="K13" s="24" t="s">
        <v>93</v>
      </c>
      <c r="L13" s="24" t="s">
        <v>130</v>
      </c>
      <c r="M13" s="24" t="s">
        <v>100</v>
      </c>
      <c r="N13" s="24"/>
      <c r="O13" s="24"/>
      <c r="P13" s="24"/>
      <c r="Q13" s="24"/>
      <c r="R13" s="25"/>
      <c r="S13" s="25"/>
      <c r="T13" s="25"/>
      <c r="U13" s="5"/>
      <c r="X13">
        <f t="shared" si="1"/>
        <v>-6</v>
      </c>
    </row>
    <row r="14" spans="1:24" x14ac:dyDescent="0.55000000000000004">
      <c r="D14" s="4">
        <v>11</v>
      </c>
      <c r="E14" s="4"/>
      <c r="F14" s="23">
        <f t="shared" si="5"/>
        <v>2</v>
      </c>
      <c r="G14" s="23" t="str">
        <f t="shared" ref="G14" si="9">E14&amp;F14</f>
        <v>2</v>
      </c>
      <c r="H14" s="23">
        <f t="shared" si="6"/>
        <v>7</v>
      </c>
      <c r="I14" s="24"/>
      <c r="J14" s="24" t="s">
        <v>72</v>
      </c>
      <c r="K14" s="24" t="s">
        <v>94</v>
      </c>
      <c r="L14" s="24" t="s">
        <v>131</v>
      </c>
      <c r="M14" s="24" t="s">
        <v>101</v>
      </c>
      <c r="N14" s="24"/>
      <c r="O14" s="24"/>
      <c r="P14" s="24"/>
      <c r="Q14" s="24"/>
      <c r="R14" s="25"/>
      <c r="S14" s="25"/>
      <c r="T14" s="25"/>
      <c r="U14" s="5"/>
      <c r="X14">
        <f t="shared" si="1"/>
        <v>-12</v>
      </c>
    </row>
    <row r="15" spans="1:24" x14ac:dyDescent="0.55000000000000004">
      <c r="D15" s="4">
        <v>12</v>
      </c>
      <c r="E15" s="4"/>
      <c r="F15" s="23">
        <f>F8+1</f>
        <v>3</v>
      </c>
      <c r="G15" s="23" t="str">
        <f t="shared" si="0"/>
        <v>3</v>
      </c>
      <c r="H15" s="23">
        <f>H8</f>
        <v>1</v>
      </c>
      <c r="I15" s="24"/>
      <c r="J15" s="24" t="s">
        <v>73</v>
      </c>
      <c r="K15" s="24" t="s">
        <v>68</v>
      </c>
      <c r="L15" s="24" t="s">
        <v>127</v>
      </c>
      <c r="M15" s="24" t="s">
        <v>69</v>
      </c>
      <c r="N15" s="24"/>
      <c r="O15" s="24"/>
      <c r="P15" s="24"/>
      <c r="Q15" s="24"/>
      <c r="R15" s="25"/>
      <c r="S15" s="25"/>
      <c r="T15" s="25"/>
      <c r="U15" s="5"/>
      <c r="X15">
        <f t="shared" si="1"/>
        <v>-7</v>
      </c>
    </row>
    <row r="16" spans="1:24" x14ac:dyDescent="0.55000000000000004">
      <c r="D16" s="4">
        <v>13</v>
      </c>
      <c r="E16" s="4"/>
      <c r="F16" s="23">
        <f t="shared" ref="F16:F90" si="10">F15</f>
        <v>3</v>
      </c>
      <c r="G16" s="23" t="str">
        <f t="shared" si="0"/>
        <v>3</v>
      </c>
      <c r="H16" s="23">
        <f t="shared" ref="H16:H70" si="11">H15+1</f>
        <v>2</v>
      </c>
      <c r="I16" s="24"/>
      <c r="J16" s="24" t="s">
        <v>73</v>
      </c>
      <c r="K16" s="24" t="s">
        <v>70</v>
      </c>
      <c r="L16" s="24" t="s">
        <v>128</v>
      </c>
      <c r="M16" s="24" t="s">
        <v>82</v>
      </c>
      <c r="N16" s="24"/>
      <c r="O16" s="24"/>
      <c r="P16" s="24"/>
      <c r="Q16" s="24"/>
      <c r="R16" s="25"/>
      <c r="S16" s="25"/>
      <c r="T16" s="25"/>
      <c r="U16" s="5"/>
      <c r="X16">
        <f t="shared" si="1"/>
        <v>-7</v>
      </c>
    </row>
    <row r="17" spans="4:24" x14ac:dyDescent="0.55000000000000004">
      <c r="D17" s="4">
        <v>14</v>
      </c>
      <c r="E17" s="4"/>
      <c r="F17" s="23">
        <f t="shared" si="10"/>
        <v>3</v>
      </c>
      <c r="G17" s="23" t="str">
        <f t="shared" si="0"/>
        <v>3</v>
      </c>
      <c r="H17" s="23">
        <f t="shared" si="11"/>
        <v>3</v>
      </c>
      <c r="I17" s="24"/>
      <c r="J17" s="24" t="s">
        <v>73</v>
      </c>
      <c r="K17" s="24" t="s">
        <v>91</v>
      </c>
      <c r="L17" s="24" t="s">
        <v>131</v>
      </c>
      <c r="M17" s="24" t="s">
        <v>92</v>
      </c>
      <c r="N17" s="24"/>
      <c r="O17" s="24"/>
      <c r="P17" s="24"/>
      <c r="Q17" s="24"/>
      <c r="R17" s="25"/>
      <c r="S17" s="25"/>
      <c r="T17" s="25"/>
      <c r="U17" s="5"/>
      <c r="X17">
        <f t="shared" si="1"/>
        <v>-12</v>
      </c>
    </row>
    <row r="18" spans="4:24" x14ac:dyDescent="0.55000000000000004">
      <c r="D18" s="4">
        <v>15</v>
      </c>
      <c r="E18" s="4"/>
      <c r="F18" s="23">
        <f>F15+1</f>
        <v>4</v>
      </c>
      <c r="G18" s="23" t="str">
        <f t="shared" si="0"/>
        <v>4</v>
      </c>
      <c r="H18" s="23">
        <f>H15</f>
        <v>1</v>
      </c>
      <c r="I18" s="24"/>
      <c r="J18" s="24" t="s">
        <v>74</v>
      </c>
      <c r="K18" s="24" t="s">
        <v>68</v>
      </c>
      <c r="L18" s="24" t="s">
        <v>127</v>
      </c>
      <c r="M18" s="24" t="s">
        <v>69</v>
      </c>
      <c r="N18" s="24"/>
      <c r="O18" s="24"/>
      <c r="P18" s="24"/>
      <c r="Q18" s="24"/>
      <c r="R18" s="25"/>
      <c r="S18" s="25"/>
      <c r="T18" s="25"/>
      <c r="U18" s="5"/>
      <c r="X18">
        <f t="shared" si="1"/>
        <v>-7</v>
      </c>
    </row>
    <row r="19" spans="4:24" x14ac:dyDescent="0.55000000000000004">
      <c r="D19" s="4">
        <v>16</v>
      </c>
      <c r="E19" s="4"/>
      <c r="F19" s="23">
        <f t="shared" ref="F19" si="12">F18</f>
        <v>4</v>
      </c>
      <c r="G19" s="23" t="str">
        <f t="shared" si="0"/>
        <v>4</v>
      </c>
      <c r="H19" s="23">
        <f t="shared" ref="H19" si="13">H18+1</f>
        <v>2</v>
      </c>
      <c r="I19" s="24"/>
      <c r="J19" s="24" t="s">
        <v>74</v>
      </c>
      <c r="K19" s="24" t="s">
        <v>152</v>
      </c>
      <c r="L19" s="24" t="s">
        <v>153</v>
      </c>
      <c r="M19" s="24" t="s">
        <v>153</v>
      </c>
      <c r="N19" s="24"/>
      <c r="O19" s="24"/>
      <c r="P19" s="24"/>
      <c r="Q19" s="24"/>
      <c r="R19" s="25"/>
      <c r="S19" s="25"/>
      <c r="T19" s="25"/>
      <c r="U19" s="5"/>
      <c r="X19">
        <f t="shared" si="1"/>
        <v>-5</v>
      </c>
    </row>
    <row r="20" spans="4:24" x14ac:dyDescent="0.55000000000000004">
      <c r="D20" s="4">
        <v>17</v>
      </c>
      <c r="E20" s="4"/>
      <c r="F20" s="23">
        <f t="shared" si="10"/>
        <v>4</v>
      </c>
      <c r="G20" s="23" t="str">
        <f t="shared" si="0"/>
        <v>4</v>
      </c>
      <c r="H20" s="23">
        <f t="shared" si="11"/>
        <v>3</v>
      </c>
      <c r="I20" s="24"/>
      <c r="J20" s="24" t="s">
        <v>74</v>
      </c>
      <c r="K20" s="24" t="s">
        <v>78</v>
      </c>
      <c r="L20" s="24" t="s">
        <v>134</v>
      </c>
      <c r="M20" s="24" t="s">
        <v>83</v>
      </c>
      <c r="N20" s="24"/>
      <c r="O20" s="24"/>
      <c r="P20" s="24"/>
      <c r="Q20" s="24"/>
      <c r="R20" s="25"/>
      <c r="S20" s="25"/>
      <c r="T20" s="25"/>
      <c r="U20" s="5"/>
      <c r="X20">
        <f t="shared" si="1"/>
        <v>-6</v>
      </c>
    </row>
    <row r="21" spans="4:24" x14ac:dyDescent="0.55000000000000004">
      <c r="D21" s="4">
        <v>18</v>
      </c>
      <c r="E21" s="4"/>
      <c r="F21" s="23">
        <f t="shared" si="10"/>
        <v>4</v>
      </c>
      <c r="G21" s="23" t="str">
        <f t="shared" si="0"/>
        <v>4</v>
      </c>
      <c r="H21" s="23">
        <f t="shared" si="11"/>
        <v>4</v>
      </c>
      <c r="I21" s="24"/>
      <c r="J21" s="24" t="s">
        <v>74</v>
      </c>
      <c r="K21" s="24" t="s">
        <v>77</v>
      </c>
      <c r="L21" s="24" t="s">
        <v>135</v>
      </c>
      <c r="M21" s="24" t="s">
        <v>84</v>
      </c>
      <c r="N21" s="24"/>
      <c r="O21" s="24"/>
      <c r="P21" s="24"/>
      <c r="Q21" s="24"/>
      <c r="R21" s="25"/>
      <c r="S21" s="25"/>
      <c r="T21" s="25"/>
      <c r="U21" s="5"/>
      <c r="X21">
        <f t="shared" si="1"/>
        <v>-11</v>
      </c>
    </row>
    <row r="22" spans="4:24" x14ac:dyDescent="0.55000000000000004">
      <c r="D22" s="4">
        <v>19</v>
      </c>
      <c r="E22" s="4"/>
      <c r="F22" s="23">
        <f t="shared" si="10"/>
        <v>4</v>
      </c>
      <c r="G22" s="23" t="str">
        <f t="shared" si="0"/>
        <v>4</v>
      </c>
      <c r="H22" s="23">
        <f t="shared" si="11"/>
        <v>5</v>
      </c>
      <c r="I22" s="24"/>
      <c r="J22" s="24" t="s">
        <v>74</v>
      </c>
      <c r="K22" s="24" t="s">
        <v>88</v>
      </c>
      <c r="L22" s="24" t="s">
        <v>136</v>
      </c>
      <c r="M22" s="24" t="s">
        <v>89</v>
      </c>
      <c r="N22" s="6"/>
      <c r="O22" s="24"/>
      <c r="P22" s="24"/>
      <c r="Q22" s="24"/>
      <c r="R22" s="25"/>
      <c r="S22" s="25"/>
      <c r="T22" s="25"/>
      <c r="U22" s="5"/>
      <c r="X22">
        <f t="shared" si="1"/>
        <v>-8</v>
      </c>
    </row>
    <row r="23" spans="4:24" x14ac:dyDescent="0.55000000000000004">
      <c r="D23" s="4">
        <v>20</v>
      </c>
      <c r="E23" s="4"/>
      <c r="F23" s="23">
        <f t="shared" si="10"/>
        <v>4</v>
      </c>
      <c r="G23" s="23" t="str">
        <f t="shared" ref="G23" si="14">E23&amp;F23</f>
        <v>4</v>
      </c>
      <c r="H23" s="23">
        <f t="shared" si="11"/>
        <v>6</v>
      </c>
      <c r="I23" s="24"/>
      <c r="J23" s="24" t="s">
        <v>74</v>
      </c>
      <c r="K23" s="24" t="s">
        <v>81</v>
      </c>
      <c r="L23" s="24" t="s">
        <v>137</v>
      </c>
      <c r="M23" s="24" t="s">
        <v>85</v>
      </c>
      <c r="N23" s="6"/>
      <c r="O23" s="24"/>
      <c r="P23" s="24"/>
      <c r="Q23" s="24"/>
      <c r="R23" s="25"/>
      <c r="S23" s="25"/>
      <c r="T23" s="25"/>
      <c r="U23" s="5"/>
      <c r="X23">
        <f t="shared" si="1"/>
        <v>-6</v>
      </c>
    </row>
    <row r="24" spans="4:24" x14ac:dyDescent="0.55000000000000004">
      <c r="D24" s="4">
        <v>21</v>
      </c>
      <c r="E24" s="4"/>
      <c r="F24" s="23">
        <f>F18+1</f>
        <v>5</v>
      </c>
      <c r="G24" s="23" t="str">
        <f t="shared" si="0"/>
        <v>5</v>
      </c>
      <c r="H24" s="23">
        <f>H18</f>
        <v>1</v>
      </c>
      <c r="I24" s="24"/>
      <c r="J24" s="24" t="s">
        <v>75</v>
      </c>
      <c r="K24" s="24" t="s">
        <v>68</v>
      </c>
      <c r="L24" s="24" t="s">
        <v>127</v>
      </c>
      <c r="M24" s="24" t="s">
        <v>69</v>
      </c>
      <c r="N24" s="24"/>
      <c r="O24" s="24"/>
      <c r="P24" s="24"/>
      <c r="Q24" s="24"/>
      <c r="R24" s="25"/>
      <c r="S24" s="25"/>
      <c r="T24" s="25"/>
      <c r="U24" s="5"/>
      <c r="X24">
        <f t="shared" si="1"/>
        <v>-7</v>
      </c>
    </row>
    <row r="25" spans="4:24" x14ac:dyDescent="0.55000000000000004">
      <c r="D25" s="4">
        <v>22</v>
      </c>
      <c r="E25" s="4"/>
      <c r="F25" s="23">
        <f t="shared" ref="F25" si="15">F24</f>
        <v>5</v>
      </c>
      <c r="G25" s="23" t="str">
        <f t="shared" si="0"/>
        <v>5</v>
      </c>
      <c r="H25" s="23">
        <f t="shared" ref="H25" si="16">H24+1</f>
        <v>2</v>
      </c>
      <c r="I25" s="24"/>
      <c r="J25" s="24" t="s">
        <v>75</v>
      </c>
      <c r="K25" s="24" t="s">
        <v>80</v>
      </c>
      <c r="L25" s="24" t="s">
        <v>138</v>
      </c>
      <c r="M25" s="24" t="s">
        <v>86</v>
      </c>
      <c r="N25" s="24"/>
      <c r="O25" s="24"/>
      <c r="P25" s="24"/>
      <c r="Q25" s="24"/>
      <c r="R25" s="25"/>
      <c r="S25" s="25"/>
      <c r="T25" s="25"/>
      <c r="U25" s="5"/>
      <c r="X25">
        <f t="shared" si="1"/>
        <v>-5</v>
      </c>
    </row>
    <row r="26" spans="4:24" x14ac:dyDescent="0.55000000000000004">
      <c r="D26" s="4">
        <v>23</v>
      </c>
      <c r="E26" s="4"/>
      <c r="F26" s="23">
        <f t="shared" si="10"/>
        <v>5</v>
      </c>
      <c r="G26" s="23" t="str">
        <f t="shared" si="0"/>
        <v>5</v>
      </c>
      <c r="H26" s="23">
        <f t="shared" si="11"/>
        <v>3</v>
      </c>
      <c r="I26" s="24"/>
      <c r="J26" s="24" t="s">
        <v>75</v>
      </c>
      <c r="K26" s="24" t="s">
        <v>87</v>
      </c>
      <c r="L26" s="24" t="s">
        <v>139</v>
      </c>
      <c r="M26" s="24" t="s">
        <v>90</v>
      </c>
      <c r="N26" s="24"/>
      <c r="O26" s="24"/>
      <c r="P26" s="24"/>
      <c r="Q26" s="26"/>
      <c r="R26" s="27"/>
      <c r="S26" s="27"/>
      <c r="T26" s="27"/>
      <c r="U26" s="5"/>
      <c r="X26">
        <f t="shared" si="1"/>
        <v>-11</v>
      </c>
    </row>
    <row r="27" spans="4:24" x14ac:dyDescent="0.55000000000000004">
      <c r="D27" s="4">
        <v>24</v>
      </c>
      <c r="E27" s="4"/>
      <c r="F27" s="23">
        <f>F24+1</f>
        <v>6</v>
      </c>
      <c r="G27" s="23" t="str">
        <f t="shared" si="0"/>
        <v>6</v>
      </c>
      <c r="H27" s="23">
        <f>H24</f>
        <v>1</v>
      </c>
      <c r="I27" s="24"/>
      <c r="J27" s="24" t="s">
        <v>76</v>
      </c>
      <c r="K27" s="24" t="s">
        <v>68</v>
      </c>
      <c r="L27" s="24" t="s">
        <v>127</v>
      </c>
      <c r="M27" s="24" t="s">
        <v>98</v>
      </c>
      <c r="N27" s="24"/>
      <c r="O27" s="24"/>
      <c r="P27" s="24"/>
      <c r="Q27" s="26"/>
      <c r="R27" s="27"/>
      <c r="S27" s="27"/>
      <c r="T27" s="27"/>
      <c r="U27" s="5"/>
      <c r="X27">
        <f t="shared" si="1"/>
        <v>-7</v>
      </c>
    </row>
    <row r="28" spans="4:24" x14ac:dyDescent="0.55000000000000004">
      <c r="D28" s="4">
        <v>25</v>
      </c>
      <c r="E28" s="4"/>
      <c r="F28" s="23">
        <f t="shared" ref="F28:F29" si="17">F27</f>
        <v>6</v>
      </c>
      <c r="G28" s="23" t="str">
        <f t="shared" si="0"/>
        <v>6</v>
      </c>
      <c r="H28" s="23">
        <f t="shared" ref="H28:H29" si="18">H27+1</f>
        <v>2</v>
      </c>
      <c r="I28" s="24"/>
      <c r="J28" s="24" t="s">
        <v>76</v>
      </c>
      <c r="K28" s="24" t="s">
        <v>113</v>
      </c>
      <c r="L28" s="24" t="s">
        <v>140</v>
      </c>
      <c r="M28" s="24" t="s">
        <v>114</v>
      </c>
      <c r="N28" s="24"/>
      <c r="O28" s="24"/>
      <c r="P28" s="24"/>
      <c r="Q28" s="28"/>
      <c r="R28" s="29"/>
      <c r="S28" s="29"/>
      <c r="T28" s="29"/>
      <c r="U28" s="5"/>
      <c r="X28">
        <f t="shared" si="1"/>
        <v>-8</v>
      </c>
    </row>
    <row r="29" spans="4:24" x14ac:dyDescent="0.55000000000000004">
      <c r="D29" s="4">
        <v>26</v>
      </c>
      <c r="E29" s="4"/>
      <c r="F29" s="23">
        <f t="shared" si="17"/>
        <v>6</v>
      </c>
      <c r="G29" s="23" t="str">
        <f t="shared" ref="G29" si="19">E29&amp;F29</f>
        <v>6</v>
      </c>
      <c r="H29" s="23">
        <f t="shared" si="18"/>
        <v>3</v>
      </c>
      <c r="I29" s="24"/>
      <c r="J29" s="24" t="s">
        <v>76</v>
      </c>
      <c r="K29" s="24" t="s">
        <v>112</v>
      </c>
      <c r="L29" s="24" t="s">
        <v>141</v>
      </c>
      <c r="M29" s="24" t="s">
        <v>115</v>
      </c>
      <c r="N29" s="24"/>
      <c r="O29" s="24"/>
      <c r="P29" s="24"/>
      <c r="Q29" s="28"/>
      <c r="R29" s="29"/>
      <c r="S29" s="29"/>
      <c r="T29" s="29"/>
      <c r="U29" s="5"/>
      <c r="X29">
        <f t="shared" si="1"/>
        <v>-7</v>
      </c>
    </row>
    <row r="30" spans="4:24" x14ac:dyDescent="0.55000000000000004">
      <c r="D30" s="4">
        <v>27</v>
      </c>
      <c r="E30" s="4"/>
      <c r="F30" s="23">
        <f>F28</f>
        <v>6</v>
      </c>
      <c r="G30" s="23" t="str">
        <f t="shared" si="0"/>
        <v>6</v>
      </c>
      <c r="H30" s="23">
        <v>6</v>
      </c>
      <c r="I30" s="24"/>
      <c r="J30" s="24" t="s">
        <v>76</v>
      </c>
      <c r="K30" s="24" t="s">
        <v>103</v>
      </c>
      <c r="L30" s="24" t="s">
        <v>142</v>
      </c>
      <c r="M30" s="24" t="s">
        <v>104</v>
      </c>
      <c r="N30" s="24"/>
      <c r="O30" s="24"/>
      <c r="P30" s="24"/>
      <c r="Q30" s="26"/>
      <c r="R30" s="27"/>
      <c r="S30" s="27"/>
      <c r="T30" s="27"/>
      <c r="U30" s="5"/>
      <c r="X30">
        <f t="shared" si="1"/>
        <v>-12</v>
      </c>
    </row>
    <row r="31" spans="4:24" x14ac:dyDescent="0.55000000000000004">
      <c r="D31" s="4">
        <v>28</v>
      </c>
      <c r="E31" s="4"/>
      <c r="F31" s="23">
        <f t="shared" si="10"/>
        <v>6</v>
      </c>
      <c r="G31" s="23" t="str">
        <f t="shared" ref="G31" si="20">E31&amp;F31</f>
        <v>6</v>
      </c>
      <c r="H31" s="23">
        <f t="shared" si="11"/>
        <v>7</v>
      </c>
      <c r="I31" s="24"/>
      <c r="J31" s="24" t="s">
        <v>76</v>
      </c>
      <c r="K31" s="24" t="s">
        <v>79</v>
      </c>
      <c r="L31" s="24" t="s">
        <v>143</v>
      </c>
      <c r="M31" s="24" t="s">
        <v>105</v>
      </c>
      <c r="N31" s="24"/>
      <c r="O31" s="24"/>
      <c r="P31" s="24"/>
      <c r="Q31" s="26"/>
      <c r="R31" s="27"/>
      <c r="S31" s="27"/>
      <c r="T31" s="27"/>
      <c r="U31" s="5"/>
      <c r="X31">
        <f t="shared" si="1"/>
        <v>-6</v>
      </c>
    </row>
    <row r="32" spans="4:24" x14ac:dyDescent="0.55000000000000004">
      <c r="D32" s="4">
        <v>29</v>
      </c>
      <c r="E32" s="4"/>
      <c r="F32" s="23">
        <f>F27+1</f>
        <v>7</v>
      </c>
      <c r="G32" s="23" t="str">
        <f t="shared" si="0"/>
        <v>7</v>
      </c>
      <c r="H32" s="23">
        <f>H27</f>
        <v>1</v>
      </c>
      <c r="I32" s="24"/>
      <c r="J32" s="24" t="s">
        <v>109</v>
      </c>
      <c r="K32" s="24" t="s">
        <v>119</v>
      </c>
      <c r="L32" s="24" t="s">
        <v>133</v>
      </c>
      <c r="M32" s="24" t="s">
        <v>121</v>
      </c>
      <c r="N32" s="24"/>
      <c r="O32" s="24"/>
      <c r="P32" s="24"/>
      <c r="Q32" s="28"/>
      <c r="R32" s="29"/>
      <c r="S32" s="29"/>
      <c r="T32" s="29"/>
      <c r="U32" s="5"/>
      <c r="X32">
        <f t="shared" si="1"/>
        <v>-14</v>
      </c>
    </row>
    <row r="33" spans="4:24" x14ac:dyDescent="0.55000000000000004">
      <c r="D33" s="4">
        <v>30</v>
      </c>
      <c r="E33" s="4"/>
      <c r="F33" s="23">
        <f>F28+1</f>
        <v>7</v>
      </c>
      <c r="G33" s="23" t="str">
        <f t="shared" ref="G33" si="21">E33&amp;F33</f>
        <v>7</v>
      </c>
      <c r="H33" s="23">
        <f>H28</f>
        <v>2</v>
      </c>
      <c r="I33" s="24"/>
      <c r="J33" s="24" t="s">
        <v>109</v>
      </c>
      <c r="K33" s="24" t="s">
        <v>120</v>
      </c>
      <c r="L33" s="24" t="s">
        <v>144</v>
      </c>
      <c r="M33" s="24" t="s">
        <v>122</v>
      </c>
      <c r="N33" s="24"/>
      <c r="O33" s="24"/>
      <c r="P33" s="24"/>
      <c r="Q33" s="28"/>
      <c r="R33" s="29"/>
      <c r="S33" s="29"/>
      <c r="T33" s="29"/>
      <c r="U33" s="5"/>
      <c r="X33">
        <f t="shared" si="1"/>
        <v>-13</v>
      </c>
    </row>
    <row r="34" spans="4:24" x14ac:dyDescent="0.55000000000000004">
      <c r="D34" s="4">
        <v>31</v>
      </c>
      <c r="E34" s="4"/>
      <c r="F34" s="23">
        <f t="shared" ref="F34" si="22">F32</f>
        <v>7</v>
      </c>
      <c r="G34" s="23" t="str">
        <f t="shared" si="0"/>
        <v>7</v>
      </c>
      <c r="H34" s="23">
        <v>6</v>
      </c>
      <c r="I34" s="24"/>
      <c r="J34" s="24" t="s">
        <v>108</v>
      </c>
      <c r="K34" s="24" t="s">
        <v>110</v>
      </c>
      <c r="L34" s="24" t="s">
        <v>145</v>
      </c>
      <c r="M34" s="24" t="s">
        <v>111</v>
      </c>
      <c r="N34" s="24"/>
      <c r="O34" s="24"/>
      <c r="P34" s="24"/>
      <c r="Q34" s="28"/>
      <c r="R34" s="29"/>
      <c r="S34" s="29"/>
      <c r="T34" s="29"/>
      <c r="U34" s="5"/>
      <c r="X34">
        <f t="shared" si="1"/>
        <v>-12</v>
      </c>
    </row>
    <row r="35" spans="4:24" x14ac:dyDescent="0.55000000000000004">
      <c r="D35" s="4">
        <v>32</v>
      </c>
      <c r="E35" s="4"/>
      <c r="F35" s="30">
        <f>F32+1</f>
        <v>8</v>
      </c>
      <c r="G35" s="30" t="str">
        <f t="shared" si="0"/>
        <v>8</v>
      </c>
      <c r="H35" s="23">
        <f>H32</f>
        <v>1</v>
      </c>
      <c r="I35" s="6"/>
      <c r="J35" s="6" t="s">
        <v>116</v>
      </c>
      <c r="K35" s="6" t="s">
        <v>117</v>
      </c>
      <c r="L35" s="6" t="s">
        <v>146</v>
      </c>
      <c r="M35" s="6" t="s">
        <v>118</v>
      </c>
      <c r="N35" s="6"/>
      <c r="O35" s="6"/>
      <c r="P35" s="6"/>
      <c r="Q35" s="28"/>
      <c r="R35" s="29"/>
      <c r="S35" s="29"/>
      <c r="T35" s="29"/>
      <c r="U35" s="5"/>
      <c r="X35">
        <f t="shared" si="1"/>
        <v>-14</v>
      </c>
    </row>
    <row r="36" spans="4:24" x14ac:dyDescent="0.55000000000000004">
      <c r="D36" s="4"/>
      <c r="E36" s="4"/>
      <c r="F36" s="23">
        <f>F35+1</f>
        <v>9</v>
      </c>
      <c r="G36" s="23" t="str">
        <f t="shared" si="0"/>
        <v>9</v>
      </c>
      <c r="H36" s="23">
        <f>H35</f>
        <v>1</v>
      </c>
      <c r="I36" s="24"/>
      <c r="J36" s="24"/>
      <c r="K36" s="24"/>
      <c r="L36" s="24"/>
      <c r="M36" s="24"/>
      <c r="N36" s="24"/>
      <c r="O36" s="24"/>
      <c r="P36" s="24"/>
      <c r="Q36" s="24"/>
      <c r="R36" s="25"/>
      <c r="S36" s="25"/>
      <c r="T36" s="25"/>
      <c r="U36" s="5"/>
      <c r="X36">
        <f t="shared" si="1"/>
        <v>-28</v>
      </c>
    </row>
    <row r="37" spans="4:24" x14ac:dyDescent="0.55000000000000004">
      <c r="D37" s="4"/>
      <c r="E37" s="4"/>
      <c r="F37" s="23">
        <f t="shared" ref="F37" si="23">F36</f>
        <v>9</v>
      </c>
      <c r="G37" s="23" t="str">
        <f t="shared" si="0"/>
        <v>9</v>
      </c>
      <c r="H37" s="23">
        <f t="shared" ref="H37" si="24">H36+1</f>
        <v>2</v>
      </c>
      <c r="I37" s="24"/>
      <c r="J37" s="24"/>
      <c r="K37" s="24"/>
      <c r="L37" s="24"/>
      <c r="M37" s="24"/>
      <c r="N37" s="24"/>
      <c r="O37" s="24"/>
      <c r="P37" s="24"/>
      <c r="Q37" s="24"/>
      <c r="R37" s="25"/>
      <c r="S37" s="25"/>
      <c r="T37" s="25"/>
      <c r="U37" s="5"/>
      <c r="X37">
        <f t="shared" si="1"/>
        <v>-28</v>
      </c>
    </row>
    <row r="38" spans="4:24" x14ac:dyDescent="0.55000000000000004">
      <c r="D38" s="4"/>
      <c r="E38" s="4"/>
      <c r="F38" s="23">
        <f t="shared" si="10"/>
        <v>9</v>
      </c>
      <c r="G38" s="23" t="str">
        <f t="shared" si="0"/>
        <v>9</v>
      </c>
      <c r="H38" s="23">
        <f t="shared" si="11"/>
        <v>3</v>
      </c>
      <c r="I38" s="24"/>
      <c r="J38" s="24"/>
      <c r="K38" s="24"/>
      <c r="L38" s="24"/>
      <c r="M38" s="24"/>
      <c r="N38" s="24"/>
      <c r="O38" s="24"/>
      <c r="P38" s="24"/>
      <c r="Q38" s="24"/>
      <c r="R38" s="25"/>
      <c r="S38" s="25"/>
      <c r="T38" s="25"/>
      <c r="U38" s="5"/>
      <c r="X38">
        <f t="shared" si="1"/>
        <v>-28</v>
      </c>
    </row>
    <row r="39" spans="4:24" x14ac:dyDescent="0.55000000000000004">
      <c r="D39" s="4"/>
      <c r="E39" s="4"/>
      <c r="F39" s="23">
        <f t="shared" si="10"/>
        <v>9</v>
      </c>
      <c r="G39" s="23" t="str">
        <f t="shared" si="0"/>
        <v>9</v>
      </c>
      <c r="H39" s="23">
        <f t="shared" si="11"/>
        <v>4</v>
      </c>
      <c r="I39" s="24"/>
      <c r="J39" s="24"/>
      <c r="K39" s="24"/>
      <c r="L39" s="24"/>
      <c r="M39" s="24"/>
      <c r="N39" s="31"/>
      <c r="O39" s="24"/>
      <c r="P39" s="24"/>
      <c r="Q39" s="24"/>
      <c r="R39" s="25"/>
      <c r="S39" s="25"/>
      <c r="T39" s="25"/>
      <c r="U39" s="5"/>
      <c r="X39">
        <f t="shared" si="1"/>
        <v>-28</v>
      </c>
    </row>
    <row r="40" spans="4:24" x14ac:dyDescent="0.55000000000000004">
      <c r="D40" s="4"/>
      <c r="E40" s="4"/>
      <c r="F40" s="23">
        <f t="shared" si="10"/>
        <v>9</v>
      </c>
      <c r="G40" s="23" t="str">
        <f t="shared" si="0"/>
        <v>9</v>
      </c>
      <c r="H40" s="23">
        <f t="shared" si="11"/>
        <v>5</v>
      </c>
      <c r="I40" s="24"/>
      <c r="J40" s="24"/>
      <c r="K40" s="24"/>
      <c r="L40" s="24"/>
      <c r="M40" s="24"/>
      <c r="N40" s="24"/>
      <c r="O40" s="24"/>
      <c r="P40" s="24"/>
      <c r="Q40" s="24"/>
      <c r="R40" s="25"/>
      <c r="S40" s="25"/>
      <c r="T40" s="25"/>
      <c r="U40" s="5"/>
      <c r="X40">
        <f t="shared" si="1"/>
        <v>-28</v>
      </c>
    </row>
    <row r="41" spans="4:24" x14ac:dyDescent="0.55000000000000004">
      <c r="D41" s="4"/>
      <c r="E41" s="4"/>
      <c r="F41" s="23">
        <f t="shared" ref="F41" si="25">F36+1</f>
        <v>10</v>
      </c>
      <c r="G41" s="23" t="str">
        <f t="shared" si="0"/>
        <v>10</v>
      </c>
      <c r="H41" s="23">
        <f t="shared" ref="H41" si="26">H36</f>
        <v>1</v>
      </c>
      <c r="I41" s="24"/>
      <c r="J41" s="24"/>
      <c r="K41" s="24"/>
      <c r="L41" s="24"/>
      <c r="M41" s="24"/>
      <c r="N41" s="24"/>
      <c r="O41" s="24"/>
      <c r="P41" s="24"/>
      <c r="Q41" s="24"/>
      <c r="R41" s="25"/>
      <c r="S41" s="25"/>
      <c r="T41" s="25"/>
      <c r="U41" s="5"/>
      <c r="X41">
        <f t="shared" si="1"/>
        <v>-28</v>
      </c>
    </row>
    <row r="42" spans="4:24" x14ac:dyDescent="0.55000000000000004">
      <c r="D42" s="4"/>
      <c r="E42" s="4"/>
      <c r="F42" s="23">
        <f t="shared" ref="F42" si="27">F41</f>
        <v>10</v>
      </c>
      <c r="G42" s="23" t="str">
        <f t="shared" si="0"/>
        <v>10</v>
      </c>
      <c r="H42" s="23">
        <f t="shared" ref="H42" si="28">H41+1</f>
        <v>2</v>
      </c>
      <c r="I42" s="24"/>
      <c r="J42" s="24"/>
      <c r="K42" s="24"/>
      <c r="L42" s="24"/>
      <c r="M42" s="24"/>
      <c r="N42" s="24"/>
      <c r="O42" s="24"/>
      <c r="P42" s="24"/>
      <c r="Q42" s="24"/>
      <c r="R42" s="25"/>
      <c r="S42" s="25"/>
      <c r="T42" s="25"/>
      <c r="U42" s="5"/>
      <c r="X42">
        <f t="shared" si="1"/>
        <v>-28</v>
      </c>
    </row>
    <row r="43" spans="4:24" x14ac:dyDescent="0.55000000000000004">
      <c r="D43" s="4"/>
      <c r="E43" s="4"/>
      <c r="F43" s="23">
        <f t="shared" si="10"/>
        <v>10</v>
      </c>
      <c r="G43" s="23" t="str">
        <f t="shared" si="0"/>
        <v>10</v>
      </c>
      <c r="H43" s="23">
        <f t="shared" si="11"/>
        <v>3</v>
      </c>
      <c r="I43" s="24"/>
      <c r="J43" s="24"/>
      <c r="K43" s="24"/>
      <c r="L43" s="24"/>
      <c r="M43" s="24"/>
      <c r="N43" s="24"/>
      <c r="O43" s="24"/>
      <c r="P43" s="24"/>
      <c r="Q43" s="24"/>
      <c r="R43" s="25"/>
      <c r="S43" s="25"/>
      <c r="T43" s="25"/>
      <c r="U43" s="5"/>
      <c r="X43">
        <f t="shared" si="1"/>
        <v>-28</v>
      </c>
    </row>
    <row r="44" spans="4:24" x14ac:dyDescent="0.55000000000000004">
      <c r="D44" s="4"/>
      <c r="E44" s="4"/>
      <c r="F44" s="23">
        <f t="shared" si="10"/>
        <v>10</v>
      </c>
      <c r="G44" s="23" t="str">
        <f t="shared" si="0"/>
        <v>10</v>
      </c>
      <c r="H44" s="23">
        <f t="shared" si="11"/>
        <v>4</v>
      </c>
      <c r="I44" s="24"/>
      <c r="J44" s="24"/>
      <c r="K44" s="24"/>
      <c r="L44" s="24"/>
      <c r="M44" s="24"/>
      <c r="N44" s="24"/>
      <c r="O44" s="24"/>
      <c r="P44" s="24"/>
      <c r="Q44" s="24"/>
      <c r="R44" s="25"/>
      <c r="S44" s="25"/>
      <c r="T44" s="25"/>
      <c r="U44" s="5"/>
      <c r="X44">
        <f t="shared" si="1"/>
        <v>-28</v>
      </c>
    </row>
    <row r="45" spans="4:24" x14ac:dyDescent="0.55000000000000004">
      <c r="D45" s="4"/>
      <c r="E45" s="4"/>
      <c r="F45" s="23">
        <f t="shared" si="10"/>
        <v>10</v>
      </c>
      <c r="G45" s="23" t="str">
        <f t="shared" si="0"/>
        <v>10</v>
      </c>
      <c r="H45" s="23">
        <f t="shared" si="11"/>
        <v>5</v>
      </c>
      <c r="I45" s="24"/>
      <c r="J45" s="24"/>
      <c r="K45" s="24"/>
      <c r="L45" s="24"/>
      <c r="M45" s="24"/>
      <c r="N45" s="24"/>
      <c r="O45" s="24"/>
      <c r="P45" s="24"/>
      <c r="Q45" s="24"/>
      <c r="R45" s="25"/>
      <c r="S45" s="25"/>
      <c r="T45" s="25"/>
      <c r="U45" s="5"/>
      <c r="X45">
        <f t="shared" si="1"/>
        <v>-28</v>
      </c>
    </row>
    <row r="46" spans="4:24" x14ac:dyDescent="0.55000000000000004">
      <c r="D46" s="4"/>
      <c r="E46" s="4"/>
      <c r="F46" s="23">
        <f t="shared" ref="F46" si="29">F41+1</f>
        <v>11</v>
      </c>
      <c r="G46" s="23" t="str">
        <f t="shared" si="0"/>
        <v>11</v>
      </c>
      <c r="H46" s="23">
        <f t="shared" ref="H46" si="30">H41</f>
        <v>1</v>
      </c>
      <c r="I46" s="24"/>
      <c r="J46" s="24"/>
      <c r="K46" s="24"/>
      <c r="L46" s="24"/>
      <c r="M46" s="24"/>
      <c r="N46" s="24"/>
      <c r="O46" s="24"/>
      <c r="P46" s="24"/>
      <c r="Q46" s="24"/>
      <c r="R46" s="25"/>
      <c r="S46" s="25"/>
      <c r="T46" s="25"/>
      <c r="U46" s="5"/>
      <c r="X46">
        <f t="shared" si="1"/>
        <v>-28</v>
      </c>
    </row>
    <row r="47" spans="4:24" x14ac:dyDescent="0.55000000000000004">
      <c r="D47" s="4"/>
      <c r="E47" s="4"/>
      <c r="F47" s="23">
        <f t="shared" ref="F47" si="31">F46</f>
        <v>11</v>
      </c>
      <c r="G47" s="23" t="str">
        <f t="shared" si="0"/>
        <v>11</v>
      </c>
      <c r="H47" s="23">
        <f t="shared" ref="H47" si="32">H46+1</f>
        <v>2</v>
      </c>
      <c r="I47" s="24"/>
      <c r="J47" s="24"/>
      <c r="K47" s="24"/>
      <c r="L47" s="24"/>
      <c r="M47" s="24"/>
      <c r="N47" s="24"/>
      <c r="O47" s="24"/>
      <c r="P47" s="24"/>
      <c r="Q47" s="24"/>
      <c r="R47" s="25"/>
      <c r="S47" s="25"/>
      <c r="T47" s="25"/>
      <c r="U47" s="5"/>
      <c r="X47">
        <f t="shared" si="1"/>
        <v>-28</v>
      </c>
    </row>
    <row r="48" spans="4:24" x14ac:dyDescent="0.55000000000000004">
      <c r="D48" s="4"/>
      <c r="E48" s="4"/>
      <c r="F48" s="23">
        <f t="shared" si="10"/>
        <v>11</v>
      </c>
      <c r="G48" s="23" t="str">
        <f t="shared" si="0"/>
        <v>11</v>
      </c>
      <c r="H48" s="23">
        <f t="shared" si="11"/>
        <v>3</v>
      </c>
      <c r="I48" s="24"/>
      <c r="J48" s="24"/>
      <c r="K48" s="24"/>
      <c r="L48" s="24"/>
      <c r="M48" s="24"/>
      <c r="N48" s="24"/>
      <c r="O48" s="24"/>
      <c r="P48" s="24"/>
      <c r="Q48" s="24"/>
      <c r="R48" s="25"/>
      <c r="S48" s="25"/>
      <c r="T48" s="25"/>
      <c r="U48" s="5"/>
      <c r="X48">
        <f t="shared" si="1"/>
        <v>-28</v>
      </c>
    </row>
    <row r="49" spans="4:24" x14ac:dyDescent="0.55000000000000004">
      <c r="D49" s="4"/>
      <c r="E49" s="4"/>
      <c r="F49" s="23">
        <f t="shared" si="10"/>
        <v>11</v>
      </c>
      <c r="G49" s="23" t="str">
        <f t="shared" si="0"/>
        <v>11</v>
      </c>
      <c r="H49" s="23">
        <f t="shared" si="11"/>
        <v>4</v>
      </c>
      <c r="I49" s="24"/>
      <c r="J49" s="24"/>
      <c r="K49" s="24"/>
      <c r="L49" s="24"/>
      <c r="M49" s="24"/>
      <c r="N49" s="24"/>
      <c r="O49" s="24"/>
      <c r="P49" s="24"/>
      <c r="Q49" s="24"/>
      <c r="R49" s="25"/>
      <c r="S49" s="25"/>
      <c r="T49" s="25"/>
      <c r="U49" s="5"/>
      <c r="X49">
        <f t="shared" si="1"/>
        <v>-28</v>
      </c>
    </row>
    <row r="50" spans="4:24" x14ac:dyDescent="0.55000000000000004">
      <c r="D50" s="4"/>
      <c r="E50" s="4"/>
      <c r="F50" s="23">
        <f t="shared" si="10"/>
        <v>11</v>
      </c>
      <c r="G50" s="23" t="str">
        <f t="shared" si="0"/>
        <v>11</v>
      </c>
      <c r="H50" s="23">
        <f t="shared" si="11"/>
        <v>5</v>
      </c>
      <c r="I50" s="24"/>
      <c r="J50" s="24"/>
      <c r="K50" s="24"/>
      <c r="L50" s="24"/>
      <c r="M50" s="24"/>
      <c r="N50" s="24"/>
      <c r="O50" s="24"/>
      <c r="P50" s="24"/>
      <c r="Q50" s="24"/>
      <c r="R50" s="25"/>
      <c r="S50" s="25"/>
      <c r="T50" s="25"/>
      <c r="U50" s="5"/>
      <c r="X50">
        <f t="shared" si="1"/>
        <v>-28</v>
      </c>
    </row>
    <row r="51" spans="4:24" x14ac:dyDescent="0.55000000000000004">
      <c r="D51" s="4"/>
      <c r="E51" s="4"/>
      <c r="F51" s="23">
        <f t="shared" ref="F51" si="33">F46+1</f>
        <v>12</v>
      </c>
      <c r="G51" s="23" t="str">
        <f t="shared" si="0"/>
        <v>12</v>
      </c>
      <c r="H51" s="23">
        <f t="shared" ref="H51" si="34">H46</f>
        <v>1</v>
      </c>
      <c r="I51" s="24"/>
      <c r="J51" s="24"/>
      <c r="K51" s="24"/>
      <c r="L51" s="24"/>
      <c r="M51" s="24"/>
      <c r="N51" s="24"/>
      <c r="O51" s="24"/>
      <c r="P51" s="24"/>
      <c r="Q51" s="24"/>
      <c r="R51" s="25"/>
      <c r="S51" s="25"/>
      <c r="T51" s="25"/>
      <c r="U51" s="5"/>
      <c r="X51">
        <f t="shared" si="1"/>
        <v>-28</v>
      </c>
    </row>
    <row r="52" spans="4:24" x14ac:dyDescent="0.55000000000000004">
      <c r="D52" s="4"/>
      <c r="E52" s="4"/>
      <c r="F52" s="23">
        <f t="shared" ref="F52" si="35">F51</f>
        <v>12</v>
      </c>
      <c r="G52" s="23" t="str">
        <f t="shared" si="0"/>
        <v>12</v>
      </c>
      <c r="H52" s="23">
        <f t="shared" ref="H52" si="36">H51+1</f>
        <v>2</v>
      </c>
      <c r="I52" s="24"/>
      <c r="J52" s="24"/>
      <c r="K52" s="24"/>
      <c r="L52" s="24"/>
      <c r="M52" s="24"/>
      <c r="N52" s="24"/>
      <c r="O52" s="24"/>
      <c r="P52" s="24"/>
      <c r="Q52" s="24"/>
      <c r="R52" s="25"/>
      <c r="S52" s="25"/>
      <c r="T52" s="25"/>
      <c r="U52" s="5"/>
      <c r="X52">
        <f t="shared" si="1"/>
        <v>-28</v>
      </c>
    </row>
    <row r="53" spans="4:24" x14ac:dyDescent="0.55000000000000004">
      <c r="D53" s="4"/>
      <c r="E53" s="4"/>
      <c r="F53" s="23">
        <f t="shared" si="10"/>
        <v>12</v>
      </c>
      <c r="G53" s="23" t="str">
        <f t="shared" si="0"/>
        <v>12</v>
      </c>
      <c r="H53" s="23">
        <f t="shared" si="11"/>
        <v>3</v>
      </c>
      <c r="I53" s="24"/>
      <c r="J53" s="24"/>
      <c r="K53" s="24"/>
      <c r="L53" s="24"/>
      <c r="M53" s="24"/>
      <c r="N53" s="24"/>
      <c r="O53" s="24"/>
      <c r="P53" s="24"/>
      <c r="Q53" s="24"/>
      <c r="R53" s="25"/>
      <c r="S53" s="25"/>
      <c r="T53" s="25"/>
      <c r="U53" s="5"/>
      <c r="X53">
        <f t="shared" si="1"/>
        <v>-28</v>
      </c>
    </row>
    <row r="54" spans="4:24" x14ac:dyDescent="0.55000000000000004">
      <c r="D54" s="4"/>
      <c r="E54" s="4"/>
      <c r="F54" s="23">
        <f t="shared" si="10"/>
        <v>12</v>
      </c>
      <c r="G54" s="23" t="str">
        <f t="shared" si="0"/>
        <v>12</v>
      </c>
      <c r="H54" s="23">
        <f t="shared" si="11"/>
        <v>4</v>
      </c>
      <c r="I54" s="24"/>
      <c r="J54" s="24"/>
      <c r="K54" s="24"/>
      <c r="L54" s="24"/>
      <c r="M54" s="24"/>
      <c r="N54" s="24"/>
      <c r="O54" s="24"/>
      <c r="P54" s="24"/>
      <c r="Q54" s="24"/>
      <c r="R54" s="25"/>
      <c r="S54" s="25"/>
      <c r="T54" s="25"/>
      <c r="U54" s="5"/>
      <c r="X54">
        <f t="shared" si="1"/>
        <v>-28</v>
      </c>
    </row>
    <row r="55" spans="4:24" x14ac:dyDescent="0.55000000000000004">
      <c r="D55" s="4"/>
      <c r="E55" s="4"/>
      <c r="F55" s="23">
        <f t="shared" si="10"/>
        <v>12</v>
      </c>
      <c r="G55" s="23" t="str">
        <f t="shared" si="0"/>
        <v>12</v>
      </c>
      <c r="H55" s="23">
        <f t="shared" si="11"/>
        <v>5</v>
      </c>
      <c r="I55" s="24"/>
      <c r="J55" s="24"/>
      <c r="K55" s="24"/>
      <c r="L55" s="24"/>
      <c r="M55" s="24"/>
      <c r="N55" s="24"/>
      <c r="O55" s="24"/>
      <c r="P55" s="24"/>
      <c r="Q55" s="24"/>
      <c r="R55" s="25"/>
      <c r="S55" s="25"/>
      <c r="T55" s="25"/>
      <c r="U55" s="5"/>
      <c r="X55">
        <f t="shared" si="1"/>
        <v>-28</v>
      </c>
    </row>
    <row r="56" spans="4:24" x14ac:dyDescent="0.55000000000000004">
      <c r="D56" s="4"/>
      <c r="E56" s="4"/>
      <c r="F56" s="23">
        <f t="shared" ref="F56:F86" si="37">F51+1</f>
        <v>13</v>
      </c>
      <c r="G56" s="23" t="str">
        <f t="shared" si="0"/>
        <v>13</v>
      </c>
      <c r="H56" s="23">
        <f t="shared" ref="H56" si="38">H51</f>
        <v>1</v>
      </c>
      <c r="I56" s="24"/>
      <c r="J56" s="24"/>
      <c r="K56" s="24"/>
      <c r="L56" s="24"/>
      <c r="M56" s="24"/>
      <c r="N56" s="24"/>
      <c r="O56" s="24"/>
      <c r="P56" s="24"/>
      <c r="Q56" s="24"/>
      <c r="R56" s="25"/>
      <c r="S56" s="25"/>
      <c r="T56" s="25"/>
      <c r="U56" s="5"/>
      <c r="X56">
        <f t="shared" si="1"/>
        <v>-28</v>
      </c>
    </row>
    <row r="57" spans="4:24" x14ac:dyDescent="0.55000000000000004">
      <c r="D57" s="4"/>
      <c r="E57" s="4"/>
      <c r="F57" s="23">
        <f t="shared" ref="F57:F87" si="39">F56</f>
        <v>13</v>
      </c>
      <c r="G57" s="23" t="str">
        <f t="shared" si="0"/>
        <v>13</v>
      </c>
      <c r="H57" s="23">
        <f t="shared" ref="H57" si="40">H56+1</f>
        <v>2</v>
      </c>
      <c r="I57" s="24"/>
      <c r="J57" s="24"/>
      <c r="K57" s="24"/>
      <c r="L57" s="24"/>
      <c r="M57" s="24"/>
      <c r="N57" s="24"/>
      <c r="O57" s="24"/>
      <c r="P57" s="24"/>
      <c r="Q57" s="24"/>
      <c r="R57" s="25"/>
      <c r="S57" s="25"/>
      <c r="T57" s="25"/>
      <c r="U57" s="5"/>
      <c r="X57">
        <f t="shared" si="1"/>
        <v>-28</v>
      </c>
    </row>
    <row r="58" spans="4:24" x14ac:dyDescent="0.55000000000000004">
      <c r="D58" s="4"/>
      <c r="E58" s="4"/>
      <c r="F58" s="23">
        <f t="shared" si="10"/>
        <v>13</v>
      </c>
      <c r="G58" s="23" t="str">
        <f t="shared" si="0"/>
        <v>13</v>
      </c>
      <c r="H58" s="23">
        <f t="shared" si="11"/>
        <v>3</v>
      </c>
      <c r="I58" s="24"/>
      <c r="J58" s="24"/>
      <c r="K58" s="24"/>
      <c r="L58" s="24"/>
      <c r="M58" s="24"/>
      <c r="N58" s="24"/>
      <c r="O58" s="24"/>
      <c r="P58" s="24"/>
      <c r="Q58" s="24"/>
      <c r="R58" s="25"/>
      <c r="S58" s="25"/>
      <c r="T58" s="25"/>
      <c r="U58" s="5"/>
      <c r="X58">
        <f t="shared" si="1"/>
        <v>-28</v>
      </c>
    </row>
    <row r="59" spans="4:24" x14ac:dyDescent="0.55000000000000004">
      <c r="D59" s="4"/>
      <c r="E59" s="4"/>
      <c r="F59" s="23">
        <f t="shared" si="10"/>
        <v>13</v>
      </c>
      <c r="G59" s="23" t="str">
        <f t="shared" si="0"/>
        <v>13</v>
      </c>
      <c r="H59" s="23">
        <f t="shared" si="11"/>
        <v>4</v>
      </c>
      <c r="I59" s="24"/>
      <c r="J59" s="24"/>
      <c r="K59" s="24"/>
      <c r="L59" s="24"/>
      <c r="M59" s="24"/>
      <c r="N59" s="24"/>
      <c r="O59" s="24"/>
      <c r="P59" s="24"/>
      <c r="Q59" s="24"/>
      <c r="R59" s="25"/>
      <c r="S59" s="25"/>
      <c r="T59" s="25"/>
      <c r="U59" s="5"/>
      <c r="X59">
        <f t="shared" si="1"/>
        <v>-28</v>
      </c>
    </row>
    <row r="60" spans="4:24" x14ac:dyDescent="0.55000000000000004">
      <c r="D60" s="4"/>
      <c r="E60" s="4"/>
      <c r="F60" s="23">
        <f t="shared" si="10"/>
        <v>13</v>
      </c>
      <c r="G60" s="23" t="str">
        <f t="shared" si="0"/>
        <v>13</v>
      </c>
      <c r="H60" s="23">
        <f t="shared" si="11"/>
        <v>5</v>
      </c>
      <c r="I60" s="24"/>
      <c r="J60" s="24"/>
      <c r="K60" s="24"/>
      <c r="L60" s="24"/>
      <c r="M60" s="24"/>
      <c r="N60" s="24"/>
      <c r="O60" s="24"/>
      <c r="P60" s="24"/>
      <c r="Q60" s="24"/>
      <c r="R60" s="25"/>
      <c r="S60" s="25"/>
      <c r="T60" s="25"/>
      <c r="U60" s="5"/>
      <c r="X60">
        <f t="shared" si="1"/>
        <v>-28</v>
      </c>
    </row>
    <row r="61" spans="4:24" x14ac:dyDescent="0.55000000000000004">
      <c r="D61" s="4"/>
      <c r="E61" s="4"/>
      <c r="F61" s="23">
        <f t="shared" si="37"/>
        <v>14</v>
      </c>
      <c r="G61" s="23" t="str">
        <f t="shared" ref="G61:G90" si="41">E61&amp;F61</f>
        <v>14</v>
      </c>
      <c r="H61" s="23">
        <f t="shared" ref="H61" si="42">H56</f>
        <v>1</v>
      </c>
      <c r="I61" s="24"/>
      <c r="J61" s="24"/>
      <c r="K61" s="24"/>
      <c r="L61" s="24"/>
      <c r="M61" s="24"/>
      <c r="N61" s="24"/>
      <c r="O61" s="24"/>
      <c r="P61" s="24"/>
      <c r="Q61" s="24"/>
      <c r="R61" s="25"/>
      <c r="S61" s="25"/>
      <c r="T61" s="25"/>
      <c r="U61" s="5"/>
      <c r="X61">
        <f t="shared" si="1"/>
        <v>-28</v>
      </c>
    </row>
    <row r="62" spans="4:24" x14ac:dyDescent="0.55000000000000004">
      <c r="D62" s="4"/>
      <c r="E62" s="4"/>
      <c r="F62" s="23">
        <f t="shared" si="39"/>
        <v>14</v>
      </c>
      <c r="G62" s="23" t="str">
        <f t="shared" si="41"/>
        <v>14</v>
      </c>
      <c r="H62" s="23">
        <f t="shared" ref="H62" si="43">H61+1</f>
        <v>2</v>
      </c>
      <c r="I62" s="24"/>
      <c r="J62" s="24"/>
      <c r="K62" s="24"/>
      <c r="L62" s="24"/>
      <c r="M62" s="24"/>
      <c r="N62" s="24"/>
      <c r="O62" s="24"/>
      <c r="P62" s="24"/>
      <c r="Q62" s="24"/>
      <c r="R62" s="25"/>
      <c r="S62" s="25"/>
      <c r="T62" s="25"/>
      <c r="U62" s="5"/>
      <c r="X62">
        <f t="shared" si="1"/>
        <v>-28</v>
      </c>
    </row>
    <row r="63" spans="4:24" x14ac:dyDescent="0.55000000000000004">
      <c r="D63" s="4"/>
      <c r="E63" s="4"/>
      <c r="F63" s="23">
        <f t="shared" si="10"/>
        <v>14</v>
      </c>
      <c r="G63" s="23" t="str">
        <f t="shared" si="41"/>
        <v>14</v>
      </c>
      <c r="H63" s="23">
        <f t="shared" si="11"/>
        <v>3</v>
      </c>
      <c r="I63" s="24"/>
      <c r="J63" s="24"/>
      <c r="K63" s="24"/>
      <c r="L63" s="24"/>
      <c r="M63" s="24"/>
      <c r="N63" s="24"/>
      <c r="O63" s="24"/>
      <c r="P63" s="24"/>
      <c r="Q63" s="24"/>
      <c r="R63" s="25"/>
      <c r="S63" s="25"/>
      <c r="T63" s="25"/>
      <c r="U63" s="5"/>
      <c r="X63">
        <f t="shared" si="1"/>
        <v>-28</v>
      </c>
    </row>
    <row r="64" spans="4:24" x14ac:dyDescent="0.55000000000000004">
      <c r="D64" s="4"/>
      <c r="E64" s="4"/>
      <c r="F64" s="23">
        <f t="shared" si="10"/>
        <v>14</v>
      </c>
      <c r="G64" s="23" t="str">
        <f t="shared" si="41"/>
        <v>14</v>
      </c>
      <c r="H64" s="23">
        <f t="shared" si="11"/>
        <v>4</v>
      </c>
      <c r="I64" s="24"/>
      <c r="J64" s="24"/>
      <c r="K64" s="24"/>
      <c r="L64" s="24"/>
      <c r="M64" s="24"/>
      <c r="N64" s="24"/>
      <c r="O64" s="24"/>
      <c r="P64" s="24"/>
      <c r="Q64" s="24"/>
      <c r="R64" s="25"/>
      <c r="S64" s="25"/>
      <c r="T64" s="25"/>
      <c r="U64" s="5"/>
      <c r="X64">
        <f t="shared" si="1"/>
        <v>-28</v>
      </c>
    </row>
    <row r="65" spans="4:24" x14ac:dyDescent="0.55000000000000004">
      <c r="D65" s="4"/>
      <c r="E65" s="4"/>
      <c r="F65" s="23">
        <f t="shared" si="10"/>
        <v>14</v>
      </c>
      <c r="G65" s="23" t="str">
        <f t="shared" si="41"/>
        <v>14</v>
      </c>
      <c r="H65" s="23">
        <f t="shared" si="11"/>
        <v>5</v>
      </c>
      <c r="I65" s="24"/>
      <c r="J65" s="24"/>
      <c r="K65" s="24"/>
      <c r="L65" s="24"/>
      <c r="M65" s="24"/>
      <c r="N65" s="24"/>
      <c r="O65" s="24"/>
      <c r="P65" s="24"/>
      <c r="Q65" s="24"/>
      <c r="R65" s="25"/>
      <c r="S65" s="25"/>
      <c r="T65" s="25"/>
      <c r="U65" s="5"/>
      <c r="X65">
        <f t="shared" si="1"/>
        <v>-28</v>
      </c>
    </row>
    <row r="66" spans="4:24" x14ac:dyDescent="0.55000000000000004">
      <c r="D66" s="4"/>
      <c r="E66" s="4"/>
      <c r="F66" s="23">
        <f t="shared" si="37"/>
        <v>15</v>
      </c>
      <c r="G66" s="23" t="str">
        <f t="shared" si="41"/>
        <v>15</v>
      </c>
      <c r="H66" s="23">
        <f t="shared" ref="H66" si="44">H61</f>
        <v>1</v>
      </c>
      <c r="I66" s="24"/>
      <c r="J66" s="24"/>
      <c r="K66" s="24"/>
      <c r="L66" s="24"/>
      <c r="M66" s="24"/>
      <c r="N66" s="24"/>
      <c r="O66" s="24"/>
      <c r="P66" s="24"/>
      <c r="Q66" s="24"/>
      <c r="R66" s="25"/>
      <c r="S66" s="25"/>
      <c r="T66" s="25"/>
      <c r="U66" s="5"/>
      <c r="X66">
        <f t="shared" si="1"/>
        <v>-28</v>
      </c>
    </row>
    <row r="67" spans="4:24" x14ac:dyDescent="0.55000000000000004">
      <c r="D67" s="4"/>
      <c r="E67" s="4"/>
      <c r="F67" s="23">
        <f t="shared" si="39"/>
        <v>15</v>
      </c>
      <c r="G67" s="23" t="str">
        <f t="shared" si="41"/>
        <v>15</v>
      </c>
      <c r="H67" s="23">
        <f t="shared" ref="H67" si="45">H66+1</f>
        <v>2</v>
      </c>
      <c r="I67" s="24"/>
      <c r="J67" s="24"/>
      <c r="K67" s="24"/>
      <c r="L67" s="24"/>
      <c r="M67" s="24"/>
      <c r="N67" s="24"/>
      <c r="O67" s="24"/>
      <c r="P67" s="24"/>
      <c r="Q67" s="24"/>
      <c r="R67" s="25"/>
      <c r="S67" s="25"/>
      <c r="T67" s="25"/>
      <c r="U67" s="5"/>
      <c r="X67">
        <f t="shared" si="1"/>
        <v>-28</v>
      </c>
    </row>
    <row r="68" spans="4:24" x14ac:dyDescent="0.55000000000000004">
      <c r="D68" s="4"/>
      <c r="E68" s="4"/>
      <c r="F68" s="23">
        <f t="shared" si="10"/>
        <v>15</v>
      </c>
      <c r="G68" s="23" t="str">
        <f t="shared" si="41"/>
        <v>15</v>
      </c>
      <c r="H68" s="23">
        <f t="shared" si="11"/>
        <v>3</v>
      </c>
      <c r="I68" s="24"/>
      <c r="J68" s="24"/>
      <c r="K68" s="24"/>
      <c r="L68" s="24"/>
      <c r="M68" s="24"/>
      <c r="N68" s="24"/>
      <c r="O68" s="24"/>
      <c r="P68" s="24"/>
      <c r="Q68" s="24"/>
      <c r="R68" s="25"/>
      <c r="S68" s="25"/>
      <c r="T68" s="25"/>
      <c r="U68" s="5"/>
      <c r="X68">
        <f t="shared" ref="X68:X91" si="46">LENB(L68)-$B$3</f>
        <v>-28</v>
      </c>
    </row>
    <row r="69" spans="4:24" x14ac:dyDescent="0.55000000000000004">
      <c r="D69" s="4"/>
      <c r="E69" s="4"/>
      <c r="F69" s="23">
        <f t="shared" si="10"/>
        <v>15</v>
      </c>
      <c r="G69" s="23" t="str">
        <f t="shared" si="41"/>
        <v>15</v>
      </c>
      <c r="H69" s="23">
        <f t="shared" si="11"/>
        <v>4</v>
      </c>
      <c r="I69" s="24"/>
      <c r="J69" s="24"/>
      <c r="K69" s="24"/>
      <c r="L69" s="24"/>
      <c r="M69" s="24"/>
      <c r="N69" s="24"/>
      <c r="O69" s="24"/>
      <c r="P69" s="24"/>
      <c r="Q69" s="24"/>
      <c r="R69" s="25"/>
      <c r="S69" s="25"/>
      <c r="T69" s="25"/>
      <c r="U69" s="5"/>
      <c r="X69">
        <f t="shared" si="46"/>
        <v>-28</v>
      </c>
    </row>
    <row r="70" spans="4:24" x14ac:dyDescent="0.55000000000000004">
      <c r="D70" s="4"/>
      <c r="E70" s="4"/>
      <c r="F70" s="23">
        <f t="shared" si="10"/>
        <v>15</v>
      </c>
      <c r="G70" s="23" t="str">
        <f t="shared" si="41"/>
        <v>15</v>
      </c>
      <c r="H70" s="23">
        <f t="shared" si="11"/>
        <v>5</v>
      </c>
      <c r="I70" s="24"/>
      <c r="J70" s="24"/>
      <c r="K70" s="24"/>
      <c r="L70" s="24"/>
      <c r="M70" s="24"/>
      <c r="N70" s="24"/>
      <c r="O70" s="24"/>
      <c r="P70" s="24"/>
      <c r="Q70" s="24"/>
      <c r="R70" s="25"/>
      <c r="S70" s="25"/>
      <c r="T70" s="25"/>
      <c r="U70" s="5"/>
      <c r="X70">
        <f t="shared" si="46"/>
        <v>-28</v>
      </c>
    </row>
    <row r="71" spans="4:24" x14ac:dyDescent="0.55000000000000004">
      <c r="D71" s="4"/>
      <c r="E71" s="4"/>
      <c r="F71" s="23">
        <f t="shared" si="37"/>
        <v>16</v>
      </c>
      <c r="G71" s="23" t="str">
        <f t="shared" si="41"/>
        <v>16</v>
      </c>
      <c r="H71" s="23">
        <f t="shared" ref="H71" si="47">H66</f>
        <v>1</v>
      </c>
      <c r="I71" s="24"/>
      <c r="J71" s="24"/>
      <c r="K71" s="24"/>
      <c r="L71" s="24"/>
      <c r="M71" s="24"/>
      <c r="N71" s="24"/>
      <c r="O71" s="24"/>
      <c r="P71" s="24"/>
      <c r="Q71" s="24"/>
      <c r="R71" s="25"/>
      <c r="S71" s="25"/>
      <c r="T71" s="25"/>
      <c r="U71" s="5"/>
      <c r="X71">
        <f t="shared" si="46"/>
        <v>-28</v>
      </c>
    </row>
    <row r="72" spans="4:24" x14ac:dyDescent="0.55000000000000004">
      <c r="D72" s="4"/>
      <c r="E72" s="4"/>
      <c r="F72" s="23">
        <f t="shared" si="39"/>
        <v>16</v>
      </c>
      <c r="G72" s="23" t="str">
        <f t="shared" si="41"/>
        <v>16</v>
      </c>
      <c r="H72" s="23">
        <f t="shared" ref="H72:H90" si="48">H71+1</f>
        <v>2</v>
      </c>
      <c r="I72" s="24"/>
      <c r="J72" s="24"/>
      <c r="K72" s="24"/>
      <c r="L72" s="24"/>
      <c r="M72" s="24"/>
      <c r="N72" s="24"/>
      <c r="O72" s="24"/>
      <c r="P72" s="24"/>
      <c r="Q72" s="24"/>
      <c r="R72" s="25"/>
      <c r="S72" s="25"/>
      <c r="T72" s="25"/>
      <c r="U72" s="5"/>
      <c r="X72">
        <f t="shared" si="46"/>
        <v>-28</v>
      </c>
    </row>
    <row r="73" spans="4:24" x14ac:dyDescent="0.55000000000000004">
      <c r="D73" s="4"/>
      <c r="E73" s="4"/>
      <c r="F73" s="23">
        <f t="shared" si="10"/>
        <v>16</v>
      </c>
      <c r="G73" s="23" t="str">
        <f t="shared" si="41"/>
        <v>16</v>
      </c>
      <c r="H73" s="23">
        <f t="shared" si="48"/>
        <v>3</v>
      </c>
      <c r="I73" s="24"/>
      <c r="J73" s="24"/>
      <c r="K73" s="24"/>
      <c r="L73" s="24"/>
      <c r="M73" s="24"/>
      <c r="N73" s="24"/>
      <c r="O73" s="24"/>
      <c r="P73" s="24"/>
      <c r="Q73" s="24"/>
      <c r="R73" s="25"/>
      <c r="S73" s="25"/>
      <c r="T73" s="25"/>
      <c r="U73" s="5"/>
      <c r="X73">
        <f t="shared" si="46"/>
        <v>-28</v>
      </c>
    </row>
    <row r="74" spans="4:24" x14ac:dyDescent="0.55000000000000004">
      <c r="D74" s="4"/>
      <c r="E74" s="4"/>
      <c r="F74" s="23">
        <f t="shared" si="10"/>
        <v>16</v>
      </c>
      <c r="G74" s="23" t="str">
        <f t="shared" si="41"/>
        <v>16</v>
      </c>
      <c r="H74" s="23">
        <f t="shared" si="48"/>
        <v>4</v>
      </c>
      <c r="I74" s="24"/>
      <c r="J74" s="24"/>
      <c r="K74" s="24"/>
      <c r="L74" s="24"/>
      <c r="M74" s="24"/>
      <c r="N74" s="24"/>
      <c r="O74" s="24"/>
      <c r="P74" s="24"/>
      <c r="Q74" s="24"/>
      <c r="R74" s="25"/>
      <c r="S74" s="25"/>
      <c r="T74" s="25"/>
      <c r="U74" s="5"/>
      <c r="X74">
        <f t="shared" si="46"/>
        <v>-28</v>
      </c>
    </row>
    <row r="75" spans="4:24" x14ac:dyDescent="0.55000000000000004">
      <c r="D75" s="4"/>
      <c r="E75" s="4"/>
      <c r="F75" s="23">
        <f t="shared" si="10"/>
        <v>16</v>
      </c>
      <c r="G75" s="23" t="str">
        <f t="shared" si="41"/>
        <v>16</v>
      </c>
      <c r="H75" s="23">
        <f t="shared" si="48"/>
        <v>5</v>
      </c>
      <c r="I75" s="24"/>
      <c r="J75" s="24"/>
      <c r="K75" s="24"/>
      <c r="L75" s="24"/>
      <c r="M75" s="24"/>
      <c r="N75" s="24"/>
      <c r="O75" s="24"/>
      <c r="P75" s="24"/>
      <c r="Q75" s="24"/>
      <c r="R75" s="25"/>
      <c r="S75" s="25"/>
      <c r="T75" s="25"/>
      <c r="U75" s="5"/>
      <c r="X75">
        <f t="shared" si="46"/>
        <v>-28</v>
      </c>
    </row>
    <row r="76" spans="4:24" x14ac:dyDescent="0.55000000000000004">
      <c r="D76" s="4"/>
      <c r="E76" s="4"/>
      <c r="F76" s="23">
        <f t="shared" si="37"/>
        <v>17</v>
      </c>
      <c r="G76" s="23" t="str">
        <f t="shared" si="41"/>
        <v>17</v>
      </c>
      <c r="H76" s="23">
        <f t="shared" ref="H76" si="49">H71</f>
        <v>1</v>
      </c>
      <c r="I76" s="24"/>
      <c r="J76" s="24"/>
      <c r="K76" s="24"/>
      <c r="L76" s="24"/>
      <c r="M76" s="24"/>
      <c r="N76" s="24"/>
      <c r="O76" s="24"/>
      <c r="P76" s="24"/>
      <c r="Q76" s="24"/>
      <c r="R76" s="25"/>
      <c r="S76" s="25"/>
      <c r="T76" s="25"/>
      <c r="U76" s="5"/>
      <c r="X76">
        <f t="shared" si="46"/>
        <v>-28</v>
      </c>
    </row>
    <row r="77" spans="4:24" x14ac:dyDescent="0.55000000000000004">
      <c r="D77" s="4"/>
      <c r="E77" s="4"/>
      <c r="F77" s="23">
        <f t="shared" si="39"/>
        <v>17</v>
      </c>
      <c r="G77" s="23" t="str">
        <f t="shared" si="41"/>
        <v>17</v>
      </c>
      <c r="H77" s="23">
        <f t="shared" ref="H77" si="50">H76+1</f>
        <v>2</v>
      </c>
      <c r="I77" s="24"/>
      <c r="J77" s="24"/>
      <c r="K77" s="24"/>
      <c r="L77" s="24"/>
      <c r="M77" s="24"/>
      <c r="N77" s="24"/>
      <c r="O77" s="24"/>
      <c r="P77" s="24"/>
      <c r="Q77" s="24"/>
      <c r="R77" s="25"/>
      <c r="S77" s="25"/>
      <c r="T77" s="25"/>
      <c r="U77" s="5"/>
      <c r="X77">
        <f t="shared" si="46"/>
        <v>-28</v>
      </c>
    </row>
    <row r="78" spans="4:24" x14ac:dyDescent="0.55000000000000004">
      <c r="D78" s="4"/>
      <c r="E78" s="4"/>
      <c r="F78" s="23">
        <f t="shared" si="10"/>
        <v>17</v>
      </c>
      <c r="G78" s="23" t="str">
        <f t="shared" si="41"/>
        <v>17</v>
      </c>
      <c r="H78" s="23">
        <f t="shared" si="48"/>
        <v>3</v>
      </c>
      <c r="I78" s="24"/>
      <c r="J78" s="24"/>
      <c r="K78" s="24"/>
      <c r="L78" s="24"/>
      <c r="M78" s="24"/>
      <c r="N78" s="24"/>
      <c r="O78" s="24"/>
      <c r="P78" s="24"/>
      <c r="Q78" s="24"/>
      <c r="R78" s="25"/>
      <c r="S78" s="25"/>
      <c r="T78" s="25"/>
      <c r="U78" s="5"/>
      <c r="X78">
        <f t="shared" si="46"/>
        <v>-28</v>
      </c>
    </row>
    <row r="79" spans="4:24" x14ac:dyDescent="0.55000000000000004">
      <c r="D79" s="4"/>
      <c r="E79" s="4"/>
      <c r="F79" s="23">
        <f t="shared" si="10"/>
        <v>17</v>
      </c>
      <c r="G79" s="23" t="str">
        <f t="shared" si="41"/>
        <v>17</v>
      </c>
      <c r="H79" s="23">
        <f t="shared" si="48"/>
        <v>4</v>
      </c>
      <c r="I79" s="24"/>
      <c r="J79" s="24"/>
      <c r="K79" s="24"/>
      <c r="L79" s="24"/>
      <c r="M79" s="24"/>
      <c r="N79" s="24"/>
      <c r="O79" s="24"/>
      <c r="P79" s="24"/>
      <c r="Q79" s="24"/>
      <c r="R79" s="25"/>
      <c r="S79" s="25"/>
      <c r="T79" s="25"/>
      <c r="U79" s="5"/>
      <c r="X79">
        <f t="shared" si="46"/>
        <v>-28</v>
      </c>
    </row>
    <row r="80" spans="4:24" x14ac:dyDescent="0.55000000000000004">
      <c r="D80" s="4"/>
      <c r="E80" s="4"/>
      <c r="F80" s="23">
        <f t="shared" si="10"/>
        <v>17</v>
      </c>
      <c r="G80" s="23" t="str">
        <f t="shared" si="41"/>
        <v>17</v>
      </c>
      <c r="H80" s="23">
        <f t="shared" si="48"/>
        <v>5</v>
      </c>
      <c r="I80" s="24"/>
      <c r="J80" s="24"/>
      <c r="K80" s="24"/>
      <c r="L80" s="24"/>
      <c r="M80" s="24"/>
      <c r="N80" s="24"/>
      <c r="O80" s="24"/>
      <c r="P80" s="24"/>
      <c r="Q80" s="24"/>
      <c r="R80" s="25"/>
      <c r="S80" s="25"/>
      <c r="T80" s="25"/>
      <c r="U80" s="5"/>
      <c r="X80">
        <f t="shared" si="46"/>
        <v>-28</v>
      </c>
    </row>
    <row r="81" spans="4:24" x14ac:dyDescent="0.55000000000000004">
      <c r="D81" s="4"/>
      <c r="E81" s="4"/>
      <c r="F81" s="23">
        <f t="shared" si="37"/>
        <v>18</v>
      </c>
      <c r="G81" s="23" t="str">
        <f t="shared" si="41"/>
        <v>18</v>
      </c>
      <c r="H81" s="23">
        <f t="shared" ref="H81" si="51">H76</f>
        <v>1</v>
      </c>
      <c r="I81" s="24"/>
      <c r="J81" s="24"/>
      <c r="K81" s="24"/>
      <c r="L81" s="24"/>
      <c r="M81" s="24"/>
      <c r="N81" s="24"/>
      <c r="O81" s="24"/>
      <c r="P81" s="24"/>
      <c r="Q81" s="24"/>
      <c r="R81" s="25"/>
      <c r="S81" s="25"/>
      <c r="T81" s="25"/>
      <c r="U81" s="5"/>
      <c r="X81">
        <f t="shared" si="46"/>
        <v>-28</v>
      </c>
    </row>
    <row r="82" spans="4:24" x14ac:dyDescent="0.55000000000000004">
      <c r="D82" s="4"/>
      <c r="E82" s="4"/>
      <c r="F82" s="23">
        <f t="shared" si="39"/>
        <v>18</v>
      </c>
      <c r="G82" s="23" t="str">
        <f t="shared" si="41"/>
        <v>18</v>
      </c>
      <c r="H82" s="23">
        <f t="shared" ref="H82" si="52">H81+1</f>
        <v>2</v>
      </c>
      <c r="I82" s="24"/>
      <c r="J82" s="24"/>
      <c r="K82" s="24"/>
      <c r="L82" s="24"/>
      <c r="M82" s="24"/>
      <c r="N82" s="24"/>
      <c r="O82" s="24"/>
      <c r="P82" s="24"/>
      <c r="Q82" s="24"/>
      <c r="R82" s="25"/>
      <c r="S82" s="25"/>
      <c r="T82" s="25"/>
      <c r="U82" s="5"/>
      <c r="X82">
        <f t="shared" si="46"/>
        <v>-28</v>
      </c>
    </row>
    <row r="83" spans="4:24" x14ac:dyDescent="0.55000000000000004">
      <c r="D83" s="4"/>
      <c r="E83" s="4"/>
      <c r="F83" s="23">
        <f t="shared" si="10"/>
        <v>18</v>
      </c>
      <c r="G83" s="23" t="str">
        <f t="shared" si="41"/>
        <v>18</v>
      </c>
      <c r="H83" s="23">
        <f t="shared" si="48"/>
        <v>3</v>
      </c>
      <c r="I83" s="24"/>
      <c r="J83" s="24"/>
      <c r="K83" s="24"/>
      <c r="L83" s="24"/>
      <c r="M83" s="24"/>
      <c r="N83" s="24"/>
      <c r="O83" s="24"/>
      <c r="P83" s="24"/>
      <c r="Q83" s="24"/>
      <c r="R83" s="25"/>
      <c r="S83" s="25"/>
      <c r="T83" s="25"/>
      <c r="U83" s="5"/>
      <c r="X83">
        <f t="shared" si="46"/>
        <v>-28</v>
      </c>
    </row>
    <row r="84" spans="4:24" x14ac:dyDescent="0.55000000000000004">
      <c r="D84" s="4"/>
      <c r="E84" s="4"/>
      <c r="F84" s="23">
        <f t="shared" si="10"/>
        <v>18</v>
      </c>
      <c r="G84" s="23" t="str">
        <f t="shared" si="41"/>
        <v>18</v>
      </c>
      <c r="H84" s="23">
        <f t="shared" si="48"/>
        <v>4</v>
      </c>
      <c r="I84" s="24"/>
      <c r="J84" s="24"/>
      <c r="K84" s="24"/>
      <c r="L84" s="24"/>
      <c r="M84" s="24"/>
      <c r="N84" s="24"/>
      <c r="O84" s="24"/>
      <c r="P84" s="24"/>
      <c r="Q84" s="24"/>
      <c r="R84" s="25"/>
      <c r="S84" s="25"/>
      <c r="T84" s="25"/>
      <c r="U84" s="5"/>
      <c r="X84">
        <f t="shared" si="46"/>
        <v>-28</v>
      </c>
    </row>
    <row r="85" spans="4:24" x14ac:dyDescent="0.55000000000000004">
      <c r="D85" s="4"/>
      <c r="E85" s="4"/>
      <c r="F85" s="23">
        <f t="shared" si="10"/>
        <v>18</v>
      </c>
      <c r="G85" s="23" t="str">
        <f t="shared" si="41"/>
        <v>18</v>
      </c>
      <c r="H85" s="23">
        <f t="shared" si="48"/>
        <v>5</v>
      </c>
      <c r="I85" s="24"/>
      <c r="J85" s="24"/>
      <c r="K85" s="24"/>
      <c r="L85" s="24"/>
      <c r="M85" s="24"/>
      <c r="N85" s="24"/>
      <c r="O85" s="24"/>
      <c r="P85" s="24"/>
      <c r="Q85" s="24"/>
      <c r="R85" s="25"/>
      <c r="S85" s="25"/>
      <c r="T85" s="25"/>
      <c r="U85" s="5"/>
      <c r="X85">
        <f t="shared" si="46"/>
        <v>-28</v>
      </c>
    </row>
    <row r="86" spans="4:24" x14ac:dyDescent="0.55000000000000004">
      <c r="D86" s="4"/>
      <c r="E86" s="4"/>
      <c r="F86" s="23">
        <f t="shared" si="37"/>
        <v>19</v>
      </c>
      <c r="G86" s="23" t="str">
        <f t="shared" si="41"/>
        <v>19</v>
      </c>
      <c r="H86" s="23">
        <f t="shared" ref="H86" si="53">H81</f>
        <v>1</v>
      </c>
      <c r="I86" s="24"/>
      <c r="J86" s="24"/>
      <c r="K86" s="24"/>
      <c r="L86" s="24"/>
      <c r="M86" s="24"/>
      <c r="N86" s="24"/>
      <c r="O86" s="24"/>
      <c r="P86" s="24"/>
      <c r="Q86" s="24"/>
      <c r="R86" s="25"/>
      <c r="S86" s="25"/>
      <c r="T86" s="25"/>
      <c r="U86" s="5"/>
      <c r="X86">
        <f t="shared" si="46"/>
        <v>-28</v>
      </c>
    </row>
    <row r="87" spans="4:24" x14ac:dyDescent="0.55000000000000004">
      <c r="D87" s="4"/>
      <c r="E87" s="4"/>
      <c r="F87" s="23">
        <f t="shared" si="39"/>
        <v>19</v>
      </c>
      <c r="G87" s="23" t="str">
        <f t="shared" si="41"/>
        <v>19</v>
      </c>
      <c r="H87" s="23">
        <f t="shared" ref="H87" si="54">H86+1</f>
        <v>2</v>
      </c>
      <c r="I87" s="24"/>
      <c r="J87" s="24"/>
      <c r="K87" s="24"/>
      <c r="L87" s="24"/>
      <c r="M87" s="24"/>
      <c r="N87" s="24"/>
      <c r="O87" s="24"/>
      <c r="P87" s="24"/>
      <c r="Q87" s="24"/>
      <c r="R87" s="25"/>
      <c r="S87" s="25"/>
      <c r="T87" s="25"/>
      <c r="U87" s="5"/>
      <c r="X87">
        <f t="shared" si="46"/>
        <v>-28</v>
      </c>
    </row>
    <row r="88" spans="4:24" x14ac:dyDescent="0.55000000000000004">
      <c r="D88" s="4"/>
      <c r="E88" s="4"/>
      <c r="F88" s="23">
        <f t="shared" si="10"/>
        <v>19</v>
      </c>
      <c r="G88" s="23" t="str">
        <f t="shared" si="41"/>
        <v>19</v>
      </c>
      <c r="H88" s="23">
        <f t="shared" si="48"/>
        <v>3</v>
      </c>
      <c r="I88" s="24"/>
      <c r="J88" s="24"/>
      <c r="K88" s="24"/>
      <c r="L88" s="24"/>
      <c r="M88" s="24"/>
      <c r="N88" s="24"/>
      <c r="O88" s="24"/>
      <c r="P88" s="24"/>
      <c r="Q88" s="24"/>
      <c r="R88" s="25"/>
      <c r="S88" s="25"/>
      <c r="T88" s="25"/>
      <c r="U88" s="5"/>
      <c r="X88">
        <f t="shared" si="46"/>
        <v>-28</v>
      </c>
    </row>
    <row r="89" spans="4:24" x14ac:dyDescent="0.55000000000000004">
      <c r="D89" s="4"/>
      <c r="E89" s="4"/>
      <c r="F89" s="23">
        <f t="shared" si="10"/>
        <v>19</v>
      </c>
      <c r="G89" s="23" t="str">
        <f t="shared" si="41"/>
        <v>19</v>
      </c>
      <c r="H89" s="23">
        <f t="shared" si="48"/>
        <v>4</v>
      </c>
      <c r="I89" s="24"/>
      <c r="J89" s="24"/>
      <c r="K89" s="24"/>
      <c r="L89" s="24"/>
      <c r="M89" s="24"/>
      <c r="N89" s="24"/>
      <c r="O89" s="24"/>
      <c r="P89" s="24"/>
      <c r="Q89" s="24"/>
      <c r="R89" s="25"/>
      <c r="S89" s="25"/>
      <c r="T89" s="25"/>
      <c r="U89" s="5"/>
      <c r="X89">
        <f t="shared" si="46"/>
        <v>-28</v>
      </c>
    </row>
    <row r="90" spans="4:24" x14ac:dyDescent="0.55000000000000004">
      <c r="D90" s="4"/>
      <c r="E90" s="4"/>
      <c r="F90" s="23">
        <f t="shared" si="10"/>
        <v>19</v>
      </c>
      <c r="G90" s="23" t="str">
        <f t="shared" si="41"/>
        <v>19</v>
      </c>
      <c r="H90" s="23">
        <f t="shared" si="48"/>
        <v>5</v>
      </c>
      <c r="I90" s="24"/>
      <c r="J90" s="24"/>
      <c r="K90" s="24"/>
      <c r="L90" s="24"/>
      <c r="M90" s="24"/>
      <c r="N90" s="24"/>
      <c r="O90" s="24"/>
      <c r="P90" s="24"/>
      <c r="Q90" s="24"/>
      <c r="R90" s="25"/>
      <c r="S90" s="25"/>
      <c r="T90" s="25"/>
      <c r="U90" s="5"/>
      <c r="X90">
        <f t="shared" si="46"/>
        <v>-28</v>
      </c>
    </row>
    <row r="91" spans="4:24" x14ac:dyDescent="0.55000000000000004">
      <c r="D91" s="7"/>
      <c r="E91" s="7"/>
      <c r="F91" s="7"/>
      <c r="G91" s="7"/>
      <c r="H91" s="7"/>
      <c r="I91" s="8"/>
      <c r="J91" s="8"/>
      <c r="K91" s="8"/>
      <c r="L91" s="8"/>
      <c r="M91" s="8"/>
      <c r="N91" s="8"/>
      <c r="O91" s="8"/>
      <c r="P91" s="8"/>
      <c r="Q91" s="8"/>
      <c r="R91" s="9"/>
      <c r="S91" s="9"/>
      <c r="T91" s="9"/>
      <c r="U91" s="9"/>
      <c r="X91">
        <f t="shared" si="46"/>
        <v>-28</v>
      </c>
    </row>
    <row r="93" spans="4:24" x14ac:dyDescent="0.55000000000000004">
      <c r="D93" t="s">
        <v>9</v>
      </c>
      <c r="I93" t="s">
        <v>8</v>
      </c>
    </row>
    <row r="94" spans="4:24" x14ac:dyDescent="0.55000000000000004">
      <c r="D94">
        <f>MAX(D$3:D$91)</f>
        <v>32</v>
      </c>
      <c r="I94">
        <f>MAX(I$3:I$91)</f>
        <v>0</v>
      </c>
    </row>
    <row r="95" spans="4:24" x14ac:dyDescent="0.55000000000000004">
      <c r="D95" t="s">
        <v>39</v>
      </c>
      <c r="G95" t="s">
        <v>14</v>
      </c>
      <c r="H95" t="s">
        <v>13</v>
      </c>
    </row>
    <row r="96" spans="4:24" x14ac:dyDescent="0.55000000000000004">
      <c r="D96">
        <f>ROW(D92)-ROW(D2)-1</f>
        <v>89</v>
      </c>
      <c r="G96">
        <f>COUNTIF(G$3:G$91,G95)</f>
        <v>0</v>
      </c>
      <c r="H96" s="12">
        <f>_xlfn.MAXIFS(H$3:H$91,$G$3:$G$91,H95)</f>
        <v>0</v>
      </c>
    </row>
    <row r="97" spans="7:8" x14ac:dyDescent="0.55000000000000004">
      <c r="G97" t="s">
        <v>12</v>
      </c>
      <c r="H97" t="s">
        <v>12</v>
      </c>
    </row>
    <row r="98" spans="7:8" x14ac:dyDescent="0.55000000000000004">
      <c r="G98">
        <f>COUNTIF(G$3:G$91,G97)</f>
        <v>0</v>
      </c>
      <c r="H98" s="12">
        <f>_xlfn.MAXIFS(H$3:H$91,$G$3:$G$91,H97)</f>
        <v>0</v>
      </c>
    </row>
  </sheetData>
  <autoFilter ref="D2:U90" xr:uid="{48D32264-F25D-40E9-9C76-26E43E79C8CC}">
    <sortState xmlns:xlrd2="http://schemas.microsoft.com/office/spreadsheetml/2017/richdata2" ref="D3:U90">
      <sortCondition ref="G2:G90"/>
    </sortState>
  </autoFilter>
  <phoneticPr fontId="1"/>
  <conditionalFormatting sqref="D3:U91">
    <cfRule type="expression" dxfId="2" priority="2">
      <formula>MOD(ROW(D3),2)=1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U16" sqref="U16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59</v>
      </c>
      <c r="L1" t="s">
        <v>55</v>
      </c>
      <c r="N1" t="s">
        <v>56</v>
      </c>
      <c r="P1" t="s">
        <v>57</v>
      </c>
      <c r="R1" t="s">
        <v>58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16" customFormat="1" x14ac:dyDescent="0.55000000000000004">
      <c r="A2" s="16" t="s">
        <v>46</v>
      </c>
      <c r="G2" s="16" t="s">
        <v>51</v>
      </c>
      <c r="H2" s="16" t="s">
        <v>4</v>
      </c>
      <c r="I2" s="16" t="s">
        <v>38</v>
      </c>
      <c r="J2" s="16" t="s">
        <v>50</v>
      </c>
      <c r="L2" s="16" t="s">
        <v>30</v>
      </c>
      <c r="N2" s="16" t="s">
        <v>31</v>
      </c>
      <c r="P2" s="16" t="s">
        <v>41</v>
      </c>
      <c r="R2" s="16" t="s">
        <v>52</v>
      </c>
      <c r="Z2" s="16" t="s">
        <v>42</v>
      </c>
      <c r="AA2" s="16" t="s">
        <v>33</v>
      </c>
      <c r="AB2" s="16" t="s">
        <v>34</v>
      </c>
      <c r="AC2" s="16" t="s">
        <v>35</v>
      </c>
      <c r="AD2" s="16" t="s">
        <v>36</v>
      </c>
      <c r="AE2" s="16" t="s">
        <v>37</v>
      </c>
      <c r="AF2" s="16" t="s">
        <v>36</v>
      </c>
      <c r="AG2" s="16" t="s">
        <v>43</v>
      </c>
      <c r="AH2" s="16" t="s">
        <v>44</v>
      </c>
      <c r="AI2" s="16" t="s">
        <v>54</v>
      </c>
      <c r="AJ2" s="16" t="s">
        <v>44</v>
      </c>
      <c r="AK2" s="16" t="s">
        <v>48</v>
      </c>
      <c r="AL2" s="16" t="s">
        <v>49</v>
      </c>
      <c r="AM2" s="16" t="s">
        <v>45</v>
      </c>
    </row>
    <row r="3" spans="1:39" x14ac:dyDescent="0.55000000000000004">
      <c r="A3" t="s">
        <v>25</v>
      </c>
      <c r="B3" t="str" cm="1">
        <f t="array" aca="1" ref="B3" ca="1">CELL("filename")</f>
        <v>C:\tk\prj\hg-0025-0016\git\unit01\kv-x520\doc\[kv_script_cycle_info.xlsx]info_script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IFERROR(MATCH($G$3:$G$202&amp;$H$3:$H$202,info_index!$G$3:$G$91&amp;info_index!$H$3:$H$91,0),"")</f>
        <v>1</v>
      </c>
      <c r="K3" t="str" cm="1">
        <f t="array" aca="1" ref="K3:K202" ca="1">IF(LEN(_xlfn.ANCHORARRAY(J3)),INDEX(OFFSET(info_index!$K$3:$K$91,0,$B$23),MATCH($G$3:$G$202&amp;$H$3:$H$202,info_index!$G$3:$G$91&amp;info_index!$H$3:$H$91,0),1)&amp;"","")</f>
        <v>Home Return Operation</v>
      </c>
      <c r="L3" t="str" cm="1">
        <f t="array" aca="1" ref="L3:L202" ca="1">IF(LEN(_xlfn.ANCHORARRAY($J3)),IF(LEN(_xlfn.ANCHORARRAY(K3)),_xlfn.ANCHORARRAY(K3),"unknown"),"")</f>
        <v>Home Return Operation</v>
      </c>
      <c r="N3" t="str" cm="1">
        <f t="array" aca="1" ref="N3:N202" ca="1">IF(LEN(_xlfn.ANCHORARRAY(L3)),"【"&amp;G3:G202&amp;H3:H202&amp;"】 "&amp;_xlfn.ANCHORARRAY(L3),"")</f>
        <v>【11】 Home Return Operation</v>
      </c>
      <c r="O3" t="str" cm="1">
        <f t="array" ref="O3:O202">IFERROR(INDEX(info_index!$M$3:$M$91,MATCH($G$3:$G$202&amp;$H$3:$H$202,info_index!$G$3:$G$91&amp;info_index!$H$3:$H$91,0),1)&amp;"","")</f>
        <v>Return to origin operation</v>
      </c>
      <c r="P3" t="str" cm="1">
        <f t="array" ref="P3:P202">IF(LEN(_xlfn.ANCHORARRAY(J3)),IF(LEN(_xlfn.ANCHORARRAY(O3)),_xlfn.ANCHORARRAY(O3),"unknown"),"")</f>
        <v>Return to origin operation</v>
      </c>
      <c r="Q3" t="str" cm="1">
        <f t="array" aca="1" ref="Q3:Q202" ca="1">IF(LEN(_xlfn.ANCHORARRAY(J3)),INDEX(OFFSET(info_index!$O$3:$O$91,0,$B$23),MATCH($G$3:$G$202&amp;$H$3:$H$202,info_index!$G$3:$G$91&amp;info_index!$H$3:$H$91,0),1)&amp;"","")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//Home Return Operation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//Home Return Operation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//Home Return Operation
	IF uiInfoIdx = 1 THEN
		IF strInfoKey = 'name' THEN
			strRt	:= 'Home Return Operation';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//Home Return Operation
	IF uiInfoIdx = 1 THEN
		IF strInfoKey = 'name' THEN
			strRt	:= 'Home Return Operation';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//Home Return Operation
	IF uiInfoIdx = 1 THEN
		IF strInfoKey = 'name' THEN
			strRt	:= 'Home Return Operation';
		ELSIF strInfoKey = 'index_name' THEN
			strRt	:= '【11】 Home Return Operation';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'Return to origin operation';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'Return to origin operation';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'Return to origin operation';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'Return to origin operation';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'Return to origin operation';
		ELSIF strInfoKey = 'mf' THEN
			strRt	:= 'unknown';
		ELSE
			uiErrCode	:= 3;
		END_IF;</v>
      </c>
      <c r="AM3" t="str" cm="1">
        <f t="array" aca="1" ref="AM3:AM202" ca="1">_xlfn.ANCHORARRAY(AL3)</f>
        <v>//1
IF strInfoType = 1 THEN
	//Home Return Operation
	IF uiInfoIdx = 1 THEN
		IF strInfoKey = 'name' THEN
			strRt	:= 'Home Return Operation';
		ELSIF strInfoKey = 'index_name' THEN
			strRt	:= '【11】 Home Return Operation';
		ELSIF strInfoKey = 'model' THEN
			strRt	:= 'Return to origin operation';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Supply Prep Operation</v>
      </c>
      <c r="L4" t="str">
        <f ca="1"/>
        <v>Supply Prep Operation</v>
      </c>
      <c r="N4" t="str">
        <f ca="1"/>
        <v>【12】 Supply Prep Operation</v>
      </c>
      <c r="O4" t="str">
        <v>Preparation for supply operation</v>
      </c>
      <c r="P4" t="str">
        <v>Preparation for supply operation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//Supply Prep Operation
	ELSIF uiInfoIdx = 2 THEN</v>
      </c>
      <c r="AC4" t="str">
        <f ca="1"/>
        <v xml:space="preserve">
	//Supply Prep Operation
	ELSIF uiInfoIdx = 2 THEN
		IF strInfoKey = 'name' THEN</v>
      </c>
      <c r="AD4" t="str">
        <f ca="1"/>
        <v xml:space="preserve">
	//Supply Prep Operation
	ELSIF uiInfoIdx = 2 THEN
		IF strInfoKey = 'name' THEN
			strRt	:= 'Supply Prep Operation';</v>
      </c>
      <c r="AE4" t="str">
        <f ca="1"/>
        <v xml:space="preserve">
	//Supply Prep Operation
	ELSIF uiInfoIdx = 2 THEN
		IF strInfoKey = 'name' THEN
			strRt	:= 'Supply Prep Operation';
		ELSIF strInfoKey = 'index_name' THEN</v>
      </c>
      <c r="AF4" t="str">
        <f ca="1"/>
        <v xml:space="preserve">
	//Supply Prep Operation
	ELSIF uiInfoIdx = 2 THEN
		IF strInfoKey = 'name' THEN
			strRt	:= 'Supply Prep Operation';
		ELSIF strInfoKey = 'index_name' THEN
			strRt	:= '【12】 Supply Prep Operation';</v>
      </c>
      <c r="AG4" t="str">
        <f ca="1"/>
        <v xml:space="preserve">
	//Supply Prep Operation
	ELSIF uiInfoIdx = 2 THEN
		IF strInfoKey = 'name' THEN
			strRt	:= 'Supply Prep Operation';
		ELSIF strInfoKey = 'index_name' THEN
			strRt	:= '【12】 Supply Prep Operation';
		ELSIF strInfoKey = 'model' THEN</v>
      </c>
      <c r="AH4" t="str">
        <f ca="1"/>
        <v xml:space="preserve">
	//Supply Prep Operation
	ELSIF uiInfoIdx = 2 THEN
		IF strInfoKey = 'name' THEN
			strRt	:= 'Supply Prep Operation';
		ELSIF strInfoKey = 'index_name' THEN
			strRt	:= '【12】 Supply Prep Operation';
		ELSIF strInfoKey = 'model' THEN
			strRt	:= 'Preparation for supply operation';</v>
      </c>
      <c r="AI4" t="str">
        <f ca="1"/>
        <v xml:space="preserve">
	//Supply Prep Operation
	ELSIF uiInfoIdx = 2 THEN
		IF strInfoKey = 'name' THEN
			strRt	:= 'Supply Prep Operation';
		ELSIF strInfoKey = 'index_name' THEN
			strRt	:= '【12】 Supply Prep Operation';
		ELSIF strInfoKey = 'model' THEN
			strRt	:= 'Preparation for supply operation';
		ELSIF strInfoKey = 'mf' THEN</v>
      </c>
      <c r="AJ4" t="str">
        <f ca="1"/>
        <v xml:space="preserve">
	//Supply Prep Operation
	ELSIF uiInfoIdx = 2 THEN
		IF strInfoKey = 'name' THEN
			strRt	:= 'Supply Prep Operation';
		ELSIF strInfoKey = 'index_name' THEN
			strRt	:= '【12】 Supply Prep Operation';
		ELSIF strInfoKey = 'model' THEN
			strRt	:= 'Preparation for supply operation';
		ELSIF strInfoKey = 'mf' THEN
			strRt	:= 'unknown';</v>
      </c>
      <c r="AK4" t="str">
        <f ca="1"/>
        <v xml:space="preserve">
	//Supply Prep Operation
	ELSIF uiInfoIdx = 2 THEN
		IF strInfoKey = 'name' THEN
			strRt	:= 'Supply Prep Operation';
		ELSIF strInfoKey = 'index_name' THEN
			strRt	:= '【12】 Supply Prep Operation';
		ELSIF strInfoKey = 'model' THEN
			strRt	:= 'Preparation for supply operation';
		ELSIF strInfoKey = 'mf' THEN
			strRt	:= 'unknown';
		ELSE
			uiErrCode	:= 3;
		END_IF;</v>
      </c>
      <c r="AL4" t="str">
        <f ca="1"/>
        <v xml:space="preserve">
	//Supply Prep Operation
	ELSIF uiInfoIdx = 2 THEN
		IF strInfoKey = 'name' THEN
			strRt	:= 'Supply Prep Operation';
		ELSIF strInfoKey = 'index_name' THEN
			strRt	:= '【12】 Supply Prep Operation';
		ELSIF strInfoKey = 'model' THEN
			strRt	:= 'Preparation for supply operation';
		ELSIF strInfoKey = 'mf' THEN
			strRt	:= 'unknown';
		ELSE
			uiErrCode	:= 3;
		END_IF;</v>
      </c>
      <c r="AM4" t="str">
        <f ca="1"/>
        <v xml:space="preserve">
	//Supply Prep Operation
	ELSIF uiInfoIdx = 2 THEN
		IF strInfoKey = 'name' THEN
			strRt	:= 'Supply Prep Operation';
		ELSIF strInfoKey = 'index_name' THEN
			strRt	:= '【12】 Supply Prep Operation';
		ELSIF strInfoKey = 'model' THEN
			strRt	:= 'Preparation for supply operation';
		ELSIF strInfoKey = 'mf' THEN
			strRt	:= 'unknown';
		ELSE
			uiErrCode	:= 3;
		END_IF;</v>
      </c>
    </row>
    <row r="5" spans="1:39" x14ac:dyDescent="0.55000000000000004">
      <c r="A5" t="s">
        <v>22</v>
      </c>
      <c r="B5" t="str">
        <f ca="1">"このスクリプトは "&amp;B3&amp;" によって生成されました。"</f>
        <v>このスクリプトは C:\tk\prj\hg-0025-0016\git\unit01\kv-x520\doc\[kv_script_cycle_info.xlsx]info_script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Cut Operation</v>
      </c>
      <c r="L5" t="str">
        <f ca="1"/>
        <v>Cut Operation</v>
      </c>
      <c r="N5" t="str">
        <f ca="1"/>
        <v>【13】 Cut Operation</v>
      </c>
      <c r="O5" t="str">
        <v>Cut operation</v>
      </c>
      <c r="P5" t="str">
        <v>Cut operation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//Cut Operation
	ELSIF uiInfoIdx = 3 THEN</v>
      </c>
      <c r="AC5" t="str">
        <f ca="1"/>
        <v xml:space="preserve">
	//Cut Operation
	ELSIF uiInfoIdx = 3 THEN
		IF strInfoKey = 'name' THEN</v>
      </c>
      <c r="AD5" t="str">
        <f ca="1"/>
        <v xml:space="preserve">
	//Cut Operation
	ELSIF uiInfoIdx = 3 THEN
		IF strInfoKey = 'name' THEN
			strRt	:= 'Cut Operation';</v>
      </c>
      <c r="AE5" t="str">
        <f ca="1"/>
        <v xml:space="preserve">
	//Cut Operation
	ELSIF uiInfoIdx = 3 THEN
		IF strInfoKey = 'name' THEN
			strRt	:= 'Cut Operation';
		ELSIF strInfoKey = 'index_name' THEN</v>
      </c>
      <c r="AF5" t="str">
        <f ca="1"/>
        <v xml:space="preserve">
	//Cut Operation
	ELSIF uiInfoIdx = 3 THEN
		IF strInfoKey = 'name' THEN
			strRt	:= 'Cut Operation';
		ELSIF strInfoKey = 'index_name' THEN
			strRt	:= '【13】 Cut Operation';</v>
      </c>
      <c r="AG5" t="str">
        <f ca="1"/>
        <v xml:space="preserve">
	//Cut Operation
	ELSIF uiInfoIdx = 3 THEN
		IF strInfoKey = 'name' THEN
			strRt	:= 'Cut Operation';
		ELSIF strInfoKey = 'index_name' THEN
			strRt	:= '【13】 Cut Operation';
		ELSIF strInfoKey = 'model' THEN</v>
      </c>
      <c r="AH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'Cut operation';</v>
      </c>
      <c r="AI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'Cut operation';
		ELSIF strInfoKey = 'mf' THEN</v>
      </c>
      <c r="AJ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'Cut operation';
		ELSIF strInfoKey = 'mf' THEN
			strRt	:= 'unknown';</v>
      </c>
      <c r="AK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'Cut operation';
		ELSIF strInfoKey = 'mf' THEN
			strRt	:= 'unknown';
		ELSE
			uiErrCode	:= 3;
		END_IF;</v>
      </c>
      <c r="AL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'Cut operation';
		ELSIF strInfoKey = 'mf' THEN
			strRt	:= 'unknown';
		ELSE
			uiErrCode	:= 3;
		END_IF;</v>
      </c>
      <c r="AM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'Cut operation';
		ELSIF strInfoKey = 'mf' THEN
			strRt	:= 'unknown';
		ELSE
			uiErrCode	:= 3;
		END_IF;</v>
      </c>
    </row>
    <row r="6" spans="1:39" x14ac:dyDescent="0.55000000000000004">
      <c r="A6" t="s">
        <v>23</v>
      </c>
      <c r="B6" t="s">
        <v>24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 t="str">
        <v/>
      </c>
      <c r="K6" t="str">
        <f ca="1"/>
        <v/>
      </c>
      <c r="L6" t="str">
        <f ca="1"/>
        <v/>
      </c>
      <c r="N6" t="str">
        <f ca="1"/>
        <v/>
      </c>
      <c r="O6" t="str">
        <v/>
      </c>
      <c r="P6" t="str">
        <v/>
      </c>
      <c r="Q6" t="str">
        <f ca="1"/>
        <v/>
      </c>
      <c r="R6" t="str">
        <f ca="1"/>
        <v/>
      </c>
      <c r="Z6" t="str">
        <f ca="1"/>
        <v/>
      </c>
      <c r="AA6" t="str">
        <f ca="1"/>
        <v/>
      </c>
      <c r="AB6" t="str">
        <f ca="1"/>
        <v/>
      </c>
      <c r="AC6" t="str">
        <f ca="1"/>
        <v/>
      </c>
      <c r="AD6" t="str">
        <f ca="1"/>
        <v/>
      </c>
      <c r="AE6" t="str">
        <f ca="1"/>
        <v/>
      </c>
      <c r="AF6" t="str">
        <f ca="1"/>
        <v/>
      </c>
      <c r="AG6" t="str">
        <f ca="1"/>
        <v/>
      </c>
      <c r="AH6" t="str">
        <f ca="1"/>
        <v/>
      </c>
      <c r="AI6" t="str">
        <f ca="1"/>
        <v/>
      </c>
      <c r="AJ6" t="str">
        <f ca="1"/>
        <v/>
      </c>
      <c r="AK6" t="str">
        <f ca="1"/>
        <v/>
      </c>
      <c r="AL6" t="str">
        <f ca="1"/>
        <v/>
      </c>
      <c r="AM6" t="str">
        <f ca="1"/>
        <v/>
      </c>
    </row>
    <row r="7" spans="1:39" x14ac:dyDescent="0.55000000000000004">
      <c r="A7" t="s">
        <v>16</v>
      </c>
      <c r="B7" t="s">
        <v>17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 t="str">
        <v/>
      </c>
      <c r="K7" t="str">
        <f ca="1"/>
        <v/>
      </c>
      <c r="L7" t="str">
        <f ca="1"/>
        <v/>
      </c>
      <c r="N7" t="str">
        <f ca="1"/>
        <v/>
      </c>
      <c r="O7" t="str">
        <v/>
      </c>
      <c r="P7" t="str">
        <v/>
      </c>
      <c r="Q7" t="str">
        <f ca="1"/>
        <v/>
      </c>
      <c r="R7" t="str">
        <f ca="1"/>
        <v/>
      </c>
      <c r="Z7" t="str">
        <f ca="1"/>
        <v/>
      </c>
      <c r="AA7" t="str">
        <f ca="1"/>
        <v/>
      </c>
      <c r="AB7" t="str">
        <f ca="1"/>
        <v/>
      </c>
      <c r="AC7" t="str">
        <f ca="1"/>
        <v/>
      </c>
      <c r="AD7" t="str">
        <f ca="1"/>
        <v/>
      </c>
      <c r="AE7" t="str">
        <f ca="1"/>
        <v/>
      </c>
      <c r="AF7" t="str">
        <f ca="1"/>
        <v/>
      </c>
      <c r="AG7" t="str">
        <f ca="1"/>
        <v/>
      </c>
      <c r="AH7" t="str">
        <f ca="1"/>
        <v/>
      </c>
      <c r="AI7" t="str">
        <f ca="1"/>
        <v/>
      </c>
      <c r="AJ7" t="str">
        <f ca="1"/>
        <v/>
      </c>
      <c r="AK7" t="str">
        <f ca="1"/>
        <v/>
      </c>
      <c r="AL7" t="str">
        <f ca="1"/>
        <v/>
      </c>
      <c r="AM7" t="str">
        <f ca="1"/>
        <v/>
      </c>
    </row>
    <row r="8" spans="1:39" x14ac:dyDescent="0.55000000000000004">
      <c r="A8" t="s">
        <v>18</v>
      </c>
      <c r="B8" t="s">
        <v>19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4</v>
      </c>
      <c r="K8" t="str">
        <f ca="1"/>
        <v>Supply Start Operation</v>
      </c>
      <c r="L8" t="str">
        <f ca="1"/>
        <v>Supply Start Operation</v>
      </c>
      <c r="N8" t="str">
        <f ca="1"/>
        <v>【16】 Supply Start Operation</v>
      </c>
      <c r="O8" t="str">
        <v>Start supply operation</v>
      </c>
      <c r="P8" t="str">
        <v>Start supply operation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//Supply Start Operation
	ELSIF uiInfoIdx = 6 THEN</v>
      </c>
      <c r="AC8" t="str">
        <f ca="1"/>
        <v xml:space="preserve">
	//Supply Start Operation
	ELSIF uiInfoIdx = 6 THEN
		IF strInfoKey = 'name' THEN</v>
      </c>
      <c r="AD8" t="str">
        <f ca="1"/>
        <v xml:space="preserve">
	//Supply Start Operation
	ELSIF uiInfoIdx = 6 THEN
		IF strInfoKey = 'name' THEN
			strRt	:= 'Supply Start Operation';</v>
      </c>
      <c r="AE8" t="str">
        <f ca="1"/>
        <v xml:space="preserve">
	//Supply Start Operation
	ELSIF uiInfoIdx = 6 THEN
		IF strInfoKey = 'name' THEN
			strRt	:= 'Supply Start Operation';
		ELSIF strInfoKey = 'index_name' THEN</v>
      </c>
      <c r="AF8" t="str">
        <f ca="1"/>
        <v xml:space="preserve">
	//Supply Start Operation
	ELSIF uiInfoIdx = 6 THEN
		IF strInfoKey = 'name' THEN
			strRt	:= 'Supply Start Operation';
		ELSIF strInfoKey = 'index_name' THEN
			strRt	:= '【16】 Supply Start Operation';</v>
      </c>
      <c r="AG8" t="str">
        <f ca="1"/>
        <v xml:space="preserve">
	//Supply Start Operation
	ELSIF uiInfoIdx = 6 THEN
		IF strInfoKey = 'name' THEN
			strRt	:= 'Supply Start Operation';
		ELSIF strInfoKey = 'index_name' THEN
			strRt	:= '【16】 Supply Start Operation';
		ELSIF strInfoKey = 'model' THEN</v>
      </c>
      <c r="AH8" t="str">
        <f ca="1"/>
        <v xml:space="preserve">
	//Supply Start Operation
	ELSIF uiInfoIdx = 6 THEN
		IF strInfoKey = 'name' THEN
			strRt	:= 'Supply Start Operation';
		ELSIF strInfoKey = 'index_name' THEN
			strRt	:= '【16】 Supply Start Operation';
		ELSIF strInfoKey = 'model' THEN
			strRt	:= 'Start supply operation';</v>
      </c>
      <c r="AI8" t="str">
        <f ca="1"/>
        <v xml:space="preserve">
	//Supply Start Operation
	ELSIF uiInfoIdx = 6 THEN
		IF strInfoKey = 'name' THEN
			strRt	:= 'Supply Start Operation';
		ELSIF strInfoKey = 'index_name' THEN
			strRt	:= '【16】 Supply Start Operation';
		ELSIF strInfoKey = 'model' THEN
			strRt	:= 'Start supply operation';
		ELSIF strInfoKey = 'mf' THEN</v>
      </c>
      <c r="AJ8" t="str">
        <f ca="1"/>
        <v xml:space="preserve">
	//Supply Start Operation
	ELSIF uiInfoIdx = 6 THEN
		IF strInfoKey = 'name' THEN
			strRt	:= 'Supply Start Operation';
		ELSIF strInfoKey = 'index_name' THEN
			strRt	:= '【16】 Supply Start Operation';
		ELSIF strInfoKey = 'model' THEN
			strRt	:= 'Start supply operation';
		ELSIF strInfoKey = 'mf' THEN
			strRt	:= 'unknown';</v>
      </c>
      <c r="AK8" t="str">
        <f ca="1"/>
        <v xml:space="preserve">
	//Supply Start Operation
	ELSIF uiInfoIdx = 6 THEN
		IF strInfoKey = 'name' THEN
			strRt	:= 'Supply Start Operation';
		ELSIF strInfoKey = 'index_name' THEN
			strRt	:= '【16】 Supply Start Operation';
		ELSIF strInfoKey = 'model' THEN
			strRt	:= 'Start supply operation';
		ELSIF strInfoKey = 'mf' THEN
			strRt	:= 'unknown';
		ELSE
			uiErrCode	:= 3;
		END_IF;</v>
      </c>
      <c r="AL8" t="str">
        <f ca="1"/>
        <v xml:space="preserve">
	//Supply Start Operation
	ELSIF uiInfoIdx = 6 THEN
		IF strInfoKey = 'name' THEN
			strRt	:= 'Supply Start Operation';
		ELSIF strInfoKey = 'index_name' THEN
			strRt	:= '【16】 Supply Start Operation';
		ELSIF strInfoKey = 'model' THEN
			strRt	:= 'Start supply operation';
		ELSIF strInfoKey = 'mf' THEN
			strRt	:= 'unknown';
		ELSE
			uiErrCode	:= 3;
		END_IF;</v>
      </c>
      <c r="AM8" t="str">
        <f ca="1"/>
        <v xml:space="preserve">
	//Supply Start Operation
	ELSIF uiInfoIdx = 6 THEN
		IF strInfoKey = 'name' THEN
			strRt	:= 'Supply Start Operation';
		ELSIF strInfoKey = 'index_name' THEN
			strRt	:= '【16】 Supply Start Operation';
		ELSIF strInfoKey = 'model' THEN
			strRt	:= 'Start supply operation';
		ELSIF strInfoKey = 'mf' THEN
			strRt	:= 'unknown';
		ELSE
			uiErrCode	:= 3;
		END_IF;</v>
      </c>
    </row>
    <row r="9" spans="1:39" x14ac:dyDescent="0.55000000000000004">
      <c r="A9" t="s">
        <v>20</v>
      </c>
      <c r="B9" t="s">
        <v>21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5</v>
      </c>
      <c r="K9" t="str">
        <f ca="1"/>
        <v>Supply Operation</v>
      </c>
      <c r="L9" t="str">
        <f ca="1"/>
        <v>Supply Operation</v>
      </c>
      <c r="N9" t="str">
        <f ca="1"/>
        <v>【17】 Supply Operation</v>
      </c>
      <c r="O9" t="str">
        <v>Supply operation</v>
      </c>
      <c r="P9" t="str">
        <v>Supply operation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//Supply Operation
	ELSIF uiInfoIdx = 7 THEN</v>
      </c>
      <c r="AC9" t="str">
        <f ca="1"/>
        <v xml:space="preserve">
	//Supply Operation
	ELSIF uiInfoIdx = 7 THEN
		IF strInfoKey = 'name' THEN</v>
      </c>
      <c r="AD9" t="str">
        <f ca="1"/>
        <v xml:space="preserve">
	//Supply Operation
	ELSIF uiInfoIdx = 7 THEN
		IF strInfoKey = 'name' THEN
			strRt	:= 'Supply Operation';</v>
      </c>
      <c r="AE9" t="str">
        <f ca="1"/>
        <v xml:space="preserve">
	//Supply Operation
	ELSIF uiInfoIdx = 7 THEN
		IF strInfoKey = 'name' THEN
			strRt	:= 'Supply Operation';
		ELSIF strInfoKey = 'index_name' THEN</v>
      </c>
      <c r="AF9" t="str">
        <f ca="1"/>
        <v xml:space="preserve">
	//Supply Operation
	ELSIF uiInfoIdx = 7 THEN
		IF strInfoKey = 'name' THEN
			strRt	:= 'Supply Operation';
		ELSIF strInfoKey = 'index_name' THEN
			strRt	:= '【17】 Supply Operation';</v>
      </c>
      <c r="AG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</v>
      </c>
      <c r="AH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'Supply operation';</v>
      </c>
      <c r="AI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'Supply operation';
		ELSIF strInfoKey = 'mf' THEN</v>
      </c>
      <c r="AJ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'Supply operation';
		ELSIF strInfoKey = 'mf' THEN
			strRt	:= 'unknown';</v>
      </c>
      <c r="AK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'Supply operation';
		ELSIF strInfoKey = 'mf' THEN
			strRt	:= 'unknown';
		ELSE
			uiErrCode	:= 3;
		END_IF;</v>
      </c>
      <c r="AL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'Supply operation';
		ELSIF strInfoKey = 'mf' THEN
			strRt	:= 'unknown';
		ELSE
			uiErrCode	:= 3;
		END_IF;</v>
      </c>
      <c r="AM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'Supply operation';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26</v>
      </c>
      <c r="B13" t="str">
        <f ca="1">$AM$205</f>
        <v>//このスクリプトは C:\tk\prj\hg-0025-0016\git\unit01\kv-x520\doc\[kv_script_cycle_info.xlsx]info_script によって生成されました。
//1
IF strInfoType = 1 THEN
	//Home Return Operation
	IF uiInfoIdx = 1 THEN
		IF strInfoKey = 'name' THEN
			strRt	:= 'Home Return Operation';
		ELSIF strInfoKey = 'index_name' THEN
			strRt	:= '【11】 Home Return Operation';
		ELSIF strInfoKey = 'model' THEN
			strRt	:= 'Return to origin operation';
		ELSIF strInfoKey = 'mf' THEN
			strRt	:= 'unknown';
		ELSE
			uiErrCode	:= 3;
		END_IF;
	//Supply Prep Operation
	ELSIF uiInfoIdx = 2 THEN
		IF strInfoKey = 'name' THEN
			strRt	:= 'Supply Prep Operation';
		ELSIF strInfoKey = 'index_name' THEN
			strRt	:= '【12】 Supply Prep Operation';
		ELSIF strInfoKey = 'model' THEN
			strRt	:= 'Preparation for supply operation';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'Cut operation';
		ELSIF strInfoKey = 'mf' THEN
			strRt	:= 'unknown';
		ELSE
			uiErrCode	:= 3;
		END_IF;
	//Supply Start Operation
	ELSIF uiInfoIdx = 6 THEN
		IF strInfoKey = 'name' THEN
			strRt	:= 'Supply Start Operation';
		ELSIF strInfoKey = 'index_name' THEN
			strRt	:= '【16】 Supply Start Operation';
		ELSIF strInfoKey = 'model' THEN
			strRt	:= 'Start supply operation';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'Supply operation';
		ELSIF strInfoKey = 'mf' THEN
			strRt	:= 'unknown';
		ELSE
			uiErrCode	:= 3;
		END_IF;
	ELSE
		uiErrCode	:= 2;
	END_IF;
//2
ELSIF strInfoType = 2 THEN
	//Home Return Operation
	IF uiInfoIdx = 1 THEN
		IF strInfoKey = 'name' THEN
			strRt	:= 'Home Return Operation';
		ELSIF strInfoKey = 'index_name' THEN
			strRt	:= '【21】 Home Return Operation';
		ELSIF strInfoKey = 'model' THEN
			strRt	:= 'Return to origin operation';
		ELSIF strInfoKey = 'mf' THEN
			strRt	:= 'unknown';
		ELSE
			uiErrCode	:= 3;
		END_IF;
	//Supply Prep Operation
	ELSIF uiInfoIdx = 2 THEN
		IF strInfoKey = 'name' THEN
			strRt	:= 'Supply Prep Operation';
		ELSIF strInfoKey = 'index_name' THEN
			strRt	:= '【22】 Supply Prep Operation';
		ELSIF strInfoKey = 'model' THEN
			strRt	:= 'Preparation for supply operation';
		ELSIF strInfoKey = 'mf' THEN
			strRt	:= 'unknown';
		ELSE
			uiErrCode	:= 3;
		END_IF;
	//Cut Operation
	ELSIF uiInfoIdx = 3 THEN
		IF strInfoKey = 'name' THEN
			strRt	:= 'Cut Operation';
		ELSIF strInfoKey = 'index_name' THEN
			strRt	:= '【23】 Cut Operation';
		ELSIF strInfoKey = 'model' THEN
			strRt	:= 'Cut operation';
		ELSIF strInfoKey = 'mf' THEN
			strRt	:= 'unknown';
		ELSE
			uiErrCode	:= 3;
		END_IF;
	//Supply Confirm Operation
	ELSIF uiInfoIdx = 4 THEN
		IF strInfoKey = 'name' THEN
			strRt	:= 'Supply Confirm Operation';
		ELSIF strInfoKey = 'index_name' THEN
			strRt	:= '【24】 Supply Confirm Operation';
		ELSIF strInfoKey = 'model' THEN
			strRt	:= 'Supply confirmation operation';
		ELSIF strInfoKey = 'mf' THEN
			strRt	:= 'unknown';
		ELSE
			uiErrCode	:= 3;
		END_IF;
	//Open Operation
	ELSIF uiInfoIdx = 5 THEN
		IF strInfoKey = 'name' THEN
			strRt	:= 'Open Operation';
		ELSIF strInfoKey = 'index_name' THEN
			strRt	:= '【25】 Open Operation';
		ELSIF strInfoKey = 'model' THEN
			strRt	:= 'Opening motion';
		ELSIF strInfoKey = 'mf' THEN
			strRt	:= 'unknown';
		ELSE
			uiErrCode	:= 3;
		END_IF;
	//Supply Start Operation
	ELSIF uiInfoIdx = 6 THEN
		IF strInfoKey = 'name' THEN
			strRt	:= 'Supply Start Operation';
		ELSIF strInfoKey = 'index_name' THEN
			strRt	:= '【26】 Supply Start Operation';
		ELSIF strInfoKey = 'model' THEN
			strRt	:= 'Start supply operation';
		ELSIF strInfoKey = 'mf' THEN
			strRt	:= 'unknown';
		ELSE
			uiErrCode	:= 3;
		END_IF;
	//Supply Operation
	ELSIF uiInfoIdx = 7 THEN
		IF strInfoKey = 'name' THEN
			strRt	:= 'Supply Operation';
		ELSIF strInfoKey = 'index_name' THEN
			strRt	:= '【27】 Supply Operation';
		ELSIF strInfoKey = 'model' THEN
			strRt	:= 'Supply operation';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'Home return operation';
		ELSIF strInfoKey = 'mf' THEN
			strRt	:= 'unknown';
		ELSE
			uiErrCode	:= 3;
		END_IF;
	//Supply Prep Operation
	ELSIF uiInfoIdx = 2 THEN
		IF strInfoKey = 'name' THEN
			strRt	:= 'Supply Prep Operation';
		ELSIF strInfoKey = 'index_name' THEN
			strRt	:= '【32】 Supply Prep Operation';
		ELSIF strInfoKey = 'model' THEN
			strRt	:= 'Supply preparation operation';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'supply operation';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'Home return operation';
		ELSIF strInfoKey = 'mf' THEN
			strRt	:= 'unknown';
		ELSE
			uiErrCode	:= 3;
		END_IF;
	//Sensor Preset Operation
	ELSIF uiInfoIdx = 2 THEN
		IF strInfoKey = 'name' THEN
			strRt	:= 'Sensor Preset Operation';
		ELSIF strInfoKey = 'index_name' THEN
			strRt	:= '【42】 Sensor Preset Operation';
		ELSIF strInfoKey = 'model' THEN
			strRt	:= 'Sensor Preset Operation';
		ELSIF strInfoKey = 'mf' THEN
			strRt	:= 'unknown';
		ELSE
			uiErrCode	:= 3;
		END_IF;
	//Winding Prep Operation
	ELSIF uiInfoIdx = 3 THEN
		IF strInfoKey = 'name' THEN
			strRt	:= 'Winding Prep Operation';
		ELSIF strInfoKey = 'index_name' THEN
			strRt	:= '【43】 Winding Prep Operation';
		ELSIF strInfoKey = 'model' THEN
			strRt	:= 'Winding preparation operation';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'Winding operation';
		ELSIF strInfoKey = 'mf' THEN
			strRt	:= 'unknown';
		ELSE
			uiErrCode	:= 3;
		END_IF;
	//Braz Foil Winding Op
	ELSIF uiInfoIdx = 5 THEN
		IF strInfoKey = 'name' THEN
			strRt	:= 'Braz Foil Winding Op';
		ELSIF strInfoKey = 'index_name' THEN
			strRt	:= '【45】 Braz Foil Winding Op';
		ELSIF strInfoKey = 'model' THEN
			strRt	:= 'Foil brazing operation';
		ELSIF strInfoKey = 'mf' THEN
			strRt	:= 'unknown';
		ELSE
			uiErrCode	:= 3;
		END_IF;
	//Circ Measure Operation
	ELSIF uiInfoIdx = 6 THEN
		IF strInfoKey = 'name' THEN
			strRt	:= 'Circ Measure Operation';
		ELSIF strInfoKey = 'index_name' THEN
			strRt	:= '【46】 Circ Measure Operation';
		ELSIF strInfoKey = 'model' THEN
			strRt	:= 'Circumference measurement operation';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'Home return operation';
		ELSIF strInfoKey = 'mf' THEN
			strRt	:= 'unknown';
		ELSE
			uiErrCode	:= 3;
		END_IF;
	//Winding Clamp Operation
	ELSIF uiInfoIdx = 2 THEN
		IF strInfoKey = 'name' THEN
			strRt	:= 'Winding Clamp Operation';
		ELSIF strInfoKey = 'index_name' THEN
			strRt	:= '【52】 Winding Clamp Operation';
		ELSIF strInfoKey = 'model' THEN
			strRt	:= 'Winding clamping operation';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'Welding operation';
		ELSIF strInfoKey = 'mf' THEN
			strRt	:= 'unknown';
		ELSE
			uiErrCode	:= 3;
		END_IF;
	ELSE
		uiErrCode	:= 2;
	END_IF;
//6
ELSIF strInfoType = 6 THEN
	//Home Return Operation
	IF uiInfoIdx = 1 THEN
		IF strInfoKey = 'name' THEN
			strRt	:= 'Home Return Operation';
		ELSIF strInfoKey = 'index_name' THEN
			strRt	:= '【61】 Home Return Operation';
		ELSIF strInfoKey = 'model' THEN
			strRt	:= 'Return to origin operation';
		ELSIF strInfoKey = 'mf' THEN
			strRt	:= 'unknown';
		ELSE
			uiErrCode	:= 3;
		END_IF;
	//Discharge Receive Op
	ELSIF uiInfoIdx = 2 THEN
		IF strInfoKey = 'name' THEN
			strRt	:= 'Discharge Receive Op';
		ELSIF strInfoKey = 'index_name' THEN
			strRt	:= '【62】 Discharge Receive Op';
		ELSIF strInfoKey = 'model' THEN
			strRt	:= 'Discharge and receiving operation';
		ELSIF strInfoKey = 'mf' THEN
			strRt	:= 'unknown';
		ELSE
			uiErrCode	:= 3;
		END_IF;
	//Discharge Transfer Op
	ELSIF uiInfoIdx = 3 THEN
		IF strInfoKey = 'name' THEN
			strRt	:= 'Discharge Transfer Op';
		ELSIF strInfoKey = 'index_name' THEN
			strRt	:= '【63】 Discharge Transfer Op';
		ELSIF strInfoKey = 'model' THEN
			strRt	:= 'Discharge and handover operation';
		ELSIF strInfoKey = 'mf' THEN
			strRt	:= 'unknown';
		ELSE
			uiErrCode	:= 3;
		END_IF;
	//Measurement Prep
	ELSIF uiInfoIdx = 6 THEN
		IF strInfoKey = 'name' THEN
			strRt	:= 'Measurement Prep';
		ELSIF strInfoKey = 'index_name' THEN
			strRt	:= '【66】 Measurement Prep';
		ELSIF strInfoKey = 'model' THEN
			strRt	:= 'Measurement preparation';
		ELSIF strInfoKey = 'mf' THEN
			strRt	:= 'unknown';
		ELSE
			uiErrCode	:= 3;
		END_IF;
	//Measure During Winding
	ELSIF uiInfoIdx = 7 THEN
		IF strInfoKey = 'name' THEN
			strRt	:= 'Measure During Winding';
		ELSIF strInfoKey = 'index_name' THEN
			strRt	:= '【67】 Measure During Winding';
		ELSIF strInfoKey = 'model' THEN
			strRt	:= 'Measurement operation during winding';
		ELSIF strInfoKey = 'mf' THEN
			strRt	:= 'unknown';
		ELSE
			uiErrCode	:= 3;
		END_IF;
	ELSE
		uiErrCode	:= 2;
	END_IF;
//7
ELSIF strInfoType = 7 THEN
	//Open Operation
	IF uiInfoIdx = 1 THEN
		IF strInfoKey = 'name' THEN
			strRt	:= 'Open Operation';
		ELSIF strInfoKey = 'index_name' THEN
			strRt	:= '【71】 Open Operation';
		ELSIF strInfoKey = 'model' THEN
			strRt	:= 'Opening action';
		ELSIF strInfoKey = 'mf' THEN
			strRt	:= 'unknown';
		ELSE
			uiErrCode	:= 3;
		END_IF;
	//Close Operation
	ELSIF uiInfoIdx = 2 THEN
		IF strInfoKey = 'name' THEN
			strRt	:= 'Close Operation';
		ELSIF strInfoKey = 'index_name' THEN
			strRt	:= '【72】 Close Operation';
		ELSIF strInfoKey = 'model' THEN
			strRt	:= 'Binding action';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'Gluing operation';
		ELSIF strInfoKey = 'mf' THEN
			strRt	:= 'unknown';
		ELSE
			uiErrCode	:= 3;
		END_IF;
	ELSE
		uiErrCode	:= 2;
	END_IF;
//8
ELSIF strInfoType = 8 THEN
	//Feed Operation
	IF uiInfoIdx = 1 THEN
		IF strInfoKey = 'name' THEN
			strRt	:= 'Feed Operation';
		ELSIF strInfoKey = 'index_name' THEN
			strRt	:= '【81】 Feed Operation';
		ELSIF strInfoKey = 'model' THEN
			strRt	:= 'Feed operation';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Home Return Operation</v>
      </c>
      <c r="L13" t="str">
        <f ca="1"/>
        <v>Home Return Operation</v>
      </c>
      <c r="N13" t="str">
        <f ca="1"/>
        <v>【21】 Home Return Operation</v>
      </c>
      <c r="O13" t="str">
        <v>Return to origin operation</v>
      </c>
      <c r="P13" t="str">
        <v>Return to origin operation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//Home Return Operation
	IF uiInfoIdx = 1 THEN</v>
      </c>
      <c r="AC13" t="str">
        <f ca="1"/>
        <v xml:space="preserve">
//2
ELSIF strInfoType = 2 THEN
	//Home Return Operation
	IF uiInfoIdx = 1 THEN
		IF strInfoKey = 'name' THEN</v>
      </c>
      <c r="AD13" t="str">
        <f ca="1"/>
        <v xml:space="preserve">
//2
ELSIF strInfoType = 2 THEN
	//Home Return Operation
	IF uiInfoIdx = 1 THEN
		IF strInfoKey = 'name' THEN
			strRt	:= 'Home Return Operation';</v>
      </c>
      <c r="AE13" t="str">
        <f ca="1"/>
        <v xml:space="preserve">
//2
ELSIF strInfoType = 2 THEN
	//Home Return Operation
	IF uiInfoIdx = 1 THEN
		IF strInfoKey = 'name' THEN
			strRt	:= 'Home Return Operation';
		ELSIF strInfoKey = 'index_name' THEN</v>
      </c>
      <c r="AF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</v>
      </c>
      <c r="AG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</v>
      </c>
      <c r="AH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'Return to origin operation';</v>
      </c>
      <c r="AI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'Return to origin operation';
		ELSIF strInfoKey = 'mf' THEN</v>
      </c>
      <c r="AJ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'Return to origin operation';
		ELSIF strInfoKey = 'mf' THEN
			strRt	:= 'unknown';</v>
      </c>
      <c r="AK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'Return to origin operation';
		ELSIF strInfoKey = 'mf' THEN
			strRt	:= 'unknown';
		ELSE
			uiErrCode	:= 3;
		END_IF;</v>
      </c>
      <c r="AL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'Return to origin operation';
		ELSIF strInfoKey = 'mf' THEN
			strRt	:= 'unknown';
		ELSE
			uiErrCode	:= 3;
		END_IF;</v>
      </c>
      <c r="AM13" t="str">
        <f ca="1"/>
        <v xml:space="preserve">
//2
ELSIF strInfoType = 2 THEN
	//Home Return Operation
	IF uiInfoIdx = 1 THEN
		IF strInfoKey = 'name' THEN
			strRt	:= 'Home Return Operation';
		ELSIF strInfoKey = 'index_name' THEN
			strRt	:= '【21】 Home Return Operation';
		ELSIF strInfoKey = 'model' THEN
			strRt	:= 'Return to origin operation';
		ELSIF strInfoKey = 'mf' THEN
			strRt	:= 'unknown';
		ELSE
			uiErrCode	:= 3;
		END_IF;</v>
      </c>
    </row>
    <row r="14" spans="1:39" x14ac:dyDescent="0.55000000000000004">
      <c r="A14" t="s">
        <v>60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Supply Prep Operation</v>
      </c>
      <c r="L14" t="str">
        <f ca="1"/>
        <v>Supply Prep Operation</v>
      </c>
      <c r="N14" t="str">
        <f ca="1"/>
        <v>【22】 Supply Prep Operation</v>
      </c>
      <c r="O14" t="str">
        <v>Preparation for supply operation</v>
      </c>
      <c r="P14" t="str">
        <v>Preparation for supply operation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//Supply Prep Operation
	ELSIF uiInfoIdx = 2 THEN</v>
      </c>
      <c r="AC14" t="str">
        <f ca="1"/>
        <v xml:space="preserve">
	//Supply Prep Operation
	ELSIF uiInfoIdx = 2 THEN
		IF strInfoKey = 'name' THEN</v>
      </c>
      <c r="AD14" t="str">
        <f ca="1"/>
        <v xml:space="preserve">
	//Supply Prep Operation
	ELSIF uiInfoIdx = 2 THEN
		IF strInfoKey = 'name' THEN
			strRt	:= 'Supply Prep Operation';</v>
      </c>
      <c r="AE14" t="str">
        <f ca="1"/>
        <v xml:space="preserve">
	//Supply Prep Operation
	ELSIF uiInfoIdx = 2 THEN
		IF strInfoKey = 'name' THEN
			strRt	:= 'Supply Prep Operation';
		ELSIF strInfoKey = 'index_name' THEN</v>
      </c>
      <c r="AF14" t="str">
        <f ca="1"/>
        <v xml:space="preserve">
	//Supply Prep Operation
	ELSIF uiInfoIdx = 2 THEN
		IF strInfoKey = 'name' THEN
			strRt	:= 'Supply Prep Operation';
		ELSIF strInfoKey = 'index_name' THEN
			strRt	:= '【22】 Supply Prep Operation';</v>
      </c>
      <c r="AG14" t="str">
        <f ca="1"/>
        <v xml:space="preserve">
	//Supply Prep Operation
	ELSIF uiInfoIdx = 2 THEN
		IF strInfoKey = 'name' THEN
			strRt	:= 'Supply Prep Operation';
		ELSIF strInfoKey = 'index_name' THEN
			strRt	:= '【22】 Supply Prep Operation';
		ELSIF strInfoKey = 'model' THEN</v>
      </c>
      <c r="AH14" t="str">
        <f ca="1"/>
        <v xml:space="preserve">
	//Supply Prep Operation
	ELSIF uiInfoIdx = 2 THEN
		IF strInfoKey = 'name' THEN
			strRt	:= 'Supply Prep Operation';
		ELSIF strInfoKey = 'index_name' THEN
			strRt	:= '【22】 Supply Prep Operation';
		ELSIF strInfoKey = 'model' THEN
			strRt	:= 'Preparation for supply operation';</v>
      </c>
      <c r="AI14" t="str">
        <f ca="1"/>
        <v xml:space="preserve">
	//Supply Prep Operation
	ELSIF uiInfoIdx = 2 THEN
		IF strInfoKey = 'name' THEN
			strRt	:= 'Supply Prep Operation';
		ELSIF strInfoKey = 'index_name' THEN
			strRt	:= '【22】 Supply Prep Operation';
		ELSIF strInfoKey = 'model' THEN
			strRt	:= 'Preparation for supply operation';
		ELSIF strInfoKey = 'mf' THEN</v>
      </c>
      <c r="AJ14" t="str">
        <f ca="1"/>
        <v xml:space="preserve">
	//Supply Prep Operation
	ELSIF uiInfoIdx = 2 THEN
		IF strInfoKey = 'name' THEN
			strRt	:= 'Supply Prep Operation';
		ELSIF strInfoKey = 'index_name' THEN
			strRt	:= '【22】 Supply Prep Operation';
		ELSIF strInfoKey = 'model' THEN
			strRt	:= 'Preparation for supply operation';
		ELSIF strInfoKey = 'mf' THEN
			strRt	:= 'unknown';</v>
      </c>
      <c r="AK14" t="str">
        <f ca="1"/>
        <v xml:space="preserve">
	//Supply Prep Operation
	ELSIF uiInfoIdx = 2 THEN
		IF strInfoKey = 'name' THEN
			strRt	:= 'Supply Prep Operation';
		ELSIF strInfoKey = 'index_name' THEN
			strRt	:= '【22】 Supply Prep Operation';
		ELSIF strInfoKey = 'model' THEN
			strRt	:= 'Preparation for supply operation';
		ELSIF strInfoKey = 'mf' THEN
			strRt	:= 'unknown';
		ELSE
			uiErrCode	:= 3;
		END_IF;</v>
      </c>
      <c r="AL14" t="str">
        <f ca="1"/>
        <v xml:space="preserve">
	//Supply Prep Operation
	ELSIF uiInfoIdx = 2 THEN
		IF strInfoKey = 'name' THEN
			strRt	:= 'Supply Prep Operation';
		ELSIF strInfoKey = 'index_name' THEN
			strRt	:= '【22】 Supply Prep Operation';
		ELSIF strInfoKey = 'model' THEN
			strRt	:= 'Preparation for supply operation';
		ELSIF strInfoKey = 'mf' THEN
			strRt	:= 'unknown';
		ELSE
			uiErrCode	:= 3;
		END_IF;</v>
      </c>
      <c r="AM14" t="str">
        <f ca="1"/>
        <v xml:space="preserve">
	//Supply Prep Operation
	ELSIF uiInfoIdx = 2 THEN
		IF strInfoKey = 'name' THEN
			strRt	:= 'Supply Prep Operation';
		ELSIF strInfoKey = 'index_name' THEN
			strRt	:= '【22】 Supply Prep Operation';
		ELSIF strInfoKey = 'model' THEN
			strRt	:= 'Preparation for supply operation';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Cut Operation</v>
      </c>
      <c r="L15" t="str">
        <f ca="1"/>
        <v>Cut Operation</v>
      </c>
      <c r="N15" t="str">
        <f ca="1"/>
        <v>【23】 Cut Operation</v>
      </c>
      <c r="O15" t="str">
        <v>Cut operation</v>
      </c>
      <c r="P15" t="str">
        <v>Cut operation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//Cut Operation
	ELSIF uiInfoIdx = 3 THEN</v>
      </c>
      <c r="AC15" t="str">
        <f ca="1"/>
        <v xml:space="preserve">
	//Cut Operation
	ELSIF uiInfoIdx = 3 THEN
		IF strInfoKey = 'name' THEN</v>
      </c>
      <c r="AD15" t="str">
        <f ca="1"/>
        <v xml:space="preserve">
	//Cut Operation
	ELSIF uiInfoIdx = 3 THEN
		IF strInfoKey = 'name' THEN
			strRt	:= 'Cut Operation';</v>
      </c>
      <c r="AE15" t="str">
        <f ca="1"/>
        <v xml:space="preserve">
	//Cut Operation
	ELSIF uiInfoIdx = 3 THEN
		IF strInfoKey = 'name' THEN
			strRt	:= 'Cut Operation';
		ELSIF strInfoKey = 'index_name' THEN</v>
      </c>
      <c r="AF15" t="str">
        <f ca="1"/>
        <v xml:space="preserve">
	//Cut Operation
	ELSIF uiInfoIdx = 3 THEN
		IF strInfoKey = 'name' THEN
			strRt	:= 'Cut Operation';
		ELSIF strInfoKey = 'index_name' THEN
			strRt	:= '【23】 Cut Operation';</v>
      </c>
      <c r="AG15" t="str">
        <f ca="1"/>
        <v xml:space="preserve">
	//Cut Operation
	ELSIF uiInfoIdx = 3 THEN
		IF strInfoKey = 'name' THEN
			strRt	:= 'Cut Operation';
		ELSIF strInfoKey = 'index_name' THEN
			strRt	:= '【23】 Cut Operation';
		ELSIF strInfoKey = 'model' THEN</v>
      </c>
      <c r="AH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'Cut operation';</v>
      </c>
      <c r="AI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'Cut operation';
		ELSIF strInfoKey = 'mf' THEN</v>
      </c>
      <c r="AJ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'Cut operation';
		ELSIF strInfoKey = 'mf' THEN
			strRt	:= 'unknown';</v>
      </c>
      <c r="AK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'Cut operation';
		ELSIF strInfoKey = 'mf' THEN
			strRt	:= 'unknown';
		ELSE
			uiErrCode	:= 3;
		END_IF;</v>
      </c>
      <c r="AL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'Cut operation';
		ELSIF strInfoKey = 'mf' THEN
			strRt	:= 'unknown';
		ELSE
			uiErrCode	:= 3;
		END_IF;</v>
      </c>
      <c r="AM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'Cut operation';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Supply Confirm Operation</v>
      </c>
      <c r="L16" t="str">
        <f ca="1"/>
        <v>Supply Confirm Operation</v>
      </c>
      <c r="N16" t="str">
        <f ca="1"/>
        <v>【24】 Supply Confirm Operation</v>
      </c>
      <c r="O16" t="str">
        <v>Supply confirmation operation</v>
      </c>
      <c r="P16" t="str">
        <v>Supply confirmation operation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//Supply Confirm Operation
	ELSIF uiInfoIdx = 4 THEN</v>
      </c>
      <c r="AC16" t="str">
        <f ca="1"/>
        <v xml:space="preserve">
	//Supply Confirm Operation
	ELSIF uiInfoIdx = 4 THEN
		IF strInfoKey = 'name' THEN</v>
      </c>
      <c r="AD16" t="str">
        <f ca="1"/>
        <v xml:space="preserve">
	//Supply Confirm Operation
	ELSIF uiInfoIdx = 4 THEN
		IF strInfoKey = 'name' THEN
			strRt	:= 'Supply Confirm Operation';</v>
      </c>
      <c r="AE16" t="str">
        <f ca="1"/>
        <v xml:space="preserve">
	//Supply Confirm Operation
	ELSIF uiInfoIdx = 4 THEN
		IF strInfoKey = 'name' THEN
			strRt	:= 'Supply Confirm Operation';
		ELSIF strInfoKey = 'index_name' THEN</v>
      </c>
      <c r="AF16" t="str">
        <f ca="1"/>
        <v xml:space="preserve">
	//Supply Confirm Operation
	ELSIF uiInfoIdx = 4 THEN
		IF strInfoKey = 'name' THEN
			strRt	:= 'Supply Confirm Operation';
		ELSIF strInfoKey = 'index_name' THEN
			strRt	:= '【24】 Supply Confirm Operation';</v>
      </c>
      <c r="AG16" t="str">
        <f ca="1"/>
        <v xml:space="preserve">
	//Supply Confirm Operation
	ELSIF uiInfoIdx = 4 THEN
		IF strInfoKey = 'name' THEN
			strRt	:= 'Supply Confirm Operation';
		ELSIF strInfoKey = 'index_name' THEN
			strRt	:= '【24】 Supply Confirm Operation';
		ELSIF strInfoKey = 'model' THEN</v>
      </c>
      <c r="AH16" t="str">
        <f ca="1"/>
        <v xml:space="preserve">
	//Supply Confirm Operation
	ELSIF uiInfoIdx = 4 THEN
		IF strInfoKey = 'name' THEN
			strRt	:= 'Supply Confirm Operation';
		ELSIF strInfoKey = 'index_name' THEN
			strRt	:= '【24】 Supply Confirm Operation';
		ELSIF strInfoKey = 'model' THEN
			strRt	:= 'Supply confirmation operation';</v>
      </c>
      <c r="AI16" t="str">
        <f ca="1"/>
        <v xml:space="preserve">
	//Supply Confirm Operation
	ELSIF uiInfoIdx = 4 THEN
		IF strInfoKey = 'name' THEN
			strRt	:= 'Supply Confirm Operation';
		ELSIF strInfoKey = 'index_name' THEN
			strRt	:= '【24】 Supply Confirm Operation';
		ELSIF strInfoKey = 'model' THEN
			strRt	:= 'Supply confirmation operation';
		ELSIF strInfoKey = 'mf' THEN</v>
      </c>
      <c r="AJ16" t="str">
        <f ca="1"/>
        <v xml:space="preserve">
	//Supply Confirm Operation
	ELSIF uiInfoIdx = 4 THEN
		IF strInfoKey = 'name' THEN
			strRt	:= 'Supply Confirm Operation';
		ELSIF strInfoKey = 'index_name' THEN
			strRt	:= '【24】 Supply Confirm Operation';
		ELSIF strInfoKey = 'model' THEN
			strRt	:= 'Supply confirmation operation';
		ELSIF strInfoKey = 'mf' THEN
			strRt	:= 'unknown';</v>
      </c>
      <c r="AK16" t="str">
        <f ca="1"/>
        <v xml:space="preserve">
	//Supply Confirm Operation
	ELSIF uiInfoIdx = 4 THEN
		IF strInfoKey = 'name' THEN
			strRt	:= 'Supply Confirm Operation';
		ELSIF strInfoKey = 'index_name' THEN
			strRt	:= '【24】 Supply Confirm Operation';
		ELSIF strInfoKey = 'model' THEN
			strRt	:= 'Supply confirmation operation';
		ELSIF strInfoKey = 'mf' THEN
			strRt	:= 'unknown';
		ELSE
			uiErrCode	:= 3;
		END_IF;</v>
      </c>
      <c r="AL16" t="str">
        <f ca="1"/>
        <v xml:space="preserve">
	//Supply Confirm Operation
	ELSIF uiInfoIdx = 4 THEN
		IF strInfoKey = 'name' THEN
			strRt	:= 'Supply Confirm Operation';
		ELSIF strInfoKey = 'index_name' THEN
			strRt	:= '【24】 Supply Confirm Operation';
		ELSIF strInfoKey = 'model' THEN
			strRt	:= 'Supply confirmation operation';
		ELSIF strInfoKey = 'mf' THEN
			strRt	:= 'unknown';
		ELSE
			uiErrCode	:= 3;
		END_IF;</v>
      </c>
      <c r="AM16" t="str">
        <f ca="1"/>
        <v xml:space="preserve">
	//Supply Confirm Operation
	ELSIF uiInfoIdx = 4 THEN
		IF strInfoKey = 'name' THEN
			strRt	:= 'Supply Confirm Operation';
		ELSIF strInfoKey = 'index_name' THEN
			strRt	:= '【24】 Supply Confirm Operation';
		ELSIF strInfoKey = 'model' THEN
			strRt	:= 'Supply confirmation operation';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10</v>
      </c>
      <c r="K17" t="str">
        <f ca="1"/>
        <v>Open Operation</v>
      </c>
      <c r="L17" t="str">
        <f ca="1"/>
        <v>Open Operation</v>
      </c>
      <c r="N17" t="str">
        <f ca="1"/>
        <v>【25】 Open Operation</v>
      </c>
      <c r="O17" t="str">
        <v>Opening motion</v>
      </c>
      <c r="P17" t="str">
        <v>Opening motion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//Open Operation
	ELSIF uiInfoIdx = 5 THEN</v>
      </c>
      <c r="AC17" t="str">
        <f ca="1"/>
        <v xml:space="preserve">
	//Open Operation
	ELSIF uiInfoIdx = 5 THEN
		IF strInfoKey = 'name' THEN</v>
      </c>
      <c r="AD17" t="str">
        <f ca="1"/>
        <v xml:space="preserve">
	//Open Operation
	ELSIF uiInfoIdx = 5 THEN
		IF strInfoKey = 'name' THEN
			strRt	:= 'Open Operation';</v>
      </c>
      <c r="AE17" t="str">
        <f ca="1"/>
        <v xml:space="preserve">
	//Open Operation
	ELSIF uiInfoIdx = 5 THEN
		IF strInfoKey = 'name' THEN
			strRt	:= 'Open Operation';
		ELSIF strInfoKey = 'index_name' THEN</v>
      </c>
      <c r="AF17" t="str">
        <f ca="1"/>
        <v xml:space="preserve">
	//Open Operation
	ELSIF uiInfoIdx = 5 THEN
		IF strInfoKey = 'name' THEN
			strRt	:= 'Open Operation';
		ELSIF strInfoKey = 'index_name' THEN
			strRt	:= '【25】 Open Operation';</v>
      </c>
      <c r="AG17" t="str">
        <f ca="1"/>
        <v xml:space="preserve">
	//Open Operation
	ELSIF uiInfoIdx = 5 THEN
		IF strInfoKey = 'name' THEN
			strRt	:= 'Open Operation';
		ELSIF strInfoKey = 'index_name' THEN
			strRt	:= '【25】 Open Operation';
		ELSIF strInfoKey = 'model' THEN</v>
      </c>
      <c r="AH17" t="str">
        <f ca="1"/>
        <v xml:space="preserve">
	//Open Operation
	ELSIF uiInfoIdx = 5 THEN
		IF strInfoKey = 'name' THEN
			strRt	:= 'Open Operation';
		ELSIF strInfoKey = 'index_name' THEN
			strRt	:= '【25】 Open Operation';
		ELSIF strInfoKey = 'model' THEN
			strRt	:= 'Opening motion';</v>
      </c>
      <c r="AI17" t="str">
        <f ca="1"/>
        <v xml:space="preserve">
	//Open Operation
	ELSIF uiInfoIdx = 5 THEN
		IF strInfoKey = 'name' THEN
			strRt	:= 'Open Operation';
		ELSIF strInfoKey = 'index_name' THEN
			strRt	:= '【25】 Open Operation';
		ELSIF strInfoKey = 'model' THEN
			strRt	:= 'Opening motion';
		ELSIF strInfoKey = 'mf' THEN</v>
      </c>
      <c r="AJ17" t="str">
        <f ca="1"/>
        <v xml:space="preserve">
	//Open Operation
	ELSIF uiInfoIdx = 5 THEN
		IF strInfoKey = 'name' THEN
			strRt	:= 'Open Operation';
		ELSIF strInfoKey = 'index_name' THEN
			strRt	:= '【25】 Open Operation';
		ELSIF strInfoKey = 'model' THEN
			strRt	:= 'Opening motion';
		ELSIF strInfoKey = 'mf' THEN
			strRt	:= 'unknown';</v>
      </c>
      <c r="AK17" t="str">
        <f ca="1"/>
        <v xml:space="preserve">
	//Open Operation
	ELSIF uiInfoIdx = 5 THEN
		IF strInfoKey = 'name' THEN
			strRt	:= 'Open Operation';
		ELSIF strInfoKey = 'index_name' THEN
			strRt	:= '【25】 Open Operation';
		ELSIF strInfoKey = 'model' THEN
			strRt	:= 'Opening motion';
		ELSIF strInfoKey = 'mf' THEN
			strRt	:= 'unknown';
		ELSE
			uiErrCode	:= 3;
		END_IF;</v>
      </c>
      <c r="AL17" t="str">
        <f ca="1"/>
        <v xml:space="preserve">
	//Open Operation
	ELSIF uiInfoIdx = 5 THEN
		IF strInfoKey = 'name' THEN
			strRt	:= 'Open Operation';
		ELSIF strInfoKey = 'index_name' THEN
			strRt	:= '【25】 Open Operation';
		ELSIF strInfoKey = 'model' THEN
			strRt	:= 'Opening motion';
		ELSIF strInfoKey = 'mf' THEN
			strRt	:= 'unknown';
		ELSE
			uiErrCode	:= 3;
		END_IF;</v>
      </c>
      <c r="AM17" t="str">
        <f ca="1"/>
        <v xml:space="preserve">
	//Open Operation
	ELSIF uiInfoIdx = 5 THEN
		IF strInfoKey = 'name' THEN
			strRt	:= 'Open Operation';
		ELSIF strInfoKey = 'index_name' THEN
			strRt	:= '【25】 Open Operation';
		ELSIF strInfoKey = 'model' THEN
			strRt	:= 'Opening motion';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11</v>
      </c>
      <c r="K18" t="str">
        <f ca="1"/>
        <v>Supply Start Operation</v>
      </c>
      <c r="L18" t="str">
        <f ca="1"/>
        <v>Supply Start Operation</v>
      </c>
      <c r="N18" t="str">
        <f ca="1"/>
        <v>【26】 Supply Start Operation</v>
      </c>
      <c r="O18" t="str">
        <v>Start supply operation</v>
      </c>
      <c r="P18" t="str">
        <v>Start supply operation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//Supply Start Operation
	ELSIF uiInfoIdx = 6 THEN</v>
      </c>
      <c r="AC18" t="str">
        <f ca="1"/>
        <v xml:space="preserve">
	//Supply Start Operation
	ELSIF uiInfoIdx = 6 THEN
		IF strInfoKey = 'name' THEN</v>
      </c>
      <c r="AD18" t="str">
        <f ca="1"/>
        <v xml:space="preserve">
	//Supply Start Operation
	ELSIF uiInfoIdx = 6 THEN
		IF strInfoKey = 'name' THEN
			strRt	:= 'Supply Start Operation';</v>
      </c>
      <c r="AE18" t="str">
        <f ca="1"/>
        <v xml:space="preserve">
	//Supply Start Operation
	ELSIF uiInfoIdx = 6 THEN
		IF strInfoKey = 'name' THEN
			strRt	:= 'Supply Start Operation';
		ELSIF strInfoKey = 'index_name' THEN</v>
      </c>
      <c r="AF18" t="str">
        <f ca="1"/>
        <v xml:space="preserve">
	//Supply Start Operation
	ELSIF uiInfoIdx = 6 THEN
		IF strInfoKey = 'name' THEN
			strRt	:= 'Supply Start Operation';
		ELSIF strInfoKey = 'index_name' THEN
			strRt	:= '【26】 Supply Start Operation';</v>
      </c>
      <c r="AG18" t="str">
        <f ca="1"/>
        <v xml:space="preserve">
	//Supply Start Operation
	ELSIF uiInfoIdx = 6 THEN
		IF strInfoKey = 'name' THEN
			strRt	:= 'Supply Start Operation';
		ELSIF strInfoKey = 'index_name' THEN
			strRt	:= '【26】 Supply Start Operation';
		ELSIF strInfoKey = 'model' THEN</v>
      </c>
      <c r="AH18" t="str">
        <f ca="1"/>
        <v xml:space="preserve">
	//Supply Start Operation
	ELSIF uiInfoIdx = 6 THEN
		IF strInfoKey = 'name' THEN
			strRt	:= 'Supply Start Operation';
		ELSIF strInfoKey = 'index_name' THEN
			strRt	:= '【26】 Supply Start Operation';
		ELSIF strInfoKey = 'model' THEN
			strRt	:= 'Start supply operation';</v>
      </c>
      <c r="AI18" t="str">
        <f ca="1"/>
        <v xml:space="preserve">
	//Supply Start Operation
	ELSIF uiInfoIdx = 6 THEN
		IF strInfoKey = 'name' THEN
			strRt	:= 'Supply Start Operation';
		ELSIF strInfoKey = 'index_name' THEN
			strRt	:= '【26】 Supply Start Operation';
		ELSIF strInfoKey = 'model' THEN
			strRt	:= 'Start supply operation';
		ELSIF strInfoKey = 'mf' THEN</v>
      </c>
      <c r="AJ18" t="str">
        <f ca="1"/>
        <v xml:space="preserve">
	//Supply Start Operation
	ELSIF uiInfoIdx = 6 THEN
		IF strInfoKey = 'name' THEN
			strRt	:= 'Supply Start Operation';
		ELSIF strInfoKey = 'index_name' THEN
			strRt	:= '【26】 Supply Start Operation';
		ELSIF strInfoKey = 'model' THEN
			strRt	:= 'Start supply operation';
		ELSIF strInfoKey = 'mf' THEN
			strRt	:= 'unknown';</v>
      </c>
      <c r="AK18" t="str">
        <f ca="1"/>
        <v xml:space="preserve">
	//Supply Start Operation
	ELSIF uiInfoIdx = 6 THEN
		IF strInfoKey = 'name' THEN
			strRt	:= 'Supply Start Operation';
		ELSIF strInfoKey = 'index_name' THEN
			strRt	:= '【26】 Supply Start Operation';
		ELSIF strInfoKey = 'model' THEN
			strRt	:= 'Start supply operation';
		ELSIF strInfoKey = 'mf' THEN
			strRt	:= 'unknown';
		ELSE
			uiErrCode	:= 3;
		END_IF;</v>
      </c>
      <c r="AL18" t="str">
        <f ca="1"/>
        <v xml:space="preserve">
	//Supply Start Operation
	ELSIF uiInfoIdx = 6 THEN
		IF strInfoKey = 'name' THEN
			strRt	:= 'Supply Start Operation';
		ELSIF strInfoKey = 'index_name' THEN
			strRt	:= '【26】 Supply Start Operation';
		ELSIF strInfoKey = 'model' THEN
			strRt	:= 'Start supply operation';
		ELSIF strInfoKey = 'mf' THEN
			strRt	:= 'unknown';
		ELSE
			uiErrCode	:= 3;
		END_IF;</v>
      </c>
      <c r="AM18" t="str">
        <f ca="1"/>
        <v xml:space="preserve">
	//Supply Start Operation
	ELSIF uiInfoIdx = 6 THEN
		IF strInfoKey = 'name' THEN
			strRt	:= 'Supply Start Operation';
		ELSIF strInfoKey = 'index_name' THEN
			strRt	:= '【26】 Supply Start Operation';
		ELSIF strInfoKey = 'model' THEN
			strRt	:= 'Start supply operation';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>
        <v>12</v>
      </c>
      <c r="K19" t="str">
        <f ca="1"/>
        <v>Supply Operation</v>
      </c>
      <c r="L19" t="str">
        <f ca="1"/>
        <v>Supply Operation</v>
      </c>
      <c r="N19" t="str">
        <f ca="1"/>
        <v>【27】 Supply Operation</v>
      </c>
      <c r="O19" t="str">
        <v>Supply operation</v>
      </c>
      <c r="P19" t="str">
        <v>Supply operation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//Supply Operation
	ELSIF uiInfoIdx = 7 THEN</v>
      </c>
      <c r="AC19" t="str">
        <f ca="1"/>
        <v xml:space="preserve">
	//Supply Operation
	ELSIF uiInfoIdx = 7 THEN
		IF strInfoKey = 'name' THEN</v>
      </c>
      <c r="AD19" t="str">
        <f ca="1"/>
        <v xml:space="preserve">
	//Supply Operation
	ELSIF uiInfoIdx = 7 THEN
		IF strInfoKey = 'name' THEN
			strRt	:= 'Supply Operation';</v>
      </c>
      <c r="AE19" t="str">
        <f ca="1"/>
        <v xml:space="preserve">
	//Supply Operation
	ELSIF uiInfoIdx = 7 THEN
		IF strInfoKey = 'name' THEN
			strRt	:= 'Supply Operation';
		ELSIF strInfoKey = 'index_name' THEN</v>
      </c>
      <c r="AF19" t="str">
        <f ca="1"/>
        <v xml:space="preserve">
	//Supply Operation
	ELSIF uiInfoIdx = 7 THEN
		IF strInfoKey = 'name' THEN
			strRt	:= 'Supply Operation';
		ELSIF strInfoKey = 'index_name' THEN
			strRt	:= '【27】 Supply Operation';</v>
      </c>
      <c r="AG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</v>
      </c>
      <c r="AH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'Supply operation';</v>
      </c>
      <c r="AI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'Supply operation';
		ELSIF strInfoKey = 'mf' THEN</v>
      </c>
      <c r="AJ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'Supply operation';
		ELSIF strInfoKey = 'mf' THEN
			strRt	:= 'unknown';</v>
      </c>
      <c r="AK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'Supply operation';
		ELSIF strInfoKey = 'mf' THEN
			strRt	:= 'unknown';
		ELSE
			uiErrCode	:= 3;
		END_IF;</v>
      </c>
      <c r="AL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'Supply operation';
		ELSIF strInfoKey = 'mf' THEN
			strRt	:= 'unknown';
		ELSE
			uiErrCode	:= 3;
		END_IF;</v>
      </c>
      <c r="AM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'Supply operation';
		ELSIF strInfoKey = 'mf' THEN
			strRt	:= 'unknown';
		ELSE
			uiErrCode	:= 3;
		END_IF;</v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40</v>
      </c>
      <c r="B23">
        <v>1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13</v>
      </c>
      <c r="K23" t="str">
        <f ca="1"/>
        <v>Home Return Operation</v>
      </c>
      <c r="L23" t="str">
        <f ca="1"/>
        <v>Home Return Operation</v>
      </c>
      <c r="N23" t="str">
        <f ca="1"/>
        <v>【31】 Home Return Operation</v>
      </c>
      <c r="O23" t="str">
        <v>Home return operation</v>
      </c>
      <c r="P23" t="str">
        <v>Home return operation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//Home Return Operation
	IF uiInfoIdx = 1 THEN</v>
      </c>
      <c r="AC23" t="str">
        <f ca="1"/>
        <v xml:space="preserve">
//3
ELSIF strInfoType = 3 THEN
	//Home Return Operation
	IF uiInfoIdx = 1 THEN
		IF strInfoKey = 'name' THEN</v>
      </c>
      <c r="AD23" t="str">
        <f ca="1"/>
        <v xml:space="preserve">
//3
ELSIF strInfoType = 3 THEN
	//Home Return Operation
	IF uiInfoIdx = 1 THEN
		IF strInfoKey = 'name' THEN
			strRt	:= 'Home Return Operation';</v>
      </c>
      <c r="AE23" t="str">
        <f ca="1"/>
        <v xml:space="preserve">
//3
ELSIF strInfoType = 3 THEN
	//Home Return Operation
	IF uiInfoIdx = 1 THEN
		IF strInfoKey = 'name' THEN
			strRt	:= 'Home Return Operation';
		ELSIF strInfoKey = 'index_name' THEN</v>
      </c>
      <c r="AF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</v>
      </c>
      <c r="AG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</v>
      </c>
      <c r="AH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'Home return operation';</v>
      </c>
      <c r="AI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'Home return operation';
		ELSIF strInfoKey = 'mf' THEN</v>
      </c>
      <c r="AJ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'Home return operation';
		ELSIF strInfoKey = 'mf' THEN
			strRt	:= 'unknown';</v>
      </c>
      <c r="AK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'Home return operation';
		ELSIF strInfoKey = 'mf' THEN
			strRt	:= 'unknown';
		ELSE
			uiErrCode	:= 3;
		END_IF;</v>
      </c>
      <c r="AL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'Home return operation';
		ELSIF strInfoKey = 'mf' THEN
			strRt	:= 'unknown';
		ELSE
			uiErrCode	:= 3;
		END_IF;</v>
      </c>
      <c r="AM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'Home return operation';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14</v>
      </c>
      <c r="K24" t="str">
        <f ca="1"/>
        <v>Supply Prep Operation</v>
      </c>
      <c r="L24" t="str">
        <f ca="1"/>
        <v>Supply Prep Operation</v>
      </c>
      <c r="N24" t="str">
        <f ca="1"/>
        <v>【32】 Supply Prep Operation</v>
      </c>
      <c r="O24" t="str">
        <v>Supply preparation operation</v>
      </c>
      <c r="P24" t="str">
        <v>Supply preparation operation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//Supply Prep Operation
	ELSIF uiInfoIdx = 2 THEN</v>
      </c>
      <c r="AC24" t="str">
        <f ca="1"/>
        <v xml:space="preserve">
	//Supply Prep Operation
	ELSIF uiInfoIdx = 2 THEN
		IF strInfoKey = 'name' THEN</v>
      </c>
      <c r="AD24" t="str">
        <f ca="1"/>
        <v xml:space="preserve">
	//Supply Prep Operation
	ELSIF uiInfoIdx = 2 THEN
		IF strInfoKey = 'name' THEN
			strRt	:= 'Supply Prep Operation';</v>
      </c>
      <c r="AE24" t="str">
        <f ca="1"/>
        <v xml:space="preserve">
	//Supply Prep Operation
	ELSIF uiInfoIdx = 2 THEN
		IF strInfoKey = 'name' THEN
			strRt	:= 'Supply Prep Operation';
		ELSIF strInfoKey = 'index_name' THEN</v>
      </c>
      <c r="AF24" t="str">
        <f ca="1"/>
        <v xml:space="preserve">
	//Supply Prep Operation
	ELSIF uiInfoIdx = 2 THEN
		IF strInfoKey = 'name' THEN
			strRt	:= 'Supply Prep Operation';
		ELSIF strInfoKey = 'index_name' THEN
			strRt	:= '【32】 Supply Prep Operation';</v>
      </c>
      <c r="AG24" t="str">
        <f ca="1"/>
        <v xml:space="preserve">
	//Supply Prep Operation
	ELSIF uiInfoIdx = 2 THEN
		IF strInfoKey = 'name' THEN
			strRt	:= 'Supply Prep Operation';
		ELSIF strInfoKey = 'index_name' THEN
			strRt	:= '【32】 Supply Prep Operation';
		ELSIF strInfoKey = 'model' THEN</v>
      </c>
      <c r="AH24" t="str">
        <f ca="1"/>
        <v xml:space="preserve">
	//Supply Prep Operation
	ELSIF uiInfoIdx = 2 THEN
		IF strInfoKey = 'name' THEN
			strRt	:= 'Supply Prep Operation';
		ELSIF strInfoKey = 'index_name' THEN
			strRt	:= '【32】 Supply Prep Operation';
		ELSIF strInfoKey = 'model' THEN
			strRt	:= 'Supply preparation operation';</v>
      </c>
      <c r="AI24" t="str">
        <f ca="1"/>
        <v xml:space="preserve">
	//Supply Prep Operation
	ELSIF uiInfoIdx = 2 THEN
		IF strInfoKey = 'name' THEN
			strRt	:= 'Supply Prep Operation';
		ELSIF strInfoKey = 'index_name' THEN
			strRt	:= '【32】 Supply Prep Operation';
		ELSIF strInfoKey = 'model' THEN
			strRt	:= 'Supply preparation operation';
		ELSIF strInfoKey = 'mf' THEN</v>
      </c>
      <c r="AJ24" t="str">
        <f ca="1"/>
        <v xml:space="preserve">
	//Supply Prep Operation
	ELSIF uiInfoIdx = 2 THEN
		IF strInfoKey = 'name' THEN
			strRt	:= 'Supply Prep Operation';
		ELSIF strInfoKey = 'index_name' THEN
			strRt	:= '【32】 Supply Prep Operation';
		ELSIF strInfoKey = 'model' THEN
			strRt	:= 'Supply preparation operation';
		ELSIF strInfoKey = 'mf' THEN
			strRt	:= 'unknown';</v>
      </c>
      <c r="AK24" t="str">
        <f ca="1"/>
        <v xml:space="preserve">
	//Supply Prep Operation
	ELSIF uiInfoIdx = 2 THEN
		IF strInfoKey = 'name' THEN
			strRt	:= 'Supply Prep Operation';
		ELSIF strInfoKey = 'index_name' THEN
			strRt	:= '【32】 Supply Prep Operation';
		ELSIF strInfoKey = 'model' THEN
			strRt	:= 'Supply preparation operation';
		ELSIF strInfoKey = 'mf' THEN
			strRt	:= 'unknown';
		ELSE
			uiErrCode	:= 3;
		END_IF;</v>
      </c>
      <c r="AL24" t="str">
        <f ca="1"/>
        <v xml:space="preserve">
	//Supply Prep Operation
	ELSIF uiInfoIdx = 2 THEN
		IF strInfoKey = 'name' THEN
			strRt	:= 'Supply Prep Operation';
		ELSIF strInfoKey = 'index_name' THEN
			strRt	:= '【32】 Supply Prep Operation';
		ELSIF strInfoKey = 'model' THEN
			strRt	:= 'Supply preparation operation';
		ELSIF strInfoKey = 'mf' THEN
			strRt	:= 'unknown';
		ELSE
			uiErrCode	:= 3;
		END_IF;</v>
      </c>
      <c r="AM24" t="str">
        <f ca="1"/>
        <v xml:space="preserve">
	//Supply Prep Operation
	ELSIF uiInfoIdx = 2 THEN
		IF strInfoKey = 'name' THEN
			strRt	:= 'Supply Prep Operation';
		ELSIF strInfoKey = 'index_name' THEN
			strRt	:= '【32】 Supply Prep Operation';
		ELSIF strInfoKey = 'model' THEN
			strRt	:= 'Supply preparation operation';
		ELSIF strInfoKey = 'mf' THEN
			strRt	:= 'unknown';
		ELSE
			uiErrCode	:= 3;
		END_IF;</v>
      </c>
    </row>
    <row r="25" spans="1:39" x14ac:dyDescent="0.55000000000000004">
      <c r="A25" t="s">
        <v>32</v>
      </c>
      <c r="B25" t="s">
        <v>61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15</v>
      </c>
      <c r="K25" t="str">
        <f ca="1"/>
        <v>Supply Operation</v>
      </c>
      <c r="L25" t="str">
        <f ca="1"/>
        <v>Supply Operation</v>
      </c>
      <c r="N25" t="str">
        <f ca="1"/>
        <v>【33】 Supply Operation</v>
      </c>
      <c r="O25" t="str">
        <v>supply operation</v>
      </c>
      <c r="P25" t="str">
        <v>supply operation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//Supply Operation
	ELSIF uiInfoIdx = 3 THEN</v>
      </c>
      <c r="AC25" t="str">
        <f ca="1"/>
        <v xml:space="preserve">
	//Supply Operation
	ELSIF uiInfoIdx = 3 THEN
		IF strInfoKey = 'name' THEN</v>
      </c>
      <c r="AD25" t="str">
        <f ca="1"/>
        <v xml:space="preserve">
	//Supply Operation
	ELSIF uiInfoIdx = 3 THEN
		IF strInfoKey = 'name' THEN
			strRt	:= 'Supply Operation';</v>
      </c>
      <c r="AE25" t="str">
        <f ca="1"/>
        <v xml:space="preserve">
	//Supply Operation
	ELSIF uiInfoIdx = 3 THEN
		IF strInfoKey = 'name' THEN
			strRt	:= 'Supply Operation';
		ELSIF strInfoKey = 'index_name' THEN</v>
      </c>
      <c r="AF25" t="str">
        <f ca="1"/>
        <v xml:space="preserve">
	//Supply Operation
	ELSIF uiInfoIdx = 3 THEN
		IF strInfoKey = 'name' THEN
			strRt	:= 'Supply Operation';
		ELSIF strInfoKey = 'index_name' THEN
			strRt	:= '【33】 Supply Operation';</v>
      </c>
      <c r="AG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</v>
      </c>
      <c r="AH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'supply operation';</v>
      </c>
      <c r="AI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'supply operation';
		ELSIF strInfoKey = 'mf' THEN</v>
      </c>
      <c r="AJ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'supply operation';
		ELSIF strInfoKey = 'mf' THEN
			strRt	:= 'unknown';</v>
      </c>
      <c r="AK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'supply operation';
		ELSIF strInfoKey = 'mf' THEN
			strRt	:= 'unknown';
		ELSE
			uiErrCode	:= 3;
		END_IF;</v>
      </c>
      <c r="AL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'supply operation';
		ELSIF strInfoKey = 'mf' THEN
			strRt	:= 'unknown';
		ELSE
			uiErrCode	:= 3;
		END_IF;</v>
      </c>
      <c r="AM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'supply operation';
		ELSIF strInfoKey = 'mf' THEN
			strRt	:= 'unknown';
		ELSE
			uiErrCode	:= 3;
		END_IF;</v>
      </c>
    </row>
    <row r="26" spans="1:39" x14ac:dyDescent="0.55000000000000004">
      <c r="A26" t="s">
        <v>28</v>
      </c>
      <c r="B26" t="s">
        <v>62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29</v>
      </c>
      <c r="B27" t="s">
        <v>63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27</v>
      </c>
      <c r="B28" t="s">
        <v>66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47</v>
      </c>
      <c r="B29" t="s">
        <v>67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16</v>
      </c>
      <c r="K33" t="str">
        <f ca="1"/>
        <v>Home Return Operation</v>
      </c>
      <c r="L33" t="str">
        <f ca="1"/>
        <v>Home Return Operation</v>
      </c>
      <c r="N33" t="str">
        <f ca="1"/>
        <v>【41】 Home Return Operation</v>
      </c>
      <c r="O33" t="str">
        <v>Home return operation</v>
      </c>
      <c r="P33" t="str">
        <v>Home return operation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//Home Return Operation
	IF uiInfoIdx = 1 THEN</v>
      </c>
      <c r="AC33" t="str">
        <f ca="1"/>
        <v xml:space="preserve">
//4
ELSIF strInfoType = 4 THEN
	//Home Return Operation
	IF uiInfoIdx = 1 THEN
		IF strInfoKey = 'name' THEN</v>
      </c>
      <c r="AD33" t="str">
        <f ca="1"/>
        <v xml:space="preserve">
//4
ELSIF strInfoType = 4 THEN
	//Home Return Operation
	IF uiInfoIdx = 1 THEN
		IF strInfoKey = 'name' THEN
			strRt	:= 'Home Return Operation';</v>
      </c>
      <c r="AE33" t="str">
        <f ca="1"/>
        <v xml:space="preserve">
//4
ELSIF strInfoType = 4 THEN
	//Home Return Operation
	IF uiInfoIdx = 1 THEN
		IF strInfoKey = 'name' THEN
			strRt	:= 'Home Return Operation';
		ELSIF strInfoKey = 'index_name' THEN</v>
      </c>
      <c r="AF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</v>
      </c>
      <c r="AG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</v>
      </c>
      <c r="AH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'Home return operation';</v>
      </c>
      <c r="AI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'Home return operation';
		ELSIF strInfoKey = 'mf' THEN</v>
      </c>
      <c r="AJ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'Home return operation';
		ELSIF strInfoKey = 'mf' THEN
			strRt	:= 'unknown';</v>
      </c>
      <c r="AK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'Home return operation';
		ELSIF strInfoKey = 'mf' THEN
			strRt	:= 'unknown';
		ELSE
			uiErrCode	:= 3;
		END_IF;</v>
      </c>
      <c r="AL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'Home return operation';
		ELSIF strInfoKey = 'mf' THEN
			strRt	:= 'unknown';
		ELSE
			uiErrCode	:= 3;
		END_IF;</v>
      </c>
      <c r="AM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'Home return operation';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17</v>
      </c>
      <c r="K34" t="str">
        <f ca="1"/>
        <v>Sensor Preset Operation</v>
      </c>
      <c r="L34" t="str">
        <f ca="1"/>
        <v>Sensor Preset Operation</v>
      </c>
      <c r="N34" t="str">
        <f ca="1"/>
        <v>【42】 Sensor Preset Operation</v>
      </c>
      <c r="O34" t="str">
        <v>Sensor Preset Operation</v>
      </c>
      <c r="P34" t="str">
        <v>Sensor Preset Operation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//Sensor Preset Operation
	ELSIF uiInfoIdx = 2 THEN</v>
      </c>
      <c r="AC34" t="str">
        <f ca="1"/>
        <v xml:space="preserve">
	//Sensor Preset Operation
	ELSIF uiInfoIdx = 2 THEN
		IF strInfoKey = 'name' THEN</v>
      </c>
      <c r="AD34" t="str">
        <f ca="1"/>
        <v xml:space="preserve">
	//Sensor Preset Operation
	ELSIF uiInfoIdx = 2 THEN
		IF strInfoKey = 'name' THEN
			strRt	:= 'Sensor Preset Operation';</v>
      </c>
      <c r="AE34" t="str">
        <f ca="1"/>
        <v xml:space="preserve">
	//Sensor Preset Operation
	ELSIF uiInfoIdx = 2 THEN
		IF strInfoKey = 'name' THEN
			strRt	:= 'Sensor Preset Operation';
		ELSIF strInfoKey = 'index_name' THEN</v>
      </c>
      <c r="AF34" t="str">
        <f ca="1"/>
        <v xml:space="preserve">
	//Sensor Preset Operation
	ELSIF uiInfoIdx = 2 THEN
		IF strInfoKey = 'name' THEN
			strRt	:= 'Sensor Preset Operation';
		ELSIF strInfoKey = 'index_name' THEN
			strRt	:= '【42】 Sensor Preset Operation';</v>
      </c>
      <c r="AG34" t="str">
        <f ca="1"/>
        <v xml:space="preserve">
	//Sensor Preset Operation
	ELSIF uiInfoIdx = 2 THEN
		IF strInfoKey = 'name' THEN
			strRt	:= 'Sensor Preset Operation';
		ELSIF strInfoKey = 'index_name' THEN
			strRt	:= '【42】 Sensor Preset Operation';
		ELSIF strInfoKey = 'model' THEN</v>
      </c>
      <c r="AH34" t="str">
        <f ca="1"/>
        <v xml:space="preserve">
	//Sensor Preset Operation
	ELSIF uiInfoIdx = 2 THEN
		IF strInfoKey = 'name' THEN
			strRt	:= 'Sensor Preset Operation';
		ELSIF strInfoKey = 'index_name' THEN
			strRt	:= '【42】 Sensor Preset Operation';
		ELSIF strInfoKey = 'model' THEN
			strRt	:= 'Sensor Preset Operation';</v>
      </c>
      <c r="AI34" t="str">
        <f ca="1"/>
        <v xml:space="preserve">
	//Sensor Preset Operation
	ELSIF uiInfoIdx = 2 THEN
		IF strInfoKey = 'name' THEN
			strRt	:= 'Sensor Preset Operation';
		ELSIF strInfoKey = 'index_name' THEN
			strRt	:= '【42】 Sensor Preset Operation';
		ELSIF strInfoKey = 'model' THEN
			strRt	:= 'Sensor Preset Operation';
		ELSIF strInfoKey = 'mf' THEN</v>
      </c>
      <c r="AJ34" t="str">
        <f ca="1"/>
        <v xml:space="preserve">
	//Sensor Preset Operation
	ELSIF uiInfoIdx = 2 THEN
		IF strInfoKey = 'name' THEN
			strRt	:= 'Sensor Preset Operation';
		ELSIF strInfoKey = 'index_name' THEN
			strRt	:= '【42】 Sensor Preset Operation';
		ELSIF strInfoKey = 'model' THEN
			strRt	:= 'Sensor Preset Operation';
		ELSIF strInfoKey = 'mf' THEN
			strRt	:= 'unknown';</v>
      </c>
      <c r="AK34" t="str">
        <f ca="1"/>
        <v xml:space="preserve">
	//Sensor Preset Operation
	ELSIF uiInfoIdx = 2 THEN
		IF strInfoKey = 'name' THEN
			strRt	:= 'Sensor Preset Operation';
		ELSIF strInfoKey = 'index_name' THEN
			strRt	:= '【42】 Sensor Preset Operation';
		ELSIF strInfoKey = 'model' THEN
			strRt	:= 'Sensor Preset Operation';
		ELSIF strInfoKey = 'mf' THEN
			strRt	:= 'unknown';
		ELSE
			uiErrCode	:= 3;
		END_IF;</v>
      </c>
      <c r="AL34" t="str">
        <f ca="1"/>
        <v xml:space="preserve">
	//Sensor Preset Operation
	ELSIF uiInfoIdx = 2 THEN
		IF strInfoKey = 'name' THEN
			strRt	:= 'Sensor Preset Operation';
		ELSIF strInfoKey = 'index_name' THEN
			strRt	:= '【42】 Sensor Preset Operation';
		ELSIF strInfoKey = 'model' THEN
			strRt	:= 'Sensor Preset Operation';
		ELSIF strInfoKey = 'mf' THEN
			strRt	:= 'unknown';
		ELSE
			uiErrCode	:= 3;
		END_IF;</v>
      </c>
      <c r="AM34" t="str">
        <f ca="1"/>
        <v xml:space="preserve">
	//Sensor Preset Operation
	ELSIF uiInfoIdx = 2 THEN
		IF strInfoKey = 'name' THEN
			strRt	:= 'Sensor Preset Operation';
		ELSIF strInfoKey = 'index_name' THEN
			strRt	:= '【42】 Sensor Preset Operation';
		ELSIF strInfoKey = 'model' THEN
			strRt	:= 'Sensor Preset Operation';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18</v>
      </c>
      <c r="K35" t="str">
        <f ca="1"/>
        <v>Winding Prep Operation</v>
      </c>
      <c r="L35" t="str">
        <f ca="1"/>
        <v>Winding Prep Operation</v>
      </c>
      <c r="N35" t="str">
        <f ca="1"/>
        <v>【43】 Winding Prep Operation</v>
      </c>
      <c r="O35" t="str">
        <v>Winding preparation operation</v>
      </c>
      <c r="P35" t="str">
        <v>Winding preparation operation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//Winding Prep Operation
	ELSIF uiInfoIdx = 3 THEN</v>
      </c>
      <c r="AC35" t="str">
        <f ca="1"/>
        <v xml:space="preserve">
	//Winding Prep Operation
	ELSIF uiInfoIdx = 3 THEN
		IF strInfoKey = 'name' THEN</v>
      </c>
      <c r="AD35" t="str">
        <f ca="1"/>
        <v xml:space="preserve">
	//Winding Prep Operation
	ELSIF uiInfoIdx = 3 THEN
		IF strInfoKey = 'name' THEN
			strRt	:= 'Winding Prep Operation';</v>
      </c>
      <c r="AE35" t="str">
        <f ca="1"/>
        <v xml:space="preserve">
	//Winding Prep Operation
	ELSIF uiInfoIdx = 3 THEN
		IF strInfoKey = 'name' THEN
			strRt	:= 'Winding Prep Operation';
		ELSIF strInfoKey = 'index_name' THEN</v>
      </c>
      <c r="AF35" t="str">
        <f ca="1"/>
        <v xml:space="preserve">
	//Winding Prep Operation
	ELSIF uiInfoIdx = 3 THEN
		IF strInfoKey = 'name' THEN
			strRt	:= 'Winding Prep Operation';
		ELSIF strInfoKey = 'index_name' THEN
			strRt	:= '【43】 Winding Prep Operation';</v>
      </c>
      <c r="AG35" t="str">
        <f ca="1"/>
        <v xml:space="preserve">
	//Winding Prep Operation
	ELSIF uiInfoIdx = 3 THEN
		IF strInfoKey = 'name' THEN
			strRt	:= 'Winding Prep Operation';
		ELSIF strInfoKey = 'index_name' THEN
			strRt	:= '【43】 Winding Prep Operation';
		ELSIF strInfoKey = 'model' THEN</v>
      </c>
      <c r="AH35" t="str">
        <f ca="1"/>
        <v xml:space="preserve">
	//Winding Prep Operation
	ELSIF uiInfoIdx = 3 THEN
		IF strInfoKey = 'name' THEN
			strRt	:= 'Winding Prep Operation';
		ELSIF strInfoKey = 'index_name' THEN
			strRt	:= '【43】 Winding Prep Operation';
		ELSIF strInfoKey = 'model' THEN
			strRt	:= 'Winding preparation operation';</v>
      </c>
      <c r="AI35" t="str">
        <f ca="1"/>
        <v xml:space="preserve">
	//Winding Prep Operation
	ELSIF uiInfoIdx = 3 THEN
		IF strInfoKey = 'name' THEN
			strRt	:= 'Winding Prep Operation';
		ELSIF strInfoKey = 'index_name' THEN
			strRt	:= '【43】 Winding Prep Operation';
		ELSIF strInfoKey = 'model' THEN
			strRt	:= 'Winding preparation operation';
		ELSIF strInfoKey = 'mf' THEN</v>
      </c>
      <c r="AJ35" t="str">
        <f ca="1"/>
        <v xml:space="preserve">
	//Winding Prep Operation
	ELSIF uiInfoIdx = 3 THEN
		IF strInfoKey = 'name' THEN
			strRt	:= 'Winding Prep Operation';
		ELSIF strInfoKey = 'index_name' THEN
			strRt	:= '【43】 Winding Prep Operation';
		ELSIF strInfoKey = 'model' THEN
			strRt	:= 'Winding preparation operation';
		ELSIF strInfoKey = 'mf' THEN
			strRt	:= 'unknown';</v>
      </c>
      <c r="AK35" t="str">
        <f ca="1"/>
        <v xml:space="preserve">
	//Winding Prep Operation
	ELSIF uiInfoIdx = 3 THEN
		IF strInfoKey = 'name' THEN
			strRt	:= 'Winding Prep Operation';
		ELSIF strInfoKey = 'index_name' THEN
			strRt	:= '【43】 Winding Prep Operation';
		ELSIF strInfoKey = 'model' THEN
			strRt	:= 'Winding preparation operation';
		ELSIF strInfoKey = 'mf' THEN
			strRt	:= 'unknown';
		ELSE
			uiErrCode	:= 3;
		END_IF;</v>
      </c>
      <c r="AL35" t="str">
        <f ca="1"/>
        <v xml:space="preserve">
	//Winding Prep Operation
	ELSIF uiInfoIdx = 3 THEN
		IF strInfoKey = 'name' THEN
			strRt	:= 'Winding Prep Operation';
		ELSIF strInfoKey = 'index_name' THEN
			strRt	:= '【43】 Winding Prep Operation';
		ELSIF strInfoKey = 'model' THEN
			strRt	:= 'Winding preparation operation';
		ELSIF strInfoKey = 'mf' THEN
			strRt	:= 'unknown';
		ELSE
			uiErrCode	:= 3;
		END_IF;</v>
      </c>
      <c r="AM35" t="str">
        <f ca="1"/>
        <v xml:space="preserve">
	//Winding Prep Operation
	ELSIF uiInfoIdx = 3 THEN
		IF strInfoKey = 'name' THEN
			strRt	:= 'Winding Prep Operation';
		ELSIF strInfoKey = 'index_name' THEN
			strRt	:= '【43】 Winding Prep Operation';
		ELSIF strInfoKey = 'model' THEN
			strRt	:= 'Winding preparation operation';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19</v>
      </c>
      <c r="K36" t="str">
        <f ca="1"/>
        <v>Winding Operation</v>
      </c>
      <c r="L36" t="str">
        <f ca="1"/>
        <v>Winding Operation</v>
      </c>
      <c r="N36" t="str">
        <f ca="1"/>
        <v>【44】 Winding Operation</v>
      </c>
      <c r="O36" t="str">
        <v>Winding operation</v>
      </c>
      <c r="P36" t="str">
        <v>Winding operation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//Winding Operation
	ELSIF uiInfoIdx = 4 THEN</v>
      </c>
      <c r="AC36" t="str">
        <f ca="1"/>
        <v xml:space="preserve">
	//Winding Operation
	ELSIF uiInfoIdx = 4 THEN
		IF strInfoKey = 'name' THEN</v>
      </c>
      <c r="AD36" t="str">
        <f ca="1"/>
        <v xml:space="preserve">
	//Winding Operation
	ELSIF uiInfoIdx = 4 THEN
		IF strInfoKey = 'name' THEN
			strRt	:= 'Winding Operation';</v>
      </c>
      <c r="AE36" t="str">
        <f ca="1"/>
        <v xml:space="preserve">
	//Winding Operation
	ELSIF uiInfoIdx = 4 THEN
		IF strInfoKey = 'name' THEN
			strRt	:= 'Winding Operation';
		ELSIF strInfoKey = 'index_name' THEN</v>
      </c>
      <c r="AF36" t="str">
        <f ca="1"/>
        <v xml:space="preserve">
	//Winding Operation
	ELSIF uiInfoIdx = 4 THEN
		IF strInfoKey = 'name' THEN
			strRt	:= 'Winding Operation';
		ELSIF strInfoKey = 'index_name' THEN
			strRt	:= '【44】 Winding Operation';</v>
      </c>
      <c r="AG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</v>
      </c>
      <c r="AH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'Winding operation';</v>
      </c>
      <c r="AI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'Winding operation';
		ELSIF strInfoKey = 'mf' THEN</v>
      </c>
      <c r="AJ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'Winding operation';
		ELSIF strInfoKey = 'mf' THEN
			strRt	:= 'unknown';</v>
      </c>
      <c r="AK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'Winding operation';
		ELSIF strInfoKey = 'mf' THEN
			strRt	:= 'unknown';
		ELSE
			uiErrCode	:= 3;
		END_IF;</v>
      </c>
      <c r="AL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'Winding operation';
		ELSIF strInfoKey = 'mf' THEN
			strRt	:= 'unknown';
		ELSE
			uiErrCode	:= 3;
		END_IF;</v>
      </c>
      <c r="AM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'Winding operation';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20</v>
      </c>
      <c r="K37" t="str">
        <f ca="1"/>
        <v>Braz Foil Winding Op</v>
      </c>
      <c r="L37" t="str">
        <f ca="1"/>
        <v>Braz Foil Winding Op</v>
      </c>
      <c r="N37" t="str">
        <f ca="1"/>
        <v>【45】 Braz Foil Winding Op</v>
      </c>
      <c r="O37" t="str">
        <v>Foil brazing operation</v>
      </c>
      <c r="P37" t="str">
        <v>Foil brazing operation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//Braz Foil Winding Op
	ELSIF uiInfoIdx = 5 THEN</v>
      </c>
      <c r="AC37" t="str">
        <f ca="1"/>
        <v xml:space="preserve">
	//Braz Foil Winding Op
	ELSIF uiInfoIdx = 5 THEN
		IF strInfoKey = 'name' THEN</v>
      </c>
      <c r="AD37" t="str">
        <f ca="1"/>
        <v xml:space="preserve">
	//Braz Foil Winding Op
	ELSIF uiInfoIdx = 5 THEN
		IF strInfoKey = 'name' THEN
			strRt	:= 'Braz Foil Winding Op';</v>
      </c>
      <c r="AE37" t="str">
        <f ca="1"/>
        <v xml:space="preserve">
	//Braz Foil Winding Op
	ELSIF uiInfoIdx = 5 THEN
		IF strInfoKey = 'name' THEN
			strRt	:= 'Braz Foil Winding Op';
		ELSIF strInfoKey = 'index_name' THEN</v>
      </c>
      <c r="AF37" t="str">
        <f ca="1"/>
        <v xml:space="preserve">
	//Braz Foil Winding Op
	ELSIF uiInfoIdx = 5 THEN
		IF strInfoKey = 'name' THEN
			strRt	:= 'Braz Foil Winding Op';
		ELSIF strInfoKey = 'index_name' THEN
			strRt	:= '【45】 Braz Foil Winding Op';</v>
      </c>
      <c r="AG37" t="str">
        <f ca="1"/>
        <v xml:space="preserve">
	//Braz Foil Winding Op
	ELSIF uiInfoIdx = 5 THEN
		IF strInfoKey = 'name' THEN
			strRt	:= 'Braz Foil Winding Op';
		ELSIF strInfoKey = 'index_name' THEN
			strRt	:= '【45】 Braz Foil Winding Op';
		ELSIF strInfoKey = 'model' THEN</v>
      </c>
      <c r="AH37" t="str">
        <f ca="1"/>
        <v xml:space="preserve">
	//Braz Foil Winding Op
	ELSIF uiInfoIdx = 5 THEN
		IF strInfoKey = 'name' THEN
			strRt	:= 'Braz Foil Winding Op';
		ELSIF strInfoKey = 'index_name' THEN
			strRt	:= '【45】 Braz Foil Winding Op';
		ELSIF strInfoKey = 'model' THEN
			strRt	:= 'Foil brazing operation';</v>
      </c>
      <c r="AI37" t="str">
        <f ca="1"/>
        <v xml:space="preserve">
	//Braz Foil Winding Op
	ELSIF uiInfoIdx = 5 THEN
		IF strInfoKey = 'name' THEN
			strRt	:= 'Braz Foil Winding Op';
		ELSIF strInfoKey = 'index_name' THEN
			strRt	:= '【45】 Braz Foil Winding Op';
		ELSIF strInfoKey = 'model' THEN
			strRt	:= 'Foil brazing operation';
		ELSIF strInfoKey = 'mf' THEN</v>
      </c>
      <c r="AJ37" t="str">
        <f ca="1"/>
        <v xml:space="preserve">
	//Braz Foil Winding Op
	ELSIF uiInfoIdx = 5 THEN
		IF strInfoKey = 'name' THEN
			strRt	:= 'Braz Foil Winding Op';
		ELSIF strInfoKey = 'index_name' THEN
			strRt	:= '【45】 Braz Foil Winding Op';
		ELSIF strInfoKey = 'model' THEN
			strRt	:= 'Foil brazing operation';
		ELSIF strInfoKey = 'mf' THEN
			strRt	:= 'unknown';</v>
      </c>
      <c r="AK37" t="str">
        <f ca="1"/>
        <v xml:space="preserve">
	//Braz Foil Winding Op
	ELSIF uiInfoIdx = 5 THEN
		IF strInfoKey = 'name' THEN
			strRt	:= 'Braz Foil Winding Op';
		ELSIF strInfoKey = 'index_name' THEN
			strRt	:= '【45】 Braz Foil Winding Op';
		ELSIF strInfoKey = 'model' THEN
			strRt	:= 'Foil brazing operation';
		ELSIF strInfoKey = 'mf' THEN
			strRt	:= 'unknown';
		ELSE
			uiErrCode	:= 3;
		END_IF;</v>
      </c>
      <c r="AL37" t="str">
        <f ca="1"/>
        <v xml:space="preserve">
	//Braz Foil Winding Op
	ELSIF uiInfoIdx = 5 THEN
		IF strInfoKey = 'name' THEN
			strRt	:= 'Braz Foil Winding Op';
		ELSIF strInfoKey = 'index_name' THEN
			strRt	:= '【45】 Braz Foil Winding Op';
		ELSIF strInfoKey = 'model' THEN
			strRt	:= 'Foil brazing operation';
		ELSIF strInfoKey = 'mf' THEN
			strRt	:= 'unknown';
		ELSE
			uiErrCode	:= 3;
		END_IF;</v>
      </c>
      <c r="AM37" t="str">
        <f ca="1"/>
        <v xml:space="preserve">
	//Braz Foil Winding Op
	ELSIF uiInfoIdx = 5 THEN
		IF strInfoKey = 'name' THEN
			strRt	:= 'Braz Foil Winding Op';
		ELSIF strInfoKey = 'index_name' THEN
			strRt	:= '【45】 Braz Foil Winding Op';
		ELSIF strInfoKey = 'model' THEN
			strRt	:= 'Foil brazing operation';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21</v>
      </c>
      <c r="K38" t="str">
        <f ca="1"/>
        <v>Circ Measure Operation</v>
      </c>
      <c r="L38" t="str">
        <f ca="1"/>
        <v>Circ Measure Operation</v>
      </c>
      <c r="N38" t="str">
        <f ca="1"/>
        <v>【46】 Circ Measure Operation</v>
      </c>
      <c r="O38" t="str">
        <v>Circumference measurement operation</v>
      </c>
      <c r="P38" t="str">
        <v>Circumference measurement operation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//Circ Measure Operation
	ELSIF uiInfoIdx = 6 THEN</v>
      </c>
      <c r="AC38" t="str">
        <f ca="1"/>
        <v xml:space="preserve">
	//Circ Measure Operation
	ELSIF uiInfoIdx = 6 THEN
		IF strInfoKey = 'name' THEN</v>
      </c>
      <c r="AD38" t="str">
        <f ca="1"/>
        <v xml:space="preserve">
	//Circ Measure Operation
	ELSIF uiInfoIdx = 6 THEN
		IF strInfoKey = 'name' THEN
			strRt	:= 'Circ Measure Operation';</v>
      </c>
      <c r="AE38" t="str">
        <f ca="1"/>
        <v xml:space="preserve">
	//Circ Measure Operation
	ELSIF uiInfoIdx = 6 THEN
		IF strInfoKey = 'name' THEN
			strRt	:= 'Circ Measure Operation';
		ELSIF strInfoKey = 'index_name' THEN</v>
      </c>
      <c r="AF38" t="str">
        <f ca="1"/>
        <v xml:space="preserve">
	//Circ Measure Operation
	ELSIF uiInfoIdx = 6 THEN
		IF strInfoKey = 'name' THEN
			strRt	:= 'Circ Measure Operation';
		ELSIF strInfoKey = 'index_name' THEN
			strRt	:= '【46】 Circ Measure Operation';</v>
      </c>
      <c r="AG38" t="str">
        <f ca="1"/>
        <v xml:space="preserve">
	//Circ Measure Operation
	ELSIF uiInfoIdx = 6 THEN
		IF strInfoKey = 'name' THEN
			strRt	:= 'Circ Measure Operation';
		ELSIF strInfoKey = 'index_name' THEN
			strRt	:= '【46】 Circ Measure Operation';
		ELSIF strInfoKey = 'model' THEN</v>
      </c>
      <c r="AH38" t="str">
        <f ca="1"/>
        <v xml:space="preserve">
	//Circ Measure Operation
	ELSIF uiInfoIdx = 6 THEN
		IF strInfoKey = 'name' THEN
			strRt	:= 'Circ Measure Operation';
		ELSIF strInfoKey = 'index_name' THEN
			strRt	:= '【46】 Circ Measure Operation';
		ELSIF strInfoKey = 'model' THEN
			strRt	:= 'Circumference measurement operation';</v>
      </c>
      <c r="AI38" t="str">
        <f ca="1"/>
        <v xml:space="preserve">
	//Circ Measure Operation
	ELSIF uiInfoIdx = 6 THEN
		IF strInfoKey = 'name' THEN
			strRt	:= 'Circ Measure Operation';
		ELSIF strInfoKey = 'index_name' THEN
			strRt	:= '【46】 Circ Measure Operation';
		ELSIF strInfoKey = 'model' THEN
			strRt	:= 'Circumference measurement operation';
		ELSIF strInfoKey = 'mf' THEN</v>
      </c>
      <c r="AJ38" t="str">
        <f ca="1"/>
        <v xml:space="preserve">
	//Circ Measure Operation
	ELSIF uiInfoIdx = 6 THEN
		IF strInfoKey = 'name' THEN
			strRt	:= 'Circ Measure Operation';
		ELSIF strInfoKey = 'index_name' THEN
			strRt	:= '【46】 Circ Measure Operation';
		ELSIF strInfoKey = 'model' THEN
			strRt	:= 'Circumference measurement operation';
		ELSIF strInfoKey = 'mf' THEN
			strRt	:= 'unknown';</v>
      </c>
      <c r="AK38" t="str">
        <f ca="1"/>
        <v xml:space="preserve">
	//Circ Measure Operation
	ELSIF uiInfoIdx = 6 THEN
		IF strInfoKey = 'name' THEN
			strRt	:= 'Circ Measure Operation';
		ELSIF strInfoKey = 'index_name' THEN
			strRt	:= '【46】 Circ Measure Operation';
		ELSIF strInfoKey = 'model' THEN
			strRt	:= 'Circumference measurement operation';
		ELSIF strInfoKey = 'mf' THEN
			strRt	:= 'unknown';
		ELSE
			uiErrCode	:= 3;
		END_IF;</v>
      </c>
      <c r="AL38" t="str">
        <f ca="1"/>
        <v xml:space="preserve">
	//Circ Measure Operation
	ELSIF uiInfoIdx = 6 THEN
		IF strInfoKey = 'name' THEN
			strRt	:= 'Circ Measure Operation';
		ELSIF strInfoKey = 'index_name' THEN
			strRt	:= '【46】 Circ Measure Operation';
		ELSIF strInfoKey = 'model' THEN
			strRt	:= 'Circumference measurement operation';
		ELSIF strInfoKey = 'mf' THEN
			strRt	:= 'unknown';
		ELSE
			uiErrCode	:= 3;
		END_IF;</v>
      </c>
      <c r="AM38" t="str">
        <f ca="1"/>
        <v xml:space="preserve">
	//Circ Measure Operation
	ELSIF uiInfoIdx = 6 THEN
		IF strInfoKey = 'name' THEN
			strRt	:= 'Circ Measure Operation';
		ELSIF strInfoKey = 'index_name' THEN
			strRt	:= '【46】 Circ Measure Operation';
		ELSIF strInfoKey = 'model' THEN
			strRt	:= 'Circumference measurement operation';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22</v>
      </c>
      <c r="K43" t="str">
        <f ca="1"/>
        <v>Home Return Operation</v>
      </c>
      <c r="L43" t="str">
        <f ca="1"/>
        <v>Home Return Operation</v>
      </c>
      <c r="N43" t="str">
        <f ca="1"/>
        <v>【51】 Home Return Operation</v>
      </c>
      <c r="O43" t="str">
        <v>Home return operation</v>
      </c>
      <c r="P43" t="str">
        <v>Home return operation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//Home Return Operation
	IF uiInfoIdx = 1 THEN</v>
      </c>
      <c r="AC43" t="str">
        <f ca="1"/>
        <v xml:space="preserve">
//5
ELSIF strInfoType = 5 THEN
	//Home Return Operation
	IF uiInfoIdx = 1 THEN
		IF strInfoKey = 'name' THEN</v>
      </c>
      <c r="AD43" t="str">
        <f ca="1"/>
        <v xml:space="preserve">
//5
ELSIF strInfoType = 5 THEN
	//Home Return Operation
	IF uiInfoIdx = 1 THEN
		IF strInfoKey = 'name' THEN
			strRt	:= 'Home Return Operation';</v>
      </c>
      <c r="AE43" t="str">
        <f ca="1"/>
        <v xml:space="preserve">
//5
ELSIF strInfoType = 5 THEN
	//Home Return Operation
	IF uiInfoIdx = 1 THEN
		IF strInfoKey = 'name' THEN
			strRt	:= 'Home Return Operation';
		ELSIF strInfoKey = 'index_name' THEN</v>
      </c>
      <c r="AF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</v>
      </c>
      <c r="AG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</v>
      </c>
      <c r="AH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'Home return operation';</v>
      </c>
      <c r="AI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'Home return operation';
		ELSIF strInfoKey = 'mf' THEN</v>
      </c>
      <c r="AJ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'Home return operation';
		ELSIF strInfoKey = 'mf' THEN
			strRt	:= 'unknown';</v>
      </c>
      <c r="AK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'Home return operation';
		ELSIF strInfoKey = 'mf' THEN
			strRt	:= 'unknown';
		ELSE
			uiErrCode	:= 3;
		END_IF;</v>
      </c>
      <c r="AL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'Home return operation';
		ELSIF strInfoKey = 'mf' THEN
			strRt	:= 'unknown';
		ELSE
			uiErrCode	:= 3;
		END_IF;</v>
      </c>
      <c r="AM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'Home return operation';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23</v>
      </c>
      <c r="K44" t="str">
        <f ca="1"/>
        <v>Winding Clamp Operation</v>
      </c>
      <c r="L44" t="str">
        <f ca="1"/>
        <v>Winding Clamp Operation</v>
      </c>
      <c r="N44" t="str">
        <f ca="1"/>
        <v>【52】 Winding Clamp Operation</v>
      </c>
      <c r="O44" t="str">
        <v>Winding clamping operation</v>
      </c>
      <c r="P44" t="str">
        <v>Winding clamping operation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//Winding Clamp Operation
	ELSIF uiInfoIdx = 2 THEN</v>
      </c>
      <c r="AC44" t="str">
        <f ca="1"/>
        <v xml:space="preserve">
	//Winding Clamp Operation
	ELSIF uiInfoIdx = 2 THEN
		IF strInfoKey = 'name' THEN</v>
      </c>
      <c r="AD44" t="str">
        <f ca="1"/>
        <v xml:space="preserve">
	//Winding Clamp Operation
	ELSIF uiInfoIdx = 2 THEN
		IF strInfoKey = 'name' THEN
			strRt	:= 'Winding Clamp Operation';</v>
      </c>
      <c r="AE44" t="str">
        <f ca="1"/>
        <v xml:space="preserve">
	//Winding Clamp Operation
	ELSIF uiInfoIdx = 2 THEN
		IF strInfoKey = 'name' THEN
			strRt	:= 'Winding Clamp Operation';
		ELSIF strInfoKey = 'index_name' THEN</v>
      </c>
      <c r="AF44" t="str">
        <f ca="1"/>
        <v xml:space="preserve">
	//Winding Clamp Operation
	ELSIF uiInfoIdx = 2 THEN
		IF strInfoKey = 'name' THEN
			strRt	:= 'Winding Clamp Operation';
		ELSIF strInfoKey = 'index_name' THEN
			strRt	:= '【52】 Winding Clamp Operation';</v>
      </c>
      <c r="AG44" t="str">
        <f ca="1"/>
        <v xml:space="preserve">
	//Winding Clamp Operation
	ELSIF uiInfoIdx = 2 THEN
		IF strInfoKey = 'name' THEN
			strRt	:= 'Winding Clamp Operation';
		ELSIF strInfoKey = 'index_name' THEN
			strRt	:= '【52】 Winding Clamp Operation';
		ELSIF strInfoKey = 'model' THEN</v>
      </c>
      <c r="AH44" t="str">
        <f ca="1"/>
        <v xml:space="preserve">
	//Winding Clamp Operation
	ELSIF uiInfoIdx = 2 THEN
		IF strInfoKey = 'name' THEN
			strRt	:= 'Winding Clamp Operation';
		ELSIF strInfoKey = 'index_name' THEN
			strRt	:= '【52】 Winding Clamp Operation';
		ELSIF strInfoKey = 'model' THEN
			strRt	:= 'Winding clamping operation';</v>
      </c>
      <c r="AI44" t="str">
        <f ca="1"/>
        <v xml:space="preserve">
	//Winding Clamp Operation
	ELSIF uiInfoIdx = 2 THEN
		IF strInfoKey = 'name' THEN
			strRt	:= 'Winding Clamp Operation';
		ELSIF strInfoKey = 'index_name' THEN
			strRt	:= '【52】 Winding Clamp Operation';
		ELSIF strInfoKey = 'model' THEN
			strRt	:= 'Winding clamping operation';
		ELSIF strInfoKey = 'mf' THEN</v>
      </c>
      <c r="AJ44" t="str">
        <f ca="1"/>
        <v xml:space="preserve">
	//Winding Clamp Operation
	ELSIF uiInfoIdx = 2 THEN
		IF strInfoKey = 'name' THEN
			strRt	:= 'Winding Clamp Operation';
		ELSIF strInfoKey = 'index_name' THEN
			strRt	:= '【52】 Winding Clamp Operation';
		ELSIF strInfoKey = 'model' THEN
			strRt	:= 'Winding clamping operation';
		ELSIF strInfoKey = 'mf' THEN
			strRt	:= 'unknown';</v>
      </c>
      <c r="AK44" t="str">
        <f ca="1"/>
        <v xml:space="preserve">
	//Winding Clamp Operation
	ELSIF uiInfoIdx = 2 THEN
		IF strInfoKey = 'name' THEN
			strRt	:= 'Winding Clamp Operation';
		ELSIF strInfoKey = 'index_name' THEN
			strRt	:= '【52】 Winding Clamp Operation';
		ELSIF strInfoKey = 'model' THEN
			strRt	:= 'Winding clamping operation';
		ELSIF strInfoKey = 'mf' THEN
			strRt	:= 'unknown';
		ELSE
			uiErrCode	:= 3;
		END_IF;</v>
      </c>
      <c r="AL44" t="str">
        <f ca="1"/>
        <v xml:space="preserve">
	//Winding Clamp Operation
	ELSIF uiInfoIdx = 2 THEN
		IF strInfoKey = 'name' THEN
			strRt	:= 'Winding Clamp Operation';
		ELSIF strInfoKey = 'index_name' THEN
			strRt	:= '【52】 Winding Clamp Operation';
		ELSIF strInfoKey = 'model' THEN
			strRt	:= 'Winding clamping operation';
		ELSIF strInfoKey = 'mf' THEN
			strRt	:= 'unknown';
		ELSE
			uiErrCode	:= 3;
		END_IF;</v>
      </c>
      <c r="AM44" t="str">
        <f ca="1"/>
        <v xml:space="preserve">
	//Winding Clamp Operation
	ELSIF uiInfoIdx = 2 THEN
		IF strInfoKey = 'name' THEN
			strRt	:= 'Winding Clamp Operation';
		ELSIF strInfoKey = 'index_name' THEN
			strRt	:= '【52】 Winding Clamp Operation';
		ELSIF strInfoKey = 'model' THEN
			strRt	:= 'Winding clamping operation';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24</v>
      </c>
      <c r="K45" t="str">
        <f ca="1"/>
        <v>Welding Operation</v>
      </c>
      <c r="L45" t="str">
        <f ca="1"/>
        <v>Welding Operation</v>
      </c>
      <c r="N45" t="str">
        <f ca="1"/>
        <v>【53】 Welding Operation</v>
      </c>
      <c r="O45" t="str">
        <v>Welding operation</v>
      </c>
      <c r="P45" t="str">
        <v>Welding operation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//Welding Operation
	ELSIF uiInfoIdx = 3 THEN</v>
      </c>
      <c r="AC45" t="str">
        <f ca="1"/>
        <v xml:space="preserve">
	//Welding Operation
	ELSIF uiInfoIdx = 3 THEN
		IF strInfoKey = 'name' THEN</v>
      </c>
      <c r="AD45" t="str">
        <f ca="1"/>
        <v xml:space="preserve">
	//Welding Operation
	ELSIF uiInfoIdx = 3 THEN
		IF strInfoKey = 'name' THEN
			strRt	:= 'Welding Operation';</v>
      </c>
      <c r="AE45" t="str">
        <f ca="1"/>
        <v xml:space="preserve">
	//Welding Operation
	ELSIF uiInfoIdx = 3 THEN
		IF strInfoKey = 'name' THEN
			strRt	:= 'Welding Operation';
		ELSIF strInfoKey = 'index_name' THEN</v>
      </c>
      <c r="AF45" t="str">
        <f ca="1"/>
        <v xml:space="preserve">
	//Welding Operation
	ELSIF uiInfoIdx = 3 THEN
		IF strInfoKey = 'name' THEN
			strRt	:= 'Welding Operation';
		ELSIF strInfoKey = 'index_name' THEN
			strRt	:= '【53】 Welding Operation';</v>
      </c>
      <c r="AG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</v>
      </c>
      <c r="AH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'Welding operation';</v>
      </c>
      <c r="AI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'Welding operation';
		ELSIF strInfoKey = 'mf' THEN</v>
      </c>
      <c r="AJ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'Welding operation';
		ELSIF strInfoKey = 'mf' THEN
			strRt	:= 'unknown';</v>
      </c>
      <c r="AK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'Welding operation';
		ELSIF strInfoKey = 'mf' THEN
			strRt	:= 'unknown';
		ELSE
			uiErrCode	:= 3;
		END_IF;</v>
      </c>
      <c r="AL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'Welding operation';
		ELSIF strInfoKey = 'mf' THEN
			strRt	:= 'unknown';
		ELSE
			uiErrCode	:= 3;
		END_IF;</v>
      </c>
      <c r="AM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'Welding operation';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25</v>
      </c>
      <c r="K53" t="str">
        <f ca="1"/>
        <v>Home Return Operation</v>
      </c>
      <c r="L53" t="str">
        <f ca="1"/>
        <v>Home Return Operation</v>
      </c>
      <c r="N53" t="str">
        <f ca="1"/>
        <v>【61】 Home Return Operation</v>
      </c>
      <c r="O53" t="str">
        <v>Return to origin operation</v>
      </c>
      <c r="P53" t="str">
        <v>Return to origin operation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//Home Return Operation
	IF uiInfoIdx = 1 THEN</v>
      </c>
      <c r="AC53" t="str">
        <f ca="1"/>
        <v xml:space="preserve">
//6
ELSIF strInfoType = 6 THEN
	//Home Return Operation
	IF uiInfoIdx = 1 THEN
		IF strInfoKey = 'name' THEN</v>
      </c>
      <c r="AD53" t="str">
        <f ca="1"/>
        <v xml:space="preserve">
//6
ELSIF strInfoType = 6 THEN
	//Home Return Operation
	IF uiInfoIdx = 1 THEN
		IF strInfoKey = 'name' THEN
			strRt	:= 'Home Return Operation';</v>
      </c>
      <c r="AE53" t="str">
        <f ca="1"/>
        <v xml:space="preserve">
//6
ELSIF strInfoType = 6 THEN
	//Home Return Operation
	IF uiInfoIdx = 1 THEN
		IF strInfoKey = 'name' THEN
			strRt	:= 'Home Return Operation';
		ELSIF strInfoKey = 'index_name' THEN</v>
      </c>
      <c r="AF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</v>
      </c>
      <c r="AG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</v>
      </c>
      <c r="AH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'Return to origin operation';</v>
      </c>
      <c r="AI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'Return to origin operation';
		ELSIF strInfoKey = 'mf' THEN</v>
      </c>
      <c r="AJ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'Return to origin operation';
		ELSIF strInfoKey = 'mf' THEN
			strRt	:= 'unknown';</v>
      </c>
      <c r="AK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'Return to origin operation';
		ELSIF strInfoKey = 'mf' THEN
			strRt	:= 'unknown';
		ELSE
			uiErrCode	:= 3;
		END_IF;</v>
      </c>
      <c r="AL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'Return to origin operation';
		ELSIF strInfoKey = 'mf' THEN
			strRt	:= 'unknown';
		ELSE
			uiErrCode	:= 3;
		END_IF;</v>
      </c>
      <c r="AM53" t="str">
        <f ca="1"/>
        <v xml:space="preserve">
//6
ELSIF strInfoType = 6 THEN
	//Home Return Operation
	IF uiInfoIdx = 1 THEN
		IF strInfoKey = 'name' THEN
			strRt	:= 'Home Return Operation';
		ELSIF strInfoKey = 'index_name' THEN
			strRt	:= '【61】 Home Return Operation';
		ELSIF strInfoKey = 'model' THEN
			strRt	:= 'Return to origin operation';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26</v>
      </c>
      <c r="K54" t="str">
        <f ca="1"/>
        <v>Discharge Receive Op</v>
      </c>
      <c r="L54" t="str">
        <f ca="1"/>
        <v>Discharge Receive Op</v>
      </c>
      <c r="N54" t="str">
        <f ca="1"/>
        <v>【62】 Discharge Receive Op</v>
      </c>
      <c r="O54" t="str">
        <v>Discharge and receiving operation</v>
      </c>
      <c r="P54" t="str">
        <v>Discharge and receiving operation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//Discharge Receive Op
	ELSIF uiInfoIdx = 2 THEN</v>
      </c>
      <c r="AC54" t="str">
        <f ca="1"/>
        <v xml:space="preserve">
	//Discharge Receive Op
	ELSIF uiInfoIdx = 2 THEN
		IF strInfoKey = 'name' THEN</v>
      </c>
      <c r="AD54" t="str">
        <f ca="1"/>
        <v xml:space="preserve">
	//Discharge Receive Op
	ELSIF uiInfoIdx = 2 THEN
		IF strInfoKey = 'name' THEN
			strRt	:= 'Discharge Receive Op';</v>
      </c>
      <c r="AE54" t="str">
        <f ca="1"/>
        <v xml:space="preserve">
	//Discharge Receive Op
	ELSIF uiInfoIdx = 2 THEN
		IF strInfoKey = 'name' THEN
			strRt	:= 'Discharge Receive Op';
		ELSIF strInfoKey = 'index_name' THEN</v>
      </c>
      <c r="AF54" t="str">
        <f ca="1"/>
        <v xml:space="preserve">
	//Discharge Receive Op
	ELSIF uiInfoIdx = 2 THEN
		IF strInfoKey = 'name' THEN
			strRt	:= 'Discharge Receive Op';
		ELSIF strInfoKey = 'index_name' THEN
			strRt	:= '【62】 Discharge Receive Op';</v>
      </c>
      <c r="AG54" t="str">
        <f ca="1"/>
        <v xml:space="preserve">
	//Discharge Receive Op
	ELSIF uiInfoIdx = 2 THEN
		IF strInfoKey = 'name' THEN
			strRt	:= 'Discharge Receive Op';
		ELSIF strInfoKey = 'index_name' THEN
			strRt	:= '【62】 Discharge Receive Op';
		ELSIF strInfoKey = 'model' THEN</v>
      </c>
      <c r="AH54" t="str">
        <f ca="1"/>
        <v xml:space="preserve">
	//Discharge Receive Op
	ELSIF uiInfoIdx = 2 THEN
		IF strInfoKey = 'name' THEN
			strRt	:= 'Discharge Receive Op';
		ELSIF strInfoKey = 'index_name' THEN
			strRt	:= '【62】 Discharge Receive Op';
		ELSIF strInfoKey = 'model' THEN
			strRt	:= 'Discharge and receiving operation';</v>
      </c>
      <c r="AI54" t="str">
        <f ca="1"/>
        <v xml:space="preserve">
	//Discharge Receive Op
	ELSIF uiInfoIdx = 2 THEN
		IF strInfoKey = 'name' THEN
			strRt	:= 'Discharge Receive Op';
		ELSIF strInfoKey = 'index_name' THEN
			strRt	:= '【62】 Discharge Receive Op';
		ELSIF strInfoKey = 'model' THEN
			strRt	:= 'Discharge and receiving operation';
		ELSIF strInfoKey = 'mf' THEN</v>
      </c>
      <c r="AJ54" t="str">
        <f ca="1"/>
        <v xml:space="preserve">
	//Discharge Receive Op
	ELSIF uiInfoIdx = 2 THEN
		IF strInfoKey = 'name' THEN
			strRt	:= 'Discharge Receive Op';
		ELSIF strInfoKey = 'index_name' THEN
			strRt	:= '【62】 Discharge Receive Op';
		ELSIF strInfoKey = 'model' THEN
			strRt	:= 'Discharge and receiving operation';
		ELSIF strInfoKey = 'mf' THEN
			strRt	:= 'unknown';</v>
      </c>
      <c r="AK54" t="str">
        <f ca="1"/>
        <v xml:space="preserve">
	//Discharge Receive Op
	ELSIF uiInfoIdx = 2 THEN
		IF strInfoKey = 'name' THEN
			strRt	:= 'Discharge Receive Op';
		ELSIF strInfoKey = 'index_name' THEN
			strRt	:= '【62】 Discharge Receive Op';
		ELSIF strInfoKey = 'model' THEN
			strRt	:= 'Discharge and receiving operation';
		ELSIF strInfoKey = 'mf' THEN
			strRt	:= 'unknown';
		ELSE
			uiErrCode	:= 3;
		END_IF;</v>
      </c>
      <c r="AL54" t="str">
        <f ca="1"/>
        <v xml:space="preserve">
	//Discharge Receive Op
	ELSIF uiInfoIdx = 2 THEN
		IF strInfoKey = 'name' THEN
			strRt	:= 'Discharge Receive Op';
		ELSIF strInfoKey = 'index_name' THEN
			strRt	:= '【62】 Discharge Receive Op';
		ELSIF strInfoKey = 'model' THEN
			strRt	:= 'Discharge and receiving operation';
		ELSIF strInfoKey = 'mf' THEN
			strRt	:= 'unknown';
		ELSE
			uiErrCode	:= 3;
		END_IF;</v>
      </c>
      <c r="AM54" t="str">
        <f ca="1"/>
        <v xml:space="preserve">
	//Discharge Receive Op
	ELSIF uiInfoIdx = 2 THEN
		IF strInfoKey = 'name' THEN
			strRt	:= 'Discharge Receive Op';
		ELSIF strInfoKey = 'index_name' THEN
			strRt	:= '【62】 Discharge Receive Op';
		ELSIF strInfoKey = 'model' THEN
			strRt	:= 'Discharge and receiving operation';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27</v>
      </c>
      <c r="K55" t="str">
        <f ca="1"/>
        <v>Discharge Transfer Op</v>
      </c>
      <c r="L55" t="str">
        <f ca="1"/>
        <v>Discharge Transfer Op</v>
      </c>
      <c r="N55" t="str">
        <f ca="1"/>
        <v>【63】 Discharge Transfer Op</v>
      </c>
      <c r="O55" t="str">
        <v>Discharge and handover operation</v>
      </c>
      <c r="P55" t="str">
        <v>Discharge and handover operation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//Discharge Transfer Op
	ELSIF uiInfoIdx = 3 THEN</v>
      </c>
      <c r="AC55" t="str">
        <f ca="1"/>
        <v xml:space="preserve">
	//Discharge Transfer Op
	ELSIF uiInfoIdx = 3 THEN
		IF strInfoKey = 'name' THEN</v>
      </c>
      <c r="AD55" t="str">
        <f ca="1"/>
        <v xml:space="preserve">
	//Discharge Transfer Op
	ELSIF uiInfoIdx = 3 THEN
		IF strInfoKey = 'name' THEN
			strRt	:= 'Discharge Transfer Op';</v>
      </c>
      <c r="AE55" t="str">
        <f ca="1"/>
        <v xml:space="preserve">
	//Discharge Transfer Op
	ELSIF uiInfoIdx = 3 THEN
		IF strInfoKey = 'name' THEN
			strRt	:= 'Discharge Transfer Op';
		ELSIF strInfoKey = 'index_name' THEN</v>
      </c>
      <c r="AF55" t="str">
        <f ca="1"/>
        <v xml:space="preserve">
	//Discharge Transfer Op
	ELSIF uiInfoIdx = 3 THEN
		IF strInfoKey = 'name' THEN
			strRt	:= 'Discharge Transfer Op';
		ELSIF strInfoKey = 'index_name' THEN
			strRt	:= '【63】 Discharge Transfer Op';</v>
      </c>
      <c r="AG55" t="str">
        <f ca="1"/>
        <v xml:space="preserve">
	//Discharge Transfer Op
	ELSIF uiInfoIdx = 3 THEN
		IF strInfoKey = 'name' THEN
			strRt	:= 'Discharge Transfer Op';
		ELSIF strInfoKey = 'index_name' THEN
			strRt	:= '【63】 Discharge Transfer Op';
		ELSIF strInfoKey = 'model' THEN</v>
      </c>
      <c r="AH55" t="str">
        <f ca="1"/>
        <v xml:space="preserve">
	//Discharge Transfer Op
	ELSIF uiInfoIdx = 3 THEN
		IF strInfoKey = 'name' THEN
			strRt	:= 'Discharge Transfer Op';
		ELSIF strInfoKey = 'index_name' THEN
			strRt	:= '【63】 Discharge Transfer Op';
		ELSIF strInfoKey = 'model' THEN
			strRt	:= 'Discharge and handover operation';</v>
      </c>
      <c r="AI55" t="str">
        <f ca="1"/>
        <v xml:space="preserve">
	//Discharge Transfer Op
	ELSIF uiInfoIdx = 3 THEN
		IF strInfoKey = 'name' THEN
			strRt	:= 'Discharge Transfer Op';
		ELSIF strInfoKey = 'index_name' THEN
			strRt	:= '【63】 Discharge Transfer Op';
		ELSIF strInfoKey = 'model' THEN
			strRt	:= 'Discharge and handover operation';
		ELSIF strInfoKey = 'mf' THEN</v>
      </c>
      <c r="AJ55" t="str">
        <f ca="1"/>
        <v xml:space="preserve">
	//Discharge Transfer Op
	ELSIF uiInfoIdx = 3 THEN
		IF strInfoKey = 'name' THEN
			strRt	:= 'Discharge Transfer Op';
		ELSIF strInfoKey = 'index_name' THEN
			strRt	:= '【63】 Discharge Transfer Op';
		ELSIF strInfoKey = 'model' THEN
			strRt	:= 'Discharge and handover operation';
		ELSIF strInfoKey = 'mf' THEN
			strRt	:= 'unknown';</v>
      </c>
      <c r="AK55" t="str">
        <f ca="1"/>
        <v xml:space="preserve">
	//Discharge Transfer Op
	ELSIF uiInfoIdx = 3 THEN
		IF strInfoKey = 'name' THEN
			strRt	:= 'Discharge Transfer Op';
		ELSIF strInfoKey = 'index_name' THEN
			strRt	:= '【63】 Discharge Transfer Op';
		ELSIF strInfoKey = 'model' THEN
			strRt	:= 'Discharge and handover operation';
		ELSIF strInfoKey = 'mf' THEN
			strRt	:= 'unknown';
		ELSE
			uiErrCode	:= 3;
		END_IF;</v>
      </c>
      <c r="AL55" t="str">
        <f ca="1"/>
        <v xml:space="preserve">
	//Discharge Transfer Op
	ELSIF uiInfoIdx = 3 THEN
		IF strInfoKey = 'name' THEN
			strRt	:= 'Discharge Transfer Op';
		ELSIF strInfoKey = 'index_name' THEN
			strRt	:= '【63】 Discharge Transfer Op';
		ELSIF strInfoKey = 'model' THEN
			strRt	:= 'Discharge and handover operation';
		ELSIF strInfoKey = 'mf' THEN
			strRt	:= 'unknown';
		ELSE
			uiErrCode	:= 3;
		END_IF;</v>
      </c>
      <c r="AM55" t="str">
        <f ca="1"/>
        <v xml:space="preserve">
	//Discharge Transfer Op
	ELSIF uiInfoIdx = 3 THEN
		IF strInfoKey = 'name' THEN
			strRt	:= 'Discharge Transfer Op';
		ELSIF strInfoKey = 'index_name' THEN
			strRt	:= '【63】 Discharge Transfer Op';
		ELSIF strInfoKey = 'model' THEN
			strRt	:= 'Discharge and handover operation';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 t="str">
        <v/>
      </c>
      <c r="K56" t="str">
        <f ca="1"/>
        <v/>
      </c>
      <c r="L56" t="str">
        <f ca="1"/>
        <v/>
      </c>
      <c r="N56" t="str">
        <f ca="1"/>
        <v/>
      </c>
      <c r="O56" t="str">
        <v/>
      </c>
      <c r="P56" t="str">
        <v/>
      </c>
      <c r="Q56" t="str">
        <f ca="1"/>
        <v/>
      </c>
      <c r="R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  <c r="AL56" t="str">
        <f ca="1"/>
        <v/>
      </c>
      <c r="AM56" t="str">
        <f ca="1"/>
        <v/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>
        <v>28</v>
      </c>
      <c r="K58" t="str">
        <f ca="1"/>
        <v>Measurement Prep</v>
      </c>
      <c r="L58" t="str">
        <f ca="1"/>
        <v>Measurement Prep</v>
      </c>
      <c r="N58" t="str">
        <f ca="1"/>
        <v>【66】 Measurement Prep</v>
      </c>
      <c r="O58" t="str">
        <v>Measurement preparation</v>
      </c>
      <c r="P58" t="str">
        <v>Measurement preparation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//Measurement Prep
	ELSIF uiInfoIdx = 6 THEN</v>
      </c>
      <c r="AC58" t="str">
        <f ca="1"/>
        <v xml:space="preserve">
	//Measurement Prep
	ELSIF uiInfoIdx = 6 THEN
		IF strInfoKey = 'name' THEN</v>
      </c>
      <c r="AD58" t="str">
        <f ca="1"/>
        <v xml:space="preserve">
	//Measurement Prep
	ELSIF uiInfoIdx = 6 THEN
		IF strInfoKey = 'name' THEN
			strRt	:= 'Measurement Prep';</v>
      </c>
      <c r="AE58" t="str">
        <f ca="1"/>
        <v xml:space="preserve">
	//Measurement Prep
	ELSIF uiInfoIdx = 6 THEN
		IF strInfoKey = 'name' THEN
			strRt	:= 'Measurement Prep';
		ELSIF strInfoKey = 'index_name' THEN</v>
      </c>
      <c r="AF58" t="str">
        <f ca="1"/>
        <v xml:space="preserve">
	//Measurement Prep
	ELSIF uiInfoIdx = 6 THEN
		IF strInfoKey = 'name' THEN
			strRt	:= 'Measurement Prep';
		ELSIF strInfoKey = 'index_name' THEN
			strRt	:= '【66】 Measurement Prep';</v>
      </c>
      <c r="AG58" t="str">
        <f ca="1"/>
        <v xml:space="preserve">
	//Measurement Prep
	ELSIF uiInfoIdx = 6 THEN
		IF strInfoKey = 'name' THEN
			strRt	:= 'Measurement Prep';
		ELSIF strInfoKey = 'index_name' THEN
			strRt	:= '【66】 Measurement Prep';
		ELSIF strInfoKey = 'model' THEN</v>
      </c>
      <c r="AH58" t="str">
        <f ca="1"/>
        <v xml:space="preserve">
	//Measurement Prep
	ELSIF uiInfoIdx = 6 THEN
		IF strInfoKey = 'name' THEN
			strRt	:= 'Measurement Prep';
		ELSIF strInfoKey = 'index_name' THEN
			strRt	:= '【66】 Measurement Prep';
		ELSIF strInfoKey = 'model' THEN
			strRt	:= 'Measurement preparation';</v>
      </c>
      <c r="AI58" t="str">
        <f ca="1"/>
        <v xml:space="preserve">
	//Measurement Prep
	ELSIF uiInfoIdx = 6 THEN
		IF strInfoKey = 'name' THEN
			strRt	:= 'Measurement Prep';
		ELSIF strInfoKey = 'index_name' THEN
			strRt	:= '【66】 Measurement Prep';
		ELSIF strInfoKey = 'model' THEN
			strRt	:= 'Measurement preparation';
		ELSIF strInfoKey = 'mf' THEN</v>
      </c>
      <c r="AJ58" t="str">
        <f ca="1"/>
        <v xml:space="preserve">
	//Measurement Prep
	ELSIF uiInfoIdx = 6 THEN
		IF strInfoKey = 'name' THEN
			strRt	:= 'Measurement Prep';
		ELSIF strInfoKey = 'index_name' THEN
			strRt	:= '【66】 Measurement Prep';
		ELSIF strInfoKey = 'model' THEN
			strRt	:= 'Measurement preparation';
		ELSIF strInfoKey = 'mf' THEN
			strRt	:= 'unknown';</v>
      </c>
      <c r="AK58" t="str">
        <f ca="1"/>
        <v xml:space="preserve">
	//Measurement Prep
	ELSIF uiInfoIdx = 6 THEN
		IF strInfoKey = 'name' THEN
			strRt	:= 'Measurement Prep';
		ELSIF strInfoKey = 'index_name' THEN
			strRt	:= '【66】 Measurement Prep';
		ELSIF strInfoKey = 'model' THEN
			strRt	:= 'Measurement preparation';
		ELSIF strInfoKey = 'mf' THEN
			strRt	:= 'unknown';
		ELSE
			uiErrCode	:= 3;
		END_IF;</v>
      </c>
      <c r="AL58" t="str">
        <f ca="1"/>
        <v xml:space="preserve">
	//Measurement Prep
	ELSIF uiInfoIdx = 6 THEN
		IF strInfoKey = 'name' THEN
			strRt	:= 'Measurement Prep';
		ELSIF strInfoKey = 'index_name' THEN
			strRt	:= '【66】 Measurement Prep';
		ELSIF strInfoKey = 'model' THEN
			strRt	:= 'Measurement preparation';
		ELSIF strInfoKey = 'mf' THEN
			strRt	:= 'unknown';
		ELSE
			uiErrCode	:= 3;
		END_IF;</v>
      </c>
      <c r="AM58" t="str">
        <f ca="1"/>
        <v xml:space="preserve">
	//Measurement Prep
	ELSIF uiInfoIdx = 6 THEN
		IF strInfoKey = 'name' THEN
			strRt	:= 'Measurement Prep';
		ELSIF strInfoKey = 'index_name' THEN
			strRt	:= '【66】 Measurement Prep';
		ELSIF strInfoKey = 'model' THEN
			strRt	:= 'Measurement preparation';
		ELSIF strInfoKey = 'mf' THEN
			strRt	:= 'unknown';
		ELSE
			uiErrCode	:= 3;
		END_IF;</v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>
        <v>29</v>
      </c>
      <c r="K59" t="str">
        <f ca="1"/>
        <v>Measure During Winding</v>
      </c>
      <c r="L59" t="str">
        <f ca="1"/>
        <v>Measure During Winding</v>
      </c>
      <c r="N59" t="str">
        <f ca="1"/>
        <v>【67】 Measure During Winding</v>
      </c>
      <c r="O59" t="str">
        <v>Measurement operation during winding</v>
      </c>
      <c r="P59" t="str">
        <v>Measurement operation during winding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//Measure During Winding
	ELSIF uiInfoIdx = 7 THEN</v>
      </c>
      <c r="AC59" t="str">
        <f ca="1"/>
        <v xml:space="preserve">
	//Measure During Winding
	ELSIF uiInfoIdx = 7 THEN
		IF strInfoKey = 'name' THEN</v>
      </c>
      <c r="AD59" t="str">
        <f ca="1"/>
        <v xml:space="preserve">
	//Measure During Winding
	ELSIF uiInfoIdx = 7 THEN
		IF strInfoKey = 'name' THEN
			strRt	:= 'Measure During Winding';</v>
      </c>
      <c r="AE59" t="str">
        <f ca="1"/>
        <v xml:space="preserve">
	//Measure During Winding
	ELSIF uiInfoIdx = 7 THEN
		IF strInfoKey = 'name' THEN
			strRt	:= 'Measure During Winding';
		ELSIF strInfoKey = 'index_name' THEN</v>
      </c>
      <c r="AF59" t="str">
        <f ca="1"/>
        <v xml:space="preserve">
	//Measure During Winding
	ELSIF uiInfoIdx = 7 THEN
		IF strInfoKey = 'name' THEN
			strRt	:= 'Measure During Winding';
		ELSIF strInfoKey = 'index_name' THEN
			strRt	:= '【67】 Measure During Winding';</v>
      </c>
      <c r="AG59" t="str">
        <f ca="1"/>
        <v xml:space="preserve">
	//Measure During Winding
	ELSIF uiInfoIdx = 7 THEN
		IF strInfoKey = 'name' THEN
			strRt	:= 'Measure During Winding';
		ELSIF strInfoKey = 'index_name' THEN
			strRt	:= '【67】 Measure During Winding';
		ELSIF strInfoKey = 'model' THEN</v>
      </c>
      <c r="AH59" t="str">
        <f ca="1"/>
        <v xml:space="preserve">
	//Measure During Winding
	ELSIF uiInfoIdx = 7 THEN
		IF strInfoKey = 'name' THEN
			strRt	:= 'Measure During Winding';
		ELSIF strInfoKey = 'index_name' THEN
			strRt	:= '【67】 Measure During Winding';
		ELSIF strInfoKey = 'model' THEN
			strRt	:= 'Measurement operation during winding';</v>
      </c>
      <c r="AI59" t="str">
        <f ca="1"/>
        <v xml:space="preserve">
	//Measure During Winding
	ELSIF uiInfoIdx = 7 THEN
		IF strInfoKey = 'name' THEN
			strRt	:= 'Measure During Winding';
		ELSIF strInfoKey = 'index_name' THEN
			strRt	:= '【67】 Measure During Winding';
		ELSIF strInfoKey = 'model' THEN
			strRt	:= 'Measurement operation during winding';
		ELSIF strInfoKey = 'mf' THEN</v>
      </c>
      <c r="AJ59" t="str">
        <f ca="1"/>
        <v xml:space="preserve">
	//Measure During Winding
	ELSIF uiInfoIdx = 7 THEN
		IF strInfoKey = 'name' THEN
			strRt	:= 'Measure During Winding';
		ELSIF strInfoKey = 'index_name' THEN
			strRt	:= '【67】 Measure During Winding';
		ELSIF strInfoKey = 'model' THEN
			strRt	:= 'Measurement operation during winding';
		ELSIF strInfoKey = 'mf' THEN
			strRt	:= 'unknown';</v>
      </c>
      <c r="AK59" t="str">
        <f ca="1"/>
        <v xml:space="preserve">
	//Measure During Winding
	ELSIF uiInfoIdx = 7 THEN
		IF strInfoKey = 'name' THEN
			strRt	:= 'Measure During Winding';
		ELSIF strInfoKey = 'index_name' THEN
			strRt	:= '【67】 Measure During Winding';
		ELSIF strInfoKey = 'model' THEN
			strRt	:= 'Measurement operation during winding';
		ELSIF strInfoKey = 'mf' THEN
			strRt	:= 'unknown';
		ELSE
			uiErrCode	:= 3;
		END_IF;</v>
      </c>
      <c r="AL59" t="str">
        <f ca="1"/>
        <v xml:space="preserve">
	//Measure During Winding
	ELSIF uiInfoIdx = 7 THEN
		IF strInfoKey = 'name' THEN
			strRt	:= 'Measure During Winding';
		ELSIF strInfoKey = 'index_name' THEN
			strRt	:= '【67】 Measure During Winding';
		ELSIF strInfoKey = 'model' THEN
			strRt	:= 'Measurement operation during winding';
		ELSIF strInfoKey = 'mf' THEN
			strRt	:= 'unknown';
		ELSE
			uiErrCode	:= 3;
		END_IF;</v>
      </c>
      <c r="AM59" t="str">
        <f ca="1"/>
        <v xml:space="preserve">
	//Measure During Winding
	ELSIF uiInfoIdx = 7 THEN
		IF strInfoKey = 'name' THEN
			strRt	:= 'Measure During Winding';
		ELSIF strInfoKey = 'index_name' THEN
			strRt	:= '【67】 Measure During Winding';
		ELSIF strInfoKey = 'model' THEN
			strRt	:= 'Measurement operation during winding';
		ELSIF strInfoKey = 'mf' THEN
			strRt	:= 'unknown';
		ELSE
			uiErrCode	:= 3;
		END_IF;</v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>●</v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 xml:space="preserve">
	ELSE
		uiErrCode	:= 2;
	END_IF;</v>
      </c>
      <c r="AM62" t="str">
        <f ca="1"/>
        <v xml:space="preserve">
	ELSE
		uiErrCode	:= 2;
	END_IF;</v>
      </c>
    </row>
    <row r="63" spans="6:39" x14ac:dyDescent="0.55000000000000004">
      <c r="F63">
        <f>F53+1</f>
        <v>7</v>
      </c>
      <c r="G63" t="str">
        <f t="shared" ref="G63:G96" si="5">E63&amp;F63</f>
        <v>7</v>
      </c>
      <c r="H63">
        <f>COUNTIF(G$3:G63,G63)</f>
        <v>1</v>
      </c>
      <c r="I63" t="str">
        <v/>
      </c>
      <c r="J63">
        <v>30</v>
      </c>
      <c r="K63" t="str">
        <f ca="1"/>
        <v>Open Operation</v>
      </c>
      <c r="L63" t="str">
        <f ca="1"/>
        <v>Open Operation</v>
      </c>
      <c r="N63" t="str">
        <f ca="1"/>
        <v>【71】 Open Operation</v>
      </c>
      <c r="O63" t="str">
        <v>Opening action</v>
      </c>
      <c r="P63" t="str">
        <v>Opening action</v>
      </c>
      <c r="Q63" t="str">
        <f ca="1"/>
        <v/>
      </c>
      <c r="R63" t="str">
        <f ca="1"/>
        <v>unknown</v>
      </c>
      <c r="Z63" t="str">
        <f ca="1"/>
        <v xml:space="preserve">
//7</v>
      </c>
      <c r="AA63" t="str">
        <f ca="1"/>
        <v xml:space="preserve">
//7
ELSIF strInfoType = 7 THEN</v>
      </c>
      <c r="AB63" t="str">
        <f ca="1"/>
        <v xml:space="preserve">
//7
ELSIF strInfoType = 7 THEN
	//Open Operation
	IF uiInfoIdx = 1 THEN</v>
      </c>
      <c r="AC63" t="str">
        <f ca="1"/>
        <v xml:space="preserve">
//7
ELSIF strInfoType = 7 THEN
	//Open Operation
	IF uiInfoIdx = 1 THEN
		IF strInfoKey = 'name' THEN</v>
      </c>
      <c r="AD63" t="str">
        <f ca="1"/>
        <v xml:space="preserve">
//7
ELSIF strInfoType = 7 THEN
	//Open Operation
	IF uiInfoIdx = 1 THEN
		IF strInfoKey = 'name' THEN
			strRt	:= 'Open Operation';</v>
      </c>
      <c r="AE63" t="str">
        <f ca="1"/>
        <v xml:space="preserve">
//7
ELSIF strInfoType = 7 THEN
	//Open Operation
	IF uiInfoIdx = 1 THEN
		IF strInfoKey = 'name' THEN
			strRt	:= 'Open Operation';
		ELSIF strInfoKey = 'index_name' THEN</v>
      </c>
      <c r="AF63" t="str">
        <f ca="1"/>
        <v xml:space="preserve">
//7
ELSIF strInfoType = 7 THEN
	//Open Operation
	IF uiInfoIdx = 1 THEN
		IF strInfoKey = 'name' THEN
			strRt	:= 'Open Operation';
		ELSIF strInfoKey = 'index_name' THEN
			strRt	:= '【71】 Open Operation';</v>
      </c>
      <c r="AG63" t="str">
        <f ca="1"/>
        <v xml:space="preserve">
//7
ELSIF strInfoType = 7 THEN
	//Open Operation
	IF uiInfoIdx = 1 THEN
		IF strInfoKey = 'name' THEN
			strRt	:= 'Open Operation';
		ELSIF strInfoKey = 'index_name' THEN
			strRt	:= '【71】 Open Operation';
		ELSIF strInfoKey = 'model' THEN</v>
      </c>
      <c r="AH63" t="str">
        <f ca="1"/>
        <v xml:space="preserve">
//7
ELSIF strInfoType = 7 THEN
	//Open Operation
	IF uiInfoIdx = 1 THEN
		IF strInfoKey = 'name' THEN
			strRt	:= 'Open Operation';
		ELSIF strInfoKey = 'index_name' THEN
			strRt	:= '【71】 Open Operation';
		ELSIF strInfoKey = 'model' THEN
			strRt	:= 'Opening action';</v>
      </c>
      <c r="AI63" t="str">
        <f ca="1"/>
        <v xml:space="preserve">
//7
ELSIF strInfoType = 7 THEN
	//Open Operation
	IF uiInfoIdx = 1 THEN
		IF strInfoKey = 'name' THEN
			strRt	:= 'Open Operation';
		ELSIF strInfoKey = 'index_name' THEN
			strRt	:= '【71】 Open Operation';
		ELSIF strInfoKey = 'model' THEN
			strRt	:= 'Opening action';
		ELSIF strInfoKey = 'mf' THEN</v>
      </c>
      <c r="AJ63" t="str">
        <f ca="1"/>
        <v xml:space="preserve">
//7
ELSIF strInfoType = 7 THEN
	//Open Operation
	IF uiInfoIdx = 1 THEN
		IF strInfoKey = 'name' THEN
			strRt	:= 'Open Operation';
		ELSIF strInfoKey = 'index_name' THEN
			strRt	:= '【71】 Open Operation';
		ELSIF strInfoKey = 'model' THEN
			strRt	:= 'Opening action';
		ELSIF strInfoKey = 'mf' THEN
			strRt	:= 'unknown';</v>
      </c>
      <c r="AK63" t="str">
        <f ca="1"/>
        <v xml:space="preserve">
//7
ELSIF strInfoType = 7 THEN
	//Open Operation
	IF uiInfoIdx = 1 THEN
		IF strInfoKey = 'name' THEN
			strRt	:= 'Open Operation';
		ELSIF strInfoKey = 'index_name' THEN
			strRt	:= '【71】 Open Operation';
		ELSIF strInfoKey = 'model' THEN
			strRt	:= 'Opening action';
		ELSIF strInfoKey = 'mf' THEN
			strRt	:= 'unknown';
		ELSE
			uiErrCode	:= 3;
		END_IF;</v>
      </c>
      <c r="AL63" t="str">
        <f ca="1"/>
        <v xml:space="preserve">
//7
ELSIF strInfoType = 7 THEN
	//Open Operation
	IF uiInfoIdx = 1 THEN
		IF strInfoKey = 'name' THEN
			strRt	:= 'Open Operation';
		ELSIF strInfoKey = 'index_name' THEN
			strRt	:= '【71】 Open Operation';
		ELSIF strInfoKey = 'model' THEN
			strRt	:= 'Opening action';
		ELSIF strInfoKey = 'mf' THEN
			strRt	:= 'unknown';
		ELSE
			uiErrCode	:= 3;
		END_IF;</v>
      </c>
      <c r="AM63" t="str">
        <f ca="1"/>
        <v xml:space="preserve">
//7
ELSIF strInfoType = 7 THEN
	//Open Operation
	IF uiInfoIdx = 1 THEN
		IF strInfoKey = 'name' THEN
			strRt	:= 'Open Operation';
		ELSIF strInfoKey = 'index_name' THEN
			strRt	:= '【71】 Open Operation';
		ELSIF strInfoKey = 'model' THEN
			strRt	:= 'Opening action';
		ELSIF strInfoKey = 'mf' THEN
			strRt	:= 'unknown';
		ELSE
			uiErrCode	:= 3;
		END_IF;</v>
      </c>
    </row>
    <row r="64" spans="6:39" x14ac:dyDescent="0.55000000000000004">
      <c r="F64">
        <f t="shared" si="1"/>
        <v>7</v>
      </c>
      <c r="G64" t="str">
        <f t="shared" si="5"/>
        <v>7</v>
      </c>
      <c r="H64">
        <f>COUNTIF(G$3:G64,G64)</f>
        <v>2</v>
      </c>
      <c r="I64" t="str">
        <v/>
      </c>
      <c r="J64">
        <v>31</v>
      </c>
      <c r="K64" t="str">
        <f ca="1"/>
        <v>Close Operation</v>
      </c>
      <c r="L64" t="str">
        <f ca="1"/>
        <v>Close Operation</v>
      </c>
      <c r="N64" t="str">
        <f ca="1"/>
        <v>【72】 Close Operation</v>
      </c>
      <c r="O64" t="str">
        <v>Binding action</v>
      </c>
      <c r="P64" t="str">
        <v>Binding action</v>
      </c>
      <c r="Q64" t="str">
        <f ca="1"/>
        <v/>
      </c>
      <c r="R64" t="str">
        <f ca="1"/>
        <v>unknown</v>
      </c>
      <c r="Z64" t="str">
        <f ca="1"/>
        <v xml:space="preserve">
</v>
      </c>
      <c r="AA64" t="str">
        <f ca="1"/>
        <v xml:space="preserve">
</v>
      </c>
      <c r="AB64" t="str">
        <f ca="1"/>
        <v xml:space="preserve">
	//Close Operation
	ELSIF uiInfoIdx = 2 THEN</v>
      </c>
      <c r="AC64" t="str">
        <f ca="1"/>
        <v xml:space="preserve">
	//Close Operation
	ELSIF uiInfoIdx = 2 THEN
		IF strInfoKey = 'name' THEN</v>
      </c>
      <c r="AD64" t="str">
        <f ca="1"/>
        <v xml:space="preserve">
	//Close Operation
	ELSIF uiInfoIdx = 2 THEN
		IF strInfoKey = 'name' THEN
			strRt	:= 'Close Operation';</v>
      </c>
      <c r="AE64" t="str">
        <f ca="1"/>
        <v xml:space="preserve">
	//Close Operation
	ELSIF uiInfoIdx = 2 THEN
		IF strInfoKey = 'name' THEN
			strRt	:= 'Close Operation';
		ELSIF strInfoKey = 'index_name' THEN</v>
      </c>
      <c r="AF64" t="str">
        <f ca="1"/>
        <v xml:space="preserve">
	//Close Operation
	ELSIF uiInfoIdx = 2 THEN
		IF strInfoKey = 'name' THEN
			strRt	:= 'Close Operation';
		ELSIF strInfoKey = 'index_name' THEN
			strRt	:= '【72】 Close Operation';</v>
      </c>
      <c r="AG64" t="str">
        <f ca="1"/>
        <v xml:space="preserve">
	//Close Operation
	ELSIF uiInfoIdx = 2 THEN
		IF strInfoKey = 'name' THEN
			strRt	:= 'Close Operation';
		ELSIF strInfoKey = 'index_name' THEN
			strRt	:= '【72】 Close Operation';
		ELSIF strInfoKey = 'model' THEN</v>
      </c>
      <c r="AH64" t="str">
        <f ca="1"/>
        <v xml:space="preserve">
	//Close Operation
	ELSIF uiInfoIdx = 2 THEN
		IF strInfoKey = 'name' THEN
			strRt	:= 'Close Operation';
		ELSIF strInfoKey = 'index_name' THEN
			strRt	:= '【72】 Close Operation';
		ELSIF strInfoKey = 'model' THEN
			strRt	:= 'Binding action';</v>
      </c>
      <c r="AI64" t="str">
        <f ca="1"/>
        <v xml:space="preserve">
	//Close Operation
	ELSIF uiInfoIdx = 2 THEN
		IF strInfoKey = 'name' THEN
			strRt	:= 'Close Operation';
		ELSIF strInfoKey = 'index_name' THEN
			strRt	:= '【72】 Close Operation';
		ELSIF strInfoKey = 'model' THEN
			strRt	:= 'Binding action';
		ELSIF strInfoKey = 'mf' THEN</v>
      </c>
      <c r="AJ64" t="str">
        <f ca="1"/>
        <v xml:space="preserve">
	//Close Operation
	ELSIF uiInfoIdx = 2 THEN
		IF strInfoKey = 'name' THEN
			strRt	:= 'Close Operation';
		ELSIF strInfoKey = 'index_name' THEN
			strRt	:= '【72】 Close Operation';
		ELSIF strInfoKey = 'model' THEN
			strRt	:= 'Binding action';
		ELSIF strInfoKey = 'mf' THEN
			strRt	:= 'unknown';</v>
      </c>
      <c r="AK64" t="str">
        <f ca="1"/>
        <v xml:space="preserve">
	//Close Operation
	ELSIF uiInfoIdx = 2 THEN
		IF strInfoKey = 'name' THEN
			strRt	:= 'Close Operation';
		ELSIF strInfoKey = 'index_name' THEN
			strRt	:= '【72】 Close Operation';
		ELSIF strInfoKey = 'model' THEN
			strRt	:= 'Binding action';
		ELSIF strInfoKey = 'mf' THEN
			strRt	:= 'unknown';
		ELSE
			uiErrCode	:= 3;
		END_IF;</v>
      </c>
      <c r="AL64" t="str">
        <f ca="1"/>
        <v xml:space="preserve">
	//Close Operation
	ELSIF uiInfoIdx = 2 THEN
		IF strInfoKey = 'name' THEN
			strRt	:= 'Close Operation';
		ELSIF strInfoKey = 'index_name' THEN
			strRt	:= '【72】 Close Operation';
		ELSIF strInfoKey = 'model' THEN
			strRt	:= 'Binding action';
		ELSIF strInfoKey = 'mf' THEN
			strRt	:= 'unknown';
		ELSE
			uiErrCode	:= 3;
		END_IF;</v>
      </c>
      <c r="AM64" t="str">
        <f ca="1"/>
        <v xml:space="preserve">
	//Close Operation
	ELSIF uiInfoIdx = 2 THEN
		IF strInfoKey = 'name' THEN
			strRt	:= 'Close Operation';
		ELSIF strInfoKey = 'index_name' THEN
			strRt	:= '【72】 Close Operation';
		ELSIF strInfoKey = 'model' THEN
			strRt	:= 'Binding action';
		ELSIF strInfoKey = 'mf' THEN
			strRt	:= 'unknown';
		ELSE
			uiErrCode	:= 3;
		END_IF;</v>
      </c>
    </row>
    <row r="65" spans="6:39" x14ac:dyDescent="0.55000000000000004">
      <c r="F65">
        <f t="shared" si="1"/>
        <v>7</v>
      </c>
      <c r="G65" t="str">
        <f t="shared" si="5"/>
        <v>7</v>
      </c>
      <c r="H65">
        <f>COUNTIF(G$3:G65,G65)</f>
        <v>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7</v>
      </c>
      <c r="G66" t="str">
        <f t="shared" si="5"/>
        <v>7</v>
      </c>
      <c r="H66">
        <f>COUNTIF(G$3:G66,G66)</f>
        <v>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7</v>
      </c>
      <c r="G67" t="str">
        <f t="shared" si="5"/>
        <v>7</v>
      </c>
      <c r="H67">
        <f>COUNTIF(G$3:G67,G67)</f>
        <v>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7</v>
      </c>
      <c r="G68" t="str">
        <f t="shared" si="5"/>
        <v>7</v>
      </c>
      <c r="H68">
        <f>COUNTIF(G$3:G68,G68)</f>
        <v>6</v>
      </c>
      <c r="I68" t="str">
        <v/>
      </c>
      <c r="J68">
        <v>32</v>
      </c>
      <c r="K68" t="str">
        <f ca="1"/>
        <v>Gluing Operation</v>
      </c>
      <c r="L68" t="str">
        <f ca="1"/>
        <v>Gluing Operation</v>
      </c>
      <c r="N68" t="str">
        <f ca="1"/>
        <v>【76】 Gluing Operation</v>
      </c>
      <c r="O68" t="str">
        <v>Gluing operation</v>
      </c>
      <c r="P68" t="str">
        <v>Gluing operation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//Gluing Operation
	ELSIF uiInfoIdx = 6 THEN</v>
      </c>
      <c r="AC68" t="str">
        <f ca="1"/>
        <v xml:space="preserve">
	//Gluing Operation
	ELSIF uiInfoIdx = 6 THEN
		IF strInfoKey = 'name' THEN</v>
      </c>
      <c r="AD68" t="str">
        <f ca="1"/>
        <v xml:space="preserve">
	//Gluing Operation
	ELSIF uiInfoIdx = 6 THEN
		IF strInfoKey = 'name' THEN
			strRt	:= 'Gluing Operation';</v>
      </c>
      <c r="AE68" t="str">
        <f ca="1"/>
        <v xml:space="preserve">
	//Gluing Operation
	ELSIF uiInfoIdx = 6 THEN
		IF strInfoKey = 'name' THEN
			strRt	:= 'Gluing Operation';
		ELSIF strInfoKey = 'index_name' THEN</v>
      </c>
      <c r="AF68" t="str">
        <f ca="1"/>
        <v xml:space="preserve">
	//Gluing Operation
	ELSIF uiInfoIdx = 6 THEN
		IF strInfoKey = 'name' THEN
			strRt	:= 'Gluing Operation';
		ELSIF strInfoKey = 'index_name' THEN
			strRt	:= '【76】 Gluing Operation';</v>
      </c>
      <c r="AG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</v>
      </c>
      <c r="AH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'Gluing operation';</v>
      </c>
      <c r="AI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'Gluing operation';
		ELSIF strInfoKey = 'mf' THEN</v>
      </c>
      <c r="AJ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'Gluing operation';
		ELSIF strInfoKey = 'mf' THEN
			strRt	:= 'unknown';</v>
      </c>
      <c r="AK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'Gluing operation';
		ELSIF strInfoKey = 'mf' THEN
			strRt	:= 'unknown';
		ELSE
			uiErrCode	:= 3;
		END_IF;</v>
      </c>
      <c r="AL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'Gluing operation';
		ELSIF strInfoKey = 'mf' THEN
			strRt	:= 'unknown';
		ELSE
			uiErrCode	:= 3;
		END_IF;</v>
      </c>
      <c r="AM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'Gluing operation';
		ELSIF strInfoKey = 'mf' THEN
			strRt	:= 'unknown';
		ELSE
			uiErrCode	:= 3;
		END_IF;</v>
      </c>
    </row>
    <row r="69" spans="6:39" x14ac:dyDescent="0.55000000000000004">
      <c r="F69">
        <f t="shared" ref="F69:F132" si="6">F68</f>
        <v>7</v>
      </c>
      <c r="G69" t="str">
        <f t="shared" si="5"/>
        <v>7</v>
      </c>
      <c r="H69">
        <f>COUNTIF(G$3:G69,G69)</f>
        <v>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7</v>
      </c>
      <c r="G70" t="str">
        <f t="shared" si="5"/>
        <v>7</v>
      </c>
      <c r="H70">
        <f>COUNTIF(G$3:G70,G70)</f>
        <v>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7</v>
      </c>
      <c r="G71" t="str">
        <f t="shared" si="5"/>
        <v>7</v>
      </c>
      <c r="H71">
        <f>COUNTIF(G$3:G71,G71)</f>
        <v>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7</v>
      </c>
      <c r="G72" t="str">
        <f t="shared" si="5"/>
        <v>7</v>
      </c>
      <c r="H72">
        <f>COUNTIF(G$3:G72,G72)</f>
        <v>10</v>
      </c>
      <c r="I72" t="str">
        <v>●</v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 xml:space="preserve">
	ELSE
		uiErrCode	:= 2;
	END_IF;</v>
      </c>
      <c r="AM72" t="str">
        <f ca="1"/>
        <v xml:space="preserve">
	ELSE
		uiErrCode	:= 2;
	END_IF;</v>
      </c>
    </row>
    <row r="73" spans="6:39" x14ac:dyDescent="0.55000000000000004">
      <c r="F73">
        <f>F63+1</f>
        <v>8</v>
      </c>
      <c r="G73" t="str">
        <f t="shared" ref="G73" si="7">E73&amp;F73</f>
        <v>8</v>
      </c>
      <c r="H73">
        <f>COUNTIF(G$3:G73,G73)</f>
        <v>1</v>
      </c>
      <c r="I73" t="str">
        <v/>
      </c>
      <c r="J73">
        <v>33</v>
      </c>
      <c r="K73" t="str">
        <f ca="1"/>
        <v>Feed Operation</v>
      </c>
      <c r="L73" t="str">
        <f ca="1"/>
        <v>Feed Operation</v>
      </c>
      <c r="N73" t="str">
        <f ca="1"/>
        <v>【81】 Feed Operation</v>
      </c>
      <c r="O73" t="str">
        <v>Feed operation</v>
      </c>
      <c r="P73" t="str">
        <v>Feed operation</v>
      </c>
      <c r="Q73" t="str">
        <f ca="1"/>
        <v/>
      </c>
      <c r="R73" t="str">
        <f ca="1"/>
        <v>unknown</v>
      </c>
      <c r="Z73" t="str">
        <f ca="1"/>
        <v xml:space="preserve">
//8</v>
      </c>
      <c r="AA73" t="str">
        <f ca="1"/>
        <v xml:space="preserve">
//8
ELSIF strInfoType = 8 THEN</v>
      </c>
      <c r="AB73" t="str">
        <f ca="1"/>
        <v xml:space="preserve">
//8
ELSIF strInfoType = 8 THEN
	//Feed Operation
	IF uiInfoIdx = 1 THEN</v>
      </c>
      <c r="AC73" t="str">
        <f ca="1"/>
        <v xml:space="preserve">
//8
ELSIF strInfoType = 8 THEN
	//Feed Operation
	IF uiInfoIdx = 1 THEN
		IF strInfoKey = 'name' THEN</v>
      </c>
      <c r="AD73" t="str">
        <f ca="1"/>
        <v xml:space="preserve">
//8
ELSIF strInfoType = 8 THEN
	//Feed Operation
	IF uiInfoIdx = 1 THEN
		IF strInfoKey = 'name' THEN
			strRt	:= 'Feed Operation';</v>
      </c>
      <c r="AE73" t="str">
        <f ca="1"/>
        <v xml:space="preserve">
//8
ELSIF strInfoType = 8 THEN
	//Feed Operation
	IF uiInfoIdx = 1 THEN
		IF strInfoKey = 'name' THEN
			strRt	:= 'Feed Operation';
		ELSIF strInfoKey = 'index_name' THEN</v>
      </c>
      <c r="AF73" t="str">
        <f ca="1"/>
        <v xml:space="preserve">
//8
ELSIF strInfoType = 8 THEN
	//Feed Operation
	IF uiInfoIdx = 1 THEN
		IF strInfoKey = 'name' THEN
			strRt	:= 'Feed Operation';
		ELSIF strInfoKey = 'index_name' THEN
			strRt	:= '【81】 Feed Operation';</v>
      </c>
      <c r="AG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</v>
      </c>
      <c r="AH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'Feed operation';</v>
      </c>
      <c r="AI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'Feed operation';
		ELSIF strInfoKey = 'mf' THEN</v>
      </c>
      <c r="AJ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'Feed operation';
		ELSIF strInfoKey = 'mf' THEN
			strRt	:= 'unknown';</v>
      </c>
      <c r="AK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'Feed operation';
		ELSIF strInfoKey = 'mf' THEN
			strRt	:= 'unknown';
		ELSE
			uiErrCode	:= 3;
		END_IF;</v>
      </c>
      <c r="AL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'Feed operation';
		ELSIF strInfoKey = 'mf' THEN
			strRt	:= 'unknown';
		ELSE
			uiErrCode	:= 3;
		END_IF;</v>
      </c>
      <c r="AM73" t="str">
        <f ca="1"/>
        <v xml:space="preserve">
//8
ELSIF strInfoType = 8 THEN
	//Feed Operation
	IF uiInfoIdx = 1 THEN
		IF strInfoKey = 'name' THEN
			strRt	:= 'Feed Operation';
		ELSIF strInfoKey = 'index_name' THEN
			strRt	:= '【81】 Feed Operation';
		ELSIF strInfoKey = 'model' THEN
			strRt	:= 'Feed operation';
		ELSIF strInfoKey = 'mf' THEN
			strRt	:= 'unknown';
		ELSE
			uiErrCode	:= 3;
		END_IF;</v>
      </c>
    </row>
    <row r="74" spans="6:39" x14ac:dyDescent="0.55000000000000004">
      <c r="F74">
        <f t="shared" si="6"/>
        <v>8</v>
      </c>
      <c r="G74" t="str">
        <f t="shared" si="5"/>
        <v>8</v>
      </c>
      <c r="H74">
        <f>COUNTIF(G$3:G74,G74)</f>
        <v>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8</v>
      </c>
      <c r="G75" t="str">
        <f t="shared" si="5"/>
        <v>8</v>
      </c>
      <c r="H75">
        <f>COUNTIF(G$3:G75,G75)</f>
        <v>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8</v>
      </c>
      <c r="G76" t="str">
        <f t="shared" si="5"/>
        <v>8</v>
      </c>
      <c r="H76">
        <f>COUNTIF(G$3:G76,G76)</f>
        <v>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8</v>
      </c>
      <c r="G77" t="str">
        <f t="shared" si="5"/>
        <v>8</v>
      </c>
      <c r="H77">
        <f>COUNTIF(G$3:G77,G77)</f>
        <v>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8</v>
      </c>
      <c r="G78" t="str">
        <f t="shared" si="5"/>
        <v>8</v>
      </c>
      <c r="H78">
        <f>COUNTIF(G$3:G78,G78)</f>
        <v>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8</v>
      </c>
      <c r="G79" t="str">
        <f t="shared" si="5"/>
        <v>8</v>
      </c>
      <c r="H79">
        <f>COUNTIF(G$3:G79,G79)</f>
        <v>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8</v>
      </c>
      <c r="G80" t="str">
        <f t="shared" si="5"/>
        <v>8</v>
      </c>
      <c r="H80">
        <f>COUNTIF(G$3:G80,G80)</f>
        <v>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8</v>
      </c>
      <c r="G81" t="str">
        <f t="shared" si="5"/>
        <v>8</v>
      </c>
      <c r="H81">
        <f>COUNTIF(G$3:G81,G81)</f>
        <v>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8</v>
      </c>
      <c r="G82" t="str">
        <f t="shared" si="5"/>
        <v>8</v>
      </c>
      <c r="H82">
        <f>COUNTIF(G$3:G82,G82)</f>
        <v>10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8</v>
      </c>
      <c r="G83" t="str">
        <f t="shared" si="5"/>
        <v>8</v>
      </c>
      <c r="H83">
        <f>COUNTIF(G$3:G83,G83)</f>
        <v>11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8</v>
      </c>
      <c r="G84" t="str">
        <f t="shared" si="5"/>
        <v>8</v>
      </c>
      <c r="H84">
        <f>COUNTIF(G$3:G84,G84)</f>
        <v>12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8</v>
      </c>
      <c r="G85" t="str">
        <f t="shared" si="5"/>
        <v>8</v>
      </c>
      <c r="H85">
        <f>COUNTIF(G$3:G85,G85)</f>
        <v>13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8</v>
      </c>
      <c r="G86" t="str">
        <f t="shared" si="5"/>
        <v>8</v>
      </c>
      <c r="H86">
        <f>COUNTIF(G$3:G86,G86)</f>
        <v>14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8</v>
      </c>
      <c r="G87" t="str">
        <f t="shared" si="5"/>
        <v>8</v>
      </c>
      <c r="H87">
        <f>COUNTIF(G$3:G87,G87)</f>
        <v>15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8</v>
      </c>
      <c r="G88" t="str">
        <f t="shared" si="5"/>
        <v>8</v>
      </c>
      <c r="H88">
        <f>COUNTIF(G$3:G88,G88)</f>
        <v>16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8</v>
      </c>
      <c r="G89" t="str">
        <f t="shared" si="5"/>
        <v>8</v>
      </c>
      <c r="H89">
        <f>COUNTIF(G$3:G89,G89)</f>
        <v>17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8</v>
      </c>
      <c r="G90" t="str">
        <f t="shared" si="5"/>
        <v>8</v>
      </c>
      <c r="H90">
        <f>COUNTIF(G$3:G90,G90)</f>
        <v>18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8</v>
      </c>
      <c r="G91" t="str">
        <f t="shared" si="5"/>
        <v>8</v>
      </c>
      <c r="H91">
        <f>COUNTIF(G$3:G91,G91)</f>
        <v>19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8</v>
      </c>
      <c r="G92" t="str">
        <f t="shared" si="5"/>
        <v>8</v>
      </c>
      <c r="H92">
        <f>COUNTIF(G$3:G92,G92)</f>
        <v>20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8</v>
      </c>
      <c r="G93" t="str">
        <f t="shared" si="5"/>
        <v>8</v>
      </c>
      <c r="H93">
        <f>COUNTIF(G$3:G93,G93)</f>
        <v>21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8</v>
      </c>
      <c r="G94" t="str">
        <f t="shared" si="5"/>
        <v>8</v>
      </c>
      <c r="H94">
        <f>COUNTIF(G$3:G94,G94)</f>
        <v>22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8</v>
      </c>
      <c r="G95" t="str">
        <f t="shared" si="5"/>
        <v>8</v>
      </c>
      <c r="H95">
        <f>COUNTIF(G$3:G95,G95)</f>
        <v>23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8</v>
      </c>
      <c r="G96" t="str">
        <f t="shared" si="5"/>
        <v>8</v>
      </c>
      <c r="H96">
        <f>COUNTIF(G$3:G96,G96)</f>
        <v>24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8</v>
      </c>
      <c r="G97" t="str">
        <f t="shared" ref="G97:G160" si="8">E97&amp;F97</f>
        <v>8</v>
      </c>
      <c r="H97">
        <f>COUNTIF(G$3:G97,G97)</f>
        <v>25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8</v>
      </c>
      <c r="G98" t="str">
        <f t="shared" si="8"/>
        <v>8</v>
      </c>
      <c r="H98">
        <f>COUNTIF(G$3:G98,G98)</f>
        <v>26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8</v>
      </c>
      <c r="G99" t="str">
        <f t="shared" si="8"/>
        <v>8</v>
      </c>
      <c r="H99">
        <f>COUNTIF(G$3:G99,G99)</f>
        <v>27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8</v>
      </c>
      <c r="G100" t="str">
        <f t="shared" si="8"/>
        <v>8</v>
      </c>
      <c r="H100">
        <f>COUNTIF(G$3:G100,G100)</f>
        <v>28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8</v>
      </c>
      <c r="G101" t="str">
        <f t="shared" si="8"/>
        <v>8</v>
      </c>
      <c r="H101">
        <f>COUNTIF(G$3:G101,G101)</f>
        <v>29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8</v>
      </c>
      <c r="G102" t="str">
        <f t="shared" si="8"/>
        <v>8</v>
      </c>
      <c r="H102">
        <f>COUNTIF(G$3:G102,G102)</f>
        <v>30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8</v>
      </c>
      <c r="G103" t="str">
        <f t="shared" si="8"/>
        <v>8</v>
      </c>
      <c r="H103">
        <f>COUNTIF(G$3:G103,G103)</f>
        <v>31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8</v>
      </c>
      <c r="G104" t="str">
        <f t="shared" si="8"/>
        <v>8</v>
      </c>
      <c r="H104">
        <f>COUNTIF(G$3:G104,G104)</f>
        <v>32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8</v>
      </c>
      <c r="G105" t="str">
        <f t="shared" si="8"/>
        <v>8</v>
      </c>
      <c r="H105">
        <f>COUNTIF(G$3:G105,G105)</f>
        <v>33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8</v>
      </c>
      <c r="G106" t="str">
        <f t="shared" si="8"/>
        <v>8</v>
      </c>
      <c r="H106">
        <f>COUNTIF(G$3:G106,G106)</f>
        <v>34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8</v>
      </c>
      <c r="G107" t="str">
        <f t="shared" si="8"/>
        <v>8</v>
      </c>
      <c r="H107">
        <f>COUNTIF(G$3:G107,G107)</f>
        <v>35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8</v>
      </c>
      <c r="G108" t="str">
        <f t="shared" si="8"/>
        <v>8</v>
      </c>
      <c r="H108">
        <f>COUNTIF(G$3:G108,G108)</f>
        <v>36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8</v>
      </c>
      <c r="G109" t="str">
        <f t="shared" si="8"/>
        <v>8</v>
      </c>
      <c r="H109">
        <f>COUNTIF(G$3:G109,G109)</f>
        <v>37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8</v>
      </c>
      <c r="G110" t="str">
        <f t="shared" si="8"/>
        <v>8</v>
      </c>
      <c r="H110">
        <f>COUNTIF(G$3:G110,G110)</f>
        <v>38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8</v>
      </c>
      <c r="G111" t="str">
        <f t="shared" si="8"/>
        <v>8</v>
      </c>
      <c r="H111">
        <f>COUNTIF(G$3:G111,G111)</f>
        <v>39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8</v>
      </c>
      <c r="G112" t="str">
        <f t="shared" si="8"/>
        <v>8</v>
      </c>
      <c r="H112">
        <f>COUNTIF(G$3:G112,G112)</f>
        <v>40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8</v>
      </c>
      <c r="G113" t="str">
        <f t="shared" si="8"/>
        <v>8</v>
      </c>
      <c r="H113">
        <f>COUNTIF(G$3:G113,G113)</f>
        <v>41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8</v>
      </c>
      <c r="G114" t="str">
        <f t="shared" si="8"/>
        <v>8</v>
      </c>
      <c r="H114">
        <f>COUNTIF(G$3:G114,G114)</f>
        <v>42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8</v>
      </c>
      <c r="G115" t="str">
        <f t="shared" si="8"/>
        <v>8</v>
      </c>
      <c r="H115">
        <f>COUNTIF(G$3:G115,G115)</f>
        <v>43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8</v>
      </c>
      <c r="G116" t="str">
        <f t="shared" si="8"/>
        <v>8</v>
      </c>
      <c r="H116">
        <f>COUNTIF(G$3:G116,G116)</f>
        <v>44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8</v>
      </c>
      <c r="G117" t="str">
        <f t="shared" si="8"/>
        <v>8</v>
      </c>
      <c r="H117">
        <f>COUNTIF(G$3:G117,G117)</f>
        <v>45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8</v>
      </c>
      <c r="G118" t="str">
        <f t="shared" si="8"/>
        <v>8</v>
      </c>
      <c r="H118">
        <f>COUNTIF(G$3:G118,G118)</f>
        <v>46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8</v>
      </c>
      <c r="G119" t="str">
        <f t="shared" si="8"/>
        <v>8</v>
      </c>
      <c r="H119">
        <f>COUNTIF(G$3:G119,G119)</f>
        <v>47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8</v>
      </c>
      <c r="G120" t="str">
        <f t="shared" si="8"/>
        <v>8</v>
      </c>
      <c r="H120">
        <f>COUNTIF(G$3:G120,G120)</f>
        <v>48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8</v>
      </c>
      <c r="G121" t="str">
        <f t="shared" si="8"/>
        <v>8</v>
      </c>
      <c r="H121">
        <f>COUNTIF(G$3:G121,G121)</f>
        <v>49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8</v>
      </c>
      <c r="G122" t="str">
        <f t="shared" si="8"/>
        <v>8</v>
      </c>
      <c r="H122">
        <f>COUNTIF(G$3:G122,G122)</f>
        <v>50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8</v>
      </c>
      <c r="G123" t="str">
        <f t="shared" si="8"/>
        <v>8</v>
      </c>
      <c r="H123">
        <f>COUNTIF(G$3:G123,G123)</f>
        <v>51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8</v>
      </c>
      <c r="G124" t="str">
        <f t="shared" si="8"/>
        <v>8</v>
      </c>
      <c r="H124">
        <f>COUNTIF(G$3:G124,G124)</f>
        <v>52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8</v>
      </c>
      <c r="G125" t="str">
        <f t="shared" si="8"/>
        <v>8</v>
      </c>
      <c r="H125">
        <f>COUNTIF(G$3:G125,G125)</f>
        <v>53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8</v>
      </c>
      <c r="G126" t="str">
        <f t="shared" si="8"/>
        <v>8</v>
      </c>
      <c r="H126">
        <f>COUNTIF(G$3:G126,G126)</f>
        <v>54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8</v>
      </c>
      <c r="G127" t="str">
        <f t="shared" si="8"/>
        <v>8</v>
      </c>
      <c r="H127">
        <f>COUNTIF(G$3:G127,G127)</f>
        <v>55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8</v>
      </c>
      <c r="G128" t="str">
        <f t="shared" si="8"/>
        <v>8</v>
      </c>
      <c r="H128">
        <f>COUNTIF(G$3:G128,G128)</f>
        <v>56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8</v>
      </c>
      <c r="G129" t="str">
        <f t="shared" si="8"/>
        <v>8</v>
      </c>
      <c r="H129">
        <f>COUNTIF(G$3:G129,G129)</f>
        <v>57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8</v>
      </c>
      <c r="G130" t="str">
        <f t="shared" si="8"/>
        <v>8</v>
      </c>
      <c r="H130">
        <f>COUNTIF(G$3:G130,G130)</f>
        <v>58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8</v>
      </c>
      <c r="G131" t="str">
        <f t="shared" si="8"/>
        <v>8</v>
      </c>
      <c r="H131">
        <f>COUNTIF(G$3:G131,G131)</f>
        <v>59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8</v>
      </c>
      <c r="G132" t="str">
        <f t="shared" si="8"/>
        <v>8</v>
      </c>
      <c r="H132">
        <f>COUNTIF(G$3:G132,G132)</f>
        <v>60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9">F132</f>
        <v>8</v>
      </c>
      <c r="G133" t="str">
        <f t="shared" si="8"/>
        <v>8</v>
      </c>
      <c r="H133">
        <f>COUNTIF(G$3:G133,G133)</f>
        <v>61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9"/>
        <v>8</v>
      </c>
      <c r="G134" t="str">
        <f t="shared" si="8"/>
        <v>8</v>
      </c>
      <c r="H134">
        <f>COUNTIF(G$3:G134,G134)</f>
        <v>62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9"/>
        <v>8</v>
      </c>
      <c r="G135" t="str">
        <f t="shared" si="8"/>
        <v>8</v>
      </c>
      <c r="H135">
        <f>COUNTIF(G$3:G135,G135)</f>
        <v>63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9"/>
        <v>8</v>
      </c>
      <c r="G136" t="str">
        <f t="shared" si="8"/>
        <v>8</v>
      </c>
      <c r="H136">
        <f>COUNTIF(G$3:G136,G136)</f>
        <v>64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9"/>
        <v>8</v>
      </c>
      <c r="G137" t="str">
        <f t="shared" si="8"/>
        <v>8</v>
      </c>
      <c r="H137">
        <f>COUNTIF(G$3:G137,G137)</f>
        <v>65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9"/>
        <v>8</v>
      </c>
      <c r="G138" t="str">
        <f t="shared" si="8"/>
        <v>8</v>
      </c>
      <c r="H138">
        <f>COUNTIF(G$3:G138,G138)</f>
        <v>66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9"/>
        <v>8</v>
      </c>
      <c r="G139" t="str">
        <f t="shared" si="8"/>
        <v>8</v>
      </c>
      <c r="H139">
        <f>COUNTIF(G$3:G139,G139)</f>
        <v>67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9"/>
        <v>8</v>
      </c>
      <c r="G140" t="str">
        <f t="shared" si="8"/>
        <v>8</v>
      </c>
      <c r="H140">
        <f>COUNTIF(G$3:G140,G140)</f>
        <v>68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9"/>
        <v>8</v>
      </c>
      <c r="G141" t="str">
        <f t="shared" si="8"/>
        <v>8</v>
      </c>
      <c r="H141">
        <f>COUNTIF(G$3:G141,G141)</f>
        <v>69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9"/>
        <v>8</v>
      </c>
      <c r="G142" t="str">
        <f t="shared" si="8"/>
        <v>8</v>
      </c>
      <c r="H142">
        <f>COUNTIF(G$3:G142,G142)</f>
        <v>70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9"/>
        <v>8</v>
      </c>
      <c r="G143" t="str">
        <f t="shared" si="8"/>
        <v>8</v>
      </c>
      <c r="H143">
        <f>COUNTIF(G$3:G143,G143)</f>
        <v>71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9"/>
        <v>8</v>
      </c>
      <c r="G144" t="str">
        <f t="shared" si="8"/>
        <v>8</v>
      </c>
      <c r="H144">
        <f>COUNTIF(G$3:G144,G144)</f>
        <v>72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9"/>
        <v>8</v>
      </c>
      <c r="G145" t="str">
        <f t="shared" si="8"/>
        <v>8</v>
      </c>
      <c r="H145">
        <f>COUNTIF(G$3:G145,G145)</f>
        <v>73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9"/>
        <v>8</v>
      </c>
      <c r="G146" t="str">
        <f t="shared" si="8"/>
        <v>8</v>
      </c>
      <c r="H146">
        <f>COUNTIF(G$3:G146,G146)</f>
        <v>74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9"/>
        <v>8</v>
      </c>
      <c r="G147" t="str">
        <f t="shared" si="8"/>
        <v>8</v>
      </c>
      <c r="H147">
        <f>COUNTIF(G$3:G147,G147)</f>
        <v>75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9"/>
        <v>8</v>
      </c>
      <c r="G148" t="str">
        <f t="shared" si="8"/>
        <v>8</v>
      </c>
      <c r="H148">
        <f>COUNTIF(G$3:G148,G148)</f>
        <v>76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9"/>
        <v>8</v>
      </c>
      <c r="G149" t="str">
        <f t="shared" si="8"/>
        <v>8</v>
      </c>
      <c r="H149">
        <f>COUNTIF(G$3:G149,G149)</f>
        <v>77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9"/>
        <v>8</v>
      </c>
      <c r="G150" t="str">
        <f t="shared" si="8"/>
        <v>8</v>
      </c>
      <c r="H150">
        <f>COUNTIF(G$3:G150,G150)</f>
        <v>78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9"/>
        <v>8</v>
      </c>
      <c r="G151" t="str">
        <f t="shared" si="8"/>
        <v>8</v>
      </c>
      <c r="H151">
        <f>COUNTIF(G$3:G151,G151)</f>
        <v>79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9"/>
        <v>8</v>
      </c>
      <c r="G152" t="str">
        <f t="shared" si="8"/>
        <v>8</v>
      </c>
      <c r="H152">
        <f>COUNTIF(G$3:G152,G152)</f>
        <v>80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9"/>
        <v>8</v>
      </c>
      <c r="G153" t="str">
        <f t="shared" si="8"/>
        <v>8</v>
      </c>
      <c r="H153">
        <f>COUNTIF(G$3:G153,G153)</f>
        <v>81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9"/>
        <v>8</v>
      </c>
      <c r="G154" t="str">
        <f t="shared" si="8"/>
        <v>8</v>
      </c>
      <c r="H154">
        <f>COUNTIF(G$3:G154,G154)</f>
        <v>82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9"/>
        <v>8</v>
      </c>
      <c r="G155" t="str">
        <f t="shared" si="8"/>
        <v>8</v>
      </c>
      <c r="H155">
        <f>COUNTIF(G$3:G155,G155)</f>
        <v>83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9"/>
        <v>8</v>
      </c>
      <c r="G156" t="str">
        <f t="shared" si="8"/>
        <v>8</v>
      </c>
      <c r="H156">
        <f>COUNTIF(G$3:G156,G156)</f>
        <v>84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9"/>
        <v>8</v>
      </c>
      <c r="G157" t="str">
        <f t="shared" si="8"/>
        <v>8</v>
      </c>
      <c r="H157">
        <f>COUNTIF(G$3:G157,G157)</f>
        <v>85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9"/>
        <v>8</v>
      </c>
      <c r="G158" t="str">
        <f t="shared" si="8"/>
        <v>8</v>
      </c>
      <c r="H158">
        <f>COUNTIF(G$3:G158,G158)</f>
        <v>86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9"/>
        <v>8</v>
      </c>
      <c r="G159" t="str">
        <f t="shared" si="8"/>
        <v>8</v>
      </c>
      <c r="H159">
        <f>COUNTIF(G$3:G159,G159)</f>
        <v>87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9"/>
        <v>8</v>
      </c>
      <c r="G160" t="str">
        <f t="shared" si="8"/>
        <v>8</v>
      </c>
      <c r="H160">
        <f>COUNTIF(G$3:G160,G160)</f>
        <v>88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9"/>
        <v>8</v>
      </c>
      <c r="G161" t="str">
        <f t="shared" ref="G161:G202" si="10">E161&amp;F161</f>
        <v>8</v>
      </c>
      <c r="H161">
        <f>COUNTIF(G$3:G161,G161)</f>
        <v>89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9"/>
        <v>8</v>
      </c>
      <c r="G162" t="str">
        <f t="shared" si="10"/>
        <v>8</v>
      </c>
      <c r="H162">
        <f>COUNTIF(G$3:G162,G162)</f>
        <v>90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9"/>
        <v>8</v>
      </c>
      <c r="G163" t="str">
        <f t="shared" si="10"/>
        <v>8</v>
      </c>
      <c r="H163">
        <f>COUNTIF(G$3:G163,G163)</f>
        <v>91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9"/>
        <v>8</v>
      </c>
      <c r="G164" t="str">
        <f t="shared" si="10"/>
        <v>8</v>
      </c>
      <c r="H164">
        <f>COUNTIF(G$3:G164,G164)</f>
        <v>92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9"/>
        <v>8</v>
      </c>
      <c r="G165" t="str">
        <f t="shared" si="10"/>
        <v>8</v>
      </c>
      <c r="H165">
        <f>COUNTIF(G$3:G165,G165)</f>
        <v>93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9"/>
        <v>8</v>
      </c>
      <c r="G166" t="str">
        <f t="shared" si="10"/>
        <v>8</v>
      </c>
      <c r="H166">
        <f>COUNTIF(G$3:G166,G166)</f>
        <v>94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9"/>
        <v>8</v>
      </c>
      <c r="G167" t="str">
        <f t="shared" si="10"/>
        <v>8</v>
      </c>
      <c r="H167">
        <f>COUNTIF(G$3:G167,G167)</f>
        <v>95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9"/>
        <v>8</v>
      </c>
      <c r="G168" t="str">
        <f t="shared" si="10"/>
        <v>8</v>
      </c>
      <c r="H168">
        <f>COUNTIF(G$3:G168,G168)</f>
        <v>96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9"/>
        <v>8</v>
      </c>
      <c r="G169" t="str">
        <f t="shared" si="10"/>
        <v>8</v>
      </c>
      <c r="H169">
        <f>COUNTIF(G$3:G169,G169)</f>
        <v>97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9"/>
        <v>8</v>
      </c>
      <c r="G170" t="str">
        <f t="shared" si="10"/>
        <v>8</v>
      </c>
      <c r="H170">
        <f>COUNTIF(G$3:G170,G170)</f>
        <v>98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9"/>
        <v>8</v>
      </c>
      <c r="G171" t="str">
        <f t="shared" si="10"/>
        <v>8</v>
      </c>
      <c r="H171">
        <f>COUNTIF(G$3:G171,G171)</f>
        <v>99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9"/>
        <v>8</v>
      </c>
      <c r="G172" t="str">
        <f t="shared" si="10"/>
        <v>8</v>
      </c>
      <c r="H172">
        <f>COUNTIF(G$3:G172,G172)</f>
        <v>100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9"/>
        <v>8</v>
      </c>
      <c r="G173" t="str">
        <f t="shared" si="10"/>
        <v>8</v>
      </c>
      <c r="H173">
        <f>COUNTIF(G$3:G173,G173)</f>
        <v>101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9"/>
        <v>8</v>
      </c>
      <c r="G174" t="str">
        <f t="shared" si="10"/>
        <v>8</v>
      </c>
      <c r="H174">
        <f>COUNTIF(G$3:G174,G174)</f>
        <v>102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9"/>
        <v>8</v>
      </c>
      <c r="G175" t="str">
        <f t="shared" si="10"/>
        <v>8</v>
      </c>
      <c r="H175">
        <f>COUNTIF(G$3:G175,G175)</f>
        <v>103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9"/>
        <v>8</v>
      </c>
      <c r="G176" t="str">
        <f t="shared" si="10"/>
        <v>8</v>
      </c>
      <c r="H176">
        <f>COUNTIF(G$3:G176,G176)</f>
        <v>104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9"/>
        <v>8</v>
      </c>
      <c r="G177" t="str">
        <f t="shared" si="10"/>
        <v>8</v>
      </c>
      <c r="H177">
        <f>COUNTIF(G$3:G177,G177)</f>
        <v>105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9"/>
        <v>8</v>
      </c>
      <c r="G178" t="str">
        <f t="shared" si="10"/>
        <v>8</v>
      </c>
      <c r="H178">
        <f>COUNTIF(G$3:G178,G178)</f>
        <v>106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9"/>
        <v>8</v>
      </c>
      <c r="G179" t="str">
        <f t="shared" si="10"/>
        <v>8</v>
      </c>
      <c r="H179">
        <f>COUNTIF(G$3:G179,G179)</f>
        <v>107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9"/>
        <v>8</v>
      </c>
      <c r="G180" t="str">
        <f t="shared" si="10"/>
        <v>8</v>
      </c>
      <c r="H180">
        <f>COUNTIF(G$3:G180,G180)</f>
        <v>108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9"/>
        <v>8</v>
      </c>
      <c r="G181" t="str">
        <f t="shared" si="10"/>
        <v>8</v>
      </c>
      <c r="H181">
        <f>COUNTIF(G$3:G181,G181)</f>
        <v>109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9"/>
        <v>8</v>
      </c>
      <c r="G182" t="str">
        <f t="shared" si="10"/>
        <v>8</v>
      </c>
      <c r="H182">
        <f>COUNTIF(G$3:G182,G182)</f>
        <v>110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9"/>
        <v>8</v>
      </c>
      <c r="G183" t="str">
        <f t="shared" si="10"/>
        <v>8</v>
      </c>
      <c r="H183">
        <f>COUNTIF(G$3:G183,G183)</f>
        <v>111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9"/>
        <v>8</v>
      </c>
      <c r="G184" t="str">
        <f t="shared" si="10"/>
        <v>8</v>
      </c>
      <c r="H184">
        <f>COUNTIF(G$3:G184,G184)</f>
        <v>112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9"/>
        <v>8</v>
      </c>
      <c r="G185" t="str">
        <f t="shared" si="10"/>
        <v>8</v>
      </c>
      <c r="H185">
        <f>COUNTIF(G$3:G185,G185)</f>
        <v>113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9"/>
        <v>8</v>
      </c>
      <c r="G186" t="str">
        <f t="shared" si="10"/>
        <v>8</v>
      </c>
      <c r="H186">
        <f>COUNTIF(G$3:G186,G186)</f>
        <v>114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9"/>
        <v>8</v>
      </c>
      <c r="G187" t="str">
        <f t="shared" si="10"/>
        <v>8</v>
      </c>
      <c r="H187">
        <f>COUNTIF(G$3:G187,G187)</f>
        <v>115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9"/>
        <v>8</v>
      </c>
      <c r="G188" t="str">
        <f t="shared" si="10"/>
        <v>8</v>
      </c>
      <c r="H188">
        <f>COUNTIF(G$3:G188,G188)</f>
        <v>116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9"/>
        <v>8</v>
      </c>
      <c r="G189" t="str">
        <f t="shared" si="10"/>
        <v>8</v>
      </c>
      <c r="H189">
        <f>COUNTIF(G$3:G189,G189)</f>
        <v>117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9"/>
        <v>8</v>
      </c>
      <c r="G190" t="str">
        <f t="shared" si="10"/>
        <v>8</v>
      </c>
      <c r="H190">
        <f>COUNTIF(G$3:G190,G190)</f>
        <v>118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9"/>
        <v>8</v>
      </c>
      <c r="G191" t="str">
        <f t="shared" si="10"/>
        <v>8</v>
      </c>
      <c r="H191">
        <f>COUNTIF(G$3:G191,G191)</f>
        <v>119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9"/>
        <v>8</v>
      </c>
      <c r="G192" t="str">
        <f t="shared" si="10"/>
        <v>8</v>
      </c>
      <c r="H192">
        <f>COUNTIF(G$3:G192,G192)</f>
        <v>120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9"/>
        <v>8</v>
      </c>
      <c r="G193" t="str">
        <f t="shared" si="10"/>
        <v>8</v>
      </c>
      <c r="H193">
        <f>COUNTIF(G$3:G193,G193)</f>
        <v>121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9"/>
        <v>8</v>
      </c>
      <c r="G194" t="str">
        <f t="shared" si="10"/>
        <v>8</v>
      </c>
      <c r="H194">
        <f>COUNTIF(G$3:G194,G194)</f>
        <v>122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9"/>
        <v>8</v>
      </c>
      <c r="G195" t="str">
        <f t="shared" si="10"/>
        <v>8</v>
      </c>
      <c r="H195">
        <f>COUNTIF(G$3:G195,G195)</f>
        <v>123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9"/>
        <v>8</v>
      </c>
      <c r="G196" t="str">
        <f t="shared" si="10"/>
        <v>8</v>
      </c>
      <c r="H196">
        <f>COUNTIF(G$3:G196,G196)</f>
        <v>124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1">F196</f>
        <v>8</v>
      </c>
      <c r="G197" t="str">
        <f t="shared" si="10"/>
        <v>8</v>
      </c>
      <c r="H197">
        <f>COUNTIF(G$3:G197,G197)</f>
        <v>125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1"/>
        <v>8</v>
      </c>
      <c r="G198" t="str">
        <f t="shared" si="10"/>
        <v>8</v>
      </c>
      <c r="H198">
        <f>COUNTIF(G$3:G198,G198)</f>
        <v>126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1"/>
        <v>8</v>
      </c>
      <c r="G199" t="str">
        <f t="shared" si="10"/>
        <v>8</v>
      </c>
      <c r="H199">
        <f>COUNTIF(G$3:G199,G199)</f>
        <v>127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1"/>
        <v>8</v>
      </c>
      <c r="G200" t="str">
        <f t="shared" si="10"/>
        <v>8</v>
      </c>
      <c r="H200">
        <f>COUNTIF(G$3:G200,G200)</f>
        <v>128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1"/>
        <v>8</v>
      </c>
      <c r="G201" t="str">
        <f t="shared" si="10"/>
        <v>8</v>
      </c>
      <c r="H201">
        <f>COUNTIF(G$3:G201,G201)</f>
        <v>129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1"/>
        <v>8</v>
      </c>
      <c r="G202" t="str">
        <f t="shared" si="10"/>
        <v>8</v>
      </c>
      <c r="H202">
        <f>COUNTIF(G$3:G202,G202)</f>
        <v>130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C:\tk\prj\hg-0025-0016\git\unit01\kv-x520\doc\[kv_script_cycle_info.xlsx]info_script によって生成されました。
//1
IF strInfoType = 1 THEN
	//Home Return Operation
	IF uiInfoIdx = 1 THEN
		IF strInfoKey = 'name' THEN
			strRt	:= 'Home Return Operation';
		ELSIF strInfoKey = 'index_name' THEN
			strRt	:= '【11】 Home Return Operation';
		ELSIF strInfoKey = 'model' THEN
			strRt	:= 'Return to origin operation';
		ELSIF strInfoKey = 'mf' THEN
			strRt	:= 'unknown';
		ELSE
			uiErrCode	:= 3;
		END_IF;
	//Supply Prep Operation
	ELSIF uiInfoIdx = 2 THEN
		IF strInfoKey = 'name' THEN
			strRt	:= 'Supply Prep Operation';
		ELSIF strInfoKey = 'index_name' THEN
			strRt	:= '【12】 Supply Prep Operation';
		ELSIF strInfoKey = 'model' THEN
			strRt	:= 'Preparation for supply operation';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'Cut operation';
		ELSIF strInfoKey = 'mf' THEN
			strRt	:= 'unknown';
		ELSE
			uiErrCode	:= 3;
		END_IF;
	//Supply Start Operation
	ELSIF uiInfoIdx = 6 THEN
		IF strInfoKey = 'name' THEN
			strRt	:= 'Supply Start Operation';
		ELSIF strInfoKey = 'index_name' THEN
			strRt	:= '【16】 Supply Start Operation';
		ELSIF strInfoKey = 'model' THEN
			strRt	:= 'Start supply operation';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'Supply operation';
		ELSIF strInfoKey = 'mf' THEN
			strRt	:= 'unknown';
		ELSE
			uiErrCode	:= 3;
		END_IF;
	ELSE
		uiErrCode	:= 2;
	END_IF;
//2
ELSIF strInfoType = 2 THEN
	//Home Return Operation
	IF uiInfoIdx = 1 THEN
		IF strInfoKey = 'name' THEN
			strRt	:= 'Home Return Operation';
		ELSIF strInfoKey = 'index_name' THEN
			strRt	:= '【21】 Home Return Operation';
		ELSIF strInfoKey = 'model' THEN
			strRt	:= 'Return to origin operation';
		ELSIF strInfoKey = 'mf' THEN
			strRt	:= 'unknown';
		ELSE
			uiErrCode	:= 3;
		END_IF;
	//Supply Prep Operation
	ELSIF uiInfoIdx = 2 THEN
		IF strInfoKey = 'name' THEN
			strRt	:= 'Supply Prep Operation';
		ELSIF strInfoKey = 'index_name' THEN
			strRt	:= '【22】 Supply Prep Operation';
		ELSIF strInfoKey = 'model' THEN
			strRt	:= 'Preparation for supply operation';
		ELSIF strInfoKey = 'mf' THEN
			strRt	:= 'unknown';
		ELSE
			uiErrCode	:= 3;
		END_IF;
	//Cut Operation
	ELSIF uiInfoIdx = 3 THEN
		IF strInfoKey = 'name' THEN
			strRt	:= 'Cut Operation';
		ELSIF strInfoKey = 'index_name' THEN
			strRt	:= '【23】 Cut Operation';
		ELSIF strInfoKey = 'model' THEN
			strRt	:= 'Cut operation';
		ELSIF strInfoKey = 'mf' THEN
			strRt	:= 'unknown';
		ELSE
			uiErrCode	:= 3;
		END_IF;
	//Supply Confirm Operation
	ELSIF uiInfoIdx = 4 THEN
		IF strInfoKey = 'name' THEN
			strRt	:= 'Supply Confirm Operation';
		ELSIF strInfoKey = 'index_name' THEN
			strRt	:= '【24】 Supply Confirm Operation';
		ELSIF strInfoKey = 'model' THEN
			strRt	:= 'Supply confirmation operation';
		ELSIF strInfoKey = 'mf' THEN
			strRt	:= 'unknown';
		ELSE
			uiErrCode	:= 3;
		END_IF;
	//Open Operation
	ELSIF uiInfoIdx = 5 THEN
		IF strInfoKey = 'name' THEN
			strRt	:= 'Open Operation';
		ELSIF strInfoKey = 'index_name' THEN
			strRt	:= '【25】 Open Operation';
		ELSIF strInfoKey = 'model' THEN
			strRt	:= 'Opening motion';
		ELSIF strInfoKey = 'mf' THEN
			strRt	:= 'unknown';
		ELSE
			uiErrCode	:= 3;
		END_IF;
	//Supply Start Operation
	ELSIF uiInfoIdx = 6 THEN
		IF strInfoKey = 'name' THEN
			strRt	:= 'Supply Start Operation';
		ELSIF strInfoKey = 'index_name' THEN
			strRt	:= '【26】 Supply Start Operation';
		ELSIF strInfoKey = 'model' THEN
			strRt	:= 'Start supply operation';
		ELSIF strInfoKey = 'mf' THEN
			strRt	:= 'unknown';
		ELSE
			uiErrCode	:= 3;
		END_IF;
	//Supply Operation
	ELSIF uiInfoIdx = 7 THEN
		IF strInfoKey = 'name' THEN
			strRt	:= 'Supply Operation';
		ELSIF strInfoKey = 'index_name' THEN
			strRt	:= '【27】 Supply Operation';
		ELSIF strInfoKey = 'model' THEN
			strRt	:= 'Supply operation';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'Home return operation';
		ELSIF strInfoKey = 'mf' THEN
			strRt	:= 'unknown';
		ELSE
			uiErrCode	:= 3;
		END_IF;
	//Supply Prep Operation
	ELSIF uiInfoIdx = 2 THEN
		IF strInfoKey = 'name' THEN
			strRt	:= 'Supply Prep Operation';
		ELSIF strInfoKey = 'index_name' THEN
			strRt	:= '【32】 Supply Prep Operation';
		ELSIF strInfoKey = 'model' THEN
			strRt	:= 'Supply preparation operation';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'supply operation';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'Home return operation';
		ELSIF strInfoKey = 'mf' THEN
			strRt	:= 'unknown';
		ELSE
			uiErrCode	:= 3;
		END_IF;
	//Sensor Preset Operation
	ELSIF uiInfoIdx = 2 THEN
		IF strInfoKey = 'name' THEN
			strRt	:= 'Sensor Preset Operation';
		ELSIF strInfoKey = 'index_name' THEN
			strRt	:= '【42】 Sensor Preset Operation';
		ELSIF strInfoKey = 'model' THEN
			strRt	:= 'Sensor Preset Operation';
		ELSIF strInfoKey = 'mf' THEN
			strRt	:= 'unknown';
		ELSE
			uiErrCode	:= 3;
		END_IF;
	//Winding Prep Operation
	ELSIF uiInfoIdx = 3 THEN
		IF strInfoKey = 'name' THEN
			strRt	:= 'Winding Prep Operation';
		ELSIF strInfoKey = 'index_name' THEN
			strRt	:= '【43】 Winding Prep Operation';
		ELSIF strInfoKey = 'model' THEN
			strRt	:= 'Winding preparation operation';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'Winding operation';
		ELSIF strInfoKey = 'mf' THEN
			strRt	:= 'unknown';
		ELSE
			uiErrCode	:= 3;
		END_IF;
	//Braz Foil Winding Op
	ELSIF uiInfoIdx = 5 THEN
		IF strInfoKey = 'name' THEN
			strRt	:= 'Braz Foil Winding Op';
		ELSIF strInfoKey = 'index_name' THEN
			strRt	:= '【45】 Braz Foil Winding Op';
		ELSIF strInfoKey = 'model' THEN
			strRt	:= 'Foil brazing operation';
		ELSIF strInfoKey = 'mf' THEN
			strRt	:= 'unknown';
		ELSE
			uiErrCode	:= 3;
		END_IF;
	//Circ Measure Operation
	ELSIF uiInfoIdx = 6 THEN
		IF strInfoKey = 'name' THEN
			strRt	:= 'Circ Measure Operation';
		ELSIF strInfoKey = 'index_name' THEN
			strRt	:= '【46】 Circ Measure Operation';
		ELSIF strInfoKey = 'model' THEN
			strRt	:= 'Circumference measurement operation';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'Home return operation';
		ELSIF strInfoKey = 'mf' THEN
			strRt	:= 'unknown';
		ELSE
			uiErrCode	:= 3;
		END_IF;
	//Winding Clamp Operation
	ELSIF uiInfoIdx = 2 THEN
		IF strInfoKey = 'name' THEN
			strRt	:= 'Winding Clamp Operation';
		ELSIF strInfoKey = 'index_name' THEN
			strRt	:= '【52】 Winding Clamp Operation';
		ELSIF strInfoKey = 'model' THEN
			strRt	:= 'Winding clamping operation';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'Welding operation';
		ELSIF strInfoKey = 'mf' THEN
			strRt	:= 'unknown';
		ELSE
			uiErrCode	:= 3;
		END_IF;
	ELSE
		uiErrCode	:= 2;
	END_IF;
//6
ELSIF strInfoType = 6 THEN
	//Home Return Operation
	IF uiInfoIdx = 1 THEN
		IF strInfoKey = 'name' THEN
			strRt	:= 'Home Return Operation';
		ELSIF strInfoKey = 'index_name' THEN
			strRt	:= '【61】 Home Return Operation';
		ELSIF strInfoKey = 'model' THEN
			strRt	:= 'Return to origin operation';
		ELSIF strInfoKey = 'mf' THEN
			strRt	:= 'unknown';
		ELSE
			uiErrCode	:= 3;
		END_IF;
	//Discharge Receive Op
	ELSIF uiInfoIdx = 2 THEN
		IF strInfoKey = 'name' THEN
			strRt	:= 'Discharge Receive Op';
		ELSIF strInfoKey = 'index_name' THEN
			strRt	:= '【62】 Discharge Receive Op';
		ELSIF strInfoKey = 'model' THEN
			strRt	:= 'Discharge and receiving operation';
		ELSIF strInfoKey = 'mf' THEN
			strRt	:= 'unknown';
		ELSE
			uiErrCode	:= 3;
		END_IF;
	//Discharge Transfer Op
	ELSIF uiInfoIdx = 3 THEN
		IF strInfoKey = 'name' THEN
			strRt	:= 'Discharge Transfer Op';
		ELSIF strInfoKey = 'index_name' THEN
			strRt	:= '【63】 Discharge Transfer Op';
		ELSIF strInfoKey = 'model' THEN
			strRt	:= 'Discharge and handover operation';
		ELSIF strInfoKey = 'mf' THEN
			strRt	:= 'unknown';
		ELSE
			uiErrCode	:= 3;
		END_IF;
	//Measurement Prep
	ELSIF uiInfoIdx = 6 THEN
		IF strInfoKey = 'name' THEN
			strRt	:= 'Measurement Prep';
		ELSIF strInfoKey = 'index_name' THEN
			strRt	:= '【66】 Measurement Prep';
		ELSIF strInfoKey = 'model' THEN
			strRt	:= 'Measurement preparation';
		ELSIF strInfoKey = 'mf' THEN
			strRt	:= 'unknown';
		ELSE
			uiErrCode	:= 3;
		END_IF;
	//Measure During Winding
	ELSIF uiInfoIdx = 7 THEN
		IF strInfoKey = 'name' THEN
			strRt	:= 'Measure During Winding';
		ELSIF strInfoKey = 'index_name' THEN
			strRt	:= '【67】 Measure During Winding';
		ELSIF strInfoKey = 'model' THEN
			strRt	:= 'Measurement operation during winding';
		ELSIF strInfoKey = 'mf' THEN
			strRt	:= 'unknown';
		ELSE
			uiErrCode	:= 3;
		END_IF;
	ELSE
		uiErrCode	:= 2;
	END_IF;
//7
ELSIF strInfoType = 7 THEN
	//Open Operation
	IF uiInfoIdx = 1 THEN
		IF strInfoKey = 'name' THEN
			strRt	:= 'Open Operation';
		ELSIF strInfoKey = 'index_name' THEN
			strRt	:= '【71】 Open Operation';
		ELSIF strInfoKey = 'model' THEN
			strRt	:= 'Opening action';
		ELSIF strInfoKey = 'mf' THEN
			strRt	:= 'unknown';
		ELSE
			uiErrCode	:= 3;
		END_IF;
	//Close Operation
	ELSIF uiInfoIdx = 2 THEN
		IF strInfoKey = 'name' THEN
			strRt	:= 'Close Operation';
		ELSIF strInfoKey = 'index_name' THEN
			strRt	:= '【72】 Close Operation';
		ELSIF strInfoKey = 'model' THEN
			strRt	:= 'Binding action';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'Gluing operation';
		ELSIF strInfoKey = 'mf' THEN
			strRt	:= 'unknown';
		ELSE
			uiErrCode	:= 3;
		END_IF;
	ELSE
		uiErrCode	:= 2;
	END_IF;
//8
ELSIF strInfoType = 8 THEN
	//Feed Operation
	IF uiInfoIdx = 1 THEN
		IF strInfoKey = 'name' THEN
			strRt	:= 'Feed Operation';
		ELSIF strInfoKey = 'index_name' THEN
			strRt	:= '【81】 Feed Operation';
		ELSIF strInfoKey = 'model' THEN
			strRt	:= 'Feed operation';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2026-07-24T09:02:47Z</dcterms:modified>
</cp:coreProperties>
</file>