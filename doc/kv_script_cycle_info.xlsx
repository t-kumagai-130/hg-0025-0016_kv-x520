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E389CE54-2AA0-4BF7-8B1C-73B97E0E5004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info_index!$A$1:$R$106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1" i="1" l="1"/>
  <c r="D21" i="1" s="1"/>
  <c r="E21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12" i="1" l="1"/>
  <c r="E13" i="1" s="1"/>
  <c r="E14" i="1" s="1"/>
  <c r="E15" i="1" s="1"/>
  <c r="E16" i="1" s="1"/>
  <c r="E17" i="1" s="1"/>
  <c r="E18" i="1" s="1"/>
  <c r="E19" i="1" s="1"/>
  <c r="E20" i="1" s="1"/>
  <c r="E3" i="1"/>
  <c r="E4" i="1" s="1"/>
  <c r="E5" i="1" s="1"/>
  <c r="E6" i="1" s="1"/>
  <c r="E7" i="1" s="1"/>
  <c r="E8" i="1" s="1"/>
  <c r="E9" i="1" s="1"/>
  <c r="E10" i="1" s="1"/>
  <c r="E11" i="1" s="1"/>
  <c r="D2" i="1"/>
  <c r="C12" i="1"/>
  <c r="C22" i="1" s="1"/>
  <c r="C26" i="1" s="1"/>
  <c r="D26" i="1" s="1"/>
  <c r="C3" i="1"/>
  <c r="C4" i="1" s="1"/>
  <c r="C5" i="1" s="1"/>
  <c r="C6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6" i="1" l="1"/>
  <c r="C7" i="1"/>
  <c r="D22" i="1"/>
  <c r="E22" i="1"/>
  <c r="E23" i="1" s="1"/>
  <c r="E24" i="1" s="1"/>
  <c r="E25" i="1" s="1"/>
  <c r="D4" i="1"/>
  <c r="D3" i="1"/>
  <c r="D5" i="1"/>
  <c r="D12" i="1"/>
  <c r="C13" i="1"/>
  <c r="C27" i="1"/>
  <c r="C33" i="1"/>
  <c r="C23" i="1"/>
  <c r="B3" i="3" a="1"/>
  <c r="B3" i="3" s="1"/>
  <c r="B5" i="3" s="1"/>
  <c r="H3" i="3"/>
  <c r="A112" i="1"/>
  <c r="F110" i="1"/>
  <c r="A110" i="1"/>
  <c r="D7" i="1" l="1"/>
  <c r="C8" i="1"/>
  <c r="E26" i="1"/>
  <c r="E33" i="1" s="1"/>
  <c r="E37" i="1" s="1"/>
  <c r="D33" i="1"/>
  <c r="C37" i="1"/>
  <c r="C28" i="1"/>
  <c r="D27" i="1"/>
  <c r="C14" i="1"/>
  <c r="D13" i="1"/>
  <c r="C24" i="1"/>
  <c r="D23" i="1"/>
  <c r="C34" i="1"/>
  <c r="H4" i="3"/>
  <c r="H5" i="3"/>
  <c r="D8" i="1" l="1"/>
  <c r="C9" i="1"/>
  <c r="E42" i="1"/>
  <c r="E38" i="1"/>
  <c r="E39" i="1" s="1"/>
  <c r="E40" i="1" s="1"/>
  <c r="E41" i="1" s="1"/>
  <c r="E27" i="1"/>
  <c r="E28" i="1" s="1"/>
  <c r="E29" i="1" s="1"/>
  <c r="E30" i="1" s="1"/>
  <c r="E31" i="1" s="1"/>
  <c r="E32" i="1" s="1"/>
  <c r="C38" i="1"/>
  <c r="D37" i="1"/>
  <c r="C42" i="1"/>
  <c r="E34" i="1"/>
  <c r="E35" i="1" s="1"/>
  <c r="E36" i="1" s="1"/>
  <c r="C25" i="1"/>
  <c r="D24" i="1"/>
  <c r="C15" i="1"/>
  <c r="C16" i="1" s="1"/>
  <c r="D14" i="1"/>
  <c r="C35" i="1"/>
  <c r="D34" i="1"/>
  <c r="C29" i="1"/>
  <c r="D28" i="1"/>
  <c r="H6" i="3"/>
  <c r="D16" i="1" l="1"/>
  <c r="C17" i="1"/>
  <c r="D9" i="1"/>
  <c r="C10" i="1"/>
  <c r="C39" i="1"/>
  <c r="D38" i="1"/>
  <c r="E47" i="1"/>
  <c r="E43" i="1"/>
  <c r="E44" i="1" s="1"/>
  <c r="E45" i="1" s="1"/>
  <c r="E46" i="1" s="1"/>
  <c r="C43" i="1"/>
  <c r="C47" i="1"/>
  <c r="D42" i="1"/>
  <c r="D15" i="1"/>
  <c r="C30" i="1"/>
  <c r="D29" i="1"/>
  <c r="C36" i="1"/>
  <c r="D35" i="1"/>
  <c r="D25" i="1"/>
  <c r="H7" i="3"/>
  <c r="D17" i="1" l="1"/>
  <c r="C18" i="1"/>
  <c r="C11" i="1"/>
  <c r="D11" i="1" s="1"/>
  <c r="D10" i="1"/>
  <c r="H28" i="3"/>
  <c r="H29" i="3"/>
  <c r="H30" i="3"/>
  <c r="D30" i="1"/>
  <c r="C31" i="1"/>
  <c r="C40" i="1"/>
  <c r="C41" i="1" s="1"/>
  <c r="D41" i="1" s="1"/>
  <c r="D39" i="1"/>
  <c r="D47" i="1"/>
  <c r="C52" i="1"/>
  <c r="C48" i="1"/>
  <c r="D43" i="1"/>
  <c r="C44" i="1"/>
  <c r="E52" i="1"/>
  <c r="E48" i="1"/>
  <c r="E49" i="1" s="1"/>
  <c r="E50" i="1" s="1"/>
  <c r="E51" i="1" s="1"/>
  <c r="D36" i="1"/>
  <c r="H8" i="3"/>
  <c r="D18" i="1" l="1"/>
  <c r="C19" i="1"/>
  <c r="D31" i="1"/>
  <c r="C32" i="1"/>
  <c r="D32" i="1" s="1"/>
  <c r="H31" i="3"/>
  <c r="C45" i="1"/>
  <c r="D44" i="1"/>
  <c r="E53" i="1"/>
  <c r="E54" i="1" s="1"/>
  <c r="E55" i="1" s="1"/>
  <c r="E56" i="1" s="1"/>
  <c r="E57" i="1"/>
  <c r="C49" i="1"/>
  <c r="D48" i="1"/>
  <c r="D40" i="1"/>
  <c r="C57" i="1"/>
  <c r="D52" i="1"/>
  <c r="C53" i="1"/>
  <c r="H9" i="3"/>
  <c r="C20" i="1" l="1"/>
  <c r="D20" i="1" s="1"/>
  <c r="D19" i="1"/>
  <c r="H32" i="3"/>
  <c r="E62" i="1"/>
  <c r="E58" i="1"/>
  <c r="E59" i="1" s="1"/>
  <c r="E60" i="1" s="1"/>
  <c r="E61" i="1" s="1"/>
  <c r="C54" i="1"/>
  <c r="D53" i="1"/>
  <c r="C62" i="1"/>
  <c r="C58" i="1"/>
  <c r="D57" i="1"/>
  <c r="D49" i="1"/>
  <c r="C50" i="1"/>
  <c r="C46" i="1"/>
  <c r="D46" i="1" s="1"/>
  <c r="D45" i="1"/>
  <c r="H10" i="3"/>
  <c r="H33" i="3" l="1"/>
  <c r="C59" i="1"/>
  <c r="D58" i="1"/>
  <c r="C67" i="1"/>
  <c r="D62" i="1"/>
  <c r="C63" i="1"/>
  <c r="D54" i="1"/>
  <c r="C55" i="1"/>
  <c r="D50" i="1"/>
  <c r="C51" i="1"/>
  <c r="D51" i="1" s="1"/>
  <c r="E67" i="1"/>
  <c r="E63" i="1"/>
  <c r="E64" i="1" s="1"/>
  <c r="E65" i="1" s="1"/>
  <c r="E66" i="1" s="1"/>
  <c r="H11" i="3"/>
  <c r="H34" i="3" l="1"/>
  <c r="C56" i="1"/>
  <c r="D56" i="1" s="1"/>
  <c r="D55" i="1"/>
  <c r="D63" i="1"/>
  <c r="C64" i="1"/>
  <c r="C72" i="1"/>
  <c r="D67" i="1"/>
  <c r="C68" i="1"/>
  <c r="E72" i="1"/>
  <c r="E68" i="1"/>
  <c r="E69" i="1" s="1"/>
  <c r="E70" i="1" s="1"/>
  <c r="E71" i="1" s="1"/>
  <c r="D59" i="1"/>
  <c r="C60" i="1"/>
  <c r="H12" i="3"/>
  <c r="H35" i="3" l="1"/>
  <c r="C69" i="1"/>
  <c r="D68" i="1"/>
  <c r="C65" i="1"/>
  <c r="D64" i="1"/>
  <c r="E73" i="1"/>
  <c r="E74" i="1" s="1"/>
  <c r="E75" i="1" s="1"/>
  <c r="E76" i="1" s="1"/>
  <c r="E77" i="1"/>
  <c r="C77" i="1"/>
  <c r="D72" i="1"/>
  <c r="C73" i="1"/>
  <c r="C61" i="1"/>
  <c r="D61" i="1" s="1"/>
  <c r="D60" i="1"/>
  <c r="H13" i="3"/>
  <c r="H36" i="3" l="1"/>
  <c r="C82" i="1"/>
  <c r="D77" i="1"/>
  <c r="C78" i="1"/>
  <c r="D65" i="1"/>
  <c r="C66" i="1"/>
  <c r="D66" i="1" s="1"/>
  <c r="E78" i="1"/>
  <c r="E79" i="1" s="1"/>
  <c r="E80" i="1" s="1"/>
  <c r="E81" i="1" s="1"/>
  <c r="E82" i="1"/>
  <c r="D73" i="1"/>
  <c r="C74" i="1"/>
  <c r="D69" i="1"/>
  <c r="C70" i="1"/>
  <c r="H14" i="3"/>
  <c r="H37" i="3" l="1"/>
  <c r="E83" i="1"/>
  <c r="E84" i="1" s="1"/>
  <c r="E85" i="1" s="1"/>
  <c r="E86" i="1" s="1"/>
  <c r="E87" i="1"/>
  <c r="D70" i="1"/>
  <c r="C71" i="1"/>
  <c r="D71" i="1" s="1"/>
  <c r="D78" i="1"/>
  <c r="C79" i="1"/>
  <c r="C75" i="1"/>
  <c r="D74" i="1"/>
  <c r="D82" i="1"/>
  <c r="C87" i="1"/>
  <c r="C83" i="1"/>
  <c r="H15" i="3"/>
  <c r="H38" i="3" l="1"/>
  <c r="D79" i="1"/>
  <c r="C80" i="1"/>
  <c r="D75" i="1"/>
  <c r="C76" i="1"/>
  <c r="D76" i="1" s="1"/>
  <c r="D83" i="1"/>
  <c r="C84" i="1"/>
  <c r="D87" i="1"/>
  <c r="C92" i="1"/>
  <c r="C88" i="1"/>
  <c r="E92" i="1"/>
  <c r="E88" i="1"/>
  <c r="E89" i="1" s="1"/>
  <c r="E90" i="1" s="1"/>
  <c r="E91" i="1" s="1"/>
  <c r="H16" i="3"/>
  <c r="H39" i="3" l="1"/>
  <c r="C97" i="1"/>
  <c r="D92" i="1"/>
  <c r="C93" i="1"/>
  <c r="C85" i="1"/>
  <c r="D84" i="1"/>
  <c r="E97" i="1"/>
  <c r="E93" i="1"/>
  <c r="E94" i="1" s="1"/>
  <c r="E95" i="1" s="1"/>
  <c r="E96" i="1" s="1"/>
  <c r="C81" i="1"/>
  <c r="D81" i="1" s="1"/>
  <c r="D80" i="1"/>
  <c r="C89" i="1"/>
  <c r="D88" i="1"/>
  <c r="H17" i="3"/>
  <c r="H40" i="3" l="1"/>
  <c r="E98" i="1"/>
  <c r="E99" i="1" s="1"/>
  <c r="E100" i="1" s="1"/>
  <c r="E101" i="1" s="1"/>
  <c r="E102" i="1"/>
  <c r="E103" i="1" s="1"/>
  <c r="E104" i="1" s="1"/>
  <c r="E105" i="1" s="1"/>
  <c r="E106" i="1" s="1"/>
  <c r="C86" i="1"/>
  <c r="D86" i="1" s="1"/>
  <c r="D85" i="1"/>
  <c r="C94" i="1"/>
  <c r="D93" i="1"/>
  <c r="C90" i="1"/>
  <c r="D89" i="1"/>
  <c r="C98" i="1"/>
  <c r="C102" i="1"/>
  <c r="D97" i="1"/>
  <c r="H18" i="3"/>
  <c r="H41" i="3" l="1"/>
  <c r="D90" i="1"/>
  <c r="C91" i="1"/>
  <c r="D91" i="1" s="1"/>
  <c r="D94" i="1"/>
  <c r="C95" i="1"/>
  <c r="C103" i="1"/>
  <c r="D102" i="1"/>
  <c r="D98" i="1"/>
  <c r="C99" i="1"/>
  <c r="H19" i="3"/>
  <c r="H42" i="3" l="1"/>
  <c r="D95" i="1"/>
  <c r="C96" i="1"/>
  <c r="D96" i="1" s="1"/>
  <c r="C104" i="1"/>
  <c r="D103" i="1"/>
  <c r="D99" i="1"/>
  <c r="C100" i="1"/>
  <c r="H20" i="3"/>
  <c r="H43" i="3" l="1"/>
  <c r="D104" i="1"/>
  <c r="C105" i="1"/>
  <c r="D100" i="1"/>
  <c r="C101" i="1"/>
  <c r="D101" i="1" s="1"/>
  <c r="H21" i="3"/>
  <c r="H44" i="3" l="1"/>
  <c r="C106" i="1"/>
  <c r="D106" i="1" s="1"/>
  <c r="D105" i="1"/>
  <c r="H22" i="3"/>
  <c r="H45" i="3" l="1"/>
  <c r="H23" i="3"/>
  <c r="H46" i="3" l="1"/>
  <c r="E112" i="1"/>
  <c r="D112" i="1"/>
  <c r="D114" i="1"/>
  <c r="E114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P3" i="3" a="1"/>
  <c r="P3" i="3" s="1"/>
  <c r="K3" i="3" l="1" a="1"/>
  <c r="K3" i="3" s="1"/>
  <c r="L3" i="3" l="1" a="1"/>
  <c r="L3" i="3" s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<sst xmlns="http://schemas.openxmlformats.org/spreadsheetml/2006/main" count="169" uniqueCount="106">
  <si>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</si>
  <si>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</si>
  <si>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</si>
  <si>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</si>
  <si>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</si>
  <si>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</si>
  <si>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</si>
  <si>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</si>
  <si>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</si>
  <si>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</si>
  <si>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</si>
  <si>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</si>
  <si>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</si>
  <si>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</si>
  <si>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</si>
  <si>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</si>
  <si>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</si>
  <si>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</si>
  <si>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</si>
  <si>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</si>
  <si>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</si>
  <si>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</si>
  <si>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</si>
  <si>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</si>
  <si>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</si>
  <si>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</si>
  <si>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</si>
  <si>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</si>
  <si>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</si>
  <si>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</si>
  <si>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</si>
  <si>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</si>
  <si>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</si>
  <si>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</si>
  <si>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</si>
  <si>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</si>
  <si>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</si>
  <si>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</si>
  <si>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</si>
  <si>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</si>
  <si>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</si>
  <si>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</si>
  <si>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</si>
  <si>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</si>
  <si>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</si>
  <si>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</si>
  <si>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</si>
  <si>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</si>
  <si>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</si>
  <si>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</si>
  <si>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</si>
  <si>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</si>
  <si>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</si>
  <si>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</si>
  <si>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</si>
  <si>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</si>
  <si>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</si>
  <si>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</si>
  <si>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</si>
  <si>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</si>
  <si>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</si>
  <si>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</si>
  <si>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</si>
  <si>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</si>
  <si>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</si>
  <si>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</si>
  <si>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</si>
  <si>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</si>
  <si>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</si>
  <si>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</si>
  <si>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</si>
  <si>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</si>
  <si>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</si>
  <si>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</si>
  <si>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</si>
  <si>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</si>
  <si>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</si>
  <si>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</si>
  <si>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</si>
  <si>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</si>
  <si>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</si>
  <si>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</si>
  <si>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</si>
  <si>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</si>
  <si>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</si>
  <si>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</si>
  <si>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</si>
  <si>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</si>
  <si>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</si>
  <si>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</si>
  <si>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</si>
  <si>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</si>
  <si>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</si>
  <si>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</si>
  <si>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</si>
  <si>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</si>
  <si>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</si>
  <si>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</si>
  <si>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</si>
  <si>
    <t>カット動作</t>
    <rPh sb="3" eb="5">
      <t>ドウサ</t>
    </rPh>
    <phoneticPr fontId="1"/>
  </si>
  <si>
    <t>Cutting Operation</t>
  </si>
  <si>
    <t>巻取り開始動作</t>
    <rPh sb="0" eb="2">
      <t>マキト</t>
    </rPh>
    <rPh sb="3" eb="5">
      <t>カイシ</t>
    </rPh>
    <rPh sb="5" eb="7">
      <t>ドウサ</t>
    </rPh>
    <phoneticPr fontId="1"/>
  </si>
  <si>
    <t>巻取り動作</t>
    <rPh sb="0" eb="2">
      <t>マキト</t>
    </rPh>
    <rPh sb="3" eb="5">
      <t>ドウサ</t>
    </rPh>
    <phoneticPr fontId="1"/>
  </si>
  <si>
    <t>巻取り終了動作</t>
    <rPh sb="0" eb="2">
      <t>マキト</t>
    </rPh>
    <rPh sb="3" eb="5">
      <t>シュウリョウ</t>
    </rPh>
    <rPh sb="5" eb="7">
      <t>ドウサ</t>
    </rPh>
    <phoneticPr fontId="1"/>
  </si>
  <si>
    <t>Winding start operation</t>
  </si>
  <si>
    <t>Winding end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</si>
</sst>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110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14"/>
  <sheetViews>
    <sheetView tabSelected="1" workbookViewId="0">
      <pane xSplit="5" ySplit="1" topLeftCell="F5" activePane="bottomRight" state="frozen"/>
      <selection pane="topRight" activeCell="D1" sqref="D1"/>
      <selection pane="bottomLeft" activeCell="A2" sqref="A2"/>
      <selection pane="bottomRight" activeCell="H39" sqref="H39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76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87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11" si="1">C3</f>
        <v>1</v>
      </c>
      <c r="D4" s="4" t="str">
        <f t="shared" si="0"/>
        <v>1</v>
      </c>
      <c r="E4" s="4">
        <f t="shared" ref="E4:E11" si="2">E3+1</f>
        <v>3</v>
      </c>
      <c r="F4" s="9"/>
      <c r="G4" s="9" t="s">
        <v>72</v>
      </c>
      <c r="H4" s="9" t="s">
        <v>101</v>
      </c>
      <c r="I4" s="9" t="s">
        <v>104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102</v>
      </c>
      <c r="I5" s="9" t="s">
        <v>89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 t="shared" si="1"/>
        <v>1</v>
      </c>
      <c r="D6" s="4" t="str">
        <f t="shared" ref="D6" si="3">B6&amp;C6</f>
        <v>1</v>
      </c>
      <c r="E6" s="4">
        <f t="shared" si="2"/>
        <v>5</v>
      </c>
      <c r="F6" s="9"/>
      <c r="G6" s="9" t="s">
        <v>72</v>
      </c>
      <c r="H6" s="9" t="s">
        <v>103</v>
      </c>
      <c r="I6" s="9" t="s">
        <v>105</v>
      </c>
      <c r="J6" s="9"/>
      <c r="K6" s="9"/>
      <c r="L6" s="14"/>
      <c r="M6" s="9"/>
      <c r="N6" s="9"/>
      <c r="O6" s="24"/>
      <c r="P6" s="24"/>
      <c r="Q6" s="24"/>
      <c r="R6" s="7"/>
    </row>
    <row r="7" spans="1:18" x14ac:dyDescent="0.55000000000000004">
      <c r="A7" s="4"/>
      <c r="B7" s="4"/>
      <c r="C7" s="4">
        <f t="shared" si="1"/>
        <v>1</v>
      </c>
      <c r="D7" s="4" t="str">
        <f t="shared" ref="D7" si="4">B7&amp;C7</f>
        <v>1</v>
      </c>
      <c r="E7" s="4">
        <f t="shared" si="2"/>
        <v>6</v>
      </c>
      <c r="F7" s="9"/>
      <c r="G7" s="9"/>
      <c r="H7" s="9"/>
      <c r="I7" s="9"/>
      <c r="J7" s="9"/>
      <c r="K7" s="9"/>
      <c r="L7" s="14"/>
      <c r="M7" s="9"/>
      <c r="N7" s="9"/>
      <c r="O7" s="24"/>
      <c r="P7" s="24"/>
      <c r="Q7" s="24"/>
      <c r="R7" s="7"/>
    </row>
    <row r="8" spans="1:18" x14ac:dyDescent="0.55000000000000004">
      <c r="A8" s="4"/>
      <c r="B8" s="4"/>
      <c r="C8" s="4">
        <f t="shared" si="1"/>
        <v>1</v>
      </c>
      <c r="D8" s="4" t="str">
        <f t="shared" ref="D8:D11" si="5">B8&amp;C8</f>
        <v>1</v>
      </c>
      <c r="E8" s="4">
        <f t="shared" si="2"/>
        <v>7</v>
      </c>
      <c r="F8" s="9"/>
      <c r="G8" s="9"/>
      <c r="H8" s="9"/>
      <c r="I8" s="9"/>
      <c r="J8" s="9"/>
      <c r="K8" s="9"/>
      <c r="L8" s="14"/>
      <c r="M8" s="9"/>
      <c r="N8" s="9"/>
      <c r="O8" s="24"/>
      <c r="P8" s="24"/>
      <c r="Q8" s="24"/>
      <c r="R8" s="7"/>
    </row>
    <row r="9" spans="1:18" x14ac:dyDescent="0.55000000000000004">
      <c r="A9" s="4"/>
      <c r="B9" s="4"/>
      <c r="C9" s="4">
        <f t="shared" si="1"/>
        <v>1</v>
      </c>
      <c r="D9" s="4" t="str">
        <f t="shared" si="5"/>
        <v>1</v>
      </c>
      <c r="E9" s="4">
        <f t="shared" si="2"/>
        <v>8</v>
      </c>
      <c r="F9" s="9"/>
      <c r="G9" s="9"/>
      <c r="H9" s="9"/>
      <c r="I9" s="9"/>
      <c r="J9" s="9"/>
      <c r="K9" s="9"/>
      <c r="L9" s="14"/>
      <c r="M9" s="9"/>
      <c r="N9" s="9"/>
      <c r="O9" s="24"/>
      <c r="P9" s="24"/>
      <c r="Q9" s="24"/>
      <c r="R9" s="7"/>
    </row>
    <row r="10" spans="1:18" x14ac:dyDescent="0.55000000000000004">
      <c r="A10" s="4"/>
      <c r="B10" s="4"/>
      <c r="C10" s="4">
        <f t="shared" si="1"/>
        <v>1</v>
      </c>
      <c r="D10" s="4" t="str">
        <f t="shared" si="5"/>
        <v>1</v>
      </c>
      <c r="E10" s="4">
        <f t="shared" si="2"/>
        <v>9</v>
      </c>
      <c r="F10" s="9"/>
      <c r="G10" s="9" t="s">
        <v>72</v>
      </c>
      <c r="H10" s="9" t="s">
        <v>99</v>
      </c>
      <c r="I10" s="9" t="s">
        <v>100</v>
      </c>
      <c r="J10" s="9"/>
      <c r="K10" s="9"/>
      <c r="L10" s="14"/>
      <c r="M10" s="9"/>
      <c r="N10" s="9"/>
      <c r="O10" s="24"/>
      <c r="P10" s="24"/>
      <c r="Q10" s="24"/>
      <c r="R10" s="7"/>
    </row>
    <row r="11" spans="1:18" x14ac:dyDescent="0.55000000000000004">
      <c r="A11" s="4"/>
      <c r="B11" s="4"/>
      <c r="C11" s="4">
        <f t="shared" si="1"/>
        <v>1</v>
      </c>
      <c r="D11" s="4" t="str">
        <f t="shared" si="5"/>
        <v>1</v>
      </c>
      <c r="E11" s="4">
        <f t="shared" si="2"/>
        <v>10</v>
      </c>
      <c r="F11" s="9"/>
      <c r="G11" s="9"/>
      <c r="H11" s="9"/>
      <c r="I11" s="9"/>
      <c r="J11" s="9"/>
      <c r="K11" s="9"/>
      <c r="L11" s="14"/>
      <c r="M11" s="9"/>
      <c r="N11" s="9"/>
      <c r="O11" s="24"/>
      <c r="P11" s="24"/>
      <c r="Q11" s="24"/>
      <c r="R11" s="7"/>
    </row>
    <row r="12" spans="1:18" x14ac:dyDescent="0.55000000000000004">
      <c r="A12" s="4"/>
      <c r="B12" s="4"/>
      <c r="C12" s="4">
        <f>C2+1</f>
        <v>2</v>
      </c>
      <c r="D12" s="4" t="str">
        <f t="shared" si="0"/>
        <v>2</v>
      </c>
      <c r="E12" s="4">
        <f>E2</f>
        <v>1</v>
      </c>
      <c r="F12" s="5"/>
      <c r="G12" s="5" t="s">
        <v>73</v>
      </c>
      <c r="H12" s="5" t="s">
        <v>69</v>
      </c>
      <c r="I12" s="5" t="s">
        <v>70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>C12</f>
        <v>2</v>
      </c>
      <c r="D13" s="4" t="str">
        <f t="shared" si="0"/>
        <v>2</v>
      </c>
      <c r="E13" s="4">
        <f>E12+1</f>
        <v>2</v>
      </c>
      <c r="F13" s="5"/>
      <c r="G13" s="5" t="s">
        <v>73</v>
      </c>
      <c r="H13" s="5" t="s">
        <v>71</v>
      </c>
      <c r="I13" s="5" t="s">
        <v>87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 t="shared" ref="C14:C21" si="6">C13</f>
        <v>2</v>
      </c>
      <c r="D14" s="4" t="str">
        <f t="shared" si="0"/>
        <v>2</v>
      </c>
      <c r="E14" s="4">
        <f t="shared" ref="E14:E21" si="7">E13+1</f>
        <v>3</v>
      </c>
      <c r="F14" s="5"/>
      <c r="G14" s="5" t="s">
        <v>73</v>
      </c>
      <c r="H14" s="5" t="s">
        <v>101</v>
      </c>
      <c r="I14" s="5" t="s">
        <v>104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si="6"/>
        <v>2</v>
      </c>
      <c r="D15" s="4" t="str">
        <f t="shared" si="0"/>
        <v>2</v>
      </c>
      <c r="E15" s="4">
        <f t="shared" si="7"/>
        <v>4</v>
      </c>
      <c r="F15" s="5"/>
      <c r="G15" s="5" t="s">
        <v>73</v>
      </c>
      <c r="H15" s="5" t="s">
        <v>102</v>
      </c>
      <c r="I15" s="5" t="s">
        <v>89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6"/>
        <v>2</v>
      </c>
      <c r="D16" s="4" t="str">
        <f t="shared" ref="D16" si="8">B16&amp;C16</f>
        <v>2</v>
      </c>
      <c r="E16" s="4">
        <f t="shared" si="7"/>
        <v>5</v>
      </c>
      <c r="F16" s="5"/>
      <c r="G16" s="5" t="s">
        <v>73</v>
      </c>
      <c r="H16" s="5" t="s">
        <v>103</v>
      </c>
      <c r="I16" s="5" t="s">
        <v>105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6"/>
        <v>2</v>
      </c>
      <c r="D17" s="4" t="str">
        <f t="shared" ref="D17:D20" si="9">B17&amp;C17</f>
        <v>2</v>
      </c>
      <c r="E17" s="4">
        <f t="shared" si="7"/>
        <v>6</v>
      </c>
      <c r="F17" s="5"/>
      <c r="G17" s="5"/>
      <c r="H17" s="5"/>
      <c r="I17" s="5"/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6"/>
        <v>2</v>
      </c>
      <c r="D18" s="4" t="str">
        <f t="shared" si="9"/>
        <v>2</v>
      </c>
      <c r="E18" s="4">
        <f t="shared" si="7"/>
        <v>7</v>
      </c>
      <c r="F18" s="5"/>
      <c r="G18" s="5"/>
      <c r="H18" s="5"/>
      <c r="I18" s="5"/>
      <c r="J18" s="5"/>
      <c r="K18" s="5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6"/>
        <v>2</v>
      </c>
      <c r="D19" s="4" t="str">
        <f t="shared" si="9"/>
        <v>2</v>
      </c>
      <c r="E19" s="4">
        <f t="shared" si="7"/>
        <v>8</v>
      </c>
      <c r="F19" s="5"/>
      <c r="G19" s="5"/>
      <c r="H19" s="5"/>
      <c r="I19" s="5"/>
      <c r="J19" s="5"/>
      <c r="K19" s="5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6"/>
        <v>2</v>
      </c>
      <c r="D20" s="4" t="str">
        <f t="shared" si="9"/>
        <v>2</v>
      </c>
      <c r="E20" s="4">
        <f t="shared" si="7"/>
        <v>9</v>
      </c>
      <c r="F20" s="5"/>
      <c r="G20" s="5" t="s">
        <v>73</v>
      </c>
      <c r="H20" s="5" t="s">
        <v>99</v>
      </c>
      <c r="I20" s="5" t="s">
        <v>100</v>
      </c>
      <c r="J20" s="5"/>
      <c r="K20" s="5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si="6"/>
        <v>2</v>
      </c>
      <c r="D21" s="4" t="str">
        <f t="shared" ref="D21" si="10">B21&amp;C21</f>
        <v>2</v>
      </c>
      <c r="E21" s="4">
        <f t="shared" si="7"/>
        <v>10</v>
      </c>
      <c r="F21" s="5"/>
      <c r="G21" s="5"/>
      <c r="H21" s="5"/>
      <c r="I21" s="5"/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>C12+1</f>
        <v>3</v>
      </c>
      <c r="D22" s="4" t="str">
        <f t="shared" si="0"/>
        <v>3</v>
      </c>
      <c r="E22" s="4">
        <f>E12</f>
        <v>1</v>
      </c>
      <c r="F22" s="5"/>
      <c r="G22" s="5" t="s">
        <v>74</v>
      </c>
      <c r="H22" s="5" t="s">
        <v>69</v>
      </c>
      <c r="I22" s="5" t="s">
        <v>70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ref="C23:C106" si="11">C22</f>
        <v>3</v>
      </c>
      <c r="D23" s="4" t="str">
        <f t="shared" si="0"/>
        <v>3</v>
      </c>
      <c r="E23" s="4">
        <f t="shared" ref="E23:E86" si="12">E22+1</f>
        <v>2</v>
      </c>
      <c r="F23" s="5"/>
      <c r="G23" s="5" t="s">
        <v>74</v>
      </c>
      <c r="H23" s="5" t="s">
        <v>71</v>
      </c>
      <c r="I23" s="5" t="s">
        <v>87</v>
      </c>
      <c r="J23" s="5"/>
      <c r="K23" s="5"/>
      <c r="L23" s="5"/>
      <c r="M23" s="5"/>
      <c r="N23" s="5"/>
      <c r="O23" s="7"/>
      <c r="P23" s="7"/>
      <c r="Q23" s="7"/>
      <c r="R23" s="7"/>
    </row>
    <row r="24" spans="1:18" x14ac:dyDescent="0.55000000000000004">
      <c r="A24" s="4"/>
      <c r="B24" s="4"/>
      <c r="C24" s="4">
        <f t="shared" si="11"/>
        <v>3</v>
      </c>
      <c r="D24" s="4" t="str">
        <f t="shared" si="0"/>
        <v>3</v>
      </c>
      <c r="E24" s="4">
        <f t="shared" si="12"/>
        <v>3</v>
      </c>
      <c r="F24" s="5"/>
      <c r="G24" s="5" t="s">
        <v>74</v>
      </c>
      <c r="H24" s="5" t="s">
        <v>102</v>
      </c>
      <c r="I24" s="5" t="s">
        <v>89</v>
      </c>
      <c r="J24" s="5"/>
      <c r="K24" s="5"/>
      <c r="L24" s="5"/>
      <c r="M24" s="5"/>
      <c r="N24" s="5"/>
      <c r="O24" s="7"/>
      <c r="P24" s="7"/>
      <c r="Q24" s="7"/>
      <c r="R24" s="7"/>
    </row>
    <row r="25" spans="1:18" x14ac:dyDescent="0.55000000000000004">
      <c r="A25" s="4"/>
      <c r="B25" s="4"/>
      <c r="C25" s="4">
        <f t="shared" si="11"/>
        <v>3</v>
      </c>
      <c r="D25" s="4" t="str">
        <f t="shared" si="0"/>
        <v>3</v>
      </c>
      <c r="E25" s="4">
        <f t="shared" si="12"/>
        <v>4</v>
      </c>
      <c r="F25" s="5"/>
      <c r="G25" s="5" t="s">
        <v>74</v>
      </c>
      <c r="H25" s="5" t="s">
        <v>103</v>
      </c>
      <c r="I25" s="5" t="s">
        <v>105</v>
      </c>
      <c r="J25" s="5"/>
      <c r="K25" s="5"/>
      <c r="L25" s="5"/>
      <c r="M25" s="5"/>
      <c r="N25" s="5"/>
      <c r="O25" s="7"/>
      <c r="P25" s="7"/>
      <c r="Q25" s="7"/>
      <c r="R25" s="7"/>
    </row>
    <row r="26" spans="1:18" x14ac:dyDescent="0.55000000000000004">
      <c r="A26" s="4"/>
      <c r="B26" s="4"/>
      <c r="C26" s="4">
        <f>C22+1</f>
        <v>4</v>
      </c>
      <c r="D26" s="4" t="str">
        <f t="shared" si="0"/>
        <v>4</v>
      </c>
      <c r="E26" s="4">
        <f>E22</f>
        <v>1</v>
      </c>
      <c r="F26" s="5"/>
      <c r="G26" s="5" t="s">
        <v>75</v>
      </c>
      <c r="H26" s="5" t="s">
        <v>69</v>
      </c>
      <c r="I26" s="5" t="s">
        <v>70</v>
      </c>
      <c r="J26" s="5"/>
      <c r="K26" s="5"/>
      <c r="L26" s="5"/>
      <c r="M26" s="5"/>
      <c r="N26" s="5"/>
      <c r="O26" s="7"/>
      <c r="P26" s="7"/>
      <c r="Q26" s="7"/>
      <c r="R26" s="7"/>
    </row>
    <row r="27" spans="1:18" x14ac:dyDescent="0.55000000000000004">
      <c r="A27" s="4"/>
      <c r="B27" s="4"/>
      <c r="C27" s="4">
        <f t="shared" ref="C27" si="13">C26</f>
        <v>4</v>
      </c>
      <c r="D27" s="4" t="str">
        <f t="shared" si="0"/>
        <v>4</v>
      </c>
      <c r="E27" s="4">
        <f t="shared" ref="E27" si="14">E26+1</f>
        <v>2</v>
      </c>
      <c r="F27" s="5"/>
      <c r="G27" s="5" t="s">
        <v>75</v>
      </c>
      <c r="H27" s="5" t="s">
        <v>97</v>
      </c>
      <c r="I27" s="5" t="s">
        <v>98</v>
      </c>
      <c r="J27" s="5"/>
      <c r="K27" s="5"/>
      <c r="L27" s="5"/>
      <c r="M27" s="5"/>
      <c r="N27" s="5"/>
      <c r="O27" s="7"/>
      <c r="P27" s="7"/>
      <c r="Q27" s="7"/>
      <c r="R27" s="7"/>
    </row>
    <row r="28" spans="1:18" x14ac:dyDescent="0.55000000000000004">
      <c r="A28" s="4"/>
      <c r="B28" s="4"/>
      <c r="C28" s="4">
        <f t="shared" si="11"/>
        <v>4</v>
      </c>
      <c r="D28" s="4" t="str">
        <f t="shared" si="0"/>
        <v>4</v>
      </c>
      <c r="E28" s="4">
        <f t="shared" si="12"/>
        <v>3</v>
      </c>
      <c r="F28" s="5"/>
      <c r="G28" s="5" t="s">
        <v>75</v>
      </c>
      <c r="H28" s="5" t="s">
        <v>79</v>
      </c>
      <c r="I28" s="5" t="s">
        <v>88</v>
      </c>
      <c r="J28" s="5"/>
      <c r="K28" s="5"/>
      <c r="L28" s="5"/>
      <c r="M28" s="5"/>
      <c r="N28" s="5"/>
      <c r="O28" s="7"/>
      <c r="P28" s="7"/>
      <c r="Q28" s="7"/>
      <c r="R28" s="7"/>
    </row>
    <row r="29" spans="1:18" x14ac:dyDescent="0.55000000000000004">
      <c r="A29" s="4"/>
      <c r="B29" s="4"/>
      <c r="C29" s="4">
        <f t="shared" si="11"/>
        <v>4</v>
      </c>
      <c r="D29" s="4" t="str">
        <f t="shared" si="0"/>
        <v>4</v>
      </c>
      <c r="E29" s="4">
        <f t="shared" si="12"/>
        <v>4</v>
      </c>
      <c r="F29" s="5"/>
      <c r="G29" s="5" t="s">
        <v>75</v>
      </c>
      <c r="H29" s="5" t="s">
        <v>78</v>
      </c>
      <c r="I29" s="5" t="s">
        <v>89</v>
      </c>
      <c r="J29" s="5"/>
      <c r="K29" s="5"/>
      <c r="L29" s="5"/>
      <c r="M29" s="5"/>
      <c r="N29" s="5"/>
      <c r="O29" s="7"/>
      <c r="P29" s="7"/>
      <c r="Q29" s="7"/>
      <c r="R29" s="7"/>
    </row>
    <row r="30" spans="1:18" x14ac:dyDescent="0.55000000000000004">
      <c r="A30" s="4"/>
      <c r="B30" s="4"/>
      <c r="C30" s="4">
        <f t="shared" si="11"/>
        <v>4</v>
      </c>
      <c r="D30" s="4" t="str">
        <f t="shared" si="0"/>
        <v>4</v>
      </c>
      <c r="E30" s="4">
        <f t="shared" si="12"/>
        <v>5</v>
      </c>
      <c r="F30" s="5"/>
      <c r="G30" s="5" t="s">
        <v>75</v>
      </c>
      <c r="H30" s="5" t="s">
        <v>81</v>
      </c>
      <c r="I30" s="5" t="s">
        <v>90</v>
      </c>
      <c r="J30" s="5"/>
      <c r="K30" s="6"/>
      <c r="L30" s="5"/>
      <c r="M30" s="5"/>
      <c r="N30" s="5"/>
      <c r="O30" s="7"/>
      <c r="P30" s="7"/>
      <c r="Q30" s="7"/>
      <c r="R30" s="7"/>
    </row>
    <row r="31" spans="1:18" x14ac:dyDescent="0.55000000000000004">
      <c r="A31" s="4"/>
      <c r="B31" s="4"/>
      <c r="C31" s="4">
        <f t="shared" si="11"/>
        <v>4</v>
      </c>
      <c r="D31" s="4" t="str">
        <f t="shared" ref="D31" si="15">B31&amp;C31</f>
        <v>4</v>
      </c>
      <c r="E31" s="4">
        <f t="shared" si="12"/>
        <v>6</v>
      </c>
      <c r="F31" s="5"/>
      <c r="G31" s="5" t="s">
        <v>75</v>
      </c>
      <c r="H31" s="5" t="s">
        <v>85</v>
      </c>
      <c r="I31" s="5" t="s">
        <v>91</v>
      </c>
      <c r="J31" s="5"/>
      <c r="K31" s="6"/>
      <c r="L31" s="5"/>
      <c r="M31" s="5"/>
      <c r="N31" s="5"/>
      <c r="O31" s="7"/>
      <c r="P31" s="7"/>
      <c r="Q31" s="7"/>
      <c r="R31" s="7"/>
    </row>
    <row r="32" spans="1:18" x14ac:dyDescent="0.55000000000000004">
      <c r="A32" s="4"/>
      <c r="B32" s="4"/>
      <c r="C32" s="4">
        <f t="shared" si="11"/>
        <v>4</v>
      </c>
      <c r="D32" s="4" t="str">
        <f t="shared" ref="D32" si="16">B32&amp;C32</f>
        <v>4</v>
      </c>
      <c r="E32" s="4">
        <f t="shared" si="12"/>
        <v>7</v>
      </c>
      <c r="F32" s="5"/>
      <c r="G32" s="5" t="s">
        <v>75</v>
      </c>
      <c r="H32" s="5" t="s">
        <v>86</v>
      </c>
      <c r="I32" s="5" t="s">
        <v>92</v>
      </c>
      <c r="J32" s="5"/>
      <c r="K32" s="6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ref="C33" si="17">C26+1</f>
        <v>5</v>
      </c>
      <c r="D33" s="4" t="str">
        <f t="shared" si="0"/>
        <v>5</v>
      </c>
      <c r="E33" s="4">
        <f t="shared" ref="E33" si="18">E26</f>
        <v>1</v>
      </c>
      <c r="F33" s="5"/>
      <c r="G33" s="5" t="s">
        <v>76</v>
      </c>
      <c r="H33" s="5" t="s">
        <v>69</v>
      </c>
      <c r="I33" s="5" t="s">
        <v>70</v>
      </c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ref="C34" si="19">C33</f>
        <v>5</v>
      </c>
      <c r="D34" s="4" t="str">
        <f t="shared" si="0"/>
        <v>5</v>
      </c>
      <c r="E34" s="4">
        <f t="shared" ref="E34" si="20">E33+1</f>
        <v>2</v>
      </c>
      <c r="F34" s="5"/>
      <c r="G34" s="5" t="s">
        <v>76</v>
      </c>
      <c r="H34" s="5" t="s">
        <v>82</v>
      </c>
      <c r="I34" s="5" t="s">
        <v>93</v>
      </c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4"/>
      <c r="B35" s="4"/>
      <c r="C35" s="4">
        <f t="shared" si="11"/>
        <v>5</v>
      </c>
      <c r="D35" s="4" t="str">
        <f t="shared" si="0"/>
        <v>5</v>
      </c>
      <c r="E35" s="4">
        <f t="shared" si="12"/>
        <v>3</v>
      </c>
      <c r="F35" s="5"/>
      <c r="G35" s="5" t="s">
        <v>76</v>
      </c>
      <c r="H35" s="5" t="s">
        <v>83</v>
      </c>
      <c r="I35" s="5" t="s">
        <v>94</v>
      </c>
      <c r="J35" s="5"/>
      <c r="K35" s="5"/>
      <c r="L35" s="5"/>
      <c r="M35" s="5"/>
      <c r="N35" s="8"/>
      <c r="O35" s="21"/>
      <c r="P35" s="21"/>
      <c r="Q35" s="21"/>
      <c r="R35" s="7"/>
    </row>
    <row r="36" spans="1:18" x14ac:dyDescent="0.55000000000000004">
      <c r="A36" s="4"/>
      <c r="B36" s="4"/>
      <c r="C36" s="4">
        <f t="shared" si="11"/>
        <v>5</v>
      </c>
      <c r="D36" s="4" t="str">
        <f t="shared" si="0"/>
        <v>5</v>
      </c>
      <c r="E36" s="4">
        <f t="shared" si="12"/>
        <v>4</v>
      </c>
      <c r="F36" s="5"/>
      <c r="G36" s="5" t="s">
        <v>76</v>
      </c>
      <c r="H36" s="5" t="s">
        <v>84</v>
      </c>
      <c r="I36" s="5" t="s">
        <v>95</v>
      </c>
      <c r="J36" s="5"/>
      <c r="K36" s="5"/>
      <c r="L36" s="5"/>
      <c r="M36" s="5"/>
      <c r="N36" s="8"/>
      <c r="O36" s="21"/>
      <c r="P36" s="21"/>
      <c r="Q36" s="21"/>
      <c r="R36" s="7"/>
    </row>
    <row r="37" spans="1:18" x14ac:dyDescent="0.55000000000000004">
      <c r="A37" s="4"/>
      <c r="B37" s="4"/>
      <c r="C37" s="4">
        <f t="shared" ref="C37" si="21">C33+1</f>
        <v>6</v>
      </c>
      <c r="D37" s="4" t="str">
        <f t="shared" si="0"/>
        <v>6</v>
      </c>
      <c r="E37" s="4">
        <f>E33</f>
        <v>1</v>
      </c>
      <c r="F37" s="5"/>
      <c r="G37" s="5" t="s">
        <v>77</v>
      </c>
      <c r="H37" s="5" t="s">
        <v>69</v>
      </c>
      <c r="I37" s="5" t="s">
        <v>70</v>
      </c>
      <c r="J37" s="5"/>
      <c r="K37" s="5"/>
      <c r="L37" s="5"/>
      <c r="M37" s="5"/>
      <c r="N37" s="8"/>
      <c r="O37" s="21"/>
      <c r="P37" s="21"/>
      <c r="Q37" s="21"/>
      <c r="R37" s="7"/>
    </row>
    <row r="38" spans="1:18" x14ac:dyDescent="0.55000000000000004">
      <c r="A38" s="4"/>
      <c r="B38" s="4"/>
      <c r="C38" s="4">
        <f t="shared" ref="C38" si="22">C37</f>
        <v>6</v>
      </c>
      <c r="D38" s="4" t="str">
        <f t="shared" si="0"/>
        <v>6</v>
      </c>
      <c r="E38" s="4">
        <f t="shared" ref="E38" si="23">E37+1</f>
        <v>2</v>
      </c>
      <c r="F38" s="9"/>
      <c r="G38" s="5" t="s">
        <v>77</v>
      </c>
      <c r="H38" s="9" t="s">
        <v>97</v>
      </c>
      <c r="I38" s="9" t="s">
        <v>98</v>
      </c>
      <c r="J38" s="9"/>
      <c r="K38" s="9"/>
      <c r="L38" s="9"/>
      <c r="M38" s="9"/>
      <c r="N38" s="10"/>
      <c r="O38" s="22"/>
      <c r="P38" s="22"/>
      <c r="Q38" s="22"/>
      <c r="R38" s="7"/>
    </row>
    <row r="39" spans="1:18" x14ac:dyDescent="0.55000000000000004">
      <c r="A39" s="4"/>
      <c r="B39" s="4"/>
      <c r="C39" s="4">
        <f t="shared" si="11"/>
        <v>6</v>
      </c>
      <c r="D39" s="4" t="str">
        <f t="shared" si="0"/>
        <v>6</v>
      </c>
      <c r="E39" s="4">
        <f t="shared" si="12"/>
        <v>3</v>
      </c>
      <c r="F39" s="5"/>
      <c r="G39" s="5" t="s">
        <v>77</v>
      </c>
      <c r="H39" s="5" t="s">
        <v>80</v>
      </c>
      <c r="I39" s="5" t="s">
        <v>96</v>
      </c>
      <c r="J39" s="5"/>
      <c r="K39" s="5"/>
      <c r="L39" s="5"/>
      <c r="M39" s="5"/>
      <c r="N39" s="8"/>
      <c r="O39" s="21"/>
      <c r="P39" s="21"/>
      <c r="Q39" s="21"/>
      <c r="R39" s="7"/>
    </row>
    <row r="40" spans="1:18" x14ac:dyDescent="0.55000000000000004">
      <c r="A40" s="4"/>
      <c r="B40" s="4"/>
      <c r="C40" s="4">
        <f t="shared" si="11"/>
        <v>6</v>
      </c>
      <c r="D40" s="4" t="str">
        <f t="shared" si="0"/>
        <v>6</v>
      </c>
      <c r="E40" s="4">
        <f t="shared" si="12"/>
        <v>4</v>
      </c>
      <c r="F40" s="9"/>
      <c r="G40" s="5" t="s">
        <v>77</v>
      </c>
      <c r="H40" s="9" t="s">
        <v>85</v>
      </c>
      <c r="I40" s="9" t="s">
        <v>91</v>
      </c>
      <c r="J40" s="9"/>
      <c r="K40" s="9"/>
      <c r="L40" s="9"/>
      <c r="M40" s="9"/>
      <c r="N40" s="10"/>
      <c r="O40" s="22"/>
      <c r="P40" s="22"/>
      <c r="Q40" s="22"/>
      <c r="R40" s="7"/>
    </row>
    <row r="41" spans="1:18" x14ac:dyDescent="0.55000000000000004">
      <c r="A41" s="4"/>
      <c r="B41" s="4"/>
      <c r="C41" s="4">
        <f t="shared" si="11"/>
        <v>6</v>
      </c>
      <c r="D41" s="4" t="str">
        <f t="shared" ref="D41" si="24">B41&amp;C41</f>
        <v>6</v>
      </c>
      <c r="E41" s="4">
        <f t="shared" si="12"/>
        <v>5</v>
      </c>
      <c r="F41" s="9"/>
      <c r="G41" s="5" t="s">
        <v>77</v>
      </c>
      <c r="H41" s="9" t="s">
        <v>86</v>
      </c>
      <c r="I41" s="9" t="s">
        <v>92</v>
      </c>
      <c r="J41" s="9"/>
      <c r="K41" s="9"/>
      <c r="L41" s="9"/>
      <c r="M41" s="9"/>
      <c r="N41" s="10"/>
      <c r="O41" s="22"/>
      <c r="P41" s="22"/>
      <c r="Q41" s="22"/>
      <c r="R41" s="7"/>
    </row>
    <row r="42" spans="1:18" x14ac:dyDescent="0.55000000000000004">
      <c r="A42" s="4"/>
      <c r="B42" s="4"/>
      <c r="C42" s="4">
        <f t="shared" ref="C42" si="25">C37+1</f>
        <v>7</v>
      </c>
      <c r="D42" s="4" t="str">
        <f t="shared" si="0"/>
        <v>7</v>
      </c>
      <c r="E42" s="4">
        <f>E37</f>
        <v>1</v>
      </c>
      <c r="F42" s="9"/>
      <c r="G42" s="9"/>
      <c r="H42" s="9"/>
      <c r="I42" s="9"/>
      <c r="J42" s="9"/>
      <c r="K42" s="9"/>
      <c r="L42" s="9"/>
      <c r="M42" s="9"/>
      <c r="N42" s="10"/>
      <c r="O42" s="22"/>
      <c r="P42" s="22"/>
      <c r="Q42" s="22"/>
      <c r="R42" s="7"/>
    </row>
    <row r="43" spans="1:18" x14ac:dyDescent="0.55000000000000004">
      <c r="A43" s="4"/>
      <c r="B43" s="4"/>
      <c r="C43" s="4">
        <f t="shared" ref="C43" si="26">C42</f>
        <v>7</v>
      </c>
      <c r="D43" s="4" t="str">
        <f t="shared" si="0"/>
        <v>7</v>
      </c>
      <c r="E43" s="4">
        <f t="shared" ref="E43" si="27">E42+1</f>
        <v>2</v>
      </c>
      <c r="F43" s="9"/>
      <c r="G43" s="9"/>
      <c r="H43" s="9"/>
      <c r="I43" s="9"/>
      <c r="J43" s="9"/>
      <c r="K43" s="9"/>
      <c r="L43" s="9"/>
      <c r="M43" s="9"/>
      <c r="N43" s="10"/>
      <c r="O43" s="22"/>
      <c r="P43" s="22"/>
      <c r="Q43" s="22"/>
      <c r="R43" s="7"/>
    </row>
    <row r="44" spans="1:18" x14ac:dyDescent="0.55000000000000004">
      <c r="A44" s="4"/>
      <c r="B44" s="4"/>
      <c r="C44" s="4">
        <f t="shared" si="11"/>
        <v>7</v>
      </c>
      <c r="D44" s="4" t="str">
        <f t="shared" si="0"/>
        <v>7</v>
      </c>
      <c r="E44" s="4">
        <f t="shared" si="12"/>
        <v>3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si="11"/>
        <v>7</v>
      </c>
      <c r="D45" s="4" t="str">
        <f t="shared" si="0"/>
        <v>7</v>
      </c>
      <c r="E45" s="4">
        <f t="shared" si="12"/>
        <v>4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si="11"/>
        <v>7</v>
      </c>
      <c r="D46" s="4" t="str">
        <f t="shared" si="0"/>
        <v>7</v>
      </c>
      <c r="E46" s="4">
        <f t="shared" si="12"/>
        <v>5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26"/>
      <c r="B47" s="4"/>
      <c r="C47" s="26">
        <f t="shared" ref="C47" si="28">C42+1</f>
        <v>8</v>
      </c>
      <c r="D47" s="26" t="str">
        <f t="shared" si="0"/>
        <v>8</v>
      </c>
      <c r="E47" s="4">
        <f t="shared" ref="E47" si="29">E42</f>
        <v>1</v>
      </c>
      <c r="F47" s="11"/>
      <c r="G47" s="11"/>
      <c r="H47" s="11"/>
      <c r="I47" s="11"/>
      <c r="J47" s="11"/>
      <c r="K47" s="11"/>
      <c r="L47" s="11"/>
      <c r="M47" s="11"/>
      <c r="N47" s="12"/>
      <c r="O47" s="23"/>
      <c r="P47" s="23"/>
      <c r="Q47" s="23"/>
      <c r="R47" s="7"/>
    </row>
    <row r="48" spans="1:18" x14ac:dyDescent="0.55000000000000004">
      <c r="A48" s="26"/>
      <c r="B48" s="4"/>
      <c r="C48" s="26">
        <f t="shared" ref="C48" si="30">C47</f>
        <v>8</v>
      </c>
      <c r="D48" s="26" t="str">
        <f t="shared" si="0"/>
        <v>8</v>
      </c>
      <c r="E48" s="4">
        <f t="shared" ref="E48" si="31">E47+1</f>
        <v>2</v>
      </c>
      <c r="F48" s="11"/>
      <c r="G48" s="11"/>
      <c r="H48" s="11"/>
      <c r="I48" s="11"/>
      <c r="J48" s="11"/>
      <c r="K48" s="11"/>
      <c r="L48" s="11"/>
      <c r="M48" s="11"/>
      <c r="N48" s="12"/>
      <c r="O48" s="23"/>
      <c r="P48" s="23"/>
      <c r="Q48" s="23"/>
      <c r="R48" s="7"/>
    </row>
    <row r="49" spans="1:18" x14ac:dyDescent="0.55000000000000004">
      <c r="A49" s="26"/>
      <c r="B49" s="4"/>
      <c r="C49" s="26">
        <f t="shared" si="11"/>
        <v>8</v>
      </c>
      <c r="D49" s="26" t="str">
        <f t="shared" si="0"/>
        <v>8</v>
      </c>
      <c r="E49" s="4">
        <f t="shared" si="12"/>
        <v>3</v>
      </c>
      <c r="F49" s="11"/>
      <c r="G49" s="11"/>
      <c r="H49" s="11"/>
      <c r="I49" s="11"/>
      <c r="J49" s="11"/>
      <c r="K49" s="11"/>
      <c r="L49" s="11"/>
      <c r="M49" s="11"/>
      <c r="N49" s="12"/>
      <c r="O49" s="23"/>
      <c r="P49" s="23"/>
      <c r="Q49" s="23"/>
      <c r="R49" s="7"/>
    </row>
    <row r="50" spans="1:18" x14ac:dyDescent="0.55000000000000004">
      <c r="A50" s="4"/>
      <c r="B50" s="4"/>
      <c r="C50" s="4">
        <f t="shared" si="11"/>
        <v>8</v>
      </c>
      <c r="D50" s="4" t="str">
        <f t="shared" si="0"/>
        <v>8</v>
      </c>
      <c r="E50" s="4">
        <f t="shared" si="12"/>
        <v>4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si="11"/>
        <v>8</v>
      </c>
      <c r="D51" s="4" t="str">
        <f t="shared" si="0"/>
        <v>8</v>
      </c>
      <c r="E51" s="4">
        <f t="shared" si="12"/>
        <v>5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ref="C52" si="32">C47+1</f>
        <v>9</v>
      </c>
      <c r="D52" s="4" t="str">
        <f t="shared" si="0"/>
        <v>9</v>
      </c>
      <c r="E52" s="4">
        <f t="shared" ref="E52" si="33">E47</f>
        <v>1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ref="C53" si="34">C52</f>
        <v>9</v>
      </c>
      <c r="D53" s="4" t="str">
        <f t="shared" si="0"/>
        <v>9</v>
      </c>
      <c r="E53" s="4">
        <f t="shared" ref="E53" si="35">E52+1</f>
        <v>2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11"/>
        <v>9</v>
      </c>
      <c r="D54" s="4" t="str">
        <f t="shared" si="0"/>
        <v>9</v>
      </c>
      <c r="E54" s="4">
        <f t="shared" si="12"/>
        <v>3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si="11"/>
        <v>9</v>
      </c>
      <c r="D55" s="4" t="str">
        <f t="shared" si="0"/>
        <v>9</v>
      </c>
      <c r="E55" s="4">
        <f t="shared" si="12"/>
        <v>4</v>
      </c>
      <c r="F55" s="5"/>
      <c r="G55" s="5"/>
      <c r="H55" s="5"/>
      <c r="I55" s="5"/>
      <c r="J55" s="5"/>
      <c r="K55" s="13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si="11"/>
        <v>9</v>
      </c>
      <c r="D56" s="4" t="str">
        <f t="shared" si="0"/>
        <v>9</v>
      </c>
      <c r="E56" s="4">
        <f t="shared" si="12"/>
        <v>5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ref="C57" si="36">C52+1</f>
        <v>10</v>
      </c>
      <c r="D57" s="4" t="str">
        <f t="shared" si="0"/>
        <v>10</v>
      </c>
      <c r="E57" s="4">
        <f t="shared" ref="E57" si="37">E52</f>
        <v>1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ref="C58" si="38">C57</f>
        <v>10</v>
      </c>
      <c r="D58" s="4" t="str">
        <f t="shared" si="0"/>
        <v>10</v>
      </c>
      <c r="E58" s="4">
        <f t="shared" ref="E58" si="39">E57+1</f>
        <v>2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11"/>
        <v>10</v>
      </c>
      <c r="D59" s="4" t="str">
        <f t="shared" si="0"/>
        <v>10</v>
      </c>
      <c r="E59" s="4">
        <f t="shared" si="12"/>
        <v>3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si="11"/>
        <v>10</v>
      </c>
      <c r="D60" s="4" t="str">
        <f t="shared" si="0"/>
        <v>10</v>
      </c>
      <c r="E60" s="4">
        <f t="shared" si="12"/>
        <v>4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si="11"/>
        <v>10</v>
      </c>
      <c r="D61" s="4" t="str">
        <f t="shared" si="0"/>
        <v>10</v>
      </c>
      <c r="E61" s="4">
        <f t="shared" si="12"/>
        <v>5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ref="C62" si="40">C57+1</f>
        <v>11</v>
      </c>
      <c r="D62" s="4" t="str">
        <f t="shared" si="0"/>
        <v>11</v>
      </c>
      <c r="E62" s="4">
        <f t="shared" ref="E62" si="41">E57</f>
        <v>1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ref="C63" si="42">C62</f>
        <v>11</v>
      </c>
      <c r="D63" s="4" t="str">
        <f t="shared" si="0"/>
        <v>11</v>
      </c>
      <c r="E63" s="4">
        <f t="shared" ref="E63" si="43">E62+1</f>
        <v>2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11"/>
        <v>11</v>
      </c>
      <c r="D64" s="4" t="str">
        <f t="shared" si="0"/>
        <v>11</v>
      </c>
      <c r="E64" s="4">
        <f t="shared" si="12"/>
        <v>3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11"/>
        <v>11</v>
      </c>
      <c r="D65" s="4" t="str">
        <f t="shared" si="0"/>
        <v>11</v>
      </c>
      <c r="E65" s="4">
        <f t="shared" si="12"/>
        <v>4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11"/>
        <v>11</v>
      </c>
      <c r="D66" s="4" t="str">
        <f t="shared" si="0"/>
        <v>11</v>
      </c>
      <c r="E66" s="4">
        <f t="shared" si="12"/>
        <v>5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ref="C67" si="44">C62+1</f>
        <v>12</v>
      </c>
      <c r="D67" s="4" t="str">
        <f t="shared" si="0"/>
        <v>12</v>
      </c>
      <c r="E67" s="4">
        <f t="shared" ref="E67" si="45">E62</f>
        <v>1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ref="C68" si="46">C67</f>
        <v>12</v>
      </c>
      <c r="D68" s="4" t="str">
        <f t="shared" si="0"/>
        <v>12</v>
      </c>
      <c r="E68" s="4">
        <f t="shared" ref="E68" si="47">E67+1</f>
        <v>2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11"/>
        <v>12</v>
      </c>
      <c r="D69" s="4" t="str">
        <f t="shared" si="0"/>
        <v>12</v>
      </c>
      <c r="E69" s="4">
        <f t="shared" si="12"/>
        <v>3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11"/>
        <v>12</v>
      </c>
      <c r="D70" s="4" t="str">
        <f t="shared" si="0"/>
        <v>12</v>
      </c>
      <c r="E70" s="4">
        <f t="shared" si="12"/>
        <v>4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11"/>
        <v>12</v>
      </c>
      <c r="D71" s="4" t="str">
        <f t="shared" si="0"/>
        <v>12</v>
      </c>
      <c r="E71" s="4">
        <f t="shared" si="12"/>
        <v>5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ref="C72:C102" si="48">C67+1</f>
        <v>13</v>
      </c>
      <c r="D72" s="4" t="str">
        <f t="shared" si="0"/>
        <v>13</v>
      </c>
      <c r="E72" s="4">
        <f t="shared" ref="E72" si="49">E67</f>
        <v>1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ref="C73:C103" si="50">C72</f>
        <v>13</v>
      </c>
      <c r="D73" s="4" t="str">
        <f t="shared" si="0"/>
        <v>13</v>
      </c>
      <c r="E73" s="4">
        <f t="shared" ref="E73" si="51">E72+1</f>
        <v>2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11"/>
        <v>13</v>
      </c>
      <c r="D74" s="4" t="str">
        <f t="shared" si="0"/>
        <v>13</v>
      </c>
      <c r="E74" s="4">
        <f t="shared" si="12"/>
        <v>3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11"/>
        <v>13</v>
      </c>
      <c r="D75" s="4" t="str">
        <f t="shared" si="0"/>
        <v>13</v>
      </c>
      <c r="E75" s="4">
        <f t="shared" si="12"/>
        <v>4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11"/>
        <v>13</v>
      </c>
      <c r="D76" s="4" t="str">
        <f t="shared" si="0"/>
        <v>13</v>
      </c>
      <c r="E76" s="4">
        <f t="shared" si="12"/>
        <v>5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48"/>
        <v>14</v>
      </c>
      <c r="D77" s="4" t="str">
        <f t="shared" ref="D77:D106" si="52">B77&amp;C77</f>
        <v>14</v>
      </c>
      <c r="E77" s="4">
        <f t="shared" ref="E77" si="53">E72</f>
        <v>1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0"/>
        <v>14</v>
      </c>
      <c r="D78" s="4" t="str">
        <f t="shared" si="52"/>
        <v>14</v>
      </c>
      <c r="E78" s="4">
        <f t="shared" ref="E78" si="54">E77+1</f>
        <v>2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11"/>
        <v>14</v>
      </c>
      <c r="D79" s="4" t="str">
        <f t="shared" si="52"/>
        <v>14</v>
      </c>
      <c r="E79" s="4">
        <f t="shared" si="12"/>
        <v>3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11"/>
        <v>14</v>
      </c>
      <c r="D80" s="4" t="str">
        <f t="shared" si="52"/>
        <v>14</v>
      </c>
      <c r="E80" s="4">
        <f t="shared" si="12"/>
        <v>4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11"/>
        <v>14</v>
      </c>
      <c r="D81" s="4" t="str">
        <f t="shared" si="52"/>
        <v>14</v>
      </c>
      <c r="E81" s="4">
        <f t="shared" si="12"/>
        <v>5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48"/>
        <v>15</v>
      </c>
      <c r="D82" s="4" t="str">
        <f t="shared" si="52"/>
        <v>15</v>
      </c>
      <c r="E82" s="4">
        <f t="shared" ref="E82" si="55">E77</f>
        <v>1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0"/>
        <v>15</v>
      </c>
      <c r="D83" s="4" t="str">
        <f t="shared" si="52"/>
        <v>15</v>
      </c>
      <c r="E83" s="4">
        <f t="shared" ref="E83" si="56">E82+1</f>
        <v>2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11"/>
        <v>15</v>
      </c>
      <c r="D84" s="4" t="str">
        <f t="shared" si="52"/>
        <v>15</v>
      </c>
      <c r="E84" s="4">
        <f t="shared" si="12"/>
        <v>3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11"/>
        <v>15</v>
      </c>
      <c r="D85" s="4" t="str">
        <f t="shared" si="52"/>
        <v>15</v>
      </c>
      <c r="E85" s="4">
        <f t="shared" si="12"/>
        <v>4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11"/>
        <v>15</v>
      </c>
      <c r="D86" s="4" t="str">
        <f t="shared" si="52"/>
        <v>15</v>
      </c>
      <c r="E86" s="4">
        <f t="shared" si="12"/>
        <v>5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48"/>
        <v>16</v>
      </c>
      <c r="D87" s="4" t="str">
        <f t="shared" si="52"/>
        <v>16</v>
      </c>
      <c r="E87" s="4">
        <f t="shared" ref="E87" si="57">E82</f>
        <v>1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0"/>
        <v>16</v>
      </c>
      <c r="D88" s="4" t="str">
        <f t="shared" si="52"/>
        <v>16</v>
      </c>
      <c r="E88" s="4">
        <f t="shared" ref="E88:E106" si="58">E87+1</f>
        <v>2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11"/>
        <v>16</v>
      </c>
      <c r="D89" s="4" t="str">
        <f t="shared" si="52"/>
        <v>16</v>
      </c>
      <c r="E89" s="4">
        <f t="shared" si="58"/>
        <v>3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11"/>
        <v>16</v>
      </c>
      <c r="D90" s="4" t="str">
        <f t="shared" si="52"/>
        <v>16</v>
      </c>
      <c r="E90" s="4">
        <f t="shared" si="58"/>
        <v>4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11"/>
        <v>16</v>
      </c>
      <c r="D91" s="4" t="str">
        <f t="shared" si="52"/>
        <v>16</v>
      </c>
      <c r="E91" s="4">
        <f t="shared" si="58"/>
        <v>5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48"/>
        <v>17</v>
      </c>
      <c r="D92" s="4" t="str">
        <f t="shared" si="52"/>
        <v>17</v>
      </c>
      <c r="E92" s="4">
        <f t="shared" ref="E92" si="59">E87</f>
        <v>1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0"/>
        <v>17</v>
      </c>
      <c r="D93" s="4" t="str">
        <f t="shared" si="52"/>
        <v>17</v>
      </c>
      <c r="E93" s="4">
        <f t="shared" ref="E93" si="60">E92+1</f>
        <v>2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11"/>
        <v>17</v>
      </c>
      <c r="D94" s="4" t="str">
        <f t="shared" si="52"/>
        <v>17</v>
      </c>
      <c r="E94" s="4">
        <f t="shared" si="58"/>
        <v>3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4"/>
      <c r="B95" s="4"/>
      <c r="C95" s="4">
        <f t="shared" si="11"/>
        <v>17</v>
      </c>
      <c r="D95" s="4" t="str">
        <f t="shared" si="52"/>
        <v>17</v>
      </c>
      <c r="E95" s="4">
        <f t="shared" si="58"/>
        <v>4</v>
      </c>
      <c r="F95" s="5"/>
      <c r="G95" s="5"/>
      <c r="H95" s="5"/>
      <c r="I95" s="5"/>
      <c r="J95" s="5"/>
      <c r="K95" s="5"/>
      <c r="L95" s="5"/>
      <c r="M95" s="5"/>
      <c r="N95" s="5"/>
      <c r="O95" s="7"/>
      <c r="P95" s="7"/>
      <c r="Q95" s="7"/>
      <c r="R95" s="7"/>
    </row>
    <row r="96" spans="1:18" x14ac:dyDescent="0.55000000000000004">
      <c r="A96" s="4"/>
      <c r="B96" s="4"/>
      <c r="C96" s="4">
        <f t="shared" si="11"/>
        <v>17</v>
      </c>
      <c r="D96" s="4" t="str">
        <f t="shared" si="52"/>
        <v>17</v>
      </c>
      <c r="E96" s="4">
        <f t="shared" si="58"/>
        <v>5</v>
      </c>
      <c r="F96" s="5"/>
      <c r="G96" s="5"/>
      <c r="H96" s="5"/>
      <c r="I96" s="5"/>
      <c r="J96" s="5"/>
      <c r="K96" s="5"/>
      <c r="L96" s="5"/>
      <c r="M96" s="5"/>
      <c r="N96" s="5"/>
      <c r="O96" s="7"/>
      <c r="P96" s="7"/>
      <c r="Q96" s="7"/>
      <c r="R96" s="7"/>
    </row>
    <row r="97" spans="1:18" x14ac:dyDescent="0.55000000000000004">
      <c r="A97" s="4"/>
      <c r="B97" s="4"/>
      <c r="C97" s="4">
        <f t="shared" si="48"/>
        <v>18</v>
      </c>
      <c r="D97" s="4" t="str">
        <f t="shared" si="52"/>
        <v>18</v>
      </c>
      <c r="E97" s="4">
        <f t="shared" ref="E97" si="61">E92</f>
        <v>1</v>
      </c>
      <c r="F97" s="5"/>
      <c r="G97" s="5"/>
      <c r="H97" s="5"/>
      <c r="I97" s="5"/>
      <c r="J97" s="5"/>
      <c r="K97" s="5"/>
      <c r="L97" s="5"/>
      <c r="M97" s="5"/>
      <c r="N97" s="5"/>
      <c r="O97" s="7"/>
      <c r="P97" s="7"/>
      <c r="Q97" s="7"/>
      <c r="R97" s="7"/>
    </row>
    <row r="98" spans="1:18" x14ac:dyDescent="0.55000000000000004">
      <c r="A98" s="4"/>
      <c r="B98" s="4"/>
      <c r="C98" s="4">
        <f t="shared" si="50"/>
        <v>18</v>
      </c>
      <c r="D98" s="4" t="str">
        <f t="shared" si="52"/>
        <v>18</v>
      </c>
      <c r="E98" s="4">
        <f t="shared" ref="E98" si="62">E97+1</f>
        <v>2</v>
      </c>
      <c r="F98" s="5"/>
      <c r="G98" s="5"/>
      <c r="H98" s="5"/>
      <c r="I98" s="5"/>
      <c r="J98" s="5"/>
      <c r="K98" s="5"/>
      <c r="L98" s="5"/>
      <c r="M98" s="5"/>
      <c r="N98" s="5"/>
      <c r="O98" s="7"/>
      <c r="P98" s="7"/>
      <c r="Q98" s="7"/>
      <c r="R98" s="7"/>
    </row>
    <row r="99" spans="1:18" x14ac:dyDescent="0.55000000000000004">
      <c r="A99" s="4"/>
      <c r="B99" s="4"/>
      <c r="C99" s="4">
        <f t="shared" si="11"/>
        <v>18</v>
      </c>
      <c r="D99" s="4" t="str">
        <f t="shared" si="52"/>
        <v>18</v>
      </c>
      <c r="E99" s="4">
        <f t="shared" si="58"/>
        <v>3</v>
      </c>
      <c r="F99" s="5"/>
      <c r="G99" s="5"/>
      <c r="H99" s="5"/>
      <c r="I99" s="5"/>
      <c r="J99" s="5"/>
      <c r="K99" s="5"/>
      <c r="L99" s="5"/>
      <c r="M99" s="5"/>
      <c r="N99" s="5"/>
      <c r="O99" s="7"/>
      <c r="P99" s="7"/>
      <c r="Q99" s="7"/>
      <c r="R99" s="7"/>
    </row>
    <row r="100" spans="1:18" x14ac:dyDescent="0.55000000000000004">
      <c r="A100" s="4"/>
      <c r="B100" s="4"/>
      <c r="C100" s="4">
        <f t="shared" si="11"/>
        <v>18</v>
      </c>
      <c r="D100" s="4" t="str">
        <f t="shared" si="52"/>
        <v>18</v>
      </c>
      <c r="E100" s="4">
        <f t="shared" si="58"/>
        <v>4</v>
      </c>
      <c r="F100" s="5"/>
      <c r="G100" s="5"/>
      <c r="H100" s="5"/>
      <c r="I100" s="5"/>
      <c r="J100" s="5"/>
      <c r="K100" s="5"/>
      <c r="L100" s="5"/>
      <c r="M100" s="5"/>
      <c r="N100" s="5"/>
      <c r="O100" s="7"/>
      <c r="P100" s="7"/>
      <c r="Q100" s="7"/>
      <c r="R100" s="7"/>
    </row>
    <row r="101" spans="1:18" x14ac:dyDescent="0.55000000000000004">
      <c r="A101" s="4"/>
      <c r="B101" s="4"/>
      <c r="C101" s="4">
        <f t="shared" si="11"/>
        <v>18</v>
      </c>
      <c r="D101" s="4" t="str">
        <f t="shared" si="52"/>
        <v>18</v>
      </c>
      <c r="E101" s="4">
        <f t="shared" si="58"/>
        <v>5</v>
      </c>
      <c r="F101" s="5"/>
      <c r="G101" s="5"/>
      <c r="H101" s="5"/>
      <c r="I101" s="5"/>
      <c r="J101" s="5"/>
      <c r="K101" s="5"/>
      <c r="L101" s="5"/>
      <c r="M101" s="5"/>
      <c r="N101" s="5"/>
      <c r="O101" s="7"/>
      <c r="P101" s="7"/>
      <c r="Q101" s="7"/>
      <c r="R101" s="7"/>
    </row>
    <row r="102" spans="1:18" x14ac:dyDescent="0.55000000000000004">
      <c r="A102" s="4"/>
      <c r="B102" s="4"/>
      <c r="C102" s="4">
        <f t="shared" si="48"/>
        <v>19</v>
      </c>
      <c r="D102" s="4" t="str">
        <f t="shared" si="52"/>
        <v>19</v>
      </c>
      <c r="E102" s="4">
        <f t="shared" ref="E102" si="63">E97</f>
        <v>1</v>
      </c>
      <c r="F102" s="5"/>
      <c r="G102" s="5"/>
      <c r="H102" s="5"/>
      <c r="I102" s="5"/>
      <c r="J102" s="5"/>
      <c r="K102" s="5"/>
      <c r="L102" s="5"/>
      <c r="M102" s="5"/>
      <c r="N102" s="5"/>
      <c r="O102" s="7"/>
      <c r="P102" s="7"/>
      <c r="Q102" s="7"/>
      <c r="R102" s="7"/>
    </row>
    <row r="103" spans="1:18" x14ac:dyDescent="0.55000000000000004">
      <c r="A103" s="4"/>
      <c r="B103" s="4"/>
      <c r="C103" s="4">
        <f t="shared" si="50"/>
        <v>19</v>
      </c>
      <c r="D103" s="4" t="str">
        <f t="shared" si="52"/>
        <v>19</v>
      </c>
      <c r="E103" s="4">
        <f t="shared" ref="E103" si="64">E102+1</f>
        <v>2</v>
      </c>
      <c r="F103" s="5"/>
      <c r="G103" s="5"/>
      <c r="H103" s="5"/>
      <c r="I103" s="5"/>
      <c r="J103" s="5"/>
      <c r="K103" s="5"/>
      <c r="L103" s="5"/>
      <c r="M103" s="5"/>
      <c r="N103" s="5"/>
      <c r="O103" s="7"/>
      <c r="P103" s="7"/>
      <c r="Q103" s="7"/>
      <c r="R103" s="7"/>
    </row>
    <row r="104" spans="1:18" x14ac:dyDescent="0.55000000000000004">
      <c r="A104" s="4"/>
      <c r="B104" s="4"/>
      <c r="C104" s="4">
        <f t="shared" si="11"/>
        <v>19</v>
      </c>
      <c r="D104" s="4" t="str">
        <f t="shared" si="52"/>
        <v>19</v>
      </c>
      <c r="E104" s="4">
        <f t="shared" si="58"/>
        <v>3</v>
      </c>
      <c r="F104" s="5"/>
      <c r="G104" s="5"/>
      <c r="H104" s="5"/>
      <c r="I104" s="5"/>
      <c r="J104" s="5"/>
      <c r="K104" s="5"/>
      <c r="L104" s="5"/>
      <c r="M104" s="5"/>
      <c r="N104" s="5"/>
      <c r="O104" s="7"/>
      <c r="P104" s="7"/>
      <c r="Q104" s="7"/>
      <c r="R104" s="7"/>
    </row>
    <row r="105" spans="1:18" x14ac:dyDescent="0.55000000000000004">
      <c r="A105" s="4"/>
      <c r="B105" s="4"/>
      <c r="C105" s="4">
        <f t="shared" si="11"/>
        <v>19</v>
      </c>
      <c r="D105" s="4" t="str">
        <f t="shared" si="52"/>
        <v>19</v>
      </c>
      <c r="E105" s="4">
        <f t="shared" si="58"/>
        <v>4</v>
      </c>
      <c r="F105" s="5"/>
      <c r="G105" s="5"/>
      <c r="H105" s="5"/>
      <c r="I105" s="5"/>
      <c r="J105" s="5"/>
      <c r="K105" s="5"/>
      <c r="L105" s="5"/>
      <c r="M105" s="5"/>
      <c r="N105" s="5"/>
      <c r="O105" s="7"/>
      <c r="P105" s="7"/>
      <c r="Q105" s="7"/>
      <c r="R105" s="7"/>
    </row>
    <row r="106" spans="1:18" x14ac:dyDescent="0.55000000000000004">
      <c r="A106" s="4"/>
      <c r="B106" s="4"/>
      <c r="C106" s="4">
        <f t="shared" si="11"/>
        <v>19</v>
      </c>
      <c r="D106" s="4" t="str">
        <f t="shared" si="52"/>
        <v>19</v>
      </c>
      <c r="E106" s="4">
        <f t="shared" si="58"/>
        <v>5</v>
      </c>
      <c r="F106" s="5"/>
      <c r="G106" s="5"/>
      <c r="H106" s="5"/>
      <c r="I106" s="5"/>
      <c r="J106" s="5"/>
      <c r="K106" s="5"/>
      <c r="L106" s="5"/>
      <c r="M106" s="5"/>
      <c r="N106" s="5"/>
      <c r="O106" s="7"/>
      <c r="P106" s="7"/>
      <c r="Q106" s="7"/>
      <c r="R106" s="7"/>
    </row>
    <row r="107" spans="1:18" x14ac:dyDescent="0.55000000000000004">
      <c r="A107" s="15"/>
      <c r="B107" s="15"/>
      <c r="C107" s="15"/>
      <c r="D107" s="15"/>
      <c r="E107" s="15"/>
      <c r="F107" s="16"/>
      <c r="G107" s="16"/>
      <c r="H107" s="16"/>
      <c r="I107" s="16"/>
      <c r="J107" s="16"/>
      <c r="K107" s="16"/>
      <c r="L107" s="16"/>
      <c r="M107" s="16"/>
      <c r="N107" s="16"/>
      <c r="O107" s="17"/>
      <c r="P107" s="17"/>
      <c r="Q107" s="17"/>
      <c r="R107" s="17"/>
    </row>
    <row r="109" spans="1:18" x14ac:dyDescent="0.55000000000000004">
      <c r="A109" t="s">
        <v>9</v>
      </c>
      <c r="F109" t="s">
        <v>8</v>
      </c>
    </row>
    <row r="110" spans="1:18" x14ac:dyDescent="0.55000000000000004">
      <c r="A110">
        <f>MAX(A$2:A$107)</f>
        <v>0</v>
      </c>
      <c r="F110">
        <f>MAX(F$2:F$107)</f>
        <v>0</v>
      </c>
    </row>
    <row r="111" spans="1:18" x14ac:dyDescent="0.55000000000000004">
      <c r="A111" t="s">
        <v>40</v>
      </c>
      <c r="D111" t="s">
        <v>14</v>
      </c>
      <c r="E111" t="s">
        <v>13</v>
      </c>
    </row>
    <row r="112" spans="1:18" x14ac:dyDescent="0.55000000000000004">
      <c r="A112">
        <f>ROW(A108)-ROW(A1)-1</f>
        <v>106</v>
      </c>
      <c r="D112">
        <f>COUNTIF(D$2:D$107,D111)</f>
        <v>0</v>
      </c>
      <c r="E112" s="25">
        <f>_xlfn.MAXIFS(E$2:E$107,$D$2:$D$107,E111)</f>
        <v>0</v>
      </c>
    </row>
    <row r="113" spans="4:5" x14ac:dyDescent="0.55000000000000004">
      <c r="D113" t="s">
        <v>12</v>
      </c>
      <c r="E113" t="s">
        <v>12</v>
      </c>
    </row>
    <row r="114" spans="4:5" x14ac:dyDescent="0.55000000000000004">
      <c r="D114">
        <f>COUNTIF(D$2:D$107,D113)</f>
        <v>0</v>
      </c>
      <c r="E114" s="25">
        <f>_xlfn.MAXIFS(E$2:E$107,$D$2:$D$107,E113)</f>
        <v>0</v>
      </c>
    </row>
  </sheetData>
  <autoFilter ref="A1:R106" xr:uid="{48D32264-F25D-40E9-9C76-26E43E79C8CC}">
    <sortState xmlns:xlrd2="http://schemas.microsoft.com/office/spreadsheetml/2017/richdata2" ref="A2:R106">
      <sortCondition ref="D1:D106"/>
    </sortState>
  </autoFilter>
  <phoneticPr fontId="1"/>
  <conditionalFormatting sqref="A2:R107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B48" sqref="B48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IFERROR(MATCH($G$3:$G$202&amp;$H$3:$H$202,info_index!$D$2:$D$107&amp;info_index!$E$2:$E$107,0),"")</f>
        <v>1</v>
      </c>
      <c r="K3" t="str" cm="1">
        <f t="array" aca="1" ref="K3:K202" ca="1">IF(LEN(_xlfn.ANCHORARRAY(J3)),INDEX(OFFSET(info_index!$H$2:$H$107,0,$B$23),MATCH($G$3:$G$202&amp;$H$3:$H$202,info_index!$D$2:$D$107&amp;info_index!$E$2:$E$107,0),1)&amp;"","")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IFERROR(INDEX(info_index!$J$2:$J$107,MATCH($G$3:$G$202&amp;$H$3:$H$202,info_index!$D$2:$D$107&amp;info_index!$E$2:$E$107,0),1)&amp;"","")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IF(LEN(_xlfn.ANCHORARRAY(J3)),INDEX(OFFSET(info_index!$L$2:$L$107,0,$B$23),MATCH($G$3:$G$202&amp;$H$3:$H$202,info_index!$D$2:$D$107&amp;info_index!$E$2:$E$107,0),1)&amp;"","")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巻取り開始動作</v>
      </c>
      <c r="L5" t="str">
        <f ca="1"/>
        <v>巻取り開始動作</v>
      </c>
      <c r="N5" t="str">
        <f ca="1"/>
        <v>【13】 巻取り開始動作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//巻取り開始動作
	ELSIF uiInfoIdx = 3 THEN</v>
      </c>
      <c r="AC5" t="str">
        <f ca="1"/>
        <v xml:space="preserve">
	//巻取り開始動作
	ELSIF uiInfoIdx = 3 THEN
		IF strInfoKey = 'name' THEN</v>
      </c>
      <c r="AD5" t="str">
        <f ca="1"/>
        <v xml:space="preserve">
	//巻取り開始動作
	ELSIF uiInfoIdx = 3 THEN
		IF strInfoKey = 'name' THEN
			strRt	:= '巻取り開始動作';</v>
      </c>
      <c r="AE5" t="str">
        <f ca="1"/>
        <v xml:space="preserve">
	//巻取り開始動作
	ELSIF uiInfoIdx = 3 THEN
		IF strInfoKey = 'name' THEN
			strRt	:= '巻取り開始動作';
		ELSIF strInfoKey = 'index_name' THEN</v>
      </c>
      <c r="AF5" t="str">
        <f ca="1"/>
        <v xml:space="preserve">
	//巻取り開始動作
	ELSIF uiInfoIdx = 3 THEN
		IF strInfoKey = 'name' THEN
			strRt	:= '巻取り開始動作';
		ELSIF strInfoKey = 'index_name' THEN
			strRt	:= '【13】 巻取り開始動作';</v>
      </c>
      <c r="AG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</v>
      </c>
      <c r="AH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</v>
      </c>
      <c r="AI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</v>
      </c>
      <c r="AJ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</v>
      </c>
      <c r="AK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  <c r="AL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  <c r="AM5" t="str">
        <f ca="1"/>
        <v xml:space="preserve">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巻取り動作</v>
      </c>
      <c r="L6" t="str">
        <f ca="1"/>
        <v>巻取り動作</v>
      </c>
      <c r="N6" t="str">
        <f ca="1"/>
        <v>【14】 巻取り動作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//巻取り動作
	ELSIF uiInfoIdx = 4 THEN</v>
      </c>
      <c r="AC6" t="str">
        <f ca="1"/>
        <v xml:space="preserve">
	//巻取り動作
	ELSIF uiInfoIdx = 4 THEN
		IF strInfoKey = 'name' THEN</v>
      </c>
      <c r="AD6" t="str">
        <f ca="1"/>
        <v xml:space="preserve">
	//巻取り動作
	ELSIF uiInfoIdx = 4 THEN
		IF strInfoKey = 'name' THEN
			strRt	:= '巻取り動作';</v>
      </c>
      <c r="AE6" t="str">
        <f ca="1"/>
        <v xml:space="preserve">
	//巻取り動作
	ELSIF uiInfoIdx = 4 THEN
		IF strInfoKey = 'name' THEN
			strRt	:= '巻取り動作';
		ELSIF strInfoKey = 'index_name' THEN</v>
      </c>
      <c r="AF6" t="str">
        <f ca="1"/>
        <v xml:space="preserve">
	//巻取り動作
	ELSIF uiInfoIdx = 4 THEN
		IF strInfoKey = 'name' THEN
			strRt	:= '巻取り動作';
		ELSIF strInfoKey = 'index_name' THEN
			strRt	:= '【14】 巻取り動作';</v>
      </c>
      <c r="AG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</v>
      </c>
      <c r="AH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</v>
      </c>
      <c r="AI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</v>
      </c>
      <c r="AJ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</v>
      </c>
      <c r="AK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  <c r="AL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  <c r="AM6" t="str">
        <f ca="1"/>
        <v xml:space="preserve">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>
        <v>5</v>
      </c>
      <c r="K7" t="str">
        <f ca="1"/>
        <v>巻取り終了動作</v>
      </c>
      <c r="L7" t="str">
        <f ca="1"/>
        <v>巻取り終了動作</v>
      </c>
      <c r="N7" t="str">
        <f ca="1"/>
        <v>【15】 巻取り終了動作</v>
      </c>
      <c r="O7" t="str">
        <v/>
      </c>
      <c r="P7" t="str">
        <v>unknown</v>
      </c>
      <c r="Q7" t="str">
        <f ca="1"/>
        <v/>
      </c>
      <c r="R7" t="str">
        <f ca="1"/>
        <v>unknown</v>
      </c>
      <c r="Z7" t="str">
        <f ca="1"/>
        <v xml:space="preserve">
</v>
      </c>
      <c r="AA7" t="str">
        <f ca="1"/>
        <v xml:space="preserve">
</v>
      </c>
      <c r="AB7" t="str">
        <f ca="1"/>
        <v xml:space="preserve">
	//巻取り終了動作
	ELSIF uiInfoIdx = 5 THEN</v>
      </c>
      <c r="AC7" t="str">
        <f ca="1"/>
        <v xml:space="preserve">
	//巻取り終了動作
	ELSIF uiInfoIdx = 5 THEN
		IF strInfoKey = 'name' THEN</v>
      </c>
      <c r="AD7" t="str">
        <f ca="1"/>
        <v xml:space="preserve">
	//巻取り終了動作
	ELSIF uiInfoIdx = 5 THEN
		IF strInfoKey = 'name' THEN
			strRt	:= '巻取り終了動作';</v>
      </c>
      <c r="AE7" t="str">
        <f ca="1"/>
        <v xml:space="preserve">
	//巻取り終了動作
	ELSIF uiInfoIdx = 5 THEN
		IF strInfoKey = 'name' THEN
			strRt	:= '巻取り終了動作';
		ELSIF strInfoKey = 'index_name' THEN</v>
      </c>
      <c r="AF7" t="str">
        <f ca="1"/>
        <v xml:space="preserve">
	//巻取り終了動作
	ELSIF uiInfoIdx = 5 THEN
		IF strInfoKey = 'name' THEN
			strRt	:= '巻取り終了動作';
		ELSIF strInfoKey = 'index_name' THEN
			strRt	:= '【15】 巻取り終了動作';</v>
      </c>
      <c r="AG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</v>
      </c>
      <c r="AH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</v>
      </c>
      <c r="AI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</v>
      </c>
      <c r="AJ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</v>
      </c>
      <c r="AK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  <c r="AL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  <c r="AM7" t="str">
        <f ca="1"/>
        <v xml:space="preserve">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</v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>
        <v>6</v>
      </c>
      <c r="K8" t="str">
        <f ca="1"/>
        <v/>
      </c>
      <c r="L8" t="str">
        <f ca="1"/>
        <v>unknown</v>
      </c>
      <c r="N8" t="str">
        <f ca="1"/>
        <v>【16】 unknown</v>
      </c>
      <c r="O8" t="str">
        <v/>
      </c>
      <c r="P8" t="str">
        <v>unknown</v>
      </c>
      <c r="Q8" t="str">
        <f ca="1"/>
        <v/>
      </c>
      <c r="R8" t="str">
        <f ca="1"/>
        <v>unknown</v>
      </c>
      <c r="Z8" t="str">
        <f ca="1"/>
        <v xml:space="preserve">
</v>
      </c>
      <c r="AA8" t="str">
        <f ca="1"/>
        <v xml:space="preserve">
</v>
      </c>
      <c r="AB8" t="str">
        <f ca="1"/>
        <v xml:space="preserve">
	//unknown
	ELSIF uiInfoIdx = 6 THEN</v>
      </c>
      <c r="AC8" t="str">
        <f ca="1"/>
        <v xml:space="preserve">
	//unknown
	ELSIF uiInfoIdx = 6 THEN
		IF strInfoKey = 'name' THEN</v>
      </c>
      <c r="AD8" t="str">
        <f ca="1"/>
        <v xml:space="preserve">
	//unknown
	ELSIF uiInfoIdx = 6 THEN
		IF strInfoKey = 'name' THEN
			strRt	:= 'unknown';</v>
      </c>
      <c r="AE8" t="str">
        <f ca="1"/>
        <v xml:space="preserve">
	//unknown
	ELSIF uiInfoIdx = 6 THEN
		IF strInfoKey = 'name' THEN
			strRt	:= 'unknown';
		ELSIF strInfoKey = 'index_name' THEN</v>
      </c>
      <c r="AF8" t="str">
        <f ca="1"/>
        <v xml:space="preserve">
	//unknown
	ELSIF uiInfoIdx = 6 THEN
		IF strInfoKey = 'name' THEN
			strRt	:= 'unknown';
		ELSIF strInfoKey = 'index_name' THEN
			strRt	:= '【16】 unknown';</v>
      </c>
      <c r="AG8" t="str">
        <f ca="1"/>
        <v xml:space="preserve">
	//unknown
	ELSIF uiInfoIdx = 6 THEN
		IF strInfoKey = 'name' THEN
			strRt	:= 'unknown';
		ELSIF strInfoKey = 'index_name' THEN
			strRt	:= '【16】 unknown';
		ELSIF strInfoKey = 'model' THEN</v>
      </c>
      <c r="AH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</v>
      </c>
      <c r="AI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</v>
      </c>
      <c r="AJ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</v>
      </c>
      <c r="AK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L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  <c r="AM8" t="str">
        <f ca="1"/>
        <v xml:space="preserve">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</v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>
        <v>7</v>
      </c>
      <c r="K9" t="str">
        <f ca="1"/>
        <v/>
      </c>
      <c r="L9" t="str">
        <f ca="1"/>
        <v>unknown</v>
      </c>
      <c r="N9" t="str">
        <f ca="1"/>
        <v>【17】 unknown</v>
      </c>
      <c r="O9" t="str">
        <v/>
      </c>
      <c r="P9" t="str">
        <v>unknown</v>
      </c>
      <c r="Q9" t="str">
        <f ca="1"/>
        <v/>
      </c>
      <c r="R9" t="str">
        <f ca="1"/>
        <v>unknown</v>
      </c>
      <c r="Z9" t="str">
        <f ca="1"/>
        <v xml:space="preserve">
</v>
      </c>
      <c r="AA9" t="str">
        <f ca="1"/>
        <v xml:space="preserve">
</v>
      </c>
      <c r="AB9" t="str">
        <f ca="1"/>
        <v xml:space="preserve">
	//unknown
	ELSIF uiInfoIdx = 7 THEN</v>
      </c>
      <c r="AC9" t="str">
        <f ca="1"/>
        <v xml:space="preserve">
	//unknown
	ELSIF uiInfoIdx = 7 THEN
		IF strInfoKey = 'name' THEN</v>
      </c>
      <c r="AD9" t="str">
        <f ca="1"/>
        <v xml:space="preserve">
	//unknown
	ELSIF uiInfoIdx = 7 THEN
		IF strInfoKey = 'name' THEN
			strRt	:= 'unknown';</v>
      </c>
      <c r="AE9" t="str">
        <f ca="1"/>
        <v xml:space="preserve">
	//unknown
	ELSIF uiInfoIdx = 7 THEN
		IF strInfoKey = 'name' THEN
			strRt	:= 'unknown';
		ELSIF strInfoKey = 'index_name' THEN</v>
      </c>
      <c r="AF9" t="str">
        <f ca="1"/>
        <v xml:space="preserve">
	//unknown
	ELSIF uiInfoIdx = 7 THEN
		IF strInfoKey = 'name' THEN
			strRt	:= 'unknown';
		ELSIF strInfoKey = 'index_name' THEN
			strRt	:= '【17】 unknown';</v>
      </c>
      <c r="AG9" t="str">
        <f ca="1"/>
        <v xml:space="preserve">
	//unknown
	ELSIF uiInfoIdx = 7 THEN
		IF strInfoKey = 'name' THEN
			strRt	:= 'unknown';
		ELSIF strInfoKey = 'index_name' THEN
			strRt	:= '【17】 unknown';
		ELSIF strInfoKey = 'model' THEN</v>
      </c>
      <c r="AH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</v>
      </c>
      <c r="AI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</v>
      </c>
      <c r="AJ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</v>
      </c>
      <c r="AK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L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  <c r="AM9" t="str">
        <f ca="1"/>
        <v xml:space="preserve">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</v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>
        <v>8</v>
      </c>
      <c r="K10" t="str">
        <f ca="1"/>
        <v/>
      </c>
      <c r="L10" t="str">
        <f ca="1"/>
        <v>unknown</v>
      </c>
      <c r="N10" t="str">
        <f ca="1"/>
        <v>【18】 unknown</v>
      </c>
      <c r="O10" t="str">
        <v/>
      </c>
      <c r="P10" t="str">
        <v>unknown</v>
      </c>
      <c r="Q10" t="str">
        <f ca="1"/>
        <v/>
      </c>
      <c r="R10" t="str">
        <f ca="1"/>
        <v>unknown</v>
      </c>
      <c r="Z10" t="str">
        <f ca="1"/>
        <v xml:space="preserve">
</v>
      </c>
      <c r="AA10" t="str">
        <f ca="1"/>
        <v xml:space="preserve">
</v>
      </c>
      <c r="AB10" t="str">
        <f ca="1"/>
        <v xml:space="preserve">
	//unknown
	ELSIF uiInfoIdx = 8 THEN</v>
      </c>
      <c r="AC10" t="str">
        <f ca="1"/>
        <v xml:space="preserve">
	//unknown
	ELSIF uiInfoIdx = 8 THEN
		IF strInfoKey = 'name' THEN</v>
      </c>
      <c r="AD10" t="str">
        <f ca="1"/>
        <v xml:space="preserve">
	//unknown
	ELSIF uiInfoIdx = 8 THEN
		IF strInfoKey = 'name' THEN
			strRt	:= 'unknown';</v>
      </c>
      <c r="AE10" t="str">
        <f ca="1"/>
        <v xml:space="preserve">
	//unknown
	ELSIF uiInfoIdx = 8 THEN
		IF strInfoKey = 'name' THEN
			strRt	:= 'unknown';
		ELSIF strInfoKey = 'index_name' THEN</v>
      </c>
      <c r="AF10" t="str">
        <f ca="1"/>
        <v xml:space="preserve">
	//unknown
	ELSIF uiInfoIdx = 8 THEN
		IF strInfoKey = 'name' THEN
			strRt	:= 'unknown';
		ELSIF strInfoKey = 'index_name' THEN
			strRt	:= '【18】 unknown';</v>
      </c>
      <c r="AG10" t="str">
        <f ca="1"/>
        <v xml:space="preserve">
	//unknown
	ELSIF uiInfoIdx = 8 THEN
		IF strInfoKey = 'name' THEN
			strRt	:= 'unknown';
		ELSIF strInfoKey = 'index_name' THEN
			strRt	:= '【18】 unknown';
		ELSIF strInfoKey = 'model' THEN</v>
      </c>
      <c r="AH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</v>
      </c>
      <c r="AI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</v>
      </c>
      <c r="AJ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</v>
      </c>
      <c r="AK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L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  <c r="AM10" t="str">
        <f ca="1"/>
        <v xml:space="preserve">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</v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>
        <v>9</v>
      </c>
      <c r="K11" t="str">
        <f ca="1"/>
        <v>カット動作</v>
      </c>
      <c r="L11" t="str">
        <f ca="1"/>
        <v>カット動作</v>
      </c>
      <c r="N11" t="str">
        <f ca="1"/>
        <v>【19】 カット動作</v>
      </c>
      <c r="O11" t="str">
        <v/>
      </c>
      <c r="P11" t="str">
        <v>unknown</v>
      </c>
      <c r="Q11" t="str">
        <f ca="1"/>
        <v/>
      </c>
      <c r="R11" t="str">
        <f ca="1"/>
        <v>unknown</v>
      </c>
      <c r="Z11" t="str">
        <f ca="1"/>
        <v xml:space="preserve">
</v>
      </c>
      <c r="AA11" t="str">
        <f ca="1"/>
        <v xml:space="preserve">
</v>
      </c>
      <c r="AB11" t="str">
        <f ca="1"/>
        <v xml:space="preserve">
	//カット動作
	ELSIF uiInfoIdx = 9 THEN</v>
      </c>
      <c r="AC11" t="str">
        <f ca="1"/>
        <v xml:space="preserve">
	//カット動作
	ELSIF uiInfoIdx = 9 THEN
		IF strInfoKey = 'name' THEN</v>
      </c>
      <c r="AD11" t="str">
        <f ca="1"/>
        <v xml:space="preserve">
	//カット動作
	ELSIF uiInfoIdx = 9 THEN
		IF strInfoKey = 'name' THEN
			strRt	:= 'カット動作';</v>
      </c>
      <c r="AE11" t="str">
        <f ca="1"/>
        <v xml:space="preserve">
	//カット動作
	ELSIF uiInfoIdx = 9 THEN
		IF strInfoKey = 'name' THEN
			strRt	:= 'カット動作';
		ELSIF strInfoKey = 'index_name' THEN</v>
      </c>
      <c r="AF11" t="str">
        <f ca="1"/>
        <v xml:space="preserve">
	//カット動作
	ELSIF uiInfoIdx = 9 THEN
		IF strInfoKey = 'name' THEN
			strRt	:= 'カット動作';
		ELSIF strInfoKey = 'index_name' THEN
			strRt	:= '【19】 カット動作';</v>
      </c>
      <c r="AG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</v>
      </c>
      <c r="AH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</v>
      </c>
      <c r="AI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</v>
      </c>
      <c r="AJ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</v>
      </c>
      <c r="AK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  <c r="AL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  <c r="AM11" t="str">
        <f ca="1"/>
        <v xml:space="preserve">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</v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>
        <v>10</v>
      </c>
      <c r="K12" t="str">
        <f ca="1"/>
        <v/>
      </c>
      <c r="L12" t="str">
        <f ca="1"/>
        <v>unknown</v>
      </c>
      <c r="N12" t="str">
        <f ca="1"/>
        <v>【110】 unknown</v>
      </c>
      <c r="O12" t="str">
        <v/>
      </c>
      <c r="P12" t="str">
        <v>unknown</v>
      </c>
      <c r="Q12" t="str">
        <f ca="1"/>
        <v/>
      </c>
      <c r="R12" t="str">
        <f ca="1"/>
        <v>unknown</v>
      </c>
      <c r="Z12" t="str">
        <f ca="1"/>
        <v xml:space="preserve">
</v>
      </c>
      <c r="AA12" t="str">
        <f ca="1"/>
        <v xml:space="preserve">
</v>
      </c>
      <c r="AB12" t="str">
        <f ca="1"/>
        <v xml:space="preserve">
	//unknown
	ELSIF uiInfoIdx = 10 THEN</v>
      </c>
      <c r="AC12" t="str">
        <f ca="1"/>
        <v xml:space="preserve">
	//unknown
	ELSIF uiInfoIdx = 10 THEN
		IF strInfoKey = 'name' THEN</v>
      </c>
      <c r="AD12" t="str">
        <f ca="1"/>
        <v xml:space="preserve">
	//unknown
	ELSIF uiInfoIdx = 10 THEN
		IF strInfoKey = 'name' THEN
			strRt	:= 'unknown';</v>
      </c>
      <c r="AE12" t="str">
        <f ca="1"/>
        <v xml:space="preserve">
	//unknown
	ELSIF uiInfoIdx = 10 THEN
		IF strInfoKey = 'name' THEN
			strRt	:= 'unknown';
		ELSIF strInfoKey = 'index_name' THEN</v>
      </c>
      <c r="AF12" t="str">
        <f ca="1"/>
        <v xml:space="preserve">
	//unknown
	ELSIF uiInfoIdx = 10 THEN
		IF strInfoKey = 'name' THEN
			strRt	:= 'unknown';
		ELSIF strInfoKey = 'index_name' THEN
			strRt	:= '【110】 unknown';</v>
      </c>
      <c r="AG12" t="str">
        <f ca="1"/>
        <v xml:space="preserve">
	//unknown
	ELSIF uiInfoIdx = 10 THEN
		IF strInfoKey = 'name' THEN
			strRt	:= 'unknown';
		ELSIF strInfoKey = 'index_name' THEN
			strRt	:= '【110】 unknown';
		ELSIF strInfoKey = 'model' THEN</v>
      </c>
      <c r="AH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</v>
      </c>
      <c r="AI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</v>
      </c>
      <c r="AJ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</v>
      </c>
      <c r="AK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</v>
      </c>
      <c r="AL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  <c r="AM12" t="str">
        <f ca="1"/>
        <v xml:space="preserve">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11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12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13</v>
      </c>
      <c r="K15" t="str">
        <f ca="1"/>
        <v>巻取り開始動作</v>
      </c>
      <c r="L15" t="str">
        <f ca="1"/>
        <v>巻取り開始動作</v>
      </c>
      <c r="N15" t="str">
        <f ca="1"/>
        <v>【23】 巻取り開始動作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//巻取り開始動作
	ELSIF uiInfoIdx = 3 THEN</v>
      </c>
      <c r="AC15" t="str">
        <f ca="1"/>
        <v xml:space="preserve">
	//巻取り開始動作
	ELSIF uiInfoIdx = 3 THEN
		IF strInfoKey = 'name' THEN</v>
      </c>
      <c r="AD15" t="str">
        <f ca="1"/>
        <v xml:space="preserve">
	//巻取り開始動作
	ELSIF uiInfoIdx = 3 THEN
		IF strInfoKey = 'name' THEN
			strRt	:= '巻取り開始動作';</v>
      </c>
      <c r="AE15" t="str">
        <f ca="1"/>
        <v xml:space="preserve">
	//巻取り開始動作
	ELSIF uiInfoIdx = 3 THEN
		IF strInfoKey = 'name' THEN
			strRt	:= '巻取り開始動作';
		ELSIF strInfoKey = 'index_name' THEN</v>
      </c>
      <c r="AF15" t="str">
        <f ca="1"/>
        <v xml:space="preserve">
	//巻取り開始動作
	ELSIF uiInfoIdx = 3 THEN
		IF strInfoKey = 'name' THEN
			strRt	:= '巻取り開始動作';
		ELSIF strInfoKey = 'index_name' THEN
			strRt	:= '【23】 巻取り開始動作';</v>
      </c>
      <c r="AG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</v>
      </c>
      <c r="AH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</v>
      </c>
      <c r="AI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</v>
      </c>
      <c r="AJ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</v>
      </c>
      <c r="AK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  <c r="AL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  <c r="AM15" t="str">
        <f ca="1"/>
        <v xml:space="preserve">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14</v>
      </c>
      <c r="K16" t="str">
        <f ca="1"/>
        <v>巻取り動作</v>
      </c>
      <c r="L16" t="str">
        <f ca="1"/>
        <v>巻取り動作</v>
      </c>
      <c r="N16" t="str">
        <f ca="1"/>
        <v>【24】 巻取り動作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//巻取り動作
	ELSIF uiInfoIdx = 4 THEN</v>
      </c>
      <c r="AC16" t="str">
        <f ca="1"/>
        <v xml:space="preserve">
	//巻取り動作
	ELSIF uiInfoIdx = 4 THEN
		IF strInfoKey = 'name' THEN</v>
      </c>
      <c r="AD16" t="str">
        <f ca="1"/>
        <v xml:space="preserve">
	//巻取り動作
	ELSIF uiInfoIdx = 4 THEN
		IF strInfoKey = 'name' THEN
			strRt	:= '巻取り動作';</v>
      </c>
      <c r="AE16" t="str">
        <f ca="1"/>
        <v xml:space="preserve">
	//巻取り動作
	ELSIF uiInfoIdx = 4 THEN
		IF strInfoKey = 'name' THEN
			strRt	:= '巻取り動作';
		ELSIF strInfoKey = 'index_name' THEN</v>
      </c>
      <c r="AF16" t="str">
        <f ca="1"/>
        <v xml:space="preserve">
	//巻取り動作
	ELSIF uiInfoIdx = 4 THEN
		IF strInfoKey = 'name' THEN
			strRt	:= '巻取り動作';
		ELSIF strInfoKey = 'index_name' THEN
			strRt	:= '【24】 巻取り動作';</v>
      </c>
      <c r="AG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</v>
      </c>
      <c r="AH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</v>
      </c>
      <c r="AI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</v>
      </c>
      <c r="AJ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</v>
      </c>
      <c r="AK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  <c r="AL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  <c r="AM16" t="str">
        <f ca="1"/>
        <v xml:space="preserve">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>
        <v>15</v>
      </c>
      <c r="K17" t="str">
        <f ca="1"/>
        <v>巻取り終了動作</v>
      </c>
      <c r="L17" t="str">
        <f ca="1"/>
        <v>巻取り終了動作</v>
      </c>
      <c r="N17" t="str">
        <f ca="1"/>
        <v>【25】 巻取り終了動作</v>
      </c>
      <c r="O17" t="str">
        <v/>
      </c>
      <c r="P17" t="str">
        <v>unknown</v>
      </c>
      <c r="Q17" t="str">
        <f ca="1"/>
        <v/>
      </c>
      <c r="R17" t="str">
        <f ca="1"/>
        <v>unknown</v>
      </c>
      <c r="Z17" t="str">
        <f ca="1"/>
        <v xml:space="preserve">
</v>
      </c>
      <c r="AA17" t="str">
        <f ca="1"/>
        <v xml:space="preserve">
</v>
      </c>
      <c r="AB17" t="str">
        <f ca="1"/>
        <v xml:space="preserve">
	//巻取り終了動作
	ELSIF uiInfoIdx = 5 THEN</v>
      </c>
      <c r="AC17" t="str">
        <f ca="1"/>
        <v xml:space="preserve">
	//巻取り終了動作
	ELSIF uiInfoIdx = 5 THEN
		IF strInfoKey = 'name' THEN</v>
      </c>
      <c r="AD17" t="str">
        <f ca="1"/>
        <v xml:space="preserve">
	//巻取り終了動作
	ELSIF uiInfoIdx = 5 THEN
		IF strInfoKey = 'name' THEN
			strRt	:= '巻取り終了動作';</v>
      </c>
      <c r="AE17" t="str">
        <f ca="1"/>
        <v xml:space="preserve">
	//巻取り終了動作
	ELSIF uiInfoIdx = 5 THEN
		IF strInfoKey = 'name' THEN
			strRt	:= '巻取り終了動作';
		ELSIF strInfoKey = 'index_name' THEN</v>
      </c>
      <c r="AF17" t="str">
        <f ca="1"/>
        <v xml:space="preserve">
	//巻取り終了動作
	ELSIF uiInfoIdx = 5 THEN
		IF strInfoKey = 'name' THEN
			strRt	:= '巻取り終了動作';
		ELSIF strInfoKey = 'index_name' THEN
			strRt	:= '【25】 巻取り終了動作';</v>
      </c>
      <c r="AG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</v>
      </c>
      <c r="AH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</v>
      </c>
      <c r="AI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</v>
      </c>
      <c r="AJ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</v>
      </c>
      <c r="AK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  <c r="AL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  <c r="AM17" t="str">
        <f ca="1"/>
        <v xml:space="preserve">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</v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>
        <v>16</v>
      </c>
      <c r="K18" t="str">
        <f ca="1"/>
        <v/>
      </c>
      <c r="L18" t="str">
        <f ca="1"/>
        <v>unknown</v>
      </c>
      <c r="N18" t="str">
        <f ca="1"/>
        <v>【26】 unknown</v>
      </c>
      <c r="O18" t="str">
        <v/>
      </c>
      <c r="P18" t="str">
        <v>unknown</v>
      </c>
      <c r="Q18" t="str">
        <f ca="1"/>
        <v/>
      </c>
      <c r="R18" t="str">
        <f ca="1"/>
        <v>unknown</v>
      </c>
      <c r="Z18" t="str">
        <f ca="1"/>
        <v xml:space="preserve">
</v>
      </c>
      <c r="AA18" t="str">
        <f ca="1"/>
        <v xml:space="preserve">
</v>
      </c>
      <c r="AB18" t="str">
        <f ca="1"/>
        <v xml:space="preserve">
	//unknown
	ELSIF uiInfoIdx = 6 THEN</v>
      </c>
      <c r="AC18" t="str">
        <f ca="1"/>
        <v xml:space="preserve">
	//unknown
	ELSIF uiInfoIdx = 6 THEN
		IF strInfoKey = 'name' THEN</v>
      </c>
      <c r="AD18" t="str">
        <f ca="1"/>
        <v xml:space="preserve">
	//unknown
	ELSIF uiInfoIdx = 6 THEN
		IF strInfoKey = 'name' THEN
			strRt	:= 'unknown';</v>
      </c>
      <c r="AE18" t="str">
        <f ca="1"/>
        <v xml:space="preserve">
	//unknown
	ELSIF uiInfoIdx = 6 THEN
		IF strInfoKey = 'name' THEN
			strRt	:= 'unknown';
		ELSIF strInfoKey = 'index_name' THEN</v>
      </c>
      <c r="AF18" t="str">
        <f ca="1"/>
        <v xml:space="preserve">
	//unknown
	ELSIF uiInfoIdx = 6 THEN
		IF strInfoKey = 'name' THEN
			strRt	:= 'unknown';
		ELSIF strInfoKey = 'index_name' THEN
			strRt	:= '【26】 unknown';</v>
      </c>
      <c r="AG18" t="str">
        <f ca="1"/>
        <v xml:space="preserve">
	//unknown
	ELSIF uiInfoIdx = 6 THEN
		IF strInfoKey = 'name' THEN
			strRt	:= 'unknown';
		ELSIF strInfoKey = 'index_name' THEN
			strRt	:= '【26】 unknown';
		ELSIF strInfoKey = 'model' THEN</v>
      </c>
      <c r="AH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</v>
      </c>
      <c r="AI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</v>
      </c>
      <c r="AJ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</v>
      </c>
      <c r="AK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L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  <c r="AM18" t="str">
        <f ca="1"/>
        <v xml:space="preserve">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</v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>
        <v>17</v>
      </c>
      <c r="K19" t="str">
        <f ca="1"/>
        <v/>
      </c>
      <c r="L19" t="str">
        <f ca="1"/>
        <v>unknown</v>
      </c>
      <c r="N19" t="str">
        <f ca="1"/>
        <v>【27】 unknown</v>
      </c>
      <c r="O19" t="str">
        <v/>
      </c>
      <c r="P19" t="str">
        <v>unknown</v>
      </c>
      <c r="Q19" t="str">
        <f ca="1"/>
        <v/>
      </c>
      <c r="R19" t="str">
        <f ca="1"/>
        <v>unknown</v>
      </c>
      <c r="Z19" t="str">
        <f ca="1"/>
        <v xml:space="preserve">
</v>
      </c>
      <c r="AA19" t="str">
        <f ca="1"/>
        <v xml:space="preserve">
</v>
      </c>
      <c r="AB19" t="str">
        <f ca="1"/>
        <v xml:space="preserve">
	//unknown
	ELSIF uiInfoIdx = 7 THEN</v>
      </c>
      <c r="AC19" t="str">
        <f ca="1"/>
        <v xml:space="preserve">
	//unknown
	ELSIF uiInfoIdx = 7 THEN
		IF strInfoKey = 'name' THEN</v>
      </c>
      <c r="AD19" t="str">
        <f ca="1"/>
        <v xml:space="preserve">
	//unknown
	ELSIF uiInfoIdx = 7 THEN
		IF strInfoKey = 'name' THEN
			strRt	:= 'unknown';</v>
      </c>
      <c r="AE19" t="str">
        <f ca="1"/>
        <v xml:space="preserve">
	//unknown
	ELSIF uiInfoIdx = 7 THEN
		IF strInfoKey = 'name' THEN
			strRt	:= 'unknown';
		ELSIF strInfoKey = 'index_name' THEN</v>
      </c>
      <c r="AF19" t="str">
        <f ca="1"/>
        <v xml:space="preserve">
	//unknown
	ELSIF uiInfoIdx = 7 THEN
		IF strInfoKey = 'name' THEN
			strRt	:= 'unknown';
		ELSIF strInfoKey = 'index_name' THEN
			strRt	:= '【27】 unknown';</v>
      </c>
      <c r="AG19" t="str">
        <f ca="1"/>
        <v xml:space="preserve">
	//unknown
	ELSIF uiInfoIdx = 7 THEN
		IF strInfoKey = 'name' THEN
			strRt	:= 'unknown';
		ELSIF strInfoKey = 'index_name' THEN
			strRt	:= '【27】 unknown';
		ELSIF strInfoKey = 'model' THEN</v>
      </c>
      <c r="AH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</v>
      </c>
      <c r="AI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</v>
      </c>
      <c r="AJ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</v>
      </c>
      <c r="AK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L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  <c r="AM19" t="str">
        <f ca="1"/>
        <v xml:space="preserve">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</v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>
        <v>18</v>
      </c>
      <c r="K20" t="str">
        <f ca="1"/>
        <v/>
      </c>
      <c r="L20" t="str">
        <f ca="1"/>
        <v>unknown</v>
      </c>
      <c r="N20" t="str">
        <f ca="1"/>
        <v>【28】 unknown</v>
      </c>
      <c r="O20" t="str">
        <v/>
      </c>
      <c r="P20" t="str">
        <v>unknown</v>
      </c>
      <c r="Q20" t="str">
        <f ca="1"/>
        <v/>
      </c>
      <c r="R20" t="str">
        <f ca="1"/>
        <v>unknown</v>
      </c>
      <c r="Z20" t="str">
        <f ca="1"/>
        <v xml:space="preserve">
</v>
      </c>
      <c r="AA20" t="str">
        <f ca="1"/>
        <v xml:space="preserve">
</v>
      </c>
      <c r="AB20" t="str">
        <f ca="1"/>
        <v xml:space="preserve">
	//unknown
	ELSIF uiInfoIdx = 8 THEN</v>
      </c>
      <c r="AC20" t="str">
        <f ca="1"/>
        <v xml:space="preserve">
	//unknown
	ELSIF uiInfoIdx = 8 THEN
		IF strInfoKey = 'name' THEN</v>
      </c>
      <c r="AD20" t="str">
        <f ca="1"/>
        <v xml:space="preserve">
	//unknown
	ELSIF uiInfoIdx = 8 THEN
		IF strInfoKey = 'name' THEN
			strRt	:= 'unknown';</v>
      </c>
      <c r="AE20" t="str">
        <f ca="1"/>
        <v xml:space="preserve">
	//unknown
	ELSIF uiInfoIdx = 8 THEN
		IF strInfoKey = 'name' THEN
			strRt	:= 'unknown';
		ELSIF strInfoKey = 'index_name' THEN</v>
      </c>
      <c r="AF20" t="str">
        <f ca="1"/>
        <v xml:space="preserve">
	//unknown
	ELSIF uiInfoIdx = 8 THEN
		IF strInfoKey = 'name' THEN
			strRt	:= 'unknown';
		ELSIF strInfoKey = 'index_name' THEN
			strRt	:= '【28】 unknown';</v>
      </c>
      <c r="AG20" t="str">
        <f ca="1"/>
        <v xml:space="preserve">
	//unknown
	ELSIF uiInfoIdx = 8 THEN
		IF strInfoKey = 'name' THEN
			strRt	:= 'unknown';
		ELSIF strInfoKey = 'index_name' THEN
			strRt	:= '【28】 unknown';
		ELSIF strInfoKey = 'model' THEN</v>
      </c>
      <c r="AH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</v>
      </c>
      <c r="AI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</v>
      </c>
      <c r="AJ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</v>
      </c>
      <c r="AK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L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  <c r="AM20" t="str">
        <f ca="1"/>
        <v xml:space="preserve">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</v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>
        <v>19</v>
      </c>
      <c r="K21" t="str">
        <f ca="1"/>
        <v>カット動作</v>
      </c>
      <c r="L21" t="str">
        <f ca="1"/>
        <v>カット動作</v>
      </c>
      <c r="N21" t="str">
        <f ca="1"/>
        <v>【29】 カット動作</v>
      </c>
      <c r="O21" t="str">
        <v/>
      </c>
      <c r="P21" t="str">
        <v>unknown</v>
      </c>
      <c r="Q21" t="str">
        <f ca="1"/>
        <v/>
      </c>
      <c r="R21" t="str">
        <f ca="1"/>
        <v>unknown</v>
      </c>
      <c r="Z21" t="str">
        <f ca="1"/>
        <v xml:space="preserve">
</v>
      </c>
      <c r="AA21" t="str">
        <f ca="1"/>
        <v xml:space="preserve">
</v>
      </c>
      <c r="AB21" t="str">
        <f ca="1"/>
        <v xml:space="preserve">
	//カット動作
	ELSIF uiInfoIdx = 9 THEN</v>
      </c>
      <c r="AC21" t="str">
        <f ca="1"/>
        <v xml:space="preserve">
	//カット動作
	ELSIF uiInfoIdx = 9 THEN
		IF strInfoKey = 'name' THEN</v>
      </c>
      <c r="AD21" t="str">
        <f ca="1"/>
        <v xml:space="preserve">
	//カット動作
	ELSIF uiInfoIdx = 9 THEN
		IF strInfoKey = 'name' THEN
			strRt	:= 'カット動作';</v>
      </c>
      <c r="AE21" t="str">
        <f ca="1"/>
        <v xml:space="preserve">
	//カット動作
	ELSIF uiInfoIdx = 9 THEN
		IF strInfoKey = 'name' THEN
			strRt	:= 'カット動作';
		ELSIF strInfoKey = 'index_name' THEN</v>
      </c>
      <c r="AF21" t="str">
        <f ca="1"/>
        <v xml:space="preserve">
	//カット動作
	ELSIF uiInfoIdx = 9 THEN
		IF strInfoKey = 'name' THEN
			strRt	:= 'カット動作';
		ELSIF strInfoKey = 'index_name' THEN
			strRt	:= '【29】 カット動作';</v>
      </c>
      <c r="AG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</v>
      </c>
      <c r="AH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</v>
      </c>
      <c r="AI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</v>
      </c>
      <c r="AJ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</v>
      </c>
      <c r="AK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  <c r="AL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  <c r="AM21" t="str">
        <f ca="1"/>
        <v xml:space="preserve">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</v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>
        <v>20</v>
      </c>
      <c r="K22" t="str">
        <f ca="1"/>
        <v/>
      </c>
      <c r="L22" t="str">
        <f ca="1"/>
        <v>unknown</v>
      </c>
      <c r="N22" t="str">
        <f ca="1"/>
        <v>【210】 unknown</v>
      </c>
      <c r="O22" t="str">
        <v/>
      </c>
      <c r="P22" t="str">
        <v>unknown</v>
      </c>
      <c r="Q22" t="str">
        <f ca="1"/>
        <v/>
      </c>
      <c r="R22" t="str">
        <f ca="1"/>
        <v>unknown</v>
      </c>
      <c r="Z22" t="str">
        <f ca="1"/>
        <v xml:space="preserve">
</v>
      </c>
      <c r="AA22" t="str">
        <f ca="1"/>
        <v xml:space="preserve">
</v>
      </c>
      <c r="AB22" t="str">
        <f ca="1"/>
        <v xml:space="preserve">
	//unknown
	ELSIF uiInfoIdx = 10 THEN</v>
      </c>
      <c r="AC22" t="str">
        <f ca="1"/>
        <v xml:space="preserve">
	//unknown
	ELSIF uiInfoIdx = 10 THEN
		IF strInfoKey = 'name' THEN</v>
      </c>
      <c r="AD22" t="str">
        <f ca="1"/>
        <v xml:space="preserve">
	//unknown
	ELSIF uiInfoIdx = 10 THEN
		IF strInfoKey = 'name' THEN
			strRt	:= 'unknown';</v>
      </c>
      <c r="AE22" t="str">
        <f ca="1"/>
        <v xml:space="preserve">
	//unknown
	ELSIF uiInfoIdx = 10 THEN
		IF strInfoKey = 'name' THEN
			strRt	:= 'unknown';
		ELSIF strInfoKey = 'index_name' THEN</v>
      </c>
      <c r="AF22" t="str">
        <f ca="1"/>
        <v xml:space="preserve">
	//unknown
	ELSIF uiInfoIdx = 10 THEN
		IF strInfoKey = 'name' THEN
			strRt	:= 'unknown';
		ELSIF strInfoKey = 'index_name' THEN
			strRt	:= '【210】 unknown';</v>
      </c>
      <c r="AG22" t="str">
        <f ca="1"/>
        <v xml:space="preserve">
	//unknown
	ELSIF uiInfoIdx = 10 THEN
		IF strInfoKey = 'name' THEN
			strRt	:= 'unknown';
		ELSIF strInfoKey = 'index_name' THEN
			strRt	:= '【210】 unknown';
		ELSIF strInfoKey = 'model' THEN</v>
      </c>
      <c r="AH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</v>
      </c>
      <c r="AI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</v>
      </c>
      <c r="AJ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</v>
      </c>
      <c r="AK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</v>
      </c>
      <c r="AL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  <c r="AM22" t="str">
        <f ca="1"/>
        <v xml:space="preserve">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21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22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23</v>
      </c>
      <c r="K25" t="str">
        <f ca="1"/>
        <v>巻取り動作</v>
      </c>
      <c r="L25" t="str">
        <f ca="1"/>
        <v>巻取り動作</v>
      </c>
      <c r="N25" t="str">
        <f ca="1"/>
        <v>【33】 巻取り動作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//巻取り動作
	ELSIF uiInfoIdx = 3 THEN</v>
      </c>
      <c r="AC25" t="str">
        <f ca="1"/>
        <v xml:space="preserve">
	//巻取り動作
	ELSIF uiInfoIdx = 3 THEN
		IF strInfoKey = 'name' THEN</v>
      </c>
      <c r="AD25" t="str">
        <f ca="1"/>
        <v xml:space="preserve">
	//巻取り動作
	ELSIF uiInfoIdx = 3 THEN
		IF strInfoKey = 'name' THEN
			strRt	:= '巻取り動作';</v>
      </c>
      <c r="AE25" t="str">
        <f ca="1"/>
        <v xml:space="preserve">
	//巻取り動作
	ELSIF uiInfoIdx = 3 THEN
		IF strInfoKey = 'name' THEN
			strRt	:= '巻取り動作';
		ELSIF strInfoKey = 'index_name' THEN</v>
      </c>
      <c r="AF25" t="str">
        <f ca="1"/>
        <v xml:space="preserve">
	//巻取り動作
	ELSIF uiInfoIdx = 3 THEN
		IF strInfoKey = 'name' THEN
			strRt	:= '巻取り動作';
		ELSIF strInfoKey = 'index_name' THEN
			strRt	:= '【33】 巻取り動作';</v>
      </c>
      <c r="AG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</v>
      </c>
      <c r="AH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</v>
      </c>
      <c r="AI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</v>
      </c>
      <c r="AJ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</v>
      </c>
      <c r="AK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  <c r="AL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  <c r="AM25" t="str">
        <f ca="1"/>
        <v xml:space="preserve">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24</v>
      </c>
      <c r="K26" t="str">
        <f ca="1"/>
        <v>巻取り終了動作</v>
      </c>
      <c r="L26" t="str">
        <f ca="1"/>
        <v>巻取り終了動作</v>
      </c>
      <c r="N26" t="str">
        <f ca="1"/>
        <v>【34】 巻取り終了動作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//巻取り終了動作
	ELSIF uiInfoIdx = 4 THEN</v>
      </c>
      <c r="AC26" t="str">
        <f ca="1"/>
        <v xml:space="preserve">
	//巻取り終了動作
	ELSIF uiInfoIdx = 4 THEN
		IF strInfoKey = 'name' THEN</v>
      </c>
      <c r="AD26" t="str">
        <f ca="1"/>
        <v xml:space="preserve">
	//巻取り終了動作
	ELSIF uiInfoIdx = 4 THEN
		IF strInfoKey = 'name' THEN
			strRt	:= '巻取り終了動作';</v>
      </c>
      <c r="AE26" t="str">
        <f ca="1"/>
        <v xml:space="preserve">
	//巻取り終了動作
	ELSIF uiInfoIdx = 4 THEN
		IF strInfoKey = 'name' THEN
			strRt	:= '巻取り終了動作';
		ELSIF strInfoKey = 'index_name' THEN</v>
      </c>
      <c r="AF26" t="str">
        <f ca="1"/>
        <v xml:space="preserve">
	//巻取り終了動作
	ELSIF uiInfoIdx = 4 THEN
		IF strInfoKey = 'name' THEN
			strRt	:= '巻取り終了動作';
		ELSIF strInfoKey = 'index_name' THEN
			strRt	:= '【34】 巻取り終了動作';</v>
      </c>
      <c r="AG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</v>
      </c>
      <c r="AH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</v>
      </c>
      <c r="AI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</v>
      </c>
      <c r="AJ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</v>
      </c>
      <c r="AK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  <c r="AL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  <c r="AM26" t="str">
        <f ca="1"/>
        <v xml:space="preserve">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25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26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27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28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29</v>
      </c>
      <c r="K37" t="str">
        <f ca="1"/>
        <v>巻き終了動作</v>
      </c>
      <c r="L37" t="str">
        <f ca="1"/>
        <v>巻き終了動作</v>
      </c>
      <c r="N37" t="str">
        <f ca="1"/>
        <v>【45】 巻き終了動作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//巻き終了動作
	ELSIF uiInfoIdx = 5 THEN</v>
      </c>
      <c r="AC37" t="str">
        <f ca="1"/>
        <v xml:space="preserve">
	//巻き終了動作
	ELSIF uiInfoIdx = 5 THEN
		IF strInfoKey = 'name' THEN</v>
      </c>
      <c r="AD37" t="str">
        <f ca="1"/>
        <v xml:space="preserve">
	//巻き終了動作
	ELSIF uiInfoIdx = 5 THEN
		IF strInfoKey = 'name' THEN
			strRt	:= '巻き終了動作';</v>
      </c>
      <c r="AE37" t="str">
        <f ca="1"/>
        <v xml:space="preserve">
	//巻き終了動作
	ELSIF uiInfoIdx = 5 THEN
		IF strInfoKey = 'name' THEN
			strRt	:= '巻き終了動作';
		ELSIF strInfoKey = 'index_name' THEN</v>
      </c>
      <c r="AF37" t="str">
        <f ca="1"/>
        <v xml:space="preserve">
	//巻き終了動作
	ELSIF uiInfoIdx = 5 THEN
		IF strInfoKey = 'name' THEN
			strRt	:= '巻き終了動作';
		ELSIF strInfoKey = 'index_name' THEN
			strRt	:= '【45】 巻き終了動作';</v>
      </c>
      <c r="AG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</v>
      </c>
      <c r="AH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</v>
      </c>
      <c r="AI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</v>
      </c>
      <c r="AJ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</v>
      </c>
      <c r="AK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L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M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30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31</v>
      </c>
      <c r="K39" t="str">
        <f ca="1"/>
        <v>排出動作</v>
      </c>
      <c r="L39" t="str">
        <f ca="1"/>
        <v>排出動作</v>
      </c>
      <c r="N39" t="str">
        <f ca="1"/>
        <v>【47】 排出動作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//排出動作
	ELSIF uiInfoIdx = 7 THEN</v>
      </c>
      <c r="AC39" t="str">
        <f ca="1"/>
        <v xml:space="preserve">
	//排出動作
	ELSIF uiInfoIdx = 7 THEN
		IF strInfoKey = 'name' THEN</v>
      </c>
      <c r="AD39" t="str">
        <f ca="1"/>
        <v xml:space="preserve">
	//排出動作
	ELSIF uiInfoIdx = 7 THEN
		IF strInfoKey = 'name' THEN
			strRt	:= '排出動作';</v>
      </c>
      <c r="AE39" t="str">
        <f ca="1"/>
        <v xml:space="preserve">
	//排出動作
	ELSIF uiInfoIdx = 7 THEN
		IF strInfoKey = 'name' THEN
			strRt	:= '排出動作';
		ELSIF strInfoKey = 'index_name' THEN</v>
      </c>
      <c r="AF39" t="str">
        <f ca="1"/>
        <v xml:space="preserve">
	//排出動作
	ELSIF uiInfoIdx = 7 THEN
		IF strInfoKey = 'name' THEN
			strRt	:= '排出動作';
		ELSIF strInfoKey = 'index_name' THEN
			strRt	:= '【47】 排出動作';</v>
      </c>
      <c r="AG39" t="str">
        <f ca="1"/>
        <v xml:space="preserve">
	//排出動作
	ELSIF uiInfoIdx = 7 THEN
		IF strInfoKey = 'name' THEN
			strRt	:= '排出動作';
		ELSIF strInfoKey = 'index_name' THEN
			strRt	:= '【47】 排出動作';
		ELSIF strInfoKey = 'model' THEN</v>
      </c>
      <c r="AH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</v>
      </c>
      <c r="AI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</v>
      </c>
      <c r="AJ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</v>
      </c>
      <c r="AK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L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M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32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33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34</v>
      </c>
      <c r="K45" t="str">
        <f ca="1"/>
        <v>巻き溶接動作</v>
      </c>
      <c r="L45" t="str">
        <f ca="1"/>
        <v>巻き溶接動作</v>
      </c>
      <c r="N45" t="str">
        <f ca="1"/>
        <v>【53】 巻き溶接動作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//巻き溶接動作
	ELSIF uiInfoIdx = 3 THEN</v>
      </c>
      <c r="AC45" t="str">
        <f ca="1"/>
        <v xml:space="preserve">
	//巻き溶接動作
	ELSIF uiInfoIdx = 3 THEN
		IF strInfoKey = 'name' THEN</v>
      </c>
      <c r="AD45" t="str">
        <f ca="1"/>
        <v xml:space="preserve">
	//巻き溶接動作
	ELSIF uiInfoIdx = 3 THEN
		IF strInfoKey = 'name' THEN
			strRt	:= '巻き溶接動作';</v>
      </c>
      <c r="AE45" t="str">
        <f ca="1"/>
        <v xml:space="preserve">
	//巻き溶接動作
	ELSIF uiInfoIdx = 3 THEN
		IF strInfoKey = 'name' THEN
			strRt	:= '巻き溶接動作';
		ELSIF strInfoKey = 'index_name' THEN</v>
      </c>
      <c r="AF45" t="str">
        <f ca="1"/>
        <v xml:space="preserve">
	//巻き溶接動作
	ELSIF uiInfoIdx = 3 THEN
		IF strInfoKey = 'name' THEN
			strRt	:= '巻き溶接動作';
		ELSIF strInfoKey = 'index_name' THEN
			strRt	:= '【53】 巻き溶接動作';</v>
      </c>
      <c r="AG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</v>
      </c>
      <c r="AH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</v>
      </c>
      <c r="AI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</v>
      </c>
      <c r="AJ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</v>
      </c>
      <c r="AK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L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M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35</v>
      </c>
      <c r="K46" t="str">
        <f ca="1"/>
        <v>箔ロウ溶接動作</v>
      </c>
      <c r="L46" t="str">
        <f ca="1"/>
        <v>箔ロウ溶接動作</v>
      </c>
      <c r="N46" t="str">
        <f ca="1"/>
        <v>【54】 箔ロウ溶接動作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//箔ロウ溶接動作
	ELSIF uiInfoIdx = 4 THEN</v>
      </c>
      <c r="AC46" t="str">
        <f ca="1"/>
        <v xml:space="preserve">
	//箔ロウ溶接動作
	ELSIF uiInfoIdx = 4 THEN
		IF strInfoKey = 'name' THEN</v>
      </c>
      <c r="AD46" t="str">
        <f ca="1"/>
        <v xml:space="preserve">
	//箔ロウ溶接動作
	ELSIF uiInfoIdx = 4 THEN
		IF strInfoKey = 'name' THEN
			strRt	:= '箔ロウ溶接動作';</v>
      </c>
      <c r="AE46" t="str">
        <f ca="1"/>
        <v xml:space="preserve">
	//箔ロウ溶接動作
	ELSIF uiInfoIdx = 4 THEN
		IF strInfoKey = 'name' THEN
			strRt	:= '箔ロウ溶接動作';
		ELSIF strInfoKey = 'index_name' THEN</v>
      </c>
      <c r="AF46" t="str">
        <f ca="1"/>
        <v xml:space="preserve">
	//箔ロウ溶接動作
	ELSIF uiInfoIdx = 4 THEN
		IF strInfoKey = 'name' THEN
			strRt	:= '箔ロウ溶接動作';
		ELSIF strInfoKey = 'index_name' THEN
			strRt	:= '【54】 箔ロウ溶接動作';</v>
      </c>
      <c r="AG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</v>
      </c>
      <c r="AH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</v>
      </c>
      <c r="AI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</v>
      </c>
      <c r="AJ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</v>
      </c>
      <c r="AK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L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M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36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37</v>
      </c>
      <c r="K54" t="str">
        <f ca="1"/>
        <v>周長測定子プリセット</v>
      </c>
      <c r="L54" t="str">
        <f ca="1"/>
        <v>周長測定子プリセット</v>
      </c>
      <c r="N54" t="str">
        <f ca="1"/>
        <v>【62】 周長測定子プリセット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//周長測定子プリセット
	ELSIF uiInfoIdx = 2 THEN</v>
      </c>
      <c r="AC54" t="str">
        <f ca="1"/>
        <v xml:space="preserve">
	//周長測定子プリセット
	ELSIF uiInfoIdx = 2 THEN
		IF strInfoKey = 'name' THEN</v>
      </c>
      <c r="AD54" t="str">
        <f ca="1"/>
        <v xml:space="preserve">
	//周長測定子プリセット
	ELSIF uiInfoIdx = 2 THEN
		IF strInfoKey = 'name' THEN
			strRt	:= '周長測定子プリセット';</v>
      </c>
      <c r="AE54" t="str">
        <f ca="1"/>
        <v xml:space="preserve">
	//周長測定子プリセット
	ELSIF uiInfoIdx = 2 THEN
		IF strInfoKey = 'name' THEN
			strRt	:= '周長測定子プリセット';
		ELSIF strInfoKey = 'index_name' THEN</v>
      </c>
      <c r="AF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</v>
      </c>
      <c r="AG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</v>
      </c>
      <c r="AH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</v>
      </c>
      <c r="AI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</v>
      </c>
      <c r="AJ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</v>
      </c>
      <c r="AK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L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M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38</v>
      </c>
      <c r="K55" t="str">
        <f ca="1"/>
        <v>巻き中測定動作</v>
      </c>
      <c r="L55" t="str">
        <f ca="1"/>
        <v>巻き中測定動作</v>
      </c>
      <c r="N55" t="str">
        <f ca="1"/>
        <v>【63】 巻き中測定動作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//巻き中測定動作
	ELSIF uiInfoIdx = 3 THEN</v>
      </c>
      <c r="AC55" t="str">
        <f ca="1"/>
        <v xml:space="preserve">
	//巻き中測定動作
	ELSIF uiInfoIdx = 3 THEN
		IF strInfoKey = 'name' THEN</v>
      </c>
      <c r="AD55" t="str">
        <f ca="1"/>
        <v xml:space="preserve">
	//巻き中測定動作
	ELSIF uiInfoIdx = 3 THEN
		IF strInfoKey = 'name' THEN
			strRt	:= '巻き中測定動作';</v>
      </c>
      <c r="AE55" t="str">
        <f ca="1"/>
        <v xml:space="preserve">
	//巻き中測定動作
	ELSIF uiInfoIdx = 3 THEN
		IF strInfoKey = 'name' THEN
			strRt	:= '巻き中測定動作';
		ELSIF strInfoKey = 'index_name' THEN</v>
      </c>
      <c r="AF55" t="str">
        <f ca="1"/>
        <v xml:space="preserve">
	//巻き中測定動作
	ELSIF uiInfoIdx = 3 THEN
		IF strInfoKey = 'name' THEN
			strRt	:= '巻き中測定動作';
		ELSIF strInfoKey = 'index_name' THEN
			strRt	:= '【63】 巻き中測定動作';</v>
      </c>
      <c r="AG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</v>
      </c>
      <c r="AH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</v>
      </c>
      <c r="AI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</v>
      </c>
      <c r="AJ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</v>
      </c>
      <c r="AK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L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M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39</v>
      </c>
      <c r="K56" t="str">
        <f ca="1"/>
        <v>周長測定動作</v>
      </c>
      <c r="L56" t="str">
        <f ca="1"/>
        <v>周長測定動作</v>
      </c>
      <c r="N56" t="str">
        <f ca="1"/>
        <v>【64】 周長測定動作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//周長測定動作
	ELSIF uiInfoIdx = 4 THEN</v>
      </c>
      <c r="AC56" t="str">
        <f ca="1"/>
        <v xml:space="preserve">
	//周長測定動作
	ELSIF uiInfoIdx = 4 THEN
		IF strInfoKey = 'name' THEN</v>
      </c>
      <c r="AD56" t="str">
        <f ca="1"/>
        <v xml:space="preserve">
	//周長測定動作
	ELSIF uiInfoIdx = 4 THEN
		IF strInfoKey = 'name' THEN
			strRt	:= '周長測定動作';</v>
      </c>
      <c r="AE56" t="str">
        <f ca="1"/>
        <v xml:space="preserve">
	//周長測定動作
	ELSIF uiInfoIdx = 4 THEN
		IF strInfoKey = 'name' THEN
			strRt	:= '周長測定動作';
		ELSIF strInfoKey = 'index_name' THEN</v>
      </c>
      <c r="AF56" t="str">
        <f ca="1"/>
        <v xml:space="preserve">
	//周長測定動作
	ELSIF uiInfoIdx = 4 THEN
		IF strInfoKey = 'name' THEN
			strRt	:= '周長測定動作';
		ELSIF strInfoKey = 'index_name' THEN
			strRt	:= '【64】 周長測定動作';</v>
      </c>
      <c r="AG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</v>
      </c>
      <c r="AH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</v>
      </c>
      <c r="AI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</v>
      </c>
      <c r="AJ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</v>
      </c>
      <c r="AK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L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M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40</v>
      </c>
      <c r="K57" t="str">
        <f ca="1"/>
        <v>排出動作</v>
      </c>
      <c r="L57" t="str">
        <f ca="1"/>
        <v>排出動作</v>
      </c>
      <c r="N57" t="str">
        <f ca="1"/>
        <v>【65】 排出動作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//排出動作
	ELSIF uiInfoIdx = 5 THEN</v>
      </c>
      <c r="AC57" t="str">
        <f ca="1"/>
        <v xml:space="preserve">
	//排出動作
	ELSIF uiInfoIdx = 5 THEN
		IF strInfoKey = 'name' THEN</v>
      </c>
      <c r="AD57" t="str">
        <f ca="1"/>
        <v xml:space="preserve">
	//排出動作
	ELSIF uiInfoIdx = 5 THEN
		IF strInfoKey = 'name' THEN
			strRt	:= '排出動作';</v>
      </c>
      <c r="AE57" t="str">
        <f ca="1"/>
        <v xml:space="preserve">
	//排出動作
	ELSIF uiInfoIdx = 5 THEN
		IF strInfoKey = 'name' THEN
			strRt	:= '排出動作';
		ELSIF strInfoKey = 'index_name' THEN</v>
      </c>
      <c r="AF57" t="str">
        <f ca="1"/>
        <v xml:space="preserve">
	//排出動作
	ELSIF uiInfoIdx = 5 THEN
		IF strInfoKey = 'name' THEN
			strRt	:= '排出動作';
		ELSIF strInfoKey = 'index_name' THEN
			strRt	:= '【65】 排出動作';</v>
      </c>
      <c r="AG57" t="str">
        <f ca="1"/>
        <v xml:space="preserve">
	//排出動作
	ELSIF uiInfoIdx = 5 THEN
		IF strInfoKey = 'name' THEN
			strRt	:= '排出動作';
		ELSIF strInfoKey = 'index_name' THEN
			strRt	:= '【65】 排出動作';
		ELSIF strInfoKey = 'model' THEN</v>
      </c>
      <c r="AH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</v>
      </c>
      <c r="AI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</v>
      </c>
      <c r="AJ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</v>
      </c>
      <c r="AK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L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M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'【13】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'【14】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'【15】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'【16】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'【17】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'【18】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'【19】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'【110】 unknown';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//巻取り開始動作
	ELSIF uiInfoIdx = 3 THEN
		IF strInfoKey = 'name' THEN
			strRt	:= '巻取り開始動作';
		ELSIF strInfoKey = 'index_name' THEN
			strRt	:= '【23】 巻取り開始動作';
		ELSIF strInfoKey = 'model' THEN
			strRt	:= 'unknown';
		ELSIF strInfoKey = 'mf' THEN
			strRt	:= 'unknown';
		ELSE
			uiErrCode	:= 3;
		END_IF;
	//巻取り動作
	ELSIF uiInfoIdx = 4 THEN
		IF strInfoKey = 'name' THEN
			strRt	:= '巻取り動作';
		ELSIF strInfoKey = 'index_name' THEN
			strRt	:= '【24】 巻取り動作';
		ELSIF strInfoKey = 'model' THEN
			strRt	:= 'unknown';
		ELSIF strInfoKey = 'mf' THEN
			strRt	:= 'unknown';
		ELSE
			uiErrCode	:= 3;
		END_IF;
	//巻取り終了動作
	ELSIF uiInfoIdx = 5 THEN
		IF strInfoKey = 'name' THEN
			strRt	:= '巻取り終了動作';
		ELSIF strInfoKey = 'index_name' THEN
			strRt	:= '【25】 巻取り終了動作';
		ELSIF strInfoKey = 'model' THEN
			strRt	:= 'unknown';
		ELSIF strInfoKey = 'mf' THEN
			strRt	:= 'unknown';
		ELSE
			uiErrCode	:= 3;
		END_IF;
	//unknown
	ELSIF uiInfoIdx = 6 THEN
		IF strInfoKey = 'name' THEN
			strRt	:= 'unknown';
		ELSIF strInfoKey = 'index_name' THEN
			strRt	:= '【26】 unknown';
		ELSIF strInfoKey = 'model' THEN
			strRt	:= 'unknown';
		ELSIF strInfoKey = 'mf' THEN
			strRt	:= 'unknown';
		ELSE
			uiErrCode	:= 3;
		END_IF;
	//unknown
	ELSIF uiInfoIdx = 7 THEN
		IF strInfoKey = 'name' THEN
			strRt	:= 'unknown';
		ELSIF strInfoKey = 'index_name' THEN
			strRt	:= '【27】 unknown';
		ELSIF strInfoKey = 'model' THEN
			strRt	:= 'unknown';
		ELSIF strInfoKey = 'mf' THEN
			strRt	:= 'unknown';
		ELSE
			uiErrCode	:= 3;
		END_IF;
	//unknown
	ELSIF uiInfoIdx = 8 THEN
		IF strInfoKey = 'name' THEN
			strRt	:= 'unknown';
		ELSIF strInfoKey = 'index_name' THEN
			strRt	:= '【28】 unknown';
		ELSIF strInfoKey = 'model' THEN
			strRt	:= 'unknown';
		ELSIF strInfoKey = 'mf' THEN
			strRt	:= 'unknown';
		ELSE
			uiErrCode	:= 3;
		END_IF;
	//カット動作
	ELSIF uiInfoIdx = 9 THEN
		IF strInfoKey = 'name' THEN
			strRt	:= 'カット動作';
		ELSIF strInfoKey = 'index_name' THEN
			strRt	:= '【29】 カット動作';
		ELSIF strInfoKey = 'model' THEN
			strRt	:= 'unknown';
		ELSIF strInfoKey = 'mf' THEN
			strRt	:= 'unknown';
		ELSE
			uiErrCode	:= 3;
		END_IF;
	//unknown
	ELSIF uiInfoIdx = 10 THEN
		IF strInfoKey = 'name' THEN
			strRt	:= 'unknown';
		ELSIF strInfoKey = 'index_name' THEN
			strRt	:= '【210】 unknown';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//巻取り動作
	ELSIF uiInfoIdx = 3 THEN
		IF strInfoKey = 'name' THEN
			strRt	:= '巻取り動作';
		ELSIF strInfoKey = 'index_name' THEN
			strRt	:= '【33】 巻取り動作';
		ELSIF strInfoKey = 'model' THEN
			strRt	:= 'unknown';
		ELSIF strInfoKey = 'mf' THEN
			strRt	:= 'unknown';
		ELSE
			uiErrCode	:= 3;
		END_IF;
	//巻取り終了動作
	ELSIF uiInfoIdx = 4 THEN
		IF strInfoKey = 'name' THEN
			strRt	:= '巻取り終了動作';
		ELSIF strInfoKey = 'index_name' THEN
			strRt	:= '【34】 巻取り終了動作';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2025-12-15T12:48:49Z</dcterms:modified>
</cp:coreProperties>
</file>