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70BB96DE-F511-4C52-B393-D36C6E8B4305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3" l="1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7" i="1" l="1"/>
  <c r="E8" i="1" s="1"/>
  <c r="E3" i="1"/>
  <c r="E4" i="1" s="1"/>
  <c r="E5" i="1" s="1"/>
  <c r="E6" i="1" s="1"/>
  <c r="D2" i="1"/>
  <c r="C7" i="1"/>
  <c r="C12" i="1" s="1"/>
  <c r="C15" i="1" s="1"/>
  <c r="D15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E9" i="1" l="1"/>
  <c r="E10" i="1" s="1"/>
  <c r="E11" i="1" s="1"/>
  <c r="D6" i="1"/>
  <c r="D12" i="1"/>
  <c r="E12" i="1"/>
  <c r="E13" i="1" s="1"/>
  <c r="E14" i="1" s="1"/>
  <c r="D4" i="1"/>
  <c r="D3" i="1"/>
  <c r="D5" i="1"/>
  <c r="D7" i="1"/>
  <c r="C8" i="1"/>
  <c r="C9" i="1" s="1"/>
  <c r="D9" i="1" s="1"/>
  <c r="C16" i="1"/>
  <c r="C21" i="1"/>
  <c r="C13" i="1"/>
  <c r="B3" i="3" a="1"/>
  <c r="B3" i="3" s="1"/>
  <c r="B5" i="3" s="1"/>
  <c r="H3" i="3"/>
  <c r="A97" i="1"/>
  <c r="F95" i="1"/>
  <c r="A95" i="1"/>
  <c r="E15" i="1" l="1"/>
  <c r="E21" i="1" s="1"/>
  <c r="E24" i="1" s="1"/>
  <c r="D21" i="1"/>
  <c r="C24" i="1"/>
  <c r="C17" i="1"/>
  <c r="D16" i="1"/>
  <c r="D8" i="1"/>
  <c r="C14" i="1"/>
  <c r="D13" i="1"/>
  <c r="C22" i="1"/>
  <c r="H4" i="3"/>
  <c r="H5" i="3"/>
  <c r="E27" i="1" l="1"/>
  <c r="E25" i="1"/>
  <c r="E26" i="1" s="1"/>
  <c r="E16" i="1"/>
  <c r="E17" i="1" s="1"/>
  <c r="E18" i="1" s="1"/>
  <c r="E19" i="1" s="1"/>
  <c r="E20" i="1" s="1"/>
  <c r="C25" i="1"/>
  <c r="D24" i="1"/>
  <c r="C27" i="1"/>
  <c r="E22" i="1"/>
  <c r="E23" i="1" s="1"/>
  <c r="D14" i="1"/>
  <c r="C10" i="1"/>
  <c r="C11" i="1" s="1"/>
  <c r="C23" i="1"/>
  <c r="D22" i="1"/>
  <c r="C18" i="1"/>
  <c r="D17" i="1"/>
  <c r="H6" i="3"/>
  <c r="D11" i="1" l="1"/>
  <c r="C26" i="1"/>
  <c r="D25" i="1"/>
  <c r="E32" i="1"/>
  <c r="E28" i="1"/>
  <c r="E29" i="1" s="1"/>
  <c r="E30" i="1" s="1"/>
  <c r="E31" i="1" s="1"/>
  <c r="C28" i="1"/>
  <c r="C32" i="1"/>
  <c r="D27" i="1"/>
  <c r="D10" i="1"/>
  <c r="C19" i="1"/>
  <c r="D18" i="1"/>
  <c r="D23" i="1"/>
  <c r="H7" i="3"/>
  <c r="H28" i="3" l="1"/>
  <c r="H29" i="3"/>
  <c r="H30" i="3"/>
  <c r="D19" i="1"/>
  <c r="C20" i="1"/>
  <c r="D26" i="1"/>
  <c r="D32" i="1"/>
  <c r="C37" i="1"/>
  <c r="C33" i="1"/>
  <c r="D28" i="1"/>
  <c r="C29" i="1"/>
  <c r="E37" i="1"/>
  <c r="E33" i="1"/>
  <c r="E34" i="1" s="1"/>
  <c r="E35" i="1" s="1"/>
  <c r="E36" i="1" s="1"/>
  <c r="H8" i="3"/>
  <c r="D20" i="1" l="1"/>
  <c r="H31" i="3"/>
  <c r="C30" i="1"/>
  <c r="D29" i="1"/>
  <c r="E38" i="1"/>
  <c r="E39" i="1" s="1"/>
  <c r="E40" i="1" s="1"/>
  <c r="E41" i="1" s="1"/>
  <c r="E42" i="1"/>
  <c r="C34" i="1"/>
  <c r="D33" i="1"/>
  <c r="C42" i="1"/>
  <c r="D37" i="1"/>
  <c r="C38" i="1"/>
  <c r="H9" i="3"/>
  <c r="H32" i="3" l="1"/>
  <c r="E47" i="1"/>
  <c r="E43" i="1"/>
  <c r="E44" i="1" s="1"/>
  <c r="E45" i="1" s="1"/>
  <c r="E46" i="1" s="1"/>
  <c r="C39" i="1"/>
  <c r="D38" i="1"/>
  <c r="C47" i="1"/>
  <c r="C43" i="1"/>
  <c r="D42" i="1"/>
  <c r="D34" i="1"/>
  <c r="C35" i="1"/>
  <c r="C31" i="1"/>
  <c r="D31" i="1" s="1"/>
  <c r="D30" i="1"/>
  <c r="H10" i="3"/>
  <c r="H33" i="3" l="1"/>
  <c r="C44" i="1"/>
  <c r="D43" i="1"/>
  <c r="C52" i="1"/>
  <c r="D47" i="1"/>
  <c r="C48" i="1"/>
  <c r="D39" i="1"/>
  <c r="C40" i="1"/>
  <c r="D35" i="1"/>
  <c r="C36" i="1"/>
  <c r="D36" i="1" s="1"/>
  <c r="E52" i="1"/>
  <c r="E48" i="1"/>
  <c r="E49" i="1" s="1"/>
  <c r="E50" i="1" s="1"/>
  <c r="E51" i="1" s="1"/>
  <c r="H11" i="3"/>
  <c r="H34" i="3" l="1"/>
  <c r="C41" i="1"/>
  <c r="D41" i="1" s="1"/>
  <c r="D40" i="1"/>
  <c r="D48" i="1"/>
  <c r="C49" i="1"/>
  <c r="C57" i="1"/>
  <c r="D52" i="1"/>
  <c r="C53" i="1"/>
  <c r="E57" i="1"/>
  <c r="E53" i="1"/>
  <c r="E54" i="1" s="1"/>
  <c r="E55" i="1" s="1"/>
  <c r="E56" i="1" s="1"/>
  <c r="D44" i="1"/>
  <c r="C45" i="1"/>
  <c r="H12" i="3"/>
  <c r="H35" i="3" l="1"/>
  <c r="C54" i="1"/>
  <c r="D53" i="1"/>
  <c r="C50" i="1"/>
  <c r="D49" i="1"/>
  <c r="E58" i="1"/>
  <c r="E59" i="1" s="1"/>
  <c r="E60" i="1" s="1"/>
  <c r="E61" i="1" s="1"/>
  <c r="E62" i="1"/>
  <c r="C62" i="1"/>
  <c r="D57" i="1"/>
  <c r="C58" i="1"/>
  <c r="C46" i="1"/>
  <c r="D46" i="1" s="1"/>
  <c r="D45" i="1"/>
  <c r="H13" i="3"/>
  <c r="H36" i="3" l="1"/>
  <c r="C67" i="1"/>
  <c r="D62" i="1"/>
  <c r="C63" i="1"/>
  <c r="D50" i="1"/>
  <c r="C51" i="1"/>
  <c r="D51" i="1" s="1"/>
  <c r="E63" i="1"/>
  <c r="E64" i="1" s="1"/>
  <c r="E65" i="1" s="1"/>
  <c r="E66" i="1" s="1"/>
  <c r="E67" i="1"/>
  <c r="D58" i="1"/>
  <c r="C59" i="1"/>
  <c r="D54" i="1"/>
  <c r="C55" i="1"/>
  <c r="H14" i="3"/>
  <c r="H37" i="3" l="1"/>
  <c r="E68" i="1"/>
  <c r="E69" i="1" s="1"/>
  <c r="E70" i="1" s="1"/>
  <c r="E71" i="1" s="1"/>
  <c r="E72" i="1"/>
  <c r="D55" i="1"/>
  <c r="C56" i="1"/>
  <c r="D56" i="1" s="1"/>
  <c r="D63" i="1"/>
  <c r="C64" i="1"/>
  <c r="C60" i="1"/>
  <c r="D59" i="1"/>
  <c r="D67" i="1"/>
  <c r="C72" i="1"/>
  <c r="C68" i="1"/>
  <c r="H15" i="3"/>
  <c r="H38" i="3" l="1"/>
  <c r="D64" i="1"/>
  <c r="C65" i="1"/>
  <c r="D60" i="1"/>
  <c r="C61" i="1"/>
  <c r="D61" i="1" s="1"/>
  <c r="D68" i="1"/>
  <c r="C69" i="1"/>
  <c r="D72" i="1"/>
  <c r="C77" i="1"/>
  <c r="C73" i="1"/>
  <c r="E77" i="1"/>
  <c r="E73" i="1"/>
  <c r="E74" i="1" s="1"/>
  <c r="E75" i="1" s="1"/>
  <c r="E76" i="1" s="1"/>
  <c r="H16" i="3"/>
  <c r="H39" i="3" l="1"/>
  <c r="C82" i="1"/>
  <c r="D77" i="1"/>
  <c r="C78" i="1"/>
  <c r="C70" i="1"/>
  <c r="D69" i="1"/>
  <c r="E82" i="1"/>
  <c r="E78" i="1"/>
  <c r="E79" i="1" s="1"/>
  <c r="E80" i="1" s="1"/>
  <c r="E81" i="1" s="1"/>
  <c r="C66" i="1"/>
  <c r="D66" i="1" s="1"/>
  <c r="D65" i="1"/>
  <c r="C74" i="1"/>
  <c r="D73" i="1"/>
  <c r="H17" i="3"/>
  <c r="H40" i="3" l="1"/>
  <c r="E83" i="1"/>
  <c r="E84" i="1" s="1"/>
  <c r="E85" i="1" s="1"/>
  <c r="E86" i="1" s="1"/>
  <c r="E87" i="1"/>
  <c r="E88" i="1" s="1"/>
  <c r="E89" i="1" s="1"/>
  <c r="E90" i="1" s="1"/>
  <c r="E91" i="1" s="1"/>
  <c r="C71" i="1"/>
  <c r="D71" i="1" s="1"/>
  <c r="D70" i="1"/>
  <c r="C79" i="1"/>
  <c r="D78" i="1"/>
  <c r="C75" i="1"/>
  <c r="D74" i="1"/>
  <c r="C83" i="1"/>
  <c r="C87" i="1"/>
  <c r="D82" i="1"/>
  <c r="H18" i="3"/>
  <c r="H41" i="3" l="1"/>
  <c r="D75" i="1"/>
  <c r="C76" i="1"/>
  <c r="D76" i="1" s="1"/>
  <c r="D79" i="1"/>
  <c r="C80" i="1"/>
  <c r="C88" i="1"/>
  <c r="D87" i="1"/>
  <c r="D83" i="1"/>
  <c r="C84" i="1"/>
  <c r="H19" i="3"/>
  <c r="H42" i="3" l="1"/>
  <c r="D80" i="1"/>
  <c r="C81" i="1"/>
  <c r="D81" i="1" s="1"/>
  <c r="C89" i="1"/>
  <c r="D88" i="1"/>
  <c r="D84" i="1"/>
  <c r="C85" i="1"/>
  <c r="H20" i="3"/>
  <c r="H43" i="3" l="1"/>
  <c r="D89" i="1"/>
  <c r="C90" i="1"/>
  <c r="D85" i="1"/>
  <c r="C86" i="1"/>
  <c r="D86" i="1" s="1"/>
  <c r="H21" i="3"/>
  <c r="H44" i="3" l="1"/>
  <c r="C91" i="1"/>
  <c r="D91" i="1" s="1"/>
  <c r="D90" i="1"/>
  <c r="H22" i="3"/>
  <c r="H45" i="3" l="1"/>
  <c r="H23" i="3"/>
  <c r="H46" i="3" l="1"/>
  <c r="E97" i="1"/>
  <c r="D97" i="1"/>
  <c r="D99" i="1"/>
  <c r="E99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<sst xmlns="http://schemas.openxmlformats.org/spreadsheetml/2006/main" count="148" uniqueCount="107">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</sst>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5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9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J9" sqref="J8:J9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99</v>
      </c>
      <c r="I2" s="28" t="s">
        <v>102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1" si="0">B3&amp;C3</f>
        <v>1</v>
      </c>
      <c r="E3" s="4">
        <f>E2+1</f>
        <v>2</v>
      </c>
      <c r="F3" s="9"/>
      <c r="G3" s="9" t="s">
        <v>72</v>
      </c>
      <c r="H3" s="9" t="s">
        <v>100</v>
      </c>
      <c r="I3" s="9" t="s">
        <v>103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97</v>
      </c>
      <c r="I4" s="9" t="s">
        <v>104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98</v>
      </c>
      <c r="I5" s="9" t="s">
        <v>105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101</v>
      </c>
      <c r="I6" s="9" t="s">
        <v>106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99</v>
      </c>
      <c r="I7" s="5" t="s">
        <v>102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100</v>
      </c>
      <c r="I8" s="5" t="s">
        <v>103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1" si="4">C8</f>
        <v>2</v>
      </c>
      <c r="D9" s="4" t="str">
        <f t="shared" si="0"/>
        <v>2</v>
      </c>
      <c r="E9" s="4">
        <f t="shared" ref="E9:E11" si="5">E8+1</f>
        <v>3</v>
      </c>
      <c r="F9" s="5"/>
      <c r="G9" s="5" t="s">
        <v>73</v>
      </c>
      <c r="H9" s="5" t="s">
        <v>97</v>
      </c>
      <c r="I9" s="5" t="s">
        <v>104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98</v>
      </c>
      <c r="I10" s="5" t="s">
        <v>105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101</v>
      </c>
      <c r="I11" s="5" t="s">
        <v>106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>C7+1</f>
        <v>3</v>
      </c>
      <c r="D12" s="4" t="str">
        <f t="shared" si="0"/>
        <v>3</v>
      </c>
      <c r="E12" s="4">
        <f>E7</f>
        <v>1</v>
      </c>
      <c r="F12" s="5"/>
      <c r="G12" s="5" t="s">
        <v>74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 t="shared" ref="C13:C91" si="7">C12</f>
        <v>3</v>
      </c>
      <c r="D13" s="4" t="str">
        <f t="shared" si="0"/>
        <v>3</v>
      </c>
      <c r="E13" s="4">
        <f t="shared" ref="E13:E71" si="8">E12+1</f>
        <v>2</v>
      </c>
      <c r="F13" s="5"/>
      <c r="G13" s="5" t="s">
        <v>74</v>
      </c>
      <c r="H13" s="5" t="s">
        <v>71</v>
      </c>
      <c r="I13" s="5" t="s">
        <v>83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 t="s">
        <v>74</v>
      </c>
      <c r="H14" s="5" t="s">
        <v>95</v>
      </c>
      <c r="I14" s="5" t="s">
        <v>96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>C12+1</f>
        <v>4</v>
      </c>
      <c r="D15" s="4" t="str">
        <f t="shared" si="0"/>
        <v>4</v>
      </c>
      <c r="E15" s="4">
        <f>E12</f>
        <v>1</v>
      </c>
      <c r="F15" s="5"/>
      <c r="G15" s="5" t="s">
        <v>75</v>
      </c>
      <c r="H15" s="5" t="s">
        <v>69</v>
      </c>
      <c r="I15" s="5" t="s">
        <v>70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ref="C16" si="9">C15</f>
        <v>4</v>
      </c>
      <c r="D16" s="4" t="str">
        <f t="shared" si="0"/>
        <v>4</v>
      </c>
      <c r="E16" s="4">
        <f t="shared" ref="E16" si="10">E15+1</f>
        <v>2</v>
      </c>
      <c r="F16" s="5"/>
      <c r="G16" s="5" t="s">
        <v>75</v>
      </c>
      <c r="H16" s="5" t="s">
        <v>89</v>
      </c>
      <c r="I16" s="5" t="s">
        <v>90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7"/>
        <v>4</v>
      </c>
      <c r="D17" s="4" t="str">
        <f t="shared" si="0"/>
        <v>4</v>
      </c>
      <c r="E17" s="4">
        <f t="shared" si="8"/>
        <v>3</v>
      </c>
      <c r="F17" s="5"/>
      <c r="G17" s="5" t="s">
        <v>75</v>
      </c>
      <c r="H17" s="5" t="s">
        <v>79</v>
      </c>
      <c r="I17" s="5" t="s">
        <v>84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7"/>
        <v>4</v>
      </c>
      <c r="D18" s="4" t="str">
        <f t="shared" si="0"/>
        <v>4</v>
      </c>
      <c r="E18" s="4">
        <f t="shared" si="8"/>
        <v>4</v>
      </c>
      <c r="F18" s="5"/>
      <c r="G18" s="5" t="s">
        <v>75</v>
      </c>
      <c r="H18" s="5" t="s">
        <v>78</v>
      </c>
      <c r="I18" s="5" t="s">
        <v>85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7"/>
        <v>4</v>
      </c>
      <c r="D19" s="4" t="str">
        <f t="shared" si="0"/>
        <v>4</v>
      </c>
      <c r="E19" s="4">
        <f t="shared" si="8"/>
        <v>5</v>
      </c>
      <c r="F19" s="5"/>
      <c r="G19" s="5" t="s">
        <v>75</v>
      </c>
      <c r="H19" s="5" t="s">
        <v>92</v>
      </c>
      <c r="I19" s="5" t="s">
        <v>93</v>
      </c>
      <c r="J19" s="5"/>
      <c r="K19" s="6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7"/>
        <v>4</v>
      </c>
      <c r="D20" s="4" t="str">
        <f t="shared" ref="D20" si="11">B20&amp;C20</f>
        <v>4</v>
      </c>
      <c r="E20" s="4">
        <f t="shared" si="8"/>
        <v>6</v>
      </c>
      <c r="F20" s="5"/>
      <c r="G20" s="5" t="s">
        <v>75</v>
      </c>
      <c r="H20" s="5" t="s">
        <v>82</v>
      </c>
      <c r="I20" s="5" t="s">
        <v>86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>C15+1</f>
        <v>5</v>
      </c>
      <c r="D21" s="4" t="str">
        <f t="shared" si="0"/>
        <v>5</v>
      </c>
      <c r="E21" s="4">
        <f>E15</f>
        <v>1</v>
      </c>
      <c r="F21" s="5"/>
      <c r="G21" s="5" t="s">
        <v>76</v>
      </c>
      <c r="H21" s="5" t="s">
        <v>69</v>
      </c>
      <c r="I21" s="5" t="s">
        <v>70</v>
      </c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 t="shared" ref="C22" si="12">C21</f>
        <v>5</v>
      </c>
      <c r="D22" s="4" t="str">
        <f t="shared" si="0"/>
        <v>5</v>
      </c>
      <c r="E22" s="4">
        <f t="shared" ref="E22" si="13">E21+1</f>
        <v>2</v>
      </c>
      <c r="F22" s="5"/>
      <c r="G22" s="5" t="s">
        <v>76</v>
      </c>
      <c r="H22" s="5" t="s">
        <v>81</v>
      </c>
      <c r="I22" s="5" t="s">
        <v>87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si="7"/>
        <v>5</v>
      </c>
      <c r="D23" s="4" t="str">
        <f t="shared" si="0"/>
        <v>5</v>
      </c>
      <c r="E23" s="4">
        <f t="shared" si="8"/>
        <v>3</v>
      </c>
      <c r="F23" s="5"/>
      <c r="G23" s="5" t="s">
        <v>76</v>
      </c>
      <c r="H23" s="5" t="s">
        <v>91</v>
      </c>
      <c r="I23" s="5" t="s">
        <v>94</v>
      </c>
      <c r="J23" s="5"/>
      <c r="K23" s="5"/>
      <c r="L23" s="5"/>
      <c r="M23" s="5"/>
      <c r="N23" s="8"/>
      <c r="O23" s="21"/>
      <c r="P23" s="21"/>
      <c r="Q23" s="21"/>
      <c r="R23" s="7"/>
    </row>
    <row r="24" spans="1:18" x14ac:dyDescent="0.55000000000000004">
      <c r="A24" s="4"/>
      <c r="B24" s="4"/>
      <c r="C24" s="4">
        <f>C21+1</f>
        <v>6</v>
      </c>
      <c r="D24" s="4" t="str">
        <f t="shared" si="0"/>
        <v>6</v>
      </c>
      <c r="E24" s="4">
        <f>E21</f>
        <v>1</v>
      </c>
      <c r="F24" s="5"/>
      <c r="G24" s="5" t="s">
        <v>77</v>
      </c>
      <c r="H24" s="5" t="s">
        <v>69</v>
      </c>
      <c r="I24" s="5" t="s">
        <v>70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 t="shared" ref="C25" si="14">C24</f>
        <v>6</v>
      </c>
      <c r="D25" s="4" t="str">
        <f t="shared" si="0"/>
        <v>6</v>
      </c>
      <c r="E25" s="4">
        <f t="shared" ref="E25" si="15">E24+1</f>
        <v>2</v>
      </c>
      <c r="F25" s="9"/>
      <c r="G25" s="5" t="s">
        <v>77</v>
      </c>
      <c r="H25" s="9" t="s">
        <v>80</v>
      </c>
      <c r="I25" s="9" t="s">
        <v>88</v>
      </c>
      <c r="J25" s="9"/>
      <c r="K25" s="9"/>
      <c r="L25" s="9"/>
      <c r="M25" s="9"/>
      <c r="N25" s="10"/>
      <c r="O25" s="22"/>
      <c r="P25" s="22"/>
      <c r="Q25" s="22"/>
      <c r="R25" s="7"/>
    </row>
    <row r="26" spans="1:18" x14ac:dyDescent="0.55000000000000004">
      <c r="A26" s="4"/>
      <c r="B26" s="4"/>
      <c r="C26" s="4">
        <f t="shared" si="7"/>
        <v>6</v>
      </c>
      <c r="D26" s="4" t="str">
        <f t="shared" si="0"/>
        <v>6</v>
      </c>
      <c r="E26" s="4">
        <f t="shared" si="8"/>
        <v>3</v>
      </c>
      <c r="F26" s="5"/>
      <c r="G26" s="5" t="s">
        <v>77</v>
      </c>
      <c r="H26" s="5" t="s">
        <v>82</v>
      </c>
      <c r="I26" s="5" t="s">
        <v>86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/>
      <c r="B27" s="4"/>
      <c r="C27" s="4">
        <f>C24+1</f>
        <v>7</v>
      </c>
      <c r="D27" s="4" t="str">
        <f t="shared" si="0"/>
        <v>7</v>
      </c>
      <c r="E27" s="4">
        <f>E24</f>
        <v>1</v>
      </c>
      <c r="F27" s="9"/>
      <c r="G27" s="9"/>
      <c r="H27" s="9"/>
      <c r="I27" s="9"/>
      <c r="J27" s="9"/>
      <c r="K27" s="9"/>
      <c r="L27" s="9"/>
      <c r="M27" s="9"/>
      <c r="N27" s="10"/>
      <c r="O27" s="22"/>
      <c r="P27" s="22"/>
      <c r="Q27" s="22"/>
      <c r="R27" s="7"/>
    </row>
    <row r="28" spans="1:18" x14ac:dyDescent="0.55000000000000004">
      <c r="A28" s="4"/>
      <c r="B28" s="4"/>
      <c r="C28" s="4">
        <f t="shared" ref="C28" si="16">C27</f>
        <v>7</v>
      </c>
      <c r="D28" s="4" t="str">
        <f t="shared" si="0"/>
        <v>7</v>
      </c>
      <c r="E28" s="4">
        <f t="shared" ref="E28" si="17">E27+1</f>
        <v>2</v>
      </c>
      <c r="F28" s="9"/>
      <c r="G28" s="9"/>
      <c r="H28" s="9"/>
      <c r="I28" s="9"/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/>
      <c r="B29" s="4"/>
      <c r="C29" s="4">
        <f t="shared" si="7"/>
        <v>7</v>
      </c>
      <c r="D29" s="4" t="str">
        <f t="shared" si="0"/>
        <v>7</v>
      </c>
      <c r="E29" s="4">
        <f t="shared" si="8"/>
        <v>3</v>
      </c>
      <c r="F29" s="5"/>
      <c r="G29" s="5"/>
      <c r="H29" s="5"/>
      <c r="I29" s="5"/>
      <c r="J29" s="5"/>
      <c r="K29" s="5"/>
      <c r="L29" s="5"/>
      <c r="M29" s="5"/>
      <c r="N29" s="5"/>
      <c r="O29" s="7"/>
      <c r="P29" s="7"/>
      <c r="Q29" s="7"/>
      <c r="R29" s="7"/>
    </row>
    <row r="30" spans="1:18" x14ac:dyDescent="0.55000000000000004">
      <c r="A30" s="4"/>
      <c r="B30" s="4"/>
      <c r="C30" s="4">
        <f t="shared" si="7"/>
        <v>7</v>
      </c>
      <c r="D30" s="4" t="str">
        <f t="shared" si="0"/>
        <v>7</v>
      </c>
      <c r="E30" s="4">
        <f t="shared" si="8"/>
        <v>4</v>
      </c>
      <c r="F30" s="5"/>
      <c r="G30" s="5"/>
      <c r="H30" s="5"/>
      <c r="I30" s="5"/>
      <c r="J30" s="5"/>
      <c r="K30" s="5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7"/>
        <v>7</v>
      </c>
      <c r="D31" s="4" t="str">
        <f t="shared" si="0"/>
        <v>7</v>
      </c>
      <c r="E31" s="4">
        <f t="shared" si="8"/>
        <v>5</v>
      </c>
      <c r="F31" s="5"/>
      <c r="G31" s="5"/>
      <c r="H31" s="5"/>
      <c r="I31" s="5"/>
      <c r="J31" s="5"/>
      <c r="K31" s="5"/>
      <c r="L31" s="5"/>
      <c r="M31" s="5"/>
      <c r="N31" s="5"/>
      <c r="O31" s="7"/>
      <c r="P31" s="7"/>
      <c r="Q31" s="7"/>
      <c r="R31" s="7"/>
    </row>
    <row r="32" spans="1:18" x14ac:dyDescent="0.55000000000000004">
      <c r="A32" s="26"/>
      <c r="B32" s="4"/>
      <c r="C32" s="26">
        <f t="shared" ref="C32" si="18">C27+1</f>
        <v>8</v>
      </c>
      <c r="D32" s="26" t="str">
        <f t="shared" si="0"/>
        <v>8</v>
      </c>
      <c r="E32" s="4">
        <f t="shared" ref="E32" si="19">E27</f>
        <v>1</v>
      </c>
      <c r="F32" s="11"/>
      <c r="G32" s="11"/>
      <c r="H32" s="11"/>
      <c r="I32" s="11"/>
      <c r="J32" s="11"/>
      <c r="K32" s="11"/>
      <c r="L32" s="11"/>
      <c r="M32" s="11"/>
      <c r="N32" s="12"/>
      <c r="O32" s="23"/>
      <c r="P32" s="23"/>
      <c r="Q32" s="23"/>
      <c r="R32" s="7"/>
    </row>
    <row r="33" spans="1:18" x14ac:dyDescent="0.55000000000000004">
      <c r="A33" s="26"/>
      <c r="B33" s="4"/>
      <c r="C33" s="26">
        <f t="shared" ref="C33" si="20">C32</f>
        <v>8</v>
      </c>
      <c r="D33" s="26" t="str">
        <f t="shared" si="0"/>
        <v>8</v>
      </c>
      <c r="E33" s="4">
        <f t="shared" ref="E33" si="21">E32+1</f>
        <v>2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26"/>
      <c r="B34" s="4"/>
      <c r="C34" s="26">
        <f t="shared" si="7"/>
        <v>8</v>
      </c>
      <c r="D34" s="26" t="str">
        <f t="shared" si="0"/>
        <v>8</v>
      </c>
      <c r="E34" s="4">
        <f t="shared" si="8"/>
        <v>3</v>
      </c>
      <c r="F34" s="11"/>
      <c r="G34" s="11"/>
      <c r="H34" s="11"/>
      <c r="I34" s="11"/>
      <c r="J34" s="11"/>
      <c r="K34" s="11"/>
      <c r="L34" s="11"/>
      <c r="M34" s="11"/>
      <c r="N34" s="12"/>
      <c r="O34" s="23"/>
      <c r="P34" s="23"/>
      <c r="Q34" s="23"/>
      <c r="R34" s="7"/>
    </row>
    <row r="35" spans="1:18" x14ac:dyDescent="0.55000000000000004">
      <c r="A35" s="4"/>
      <c r="B35" s="4"/>
      <c r="C35" s="4">
        <f t="shared" si="7"/>
        <v>8</v>
      </c>
      <c r="D35" s="4" t="str">
        <f t="shared" si="0"/>
        <v>8</v>
      </c>
      <c r="E35" s="4">
        <f t="shared" si="8"/>
        <v>4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si="7"/>
        <v>8</v>
      </c>
      <c r="D36" s="4" t="str">
        <f t="shared" si="0"/>
        <v>8</v>
      </c>
      <c r="E36" s="4">
        <f t="shared" si="8"/>
        <v>5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ref="C37" si="22">C32+1</f>
        <v>9</v>
      </c>
      <c r="D37" s="4" t="str">
        <f t="shared" si="0"/>
        <v>9</v>
      </c>
      <c r="E37" s="4">
        <f t="shared" ref="E37" si="23">E32</f>
        <v>1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ref="C38" si="24">C37</f>
        <v>9</v>
      </c>
      <c r="D38" s="4" t="str">
        <f t="shared" si="0"/>
        <v>9</v>
      </c>
      <c r="E38" s="4">
        <f t="shared" ref="E38" si="25">E37+1</f>
        <v>2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7"/>
        <v>9</v>
      </c>
      <c r="D39" s="4" t="str">
        <f t="shared" si="0"/>
        <v>9</v>
      </c>
      <c r="E39" s="4">
        <f t="shared" si="8"/>
        <v>3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7"/>
        <v>9</v>
      </c>
      <c r="D40" s="4" t="str">
        <f t="shared" si="0"/>
        <v>9</v>
      </c>
      <c r="E40" s="4">
        <f t="shared" si="8"/>
        <v>4</v>
      </c>
      <c r="F40" s="5"/>
      <c r="G40" s="5"/>
      <c r="H40" s="5"/>
      <c r="I40" s="5"/>
      <c r="J40" s="5"/>
      <c r="K40" s="13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7"/>
        <v>9</v>
      </c>
      <c r="D41" s="4" t="str">
        <f t="shared" si="0"/>
        <v>9</v>
      </c>
      <c r="E41" s="4">
        <f t="shared" si="8"/>
        <v>5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ref="C42" si="26">C37+1</f>
        <v>10</v>
      </c>
      <c r="D42" s="4" t="str">
        <f t="shared" si="0"/>
        <v>10</v>
      </c>
      <c r="E42" s="4">
        <f t="shared" ref="E42" si="27">E37</f>
        <v>1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ref="C43" si="28">C42</f>
        <v>10</v>
      </c>
      <c r="D43" s="4" t="str">
        <f t="shared" si="0"/>
        <v>10</v>
      </c>
      <c r="E43" s="4">
        <f t="shared" ref="E43" si="29">E42+1</f>
        <v>2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7"/>
        <v>10</v>
      </c>
      <c r="D44" s="4" t="str">
        <f t="shared" si="0"/>
        <v>10</v>
      </c>
      <c r="E44" s="4">
        <f t="shared" si="8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7"/>
        <v>10</v>
      </c>
      <c r="D45" s="4" t="str">
        <f t="shared" si="0"/>
        <v>10</v>
      </c>
      <c r="E45" s="4">
        <f t="shared" si="8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7"/>
        <v>10</v>
      </c>
      <c r="D46" s="4" t="str">
        <f t="shared" si="0"/>
        <v>10</v>
      </c>
      <c r="E46" s="4">
        <f t="shared" si="8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0">C42+1</f>
        <v>11</v>
      </c>
      <c r="D47" s="4" t="str">
        <f t="shared" si="0"/>
        <v>11</v>
      </c>
      <c r="E47" s="4">
        <f t="shared" ref="E47" si="31">E42</f>
        <v>1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2">C47</f>
        <v>11</v>
      </c>
      <c r="D48" s="4" t="str">
        <f t="shared" si="0"/>
        <v>11</v>
      </c>
      <c r="E48" s="4">
        <f t="shared" ref="E48" si="33">E47+1</f>
        <v>2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11</v>
      </c>
      <c r="D49" s="4" t="str">
        <f t="shared" si="0"/>
        <v>11</v>
      </c>
      <c r="E49" s="4">
        <f t="shared" si="8"/>
        <v>3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11</v>
      </c>
      <c r="D50" s="4" t="str">
        <f t="shared" si="0"/>
        <v>11</v>
      </c>
      <c r="E50" s="4">
        <f t="shared" si="8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11</v>
      </c>
      <c r="D51" s="4" t="str">
        <f t="shared" si="0"/>
        <v>11</v>
      </c>
      <c r="E51" s="4">
        <f t="shared" si="8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4">C47+1</f>
        <v>12</v>
      </c>
      <c r="D52" s="4" t="str">
        <f t="shared" si="0"/>
        <v>12</v>
      </c>
      <c r="E52" s="4">
        <f t="shared" ref="E52" si="35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6">C52</f>
        <v>12</v>
      </c>
      <c r="D53" s="4" t="str">
        <f t="shared" si="0"/>
        <v>12</v>
      </c>
      <c r="E53" s="4">
        <f t="shared" ref="E53" si="37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12</v>
      </c>
      <c r="D54" s="4" t="str">
        <f t="shared" si="0"/>
        <v>12</v>
      </c>
      <c r="E54" s="4">
        <f t="shared" si="8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12</v>
      </c>
      <c r="D55" s="4" t="str">
        <f t="shared" si="0"/>
        <v>12</v>
      </c>
      <c r="E55" s="4">
        <f t="shared" si="8"/>
        <v>4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12</v>
      </c>
      <c r="D56" s="4" t="str">
        <f t="shared" si="0"/>
        <v>12</v>
      </c>
      <c r="E56" s="4">
        <f t="shared" si="8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:C87" si="38">C52+1</f>
        <v>13</v>
      </c>
      <c r="D57" s="4" t="str">
        <f t="shared" si="0"/>
        <v>13</v>
      </c>
      <c r="E57" s="4">
        <f t="shared" ref="E57" si="39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:C88" si="40">C57</f>
        <v>13</v>
      </c>
      <c r="D58" s="4" t="str">
        <f t="shared" si="0"/>
        <v>13</v>
      </c>
      <c r="E58" s="4">
        <f t="shared" ref="E58" si="41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13</v>
      </c>
      <c r="D59" s="4" t="str">
        <f t="shared" si="0"/>
        <v>13</v>
      </c>
      <c r="E59" s="4">
        <f t="shared" si="8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13</v>
      </c>
      <c r="D60" s="4" t="str">
        <f t="shared" si="0"/>
        <v>13</v>
      </c>
      <c r="E60" s="4">
        <f t="shared" si="8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13</v>
      </c>
      <c r="D61" s="4" t="str">
        <f t="shared" si="0"/>
        <v>13</v>
      </c>
      <c r="E61" s="4">
        <f t="shared" si="8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38"/>
        <v>14</v>
      </c>
      <c r="D62" s="4" t="str">
        <f t="shared" ref="D62:D91" si="42">B62&amp;C62</f>
        <v>14</v>
      </c>
      <c r="E62" s="4">
        <f t="shared" ref="E62" si="43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40"/>
        <v>14</v>
      </c>
      <c r="D63" s="4" t="str">
        <f t="shared" si="42"/>
        <v>14</v>
      </c>
      <c r="E63" s="4">
        <f t="shared" ref="E63" si="44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14</v>
      </c>
      <c r="D64" s="4" t="str">
        <f t="shared" si="42"/>
        <v>14</v>
      </c>
      <c r="E64" s="4">
        <f t="shared" si="8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14</v>
      </c>
      <c r="D65" s="4" t="str">
        <f t="shared" si="42"/>
        <v>14</v>
      </c>
      <c r="E65" s="4">
        <f t="shared" si="8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14</v>
      </c>
      <c r="D66" s="4" t="str">
        <f t="shared" si="42"/>
        <v>14</v>
      </c>
      <c r="E66" s="4">
        <f t="shared" si="8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38"/>
        <v>15</v>
      </c>
      <c r="D67" s="4" t="str">
        <f t="shared" si="42"/>
        <v>15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0"/>
        <v>15</v>
      </c>
      <c r="D68" s="4" t="str">
        <f t="shared" si="42"/>
        <v>15</v>
      </c>
      <c r="E68" s="4">
        <f t="shared" ref="E68" si="46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15</v>
      </c>
      <c r="D69" s="4" t="str">
        <f t="shared" si="42"/>
        <v>15</v>
      </c>
      <c r="E69" s="4">
        <f t="shared" si="8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15</v>
      </c>
      <c r="D70" s="4" t="str">
        <f t="shared" si="42"/>
        <v>15</v>
      </c>
      <c r="E70" s="4">
        <f t="shared" si="8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15</v>
      </c>
      <c r="D71" s="4" t="str">
        <f t="shared" si="42"/>
        <v>15</v>
      </c>
      <c r="E71" s="4">
        <f t="shared" si="8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38"/>
        <v>16</v>
      </c>
      <c r="D72" s="4" t="str">
        <f t="shared" si="42"/>
        <v>16</v>
      </c>
      <c r="E72" s="4">
        <f t="shared" ref="E72" si="47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0"/>
        <v>16</v>
      </c>
      <c r="D73" s="4" t="str">
        <f t="shared" si="42"/>
        <v>16</v>
      </c>
      <c r="E73" s="4">
        <f t="shared" ref="E73:E91" si="48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16</v>
      </c>
      <c r="D74" s="4" t="str">
        <f t="shared" si="42"/>
        <v>16</v>
      </c>
      <c r="E74" s="4">
        <f t="shared" si="4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16</v>
      </c>
      <c r="D75" s="4" t="str">
        <f t="shared" si="42"/>
        <v>16</v>
      </c>
      <c r="E75" s="4">
        <f t="shared" si="4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16</v>
      </c>
      <c r="D76" s="4" t="str">
        <f t="shared" si="42"/>
        <v>16</v>
      </c>
      <c r="E76" s="4">
        <f t="shared" si="4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38"/>
        <v>17</v>
      </c>
      <c r="D77" s="4" t="str">
        <f t="shared" si="42"/>
        <v>17</v>
      </c>
      <c r="E77" s="4">
        <f t="shared" ref="E77" si="49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0"/>
        <v>17</v>
      </c>
      <c r="D78" s="4" t="str">
        <f t="shared" si="42"/>
        <v>17</v>
      </c>
      <c r="E78" s="4">
        <f t="shared" ref="E78" si="50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17</v>
      </c>
      <c r="D79" s="4" t="str">
        <f t="shared" si="42"/>
        <v>17</v>
      </c>
      <c r="E79" s="4">
        <f t="shared" si="48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17</v>
      </c>
      <c r="D80" s="4" t="str">
        <f t="shared" si="42"/>
        <v>17</v>
      </c>
      <c r="E80" s="4">
        <f t="shared" si="48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17</v>
      </c>
      <c r="D81" s="4" t="str">
        <f t="shared" si="42"/>
        <v>17</v>
      </c>
      <c r="E81" s="4">
        <f t="shared" si="48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38"/>
        <v>18</v>
      </c>
      <c r="D82" s="4" t="str">
        <f t="shared" si="42"/>
        <v>18</v>
      </c>
      <c r="E82" s="4">
        <f t="shared" ref="E82" si="51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0"/>
        <v>18</v>
      </c>
      <c r="D83" s="4" t="str">
        <f t="shared" si="42"/>
        <v>18</v>
      </c>
      <c r="E83" s="4">
        <f t="shared" ref="E83" si="52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18</v>
      </c>
      <c r="D84" s="4" t="str">
        <f t="shared" si="42"/>
        <v>18</v>
      </c>
      <c r="E84" s="4">
        <f t="shared" si="48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18</v>
      </c>
      <c r="D85" s="4" t="str">
        <f t="shared" si="42"/>
        <v>18</v>
      </c>
      <c r="E85" s="4">
        <f t="shared" si="48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18</v>
      </c>
      <c r="D86" s="4" t="str">
        <f t="shared" si="42"/>
        <v>18</v>
      </c>
      <c r="E86" s="4">
        <f t="shared" si="48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38"/>
        <v>19</v>
      </c>
      <c r="D87" s="4" t="str">
        <f t="shared" si="42"/>
        <v>19</v>
      </c>
      <c r="E87" s="4">
        <f t="shared" ref="E87" si="53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0"/>
        <v>19</v>
      </c>
      <c r="D88" s="4" t="str">
        <f t="shared" si="42"/>
        <v>19</v>
      </c>
      <c r="E88" s="4">
        <f t="shared" ref="E88" si="54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19</v>
      </c>
      <c r="D89" s="4" t="str">
        <f t="shared" si="42"/>
        <v>19</v>
      </c>
      <c r="E89" s="4">
        <f t="shared" si="4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19</v>
      </c>
      <c r="D90" s="4" t="str">
        <f t="shared" si="42"/>
        <v>19</v>
      </c>
      <c r="E90" s="4">
        <f t="shared" si="4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19</v>
      </c>
      <c r="D91" s="4" t="str">
        <f t="shared" si="42"/>
        <v>19</v>
      </c>
      <c r="E91" s="4">
        <f t="shared" si="4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15"/>
      <c r="B92" s="15"/>
      <c r="C92" s="15"/>
      <c r="D92" s="15"/>
      <c r="E92" s="15"/>
      <c r="F92" s="16"/>
      <c r="G92" s="16"/>
      <c r="H92" s="16"/>
      <c r="I92" s="16"/>
      <c r="J92" s="16"/>
      <c r="K92" s="16"/>
      <c r="L92" s="16"/>
      <c r="M92" s="16"/>
      <c r="N92" s="16"/>
      <c r="O92" s="17"/>
      <c r="P92" s="17"/>
      <c r="Q92" s="17"/>
      <c r="R92" s="17"/>
    </row>
    <row r="94" spans="1:18" x14ac:dyDescent="0.55000000000000004">
      <c r="A94" t="s">
        <v>9</v>
      </c>
      <c r="F94" t="s">
        <v>8</v>
      </c>
    </row>
    <row r="95" spans="1:18" x14ac:dyDescent="0.55000000000000004">
      <c r="A95">
        <f>MAX(A$2:A$92)</f>
        <v>0</v>
      </c>
      <c r="F95">
        <f>MAX(F$2:F$92)</f>
        <v>0</v>
      </c>
    </row>
    <row r="96" spans="1:18" x14ac:dyDescent="0.55000000000000004">
      <c r="A96" t="s">
        <v>40</v>
      </c>
      <c r="D96" t="s">
        <v>14</v>
      </c>
      <c r="E96" t="s">
        <v>13</v>
      </c>
    </row>
    <row r="97" spans="1:5" x14ac:dyDescent="0.55000000000000004">
      <c r="A97">
        <f>ROW(A93)-ROW(A1)-1</f>
        <v>91</v>
      </c>
      <c r="D97">
        <f>COUNTIF(D$2:D$92,D96)</f>
        <v>0</v>
      </c>
      <c r="E97" s="25">
        <f>_xlfn.MAXIFS(E$2:E$92,$D$2:$D$92,E96)</f>
        <v>0</v>
      </c>
    </row>
    <row r="98" spans="1:5" x14ac:dyDescent="0.55000000000000004">
      <c r="D98" t="s">
        <v>12</v>
      </c>
      <c r="E98" t="s">
        <v>12</v>
      </c>
    </row>
    <row r="99" spans="1:5" x14ac:dyDescent="0.55000000000000004">
      <c r="D99">
        <f>COUNTIF(D$2:D$92,D98)</f>
        <v>0</v>
      </c>
      <c r="E99" s="25">
        <f>_xlfn.MAXIFS(E$2:E$92,$D$2:$D$92,E98)</f>
        <v>0</v>
      </c>
    </row>
  </sheetData>
  <autoFilter ref="A1:R91" xr:uid="{48D32264-F25D-40E9-9C76-26E43E79C8CC}">
    <sortState xmlns:xlrd2="http://schemas.microsoft.com/office/spreadsheetml/2017/richdata2" ref="A2:R91">
      <sortCondition ref="D1:D91"/>
    </sortState>
  </autoFilter>
  <phoneticPr fontId="1"/>
  <conditionalFormatting sqref="A2:R92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E27" sqref="E27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IFERROR(MATCH($G$3:$G$202&amp;$H$3:$H$202,info_index!$D$2:$D$92&amp;info_index!$E$2:$E$92,0),"")</f>
        <v>1</v>
      </c>
      <c r="K3" t="str" cm="1">
        <f t="array" aca="1" ref="K3:K202" ca="1">IF(LEN(_xlfn.ANCHORARRAY(J3)),INDEX(OFFSET(info_index!$H$2:$H$92,0,$B$23),MATCH($G$3:$G$202&amp;$H$3:$H$202,info_index!$D$2:$D$92&amp;info_index!$E$2:$E$92,0),1)&amp;"","")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IFERROR(INDEX(info_index!$J$2:$J$92,MATCH($G$3:$G$202&amp;$H$3:$H$202,info_index!$D$2:$D$92&amp;info_index!$E$2:$E$92,0),1)&amp;"","")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IF(LEN(_xlfn.ANCHORARRAY(J3)),INDEX(OFFSET(info_index!$L$2:$L$92,0,$B$23),MATCH($G$3:$G$202&amp;$H$3:$H$202,info_index!$D$2:$D$92&amp;info_index!$E$2:$E$92,0),1)&amp;"","")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供給開始動作</v>
      </c>
      <c r="L5" t="str">
        <f ca="1"/>
        <v>供給開始動作</v>
      </c>
      <c r="N5" t="str">
        <f ca="1"/>
        <v>【13】 供給開始動作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//供給開始動作
	ELSIF uiInfoIdx = 3 THEN</v>
      </c>
      <c r="AC5" t="str">
        <f ca="1"/>
        <v xml:space="preserve">
	//供給開始動作
	ELSIF uiInfoIdx = 3 THEN
		IF strInfoKey = 'name' THEN</v>
      </c>
      <c r="AD5" t="str">
        <f ca="1"/>
        <v xml:space="preserve">
	//供給開始動作
	ELSIF uiInfoIdx = 3 THEN
		IF strInfoKey = 'name' THEN
			strRt	:= '供給開始動作';</v>
      </c>
      <c r="AE5" t="str">
        <f ca="1"/>
        <v xml:space="preserve">
	//供給開始動作
	ELSIF uiInfoIdx = 3 THEN
		IF strInfoKey = 'name' THEN
			strRt	:= '供給開始動作';
		ELSIF strInfoKey = 'index_name' THEN</v>
      </c>
      <c r="AF5" t="str">
        <f ca="1"/>
        <v xml:space="preserve">
	//供給開始動作
	ELSIF uiInfoIdx = 3 THEN
		IF strInfoKey = 'name' THEN
			strRt	:= '供給開始動作';
		ELSIF strInfoKey = 'index_name' THEN
			strRt	:= '【13】 供給開始動作';</v>
      </c>
      <c r="AG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</v>
      </c>
      <c r="AH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</v>
      </c>
      <c r="AI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</v>
      </c>
      <c r="AJ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</v>
      </c>
      <c r="AK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  <c r="AL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  <c r="AM5" t="str">
        <f ca="1"/>
        <v xml:space="preserve">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供給動作</v>
      </c>
      <c r="L6" t="str">
        <f ca="1"/>
        <v>供給動作</v>
      </c>
      <c r="N6" t="str">
        <f ca="1"/>
        <v>【14】 供給動作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//供給動作
	ELSIF uiInfoIdx = 4 THEN</v>
      </c>
      <c r="AC6" t="str">
        <f ca="1"/>
        <v xml:space="preserve">
	//供給動作
	ELSIF uiInfoIdx = 4 THEN
		IF strInfoKey = 'name' THEN</v>
      </c>
      <c r="AD6" t="str">
        <f ca="1"/>
        <v xml:space="preserve">
	//供給動作
	ELSIF uiInfoIdx = 4 THEN
		IF strInfoKey = 'name' THEN
			strRt	:= '供給動作';</v>
      </c>
      <c r="AE6" t="str">
        <f ca="1"/>
        <v xml:space="preserve">
	//供給動作
	ELSIF uiInfoIdx = 4 THEN
		IF strInfoKey = 'name' THEN
			strRt	:= '供給動作';
		ELSIF strInfoKey = 'index_name' THEN</v>
      </c>
      <c r="AF6" t="str">
        <f ca="1"/>
        <v xml:space="preserve">
	//供給動作
	ELSIF uiInfoIdx = 4 THEN
		IF strInfoKey = 'name' THEN
			strRt	:= '供給動作';
		ELSIF strInfoKey = 'index_name' THEN
			strRt	:= '【14】 供給動作';</v>
      </c>
      <c r="AG6" t="str">
        <f ca="1"/>
        <v xml:space="preserve">
	//供給動作
	ELSIF uiInfoIdx = 4 THEN
		IF strInfoKey = 'name' THEN
			strRt	:= '供給動作';
		ELSIF strInfoKey = 'index_name' THEN
			strRt	:= '【14】 供給動作';
		ELSIF strInfoKey = 'model' THEN</v>
      </c>
      <c r="AH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</v>
      </c>
      <c r="AI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</v>
      </c>
      <c r="AJ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</v>
      </c>
      <c r="AK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  <c r="AL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  <c r="AM6" t="str">
        <f ca="1"/>
        <v xml:space="preserve">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カット動作</v>
      </c>
      <c r="L7" t="str">
        <f ca="1"/>
        <v>カット動作</v>
      </c>
      <c r="N7" t="str">
        <f ca="1"/>
        <v>【15】 カット動作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//カット動作
	ELSIF uiInfoIdx = 5 THEN</v>
      </c>
      <c r="AC7" t="str">
        <f ca="1"/>
        <v xml:space="preserve">
	//カット動作
	ELSIF uiInfoIdx = 5 THEN
		IF strInfoKey = 'name' THEN</v>
      </c>
      <c r="AD7" t="str">
        <f ca="1"/>
        <v xml:space="preserve">
	//カット動作
	ELSIF uiInfoIdx = 5 THEN
		IF strInfoKey = 'name' THEN
			strRt	:= 'カット動作';</v>
      </c>
      <c r="AE7" t="str">
        <f ca="1"/>
        <v xml:space="preserve">
	//カット動作
	ELSIF uiInfoIdx = 5 THEN
		IF strInfoKey = 'name' THEN
			strRt	:= 'カット動作';
		ELSIF strInfoKey = 'index_name' THEN</v>
      </c>
      <c r="AF7" t="str">
        <f ca="1"/>
        <v xml:space="preserve">
	//カット動作
	ELSIF uiInfoIdx = 5 THEN
		IF strInfoKey = 'name' THEN
			strRt	:= 'カット動作';
		ELSIF strInfoKey = 'index_name' THEN
			strRt	:= '【15】 カット動作';</v>
      </c>
      <c r="AG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</v>
      </c>
      <c r="AH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</v>
      </c>
      <c r="AI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</v>
      </c>
      <c r="AJ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</v>
      </c>
      <c r="AK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</v>
      </c>
      <c r="AL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</v>
      </c>
      <c r="AM7" t="str">
        <f ca="1"/>
        <v xml:space="preserve">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 t="str">
        <v/>
      </c>
      <c r="K8" t="str">
        <f ca="1"/>
        <v/>
      </c>
      <c r="L8" t="str">
        <f ca="1"/>
        <v/>
      </c>
      <c r="N8" t="str">
        <f ca="1"/>
        <v/>
      </c>
      <c r="O8" t="str">
        <v/>
      </c>
      <c r="P8" t="str">
        <v/>
      </c>
      <c r="Q8" t="str">
        <f ca="1"/>
        <v/>
      </c>
      <c r="R8" t="str">
        <f ca="1"/>
        <v/>
      </c>
      <c r="Z8" t="str">
        <f ca="1"/>
        <v/>
      </c>
      <c r="AA8" t="str">
        <f ca="1"/>
        <v/>
      </c>
      <c r="AB8" t="str">
        <f ca="1"/>
        <v/>
      </c>
      <c r="AC8" t="str">
        <f ca="1"/>
        <v/>
      </c>
      <c r="AD8" t="str">
        <f ca="1"/>
        <v/>
      </c>
      <c r="AE8" t="str">
        <f ca="1"/>
        <v/>
      </c>
      <c r="AF8" t="str">
        <f ca="1"/>
        <v/>
      </c>
      <c r="AG8" t="str">
        <f ca="1"/>
        <v/>
      </c>
      <c r="AH8" t="str">
        <f ca="1"/>
        <v/>
      </c>
      <c r="AI8" t="str">
        <f ca="1"/>
        <v/>
      </c>
      <c r="AJ8" t="str">
        <f ca="1"/>
        <v/>
      </c>
      <c r="AK8" t="str">
        <f ca="1"/>
        <v/>
      </c>
      <c r="AL8" t="str">
        <f ca="1"/>
        <v/>
      </c>
      <c r="AM8" t="str">
        <f ca="1"/>
        <v/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 t="str">
        <v/>
      </c>
      <c r="K9" t="str">
        <f ca="1"/>
        <v/>
      </c>
      <c r="L9" t="str">
        <f ca="1"/>
        <v/>
      </c>
      <c r="N9" t="str">
        <f ca="1"/>
        <v/>
      </c>
      <c r="O9" t="str">
        <v/>
      </c>
      <c r="P9" t="str">
        <v/>
      </c>
      <c r="Q9" t="str">
        <f ca="1"/>
        <v/>
      </c>
      <c r="R9" t="str">
        <f ca="1"/>
        <v/>
      </c>
      <c r="Z9" t="str">
        <f ca="1"/>
        <v/>
      </c>
      <c r="AA9" t="str">
        <f ca="1"/>
        <v/>
      </c>
      <c r="AB9" t="str">
        <f ca="1"/>
        <v/>
      </c>
      <c r="AC9" t="str">
        <f ca="1"/>
        <v/>
      </c>
      <c r="AD9" t="str">
        <f ca="1"/>
        <v/>
      </c>
      <c r="AE9" t="str">
        <f ca="1"/>
        <v/>
      </c>
      <c r="AF9" t="str">
        <f ca="1"/>
        <v/>
      </c>
      <c r="AG9" t="str">
        <f ca="1"/>
        <v/>
      </c>
      <c r="AH9" t="str">
        <f ca="1"/>
        <v/>
      </c>
      <c r="AI9" t="str">
        <f ca="1"/>
        <v/>
      </c>
      <c r="AJ9" t="str">
        <f ca="1"/>
        <v/>
      </c>
      <c r="AK9" t="str">
        <f ca="1"/>
        <v/>
      </c>
      <c r="AL9" t="str">
        <f ca="1"/>
        <v/>
      </c>
      <c r="AM9" t="str">
        <f ca="1"/>
        <v/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//巻き中測定動作
	ELSIF uiInfoIdx = 2 THEN
		IF strInfoKey = 'name' THEN
			strRt	:= '巻き中測定動作';
		ELSIF strInfoKey = 'index_name' THEN
			strRt	:= '【62】 巻き中測定動作';
		ELSIF strInfoKey = 'model' THEN
			strRt	:= 'unknown';
		ELSIF strInfoKey = 'mf' THEN
			strRt	:= 'unknown';
		ELSE
			uiErrCode	:= 3;
		END_IF;
	//周長測定動作
	ELSIF uiInfoIdx = 3 THEN
		IF strInfoKey = 'name' THEN
			strRt	:= '周長測定動作';
		ELSIF strInfoKey = 'index_name' THEN
			strRt	:= '【63】 周長測定動作';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供給開始動作</v>
      </c>
      <c r="L15" t="str">
        <f ca="1"/>
        <v>供給開始動作</v>
      </c>
      <c r="N15" t="str">
        <f ca="1"/>
        <v>【23】 供給開始動作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//供給開始動作
	ELSIF uiInfoIdx = 3 THEN</v>
      </c>
      <c r="AC15" t="str">
        <f ca="1"/>
        <v xml:space="preserve">
	//供給開始動作
	ELSIF uiInfoIdx = 3 THEN
		IF strInfoKey = 'name' THEN</v>
      </c>
      <c r="AD15" t="str">
        <f ca="1"/>
        <v xml:space="preserve">
	//供給開始動作
	ELSIF uiInfoIdx = 3 THEN
		IF strInfoKey = 'name' THEN
			strRt	:= '供給開始動作';</v>
      </c>
      <c r="AE15" t="str">
        <f ca="1"/>
        <v xml:space="preserve">
	//供給開始動作
	ELSIF uiInfoIdx = 3 THEN
		IF strInfoKey = 'name' THEN
			strRt	:= '供給開始動作';
		ELSIF strInfoKey = 'index_name' THEN</v>
      </c>
      <c r="AF15" t="str">
        <f ca="1"/>
        <v xml:space="preserve">
	//供給開始動作
	ELSIF uiInfoIdx = 3 THEN
		IF strInfoKey = 'name' THEN
			strRt	:= '供給開始動作';
		ELSIF strInfoKey = 'index_name' THEN
			strRt	:= '【23】 供給開始動作';</v>
      </c>
      <c r="AG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</v>
      </c>
      <c r="AH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</v>
      </c>
      <c r="AI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</v>
      </c>
      <c r="AJ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</v>
      </c>
      <c r="AK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L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M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供給動作</v>
      </c>
      <c r="L16" t="str">
        <f ca="1"/>
        <v>供給動作</v>
      </c>
      <c r="N16" t="str">
        <f ca="1"/>
        <v>【24】 供給動作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//供給動作
	ELSIF uiInfoIdx = 4 THEN</v>
      </c>
      <c r="AC16" t="str">
        <f ca="1"/>
        <v xml:space="preserve">
	//供給動作
	ELSIF uiInfoIdx = 4 THEN
		IF strInfoKey = 'name' THEN</v>
      </c>
      <c r="AD16" t="str">
        <f ca="1"/>
        <v xml:space="preserve">
	//供給動作
	ELSIF uiInfoIdx = 4 THEN
		IF strInfoKey = 'name' THEN
			strRt	:= '供給動作';</v>
      </c>
      <c r="AE16" t="str">
        <f ca="1"/>
        <v xml:space="preserve">
	//供給動作
	ELSIF uiInfoIdx = 4 THEN
		IF strInfoKey = 'name' THEN
			strRt	:= '供給動作';
		ELSIF strInfoKey = 'index_name' THEN</v>
      </c>
      <c r="AF16" t="str">
        <f ca="1"/>
        <v xml:space="preserve">
	//供給動作
	ELSIF uiInfoIdx = 4 THEN
		IF strInfoKey = 'name' THEN
			strRt	:= '供給動作';
		ELSIF strInfoKey = 'index_name' THEN
			strRt	:= '【24】 供給動作';</v>
      </c>
      <c r="AG16" t="str">
        <f ca="1"/>
        <v xml:space="preserve">
	//供給動作
	ELSIF uiInfoIdx = 4 THEN
		IF strInfoKey = 'name' THEN
			strRt	:= '供給動作';
		ELSIF strInfoKey = 'index_name' THEN
			strRt	:= '【24】 供給動作';
		ELSIF strInfoKey = 'model' THEN</v>
      </c>
      <c r="AH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</v>
      </c>
      <c r="AI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</v>
      </c>
      <c r="AJ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</v>
      </c>
      <c r="AK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L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M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カット動作</v>
      </c>
      <c r="L17" t="str">
        <f ca="1"/>
        <v>カット動作</v>
      </c>
      <c r="N17" t="str">
        <f ca="1"/>
        <v>【25】 カット動作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//カット動作
	ELSIF uiInfoIdx = 5 THEN</v>
      </c>
      <c r="AC17" t="str">
        <f ca="1"/>
        <v xml:space="preserve">
	//カット動作
	ELSIF uiInfoIdx = 5 THEN
		IF strInfoKey = 'name' THEN</v>
      </c>
      <c r="AD17" t="str">
        <f ca="1"/>
        <v xml:space="preserve">
	//カット動作
	ELSIF uiInfoIdx = 5 THEN
		IF strInfoKey = 'name' THEN
			strRt	:= 'カット動作';</v>
      </c>
      <c r="AE17" t="str">
        <f ca="1"/>
        <v xml:space="preserve">
	//カット動作
	ELSIF uiInfoIdx = 5 THEN
		IF strInfoKey = 'name' THEN
			strRt	:= 'カット動作';
		ELSIF strInfoKey = 'index_name' THEN</v>
      </c>
      <c r="AF17" t="str">
        <f ca="1"/>
        <v xml:space="preserve">
	//カット動作
	ELSIF uiInfoIdx = 5 THEN
		IF strInfoKey = 'name' THEN
			strRt	:= 'カット動作';
		ELSIF strInfoKey = 'index_name' THEN
			strRt	:= '【25】 カット動作';</v>
      </c>
      <c r="AG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</v>
      </c>
      <c r="AH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</v>
      </c>
      <c r="AI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</v>
      </c>
      <c r="AJ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</v>
      </c>
      <c r="AK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  <c r="AL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  <c r="AM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 t="str">
        <v/>
      </c>
      <c r="K18" t="str">
        <f ca="1"/>
        <v/>
      </c>
      <c r="L18" t="str">
        <f ca="1"/>
        <v/>
      </c>
      <c r="N18" t="str">
        <f ca="1"/>
        <v/>
      </c>
      <c r="O18" t="str">
        <v/>
      </c>
      <c r="P18" t="str">
        <v/>
      </c>
      <c r="Q18" t="str">
        <f ca="1"/>
        <v/>
      </c>
      <c r="R18" t="str">
        <f ca="1"/>
        <v/>
      </c>
      <c r="Z18" t="str">
        <f ca="1"/>
        <v/>
      </c>
      <c r="AA18" t="str">
        <f ca="1"/>
        <v/>
      </c>
      <c r="AB18" t="str">
        <f ca="1"/>
        <v/>
      </c>
      <c r="AC18" t="str">
        <f ca="1"/>
        <v/>
      </c>
      <c r="AD18" t="str">
        <f ca="1"/>
        <v/>
      </c>
      <c r="AE18" t="str">
        <f ca="1"/>
        <v/>
      </c>
      <c r="AF18" t="str">
        <f ca="1"/>
        <v/>
      </c>
      <c r="AG18" t="str">
        <f ca="1"/>
        <v/>
      </c>
      <c r="AH18" t="str">
        <f ca="1"/>
        <v/>
      </c>
      <c r="AI18" t="str">
        <f ca="1"/>
        <v/>
      </c>
      <c r="AJ18" t="str">
        <f ca="1"/>
        <v/>
      </c>
      <c r="AK18" t="str">
        <f ca="1"/>
        <v/>
      </c>
      <c r="AL18" t="str">
        <f ca="1"/>
        <v/>
      </c>
      <c r="AM18" t="str">
        <f ca="1"/>
        <v/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11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12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13</v>
      </c>
      <c r="K25" t="str">
        <f ca="1"/>
        <v>供給動作</v>
      </c>
      <c r="L25" t="str">
        <f ca="1"/>
        <v>供給動作</v>
      </c>
      <c r="N25" t="str">
        <f ca="1"/>
        <v>【33】 供給動作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//供給動作
	ELSIF uiInfoIdx = 3 THEN</v>
      </c>
      <c r="AC25" t="str">
        <f ca="1"/>
        <v xml:space="preserve">
	//供給動作
	ELSIF uiInfoIdx = 3 THEN
		IF strInfoKey = 'name' THEN</v>
      </c>
      <c r="AD25" t="str">
        <f ca="1"/>
        <v xml:space="preserve">
	//供給動作
	ELSIF uiInfoIdx = 3 THEN
		IF strInfoKey = 'name' THEN
			strRt	:= '供給動作';</v>
      </c>
      <c r="AE25" t="str">
        <f ca="1"/>
        <v xml:space="preserve">
	//供給動作
	ELSIF uiInfoIdx = 3 THEN
		IF strInfoKey = 'name' THEN
			strRt	:= '供給動作';
		ELSIF strInfoKey = 'index_name' THEN</v>
      </c>
      <c r="AF25" t="str">
        <f ca="1"/>
        <v xml:space="preserve">
	//供給動作
	ELSIF uiInfoIdx = 3 THEN
		IF strInfoKey = 'name' THEN
			strRt	:= '供給動作';
		ELSIF strInfoKey = 'index_name' THEN
			strRt	:= '【33】 供給動作';</v>
      </c>
      <c r="AG25" t="str">
        <f ca="1"/>
        <v xml:space="preserve">
	//供給動作
	ELSIF uiInfoIdx = 3 THEN
		IF strInfoKey = 'name' THEN
			strRt	:= '供給動作';
		ELSIF strInfoKey = 'index_name' THEN
			strRt	:= '【33】 供給動作';
		ELSIF strInfoKey = 'model' THEN</v>
      </c>
      <c r="AH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</v>
      </c>
      <c r="AI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</v>
      </c>
      <c r="AJ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</v>
      </c>
      <c r="AK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L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M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14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15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16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17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18</v>
      </c>
      <c r="K37" t="str">
        <f ca="1"/>
        <v>箔ロウ巻き動作</v>
      </c>
      <c r="L37" t="str">
        <f ca="1"/>
        <v>箔ロウ巻き動作</v>
      </c>
      <c r="N37" t="str">
        <f ca="1"/>
        <v>【45】 箔ロウ巻き動作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//箔ロウ巻き動作
	ELSIF uiInfoIdx = 5 THEN</v>
      </c>
      <c r="AC37" t="str">
        <f ca="1"/>
        <v xml:space="preserve">
	//箔ロウ巻き動作
	ELSIF uiInfoIdx = 5 THEN
		IF strInfoKey = 'name' THEN</v>
      </c>
      <c r="AD37" t="str">
        <f ca="1"/>
        <v xml:space="preserve">
	//箔ロウ巻き動作
	ELSIF uiInfoIdx = 5 THEN
		IF strInfoKey = 'name' THEN
			strRt	:= '箔ロウ巻き動作';</v>
      </c>
      <c r="AE37" t="str">
        <f ca="1"/>
        <v xml:space="preserve">
	//箔ロウ巻き動作
	ELSIF uiInfoIdx = 5 THEN
		IF strInfoKey = 'name' THEN
			strRt	:= '箔ロウ巻き動作';
		ELSIF strInfoKey = 'index_name' THEN</v>
      </c>
      <c r="AF37" t="str">
        <f ca="1"/>
        <v xml:space="preserve">
	//箔ロウ巻き動作
	ELSIF uiInfoIdx = 5 THEN
		IF strInfoKey = 'name' THEN
			strRt	:= '箔ロウ巻き動作';
		ELSIF strInfoKey = 'index_name' THEN
			strRt	:= '【45】 箔ロウ巻き動作';</v>
      </c>
      <c r="AG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</v>
      </c>
      <c r="AH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</v>
      </c>
      <c r="AI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</v>
      </c>
      <c r="AJ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</v>
      </c>
      <c r="AK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L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M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19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20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21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22</v>
      </c>
      <c r="K45" t="str">
        <f ca="1"/>
        <v>溶接動作</v>
      </c>
      <c r="L45" t="str">
        <f ca="1"/>
        <v>溶接動作</v>
      </c>
      <c r="N45" t="str">
        <f ca="1"/>
        <v>【53】 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//溶接動作
	ELSIF uiInfoIdx = 3 THEN</v>
      </c>
      <c r="AC45" t="str">
        <f ca="1"/>
        <v xml:space="preserve">
	//溶接動作
	ELSIF uiInfoIdx = 3 THEN
		IF strInfoKey = 'name' THEN</v>
      </c>
      <c r="AD45" t="str">
        <f ca="1"/>
        <v xml:space="preserve">
	//溶接動作
	ELSIF uiInfoIdx = 3 THEN
		IF strInfoKey = 'name' THEN
			strRt	:= '溶接動作';</v>
      </c>
      <c r="AE45" t="str">
        <f ca="1"/>
        <v xml:space="preserve">
	//溶接動作
	ELSIF uiInfoIdx = 3 THEN
		IF strInfoKey = 'name' THEN
			strRt	:= '溶接動作';
		ELSIF strInfoKey = 'index_name' THEN</v>
      </c>
      <c r="AF45" t="str">
        <f ca="1"/>
        <v xml:space="preserve">
	//溶接動作
	ELSIF uiInfoIdx = 3 THEN
		IF strInfoKey = 'name' THEN
			strRt	:= '溶接動作';
		ELSIF strInfoKey = 'index_name' THEN
			strRt	:= '【53】 溶接動作';</v>
      </c>
      <c r="AG45" t="str">
        <f ca="1"/>
        <v xml:space="preserve">
	//溶接動作
	ELSIF uiInfoIdx = 3 THEN
		IF strInfoKey = 'name' THEN
			strRt	:= '溶接動作';
		ELSIF strInfoKey = 'index_name' THEN
			strRt	:= '【53】 溶接動作';
		ELSIF strInfoKey = 'model' THEN</v>
      </c>
      <c r="AH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</v>
      </c>
      <c r="AI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</v>
      </c>
      <c r="AJ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</v>
      </c>
      <c r="AK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L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M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23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24</v>
      </c>
      <c r="K54" t="str">
        <f ca="1"/>
        <v>巻き中測定動作</v>
      </c>
      <c r="L54" t="str">
        <f ca="1"/>
        <v>巻き中測定動作</v>
      </c>
      <c r="N54" t="str">
        <f ca="1"/>
        <v>【62】 巻き中測定動作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//巻き中測定動作
	ELSIF uiInfoIdx = 2 THEN</v>
      </c>
      <c r="AC54" t="str">
        <f ca="1"/>
        <v xml:space="preserve">
	//巻き中測定動作
	ELSIF uiInfoIdx = 2 THEN
		IF strInfoKey = 'name' THEN</v>
      </c>
      <c r="AD54" t="str">
        <f ca="1"/>
        <v xml:space="preserve">
	//巻き中測定動作
	ELSIF uiInfoIdx = 2 THEN
		IF strInfoKey = 'name' THEN
			strRt	:= '巻き中測定動作';</v>
      </c>
      <c r="AE54" t="str">
        <f ca="1"/>
        <v xml:space="preserve">
	//巻き中測定動作
	ELSIF uiInfoIdx = 2 THEN
		IF strInfoKey = 'name' THEN
			strRt	:= '巻き中測定動作';
		ELSIF strInfoKey = 'index_name' THEN</v>
      </c>
      <c r="AF54" t="str">
        <f ca="1"/>
        <v xml:space="preserve">
	//巻き中測定動作
	ELSIF uiInfoIdx = 2 THEN
		IF strInfoKey = 'name' THEN
			strRt	:= '巻き中測定動作';
		ELSIF strInfoKey = 'index_name' THEN
			strRt	:= '【62】 巻き中測定動作';</v>
      </c>
      <c r="AG54" t="str">
        <f ca="1"/>
        <v xml:space="preserve">
	//巻き中測定動作
	ELSIF uiInfoIdx = 2 THEN
		IF strInfoKey = 'name' THEN
			strRt	:= '巻き中測定動作';
		ELSIF strInfoKey = 'index_name' THEN
			strRt	:= '【62】 巻き中測定動作';
		ELSIF strInfoKey = 'model' THEN</v>
      </c>
      <c r="AH54" t="str">
        <f ca="1"/>
        <v xml:space="preserve">
	//巻き中測定動作
	ELSIF uiInfoIdx = 2 THEN
		IF strInfoKey = 'name' THEN
			strRt	:= '巻き中測定動作';
		ELSIF strInfoKey = 'index_name' THEN
			strRt	:= '【62】 巻き中測定動作';
		ELSIF strInfoKey = 'model' THEN
			strRt	:= 'unknown';</v>
      </c>
      <c r="AI54" t="str">
        <f ca="1"/>
        <v xml:space="preserve">
	//巻き中測定動作
	ELSIF uiInfoIdx = 2 THEN
		IF strInfoKey = 'name' THEN
			strRt	:= '巻き中測定動作';
		ELSIF strInfoKey = 'index_name' THEN
			strRt	:= '【62】 巻き中測定動作';
		ELSIF strInfoKey = 'model' THEN
			strRt	:= 'unknown';
		ELSIF strInfoKey = 'mf' THEN</v>
      </c>
      <c r="AJ54" t="str">
        <f ca="1"/>
        <v xml:space="preserve">
	//巻き中測定動作
	ELSIF uiInfoIdx = 2 THEN
		IF strInfoKey = 'name' THEN
			strRt	:= '巻き中測定動作';
		ELSIF strInfoKey = 'index_name' THEN
			strRt	:= '【62】 巻き中測定動作';
		ELSIF strInfoKey = 'model' THEN
			strRt	:= 'unknown';
		ELSIF strInfoKey = 'mf' THEN
			strRt	:= 'unknown';</v>
      </c>
      <c r="AK54" t="str">
        <f ca="1"/>
        <v xml:space="preserve">
	//巻き中測定動作
	ELSIF uiInfoIdx = 2 THEN
		IF strInfoKey = 'name' THEN
			strRt	:= '巻き中測定動作';
		ELSIF strInfoKey = 'index_name' THEN
			strRt	:= '【62】 巻き中測定動作';
		ELSIF strInfoKey = 'model' THEN
			strRt	:= 'unknown';
		ELSIF strInfoKey = 'mf' THEN
			strRt	:= 'unknown';
		ELSE
			uiErrCode	:= 3;
		END_IF;</v>
      </c>
      <c r="AL54" t="str">
        <f ca="1"/>
        <v xml:space="preserve">
	//巻き中測定動作
	ELSIF uiInfoIdx = 2 THEN
		IF strInfoKey = 'name' THEN
			strRt	:= '巻き中測定動作';
		ELSIF strInfoKey = 'index_name' THEN
			strRt	:= '【62】 巻き中測定動作';
		ELSIF strInfoKey = 'model' THEN
			strRt	:= 'unknown';
		ELSIF strInfoKey = 'mf' THEN
			strRt	:= 'unknown';
		ELSE
			uiErrCode	:= 3;
		END_IF;</v>
      </c>
      <c r="AM54" t="str">
        <f ca="1"/>
        <v xml:space="preserve">
	//巻き中測定動作
	ELSIF uiInfoIdx = 2 THEN
		IF strInfoKey = 'name' THEN
			strRt	:= '巻き中測定動作';
		ELSIF strInfoKey = 'index_name' THEN
			strRt	:= '【62】 巻き中測定動作';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25</v>
      </c>
      <c r="K55" t="str">
        <f ca="1"/>
        <v>周長測定動作</v>
      </c>
      <c r="L55" t="str">
        <f ca="1"/>
        <v>周長測定動作</v>
      </c>
      <c r="N55" t="str">
        <f ca="1"/>
        <v>【63】 周長測定動作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//周長測定動作
	ELSIF uiInfoIdx = 3 THEN</v>
      </c>
      <c r="AC55" t="str">
        <f ca="1"/>
        <v xml:space="preserve">
	//周長測定動作
	ELSIF uiInfoIdx = 3 THEN
		IF strInfoKey = 'name' THEN</v>
      </c>
      <c r="AD55" t="str">
        <f ca="1"/>
        <v xml:space="preserve">
	//周長測定動作
	ELSIF uiInfoIdx = 3 THEN
		IF strInfoKey = 'name' THEN
			strRt	:= '周長測定動作';</v>
      </c>
      <c r="AE55" t="str">
        <f ca="1"/>
        <v xml:space="preserve">
	//周長測定動作
	ELSIF uiInfoIdx = 3 THEN
		IF strInfoKey = 'name' THEN
			strRt	:= '周長測定動作';
		ELSIF strInfoKey = 'index_name' THEN</v>
      </c>
      <c r="AF55" t="str">
        <f ca="1"/>
        <v xml:space="preserve">
	//周長測定動作
	ELSIF uiInfoIdx = 3 THEN
		IF strInfoKey = 'name' THEN
			strRt	:= '周長測定動作';
		ELSIF strInfoKey = 'index_name' THEN
			strRt	:= '【63】 周長測定動作';</v>
      </c>
      <c r="AG55" t="str">
        <f ca="1"/>
        <v xml:space="preserve">
	//周長測定動作
	ELSIF uiInfoIdx = 3 THEN
		IF strInfoKey = 'name' THEN
			strRt	:= '周長測定動作';
		ELSIF strInfoKey = 'index_name' THEN
			strRt	:= '【63】 周長測定動作';
		ELSIF strInfoKey = 'model' THEN</v>
      </c>
      <c r="AH55" t="str">
        <f ca="1"/>
        <v xml:space="preserve">
	//周長測定動作
	ELSIF uiInfoIdx = 3 THEN
		IF strInfoKey = 'name' THEN
			strRt	:= '周長測定動作';
		ELSIF strInfoKey = 'index_name' THEN
			strRt	:= '【63】 周長測定動作';
		ELSIF strInfoKey = 'model' THEN
			strRt	:= 'unknown';</v>
      </c>
      <c r="AI55" t="str">
        <f ca="1"/>
        <v xml:space="preserve">
	//周長測定動作
	ELSIF uiInfoIdx = 3 THEN
		IF strInfoKey = 'name' THEN
			strRt	:= '周長測定動作';
		ELSIF strInfoKey = 'index_name' THEN
			strRt	:= '【63】 周長測定動作';
		ELSIF strInfoKey = 'model' THEN
			strRt	:= 'unknown';
		ELSIF strInfoKey = 'mf' THEN</v>
      </c>
      <c r="AJ55" t="str">
        <f ca="1"/>
        <v xml:space="preserve">
	//周長測定動作
	ELSIF uiInfoIdx = 3 THEN
		IF strInfoKey = 'name' THEN
			strRt	:= '周長測定動作';
		ELSIF strInfoKey = 'index_name' THEN
			strRt	:= '【63】 周長測定動作';
		ELSIF strInfoKey = 'model' THEN
			strRt	:= 'unknown';
		ELSIF strInfoKey = 'mf' THEN
			strRt	:= 'unknown';</v>
      </c>
      <c r="AK55" t="str">
        <f ca="1"/>
        <v xml:space="preserve">
	//周長測定動作
	ELSIF uiInfoIdx = 3 THEN
		IF strInfoKey = 'name' THEN
			strRt	:= '周長測定動作';
		ELSIF strInfoKey = 'index_name' THEN
			strRt	:= '【63】 周長測定動作';
		ELSIF strInfoKey = 'model' THEN
			strRt	:= 'unknown';
		ELSIF strInfoKey = 'mf' THEN
			strRt	:= 'unknown';
		ELSE
			uiErrCode	:= 3;
		END_IF;</v>
      </c>
      <c r="AL55" t="str">
        <f ca="1"/>
        <v xml:space="preserve">
	//周長測定動作
	ELSIF uiInfoIdx = 3 THEN
		IF strInfoKey = 'name' THEN
			strRt	:= '周長測定動作';
		ELSIF strInfoKey = 'index_name' THEN
			strRt	:= '【63】 周長測定動作';
		ELSIF strInfoKey = 'model' THEN
			strRt	:= 'unknown';
		ELSIF strInfoKey = 'mf' THEN
			strRt	:= 'unknown';
		ELSE
			uiErrCode	:= 3;
		END_IF;</v>
      </c>
      <c r="AM55" t="str">
        <f ca="1"/>
        <v xml:space="preserve">
	//周長測定動作
	ELSIF uiInfoIdx = 3 THEN
		IF strInfoKey = 'name' THEN
			strRt	:= '周長測定動作';
		ELSIF strInfoKey = 'index_name' THEN
			strRt	:= '【63】 周長測定動作';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'【13】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'【14】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'【15】 カット動作';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//巻き中測定動作
	ELSIF uiInfoIdx = 2 THEN
		IF strInfoKey = 'name' THEN
			strRt	:= '巻き中測定動作';
		ELSIF strInfoKey = 'index_name' THEN
			strRt	:= '【62】 巻き中測定動作';
		ELSIF strInfoKey = 'model' THEN
			strRt	:= 'unknown';
		ELSIF strInfoKey = 'mf' THEN
			strRt	:= 'unknown';
		ELSE
			uiErrCode	:= 3;
		END_IF;
	//周長測定動作
	ELSIF uiInfoIdx = 3 THEN
		IF strInfoKey = 'name' THEN
			strRt	:= '周長測定動作';
		ELSIF strInfoKey = 'index_name' THEN
			strRt	:= '【63】 周長測定動作';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2026-01-20T13:19:12Z</dcterms:modified>
</cp:coreProperties>
</file>