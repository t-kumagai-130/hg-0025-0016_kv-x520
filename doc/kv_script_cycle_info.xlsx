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E65C1191-5F7A-4D89-8C97-FA0CBBF5EBB8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D11" i="1"/>
  <c r="E11" i="1"/>
  <c r="F53" i="3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7" i="1" l="1"/>
  <c r="E8" i="1" s="1"/>
  <c r="E9" i="1" s="1"/>
  <c r="E10" i="1" s="1"/>
  <c r="E3" i="1"/>
  <c r="E4" i="1" s="1"/>
  <c r="E5" i="1" s="1"/>
  <c r="E6" i="1" s="1"/>
  <c r="D2" i="1"/>
  <c r="C7" i="1"/>
  <c r="C12" i="1" s="1"/>
  <c r="C16" i="1" s="1"/>
  <c r="D16" i="1" s="1"/>
  <c r="C3" i="1"/>
  <c r="C4" i="1" s="1"/>
  <c r="C5" i="1" s="1"/>
  <c r="C6" i="1" s="1"/>
  <c r="D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D12" i="1" l="1"/>
  <c r="E12" i="1"/>
  <c r="E13" i="1" s="1"/>
  <c r="E14" i="1" s="1"/>
  <c r="E15" i="1" s="1"/>
  <c r="D4" i="1"/>
  <c r="D3" i="1"/>
  <c r="D5" i="1"/>
  <c r="D7" i="1"/>
  <c r="C8" i="1"/>
  <c r="C17" i="1"/>
  <c r="C23" i="1"/>
  <c r="C13" i="1"/>
  <c r="B3" i="3" a="1"/>
  <c r="B3" i="3" s="1"/>
  <c r="B5" i="3" s="1"/>
  <c r="H3" i="3"/>
  <c r="A102" i="1"/>
  <c r="F100" i="1"/>
  <c r="A100" i="1"/>
  <c r="E16" i="1" l="1"/>
  <c r="E23" i="1" s="1"/>
  <c r="E27" i="1" s="1"/>
  <c r="D23" i="1"/>
  <c r="C27" i="1"/>
  <c r="C18" i="1"/>
  <c r="D17" i="1"/>
  <c r="C9" i="1"/>
  <c r="D8" i="1"/>
  <c r="C14" i="1"/>
  <c r="D13" i="1"/>
  <c r="C24" i="1"/>
  <c r="H4" i="3"/>
  <c r="H5" i="3"/>
  <c r="E32" i="1" l="1"/>
  <c r="E28" i="1"/>
  <c r="E29" i="1" s="1"/>
  <c r="E30" i="1" s="1"/>
  <c r="E31" i="1" s="1"/>
  <c r="E17" i="1"/>
  <c r="E18" i="1" s="1"/>
  <c r="E19" i="1" s="1"/>
  <c r="E20" i="1" s="1"/>
  <c r="E21" i="1" s="1"/>
  <c r="E22" i="1" s="1"/>
  <c r="C28" i="1"/>
  <c r="D27" i="1"/>
  <c r="C32" i="1"/>
  <c r="E24" i="1"/>
  <c r="E25" i="1" s="1"/>
  <c r="E26" i="1" s="1"/>
  <c r="C15" i="1"/>
  <c r="D14" i="1"/>
  <c r="C10" i="1"/>
  <c r="D9" i="1"/>
  <c r="C25" i="1"/>
  <c r="D24" i="1"/>
  <c r="C19" i="1"/>
  <c r="D18" i="1"/>
  <c r="H6" i="3"/>
  <c r="C29" i="1" l="1"/>
  <c r="D28" i="1"/>
  <c r="E37" i="1"/>
  <c r="E33" i="1"/>
  <c r="E34" i="1" s="1"/>
  <c r="E35" i="1" s="1"/>
  <c r="E36" i="1" s="1"/>
  <c r="C33" i="1"/>
  <c r="C37" i="1"/>
  <c r="D32" i="1"/>
  <c r="D10" i="1"/>
  <c r="C20" i="1"/>
  <c r="D19" i="1"/>
  <c r="C26" i="1"/>
  <c r="D25" i="1"/>
  <c r="D15" i="1"/>
  <c r="H7" i="3"/>
  <c r="H28" i="3" l="1"/>
  <c r="H29" i="3"/>
  <c r="H30" i="3"/>
  <c r="D20" i="1"/>
  <c r="C21" i="1"/>
  <c r="C30" i="1"/>
  <c r="C31" i="1" s="1"/>
  <c r="D31" i="1" s="1"/>
  <c r="D29" i="1"/>
  <c r="D37" i="1"/>
  <c r="C42" i="1"/>
  <c r="C38" i="1"/>
  <c r="D33" i="1"/>
  <c r="C34" i="1"/>
  <c r="E42" i="1"/>
  <c r="E38" i="1"/>
  <c r="E39" i="1" s="1"/>
  <c r="E40" i="1" s="1"/>
  <c r="E41" i="1" s="1"/>
  <c r="D26" i="1"/>
  <c r="H8" i="3"/>
  <c r="D21" i="1" l="1"/>
  <c r="C22" i="1"/>
  <c r="D22" i="1" s="1"/>
  <c r="H31" i="3"/>
  <c r="C35" i="1"/>
  <c r="D34" i="1"/>
  <c r="E43" i="1"/>
  <c r="E44" i="1" s="1"/>
  <c r="E45" i="1" s="1"/>
  <c r="E46" i="1" s="1"/>
  <c r="E47" i="1"/>
  <c r="C39" i="1"/>
  <c r="D38" i="1"/>
  <c r="D30" i="1"/>
  <c r="C47" i="1"/>
  <c r="D42" i="1"/>
  <c r="C43" i="1"/>
  <c r="H9" i="3"/>
  <c r="H32" i="3" l="1"/>
  <c r="E52" i="1"/>
  <c r="E48" i="1"/>
  <c r="E49" i="1" s="1"/>
  <c r="E50" i="1" s="1"/>
  <c r="E51" i="1" s="1"/>
  <c r="C44" i="1"/>
  <c r="D43" i="1"/>
  <c r="C52" i="1"/>
  <c r="C48" i="1"/>
  <c r="D47" i="1"/>
  <c r="D39" i="1"/>
  <c r="C40" i="1"/>
  <c r="C36" i="1"/>
  <c r="D36" i="1" s="1"/>
  <c r="D35" i="1"/>
  <c r="H10" i="3"/>
  <c r="H33" i="3" l="1"/>
  <c r="C49" i="1"/>
  <c r="D48" i="1"/>
  <c r="C57" i="1"/>
  <c r="D52" i="1"/>
  <c r="C53" i="1"/>
  <c r="D44" i="1"/>
  <c r="C45" i="1"/>
  <c r="D40" i="1"/>
  <c r="C41" i="1"/>
  <c r="D41" i="1" s="1"/>
  <c r="E57" i="1"/>
  <c r="E53" i="1"/>
  <c r="E54" i="1" s="1"/>
  <c r="E55" i="1" s="1"/>
  <c r="E56" i="1" s="1"/>
  <c r="H11" i="3"/>
  <c r="H34" i="3" l="1"/>
  <c r="C46" i="1"/>
  <c r="D46" i="1" s="1"/>
  <c r="D45" i="1"/>
  <c r="D53" i="1"/>
  <c r="C54" i="1"/>
  <c r="C62" i="1"/>
  <c r="D57" i="1"/>
  <c r="C58" i="1"/>
  <c r="E62" i="1"/>
  <c r="E58" i="1"/>
  <c r="E59" i="1" s="1"/>
  <c r="E60" i="1" s="1"/>
  <c r="E61" i="1" s="1"/>
  <c r="D49" i="1"/>
  <c r="C50" i="1"/>
  <c r="H12" i="3"/>
  <c r="H35" i="3" l="1"/>
  <c r="C59" i="1"/>
  <c r="D58" i="1"/>
  <c r="C55" i="1"/>
  <c r="D54" i="1"/>
  <c r="E63" i="1"/>
  <c r="E64" i="1" s="1"/>
  <c r="E65" i="1" s="1"/>
  <c r="E66" i="1" s="1"/>
  <c r="E67" i="1"/>
  <c r="C67" i="1"/>
  <c r="D62" i="1"/>
  <c r="C63" i="1"/>
  <c r="C51" i="1"/>
  <c r="D51" i="1" s="1"/>
  <c r="D50" i="1"/>
  <c r="H13" i="3"/>
  <c r="H36" i="3" l="1"/>
  <c r="C72" i="1"/>
  <c r="D67" i="1"/>
  <c r="C68" i="1"/>
  <c r="D55" i="1"/>
  <c r="C56" i="1"/>
  <c r="D56" i="1" s="1"/>
  <c r="E68" i="1"/>
  <c r="E69" i="1" s="1"/>
  <c r="E70" i="1" s="1"/>
  <c r="E71" i="1" s="1"/>
  <c r="E72" i="1"/>
  <c r="D63" i="1"/>
  <c r="C64" i="1"/>
  <c r="D59" i="1"/>
  <c r="C60" i="1"/>
  <c r="H14" i="3"/>
  <c r="H37" i="3" l="1"/>
  <c r="E73" i="1"/>
  <c r="E74" i="1" s="1"/>
  <c r="E75" i="1" s="1"/>
  <c r="E76" i="1" s="1"/>
  <c r="E77" i="1"/>
  <c r="D60" i="1"/>
  <c r="C61" i="1"/>
  <c r="D61" i="1" s="1"/>
  <c r="D68" i="1"/>
  <c r="C69" i="1"/>
  <c r="C65" i="1"/>
  <c r="D64" i="1"/>
  <c r="D72" i="1"/>
  <c r="C77" i="1"/>
  <c r="C73" i="1"/>
  <c r="H15" i="3"/>
  <c r="H38" i="3" l="1"/>
  <c r="D69" i="1"/>
  <c r="C70" i="1"/>
  <c r="D65" i="1"/>
  <c r="C66" i="1"/>
  <c r="D66" i="1" s="1"/>
  <c r="D73" i="1"/>
  <c r="C74" i="1"/>
  <c r="D77" i="1"/>
  <c r="C82" i="1"/>
  <c r="C78" i="1"/>
  <c r="E82" i="1"/>
  <c r="E78" i="1"/>
  <c r="E79" i="1" s="1"/>
  <c r="E80" i="1" s="1"/>
  <c r="E81" i="1" s="1"/>
  <c r="H16" i="3"/>
  <c r="H39" i="3" l="1"/>
  <c r="C87" i="1"/>
  <c r="D82" i="1"/>
  <c r="C83" i="1"/>
  <c r="C75" i="1"/>
  <c r="D74" i="1"/>
  <c r="E87" i="1"/>
  <c r="E83" i="1"/>
  <c r="E84" i="1" s="1"/>
  <c r="E85" i="1" s="1"/>
  <c r="E86" i="1" s="1"/>
  <c r="C71" i="1"/>
  <c r="D71" i="1" s="1"/>
  <c r="D70" i="1"/>
  <c r="C79" i="1"/>
  <c r="D78" i="1"/>
  <c r="H17" i="3"/>
  <c r="H40" i="3" l="1"/>
  <c r="E88" i="1"/>
  <c r="E89" i="1" s="1"/>
  <c r="E90" i="1" s="1"/>
  <c r="E91" i="1" s="1"/>
  <c r="E92" i="1"/>
  <c r="E93" i="1" s="1"/>
  <c r="E94" i="1" s="1"/>
  <c r="E95" i="1" s="1"/>
  <c r="E96" i="1" s="1"/>
  <c r="C76" i="1"/>
  <c r="D76" i="1" s="1"/>
  <c r="D75" i="1"/>
  <c r="C84" i="1"/>
  <c r="D83" i="1"/>
  <c r="C80" i="1"/>
  <c r="D79" i="1"/>
  <c r="C88" i="1"/>
  <c r="C92" i="1"/>
  <c r="D87" i="1"/>
  <c r="H18" i="3"/>
  <c r="H41" i="3" l="1"/>
  <c r="D80" i="1"/>
  <c r="C81" i="1"/>
  <c r="D81" i="1" s="1"/>
  <c r="D84" i="1"/>
  <c r="C85" i="1"/>
  <c r="C93" i="1"/>
  <c r="D92" i="1"/>
  <c r="D88" i="1"/>
  <c r="C89" i="1"/>
  <c r="H19" i="3"/>
  <c r="H42" i="3" l="1"/>
  <c r="D85" i="1"/>
  <c r="C86" i="1"/>
  <c r="D86" i="1" s="1"/>
  <c r="C94" i="1"/>
  <c r="D93" i="1"/>
  <c r="D89" i="1"/>
  <c r="C90" i="1"/>
  <c r="H20" i="3"/>
  <c r="H43" i="3" l="1"/>
  <c r="D94" i="1"/>
  <c r="C95" i="1"/>
  <c r="D90" i="1"/>
  <c r="C91" i="1"/>
  <c r="D91" i="1" s="1"/>
  <c r="H21" i="3"/>
  <c r="H44" i="3" l="1"/>
  <c r="C96" i="1"/>
  <c r="D96" i="1" s="1"/>
  <c r="D95" i="1"/>
  <c r="H22" i="3"/>
  <c r="H45" i="3" l="1"/>
  <c r="H23" i="3"/>
  <c r="H46" i="3" l="1"/>
  <c r="E102" i="1"/>
  <c r="D102" i="1"/>
  <c r="D104" i="1"/>
  <c r="E104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K3" i="3" a="1"/>
  <c r="K3" i="3" s="1"/>
  <c r="P3" i="3" a="1"/>
  <c r="P3" i="3" s="1"/>
  <c r="L3" i="3" l="1" a="1"/>
  <c r="L3" i="3" l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<sst xmlns="http://schemas.openxmlformats.org/spreadsheetml/2006/main" count="163" uniqueCount="107">
  <si>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</si>
  <si>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</si>
  <si>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</si>
  <si>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</si>
  <si>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</si>
  <si>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</si>
  <si>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</si>
  <si>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</si>
  <si>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</si>
  <si>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</si>
  <si>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</si>
  <si>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</si>
  <si>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</si>
  <si>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</si>
  <si>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</si>
  <si>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</si>
  <si>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</si>
  <si>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</si>
  <si>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</si>
  <si>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</si>
  <si>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</si>
  <si>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</si>
  <si>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</si>
  <si>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</si>
  <si>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</si>
  <si>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</si>
  <si>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</si>
  <si>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</si>
  <si>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</si>
  <si>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</si>
  <si>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</si>
  <si>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</si>
  <si>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</si>
  <si>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</si>
  <si>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</si>
  <si>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</si>
  <si>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</si>
  <si>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</si>
  <si>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</si>
  <si>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</si>
  <si>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</si>
  <si>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</si>
  <si>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</si>
  <si>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</si>
  <si>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</si>
  <si>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</si>
  <si>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</si>
  <si>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</si>
  <si>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</si>
  <si>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</si>
  <si>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</si>
  <si>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</si>
  <si>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</si>
  <si>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</si>
  <si>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</si>
  <si>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</si>
  <si>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</si>
  <si>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</si>
  <si>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</si>
  <si>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</si>
  <si>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</si>
  <si>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</si>
  <si>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</si>
  <si>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</si>
  <si>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</si>
  <si>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</si>
  <si>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</si>
  <si>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</si>
  <si>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</si>
  <si>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</si>
  <si>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</si>
  <si>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</si>
  <si>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</si>
  <si>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</si>
  <si>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</si>
  <si>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</si>
  <si>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</si>
  <si>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</si>
  <si>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供給動作</t>
  </si>
  <si>
    <t>供給動作</t>
    <rPh sb="0" eb="4">
      <t>キョウキュウドウサ</t>
    </rPh>
    <phoneticPr fontId="1"/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</si>
  <si>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</si>
  <si>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</si>
  <si>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</si>
  <si>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供給終了動作</t>
    <rPh sb="0" eb="2">
      <t>キョウキュウ</t>
    </rPh>
    <rPh sb="2" eb="4">
      <t>シュウリョウ</t>
    </rPh>
    <rPh sb="4" eb="6">
      <t>ドウサ</t>
    </rPh>
    <phoneticPr fontId="1"/>
  </si>
  <si>
    <t>巻き終了動作</t>
    <rPh sb="0" eb="1">
      <t>マ</t>
    </rPh>
    <rPh sb="2" eb="4">
      <t>シュウリョウ</t>
    </rPh>
    <rPh sb="4" eb="6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</si>
  <si>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</si>
  <si>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巻き溶接動作</t>
    <rPh sb="0" eb="1">
      <t>マ</t>
    </rPh>
    <rPh sb="2" eb="4">
      <t>ヨウセツ</t>
    </rPh>
    <rPh sb="4" eb="6">
      <t>ドウサ</t>
    </rPh>
    <phoneticPr fontId="1"/>
  </si>
  <si>
    <t>箔ロウ溶接動作</t>
    <rPh sb="0" eb="1">
      <t>ハク</t>
    </rPh>
    <rPh sb="3" eb="5">
      <t>ヨウセツ</t>
    </rPh>
    <rPh sb="5" eb="7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</si>
  <si>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</si>
  <si>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排出動作</t>
    <rPh sb="0" eb="2">
      <t>ハイシュツ</t>
    </rPh>
    <rPh sb="2" eb="4">
      <t>ドウサ</t>
    </rPh>
    <phoneticPr fontId="1"/>
  </si>
  <si>
    <t>Supply preparation operation</t>
  </si>
  <si>
    <t>Supply operation</t>
  </si>
  <si>
    <t>Supply completion operation</t>
  </si>
  <si>
    <t>Winding preparation operation</t>
  </si>
  <si>
    <t>Winding operation</t>
  </si>
  <si>
    <t>Winding completion operation</t>
  </si>
  <si>
    <t>Circumference measurement operation</t>
  </si>
  <si>
    <t>Discharge operation</t>
  </si>
  <si>
    <t>Winding clamping operation</t>
  </si>
  <si>
    <t>Winding welding operation</t>
  </si>
  <si>
    <t>Foil wax welding operation</t>
  </si>
  <si>
    <t>In-winding measurement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</si>
  <si>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</si>
  <si>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</si>
  <si>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供給開始動作</t>
    <rPh sb="0" eb="2">
      <t>キョウキュウ</t>
    </rPh>
    <rPh sb="2" eb="4">
      <t>カイシ</t>
    </rPh>
    <rPh sb="4" eb="6">
      <t>ドウサ</t>
    </rPh>
    <phoneticPr fontId="1"/>
  </si>
  <si>
    <t>Supply start operation</t>
  </si>
  <si>
    <t>供給開始動作</t>
    <rPh sb="2" eb="4">
      <t>カイシ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</si>
</sst>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0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4"/>
  <sheetViews>
    <sheetView tabSelected="1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I9" sqref="I9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69</v>
      </c>
      <c r="I2" s="28" t="s">
        <v>70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66" si="0">B3&amp;C3</f>
        <v>1</v>
      </c>
      <c r="E3" s="4">
        <f>E2+1</f>
        <v>2</v>
      </c>
      <c r="F3" s="9"/>
      <c r="G3" s="9" t="s">
        <v>72</v>
      </c>
      <c r="H3" s="9" t="s">
        <v>71</v>
      </c>
      <c r="I3" s="9" t="s">
        <v>90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104</v>
      </c>
      <c r="I4" s="9" t="s">
        <v>105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79</v>
      </c>
      <c r="I5" s="9" t="s">
        <v>91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5</v>
      </c>
      <c r="F6" s="9"/>
      <c r="G6" s="9" t="s">
        <v>72</v>
      </c>
      <c r="H6" s="9" t="s">
        <v>83</v>
      </c>
      <c r="I6" s="9" t="s">
        <v>92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69</v>
      </c>
      <c r="I7" s="5" t="s">
        <v>70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71</v>
      </c>
      <c r="I8" s="5" t="s">
        <v>90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ref="C9:C11" si="4">C8</f>
        <v>2</v>
      </c>
      <c r="D9" s="4" t="str">
        <f t="shared" si="0"/>
        <v>2</v>
      </c>
      <c r="E9" s="4">
        <f t="shared" ref="E9:E11" si="5">E8+1</f>
        <v>3</v>
      </c>
      <c r="F9" s="5"/>
      <c r="G9" s="5" t="s">
        <v>73</v>
      </c>
      <c r="H9" s="5" t="s">
        <v>106</v>
      </c>
      <c r="I9" s="5" t="s">
        <v>105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 t="shared" si="4"/>
        <v>2</v>
      </c>
      <c r="D10" s="4" t="str">
        <f t="shared" si="0"/>
        <v>2</v>
      </c>
      <c r="E10" s="4">
        <f t="shared" si="5"/>
        <v>4</v>
      </c>
      <c r="F10" s="5"/>
      <c r="G10" s="5" t="s">
        <v>73</v>
      </c>
      <c r="H10" s="5" t="s">
        <v>78</v>
      </c>
      <c r="I10" s="5" t="s">
        <v>91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si="4"/>
        <v>2</v>
      </c>
      <c r="D11" s="4" t="str">
        <f t="shared" ref="D11" si="6">B11&amp;C11</f>
        <v>2</v>
      </c>
      <c r="E11" s="4">
        <f t="shared" si="5"/>
        <v>5</v>
      </c>
      <c r="F11" s="5"/>
      <c r="G11" s="5" t="s">
        <v>73</v>
      </c>
      <c r="H11" s="5" t="s">
        <v>83</v>
      </c>
      <c r="I11" s="5" t="s">
        <v>92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>C7+1</f>
        <v>3</v>
      </c>
      <c r="D12" s="4" t="str">
        <f t="shared" si="0"/>
        <v>3</v>
      </c>
      <c r="E12" s="4">
        <f>E7</f>
        <v>1</v>
      </c>
      <c r="F12" s="5"/>
      <c r="G12" s="5" t="s">
        <v>74</v>
      </c>
      <c r="H12" s="5" t="s">
        <v>69</v>
      </c>
      <c r="I12" s="5" t="s">
        <v>70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 t="shared" ref="C13:C96" si="7">C12</f>
        <v>3</v>
      </c>
      <c r="D13" s="4" t="str">
        <f t="shared" si="0"/>
        <v>3</v>
      </c>
      <c r="E13" s="4">
        <f t="shared" ref="E13:E76" si="8">E12+1</f>
        <v>2</v>
      </c>
      <c r="F13" s="5"/>
      <c r="G13" s="5" t="s">
        <v>74</v>
      </c>
      <c r="H13" s="5" t="s">
        <v>71</v>
      </c>
      <c r="I13" s="5" t="s">
        <v>90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 t="s">
        <v>74</v>
      </c>
      <c r="H14" s="5" t="s">
        <v>78</v>
      </c>
      <c r="I14" s="5" t="s">
        <v>91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7"/>
        <v>3</v>
      </c>
      <c r="D15" s="4" t="str">
        <f t="shared" si="0"/>
        <v>3</v>
      </c>
      <c r="E15" s="4">
        <f t="shared" si="8"/>
        <v>4</v>
      </c>
      <c r="F15" s="5"/>
      <c r="G15" s="5" t="s">
        <v>74</v>
      </c>
      <c r="H15" s="5" t="s">
        <v>83</v>
      </c>
      <c r="I15" s="5" t="s">
        <v>92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>C12+1</f>
        <v>4</v>
      </c>
      <c r="D16" s="4" t="str">
        <f t="shared" si="0"/>
        <v>4</v>
      </c>
      <c r="E16" s="4">
        <f>E12</f>
        <v>1</v>
      </c>
      <c r="F16" s="5"/>
      <c r="G16" s="5" t="s">
        <v>75</v>
      </c>
      <c r="H16" s="5" t="s">
        <v>69</v>
      </c>
      <c r="I16" s="5" t="s">
        <v>70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ref="C17" si="9">C16</f>
        <v>4</v>
      </c>
      <c r="D17" s="4" t="str">
        <f t="shared" si="0"/>
        <v>4</v>
      </c>
      <c r="E17" s="4">
        <f t="shared" ref="E17" si="10">E16+1</f>
        <v>2</v>
      </c>
      <c r="F17" s="5"/>
      <c r="G17" s="5" t="s">
        <v>75</v>
      </c>
      <c r="H17" s="5" t="s">
        <v>102</v>
      </c>
      <c r="I17" s="5" t="s">
        <v>103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7"/>
        <v>4</v>
      </c>
      <c r="D18" s="4" t="str">
        <f t="shared" si="0"/>
        <v>4</v>
      </c>
      <c r="E18" s="4">
        <f t="shared" si="8"/>
        <v>3</v>
      </c>
      <c r="F18" s="5"/>
      <c r="G18" s="5" t="s">
        <v>75</v>
      </c>
      <c r="H18" s="5" t="s">
        <v>81</v>
      </c>
      <c r="I18" s="5" t="s">
        <v>93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7"/>
        <v>4</v>
      </c>
      <c r="D19" s="4" t="str">
        <f t="shared" si="0"/>
        <v>4</v>
      </c>
      <c r="E19" s="4">
        <f t="shared" si="8"/>
        <v>4</v>
      </c>
      <c r="F19" s="5"/>
      <c r="G19" s="5" t="s">
        <v>75</v>
      </c>
      <c r="H19" s="5" t="s">
        <v>80</v>
      </c>
      <c r="I19" s="5" t="s">
        <v>94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7"/>
        <v>4</v>
      </c>
      <c r="D20" s="4" t="str">
        <f t="shared" si="0"/>
        <v>4</v>
      </c>
      <c r="E20" s="4">
        <f t="shared" si="8"/>
        <v>5</v>
      </c>
      <c r="F20" s="5"/>
      <c r="G20" s="5" t="s">
        <v>75</v>
      </c>
      <c r="H20" s="5" t="s">
        <v>84</v>
      </c>
      <c r="I20" s="5" t="s">
        <v>95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7"/>
        <v>4</v>
      </c>
      <c r="D21" s="4" t="str">
        <f t="shared" ref="D21" si="11">B21&amp;C21</f>
        <v>4</v>
      </c>
      <c r="E21" s="4">
        <f t="shared" si="8"/>
        <v>6</v>
      </c>
      <c r="F21" s="5"/>
      <c r="G21" s="5" t="s">
        <v>75</v>
      </c>
      <c r="H21" s="5" t="s">
        <v>88</v>
      </c>
      <c r="I21" s="5" t="s">
        <v>96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 t="shared" si="7"/>
        <v>4</v>
      </c>
      <c r="D22" s="4" t="str">
        <f t="shared" ref="D22" si="12">B22&amp;C22</f>
        <v>4</v>
      </c>
      <c r="E22" s="4">
        <f t="shared" si="8"/>
        <v>7</v>
      </c>
      <c r="F22" s="5"/>
      <c r="G22" s="5" t="s">
        <v>75</v>
      </c>
      <c r="H22" s="5" t="s">
        <v>89</v>
      </c>
      <c r="I22" s="5" t="s">
        <v>97</v>
      </c>
      <c r="J22" s="5"/>
      <c r="K22" s="6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" si="13">C16+1</f>
        <v>5</v>
      </c>
      <c r="D23" s="4" t="str">
        <f t="shared" si="0"/>
        <v>5</v>
      </c>
      <c r="E23" s="4">
        <f t="shared" ref="E23" si="14">E16</f>
        <v>1</v>
      </c>
      <c r="F23" s="5"/>
      <c r="G23" s="5" t="s">
        <v>76</v>
      </c>
      <c r="H23" s="5" t="s">
        <v>69</v>
      </c>
      <c r="I23" s="5" t="s">
        <v>70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ref="C24" si="15">C23</f>
        <v>5</v>
      </c>
      <c r="D24" s="4" t="str">
        <f t="shared" si="0"/>
        <v>5</v>
      </c>
      <c r="E24" s="4">
        <f t="shared" ref="E24" si="16">E23+1</f>
        <v>2</v>
      </c>
      <c r="F24" s="5"/>
      <c r="G24" s="5" t="s">
        <v>76</v>
      </c>
      <c r="H24" s="5" t="s">
        <v>85</v>
      </c>
      <c r="I24" s="5" t="s">
        <v>98</v>
      </c>
      <c r="J24" s="5"/>
      <c r="K24" s="5"/>
      <c r="L24" s="5"/>
      <c r="M24" s="5"/>
      <c r="N24" s="5"/>
      <c r="O24" s="7"/>
      <c r="P24" s="7"/>
      <c r="Q24" s="7"/>
      <c r="R24" s="7"/>
    </row>
    <row r="25" spans="1:18" x14ac:dyDescent="0.55000000000000004">
      <c r="A25" s="4"/>
      <c r="B25" s="4"/>
      <c r="C25" s="4">
        <f t="shared" si="7"/>
        <v>5</v>
      </c>
      <c r="D25" s="4" t="str">
        <f t="shared" si="0"/>
        <v>5</v>
      </c>
      <c r="E25" s="4">
        <f t="shared" si="8"/>
        <v>3</v>
      </c>
      <c r="F25" s="5"/>
      <c r="G25" s="5" t="s">
        <v>76</v>
      </c>
      <c r="H25" s="5" t="s">
        <v>86</v>
      </c>
      <c r="I25" s="5" t="s">
        <v>99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/>
      <c r="B26" s="4"/>
      <c r="C26" s="4">
        <f t="shared" si="7"/>
        <v>5</v>
      </c>
      <c r="D26" s="4" t="str">
        <f t="shared" si="0"/>
        <v>5</v>
      </c>
      <c r="E26" s="4">
        <f t="shared" si="8"/>
        <v>4</v>
      </c>
      <c r="F26" s="5"/>
      <c r="G26" s="5" t="s">
        <v>76</v>
      </c>
      <c r="H26" s="5" t="s">
        <v>87</v>
      </c>
      <c r="I26" s="5" t="s">
        <v>100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/>
      <c r="B27" s="4"/>
      <c r="C27" s="4">
        <f t="shared" ref="C27" si="17">C23+1</f>
        <v>6</v>
      </c>
      <c r="D27" s="4" t="str">
        <f t="shared" si="0"/>
        <v>6</v>
      </c>
      <c r="E27" s="4">
        <f>E23</f>
        <v>1</v>
      </c>
      <c r="F27" s="5"/>
      <c r="G27" s="5" t="s">
        <v>77</v>
      </c>
      <c r="H27" s="5" t="s">
        <v>69</v>
      </c>
      <c r="I27" s="5" t="s">
        <v>70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/>
      <c r="B28" s="4"/>
      <c r="C28" s="4">
        <f t="shared" ref="C28" si="18">C27</f>
        <v>6</v>
      </c>
      <c r="D28" s="4" t="str">
        <f t="shared" si="0"/>
        <v>6</v>
      </c>
      <c r="E28" s="4">
        <f t="shared" ref="E28" si="19">E27+1</f>
        <v>2</v>
      </c>
      <c r="F28" s="9"/>
      <c r="G28" s="5" t="s">
        <v>77</v>
      </c>
      <c r="H28" s="9" t="s">
        <v>102</v>
      </c>
      <c r="I28" s="9" t="s">
        <v>103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/>
      <c r="B29" s="4"/>
      <c r="C29" s="4">
        <f t="shared" si="7"/>
        <v>6</v>
      </c>
      <c r="D29" s="4" t="str">
        <f t="shared" si="0"/>
        <v>6</v>
      </c>
      <c r="E29" s="4">
        <f t="shared" si="8"/>
        <v>3</v>
      </c>
      <c r="F29" s="5"/>
      <c r="G29" s="5" t="s">
        <v>77</v>
      </c>
      <c r="H29" s="5" t="s">
        <v>82</v>
      </c>
      <c r="I29" s="5" t="s">
        <v>101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/>
      <c r="B30" s="4"/>
      <c r="C30" s="4">
        <f t="shared" si="7"/>
        <v>6</v>
      </c>
      <c r="D30" s="4" t="str">
        <f t="shared" si="0"/>
        <v>6</v>
      </c>
      <c r="E30" s="4">
        <f t="shared" si="8"/>
        <v>4</v>
      </c>
      <c r="F30" s="9"/>
      <c r="G30" s="5" t="s">
        <v>77</v>
      </c>
      <c r="H30" s="9" t="s">
        <v>88</v>
      </c>
      <c r="I30" s="9" t="s">
        <v>96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/>
      <c r="B31" s="4"/>
      <c r="C31" s="4">
        <f t="shared" si="7"/>
        <v>6</v>
      </c>
      <c r="D31" s="4" t="str">
        <f t="shared" ref="D31" si="20">B31&amp;C31</f>
        <v>6</v>
      </c>
      <c r="E31" s="4">
        <f t="shared" si="8"/>
        <v>5</v>
      </c>
      <c r="F31" s="9"/>
      <c r="G31" s="5" t="s">
        <v>77</v>
      </c>
      <c r="H31" s="9" t="s">
        <v>89</v>
      </c>
      <c r="I31" s="9" t="s">
        <v>97</v>
      </c>
      <c r="J31" s="9"/>
      <c r="K31" s="9"/>
      <c r="L31" s="9"/>
      <c r="M31" s="9"/>
      <c r="N31" s="10"/>
      <c r="O31" s="22"/>
      <c r="P31" s="22"/>
      <c r="Q31" s="22"/>
      <c r="R31" s="7"/>
    </row>
    <row r="32" spans="1:18" x14ac:dyDescent="0.55000000000000004">
      <c r="A32" s="4"/>
      <c r="B32" s="4"/>
      <c r="C32" s="4">
        <f t="shared" ref="C32" si="21">C27+1</f>
        <v>7</v>
      </c>
      <c r="D32" s="4" t="str">
        <f t="shared" si="0"/>
        <v>7</v>
      </c>
      <c r="E32" s="4">
        <f>E27</f>
        <v>1</v>
      </c>
      <c r="F32" s="9"/>
      <c r="G32" s="9"/>
      <c r="H32" s="9"/>
      <c r="I32" s="9"/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/>
      <c r="B33" s="4"/>
      <c r="C33" s="4">
        <f t="shared" ref="C33" si="22">C32</f>
        <v>7</v>
      </c>
      <c r="D33" s="4" t="str">
        <f t="shared" si="0"/>
        <v>7</v>
      </c>
      <c r="E33" s="4">
        <f t="shared" ref="E33" si="23">E32+1</f>
        <v>2</v>
      </c>
      <c r="F33" s="9"/>
      <c r="G33" s="9"/>
      <c r="H33" s="9"/>
      <c r="I33" s="9"/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/>
      <c r="B34" s="4"/>
      <c r="C34" s="4">
        <f t="shared" si="7"/>
        <v>7</v>
      </c>
      <c r="D34" s="4" t="str">
        <f t="shared" si="0"/>
        <v>7</v>
      </c>
      <c r="E34" s="4">
        <f t="shared" si="8"/>
        <v>3</v>
      </c>
      <c r="F34" s="5"/>
      <c r="G34" s="5"/>
      <c r="H34" s="5"/>
      <c r="I34" s="5"/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si="7"/>
        <v>7</v>
      </c>
      <c r="D35" s="4" t="str">
        <f t="shared" si="0"/>
        <v>7</v>
      </c>
      <c r="E35" s="4">
        <f t="shared" si="8"/>
        <v>4</v>
      </c>
      <c r="F35" s="5"/>
      <c r="G35" s="5"/>
      <c r="H35" s="5"/>
      <c r="I35" s="5"/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/>
      <c r="B36" s="4"/>
      <c r="C36" s="4">
        <f t="shared" si="7"/>
        <v>7</v>
      </c>
      <c r="D36" s="4" t="str">
        <f t="shared" si="0"/>
        <v>7</v>
      </c>
      <c r="E36" s="4">
        <f t="shared" si="8"/>
        <v>5</v>
      </c>
      <c r="F36" s="5"/>
      <c r="G36" s="5"/>
      <c r="H36" s="5"/>
      <c r="I36" s="5"/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26"/>
      <c r="B37" s="4"/>
      <c r="C37" s="26">
        <f t="shared" ref="C37" si="24">C32+1</f>
        <v>8</v>
      </c>
      <c r="D37" s="26" t="str">
        <f t="shared" si="0"/>
        <v>8</v>
      </c>
      <c r="E37" s="4">
        <f t="shared" ref="E37" si="25">E32</f>
        <v>1</v>
      </c>
      <c r="F37" s="11"/>
      <c r="G37" s="11"/>
      <c r="H37" s="11"/>
      <c r="I37" s="11"/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26"/>
      <c r="B38" s="4"/>
      <c r="C38" s="26">
        <f t="shared" ref="C38" si="26">C37</f>
        <v>8</v>
      </c>
      <c r="D38" s="26" t="str">
        <f t="shared" si="0"/>
        <v>8</v>
      </c>
      <c r="E38" s="4">
        <f t="shared" ref="E38" si="27">E37+1</f>
        <v>2</v>
      </c>
      <c r="F38" s="11"/>
      <c r="G38" s="11"/>
      <c r="H38" s="11"/>
      <c r="I38" s="11"/>
      <c r="J38" s="11"/>
      <c r="K38" s="11"/>
      <c r="L38" s="11"/>
      <c r="M38" s="11"/>
      <c r="N38" s="12"/>
      <c r="O38" s="23"/>
      <c r="P38" s="23"/>
      <c r="Q38" s="23"/>
      <c r="R38" s="7"/>
    </row>
    <row r="39" spans="1:18" x14ac:dyDescent="0.55000000000000004">
      <c r="A39" s="26"/>
      <c r="B39" s="4"/>
      <c r="C39" s="26">
        <f t="shared" si="7"/>
        <v>8</v>
      </c>
      <c r="D39" s="26" t="str">
        <f t="shared" si="0"/>
        <v>8</v>
      </c>
      <c r="E39" s="4">
        <f t="shared" si="8"/>
        <v>3</v>
      </c>
      <c r="F39" s="11"/>
      <c r="G39" s="11"/>
      <c r="H39" s="11"/>
      <c r="I39" s="11"/>
      <c r="J39" s="11"/>
      <c r="K39" s="11"/>
      <c r="L39" s="11"/>
      <c r="M39" s="11"/>
      <c r="N39" s="12"/>
      <c r="O39" s="23"/>
      <c r="P39" s="23"/>
      <c r="Q39" s="23"/>
      <c r="R39" s="7"/>
    </row>
    <row r="40" spans="1:18" x14ac:dyDescent="0.55000000000000004">
      <c r="A40" s="4"/>
      <c r="B40" s="4"/>
      <c r="C40" s="4">
        <f t="shared" si="7"/>
        <v>8</v>
      </c>
      <c r="D40" s="4" t="str">
        <f t="shared" si="0"/>
        <v>8</v>
      </c>
      <c r="E40" s="4">
        <f t="shared" si="8"/>
        <v>4</v>
      </c>
      <c r="F40" s="5"/>
      <c r="G40" s="5"/>
      <c r="H40" s="5"/>
      <c r="I40" s="5"/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si="7"/>
        <v>8</v>
      </c>
      <c r="D41" s="4" t="str">
        <f t="shared" si="0"/>
        <v>8</v>
      </c>
      <c r="E41" s="4">
        <f t="shared" si="8"/>
        <v>5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ref="C42" si="28">C37+1</f>
        <v>9</v>
      </c>
      <c r="D42" s="4" t="str">
        <f t="shared" si="0"/>
        <v>9</v>
      </c>
      <c r="E42" s="4">
        <f t="shared" ref="E42" si="29">E37</f>
        <v>1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ref="C43" si="30">C42</f>
        <v>9</v>
      </c>
      <c r="D43" s="4" t="str">
        <f t="shared" si="0"/>
        <v>9</v>
      </c>
      <c r="E43" s="4">
        <f t="shared" ref="E43" si="31">E42+1</f>
        <v>2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si="7"/>
        <v>9</v>
      </c>
      <c r="D44" s="4" t="str">
        <f t="shared" si="0"/>
        <v>9</v>
      </c>
      <c r="E44" s="4">
        <f t="shared" si="8"/>
        <v>3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7"/>
        <v>9</v>
      </c>
      <c r="D45" s="4" t="str">
        <f t="shared" si="0"/>
        <v>9</v>
      </c>
      <c r="E45" s="4">
        <f t="shared" si="8"/>
        <v>4</v>
      </c>
      <c r="F45" s="5"/>
      <c r="G45" s="5"/>
      <c r="H45" s="5"/>
      <c r="I45" s="5"/>
      <c r="J45" s="5"/>
      <c r="K45" s="13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7"/>
        <v>9</v>
      </c>
      <c r="D46" s="4" t="str">
        <f t="shared" si="0"/>
        <v>9</v>
      </c>
      <c r="E46" s="4">
        <f t="shared" si="8"/>
        <v>5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2">C42+1</f>
        <v>10</v>
      </c>
      <c r="D47" s="4" t="str">
        <f t="shared" si="0"/>
        <v>10</v>
      </c>
      <c r="E47" s="4">
        <f t="shared" ref="E47" si="33">E42</f>
        <v>1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4">C47</f>
        <v>10</v>
      </c>
      <c r="D48" s="4" t="str">
        <f t="shared" si="0"/>
        <v>10</v>
      </c>
      <c r="E48" s="4">
        <f t="shared" ref="E48" si="35">E47+1</f>
        <v>2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7"/>
        <v>10</v>
      </c>
      <c r="D49" s="4" t="str">
        <f t="shared" si="0"/>
        <v>10</v>
      </c>
      <c r="E49" s="4">
        <f t="shared" si="8"/>
        <v>3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10</v>
      </c>
      <c r="D50" s="4" t="str">
        <f t="shared" si="0"/>
        <v>10</v>
      </c>
      <c r="E50" s="4">
        <f t="shared" si="8"/>
        <v>4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10</v>
      </c>
      <c r="D51" s="4" t="str">
        <f t="shared" si="0"/>
        <v>10</v>
      </c>
      <c r="E51" s="4">
        <f t="shared" si="8"/>
        <v>5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6">C47+1</f>
        <v>11</v>
      </c>
      <c r="D52" s="4" t="str">
        <f t="shared" si="0"/>
        <v>11</v>
      </c>
      <c r="E52" s="4">
        <f t="shared" ref="E52" si="37">E47</f>
        <v>1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8">C52</f>
        <v>11</v>
      </c>
      <c r="D53" s="4" t="str">
        <f t="shared" si="0"/>
        <v>11</v>
      </c>
      <c r="E53" s="4">
        <f t="shared" ref="E53" si="39">E52+1</f>
        <v>2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7"/>
        <v>11</v>
      </c>
      <c r="D54" s="4" t="str">
        <f t="shared" si="0"/>
        <v>11</v>
      </c>
      <c r="E54" s="4">
        <f t="shared" si="8"/>
        <v>3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11</v>
      </c>
      <c r="D55" s="4" t="str">
        <f t="shared" si="0"/>
        <v>11</v>
      </c>
      <c r="E55" s="4">
        <f t="shared" si="8"/>
        <v>4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11</v>
      </c>
      <c r="D56" s="4" t="str">
        <f t="shared" si="0"/>
        <v>11</v>
      </c>
      <c r="E56" s="4">
        <f t="shared" si="8"/>
        <v>5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40">C52+1</f>
        <v>12</v>
      </c>
      <c r="D57" s="4" t="str">
        <f t="shared" si="0"/>
        <v>12</v>
      </c>
      <c r="E57" s="4">
        <f t="shared" ref="E57" si="41">E52</f>
        <v>1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42">C57</f>
        <v>12</v>
      </c>
      <c r="D58" s="4" t="str">
        <f t="shared" si="0"/>
        <v>12</v>
      </c>
      <c r="E58" s="4">
        <f t="shared" ref="E58" si="43">E57+1</f>
        <v>2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7"/>
        <v>12</v>
      </c>
      <c r="D59" s="4" t="str">
        <f t="shared" si="0"/>
        <v>12</v>
      </c>
      <c r="E59" s="4">
        <f t="shared" si="8"/>
        <v>3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12</v>
      </c>
      <c r="D60" s="4" t="str">
        <f t="shared" si="0"/>
        <v>12</v>
      </c>
      <c r="E60" s="4">
        <f t="shared" si="8"/>
        <v>4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12</v>
      </c>
      <c r="D61" s="4" t="str">
        <f t="shared" si="0"/>
        <v>12</v>
      </c>
      <c r="E61" s="4">
        <f t="shared" si="8"/>
        <v>5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:C92" si="44">C57+1</f>
        <v>13</v>
      </c>
      <c r="D62" s="4" t="str">
        <f t="shared" si="0"/>
        <v>13</v>
      </c>
      <c r="E62" s="4">
        <f t="shared" ref="E62" si="45">E57</f>
        <v>1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:C93" si="46">C62</f>
        <v>13</v>
      </c>
      <c r="D63" s="4" t="str">
        <f t="shared" si="0"/>
        <v>13</v>
      </c>
      <c r="E63" s="4">
        <f t="shared" ref="E63" si="47">E62+1</f>
        <v>2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7"/>
        <v>13</v>
      </c>
      <c r="D64" s="4" t="str">
        <f t="shared" si="0"/>
        <v>13</v>
      </c>
      <c r="E64" s="4">
        <f t="shared" si="8"/>
        <v>3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13</v>
      </c>
      <c r="D65" s="4" t="str">
        <f t="shared" si="0"/>
        <v>13</v>
      </c>
      <c r="E65" s="4">
        <f t="shared" si="8"/>
        <v>4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13</v>
      </c>
      <c r="D66" s="4" t="str">
        <f t="shared" si="0"/>
        <v>13</v>
      </c>
      <c r="E66" s="4">
        <f t="shared" si="8"/>
        <v>5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44"/>
        <v>14</v>
      </c>
      <c r="D67" s="4" t="str">
        <f t="shared" ref="D67:D96" si="48">B67&amp;C67</f>
        <v>14</v>
      </c>
      <c r="E67" s="4">
        <f t="shared" ref="E67" si="49">E62</f>
        <v>1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6"/>
        <v>14</v>
      </c>
      <c r="D68" s="4" t="str">
        <f t="shared" si="48"/>
        <v>14</v>
      </c>
      <c r="E68" s="4">
        <f t="shared" ref="E68" si="50">E67+1</f>
        <v>2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7"/>
        <v>14</v>
      </c>
      <c r="D69" s="4" t="str">
        <f t="shared" si="48"/>
        <v>14</v>
      </c>
      <c r="E69" s="4">
        <f t="shared" si="8"/>
        <v>3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14</v>
      </c>
      <c r="D70" s="4" t="str">
        <f t="shared" si="48"/>
        <v>14</v>
      </c>
      <c r="E70" s="4">
        <f t="shared" si="8"/>
        <v>4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14</v>
      </c>
      <c r="D71" s="4" t="str">
        <f t="shared" si="48"/>
        <v>14</v>
      </c>
      <c r="E71" s="4">
        <f t="shared" si="8"/>
        <v>5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44"/>
        <v>15</v>
      </c>
      <c r="D72" s="4" t="str">
        <f t="shared" si="48"/>
        <v>15</v>
      </c>
      <c r="E72" s="4">
        <f t="shared" ref="E72" si="51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6"/>
        <v>15</v>
      </c>
      <c r="D73" s="4" t="str">
        <f t="shared" si="48"/>
        <v>15</v>
      </c>
      <c r="E73" s="4">
        <f t="shared" ref="E73" si="52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7"/>
        <v>15</v>
      </c>
      <c r="D74" s="4" t="str">
        <f t="shared" si="48"/>
        <v>15</v>
      </c>
      <c r="E74" s="4">
        <f t="shared" si="8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15</v>
      </c>
      <c r="D75" s="4" t="str">
        <f t="shared" si="48"/>
        <v>15</v>
      </c>
      <c r="E75" s="4">
        <f t="shared" si="8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15</v>
      </c>
      <c r="D76" s="4" t="str">
        <f t="shared" si="48"/>
        <v>15</v>
      </c>
      <c r="E76" s="4">
        <f t="shared" si="8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4"/>
        <v>16</v>
      </c>
      <c r="D77" s="4" t="str">
        <f t="shared" si="48"/>
        <v>16</v>
      </c>
      <c r="E77" s="4">
        <f t="shared" ref="E77" si="53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6"/>
        <v>16</v>
      </c>
      <c r="D78" s="4" t="str">
        <f t="shared" si="48"/>
        <v>16</v>
      </c>
      <c r="E78" s="4">
        <f t="shared" ref="E78:E96" si="54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7"/>
        <v>16</v>
      </c>
      <c r="D79" s="4" t="str">
        <f t="shared" si="48"/>
        <v>16</v>
      </c>
      <c r="E79" s="4">
        <f t="shared" si="54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16</v>
      </c>
      <c r="D80" s="4" t="str">
        <f t="shared" si="48"/>
        <v>16</v>
      </c>
      <c r="E80" s="4">
        <f t="shared" si="54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16</v>
      </c>
      <c r="D81" s="4" t="str">
        <f t="shared" si="48"/>
        <v>16</v>
      </c>
      <c r="E81" s="4">
        <f t="shared" si="54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4"/>
        <v>17</v>
      </c>
      <c r="D82" s="4" t="str">
        <f t="shared" si="48"/>
        <v>17</v>
      </c>
      <c r="E82" s="4">
        <f t="shared" ref="E82" si="55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6"/>
        <v>17</v>
      </c>
      <c r="D83" s="4" t="str">
        <f t="shared" si="48"/>
        <v>17</v>
      </c>
      <c r="E83" s="4">
        <f t="shared" ref="E83" si="56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7"/>
        <v>17</v>
      </c>
      <c r="D84" s="4" t="str">
        <f t="shared" si="48"/>
        <v>17</v>
      </c>
      <c r="E84" s="4">
        <f t="shared" si="54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17</v>
      </c>
      <c r="D85" s="4" t="str">
        <f t="shared" si="48"/>
        <v>17</v>
      </c>
      <c r="E85" s="4">
        <f t="shared" si="54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17</v>
      </c>
      <c r="D86" s="4" t="str">
        <f t="shared" si="48"/>
        <v>17</v>
      </c>
      <c r="E86" s="4">
        <f t="shared" si="54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4"/>
        <v>18</v>
      </c>
      <c r="D87" s="4" t="str">
        <f t="shared" si="48"/>
        <v>18</v>
      </c>
      <c r="E87" s="4">
        <f t="shared" ref="E87" si="57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6"/>
        <v>18</v>
      </c>
      <c r="D88" s="4" t="str">
        <f t="shared" si="48"/>
        <v>18</v>
      </c>
      <c r="E88" s="4">
        <f t="shared" ref="E88" si="58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7"/>
        <v>18</v>
      </c>
      <c r="D89" s="4" t="str">
        <f t="shared" si="48"/>
        <v>18</v>
      </c>
      <c r="E89" s="4">
        <f t="shared" si="54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18</v>
      </c>
      <c r="D90" s="4" t="str">
        <f t="shared" si="48"/>
        <v>18</v>
      </c>
      <c r="E90" s="4">
        <f t="shared" si="54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18</v>
      </c>
      <c r="D91" s="4" t="str">
        <f t="shared" si="48"/>
        <v>18</v>
      </c>
      <c r="E91" s="4">
        <f t="shared" si="54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4"/>
        <v>19</v>
      </c>
      <c r="D92" s="4" t="str">
        <f t="shared" si="48"/>
        <v>19</v>
      </c>
      <c r="E92" s="4">
        <f t="shared" ref="E92" si="59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/>
      <c r="B93" s="4"/>
      <c r="C93" s="4">
        <f t="shared" si="46"/>
        <v>19</v>
      </c>
      <c r="D93" s="4" t="str">
        <f t="shared" si="48"/>
        <v>19</v>
      </c>
      <c r="E93" s="4">
        <f t="shared" ref="E93" si="60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/>
      <c r="B94" s="4"/>
      <c r="C94" s="4">
        <f t="shared" si="7"/>
        <v>19</v>
      </c>
      <c r="D94" s="4" t="str">
        <f t="shared" si="48"/>
        <v>19</v>
      </c>
      <c r="E94" s="4">
        <f t="shared" si="54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/>
      <c r="B95" s="4"/>
      <c r="C95" s="4">
        <f t="shared" si="7"/>
        <v>19</v>
      </c>
      <c r="D95" s="4" t="str">
        <f t="shared" si="48"/>
        <v>19</v>
      </c>
      <c r="E95" s="4">
        <f t="shared" si="54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/>
      <c r="B96" s="4"/>
      <c r="C96" s="4">
        <f t="shared" si="7"/>
        <v>19</v>
      </c>
      <c r="D96" s="4" t="str">
        <f t="shared" si="48"/>
        <v>19</v>
      </c>
      <c r="E96" s="4">
        <f t="shared" si="54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15"/>
      <c r="B97" s="15"/>
      <c r="C97" s="15"/>
      <c r="D97" s="15"/>
      <c r="E97" s="15"/>
      <c r="F97" s="16"/>
      <c r="G97" s="16"/>
      <c r="H97" s="16"/>
      <c r="I97" s="16"/>
      <c r="J97" s="16"/>
      <c r="K97" s="16"/>
      <c r="L97" s="16"/>
      <c r="M97" s="16"/>
      <c r="N97" s="16"/>
      <c r="O97" s="17"/>
      <c r="P97" s="17"/>
      <c r="Q97" s="17"/>
      <c r="R97" s="17"/>
    </row>
    <row r="99" spans="1:18" x14ac:dyDescent="0.55000000000000004">
      <c r="A99" t="s">
        <v>9</v>
      </c>
      <c r="F99" t="s">
        <v>8</v>
      </c>
    </row>
    <row r="100" spans="1:18" x14ac:dyDescent="0.55000000000000004">
      <c r="A100">
        <f>MAX(A$2:A$97)</f>
        <v>0</v>
      </c>
      <c r="F100">
        <f>MAX(F$2:F$97)</f>
        <v>0</v>
      </c>
    </row>
    <row r="101" spans="1:18" x14ac:dyDescent="0.55000000000000004">
      <c r="A101" t="s">
        <v>40</v>
      </c>
      <c r="D101" t="s">
        <v>14</v>
      </c>
      <c r="E101" t="s">
        <v>13</v>
      </c>
    </row>
    <row r="102" spans="1:18" x14ac:dyDescent="0.55000000000000004">
      <c r="A102">
        <f>ROW(A98)-ROW(A1)-1</f>
        <v>96</v>
      </c>
      <c r="D102">
        <f>COUNTIF(D$2:D$97,D101)</f>
        <v>0</v>
      </c>
      <c r="E102" s="25">
        <f>_xlfn.MAXIFS(E$2:E$97,$D$2:$D$97,E101)</f>
        <v>0</v>
      </c>
    </row>
    <row r="103" spans="1:18" x14ac:dyDescent="0.55000000000000004">
      <c r="D103" t="s">
        <v>12</v>
      </c>
      <c r="E103" t="s">
        <v>12</v>
      </c>
    </row>
    <row r="104" spans="1:18" x14ac:dyDescent="0.55000000000000004">
      <c r="D104">
        <f>COUNTIF(D$2:D$97,D103)</f>
        <v>0</v>
      </c>
      <c r="E104" s="25">
        <f>_xlfn.MAXIFS(E$2:E$97,$D$2:$D$97,E103)</f>
        <v>0</v>
      </c>
    </row>
  </sheetData>
  <autoFilter ref="A1:R96" xr:uid="{48D32264-F25D-40E9-9C76-26E43E79C8CC}">
    <sortState xmlns:xlrd2="http://schemas.microsoft.com/office/spreadsheetml/2017/richdata2" ref="A2:R96">
      <sortCondition ref="D1:D96"/>
    </sortState>
  </autoFilter>
  <phoneticPr fontId="1"/>
  <conditionalFormatting sqref="A2:R9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6" activePane="bottomRight" state="frozen"/>
      <selection activeCell="I12" sqref="I12"/>
      <selection pane="topRight" activeCell="I12" sqref="I12"/>
      <selection pane="bottomLeft" activeCell="I12" sqref="I12"/>
      <selection pane="bottomRight" activeCell="L23" sqref="L2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C:\tk\prj\hg-0025-0016\git\kv-x520\doc\[kv_script_cycle_info.xlsx]info_index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IFERROR(MATCH($G$3:$G$202&amp;$H$3:$H$202,info_index!$D$2:$D$97&amp;info_index!$E$2:$E$97,0),"")</f>
        <v>1</v>
      </c>
      <c r="K3" t="str" cm="1">
        <f t="array" aca="1" ref="K3:K202" ca="1">IF(LEN(_xlfn.ANCHORARRAY(J3)),INDEX(OFFSET(info_index!$H$2:$H$97,0,$B$23),MATCH($G$3:$G$202&amp;$H$3:$H$202,info_index!$D$2:$D$97&amp;info_index!$E$2:$E$97,0),1)&amp;"","")</f>
        <v>原点復帰動作</v>
      </c>
      <c r="L3" t="str" cm="1">
        <f t="array" aca="1" ref="L3:L202" ca="1">IF(LEN(_xlfn.ANCHORARRAY($J3)),IF(LEN(_xlfn.ANCHORARRAY(K3)),_xlfn.ANCHORARRAY(K3),"unknown"),"")</f>
        <v>原点復帰動作</v>
      </c>
      <c r="N3" t="str" cm="1">
        <f t="array" aca="1" ref="N3:N202" ca="1">IF(LEN(_xlfn.ANCHORARRAY(L3)),"【"&amp;G3:G202&amp;H3:H202&amp;"】 "&amp;_xlfn.ANCHORARRAY(L3),"")</f>
        <v>【11】 原点復帰動作</v>
      </c>
      <c r="O3" t="str" cm="1">
        <f t="array" ref="O3:O202">IFERROR(INDEX(info_index!$J$2:$J$97,MATCH($G$3:$G$202&amp;$H$3:$H$202,info_index!$D$2:$D$97&amp;info_index!$E$2:$E$97,0),1)&amp;"","")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IF(LEN(_xlfn.ANCHORARRAY(J3)),INDEX(OFFSET(info_index!$L$2:$L$97,0,$B$23),MATCH($G$3:$G$202&amp;$H$3:$H$202,info_index!$D$2:$D$97&amp;info_index!$E$2:$E$97,0),1)&amp;"","")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//原点復帰動作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//原点復帰動作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//原点復帰動作
	IF uiInfoIdx = 1 THEN
		IF strInfoKey = 'name' THEN
			strRt	:= '原点復帰動作';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//原点復帰動作
	IF uiInfoIdx = 1 THEN
		IF strInfoKey = 'name' THEN
			strRt	:= '原点復帰動作';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//原点復帰動作
	IF uiInfoIdx = 1 THEN
		IF strInfoKey = 'name' THEN
			strRt	:= '原点復帰動作';
		ELSIF strInfoKey = 'index_name' THEN
			strRt	:= '【11】 原点復帰動作';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供給準備動作</v>
      </c>
      <c r="L4" t="str">
        <f ca="1"/>
        <v>供給準備動作</v>
      </c>
      <c r="N4" t="str">
        <f ca="1"/>
        <v>【12】 供給準備動作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//供給準備動作
	ELSIF uiInfoIdx = 2 THEN</v>
      </c>
      <c r="AC4" t="str">
        <f ca="1"/>
        <v xml:space="preserve">
	//供給準備動作
	ELSIF uiInfoIdx = 2 THEN
		IF strInfoKey = 'name' THEN</v>
      </c>
      <c r="AD4" t="str">
        <f ca="1"/>
        <v xml:space="preserve">
	//供給準備動作
	ELSIF uiInfoIdx = 2 THEN
		IF strInfoKey = 'name' THEN
			strRt	:= '供給準備動作';</v>
      </c>
      <c r="AE4" t="str">
        <f ca="1"/>
        <v xml:space="preserve">
	//供給準備動作
	ELSIF uiInfoIdx = 2 THEN
		IF strInfoKey = 'name' THEN
			strRt	:= '供給準備動作';
		ELSIF strInfoKey = 'index_name' THEN</v>
      </c>
      <c r="AF4" t="str">
        <f ca="1"/>
        <v xml:space="preserve">
	//供給準備動作
	ELSIF uiInfoIdx = 2 THEN
		IF strInfoKey = 'name' THEN
			strRt	:= '供給準備動作';
		ELSIF strInfoKey = 'index_name' THEN
			strRt	:= '【12】 供給準備動作';</v>
      </c>
      <c r="AG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</v>
      </c>
      <c r="AH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</v>
      </c>
      <c r="AI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</v>
      </c>
      <c r="AJ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</v>
      </c>
      <c r="AK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L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M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C:\tk\prj\hg-0025-0016\git\kv-x520\doc\[kv_script_cycle_info.xlsx]info_index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供給開始動作</v>
      </c>
      <c r="L5" t="str">
        <f ca="1"/>
        <v>供給開始動作</v>
      </c>
      <c r="N5" t="str">
        <f ca="1"/>
        <v>【13】 供給開始動作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//供給開始動作
	ELSIF uiInfoIdx = 3 THEN</v>
      </c>
      <c r="AC5" t="str">
        <f ca="1"/>
        <v xml:space="preserve">
	//供給開始動作
	ELSIF uiInfoIdx = 3 THEN
		IF strInfoKey = 'name' THEN</v>
      </c>
      <c r="AD5" t="str">
        <f ca="1"/>
        <v xml:space="preserve">
	//供給開始動作
	ELSIF uiInfoIdx = 3 THEN
		IF strInfoKey = 'name' THEN
			strRt	:= '供給開始動作';</v>
      </c>
      <c r="AE5" t="str">
        <f ca="1"/>
        <v xml:space="preserve">
	//供給開始動作
	ELSIF uiInfoIdx = 3 THEN
		IF strInfoKey = 'name' THEN
			strRt	:= '供給開始動作';
		ELSIF strInfoKey = 'index_name' THEN</v>
      </c>
      <c r="AF5" t="str">
        <f ca="1"/>
        <v xml:space="preserve">
	//供給開始動作
	ELSIF uiInfoIdx = 3 THEN
		IF strInfoKey = 'name' THEN
			strRt	:= '供給開始動作';
		ELSIF strInfoKey = 'index_name' THEN
			strRt	:= '【13】 供給開始動作';</v>
      </c>
      <c r="AG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</v>
      </c>
      <c r="AH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</v>
      </c>
      <c r="AI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</v>
      </c>
      <c r="AJ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</v>
      </c>
      <c r="AK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</v>
      </c>
      <c r="AL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</v>
      </c>
      <c r="AM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供給動作</v>
      </c>
      <c r="L6" t="str">
        <f ca="1"/>
        <v>供給動作</v>
      </c>
      <c r="N6" t="str">
        <f ca="1"/>
        <v>【14】 供給動作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//供給動作
	ELSIF uiInfoIdx = 4 THEN</v>
      </c>
      <c r="AC6" t="str">
        <f ca="1"/>
        <v xml:space="preserve">
	//供給動作
	ELSIF uiInfoIdx = 4 THEN
		IF strInfoKey = 'name' THEN</v>
      </c>
      <c r="AD6" t="str">
        <f ca="1"/>
        <v xml:space="preserve">
	//供給動作
	ELSIF uiInfoIdx = 4 THEN
		IF strInfoKey = 'name' THEN
			strRt	:= '供給動作';</v>
      </c>
      <c r="AE6" t="str">
        <f ca="1"/>
        <v xml:space="preserve">
	//供給動作
	ELSIF uiInfoIdx = 4 THEN
		IF strInfoKey = 'name' THEN
			strRt	:= '供給動作';
		ELSIF strInfoKey = 'index_name' THEN</v>
      </c>
      <c r="AF6" t="str">
        <f ca="1"/>
        <v xml:space="preserve">
	//供給動作
	ELSIF uiInfoIdx = 4 THEN
		IF strInfoKey = 'name' THEN
			strRt	:= '供給動作';
		ELSIF strInfoKey = 'index_name' THEN
			strRt	:= '【14】 供給動作';</v>
      </c>
      <c r="AG6" t="str">
        <f ca="1"/>
        <v xml:space="preserve">
	//供給動作
	ELSIF uiInfoIdx = 4 THEN
		IF strInfoKey = 'name' THEN
			strRt	:= '供給動作';
		ELSIF strInfoKey = 'index_name' THEN
			strRt	:= '【14】 供給動作';
		ELSIF strInfoKey = 'model' THEN</v>
      </c>
      <c r="AH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</v>
      </c>
      <c r="AI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</v>
      </c>
      <c r="AJ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</v>
      </c>
      <c r="AK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</v>
      </c>
      <c r="AL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</v>
      </c>
      <c r="AM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>
        <v>5</v>
      </c>
      <c r="K7" t="str">
        <f ca="1"/>
        <v>供給終了動作</v>
      </c>
      <c r="L7" t="str">
        <f ca="1"/>
        <v>供給終了動作</v>
      </c>
      <c r="N7" t="str">
        <f ca="1"/>
        <v>【15】 供給終了動作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//供給終了動作
	ELSIF uiInfoIdx = 5 THEN</v>
      </c>
      <c r="AC7" t="str">
        <f ca="1"/>
        <v xml:space="preserve">
	//供給終了動作
	ELSIF uiInfoIdx = 5 THEN
		IF strInfoKey = 'name' THEN</v>
      </c>
      <c r="AD7" t="str">
        <f ca="1"/>
        <v xml:space="preserve">
	//供給終了動作
	ELSIF uiInfoIdx = 5 THEN
		IF strInfoKey = 'name' THEN
			strRt	:= '供給終了動作';</v>
      </c>
      <c r="AE7" t="str">
        <f ca="1"/>
        <v xml:space="preserve">
	//供給終了動作
	ELSIF uiInfoIdx = 5 THEN
		IF strInfoKey = 'name' THEN
			strRt	:= '供給終了動作';
		ELSIF strInfoKey = 'index_name' THEN</v>
      </c>
      <c r="AF7" t="str">
        <f ca="1"/>
        <v xml:space="preserve">
	//供給終了動作
	ELSIF uiInfoIdx = 5 THEN
		IF strInfoKey = 'name' THEN
			strRt	:= '供給終了動作';
		ELSIF strInfoKey = 'index_name' THEN
			strRt	:= '【15】 供給終了動作';</v>
      </c>
      <c r="AG7" t="str">
        <f ca="1"/>
        <v xml:space="preserve">
	//供給終了動作
	ELSIF uiInfoIdx = 5 THEN
		IF strInfoKey = 'name' THEN
			strRt	:= '供給終了動作';
		ELSIF strInfoKey = 'index_name' THEN
			strRt	:= '【15】 供給終了動作';
		ELSIF strInfoKey = 'model' THEN</v>
      </c>
      <c r="AH7" t="str">
        <f ca="1"/>
        <v xml:space="preserve">
	//供給終了動作
	ELSIF uiInfoIdx = 5 THEN
		IF strInfoKey = 'name' THEN
			strRt	:= '供給終了動作';
		ELSIF strInfoKey = 'index_name' THEN
			strRt	:= '【15】 供給終了動作';
		ELSIF strInfoKey = 'model' THEN
			strRt	:= 'unknown';</v>
      </c>
      <c r="AI7" t="str">
        <f ca="1"/>
        <v xml:space="preserve">
	//供給終了動作
	ELSIF uiInfoIdx = 5 THEN
		IF strInfoKey = 'name' THEN
			strRt	:= '供給終了動作';
		ELSIF strInfoKey = 'index_name' THEN
			strRt	:= '【15】 供給終了動作';
		ELSIF strInfoKey = 'model' THEN
			strRt	:= 'unknown';
		ELSIF strInfoKey = 'mf' THEN</v>
      </c>
      <c r="AJ7" t="str">
        <f ca="1"/>
        <v xml:space="preserve">
	//供給終了動作
	ELSIF uiInfoIdx = 5 THEN
		IF strInfoKey = 'name' THEN
			strRt	:= '供給終了動作';
		ELSIF strInfoKey = 'index_name' THEN
			strRt	:= '【15】 供給終了動作';
		ELSIF strInfoKey = 'model' THEN
			strRt	:= 'unknown';
		ELSIF strInfoKey = 'mf' THEN
			strRt	:= 'unknown';</v>
      </c>
      <c r="AK7" t="str">
        <f ca="1"/>
        <v xml:space="preserve">
	//供給終了動作
	ELSIF uiInfoIdx = 5 THEN
		IF strInfoKey = 'name' THEN
			strRt	:= '供給終了動作';
		ELSIF strInfoKey = 'index_name' THEN
			strRt	:= '【15】 供給終了動作';
		ELSIF strInfoKey = 'model' THEN
			strRt	:= 'unknown';
		ELSIF strInfoKey = 'mf' THEN
			strRt	:= 'unknown';
		ELSE
			uiErrCode	:= 3;
		END_IF;</v>
      </c>
      <c r="AL7" t="str">
        <f ca="1"/>
        <v xml:space="preserve">
	//供給終了動作
	ELSIF uiInfoIdx = 5 THEN
		IF strInfoKey = 'name' THEN
			strRt	:= '供給終了動作';
		ELSIF strInfoKey = 'index_name' THEN
			strRt	:= '【15】 供給終了動作';
		ELSIF strInfoKey = 'model' THEN
			strRt	:= 'unknown';
		ELSIF strInfoKey = 'mf' THEN
			strRt	:= 'unknown';
		ELSE
			uiErrCode	:= 3;
		END_IF;</v>
      </c>
      <c r="AM7" t="str">
        <f ca="1"/>
        <v xml:space="preserve">
	//供給終了動作
	ELSIF uiInfoIdx = 5 THEN
		IF strInfoKey = 'name' THEN
			strRt	:= '供給終了動作';
		ELSIF strInfoKey = 'index_name' THEN
			strRt	:= '【15】 供給終了動作';
		ELSIF strInfoKey = 'model' THEN
			strRt	:= 'unknown';
		ELSIF strInfoKey = 'mf' THEN
			strRt	:= 'unknown';
		ELSE
			uiErrCode	:= 3;
		END_IF;</v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 t="str">
        <v/>
      </c>
      <c r="K8" t="str">
        <f ca="1"/>
        <v/>
      </c>
      <c r="L8" t="str">
        <f ca="1"/>
        <v/>
      </c>
      <c r="N8" t="str">
        <f ca="1"/>
        <v/>
      </c>
      <c r="O8" t="str">
        <v/>
      </c>
      <c r="P8" t="str">
        <v/>
      </c>
      <c r="Q8" t="str">
        <f ca="1"/>
        <v/>
      </c>
      <c r="R8" t="str">
        <f ca="1"/>
        <v/>
      </c>
      <c r="Z8" t="str">
        <f ca="1"/>
        <v/>
      </c>
      <c r="AA8" t="str">
        <f ca="1"/>
        <v/>
      </c>
      <c r="AB8" t="str">
        <f ca="1"/>
        <v/>
      </c>
      <c r="AC8" t="str">
        <f ca="1"/>
        <v/>
      </c>
      <c r="AD8" t="str">
        <f ca="1"/>
        <v/>
      </c>
      <c r="AE8" t="str">
        <f ca="1"/>
        <v/>
      </c>
      <c r="AF8" t="str">
        <f ca="1"/>
        <v/>
      </c>
      <c r="AG8" t="str">
        <f ca="1"/>
        <v/>
      </c>
      <c r="AH8" t="str">
        <f ca="1"/>
        <v/>
      </c>
      <c r="AI8" t="str">
        <f ca="1"/>
        <v/>
      </c>
      <c r="AJ8" t="str">
        <f ca="1"/>
        <v/>
      </c>
      <c r="AK8" t="str">
        <f ca="1"/>
        <v/>
      </c>
      <c r="AL8" t="str">
        <f ca="1"/>
        <v/>
      </c>
      <c r="AM8" t="str">
        <f ca="1"/>
        <v/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 t="str">
        <v/>
      </c>
      <c r="K9" t="str">
        <f ca="1"/>
        <v/>
      </c>
      <c r="L9" t="str">
        <f ca="1"/>
        <v/>
      </c>
      <c r="N9" t="str">
        <f ca="1"/>
        <v/>
      </c>
      <c r="O9" t="str">
        <v/>
      </c>
      <c r="P9" t="str">
        <v/>
      </c>
      <c r="Q9" t="str">
        <f ca="1"/>
        <v/>
      </c>
      <c r="R9" t="str">
        <f ca="1"/>
        <v/>
      </c>
      <c r="Z9" t="str">
        <f ca="1"/>
        <v/>
      </c>
      <c r="AA9" t="str">
        <f ca="1"/>
        <v/>
      </c>
      <c r="AB9" t="str">
        <f ca="1"/>
        <v/>
      </c>
      <c r="AC9" t="str">
        <f ca="1"/>
        <v/>
      </c>
      <c r="AD9" t="str">
        <f ca="1"/>
        <v/>
      </c>
      <c r="AE9" t="str">
        <f ca="1"/>
        <v/>
      </c>
      <c r="AF9" t="str">
        <f ca="1"/>
        <v/>
      </c>
      <c r="AG9" t="str">
        <f ca="1"/>
        <v/>
      </c>
      <c r="AH9" t="str">
        <f ca="1"/>
        <v/>
      </c>
      <c r="AI9" t="str">
        <f ca="1"/>
        <v/>
      </c>
      <c r="AJ9" t="str">
        <f ca="1"/>
        <v/>
      </c>
      <c r="AK9" t="str">
        <f ca="1"/>
        <v/>
      </c>
      <c r="AL9" t="str">
        <f ca="1"/>
        <v/>
      </c>
      <c r="AM9" t="str">
        <f ca="1"/>
        <v/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C:\tk\prj\hg-0025-0016\git\kv-x520\doc\[kv_script_cycle_info.xlsx]info_index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
	//供給終了動作
	ELSIF uiInfoIdx = 5 THEN
		IF strInfoKey = 'name' THEN
			strRt	:= '供給終了動作';
		ELSIF strInfoKey = 'index_name' THEN
			strRt	:= '【15】 供給終了動作';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
	//供給終了動作
	ELSIF uiInfoIdx = 5 THEN
		IF strInfoKey = 'name' THEN
			strRt	:= '供給終了動作';
		ELSIF strInfoKey = 'index_name' THEN
			strRt	:= '【25】 供給終了動作';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原点復帰動作</v>
      </c>
      <c r="L13" t="str">
        <f ca="1"/>
        <v>原点復帰動作</v>
      </c>
      <c r="N13" t="str">
        <f ca="1"/>
        <v>【21】 原点復帰動作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//原点復帰動作
	IF uiInfoIdx = 1 THEN</v>
      </c>
      <c r="AC13" t="str">
        <f ca="1"/>
        <v xml:space="preserve">
//2
ELSIF strInfoType = 2 THEN
	//原点復帰動作
	IF uiInfoIdx = 1 THEN
		IF strInfoKey = 'name' THEN</v>
      </c>
      <c r="AD13" t="str">
        <f ca="1"/>
        <v xml:space="preserve">
//2
ELSIF strInfoType = 2 THEN
	//原点復帰動作
	IF uiInfoIdx = 1 THEN
		IF strInfoKey = 'name' THEN
			strRt	:= '原点復帰動作';</v>
      </c>
      <c r="AE13" t="str">
        <f ca="1"/>
        <v xml:space="preserve">
//2
ELSIF strInfoType = 2 THEN
	//原点復帰動作
	IF uiInfoIdx = 1 THEN
		IF strInfoKey = 'name' THEN
			strRt	:= '原点復帰動作';
		ELSIF strInfoKey = 'index_name' THEN</v>
      </c>
      <c r="AF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</v>
      </c>
      <c r="AG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</v>
      </c>
      <c r="AH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</v>
      </c>
      <c r="AI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</v>
      </c>
      <c r="AJ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</v>
      </c>
      <c r="AK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L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M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供給準備動作</v>
      </c>
      <c r="L14" t="str">
        <f ca="1"/>
        <v>供給準備動作</v>
      </c>
      <c r="N14" t="str">
        <f ca="1"/>
        <v>【22】 供給準備動作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//供給準備動作
	ELSIF uiInfoIdx = 2 THEN</v>
      </c>
      <c r="AC14" t="str">
        <f ca="1"/>
        <v xml:space="preserve">
	//供給準備動作
	ELSIF uiInfoIdx = 2 THEN
		IF strInfoKey = 'name' THEN</v>
      </c>
      <c r="AD14" t="str">
        <f ca="1"/>
        <v xml:space="preserve">
	//供給準備動作
	ELSIF uiInfoIdx = 2 THEN
		IF strInfoKey = 'name' THEN
			strRt	:= '供給準備動作';</v>
      </c>
      <c r="AE14" t="str">
        <f ca="1"/>
        <v xml:space="preserve">
	//供給準備動作
	ELSIF uiInfoIdx = 2 THEN
		IF strInfoKey = 'name' THEN
			strRt	:= '供給準備動作';
		ELSIF strInfoKey = 'index_name' THEN</v>
      </c>
      <c r="AF14" t="str">
        <f ca="1"/>
        <v xml:space="preserve">
	//供給準備動作
	ELSIF uiInfoIdx = 2 THEN
		IF strInfoKey = 'name' THEN
			strRt	:= '供給準備動作';
		ELSIF strInfoKey = 'index_name' THEN
			strRt	:= '【22】 供給準備動作';</v>
      </c>
      <c r="AG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</v>
      </c>
      <c r="AH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</v>
      </c>
      <c r="AI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</v>
      </c>
      <c r="AJ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</v>
      </c>
      <c r="AK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L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M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供給開始動作</v>
      </c>
      <c r="L15" t="str">
        <f ca="1"/>
        <v>供給開始動作</v>
      </c>
      <c r="N15" t="str">
        <f ca="1"/>
        <v>【23】 供給開始動作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//供給開始動作
	ELSIF uiInfoIdx = 3 THEN</v>
      </c>
      <c r="AC15" t="str">
        <f ca="1"/>
        <v xml:space="preserve">
	//供給開始動作
	ELSIF uiInfoIdx = 3 THEN
		IF strInfoKey = 'name' THEN</v>
      </c>
      <c r="AD15" t="str">
        <f ca="1"/>
        <v xml:space="preserve">
	//供給開始動作
	ELSIF uiInfoIdx = 3 THEN
		IF strInfoKey = 'name' THEN
			strRt	:= '供給開始動作';</v>
      </c>
      <c r="AE15" t="str">
        <f ca="1"/>
        <v xml:space="preserve">
	//供給開始動作
	ELSIF uiInfoIdx = 3 THEN
		IF strInfoKey = 'name' THEN
			strRt	:= '供給開始動作';
		ELSIF strInfoKey = 'index_name' THEN</v>
      </c>
      <c r="AF15" t="str">
        <f ca="1"/>
        <v xml:space="preserve">
	//供給開始動作
	ELSIF uiInfoIdx = 3 THEN
		IF strInfoKey = 'name' THEN
			strRt	:= '供給開始動作';
		ELSIF strInfoKey = 'index_name' THEN
			strRt	:= '【23】 供給開始動作';</v>
      </c>
      <c r="AG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</v>
      </c>
      <c r="AH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</v>
      </c>
      <c r="AI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</v>
      </c>
      <c r="AJ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</v>
      </c>
      <c r="AK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  <c r="AL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  <c r="AM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供給動作</v>
      </c>
      <c r="L16" t="str">
        <f ca="1"/>
        <v>供給動作</v>
      </c>
      <c r="N16" t="str">
        <f ca="1"/>
        <v>【24】 供給動作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//供給動作
	ELSIF uiInfoIdx = 4 THEN</v>
      </c>
      <c r="AC16" t="str">
        <f ca="1"/>
        <v xml:space="preserve">
	//供給動作
	ELSIF uiInfoIdx = 4 THEN
		IF strInfoKey = 'name' THEN</v>
      </c>
      <c r="AD16" t="str">
        <f ca="1"/>
        <v xml:space="preserve">
	//供給動作
	ELSIF uiInfoIdx = 4 THEN
		IF strInfoKey = 'name' THEN
			strRt	:= '供給動作';</v>
      </c>
      <c r="AE16" t="str">
        <f ca="1"/>
        <v xml:space="preserve">
	//供給動作
	ELSIF uiInfoIdx = 4 THEN
		IF strInfoKey = 'name' THEN
			strRt	:= '供給動作';
		ELSIF strInfoKey = 'index_name' THEN</v>
      </c>
      <c r="AF16" t="str">
        <f ca="1"/>
        <v xml:space="preserve">
	//供給動作
	ELSIF uiInfoIdx = 4 THEN
		IF strInfoKey = 'name' THEN
			strRt	:= '供給動作';
		ELSIF strInfoKey = 'index_name' THEN
			strRt	:= '【24】 供給動作';</v>
      </c>
      <c r="AG16" t="str">
        <f ca="1"/>
        <v xml:space="preserve">
	//供給動作
	ELSIF uiInfoIdx = 4 THEN
		IF strInfoKey = 'name' THEN
			strRt	:= '供給動作';
		ELSIF strInfoKey = 'index_name' THEN
			strRt	:= '【24】 供給動作';
		ELSIF strInfoKey = 'model' THEN</v>
      </c>
      <c r="AH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</v>
      </c>
      <c r="AI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</v>
      </c>
      <c r="AJ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</v>
      </c>
      <c r="AK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  <c r="AL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  <c r="AM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10</v>
      </c>
      <c r="K17" t="str">
        <f ca="1"/>
        <v>供給終了動作</v>
      </c>
      <c r="L17" t="str">
        <f ca="1"/>
        <v>供給終了動作</v>
      </c>
      <c r="N17" t="str">
        <f ca="1"/>
        <v>【25】 供給終了動作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//供給終了動作
	ELSIF uiInfoIdx = 5 THEN</v>
      </c>
      <c r="AC17" t="str">
        <f ca="1"/>
        <v xml:space="preserve">
	//供給終了動作
	ELSIF uiInfoIdx = 5 THEN
		IF strInfoKey = 'name' THEN</v>
      </c>
      <c r="AD17" t="str">
        <f ca="1"/>
        <v xml:space="preserve">
	//供給終了動作
	ELSIF uiInfoIdx = 5 THEN
		IF strInfoKey = 'name' THEN
			strRt	:= '供給終了動作';</v>
      </c>
      <c r="AE17" t="str">
        <f ca="1"/>
        <v xml:space="preserve">
	//供給終了動作
	ELSIF uiInfoIdx = 5 THEN
		IF strInfoKey = 'name' THEN
			strRt	:= '供給終了動作';
		ELSIF strInfoKey = 'index_name' THEN</v>
      </c>
      <c r="AF17" t="str">
        <f ca="1"/>
        <v xml:space="preserve">
	//供給終了動作
	ELSIF uiInfoIdx = 5 THEN
		IF strInfoKey = 'name' THEN
			strRt	:= '供給終了動作';
		ELSIF strInfoKey = 'index_name' THEN
			strRt	:= '【25】 供給終了動作';</v>
      </c>
      <c r="AG17" t="str">
        <f ca="1"/>
        <v xml:space="preserve">
	//供給終了動作
	ELSIF uiInfoIdx = 5 THEN
		IF strInfoKey = 'name' THEN
			strRt	:= '供給終了動作';
		ELSIF strInfoKey = 'index_name' THEN
			strRt	:= '【25】 供給終了動作';
		ELSIF strInfoKey = 'model' THEN</v>
      </c>
      <c r="AH17" t="str">
        <f ca="1"/>
        <v xml:space="preserve">
	//供給終了動作
	ELSIF uiInfoIdx = 5 THEN
		IF strInfoKey = 'name' THEN
			strRt	:= '供給終了動作';
		ELSIF strInfoKey = 'index_name' THEN
			strRt	:= '【25】 供給終了動作';
		ELSIF strInfoKey = 'model' THEN
			strRt	:= 'unknown';</v>
      </c>
      <c r="AI17" t="str">
        <f ca="1"/>
        <v xml:space="preserve">
	//供給終了動作
	ELSIF uiInfoIdx = 5 THEN
		IF strInfoKey = 'name' THEN
			strRt	:= '供給終了動作';
		ELSIF strInfoKey = 'index_name' THEN
			strRt	:= '【25】 供給終了動作';
		ELSIF strInfoKey = 'model' THEN
			strRt	:= 'unknown';
		ELSIF strInfoKey = 'mf' THEN</v>
      </c>
      <c r="AJ17" t="str">
        <f ca="1"/>
        <v xml:space="preserve">
	//供給終了動作
	ELSIF uiInfoIdx = 5 THEN
		IF strInfoKey = 'name' THEN
			strRt	:= '供給終了動作';
		ELSIF strInfoKey = 'index_name' THEN
			strRt	:= '【25】 供給終了動作';
		ELSIF strInfoKey = 'model' THEN
			strRt	:= 'unknown';
		ELSIF strInfoKey = 'mf' THEN
			strRt	:= 'unknown';</v>
      </c>
      <c r="AK17" t="str">
        <f ca="1"/>
        <v xml:space="preserve">
	//供給終了動作
	ELSIF uiInfoIdx = 5 THEN
		IF strInfoKey = 'name' THEN
			strRt	:= '供給終了動作';
		ELSIF strInfoKey = 'index_name' THEN
			strRt	:= '【25】 供給終了動作';
		ELSIF strInfoKey = 'model' THEN
			strRt	:= 'unknown';
		ELSIF strInfoKey = 'mf' THEN
			strRt	:= 'unknown';
		ELSE
			uiErrCode	:= 3;
		END_IF;</v>
      </c>
      <c r="AL17" t="str">
        <f ca="1"/>
        <v xml:space="preserve">
	//供給終了動作
	ELSIF uiInfoIdx = 5 THEN
		IF strInfoKey = 'name' THEN
			strRt	:= '供給終了動作';
		ELSIF strInfoKey = 'index_name' THEN
			strRt	:= '【25】 供給終了動作';
		ELSIF strInfoKey = 'model' THEN
			strRt	:= 'unknown';
		ELSIF strInfoKey = 'mf' THEN
			strRt	:= 'unknown';
		ELSE
			uiErrCode	:= 3;
		END_IF;</v>
      </c>
      <c r="AM17" t="str">
        <f ca="1"/>
        <v xml:space="preserve">
	//供給終了動作
	ELSIF uiInfoIdx = 5 THEN
		IF strInfoKey = 'name' THEN
			strRt	:= '供給終了動作';
		ELSIF strInfoKey = 'index_name' THEN
			strRt	:= '【25】 供給終了動作';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 t="str">
        <v/>
      </c>
      <c r="K18" t="str">
        <f ca="1"/>
        <v/>
      </c>
      <c r="L18" t="str">
        <f ca="1"/>
        <v/>
      </c>
      <c r="N18" t="str">
        <f ca="1"/>
        <v/>
      </c>
      <c r="O18" t="str">
        <v/>
      </c>
      <c r="P18" t="str">
        <v/>
      </c>
      <c r="Q18" t="str">
        <f ca="1"/>
        <v/>
      </c>
      <c r="R18" t="str">
        <f ca="1"/>
        <v/>
      </c>
      <c r="Z18" t="str">
        <f ca="1"/>
        <v/>
      </c>
      <c r="AA18" t="str">
        <f ca="1"/>
        <v/>
      </c>
      <c r="AB18" t="str">
        <f ca="1"/>
        <v/>
      </c>
      <c r="AC18" t="str">
        <f ca="1"/>
        <v/>
      </c>
      <c r="AD18" t="str">
        <f ca="1"/>
        <v/>
      </c>
      <c r="AE18" t="str">
        <f ca="1"/>
        <v/>
      </c>
      <c r="AF18" t="str">
        <f ca="1"/>
        <v/>
      </c>
      <c r="AG18" t="str">
        <f ca="1"/>
        <v/>
      </c>
      <c r="AH18" t="str">
        <f ca="1"/>
        <v/>
      </c>
      <c r="AI18" t="str">
        <f ca="1"/>
        <v/>
      </c>
      <c r="AJ18" t="str">
        <f ca="1"/>
        <v/>
      </c>
      <c r="AK18" t="str">
        <f ca="1"/>
        <v/>
      </c>
      <c r="AL18" t="str">
        <f ca="1"/>
        <v/>
      </c>
      <c r="AM18" t="str">
        <f ca="1"/>
        <v/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 t="str">
        <v/>
      </c>
      <c r="K19" t="str">
        <f ca="1"/>
        <v/>
      </c>
      <c r="L19" t="str">
        <f ca="1"/>
        <v/>
      </c>
      <c r="N19" t="str">
        <f ca="1"/>
        <v/>
      </c>
      <c r="O19" t="str">
        <v/>
      </c>
      <c r="P19" t="str">
        <v/>
      </c>
      <c r="Q19" t="str">
        <f ca="1"/>
        <v/>
      </c>
      <c r="R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  <c r="AL19" t="str">
        <f ca="1"/>
        <v/>
      </c>
      <c r="AM19" t="str">
        <f ca="1"/>
        <v/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0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11</v>
      </c>
      <c r="K23" t="str">
        <f ca="1"/>
        <v>原点復帰動作</v>
      </c>
      <c r="L23" t="str">
        <f ca="1"/>
        <v>原点復帰動作</v>
      </c>
      <c r="N23" t="str">
        <f ca="1"/>
        <v>【31】 原点復帰動作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//原点復帰動作
	IF uiInfoIdx = 1 THEN</v>
      </c>
      <c r="AC23" t="str">
        <f ca="1"/>
        <v xml:space="preserve">
//3
ELSIF strInfoType = 3 THEN
	//原点復帰動作
	IF uiInfoIdx = 1 THEN
		IF strInfoKey = 'name' THEN</v>
      </c>
      <c r="AD23" t="str">
        <f ca="1"/>
        <v xml:space="preserve">
//3
ELSIF strInfoType = 3 THEN
	//原点復帰動作
	IF uiInfoIdx = 1 THEN
		IF strInfoKey = 'name' THEN
			strRt	:= '原点復帰動作';</v>
      </c>
      <c r="AE23" t="str">
        <f ca="1"/>
        <v xml:space="preserve">
//3
ELSIF strInfoType = 3 THEN
	//原点復帰動作
	IF uiInfoIdx = 1 THEN
		IF strInfoKey = 'name' THEN
			strRt	:= '原点復帰動作';
		ELSIF strInfoKey = 'index_name' THEN</v>
      </c>
      <c r="AF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</v>
      </c>
      <c r="AG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</v>
      </c>
      <c r="AH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</v>
      </c>
      <c r="AI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</v>
      </c>
      <c r="AJ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</v>
      </c>
      <c r="AK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L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M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12</v>
      </c>
      <c r="K24" t="str">
        <f ca="1"/>
        <v>供給準備動作</v>
      </c>
      <c r="L24" t="str">
        <f ca="1"/>
        <v>供給準備動作</v>
      </c>
      <c r="N24" t="str">
        <f ca="1"/>
        <v>【32】 供給準備動作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//供給準備動作
	ELSIF uiInfoIdx = 2 THEN</v>
      </c>
      <c r="AC24" t="str">
        <f ca="1"/>
        <v xml:space="preserve">
	//供給準備動作
	ELSIF uiInfoIdx = 2 THEN
		IF strInfoKey = 'name' THEN</v>
      </c>
      <c r="AD24" t="str">
        <f ca="1"/>
        <v xml:space="preserve">
	//供給準備動作
	ELSIF uiInfoIdx = 2 THEN
		IF strInfoKey = 'name' THEN
			strRt	:= '供給準備動作';</v>
      </c>
      <c r="AE24" t="str">
        <f ca="1"/>
        <v xml:space="preserve">
	//供給準備動作
	ELSIF uiInfoIdx = 2 THEN
		IF strInfoKey = 'name' THEN
			strRt	:= '供給準備動作';
		ELSIF strInfoKey = 'index_name' THEN</v>
      </c>
      <c r="AF24" t="str">
        <f ca="1"/>
        <v xml:space="preserve">
	//供給準備動作
	ELSIF uiInfoIdx = 2 THEN
		IF strInfoKey = 'name' THEN
			strRt	:= '供給準備動作';
		ELSIF strInfoKey = 'index_name' THEN
			strRt	:= '【32】 供給準備動作';</v>
      </c>
      <c r="AG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</v>
      </c>
      <c r="AH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</v>
      </c>
      <c r="AI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</v>
      </c>
      <c r="AJ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</v>
      </c>
      <c r="AK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L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M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13</v>
      </c>
      <c r="K25" t="str">
        <f ca="1"/>
        <v>供給動作</v>
      </c>
      <c r="L25" t="str">
        <f ca="1"/>
        <v>供給動作</v>
      </c>
      <c r="N25" t="str">
        <f ca="1"/>
        <v>【33】 供給動作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//供給動作
	ELSIF uiInfoIdx = 3 THEN</v>
      </c>
      <c r="AC25" t="str">
        <f ca="1"/>
        <v xml:space="preserve">
	//供給動作
	ELSIF uiInfoIdx = 3 THEN
		IF strInfoKey = 'name' THEN</v>
      </c>
      <c r="AD25" t="str">
        <f ca="1"/>
        <v xml:space="preserve">
	//供給動作
	ELSIF uiInfoIdx = 3 THEN
		IF strInfoKey = 'name' THEN
			strRt	:= '供給動作';</v>
      </c>
      <c r="AE25" t="str">
        <f ca="1"/>
        <v xml:space="preserve">
	//供給動作
	ELSIF uiInfoIdx = 3 THEN
		IF strInfoKey = 'name' THEN
			strRt	:= '供給動作';
		ELSIF strInfoKey = 'index_name' THEN</v>
      </c>
      <c r="AF25" t="str">
        <f ca="1"/>
        <v xml:space="preserve">
	//供給動作
	ELSIF uiInfoIdx = 3 THEN
		IF strInfoKey = 'name' THEN
			strRt	:= '供給動作';
		ELSIF strInfoKey = 'index_name' THEN
			strRt	:= '【33】 供給動作';</v>
      </c>
      <c r="AG25" t="str">
        <f ca="1"/>
        <v xml:space="preserve">
	//供給動作
	ELSIF uiInfoIdx = 3 THEN
		IF strInfoKey = 'name' THEN
			strRt	:= '供給動作';
		ELSIF strInfoKey = 'index_name' THEN
			strRt	:= '【33】 供給動作';
		ELSIF strInfoKey = 'model' THEN</v>
      </c>
      <c r="AH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</v>
      </c>
      <c r="AI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</v>
      </c>
      <c r="AJ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</v>
      </c>
      <c r="AK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L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M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>
        <v>14</v>
      </c>
      <c r="K26" t="str">
        <f ca="1"/>
        <v>供給終了動作</v>
      </c>
      <c r="L26" t="str">
        <f ca="1"/>
        <v>供給終了動作</v>
      </c>
      <c r="N26" t="str">
        <f ca="1"/>
        <v>【34】 供給終了動作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//供給終了動作
	ELSIF uiInfoIdx = 4 THEN</v>
      </c>
      <c r="AC26" t="str">
        <f ca="1"/>
        <v xml:space="preserve">
	//供給終了動作
	ELSIF uiInfoIdx = 4 THEN
		IF strInfoKey = 'name' THEN</v>
      </c>
      <c r="AD26" t="str">
        <f ca="1"/>
        <v xml:space="preserve">
	//供給終了動作
	ELSIF uiInfoIdx = 4 THEN
		IF strInfoKey = 'name' THEN
			strRt	:= '供給終了動作';</v>
      </c>
      <c r="AE26" t="str">
        <f ca="1"/>
        <v xml:space="preserve">
	//供給終了動作
	ELSIF uiInfoIdx = 4 THEN
		IF strInfoKey = 'name' THEN
			strRt	:= '供給終了動作';
		ELSIF strInfoKey = 'index_name' THEN</v>
      </c>
      <c r="AF26" t="str">
        <f ca="1"/>
        <v xml:space="preserve">
	//供給終了動作
	ELSIF uiInfoIdx = 4 THEN
		IF strInfoKey = 'name' THEN
			strRt	:= '供給終了動作';
		ELSIF strInfoKey = 'index_name' THEN
			strRt	:= '【34】 供給終了動作';</v>
      </c>
      <c r="AG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</v>
      </c>
      <c r="AH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</v>
      </c>
      <c r="AI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</v>
      </c>
      <c r="AJ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</v>
      </c>
      <c r="AK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
		ELSE
			uiErrCode	:= 3;
		END_IF;</v>
      </c>
      <c r="AL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
		ELSE
			uiErrCode	:= 3;
		END_IF;</v>
      </c>
      <c r="AM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15</v>
      </c>
      <c r="K33" t="str">
        <f ca="1"/>
        <v>原点復帰動作</v>
      </c>
      <c r="L33" t="str">
        <f ca="1"/>
        <v>原点復帰動作</v>
      </c>
      <c r="N33" t="str">
        <f ca="1"/>
        <v>【41】 原点復帰動作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//原点復帰動作
	IF uiInfoIdx = 1 THEN</v>
      </c>
      <c r="AC33" t="str">
        <f ca="1"/>
        <v xml:space="preserve">
//4
ELSIF strInfoType = 4 THEN
	//原点復帰動作
	IF uiInfoIdx = 1 THEN
		IF strInfoKey = 'name' THEN</v>
      </c>
      <c r="AD33" t="str">
        <f ca="1"/>
        <v xml:space="preserve">
//4
ELSIF strInfoType = 4 THEN
	//原点復帰動作
	IF uiInfoIdx = 1 THEN
		IF strInfoKey = 'name' THEN
			strRt	:= '原点復帰動作';</v>
      </c>
      <c r="AE33" t="str">
        <f ca="1"/>
        <v xml:space="preserve">
//4
ELSIF strInfoType = 4 THEN
	//原点復帰動作
	IF uiInfoIdx = 1 THEN
		IF strInfoKey = 'name' THEN
			strRt	:= '原点復帰動作';
		ELSIF strInfoKey = 'index_name' THEN</v>
      </c>
      <c r="AF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</v>
      </c>
      <c r="AG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</v>
      </c>
      <c r="AH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</v>
      </c>
      <c r="AI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</v>
      </c>
      <c r="AJ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</v>
      </c>
      <c r="AK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L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M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16</v>
      </c>
      <c r="K34" t="str">
        <f ca="1"/>
        <v>周長測定子プリセット</v>
      </c>
      <c r="L34" t="str">
        <f ca="1"/>
        <v>周長測定子プリセット</v>
      </c>
      <c r="N34" t="str">
        <f ca="1"/>
        <v>【42】 周長測定子プリセット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//周長測定子プリセット
	ELSIF uiInfoIdx = 2 THEN</v>
      </c>
      <c r="AC34" t="str">
        <f ca="1"/>
        <v xml:space="preserve">
	//周長測定子プリセット
	ELSIF uiInfoIdx = 2 THEN
		IF strInfoKey = 'name' THEN</v>
      </c>
      <c r="AD34" t="str">
        <f ca="1"/>
        <v xml:space="preserve">
	//周長測定子プリセット
	ELSIF uiInfoIdx = 2 THEN
		IF strInfoKey = 'name' THEN
			strRt	:= '周長測定子プリセット';</v>
      </c>
      <c r="AE34" t="str">
        <f ca="1"/>
        <v xml:space="preserve">
	//周長測定子プリセット
	ELSIF uiInfoIdx = 2 THEN
		IF strInfoKey = 'name' THEN
			strRt	:= '周長測定子プリセット';
		ELSIF strInfoKey = 'index_name' THEN</v>
      </c>
      <c r="AF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</v>
      </c>
      <c r="AG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</v>
      </c>
      <c r="AH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</v>
      </c>
      <c r="AI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</v>
      </c>
      <c r="AJ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</v>
      </c>
      <c r="AK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L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M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17</v>
      </c>
      <c r="K35" t="str">
        <f ca="1"/>
        <v>巻き準備動作</v>
      </c>
      <c r="L35" t="str">
        <f ca="1"/>
        <v>巻き準備動作</v>
      </c>
      <c r="N35" t="str">
        <f ca="1"/>
        <v>【43】 巻き準備動作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//巻き準備動作
	ELSIF uiInfoIdx = 3 THEN</v>
      </c>
      <c r="AC35" t="str">
        <f ca="1"/>
        <v xml:space="preserve">
	//巻き準備動作
	ELSIF uiInfoIdx = 3 THEN
		IF strInfoKey = 'name' THEN</v>
      </c>
      <c r="AD35" t="str">
        <f ca="1"/>
        <v xml:space="preserve">
	//巻き準備動作
	ELSIF uiInfoIdx = 3 THEN
		IF strInfoKey = 'name' THEN
			strRt	:= '巻き準備動作';</v>
      </c>
      <c r="AE35" t="str">
        <f ca="1"/>
        <v xml:space="preserve">
	//巻き準備動作
	ELSIF uiInfoIdx = 3 THEN
		IF strInfoKey = 'name' THEN
			strRt	:= '巻き準備動作';
		ELSIF strInfoKey = 'index_name' THEN</v>
      </c>
      <c r="AF35" t="str">
        <f ca="1"/>
        <v xml:space="preserve">
	//巻き準備動作
	ELSIF uiInfoIdx = 3 THEN
		IF strInfoKey = 'name' THEN
			strRt	:= '巻き準備動作';
		ELSIF strInfoKey = 'index_name' THEN
			strRt	:= '【43】 巻き準備動作';</v>
      </c>
      <c r="AG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</v>
      </c>
      <c r="AH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</v>
      </c>
      <c r="AI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</v>
      </c>
      <c r="AJ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</v>
      </c>
      <c r="AK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L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M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18</v>
      </c>
      <c r="K36" t="str">
        <f ca="1"/>
        <v>巻き動作</v>
      </c>
      <c r="L36" t="str">
        <f ca="1"/>
        <v>巻き動作</v>
      </c>
      <c r="N36" t="str">
        <f ca="1"/>
        <v>【44】 巻き動作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//巻き動作
	ELSIF uiInfoIdx = 4 THEN</v>
      </c>
      <c r="AC36" t="str">
        <f ca="1"/>
        <v xml:space="preserve">
	//巻き動作
	ELSIF uiInfoIdx = 4 THEN
		IF strInfoKey = 'name' THEN</v>
      </c>
      <c r="AD36" t="str">
        <f ca="1"/>
        <v xml:space="preserve">
	//巻き動作
	ELSIF uiInfoIdx = 4 THEN
		IF strInfoKey = 'name' THEN
			strRt	:= '巻き動作';</v>
      </c>
      <c r="AE36" t="str">
        <f ca="1"/>
        <v xml:space="preserve">
	//巻き動作
	ELSIF uiInfoIdx = 4 THEN
		IF strInfoKey = 'name' THEN
			strRt	:= '巻き動作';
		ELSIF strInfoKey = 'index_name' THEN</v>
      </c>
      <c r="AF36" t="str">
        <f ca="1"/>
        <v xml:space="preserve">
	//巻き動作
	ELSIF uiInfoIdx = 4 THEN
		IF strInfoKey = 'name' THEN
			strRt	:= '巻き動作';
		ELSIF strInfoKey = 'index_name' THEN
			strRt	:= '【44】 巻き動作';</v>
      </c>
      <c r="AG36" t="str">
        <f ca="1"/>
        <v xml:space="preserve">
	//巻き動作
	ELSIF uiInfoIdx = 4 THEN
		IF strInfoKey = 'name' THEN
			strRt	:= '巻き動作';
		ELSIF strInfoKey = 'index_name' THEN
			strRt	:= '【44】 巻き動作';
		ELSIF strInfoKey = 'model' THEN</v>
      </c>
      <c r="AH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</v>
      </c>
      <c r="AI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</v>
      </c>
      <c r="AJ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</v>
      </c>
      <c r="AK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L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M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19</v>
      </c>
      <c r="K37" t="str">
        <f ca="1"/>
        <v>巻き終了動作</v>
      </c>
      <c r="L37" t="str">
        <f ca="1"/>
        <v>巻き終了動作</v>
      </c>
      <c r="N37" t="str">
        <f ca="1"/>
        <v>【45】 巻き終了動作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//巻き終了動作
	ELSIF uiInfoIdx = 5 THEN</v>
      </c>
      <c r="AC37" t="str">
        <f ca="1"/>
        <v xml:space="preserve">
	//巻き終了動作
	ELSIF uiInfoIdx = 5 THEN
		IF strInfoKey = 'name' THEN</v>
      </c>
      <c r="AD37" t="str">
        <f ca="1"/>
        <v xml:space="preserve">
	//巻き終了動作
	ELSIF uiInfoIdx = 5 THEN
		IF strInfoKey = 'name' THEN
			strRt	:= '巻き終了動作';</v>
      </c>
      <c r="AE37" t="str">
        <f ca="1"/>
        <v xml:space="preserve">
	//巻き終了動作
	ELSIF uiInfoIdx = 5 THEN
		IF strInfoKey = 'name' THEN
			strRt	:= '巻き終了動作';
		ELSIF strInfoKey = 'index_name' THEN</v>
      </c>
      <c r="AF37" t="str">
        <f ca="1"/>
        <v xml:space="preserve">
	//巻き終了動作
	ELSIF uiInfoIdx = 5 THEN
		IF strInfoKey = 'name' THEN
			strRt	:= '巻き終了動作';
		ELSIF strInfoKey = 'index_name' THEN
			strRt	:= '【45】 巻き終了動作';</v>
      </c>
      <c r="AG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</v>
      </c>
      <c r="AH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</v>
      </c>
      <c r="AI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</v>
      </c>
      <c r="AJ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</v>
      </c>
      <c r="AK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  <c r="AL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  <c r="AM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20</v>
      </c>
      <c r="K38" t="str">
        <f ca="1"/>
        <v>周長測定動作</v>
      </c>
      <c r="L38" t="str">
        <f ca="1"/>
        <v>周長測定動作</v>
      </c>
      <c r="N38" t="str">
        <f ca="1"/>
        <v>【46】 周長測定動作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//周長測定動作
	ELSIF uiInfoIdx = 6 THEN</v>
      </c>
      <c r="AC38" t="str">
        <f ca="1"/>
        <v xml:space="preserve">
	//周長測定動作
	ELSIF uiInfoIdx = 6 THEN
		IF strInfoKey = 'name' THEN</v>
      </c>
      <c r="AD38" t="str">
        <f ca="1"/>
        <v xml:space="preserve">
	//周長測定動作
	ELSIF uiInfoIdx = 6 THEN
		IF strInfoKey = 'name' THEN
			strRt	:= '周長測定動作';</v>
      </c>
      <c r="AE38" t="str">
        <f ca="1"/>
        <v xml:space="preserve">
	//周長測定動作
	ELSIF uiInfoIdx = 6 THEN
		IF strInfoKey = 'name' THEN
			strRt	:= '周長測定動作';
		ELSIF strInfoKey = 'index_name' THEN</v>
      </c>
      <c r="AF38" t="str">
        <f ca="1"/>
        <v xml:space="preserve">
	//周長測定動作
	ELSIF uiInfoIdx = 6 THEN
		IF strInfoKey = 'name' THEN
			strRt	:= '周長測定動作';
		ELSIF strInfoKey = 'index_name' THEN
			strRt	:= '【46】 周長測定動作';</v>
      </c>
      <c r="AG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</v>
      </c>
      <c r="AH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</v>
      </c>
      <c r="AI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</v>
      </c>
      <c r="AJ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</v>
      </c>
      <c r="AK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L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M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>
        <v>21</v>
      </c>
      <c r="K39" t="str">
        <f ca="1"/>
        <v>排出動作</v>
      </c>
      <c r="L39" t="str">
        <f ca="1"/>
        <v>排出動作</v>
      </c>
      <c r="N39" t="str">
        <f ca="1"/>
        <v>【47】 排出動作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//排出動作
	ELSIF uiInfoIdx = 7 THEN</v>
      </c>
      <c r="AC39" t="str">
        <f ca="1"/>
        <v xml:space="preserve">
	//排出動作
	ELSIF uiInfoIdx = 7 THEN
		IF strInfoKey = 'name' THEN</v>
      </c>
      <c r="AD39" t="str">
        <f ca="1"/>
        <v xml:space="preserve">
	//排出動作
	ELSIF uiInfoIdx = 7 THEN
		IF strInfoKey = 'name' THEN
			strRt	:= '排出動作';</v>
      </c>
      <c r="AE39" t="str">
        <f ca="1"/>
        <v xml:space="preserve">
	//排出動作
	ELSIF uiInfoIdx = 7 THEN
		IF strInfoKey = 'name' THEN
			strRt	:= '排出動作';
		ELSIF strInfoKey = 'index_name' THEN</v>
      </c>
      <c r="AF39" t="str">
        <f ca="1"/>
        <v xml:space="preserve">
	//排出動作
	ELSIF uiInfoIdx = 7 THEN
		IF strInfoKey = 'name' THEN
			strRt	:= '排出動作';
		ELSIF strInfoKey = 'index_name' THEN
			strRt	:= '【47】 排出動作';</v>
      </c>
      <c r="AG39" t="str">
        <f ca="1"/>
        <v xml:space="preserve">
	//排出動作
	ELSIF uiInfoIdx = 7 THEN
		IF strInfoKey = 'name' THEN
			strRt	:= '排出動作';
		ELSIF strInfoKey = 'index_name' THEN
			strRt	:= '【47】 排出動作';
		ELSIF strInfoKey = 'model' THEN</v>
      </c>
      <c r="AH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</v>
      </c>
      <c r="AI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</v>
      </c>
      <c r="AJ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</v>
      </c>
      <c r="AK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  <c r="AL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  <c r="AM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22</v>
      </c>
      <c r="K43" t="str">
        <f ca="1"/>
        <v>原点復帰動作</v>
      </c>
      <c r="L43" t="str">
        <f ca="1"/>
        <v>原点復帰動作</v>
      </c>
      <c r="N43" t="str">
        <f ca="1"/>
        <v>【51】 原点復帰動作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//原点復帰動作
	IF uiInfoIdx = 1 THEN</v>
      </c>
      <c r="AC43" t="str">
        <f ca="1"/>
        <v xml:space="preserve">
//5
ELSIF strInfoType = 5 THEN
	//原点復帰動作
	IF uiInfoIdx = 1 THEN
		IF strInfoKey = 'name' THEN</v>
      </c>
      <c r="AD43" t="str">
        <f ca="1"/>
        <v xml:space="preserve">
//5
ELSIF strInfoType = 5 THEN
	//原点復帰動作
	IF uiInfoIdx = 1 THEN
		IF strInfoKey = 'name' THEN
			strRt	:= '原点復帰動作';</v>
      </c>
      <c r="AE43" t="str">
        <f ca="1"/>
        <v xml:space="preserve">
//5
ELSIF strInfoType = 5 THEN
	//原点復帰動作
	IF uiInfoIdx = 1 THEN
		IF strInfoKey = 'name' THEN
			strRt	:= '原点復帰動作';
		ELSIF strInfoKey = 'index_name' THEN</v>
      </c>
      <c r="AF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</v>
      </c>
      <c r="AG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</v>
      </c>
      <c r="AH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</v>
      </c>
      <c r="AI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</v>
      </c>
      <c r="AJ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</v>
      </c>
      <c r="AK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L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M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23</v>
      </c>
      <c r="K44" t="str">
        <f ca="1"/>
        <v>巻き押え動作</v>
      </c>
      <c r="L44" t="str">
        <f ca="1"/>
        <v>巻き押え動作</v>
      </c>
      <c r="N44" t="str">
        <f ca="1"/>
        <v>【52】 巻き押え動作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//巻き押え動作
	ELSIF uiInfoIdx = 2 THEN</v>
      </c>
      <c r="AC44" t="str">
        <f ca="1"/>
        <v xml:space="preserve">
	//巻き押え動作
	ELSIF uiInfoIdx = 2 THEN
		IF strInfoKey = 'name' THEN</v>
      </c>
      <c r="AD44" t="str">
        <f ca="1"/>
        <v xml:space="preserve">
	//巻き押え動作
	ELSIF uiInfoIdx = 2 THEN
		IF strInfoKey = 'name' THEN
			strRt	:= '巻き押え動作';</v>
      </c>
      <c r="AE44" t="str">
        <f ca="1"/>
        <v xml:space="preserve">
	//巻き押え動作
	ELSIF uiInfoIdx = 2 THEN
		IF strInfoKey = 'name' THEN
			strRt	:= '巻き押え動作';
		ELSIF strInfoKey = 'index_name' THEN</v>
      </c>
      <c r="AF44" t="str">
        <f ca="1"/>
        <v xml:space="preserve">
	//巻き押え動作
	ELSIF uiInfoIdx = 2 THEN
		IF strInfoKey = 'name' THEN
			strRt	:= '巻き押え動作';
		ELSIF strInfoKey = 'index_name' THEN
			strRt	:= '【52】 巻き押え動作';</v>
      </c>
      <c r="AG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</v>
      </c>
      <c r="AH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</v>
      </c>
      <c r="AI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</v>
      </c>
      <c r="AJ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</v>
      </c>
      <c r="AK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L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M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24</v>
      </c>
      <c r="K45" t="str">
        <f ca="1"/>
        <v>巻き溶接動作</v>
      </c>
      <c r="L45" t="str">
        <f ca="1"/>
        <v>巻き溶接動作</v>
      </c>
      <c r="N45" t="str">
        <f ca="1"/>
        <v>【53】 巻き溶接動作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//巻き溶接動作
	ELSIF uiInfoIdx = 3 THEN</v>
      </c>
      <c r="AC45" t="str">
        <f ca="1"/>
        <v xml:space="preserve">
	//巻き溶接動作
	ELSIF uiInfoIdx = 3 THEN
		IF strInfoKey = 'name' THEN</v>
      </c>
      <c r="AD45" t="str">
        <f ca="1"/>
        <v xml:space="preserve">
	//巻き溶接動作
	ELSIF uiInfoIdx = 3 THEN
		IF strInfoKey = 'name' THEN
			strRt	:= '巻き溶接動作';</v>
      </c>
      <c r="AE45" t="str">
        <f ca="1"/>
        <v xml:space="preserve">
	//巻き溶接動作
	ELSIF uiInfoIdx = 3 THEN
		IF strInfoKey = 'name' THEN
			strRt	:= '巻き溶接動作';
		ELSIF strInfoKey = 'index_name' THEN</v>
      </c>
      <c r="AF45" t="str">
        <f ca="1"/>
        <v xml:space="preserve">
	//巻き溶接動作
	ELSIF uiInfoIdx = 3 THEN
		IF strInfoKey = 'name' THEN
			strRt	:= '巻き溶接動作';
		ELSIF strInfoKey = 'index_name' THEN
			strRt	:= '【53】 巻き溶接動作';</v>
      </c>
      <c r="AG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</v>
      </c>
      <c r="AH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</v>
      </c>
      <c r="AI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</v>
      </c>
      <c r="AJ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</v>
      </c>
      <c r="AK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  <c r="AL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  <c r="AM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>
        <v>25</v>
      </c>
      <c r="K46" t="str">
        <f ca="1"/>
        <v>箔ロウ溶接動作</v>
      </c>
      <c r="L46" t="str">
        <f ca="1"/>
        <v>箔ロウ溶接動作</v>
      </c>
      <c r="N46" t="str">
        <f ca="1"/>
        <v>【54】 箔ロウ溶接動作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//箔ロウ溶接動作
	ELSIF uiInfoIdx = 4 THEN</v>
      </c>
      <c r="AC46" t="str">
        <f ca="1"/>
        <v xml:space="preserve">
	//箔ロウ溶接動作
	ELSIF uiInfoIdx = 4 THEN
		IF strInfoKey = 'name' THEN</v>
      </c>
      <c r="AD46" t="str">
        <f ca="1"/>
        <v xml:space="preserve">
	//箔ロウ溶接動作
	ELSIF uiInfoIdx = 4 THEN
		IF strInfoKey = 'name' THEN
			strRt	:= '箔ロウ溶接動作';</v>
      </c>
      <c r="AE46" t="str">
        <f ca="1"/>
        <v xml:space="preserve">
	//箔ロウ溶接動作
	ELSIF uiInfoIdx = 4 THEN
		IF strInfoKey = 'name' THEN
			strRt	:= '箔ロウ溶接動作';
		ELSIF strInfoKey = 'index_name' THEN</v>
      </c>
      <c r="AF46" t="str">
        <f ca="1"/>
        <v xml:space="preserve">
	//箔ロウ溶接動作
	ELSIF uiInfoIdx = 4 THEN
		IF strInfoKey = 'name' THEN
			strRt	:= '箔ロウ溶接動作';
		ELSIF strInfoKey = 'index_name' THEN
			strRt	:= '【54】 箔ロウ溶接動作';</v>
      </c>
      <c r="AG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</v>
      </c>
      <c r="AH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</v>
      </c>
      <c r="AI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</v>
      </c>
      <c r="AJ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</v>
      </c>
      <c r="AK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  <c r="AL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  <c r="AM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26</v>
      </c>
      <c r="K53" t="str">
        <f ca="1"/>
        <v>原点復帰動作</v>
      </c>
      <c r="L53" t="str">
        <f ca="1"/>
        <v>原点復帰動作</v>
      </c>
      <c r="N53" t="str">
        <f ca="1"/>
        <v>【61】 原点復帰動作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//原点復帰動作
	IF uiInfoIdx = 1 THEN</v>
      </c>
      <c r="AC53" t="str">
        <f ca="1"/>
        <v xml:space="preserve">
//6
ELSIF strInfoType = 6 THEN
	//原点復帰動作
	IF uiInfoIdx = 1 THEN
		IF strInfoKey = 'name' THEN</v>
      </c>
      <c r="AD53" t="str">
        <f ca="1"/>
        <v xml:space="preserve">
//6
ELSIF strInfoType = 6 THEN
	//原点復帰動作
	IF uiInfoIdx = 1 THEN
		IF strInfoKey = 'name' THEN
			strRt	:= '原点復帰動作';</v>
      </c>
      <c r="AE53" t="str">
        <f ca="1"/>
        <v xml:space="preserve">
//6
ELSIF strInfoType = 6 THEN
	//原点復帰動作
	IF uiInfoIdx = 1 THEN
		IF strInfoKey = 'name' THEN
			strRt	:= '原点復帰動作';
		ELSIF strInfoKey = 'index_name' THEN</v>
      </c>
      <c r="AF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</v>
      </c>
      <c r="AG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</v>
      </c>
      <c r="AH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</v>
      </c>
      <c r="AI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</v>
      </c>
      <c r="AJ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</v>
      </c>
      <c r="AK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L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M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27</v>
      </c>
      <c r="K54" t="str">
        <f ca="1"/>
        <v>周長測定子プリセット</v>
      </c>
      <c r="L54" t="str">
        <f ca="1"/>
        <v>周長測定子プリセット</v>
      </c>
      <c r="N54" t="str">
        <f ca="1"/>
        <v>【62】 周長測定子プリセット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//周長測定子プリセット
	ELSIF uiInfoIdx = 2 THEN</v>
      </c>
      <c r="AC54" t="str">
        <f ca="1"/>
        <v xml:space="preserve">
	//周長測定子プリセット
	ELSIF uiInfoIdx = 2 THEN
		IF strInfoKey = 'name' THEN</v>
      </c>
      <c r="AD54" t="str">
        <f ca="1"/>
        <v xml:space="preserve">
	//周長測定子プリセット
	ELSIF uiInfoIdx = 2 THEN
		IF strInfoKey = 'name' THEN
			strRt	:= '周長測定子プリセット';</v>
      </c>
      <c r="AE54" t="str">
        <f ca="1"/>
        <v xml:space="preserve">
	//周長測定子プリセット
	ELSIF uiInfoIdx = 2 THEN
		IF strInfoKey = 'name' THEN
			strRt	:= '周長測定子プリセット';
		ELSIF strInfoKey = 'index_name' THEN</v>
      </c>
      <c r="AF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</v>
      </c>
      <c r="AG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</v>
      </c>
      <c r="AH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</v>
      </c>
      <c r="AI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</v>
      </c>
      <c r="AJ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</v>
      </c>
      <c r="AK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  <c r="AL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  <c r="AM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28</v>
      </c>
      <c r="K55" t="str">
        <f ca="1"/>
        <v>巻き中測定動作</v>
      </c>
      <c r="L55" t="str">
        <f ca="1"/>
        <v>巻き中測定動作</v>
      </c>
      <c r="N55" t="str">
        <f ca="1"/>
        <v>【63】 巻き中測定動作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//巻き中測定動作
	ELSIF uiInfoIdx = 3 THEN</v>
      </c>
      <c r="AC55" t="str">
        <f ca="1"/>
        <v xml:space="preserve">
	//巻き中測定動作
	ELSIF uiInfoIdx = 3 THEN
		IF strInfoKey = 'name' THEN</v>
      </c>
      <c r="AD55" t="str">
        <f ca="1"/>
        <v xml:space="preserve">
	//巻き中測定動作
	ELSIF uiInfoIdx = 3 THEN
		IF strInfoKey = 'name' THEN
			strRt	:= '巻き中測定動作';</v>
      </c>
      <c r="AE55" t="str">
        <f ca="1"/>
        <v xml:space="preserve">
	//巻き中測定動作
	ELSIF uiInfoIdx = 3 THEN
		IF strInfoKey = 'name' THEN
			strRt	:= '巻き中測定動作';
		ELSIF strInfoKey = 'index_name' THEN</v>
      </c>
      <c r="AF55" t="str">
        <f ca="1"/>
        <v xml:space="preserve">
	//巻き中測定動作
	ELSIF uiInfoIdx = 3 THEN
		IF strInfoKey = 'name' THEN
			strRt	:= '巻き中測定動作';
		ELSIF strInfoKey = 'index_name' THEN
			strRt	:= '【63】 巻き中測定動作';</v>
      </c>
      <c r="AG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</v>
      </c>
      <c r="AH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</v>
      </c>
      <c r="AI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</v>
      </c>
      <c r="AJ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</v>
      </c>
      <c r="AK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L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M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>
        <v>29</v>
      </c>
      <c r="K56" t="str">
        <f ca="1"/>
        <v>周長測定動作</v>
      </c>
      <c r="L56" t="str">
        <f ca="1"/>
        <v>周長測定動作</v>
      </c>
      <c r="N56" t="str">
        <f ca="1"/>
        <v>【64】 周長測定動作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//周長測定動作
	ELSIF uiInfoIdx = 4 THEN</v>
      </c>
      <c r="AC56" t="str">
        <f ca="1"/>
        <v xml:space="preserve">
	//周長測定動作
	ELSIF uiInfoIdx = 4 THEN
		IF strInfoKey = 'name' THEN</v>
      </c>
      <c r="AD56" t="str">
        <f ca="1"/>
        <v xml:space="preserve">
	//周長測定動作
	ELSIF uiInfoIdx = 4 THEN
		IF strInfoKey = 'name' THEN
			strRt	:= '周長測定動作';</v>
      </c>
      <c r="AE56" t="str">
        <f ca="1"/>
        <v xml:space="preserve">
	//周長測定動作
	ELSIF uiInfoIdx = 4 THEN
		IF strInfoKey = 'name' THEN
			strRt	:= '周長測定動作';
		ELSIF strInfoKey = 'index_name' THEN</v>
      </c>
      <c r="AF56" t="str">
        <f ca="1"/>
        <v xml:space="preserve">
	//周長測定動作
	ELSIF uiInfoIdx = 4 THEN
		IF strInfoKey = 'name' THEN
			strRt	:= '周長測定動作';
		ELSIF strInfoKey = 'index_name' THEN
			strRt	:= '【64】 周長測定動作';</v>
      </c>
      <c r="AG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</v>
      </c>
      <c r="AH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</v>
      </c>
      <c r="AI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</v>
      </c>
      <c r="AJ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</v>
      </c>
      <c r="AK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  <c r="AL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  <c r="AM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>
        <v>30</v>
      </c>
      <c r="K57" t="str">
        <f ca="1"/>
        <v>排出動作</v>
      </c>
      <c r="L57" t="str">
        <f ca="1"/>
        <v>排出動作</v>
      </c>
      <c r="N57" t="str">
        <f ca="1"/>
        <v>【65】 排出動作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//排出動作
	ELSIF uiInfoIdx = 5 THEN</v>
      </c>
      <c r="AC57" t="str">
        <f ca="1"/>
        <v xml:space="preserve">
	//排出動作
	ELSIF uiInfoIdx = 5 THEN
		IF strInfoKey = 'name' THEN</v>
      </c>
      <c r="AD57" t="str">
        <f ca="1"/>
        <v xml:space="preserve">
	//排出動作
	ELSIF uiInfoIdx = 5 THEN
		IF strInfoKey = 'name' THEN
			strRt	:= '排出動作';</v>
      </c>
      <c r="AE57" t="str">
        <f ca="1"/>
        <v xml:space="preserve">
	//排出動作
	ELSIF uiInfoIdx = 5 THEN
		IF strInfoKey = 'name' THEN
			strRt	:= '排出動作';
		ELSIF strInfoKey = 'index_name' THEN</v>
      </c>
      <c r="AF57" t="str">
        <f ca="1"/>
        <v xml:space="preserve">
	//排出動作
	ELSIF uiInfoIdx = 5 THEN
		IF strInfoKey = 'name' THEN
			strRt	:= '排出動作';
		ELSIF strInfoKey = 'index_name' THEN
			strRt	:= '【65】 排出動作';</v>
      </c>
      <c r="AG57" t="str">
        <f ca="1"/>
        <v xml:space="preserve">
	//排出動作
	ELSIF uiInfoIdx = 5 THEN
		IF strInfoKey = 'name' THEN
			strRt	:= '排出動作';
		ELSIF strInfoKey = 'index_name' THEN
			strRt	:= '【65】 排出動作';
		ELSIF strInfoKey = 'model' THEN</v>
      </c>
      <c r="AH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</v>
      </c>
      <c r="AI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</v>
      </c>
      <c r="AJ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</v>
      </c>
      <c r="AK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  <c r="AL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  <c r="AM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6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C:\tk\prj\hg-0025-0016\git\kv-x520\doc\[kv_script_cycle_info.xlsx]info_index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
	//供給終了動作
	ELSIF uiInfoIdx = 5 THEN
		IF strInfoKey = 'name' THEN
			strRt	:= '供給終了動作';
		ELSIF strInfoKey = 'index_name' THEN
			strRt	:= '【15】 供給終了動作';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
	//供給終了動作
	ELSIF uiInfoIdx = 5 THEN
		IF strInfoKey = 'name' THEN
			strRt	:= '供給終了動作';
		ELSIF strInfoKey = 'index_name' THEN
			strRt	:= '【25】 供給終了動作';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2025-12-11T13:04:34Z</dcterms:modified>
</cp:coreProperties>
</file>