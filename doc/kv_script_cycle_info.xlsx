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75FE4CD1-7F72-4AC0-A9A6-E147D2218D6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3" i="3" l="1"/>
  <c r="F53" i="3" l="1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7" i="1" l="1"/>
  <c r="E8" i="1" s="1"/>
  <c r="E3" i="1"/>
  <c r="E4" i="1" s="1"/>
  <c r="E6" i="1" s="1"/>
  <c r="D2" i="1"/>
  <c r="C7" i="1"/>
  <c r="C13" i="1" s="1"/>
  <c r="C16" i="1" s="1"/>
  <c r="D1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E9" i="1" l="1"/>
  <c r="E10" i="1" s="1"/>
  <c r="E11" i="1" s="1"/>
  <c r="E12" i="1" s="1"/>
  <c r="D6" i="1"/>
  <c r="D13" i="1"/>
  <c r="E13" i="1"/>
  <c r="E14" i="1" s="1"/>
  <c r="E15" i="1" s="1"/>
  <c r="D4" i="1"/>
  <c r="D3" i="1"/>
  <c r="D5" i="1"/>
  <c r="D7" i="1"/>
  <c r="C8" i="1"/>
  <c r="C9" i="1" s="1"/>
  <c r="D9" i="1" s="1"/>
  <c r="C17" i="1"/>
  <c r="C22" i="1"/>
  <c r="C14" i="1"/>
  <c r="B3" i="3" a="1"/>
  <c r="B3" i="3" s="1"/>
  <c r="B5" i="3" s="1"/>
  <c r="H3" i="3"/>
  <c r="A96" i="1"/>
  <c r="F94" i="1"/>
  <c r="A94" i="1"/>
  <c r="E16" i="1" l="1"/>
  <c r="E22" i="1" s="1"/>
  <c r="E25" i="1" s="1"/>
  <c r="D22" i="1"/>
  <c r="C25" i="1"/>
  <c r="C18" i="1"/>
  <c r="D17" i="1"/>
  <c r="D8" i="1"/>
  <c r="C15" i="1"/>
  <c r="D14" i="1"/>
  <c r="C23" i="1"/>
  <c r="H4" i="3"/>
  <c r="H5" i="3"/>
  <c r="E29" i="1" l="1"/>
  <c r="E26" i="1"/>
  <c r="E28" i="1" s="1"/>
  <c r="E17" i="1"/>
  <c r="E18" i="1" s="1"/>
  <c r="E19" i="1" s="1"/>
  <c r="E20" i="1" s="1"/>
  <c r="E21" i="1" s="1"/>
  <c r="C26" i="1"/>
  <c r="D25" i="1"/>
  <c r="C29" i="1"/>
  <c r="E23" i="1"/>
  <c r="E24" i="1" s="1"/>
  <c r="D15" i="1"/>
  <c r="C10" i="1"/>
  <c r="C11" i="1" s="1"/>
  <c r="C12" i="1" s="1"/>
  <c r="D12" i="1" s="1"/>
  <c r="C24" i="1"/>
  <c r="D23" i="1"/>
  <c r="C19" i="1"/>
  <c r="D18" i="1"/>
  <c r="H6" i="3"/>
  <c r="D11" i="1" l="1"/>
  <c r="C27" i="1"/>
  <c r="C28" i="1" s="1"/>
  <c r="D28" i="1" s="1"/>
  <c r="D26" i="1"/>
  <c r="E31" i="1"/>
  <c r="C30" i="1"/>
  <c r="C31" i="1"/>
  <c r="D29" i="1"/>
  <c r="D10" i="1"/>
  <c r="C20" i="1"/>
  <c r="D19" i="1"/>
  <c r="D24" i="1"/>
  <c r="H7" i="3"/>
  <c r="H28" i="3" l="1"/>
  <c r="H29" i="3"/>
  <c r="H30" i="3"/>
  <c r="D20" i="1"/>
  <c r="C21" i="1"/>
  <c r="D27" i="1"/>
  <c r="D31" i="1"/>
  <c r="C36" i="1"/>
  <c r="C32" i="1"/>
  <c r="D30" i="1"/>
  <c r="E36" i="1"/>
  <c r="E32" i="1"/>
  <c r="E33" i="1" s="1"/>
  <c r="E34" i="1" s="1"/>
  <c r="E35" i="1" s="1"/>
  <c r="H8" i="3"/>
  <c r="D21" i="1" l="1"/>
  <c r="H31" i="3"/>
  <c r="E37" i="1"/>
  <c r="E38" i="1" s="1"/>
  <c r="E39" i="1" s="1"/>
  <c r="E40" i="1" s="1"/>
  <c r="E41" i="1"/>
  <c r="C33" i="1"/>
  <c r="D32" i="1"/>
  <c r="C41" i="1"/>
  <c r="D36" i="1"/>
  <c r="C37" i="1"/>
  <c r="H9" i="3"/>
  <c r="H32" i="3" l="1"/>
  <c r="E46" i="1"/>
  <c r="E42" i="1"/>
  <c r="E43" i="1" s="1"/>
  <c r="E44" i="1" s="1"/>
  <c r="E45" i="1" s="1"/>
  <c r="C38" i="1"/>
  <c r="D37" i="1"/>
  <c r="C46" i="1"/>
  <c r="C42" i="1"/>
  <c r="D41" i="1"/>
  <c r="D33" i="1"/>
  <c r="C34" i="1"/>
  <c r="H10" i="3"/>
  <c r="H33" i="3" l="1"/>
  <c r="C43" i="1"/>
  <c r="D42" i="1"/>
  <c r="C51" i="1"/>
  <c r="D46" i="1"/>
  <c r="C47" i="1"/>
  <c r="D38" i="1"/>
  <c r="C39" i="1"/>
  <c r="D34" i="1"/>
  <c r="C35" i="1"/>
  <c r="D35" i="1" s="1"/>
  <c r="E51" i="1"/>
  <c r="E47" i="1"/>
  <c r="E48" i="1" s="1"/>
  <c r="E49" i="1" s="1"/>
  <c r="E50" i="1" s="1"/>
  <c r="H11" i="3"/>
  <c r="H34" i="3" l="1"/>
  <c r="C40" i="1"/>
  <c r="D40" i="1" s="1"/>
  <c r="D39" i="1"/>
  <c r="D47" i="1"/>
  <c r="C48" i="1"/>
  <c r="C56" i="1"/>
  <c r="D51" i="1"/>
  <c r="C52" i="1"/>
  <c r="E56" i="1"/>
  <c r="E52" i="1"/>
  <c r="E53" i="1" s="1"/>
  <c r="E54" i="1" s="1"/>
  <c r="E55" i="1" s="1"/>
  <c r="D43" i="1"/>
  <c r="C44" i="1"/>
  <c r="H12" i="3"/>
  <c r="H35" i="3" l="1"/>
  <c r="C53" i="1"/>
  <c r="D52" i="1"/>
  <c r="C49" i="1"/>
  <c r="D48" i="1"/>
  <c r="E57" i="1"/>
  <c r="E58" i="1" s="1"/>
  <c r="E59" i="1" s="1"/>
  <c r="E60" i="1" s="1"/>
  <c r="E61" i="1"/>
  <c r="C61" i="1"/>
  <c r="D56" i="1"/>
  <c r="C57" i="1"/>
  <c r="C45" i="1"/>
  <c r="D45" i="1" s="1"/>
  <c r="D44" i="1"/>
  <c r="H13" i="3"/>
  <c r="H36" i="3" l="1"/>
  <c r="C66" i="1"/>
  <c r="D61" i="1"/>
  <c r="C62" i="1"/>
  <c r="D49" i="1"/>
  <c r="C50" i="1"/>
  <c r="D50" i="1" s="1"/>
  <c r="E62" i="1"/>
  <c r="E63" i="1" s="1"/>
  <c r="E64" i="1" s="1"/>
  <c r="E65" i="1" s="1"/>
  <c r="E66" i="1"/>
  <c r="D57" i="1"/>
  <c r="C58" i="1"/>
  <c r="D53" i="1"/>
  <c r="C54" i="1"/>
  <c r="H14" i="3"/>
  <c r="H37" i="3" l="1"/>
  <c r="E67" i="1"/>
  <c r="E68" i="1" s="1"/>
  <c r="E69" i="1" s="1"/>
  <c r="E70" i="1" s="1"/>
  <c r="E71" i="1"/>
  <c r="D54" i="1"/>
  <c r="C55" i="1"/>
  <c r="D55" i="1" s="1"/>
  <c r="D62" i="1"/>
  <c r="C63" i="1"/>
  <c r="C59" i="1"/>
  <c r="D58" i="1"/>
  <c r="D66" i="1"/>
  <c r="C71" i="1"/>
  <c r="C67" i="1"/>
  <c r="H15" i="3"/>
  <c r="H38" i="3" l="1"/>
  <c r="D63" i="1"/>
  <c r="C64" i="1"/>
  <c r="D59" i="1"/>
  <c r="C60" i="1"/>
  <c r="D60" i="1" s="1"/>
  <c r="D67" i="1"/>
  <c r="C68" i="1"/>
  <c r="D71" i="1"/>
  <c r="C76" i="1"/>
  <c r="C72" i="1"/>
  <c r="E76" i="1"/>
  <c r="E72" i="1"/>
  <c r="E73" i="1" s="1"/>
  <c r="E74" i="1" s="1"/>
  <c r="E75" i="1" s="1"/>
  <c r="H16" i="3"/>
  <c r="H39" i="3" l="1"/>
  <c r="C81" i="1"/>
  <c r="D76" i="1"/>
  <c r="C77" i="1"/>
  <c r="C69" i="1"/>
  <c r="D68" i="1"/>
  <c r="E81" i="1"/>
  <c r="E77" i="1"/>
  <c r="E78" i="1" s="1"/>
  <c r="E79" i="1" s="1"/>
  <c r="E80" i="1" s="1"/>
  <c r="C65" i="1"/>
  <c r="D65" i="1" s="1"/>
  <c r="D64" i="1"/>
  <c r="C73" i="1"/>
  <c r="D72" i="1"/>
  <c r="H17" i="3"/>
  <c r="H40" i="3" l="1"/>
  <c r="E82" i="1"/>
  <c r="E83" i="1" s="1"/>
  <c r="E84" i="1" s="1"/>
  <c r="E85" i="1" s="1"/>
  <c r="E86" i="1"/>
  <c r="E87" i="1" s="1"/>
  <c r="E88" i="1" s="1"/>
  <c r="E89" i="1" s="1"/>
  <c r="E90" i="1" s="1"/>
  <c r="C70" i="1"/>
  <c r="D70" i="1" s="1"/>
  <c r="D69" i="1"/>
  <c r="C78" i="1"/>
  <c r="D77" i="1"/>
  <c r="C74" i="1"/>
  <c r="D73" i="1"/>
  <c r="C82" i="1"/>
  <c r="C86" i="1"/>
  <c r="D81" i="1"/>
  <c r="H18" i="3"/>
  <c r="H41" i="3" l="1"/>
  <c r="D74" i="1"/>
  <c r="C75" i="1"/>
  <c r="D75" i="1" s="1"/>
  <c r="D78" i="1"/>
  <c r="C79" i="1"/>
  <c r="C87" i="1"/>
  <c r="D86" i="1"/>
  <c r="D82" i="1"/>
  <c r="C83" i="1"/>
  <c r="H19" i="3"/>
  <c r="H42" i="3" l="1"/>
  <c r="D79" i="1"/>
  <c r="C80" i="1"/>
  <c r="D80" i="1" s="1"/>
  <c r="C88" i="1"/>
  <c r="D87" i="1"/>
  <c r="D83" i="1"/>
  <c r="C84" i="1"/>
  <c r="H20" i="3"/>
  <c r="H43" i="3" l="1"/>
  <c r="D88" i="1"/>
  <c r="C89" i="1"/>
  <c r="D84" i="1"/>
  <c r="C85" i="1"/>
  <c r="D85" i="1" s="1"/>
  <c r="H21" i="3"/>
  <c r="H44" i="3" l="1"/>
  <c r="C90" i="1"/>
  <c r="D90" i="1" s="1"/>
  <c r="D89" i="1"/>
  <c r="H22" i="3"/>
  <c r="H45" i="3" l="1"/>
  <c r="H23" i="3"/>
  <c r="H46" i="3" l="1"/>
  <c r="E96" i="1"/>
  <c r="D96" i="1"/>
  <c r="D98" i="1"/>
  <c r="E98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<sst xmlns="http://schemas.openxmlformats.org/spreadsheetml/2006/main" count="160" uniqueCount="118">
  <si>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</si>
  <si>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</si>
  <si>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</si>
  <si>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</si>
  <si>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</si>
  <si>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</si>
  <si>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</si>
  <si>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</si>
  <si>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</si>
  <si>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</si>
  <si>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</si>
  <si>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</si>
  <si>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</si>
  <si>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</si>
  <si>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</si>
  <si>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</si>
  <si>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</si>
  <si>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</si>
  <si>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</si>
  <si>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</si>
  <si>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</si>
  <si>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</si>
  <si>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</si>
  <si>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</si>
  <si>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</si>
  <si>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</si>
  <si>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</si>
  <si>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</si>
  <si>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</si>
  <si>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</si>
  <si>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</si>
  <si>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</si>
  <si>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</si>
  <si>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</si>
  <si>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</si>
  <si>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</si>
  <si>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</si>
  <si>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</si>
  <si>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</si>
  <si>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</si>
  <si>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</si>
  <si>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</si>
  <si>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</si>
  <si>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</si>
  <si>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</si>
  <si>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</si>
  <si>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</si>
  <si>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</si>
  <si>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</si>
  <si>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</si>
  <si>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</si>
  <si>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</si>
  <si>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</si>
  <si>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</si>
  <si>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</si>
  <si>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</si>
  <si>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</si>
  <si>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</si>
  <si>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</si>
  <si>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</si>
  <si>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</si>
  <si>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</si>
  <si>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</si>
  <si>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</si>
  <si>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</si>
  <si>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</si>
  <si>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</si>
  <si>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</si>
  <si>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</si>
  <si>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</si>
  <si>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</si>
  <si>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</si>
  <si>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</si>
  <si>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</si>
  <si>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</si>
  <si>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</si>
  <si>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</si>
  <si>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</si>
  <si>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</si>
  <si>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</si>
  <si>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</si>
  <si>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</si>
  <si>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</si>
  <si>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Supply preparation operation</t>
  </si>
  <si>
    <t>Winding preparation operation</t>
  </si>
  <si>
    <t>Winding operation</t>
  </si>
  <si>
    <t>Circumference measurement operation</t>
  </si>
  <si>
    <t>Winding clamping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</si>
  <si>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</si>
  <si>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</si>
  <si>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溶接動作</t>
    <rPh sb="0" eb="2">
      <t>ヨウセツ</t>
    </rPh>
    <rPh sb="2" eb="4">
      <t>ドウサ</t>
    </rPh>
    <phoneticPr fontId="1"/>
  </si>
  <si>
    <t>箔ロウ巻き動作</t>
    <rPh sb="0" eb="1">
      <t>ハク</t>
    </rPh>
    <rPh sb="3" eb="4">
      <t>マ</t>
    </rPh>
    <rPh sb="5" eb="7">
      <t>ドウサ</t>
    </rPh>
    <phoneticPr fontId="1"/>
  </si>
  <si>
    <t>Foil brazing operation</t>
  </si>
  <si>
    <t>Welding operation</t>
  </si>
  <si>
    <t>供給動作</t>
    <rPh sb="0" eb="2">
      <t>キョウキュウ</t>
    </rPh>
    <rPh sb="2" eb="4">
      <t>ドウサ</t>
    </rPh>
    <phoneticPr fontId="1"/>
  </si>
  <si>
    <t>supply operation</t>
  </si>
  <si>
    <t>供給開始動作</t>
  </si>
  <si>
    <t>供給動作</t>
  </si>
  <si>
    <t>原点復帰動作</t>
  </si>
  <si>
    <t>供給準備動作</t>
  </si>
  <si>
    <t>カット動作</t>
  </si>
  <si>
    <t>Return to origin operation</t>
  </si>
  <si>
    <t>Preparation for supply operation</t>
  </si>
  <si>
    <t>Start supply operation</t>
  </si>
  <si>
    <t>Supply operation</t>
  </si>
  <si>
    <t>Cut operation</t>
  </si>
  <si>
    <t>計測準備</t>
    <rPh sb="0" eb="2">
      <t>ケイソク</t>
    </rPh>
    <rPh sb="2" eb="4">
      <t>ジュンビ</t>
    </rPh>
    <phoneticPr fontId="1"/>
  </si>
  <si>
    <t>排出動作</t>
    <rPh sb="0" eb="2">
      <t>ハイシュツ</t>
    </rPh>
    <rPh sb="2" eb="4">
      <t>ドウサ</t>
    </rPh>
    <phoneticPr fontId="1"/>
  </si>
  <si>
    <t>Measurement preparation</t>
  </si>
  <si>
    <t>Measurement operation during winding</t>
  </si>
  <si>
    <t>Discharge operation</t>
  </si>
  <si>
    <t>供給確認動作</t>
    <rPh sb="0" eb="2">
      <t>キョウキュウ</t>
    </rPh>
    <rPh sb="2" eb="4">
      <t>カクニン</t>
    </rPh>
    <rPh sb="4" eb="6">
      <t>ドウサ</t>
    </rPh>
    <phoneticPr fontId="1"/>
  </si>
  <si>
    <t>Supply confirmation operation</t>
  </si>
  <si>
    <t>Ｘロール部</t>
  </si>
  <si>
    <t>Ｘロール部</t>
    <rPh sb="4" eb="5">
      <t>ブ</t>
    </rPh>
    <phoneticPr fontId="1"/>
  </si>
  <si>
    <t>原点復帰</t>
    <rPh sb="0" eb="4">
      <t>ゲンテンフッキ</t>
    </rPh>
    <phoneticPr fontId="1"/>
  </si>
  <si>
    <t>糊付け動作</t>
    <rPh sb="0" eb="2">
      <t>ノリヅ</t>
    </rPh>
    <rPh sb="3" eb="5">
      <t>ドウサ</t>
    </rPh>
    <phoneticPr fontId="1"/>
  </si>
  <si>
    <t>Gluing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</si>
</sst>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98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H20" sqref="H2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98</v>
      </c>
      <c r="I2" s="28" t="s">
        <v>101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0" si="0">B3&amp;C3</f>
        <v>1</v>
      </c>
      <c r="E3" s="4">
        <f>E2+1</f>
        <v>2</v>
      </c>
      <c r="F3" s="9"/>
      <c r="G3" s="9" t="s">
        <v>72</v>
      </c>
      <c r="H3" s="9" t="s">
        <v>99</v>
      </c>
      <c r="I3" s="9" t="s">
        <v>102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6" si="1">C3</f>
        <v>1</v>
      </c>
      <c r="D4" s="4" t="str">
        <f t="shared" si="0"/>
        <v>1</v>
      </c>
      <c r="E4" s="4">
        <f t="shared" ref="E4:E6" si="2">E3+1</f>
        <v>3</v>
      </c>
      <c r="F4" s="9"/>
      <c r="G4" s="9" t="s">
        <v>72</v>
      </c>
      <c r="H4" s="9" t="s">
        <v>100</v>
      </c>
      <c r="I4" s="9" t="s">
        <v>105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v>6</v>
      </c>
      <c r="F5" s="9"/>
      <c r="G5" s="9" t="s">
        <v>72</v>
      </c>
      <c r="H5" s="9" t="s">
        <v>96</v>
      </c>
      <c r="I5" s="9" t="s">
        <v>103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7</v>
      </c>
      <c r="F6" s="9"/>
      <c r="G6" s="9" t="s">
        <v>72</v>
      </c>
      <c r="H6" s="9" t="s">
        <v>97</v>
      </c>
      <c r="I6" s="9" t="s">
        <v>104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>C2+1</f>
        <v>2</v>
      </c>
      <c r="D7" s="4" t="str">
        <f t="shared" si="0"/>
        <v>2</v>
      </c>
      <c r="E7" s="4">
        <f>E2</f>
        <v>1</v>
      </c>
      <c r="F7" s="5"/>
      <c r="G7" s="5" t="s">
        <v>73</v>
      </c>
      <c r="H7" s="5" t="s">
        <v>98</v>
      </c>
      <c r="I7" s="5" t="s">
        <v>101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>C7</f>
        <v>2</v>
      </c>
      <c r="D8" s="4" t="str">
        <f t="shared" si="0"/>
        <v>2</v>
      </c>
      <c r="E8" s="4">
        <f>E7+1</f>
        <v>2</v>
      </c>
      <c r="F8" s="5"/>
      <c r="G8" s="5" t="s">
        <v>73</v>
      </c>
      <c r="H8" s="5" t="s">
        <v>99</v>
      </c>
      <c r="I8" s="5" t="s">
        <v>102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ref="C9:C12" si="4">C8</f>
        <v>2</v>
      </c>
      <c r="D9" s="4" t="str">
        <f t="shared" si="0"/>
        <v>2</v>
      </c>
      <c r="E9" s="4">
        <f t="shared" ref="E9:E12" si="5">E8+1</f>
        <v>3</v>
      </c>
      <c r="F9" s="5"/>
      <c r="G9" s="5" t="s">
        <v>73</v>
      </c>
      <c r="H9" s="5" t="s">
        <v>96</v>
      </c>
      <c r="I9" s="5" t="s">
        <v>103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C9</f>
        <v>2</v>
      </c>
      <c r="D10" s="4" t="str">
        <f t="shared" si="0"/>
        <v>2</v>
      </c>
      <c r="E10" s="4">
        <f>E9+1</f>
        <v>4</v>
      </c>
      <c r="F10" s="5"/>
      <c r="G10" s="5" t="s">
        <v>73</v>
      </c>
      <c r="H10" s="5" t="s">
        <v>97</v>
      </c>
      <c r="I10" s="5" t="s">
        <v>104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si="4"/>
        <v>2</v>
      </c>
      <c r="D11" s="4" t="str">
        <f t="shared" ref="D11" si="6">B11&amp;C11</f>
        <v>2</v>
      </c>
      <c r="E11" s="4">
        <f t="shared" si="5"/>
        <v>5</v>
      </c>
      <c r="F11" s="5"/>
      <c r="G11" s="5" t="s">
        <v>73</v>
      </c>
      <c r="H11" s="5" t="s">
        <v>100</v>
      </c>
      <c r="I11" s="5" t="s">
        <v>105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4"/>
        <v>2</v>
      </c>
      <c r="D12" s="4" t="str">
        <f t="shared" ref="D12" si="7">B12&amp;C12</f>
        <v>2</v>
      </c>
      <c r="E12" s="4">
        <f t="shared" si="5"/>
        <v>6</v>
      </c>
      <c r="F12" s="5"/>
      <c r="G12" s="5" t="s">
        <v>73</v>
      </c>
      <c r="H12" s="5" t="s">
        <v>111</v>
      </c>
      <c r="I12" s="5" t="s">
        <v>112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C7+1</f>
        <v>3</v>
      </c>
      <c r="D13" s="4" t="str">
        <f t="shared" si="0"/>
        <v>3</v>
      </c>
      <c r="E13" s="4">
        <f>E7</f>
        <v>1</v>
      </c>
      <c r="F13" s="5"/>
      <c r="G13" s="5" t="s">
        <v>74</v>
      </c>
      <c r="H13" s="5" t="s">
        <v>69</v>
      </c>
      <c r="I13" s="5" t="s">
        <v>70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90" si="8">C13</f>
        <v>3</v>
      </c>
      <c r="D14" s="4" t="str">
        <f t="shared" si="0"/>
        <v>3</v>
      </c>
      <c r="E14" s="4">
        <f t="shared" ref="E14:E70" si="9">E13+1</f>
        <v>2</v>
      </c>
      <c r="F14" s="5"/>
      <c r="G14" s="5" t="s">
        <v>74</v>
      </c>
      <c r="H14" s="5" t="s">
        <v>71</v>
      </c>
      <c r="I14" s="5" t="s">
        <v>83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8"/>
        <v>3</v>
      </c>
      <c r="D15" s="4" t="str">
        <f t="shared" si="0"/>
        <v>3</v>
      </c>
      <c r="E15" s="4">
        <f t="shared" si="9"/>
        <v>3</v>
      </c>
      <c r="F15" s="5"/>
      <c r="G15" s="5" t="s">
        <v>74</v>
      </c>
      <c r="H15" s="5" t="s">
        <v>94</v>
      </c>
      <c r="I15" s="5" t="s">
        <v>95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>C13+1</f>
        <v>4</v>
      </c>
      <c r="D16" s="4" t="str">
        <f t="shared" si="0"/>
        <v>4</v>
      </c>
      <c r="E16" s="4">
        <f>E13</f>
        <v>1</v>
      </c>
      <c r="F16" s="5"/>
      <c r="G16" s="5" t="s">
        <v>75</v>
      </c>
      <c r="H16" s="5" t="s">
        <v>69</v>
      </c>
      <c r="I16" s="5" t="s">
        <v>70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ref="C17" si="10">C16</f>
        <v>4</v>
      </c>
      <c r="D17" s="4" t="str">
        <f t="shared" si="0"/>
        <v>4</v>
      </c>
      <c r="E17" s="4">
        <f t="shared" ref="E17" si="11">E16+1</f>
        <v>2</v>
      </c>
      <c r="F17" s="5"/>
      <c r="G17" s="5" t="s">
        <v>75</v>
      </c>
      <c r="H17" s="5" t="s">
        <v>88</v>
      </c>
      <c r="I17" s="5" t="s">
        <v>89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8"/>
        <v>4</v>
      </c>
      <c r="D18" s="4" t="str">
        <f t="shared" si="0"/>
        <v>4</v>
      </c>
      <c r="E18" s="4">
        <f t="shared" si="9"/>
        <v>3</v>
      </c>
      <c r="F18" s="5"/>
      <c r="G18" s="5" t="s">
        <v>75</v>
      </c>
      <c r="H18" s="5" t="s">
        <v>79</v>
      </c>
      <c r="I18" s="5" t="s">
        <v>84</v>
      </c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8"/>
        <v>4</v>
      </c>
      <c r="D19" s="4" t="str">
        <f t="shared" si="0"/>
        <v>4</v>
      </c>
      <c r="E19" s="4">
        <f t="shared" si="9"/>
        <v>4</v>
      </c>
      <c r="F19" s="5"/>
      <c r="G19" s="5" t="s">
        <v>75</v>
      </c>
      <c r="H19" s="5" t="s">
        <v>78</v>
      </c>
      <c r="I19" s="5" t="s">
        <v>85</v>
      </c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8"/>
        <v>4</v>
      </c>
      <c r="D20" s="4" t="str">
        <f t="shared" si="0"/>
        <v>4</v>
      </c>
      <c r="E20" s="4">
        <f t="shared" si="9"/>
        <v>5</v>
      </c>
      <c r="F20" s="5"/>
      <c r="G20" s="5" t="s">
        <v>75</v>
      </c>
      <c r="H20" s="5" t="s">
        <v>91</v>
      </c>
      <c r="I20" s="5" t="s">
        <v>92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8"/>
        <v>4</v>
      </c>
      <c r="D21" s="4" t="str">
        <f t="shared" ref="D21" si="12">B21&amp;C21</f>
        <v>4</v>
      </c>
      <c r="E21" s="4">
        <f t="shared" si="9"/>
        <v>6</v>
      </c>
      <c r="F21" s="5"/>
      <c r="G21" s="5" t="s">
        <v>75</v>
      </c>
      <c r="H21" s="5" t="s">
        <v>82</v>
      </c>
      <c r="I21" s="5" t="s">
        <v>86</v>
      </c>
      <c r="J21" s="5"/>
      <c r="K21" s="6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C16+1</f>
        <v>5</v>
      </c>
      <c r="D22" s="4" t="str">
        <f t="shared" si="0"/>
        <v>5</v>
      </c>
      <c r="E22" s="4">
        <f>E16</f>
        <v>1</v>
      </c>
      <c r="F22" s="5"/>
      <c r="G22" s="5" t="s">
        <v>76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" si="13">C22</f>
        <v>5</v>
      </c>
      <c r="D23" s="4" t="str">
        <f t="shared" si="0"/>
        <v>5</v>
      </c>
      <c r="E23" s="4">
        <f t="shared" ref="E23" si="14">E22+1</f>
        <v>2</v>
      </c>
      <c r="F23" s="5"/>
      <c r="G23" s="5" t="s">
        <v>76</v>
      </c>
      <c r="H23" s="5" t="s">
        <v>81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8"/>
        <v>5</v>
      </c>
      <c r="D24" s="4" t="str">
        <f t="shared" si="0"/>
        <v>5</v>
      </c>
      <c r="E24" s="4">
        <f t="shared" si="9"/>
        <v>3</v>
      </c>
      <c r="F24" s="5"/>
      <c r="G24" s="5" t="s">
        <v>76</v>
      </c>
      <c r="H24" s="5" t="s">
        <v>90</v>
      </c>
      <c r="I24" s="5" t="s">
        <v>93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>C22+1</f>
        <v>6</v>
      </c>
      <c r="D25" s="4" t="str">
        <f t="shared" si="0"/>
        <v>6</v>
      </c>
      <c r="E25" s="4">
        <f>E22</f>
        <v>1</v>
      </c>
      <c r="F25" s="5"/>
      <c r="G25" s="5" t="s">
        <v>77</v>
      </c>
      <c r="H25" s="5" t="s">
        <v>69</v>
      </c>
      <c r="I25" s="5" t="s">
        <v>101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" si="15">C25</f>
        <v>6</v>
      </c>
      <c r="D26" s="4" t="str">
        <f t="shared" si="0"/>
        <v>6</v>
      </c>
      <c r="E26" s="4">
        <f t="shared" ref="E26" si="16">E25+1</f>
        <v>2</v>
      </c>
      <c r="F26" s="9"/>
      <c r="G26" s="5" t="s">
        <v>77</v>
      </c>
      <c r="H26" s="9" t="s">
        <v>107</v>
      </c>
      <c r="I26" s="9" t="s">
        <v>110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8"/>
        <v>6</v>
      </c>
      <c r="D27" s="4" t="str">
        <f t="shared" si="0"/>
        <v>6</v>
      </c>
      <c r="E27" s="4">
        <v>6</v>
      </c>
      <c r="F27" s="5"/>
      <c r="G27" s="5" t="s">
        <v>77</v>
      </c>
      <c r="H27" s="5" t="s">
        <v>106</v>
      </c>
      <c r="I27" s="5" t="s">
        <v>108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si="8"/>
        <v>6</v>
      </c>
      <c r="D28" s="4" t="str">
        <f t="shared" ref="D28" si="17">B28&amp;C28</f>
        <v>6</v>
      </c>
      <c r="E28" s="4">
        <f t="shared" si="9"/>
        <v>7</v>
      </c>
      <c r="F28" s="5"/>
      <c r="G28" s="5" t="s">
        <v>77</v>
      </c>
      <c r="H28" s="5" t="s">
        <v>80</v>
      </c>
      <c r="I28" s="5" t="s">
        <v>109</v>
      </c>
      <c r="J28" s="5"/>
      <c r="K28" s="5"/>
      <c r="L28" s="5"/>
      <c r="M28" s="5"/>
      <c r="N28" s="8"/>
      <c r="O28" s="21"/>
      <c r="P28" s="21"/>
      <c r="Q28" s="21"/>
      <c r="R28" s="7"/>
    </row>
    <row r="29" spans="1:18" x14ac:dyDescent="0.55000000000000004">
      <c r="A29" s="4"/>
      <c r="B29" s="4"/>
      <c r="C29" s="4">
        <f>C25+1</f>
        <v>7</v>
      </c>
      <c r="D29" s="4" t="str">
        <f t="shared" si="0"/>
        <v>7</v>
      </c>
      <c r="E29" s="4">
        <f>E25</f>
        <v>1</v>
      </c>
      <c r="F29" s="9"/>
      <c r="G29" s="9" t="s">
        <v>114</v>
      </c>
      <c r="H29" s="9" t="s">
        <v>115</v>
      </c>
      <c r="I29" s="9" t="s">
        <v>101</v>
      </c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ref="C30" si="18">C29</f>
        <v>7</v>
      </c>
      <c r="D30" s="4" t="str">
        <f t="shared" si="0"/>
        <v>7</v>
      </c>
      <c r="E30" s="4">
        <v>6</v>
      </c>
      <c r="F30" s="9"/>
      <c r="G30" s="9" t="s">
        <v>113</v>
      </c>
      <c r="H30" s="9" t="s">
        <v>116</v>
      </c>
      <c r="I30" s="9" t="s">
        <v>117</v>
      </c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26"/>
      <c r="B31" s="4"/>
      <c r="C31" s="26">
        <f>C29+1</f>
        <v>8</v>
      </c>
      <c r="D31" s="26" t="str">
        <f t="shared" si="0"/>
        <v>8</v>
      </c>
      <c r="E31" s="4">
        <f>E29</f>
        <v>1</v>
      </c>
      <c r="F31" s="11"/>
      <c r="G31" s="11"/>
      <c r="H31" s="11"/>
      <c r="I31" s="11"/>
      <c r="J31" s="11"/>
      <c r="K31" s="11"/>
      <c r="L31" s="11"/>
      <c r="M31" s="11"/>
      <c r="N31" s="12"/>
      <c r="O31" s="23"/>
      <c r="P31" s="23"/>
      <c r="Q31" s="23"/>
      <c r="R31" s="7"/>
    </row>
    <row r="32" spans="1:18" x14ac:dyDescent="0.55000000000000004">
      <c r="A32" s="26"/>
      <c r="B32" s="4"/>
      <c r="C32" s="26">
        <f t="shared" ref="C32" si="19">C31</f>
        <v>8</v>
      </c>
      <c r="D32" s="26" t="str">
        <f t="shared" si="0"/>
        <v>8</v>
      </c>
      <c r="E32" s="4">
        <f t="shared" ref="E32" si="20">E31+1</f>
        <v>2</v>
      </c>
      <c r="F32" s="11"/>
      <c r="G32" s="11"/>
      <c r="H32" s="11"/>
      <c r="I32" s="11"/>
      <c r="J32" s="11"/>
      <c r="K32" s="11"/>
      <c r="L32" s="11"/>
      <c r="M32" s="11"/>
      <c r="N32" s="12"/>
      <c r="O32" s="23"/>
      <c r="P32" s="23"/>
      <c r="Q32" s="23"/>
      <c r="R32" s="7"/>
    </row>
    <row r="33" spans="1:18" x14ac:dyDescent="0.55000000000000004">
      <c r="A33" s="26"/>
      <c r="B33" s="4"/>
      <c r="C33" s="26">
        <f t="shared" si="8"/>
        <v>8</v>
      </c>
      <c r="D33" s="26" t="str">
        <f t="shared" si="0"/>
        <v>8</v>
      </c>
      <c r="E33" s="4">
        <f t="shared" si="9"/>
        <v>3</v>
      </c>
      <c r="F33" s="11"/>
      <c r="G33" s="11"/>
      <c r="H33" s="11"/>
      <c r="I33" s="11"/>
      <c r="J33" s="11"/>
      <c r="K33" s="11"/>
      <c r="L33" s="11"/>
      <c r="M33" s="11"/>
      <c r="N33" s="12"/>
      <c r="O33" s="23"/>
      <c r="P33" s="23"/>
      <c r="Q33" s="23"/>
      <c r="R33" s="7"/>
    </row>
    <row r="34" spans="1:18" x14ac:dyDescent="0.55000000000000004">
      <c r="A34" s="4"/>
      <c r="B34" s="4"/>
      <c r="C34" s="4">
        <f t="shared" si="8"/>
        <v>8</v>
      </c>
      <c r="D34" s="4" t="str">
        <f t="shared" si="0"/>
        <v>8</v>
      </c>
      <c r="E34" s="4">
        <f t="shared" si="9"/>
        <v>4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8"/>
        <v>8</v>
      </c>
      <c r="D35" s="4" t="str">
        <f t="shared" si="0"/>
        <v>8</v>
      </c>
      <c r="E35" s="4">
        <f t="shared" si="9"/>
        <v>5</v>
      </c>
      <c r="F35" s="5"/>
      <c r="G35" s="5"/>
      <c r="H35" s="5"/>
      <c r="I35" s="5"/>
      <c r="J35" s="5"/>
      <c r="K35" s="5"/>
      <c r="L35" s="5"/>
      <c r="M35" s="5"/>
      <c r="N35" s="5"/>
      <c r="O35" s="7"/>
      <c r="P35" s="7"/>
      <c r="Q35" s="7"/>
      <c r="R35" s="7"/>
    </row>
    <row r="36" spans="1:18" x14ac:dyDescent="0.55000000000000004">
      <c r="A36" s="4"/>
      <c r="B36" s="4"/>
      <c r="C36" s="4">
        <f t="shared" ref="C36" si="21">C31+1</f>
        <v>9</v>
      </c>
      <c r="D36" s="4" t="str">
        <f t="shared" si="0"/>
        <v>9</v>
      </c>
      <c r="E36" s="4">
        <f t="shared" ref="E36" si="22">E31</f>
        <v>1</v>
      </c>
      <c r="F36" s="5"/>
      <c r="G36" s="5"/>
      <c r="H36" s="5"/>
      <c r="I36" s="5"/>
      <c r="J36" s="5"/>
      <c r="K36" s="5"/>
      <c r="L36" s="5"/>
      <c r="M36" s="5"/>
      <c r="N36" s="5"/>
      <c r="O36" s="7"/>
      <c r="P36" s="7"/>
      <c r="Q36" s="7"/>
      <c r="R36" s="7"/>
    </row>
    <row r="37" spans="1:18" x14ac:dyDescent="0.55000000000000004">
      <c r="A37" s="4"/>
      <c r="B37" s="4"/>
      <c r="C37" s="4">
        <f t="shared" ref="C37" si="23">C36</f>
        <v>9</v>
      </c>
      <c r="D37" s="4" t="str">
        <f t="shared" si="0"/>
        <v>9</v>
      </c>
      <c r="E37" s="4">
        <f t="shared" ref="E37" si="24">E36+1</f>
        <v>2</v>
      </c>
      <c r="F37" s="5"/>
      <c r="G37" s="5"/>
      <c r="H37" s="5"/>
      <c r="I37" s="5"/>
      <c r="J37" s="5"/>
      <c r="K37" s="5"/>
      <c r="L37" s="5"/>
      <c r="M37" s="5"/>
      <c r="N37" s="5"/>
      <c r="O37" s="7"/>
      <c r="P37" s="7"/>
      <c r="Q37" s="7"/>
      <c r="R37" s="7"/>
    </row>
    <row r="38" spans="1:18" x14ac:dyDescent="0.55000000000000004">
      <c r="A38" s="4"/>
      <c r="B38" s="4"/>
      <c r="C38" s="4">
        <f t="shared" si="8"/>
        <v>9</v>
      </c>
      <c r="D38" s="4" t="str">
        <f t="shared" si="0"/>
        <v>9</v>
      </c>
      <c r="E38" s="4">
        <f t="shared" si="9"/>
        <v>3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8"/>
        <v>9</v>
      </c>
      <c r="D39" s="4" t="str">
        <f t="shared" si="0"/>
        <v>9</v>
      </c>
      <c r="E39" s="4">
        <f t="shared" si="9"/>
        <v>4</v>
      </c>
      <c r="F39" s="5"/>
      <c r="G39" s="5"/>
      <c r="H39" s="5"/>
      <c r="I39" s="5"/>
      <c r="J39" s="5"/>
      <c r="K39" s="13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si="8"/>
        <v>9</v>
      </c>
      <c r="D40" s="4" t="str">
        <f t="shared" si="0"/>
        <v>9</v>
      </c>
      <c r="E40" s="4">
        <f t="shared" si="9"/>
        <v>5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ref="C41" si="25">C36+1</f>
        <v>10</v>
      </c>
      <c r="D41" s="4" t="str">
        <f t="shared" si="0"/>
        <v>10</v>
      </c>
      <c r="E41" s="4">
        <f t="shared" ref="E41" si="26">E36</f>
        <v>1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ref="C42" si="27">C41</f>
        <v>10</v>
      </c>
      <c r="D42" s="4" t="str">
        <f t="shared" si="0"/>
        <v>10</v>
      </c>
      <c r="E42" s="4">
        <f t="shared" ref="E42" si="28">E41+1</f>
        <v>2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8"/>
        <v>10</v>
      </c>
      <c r="D43" s="4" t="str">
        <f t="shared" si="0"/>
        <v>10</v>
      </c>
      <c r="E43" s="4">
        <f t="shared" si="9"/>
        <v>3</v>
      </c>
      <c r="F43" s="5"/>
      <c r="G43" s="5"/>
      <c r="H43" s="5"/>
      <c r="I43" s="5"/>
      <c r="J43" s="5"/>
      <c r="K43" s="5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8"/>
        <v>10</v>
      </c>
      <c r="D44" s="4" t="str">
        <f t="shared" si="0"/>
        <v>10</v>
      </c>
      <c r="E44" s="4">
        <f t="shared" si="9"/>
        <v>4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8"/>
        <v>10</v>
      </c>
      <c r="D45" s="4" t="str">
        <f t="shared" si="0"/>
        <v>10</v>
      </c>
      <c r="E45" s="4">
        <f t="shared" si="9"/>
        <v>5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ref="C46" si="29">C41+1</f>
        <v>11</v>
      </c>
      <c r="D46" s="4" t="str">
        <f t="shared" si="0"/>
        <v>11</v>
      </c>
      <c r="E46" s="4">
        <f t="shared" ref="E46" si="30">E41</f>
        <v>1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ref="C47" si="31">C46</f>
        <v>11</v>
      </c>
      <c r="D47" s="4" t="str">
        <f t="shared" si="0"/>
        <v>11</v>
      </c>
      <c r="E47" s="4">
        <f t="shared" ref="E47" si="32">E46+1</f>
        <v>2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8"/>
        <v>11</v>
      </c>
      <c r="D48" s="4" t="str">
        <f t="shared" si="0"/>
        <v>11</v>
      </c>
      <c r="E48" s="4">
        <f t="shared" si="9"/>
        <v>3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8"/>
        <v>11</v>
      </c>
      <c r="D49" s="4" t="str">
        <f t="shared" si="0"/>
        <v>11</v>
      </c>
      <c r="E49" s="4">
        <f t="shared" si="9"/>
        <v>4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si="8"/>
        <v>11</v>
      </c>
      <c r="D50" s="4" t="str">
        <f t="shared" si="0"/>
        <v>11</v>
      </c>
      <c r="E50" s="4">
        <f t="shared" si="9"/>
        <v>5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ref="C51" si="33">C46+1</f>
        <v>12</v>
      </c>
      <c r="D51" s="4" t="str">
        <f t="shared" si="0"/>
        <v>12</v>
      </c>
      <c r="E51" s="4">
        <f t="shared" ref="E51" si="34">E46</f>
        <v>1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5">C51</f>
        <v>12</v>
      </c>
      <c r="D52" s="4" t="str">
        <f t="shared" si="0"/>
        <v>12</v>
      </c>
      <c r="E52" s="4">
        <f t="shared" ref="E52" si="36">E51+1</f>
        <v>2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8"/>
        <v>12</v>
      </c>
      <c r="D53" s="4" t="str">
        <f t="shared" si="0"/>
        <v>12</v>
      </c>
      <c r="E53" s="4">
        <f t="shared" si="9"/>
        <v>3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8"/>
        <v>12</v>
      </c>
      <c r="D54" s="4" t="str">
        <f t="shared" si="0"/>
        <v>12</v>
      </c>
      <c r="E54" s="4">
        <f t="shared" si="9"/>
        <v>4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8"/>
        <v>12</v>
      </c>
      <c r="D55" s="4" t="str">
        <f t="shared" si="0"/>
        <v>12</v>
      </c>
      <c r="E55" s="4">
        <f t="shared" si="9"/>
        <v>5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ref="C56:C86" si="37">C51+1</f>
        <v>13</v>
      </c>
      <c r="D56" s="4" t="str">
        <f t="shared" si="0"/>
        <v>13</v>
      </c>
      <c r="E56" s="4">
        <f t="shared" ref="E56" si="38">E51</f>
        <v>1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:C87" si="39">C56</f>
        <v>13</v>
      </c>
      <c r="D57" s="4" t="str">
        <f t="shared" si="0"/>
        <v>13</v>
      </c>
      <c r="E57" s="4">
        <f t="shared" ref="E57" si="40">E56+1</f>
        <v>2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8"/>
        <v>13</v>
      </c>
      <c r="D58" s="4" t="str">
        <f t="shared" si="0"/>
        <v>13</v>
      </c>
      <c r="E58" s="4">
        <f t="shared" si="9"/>
        <v>3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8"/>
        <v>13</v>
      </c>
      <c r="D59" s="4" t="str">
        <f t="shared" si="0"/>
        <v>13</v>
      </c>
      <c r="E59" s="4">
        <f t="shared" si="9"/>
        <v>4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8"/>
        <v>13</v>
      </c>
      <c r="D60" s="4" t="str">
        <f t="shared" si="0"/>
        <v>13</v>
      </c>
      <c r="E60" s="4">
        <f t="shared" si="9"/>
        <v>5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37"/>
        <v>14</v>
      </c>
      <c r="D61" s="4" t="str">
        <f t="shared" ref="D61:D90" si="41">B61&amp;C61</f>
        <v>14</v>
      </c>
      <c r="E61" s="4">
        <f t="shared" ref="E61" si="42">E56</f>
        <v>1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39"/>
        <v>14</v>
      </c>
      <c r="D62" s="4" t="str">
        <f t="shared" si="41"/>
        <v>14</v>
      </c>
      <c r="E62" s="4">
        <f t="shared" ref="E62" si="43">E61+1</f>
        <v>2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8"/>
        <v>14</v>
      </c>
      <c r="D63" s="4" t="str">
        <f t="shared" si="41"/>
        <v>14</v>
      </c>
      <c r="E63" s="4">
        <f t="shared" si="9"/>
        <v>3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8"/>
        <v>14</v>
      </c>
      <c r="D64" s="4" t="str">
        <f t="shared" si="41"/>
        <v>14</v>
      </c>
      <c r="E64" s="4">
        <f t="shared" si="9"/>
        <v>4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8"/>
        <v>14</v>
      </c>
      <c r="D65" s="4" t="str">
        <f t="shared" si="41"/>
        <v>14</v>
      </c>
      <c r="E65" s="4">
        <f t="shared" si="9"/>
        <v>5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37"/>
        <v>15</v>
      </c>
      <c r="D66" s="4" t="str">
        <f t="shared" si="41"/>
        <v>15</v>
      </c>
      <c r="E66" s="4">
        <f t="shared" ref="E66" si="44">E61</f>
        <v>1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39"/>
        <v>15</v>
      </c>
      <c r="D67" s="4" t="str">
        <f t="shared" si="41"/>
        <v>15</v>
      </c>
      <c r="E67" s="4">
        <f t="shared" ref="E67" si="45">E66+1</f>
        <v>2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8"/>
        <v>15</v>
      </c>
      <c r="D68" s="4" t="str">
        <f t="shared" si="41"/>
        <v>15</v>
      </c>
      <c r="E68" s="4">
        <f t="shared" si="9"/>
        <v>3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8"/>
        <v>15</v>
      </c>
      <c r="D69" s="4" t="str">
        <f t="shared" si="41"/>
        <v>15</v>
      </c>
      <c r="E69" s="4">
        <f t="shared" si="9"/>
        <v>4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8"/>
        <v>15</v>
      </c>
      <c r="D70" s="4" t="str">
        <f t="shared" si="41"/>
        <v>15</v>
      </c>
      <c r="E70" s="4">
        <f t="shared" si="9"/>
        <v>5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37"/>
        <v>16</v>
      </c>
      <c r="D71" s="4" t="str">
        <f t="shared" si="41"/>
        <v>16</v>
      </c>
      <c r="E71" s="4">
        <f t="shared" ref="E71" si="46">E66</f>
        <v>1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39"/>
        <v>16</v>
      </c>
      <c r="D72" s="4" t="str">
        <f t="shared" si="41"/>
        <v>16</v>
      </c>
      <c r="E72" s="4">
        <f t="shared" ref="E72:E90" si="47">E71+1</f>
        <v>2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8"/>
        <v>16</v>
      </c>
      <c r="D73" s="4" t="str">
        <f t="shared" si="41"/>
        <v>16</v>
      </c>
      <c r="E73" s="4">
        <f t="shared" si="47"/>
        <v>3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8"/>
        <v>16</v>
      </c>
      <c r="D74" s="4" t="str">
        <f t="shared" si="41"/>
        <v>16</v>
      </c>
      <c r="E74" s="4">
        <f t="shared" si="47"/>
        <v>4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8"/>
        <v>16</v>
      </c>
      <c r="D75" s="4" t="str">
        <f t="shared" si="41"/>
        <v>16</v>
      </c>
      <c r="E75" s="4">
        <f t="shared" si="47"/>
        <v>5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37"/>
        <v>17</v>
      </c>
      <c r="D76" s="4" t="str">
        <f t="shared" si="41"/>
        <v>17</v>
      </c>
      <c r="E76" s="4">
        <f t="shared" ref="E76" si="48">E71</f>
        <v>1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39"/>
        <v>17</v>
      </c>
      <c r="D77" s="4" t="str">
        <f t="shared" si="41"/>
        <v>17</v>
      </c>
      <c r="E77" s="4">
        <f t="shared" ref="E77" si="49">E76+1</f>
        <v>2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8"/>
        <v>17</v>
      </c>
      <c r="D78" s="4" t="str">
        <f t="shared" si="41"/>
        <v>17</v>
      </c>
      <c r="E78" s="4">
        <f t="shared" si="47"/>
        <v>3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8"/>
        <v>17</v>
      </c>
      <c r="D79" s="4" t="str">
        <f t="shared" si="41"/>
        <v>17</v>
      </c>
      <c r="E79" s="4">
        <f t="shared" si="47"/>
        <v>4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8"/>
        <v>17</v>
      </c>
      <c r="D80" s="4" t="str">
        <f t="shared" si="41"/>
        <v>17</v>
      </c>
      <c r="E80" s="4">
        <f t="shared" si="47"/>
        <v>5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37"/>
        <v>18</v>
      </c>
      <c r="D81" s="4" t="str">
        <f t="shared" si="41"/>
        <v>18</v>
      </c>
      <c r="E81" s="4">
        <f t="shared" ref="E81" si="50">E76</f>
        <v>1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39"/>
        <v>18</v>
      </c>
      <c r="D82" s="4" t="str">
        <f t="shared" si="41"/>
        <v>18</v>
      </c>
      <c r="E82" s="4">
        <f t="shared" ref="E82" si="51">E81+1</f>
        <v>2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8"/>
        <v>18</v>
      </c>
      <c r="D83" s="4" t="str">
        <f t="shared" si="41"/>
        <v>18</v>
      </c>
      <c r="E83" s="4">
        <f t="shared" si="47"/>
        <v>3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8"/>
        <v>18</v>
      </c>
      <c r="D84" s="4" t="str">
        <f t="shared" si="41"/>
        <v>18</v>
      </c>
      <c r="E84" s="4">
        <f t="shared" si="47"/>
        <v>4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8"/>
        <v>18</v>
      </c>
      <c r="D85" s="4" t="str">
        <f t="shared" si="41"/>
        <v>18</v>
      </c>
      <c r="E85" s="4">
        <f t="shared" si="47"/>
        <v>5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37"/>
        <v>19</v>
      </c>
      <c r="D86" s="4" t="str">
        <f t="shared" si="41"/>
        <v>19</v>
      </c>
      <c r="E86" s="4">
        <f t="shared" ref="E86" si="52">E81</f>
        <v>1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39"/>
        <v>19</v>
      </c>
      <c r="D87" s="4" t="str">
        <f t="shared" si="41"/>
        <v>19</v>
      </c>
      <c r="E87" s="4">
        <f t="shared" ref="E87" si="53">E86+1</f>
        <v>2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8"/>
        <v>19</v>
      </c>
      <c r="D88" s="4" t="str">
        <f t="shared" si="41"/>
        <v>19</v>
      </c>
      <c r="E88" s="4">
        <f t="shared" si="47"/>
        <v>3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8"/>
        <v>19</v>
      </c>
      <c r="D89" s="4" t="str">
        <f t="shared" si="41"/>
        <v>19</v>
      </c>
      <c r="E89" s="4">
        <f t="shared" si="47"/>
        <v>4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8"/>
        <v>19</v>
      </c>
      <c r="D90" s="4" t="str">
        <f t="shared" si="41"/>
        <v>19</v>
      </c>
      <c r="E90" s="4">
        <f t="shared" si="47"/>
        <v>5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15"/>
      <c r="B91" s="15"/>
      <c r="C91" s="15"/>
      <c r="D91" s="15"/>
      <c r="E91" s="15"/>
      <c r="F91" s="16"/>
      <c r="G91" s="16"/>
      <c r="H91" s="16"/>
      <c r="I91" s="16"/>
      <c r="J91" s="16"/>
      <c r="K91" s="16"/>
      <c r="L91" s="16"/>
      <c r="M91" s="16"/>
      <c r="N91" s="16"/>
      <c r="O91" s="17"/>
      <c r="P91" s="17"/>
      <c r="Q91" s="17"/>
      <c r="R91" s="17"/>
    </row>
    <row r="93" spans="1:18" x14ac:dyDescent="0.55000000000000004">
      <c r="A93" t="s">
        <v>9</v>
      </c>
      <c r="F93" t="s">
        <v>8</v>
      </c>
    </row>
    <row r="94" spans="1:18" x14ac:dyDescent="0.55000000000000004">
      <c r="A94">
        <f>MAX(A$2:A$91)</f>
        <v>0</v>
      </c>
      <c r="F94">
        <f>MAX(F$2:F$91)</f>
        <v>0</v>
      </c>
    </row>
    <row r="95" spans="1:18" x14ac:dyDescent="0.55000000000000004">
      <c r="A95" t="s">
        <v>40</v>
      </c>
      <c r="D95" t="s">
        <v>14</v>
      </c>
      <c r="E95" t="s">
        <v>13</v>
      </c>
    </row>
    <row r="96" spans="1:18" x14ac:dyDescent="0.55000000000000004">
      <c r="A96">
        <f>ROW(A92)-ROW(A1)-1</f>
        <v>90</v>
      </c>
      <c r="D96">
        <f>COUNTIF(D$2:D$91,D95)</f>
        <v>0</v>
      </c>
      <c r="E96" s="25">
        <f>_xlfn.MAXIFS(E$2:E$91,$D$2:$D$91,E95)</f>
        <v>0</v>
      </c>
    </row>
    <row r="97" spans="4:5" x14ac:dyDescent="0.55000000000000004">
      <c r="D97" t="s">
        <v>12</v>
      </c>
      <c r="E97" t="s">
        <v>12</v>
      </c>
    </row>
    <row r="98" spans="4:5" x14ac:dyDescent="0.55000000000000004">
      <c r="D98">
        <f>COUNTIF(D$2:D$91,D97)</f>
        <v>0</v>
      </c>
      <c r="E98" s="25">
        <f>_xlfn.MAXIFS(E$2:E$91,$D$2:$D$91,E97)</f>
        <v>0</v>
      </c>
    </row>
  </sheetData>
  <autoFilter ref="A1:R90" xr:uid="{48D32264-F25D-40E9-9C76-26E43E79C8CC}">
    <sortState xmlns:xlrd2="http://schemas.microsoft.com/office/spreadsheetml/2017/richdata2" ref="A2:R90">
      <sortCondition ref="D1:D90"/>
    </sortState>
  </autoFilter>
  <phoneticPr fontId="1"/>
  <conditionalFormatting sqref="A2:R91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3" activePane="bottomRight" state="frozen"/>
      <selection activeCell="I12" sqref="I12"/>
      <selection pane="topRight" activeCell="I12" sqref="I12"/>
      <selection pane="bottomLeft" activeCell="I12" sqref="I12"/>
      <selection pane="bottomRight" activeCell="B14" sqref="B14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C:\tk\prj\hg-0025-0016\git\kv-x520\doc\[kv_script_conv_TP1_popup.xlsx]info_index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IFERROR(MATCH($G$3:$G$202&amp;$H$3:$H$202,info_index!$D$2:$D$91&amp;info_index!$E$2:$E$91,0),"")</f>
        <v>1</v>
      </c>
      <c r="K3" t="str" cm="1">
        <f t="array" aca="1" ref="K3:K202" ca="1">IF(LEN(_xlfn.ANCHORARRAY(J3)),INDEX(OFFSET(info_index!$H$2:$H$91,0,$B$23),MATCH($G$3:$G$202&amp;$H$3:$H$202,info_index!$D$2:$D$91&amp;info_index!$E$2:$E$91,0),1)&amp;"","")</f>
        <v>Return to origin operation</v>
      </c>
      <c r="L3" t="str" cm="1">
        <f t="array" aca="1" ref="L3:L202" ca="1">IF(LEN(_xlfn.ANCHORARRAY($J3)),IF(LEN(_xlfn.ANCHORARRAY(K3)),_xlfn.ANCHORARRAY(K3),"unknown"),"")</f>
        <v>Return to origin operation</v>
      </c>
      <c r="N3" t="str" cm="1">
        <f t="array" aca="1" ref="N3:N202" ca="1">IF(LEN(_xlfn.ANCHORARRAY(L3)),"【"&amp;G3:G202&amp;H3:H202&amp;"】 "&amp;_xlfn.ANCHORARRAY(L3),"")</f>
        <v>【11】 Return to origin operation</v>
      </c>
      <c r="O3" t="str" cm="1">
        <f t="array" ref="O3:O202">IFERROR(INDEX(info_index!$J$2:$J$91,MATCH($G$3:$G$202&amp;$H$3:$H$202,info_index!$D$2:$D$91&amp;info_index!$E$2:$E$91,0),1)&amp;"","")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IF(LEN(_xlfn.ANCHORARRAY(J3)),INDEX(OFFSET(info_index!$L$2:$L$91,0,$B$23),MATCH($G$3:$G$202&amp;$H$3:$H$202,info_index!$D$2:$D$91&amp;info_index!$E$2:$E$91,0),1)&amp;"","")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//Return to origin operation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//Return to origin operation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//Return to origin operation
	IF uiInfoIdx = 1 THEN
		IF strInfoKey = 'name' THEN
			strRt	:= 'Return to origin operation';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//Return to origin operation
	IF uiInfoIdx = 1 THEN
		IF strInfoKey = 'name' THEN
			strRt	:= 'Return to origin operation';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Preparation for supply operation</v>
      </c>
      <c r="L4" t="str">
        <f ca="1"/>
        <v>Preparation for supply operation</v>
      </c>
      <c r="N4" t="str">
        <f ca="1"/>
        <v>【12】 Preparation for supply operation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//Preparation for supply operation
	ELSIF uiInfoIdx = 2 THEN</v>
      </c>
      <c r="AC4" t="str">
        <f ca="1"/>
        <v xml:space="preserve">
	//Preparation for supply operation
	ELSIF uiInfoIdx = 2 THEN
		IF strInfoKey = 'name' THEN</v>
      </c>
      <c r="AD4" t="str">
        <f ca="1"/>
        <v xml:space="preserve">
	//Preparation for supply operation
	ELSIF uiInfoIdx = 2 THEN
		IF strInfoKey = 'name' THEN
			strRt	:= 'Preparation for supply operation';</v>
      </c>
      <c r="AE4" t="str">
        <f ca="1"/>
        <v xml:space="preserve">
	//Preparation for supply operation
	ELSIF uiInfoIdx = 2 THEN
		IF strInfoKey = 'name' THEN
			strRt	:= 'Preparation for supply operation';
		ELSIF strInfoKey = 'index_name' THEN</v>
      </c>
      <c r="AF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</v>
      </c>
      <c r="AG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</v>
      </c>
      <c r="AH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</v>
      </c>
      <c r="AI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</v>
      </c>
      <c r="AJ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</v>
      </c>
      <c r="AK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L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  <c r="AM4" t="str">
        <f ca="1"/>
        <v xml:space="preserve">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C:\tk\prj\hg-0025-0016\git\kv-x520\doc\[kv_script_conv_TP1_popup.xlsx]info_index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Cut operation</v>
      </c>
      <c r="L5" t="str">
        <f ca="1"/>
        <v>Cut operation</v>
      </c>
      <c r="N5" t="str">
        <f ca="1"/>
        <v>【13】 Cut operation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//Cut operation
	ELSIF uiInfoIdx = 3 THEN</v>
      </c>
      <c r="AC5" t="str">
        <f ca="1"/>
        <v xml:space="preserve">
	//Cut operation
	ELSIF uiInfoIdx = 3 THEN
		IF strInfoKey = 'name' THEN</v>
      </c>
      <c r="AD5" t="str">
        <f ca="1"/>
        <v xml:space="preserve">
	//Cut operation
	ELSIF uiInfoIdx = 3 THEN
		IF strInfoKey = 'name' THEN
			strRt	:= 'Cut operation';</v>
      </c>
      <c r="AE5" t="str">
        <f ca="1"/>
        <v xml:space="preserve">
	//Cut operation
	ELSIF uiInfoIdx = 3 THEN
		IF strInfoKey = 'name' THEN
			strRt	:= 'Cut operation';
		ELSIF strInfoKey = 'index_name' THEN</v>
      </c>
      <c r="AF5" t="str">
        <f ca="1"/>
        <v xml:space="preserve">
	//Cut operation
	ELSIF uiInfoIdx = 3 THEN
		IF strInfoKey = 'name' THEN
			strRt	:= 'Cut operation';
		ELSIF strInfoKey = 'index_name' THEN
			strRt	:= '【13】 Cut operation';</v>
      </c>
      <c r="AG5" t="str">
        <f ca="1"/>
        <v xml:space="preserve">
	//Cut operation
	ELSIF uiInfoIdx = 3 THEN
		IF strInfoKey = 'name' THEN
			strRt	:= 'Cut operation';
		ELSIF strInfoKey = 'index_name' THEN
			strRt	:= '【13】 Cut operation';
		ELSIF strInfoKey = 'model' THEN</v>
      </c>
      <c r="AH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</v>
      </c>
      <c r="AI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</v>
      </c>
      <c r="AJ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</v>
      </c>
      <c r="AK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L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  <c r="AM5" t="str">
        <f ca="1"/>
        <v xml:space="preserve">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 t="str">
        <v/>
      </c>
      <c r="K6" t="str">
        <f ca="1"/>
        <v/>
      </c>
      <c r="L6" t="str">
        <f ca="1"/>
        <v/>
      </c>
      <c r="N6" t="str">
        <f ca="1"/>
        <v/>
      </c>
      <c r="O6" t="str">
        <v/>
      </c>
      <c r="P6" t="str">
        <v/>
      </c>
      <c r="Q6" t="str">
        <f ca="1"/>
        <v/>
      </c>
      <c r="R6" t="str">
        <f ca="1"/>
        <v/>
      </c>
      <c r="Z6" t="str">
        <f ca="1"/>
        <v/>
      </c>
      <c r="AA6" t="str">
        <f ca="1"/>
        <v/>
      </c>
      <c r="AB6" t="str">
        <f ca="1"/>
        <v/>
      </c>
      <c r="AC6" t="str">
        <f ca="1"/>
        <v/>
      </c>
      <c r="AD6" t="str">
        <f ca="1"/>
        <v/>
      </c>
      <c r="AE6" t="str">
        <f ca="1"/>
        <v/>
      </c>
      <c r="AF6" t="str">
        <f ca="1"/>
        <v/>
      </c>
      <c r="AG6" t="str">
        <f ca="1"/>
        <v/>
      </c>
      <c r="AH6" t="str">
        <f ca="1"/>
        <v/>
      </c>
      <c r="AI6" t="str">
        <f ca="1"/>
        <v/>
      </c>
      <c r="AJ6" t="str">
        <f ca="1"/>
        <v/>
      </c>
      <c r="AK6" t="str">
        <f ca="1"/>
        <v/>
      </c>
      <c r="AL6" t="str">
        <f ca="1"/>
        <v/>
      </c>
      <c r="AM6" t="str">
        <f ca="1"/>
        <v/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4</v>
      </c>
      <c r="K8" t="str">
        <f ca="1"/>
        <v>Start supply operation</v>
      </c>
      <c r="L8" t="str">
        <f ca="1"/>
        <v>Start supply operation</v>
      </c>
      <c r="N8" t="str">
        <f ca="1"/>
        <v>【16】 Start supply operation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//Start supply operation
	ELSIF uiInfoIdx = 6 THEN</v>
      </c>
      <c r="AC8" t="str">
        <f ca="1"/>
        <v xml:space="preserve">
	//Start supply operation
	ELSIF uiInfoIdx = 6 THEN
		IF strInfoKey = 'name' THEN</v>
      </c>
      <c r="AD8" t="str">
        <f ca="1"/>
        <v xml:space="preserve">
	//Start supply operation
	ELSIF uiInfoIdx = 6 THEN
		IF strInfoKey = 'name' THEN
			strRt	:= 'Start supply operation';</v>
      </c>
      <c r="AE8" t="str">
        <f ca="1"/>
        <v xml:space="preserve">
	//Start supply operation
	ELSIF uiInfoIdx = 6 THEN
		IF strInfoKey = 'name' THEN
			strRt	:= 'Start supply operation';
		ELSIF strInfoKey = 'index_name' THEN</v>
      </c>
      <c r="AF8" t="str">
        <f ca="1"/>
        <v xml:space="preserve">
	//Start supply operation
	ELSIF uiInfoIdx = 6 THEN
		IF strInfoKey = 'name' THEN
			strRt	:= 'Start supply operation';
		ELSIF strInfoKey = 'index_name' THEN
			strRt	:= '【16】 Start supply operation';</v>
      </c>
      <c r="AG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</v>
      </c>
      <c r="AH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</v>
      </c>
      <c r="AI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</v>
      </c>
      <c r="AJ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</v>
      </c>
      <c r="AK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L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  <c r="AM8" t="str">
        <f ca="1"/>
        <v xml:space="preserve">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5</v>
      </c>
      <c r="K9" t="str">
        <f ca="1"/>
        <v>Supply operation</v>
      </c>
      <c r="L9" t="str">
        <f ca="1"/>
        <v>Supply operation</v>
      </c>
      <c r="N9" t="str">
        <f ca="1"/>
        <v>【17】 Supply operation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//Supply operation
	ELSIF uiInfoIdx = 7 THEN</v>
      </c>
      <c r="AC9" t="str">
        <f ca="1"/>
        <v xml:space="preserve">
	//Supply operation
	ELSIF uiInfoIdx = 7 THEN
		IF strInfoKey = 'name' THEN</v>
      </c>
      <c r="AD9" t="str">
        <f ca="1"/>
        <v xml:space="preserve">
	//Supply operation
	ELSIF uiInfoIdx = 7 THEN
		IF strInfoKey = 'name' THEN
			strRt	:= 'Supply operation';</v>
      </c>
      <c r="AE9" t="str">
        <f ca="1"/>
        <v xml:space="preserve">
	//Supply operation
	ELSIF uiInfoIdx = 7 THEN
		IF strInfoKey = 'name' THEN
			strRt	:= 'Supply operation';
		ELSIF strInfoKey = 'index_name' THEN</v>
      </c>
      <c r="AF9" t="str">
        <f ca="1"/>
        <v xml:space="preserve">
	//Supply operation
	ELSIF uiInfoIdx = 7 THEN
		IF strInfoKey = 'name' THEN
			strRt	:= 'Supply operation';
		ELSIF strInfoKey = 'index_name' THEN
			strRt	:= '【17】 Supply operation';</v>
      </c>
      <c r="AG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</v>
      </c>
      <c r="AH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</v>
      </c>
      <c r="AI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</v>
      </c>
      <c r="AJ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</v>
      </c>
      <c r="AK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L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  <c r="AM9" t="str">
        <f ca="1"/>
        <v xml:space="preserve">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C:\tk\prj\hg-0025-0016\git\kv-x520\doc\[kv_script_conv_TP1_popup.xlsx]info_index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6</v>
      </c>
      <c r="K13" t="str">
        <f ca="1"/>
        <v>Return to origin operation</v>
      </c>
      <c r="L13" t="str">
        <f ca="1"/>
        <v>Return to origin operation</v>
      </c>
      <c r="N13" t="str">
        <f ca="1"/>
        <v>【21】 Return to origin operation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//Return to origin operation
	IF uiInfoIdx = 1 THEN</v>
      </c>
      <c r="AC13" t="str">
        <f ca="1"/>
        <v xml:space="preserve">
//2
ELSIF strInfoType = 2 THEN
	//Return to origin operation
	IF uiInfoIdx = 1 THEN
		IF strInfoKey = 'name' THEN</v>
      </c>
      <c r="AD13" t="str">
        <f ca="1"/>
        <v xml:space="preserve">
//2
ELSIF strInfoType = 2 THEN
	//Return to origin operation
	IF uiInfoIdx = 1 THEN
		IF strInfoKey = 'name' THEN
			strRt	:= 'Return to origin operation';</v>
      </c>
      <c r="AE13" t="str">
        <f ca="1"/>
        <v xml:space="preserve">
//2
ELSIF strInfoType = 2 THEN
	//Return to origin operation
	IF uiInfoIdx = 1 THEN
		IF strInfoKey = 'name' THEN
			strRt	:= 'Return to origin operation';
		ELSIF strInfoKey = 'index_name' THEN</v>
      </c>
      <c r="AF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</v>
      </c>
      <c r="AG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</v>
      </c>
      <c r="AH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</v>
      </c>
      <c r="AI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</v>
      </c>
      <c r="AJ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</v>
      </c>
      <c r="AK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L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  <c r="AM13" t="str">
        <f ca="1"/>
        <v xml:space="preserve">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7</v>
      </c>
      <c r="K14" t="str">
        <f ca="1"/>
        <v>Preparation for supply operation</v>
      </c>
      <c r="L14" t="str">
        <f ca="1"/>
        <v>Preparation for supply operation</v>
      </c>
      <c r="N14" t="str">
        <f ca="1"/>
        <v>【22】 Preparation for supply operation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//Preparation for supply operation
	ELSIF uiInfoIdx = 2 THEN</v>
      </c>
      <c r="AC14" t="str">
        <f ca="1"/>
        <v xml:space="preserve">
	//Preparation for supply operation
	ELSIF uiInfoIdx = 2 THEN
		IF strInfoKey = 'name' THEN</v>
      </c>
      <c r="AD14" t="str">
        <f ca="1"/>
        <v xml:space="preserve">
	//Preparation for supply operation
	ELSIF uiInfoIdx = 2 THEN
		IF strInfoKey = 'name' THEN
			strRt	:= 'Preparation for supply operation';</v>
      </c>
      <c r="AE14" t="str">
        <f ca="1"/>
        <v xml:space="preserve">
	//Preparation for supply operation
	ELSIF uiInfoIdx = 2 THEN
		IF strInfoKey = 'name' THEN
			strRt	:= 'Preparation for supply operation';
		ELSIF strInfoKey = 'index_name' THEN</v>
      </c>
      <c r="AF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</v>
      </c>
      <c r="AG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</v>
      </c>
      <c r="AH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</v>
      </c>
      <c r="AI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</v>
      </c>
      <c r="AJ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</v>
      </c>
      <c r="AK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L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  <c r="AM14" t="str">
        <f ca="1"/>
        <v xml:space="preserve">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8</v>
      </c>
      <c r="K15" t="str">
        <f ca="1"/>
        <v>Start supply operation</v>
      </c>
      <c r="L15" t="str">
        <f ca="1"/>
        <v>Start supply operation</v>
      </c>
      <c r="N15" t="str">
        <f ca="1"/>
        <v>【23】 Start supply operation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//Start supply operation
	ELSIF uiInfoIdx = 3 THEN</v>
      </c>
      <c r="AC15" t="str">
        <f ca="1"/>
        <v xml:space="preserve">
	//Start supply operation
	ELSIF uiInfoIdx = 3 THEN
		IF strInfoKey = 'name' THEN</v>
      </c>
      <c r="AD15" t="str">
        <f ca="1"/>
        <v xml:space="preserve">
	//Start supply operation
	ELSIF uiInfoIdx = 3 THEN
		IF strInfoKey = 'name' THEN
			strRt	:= 'Start supply operation';</v>
      </c>
      <c r="AE15" t="str">
        <f ca="1"/>
        <v xml:space="preserve">
	//Start supply operation
	ELSIF uiInfoIdx = 3 THEN
		IF strInfoKey = 'name' THEN
			strRt	:= 'Start supply operation';
		ELSIF strInfoKey = 'index_name' THEN</v>
      </c>
      <c r="AF15" t="str">
        <f ca="1"/>
        <v xml:space="preserve">
	//Start supply operation
	ELSIF uiInfoIdx = 3 THEN
		IF strInfoKey = 'name' THEN
			strRt	:= 'Start supply operation';
		ELSIF strInfoKey = 'index_name' THEN
			strRt	:= '【23】 Start supply operation';</v>
      </c>
      <c r="AG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</v>
      </c>
      <c r="AH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</v>
      </c>
      <c r="AI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</v>
      </c>
      <c r="AJ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</v>
      </c>
      <c r="AK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L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  <c r="AM15" t="str">
        <f ca="1"/>
        <v xml:space="preserve">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9</v>
      </c>
      <c r="K16" t="str">
        <f ca="1"/>
        <v>Supply operation</v>
      </c>
      <c r="L16" t="str">
        <f ca="1"/>
        <v>Supply operation</v>
      </c>
      <c r="N16" t="str">
        <f ca="1"/>
        <v>【24】 Supply operation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//Supply operation
	ELSIF uiInfoIdx = 4 THEN</v>
      </c>
      <c r="AC16" t="str">
        <f ca="1"/>
        <v xml:space="preserve">
	//Supply operation
	ELSIF uiInfoIdx = 4 THEN
		IF strInfoKey = 'name' THEN</v>
      </c>
      <c r="AD16" t="str">
        <f ca="1"/>
        <v xml:space="preserve">
	//Supply operation
	ELSIF uiInfoIdx = 4 THEN
		IF strInfoKey = 'name' THEN
			strRt	:= 'Supply operation';</v>
      </c>
      <c r="AE16" t="str">
        <f ca="1"/>
        <v xml:space="preserve">
	//Supply operation
	ELSIF uiInfoIdx = 4 THEN
		IF strInfoKey = 'name' THEN
			strRt	:= 'Supply operation';
		ELSIF strInfoKey = 'index_name' THEN</v>
      </c>
      <c r="AF16" t="str">
        <f ca="1"/>
        <v xml:space="preserve">
	//Supply operation
	ELSIF uiInfoIdx = 4 THEN
		IF strInfoKey = 'name' THEN
			strRt	:= 'Supply operation';
		ELSIF strInfoKey = 'index_name' THEN
			strRt	:= '【24】 Supply operation';</v>
      </c>
      <c r="AG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</v>
      </c>
      <c r="AH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</v>
      </c>
      <c r="AI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</v>
      </c>
      <c r="AJ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</v>
      </c>
      <c r="AK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L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  <c r="AM16" t="str">
        <f ca="1"/>
        <v xml:space="preserve">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10</v>
      </c>
      <c r="K17" t="str">
        <f ca="1"/>
        <v>Cut operation</v>
      </c>
      <c r="L17" t="str">
        <f ca="1"/>
        <v>Cut operation</v>
      </c>
      <c r="N17" t="str">
        <f ca="1"/>
        <v>【25】 Cut operation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//Cut operation
	ELSIF uiInfoIdx = 5 THEN</v>
      </c>
      <c r="AC17" t="str">
        <f ca="1"/>
        <v xml:space="preserve">
	//Cut operation
	ELSIF uiInfoIdx = 5 THEN
		IF strInfoKey = 'name' THEN</v>
      </c>
      <c r="AD17" t="str">
        <f ca="1"/>
        <v xml:space="preserve">
	//Cut operation
	ELSIF uiInfoIdx = 5 THEN
		IF strInfoKey = 'name' THEN
			strRt	:= 'Cut operation';</v>
      </c>
      <c r="AE17" t="str">
        <f ca="1"/>
        <v xml:space="preserve">
	//Cut operation
	ELSIF uiInfoIdx = 5 THEN
		IF strInfoKey = 'name' THEN
			strRt	:= 'Cut operation';
		ELSIF strInfoKey = 'index_name' THEN</v>
      </c>
      <c r="AF17" t="str">
        <f ca="1"/>
        <v xml:space="preserve">
	//Cut operation
	ELSIF uiInfoIdx = 5 THEN
		IF strInfoKey = 'name' THEN
			strRt	:= 'Cut operation';
		ELSIF strInfoKey = 'index_name' THEN
			strRt	:= '【25】 Cut operation';</v>
      </c>
      <c r="AG17" t="str">
        <f ca="1"/>
        <v xml:space="preserve">
	//Cut operation
	ELSIF uiInfoIdx = 5 THEN
		IF strInfoKey = 'name' THEN
			strRt	:= 'Cut operation';
		ELSIF strInfoKey = 'index_name' THEN
			strRt	:= '【25】 Cut operation';
		ELSIF strInfoKey = 'model' THEN</v>
      </c>
      <c r="AH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</v>
      </c>
      <c r="AI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</v>
      </c>
      <c r="AJ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</v>
      </c>
      <c r="AK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L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  <c r="AM17" t="str">
        <f ca="1"/>
        <v xml:space="preserve">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11</v>
      </c>
      <c r="K18" t="str">
        <f ca="1"/>
        <v>Supply confirmation operation</v>
      </c>
      <c r="L18" t="str">
        <f ca="1"/>
        <v>Supply confirmation operation</v>
      </c>
      <c r="N18" t="str">
        <f ca="1"/>
        <v>【26】 Supply confirmation operation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//Supply confirmation operation
	ELSIF uiInfoIdx = 6 THEN</v>
      </c>
      <c r="AC18" t="str">
        <f ca="1"/>
        <v xml:space="preserve">
	//Supply confirmation operation
	ELSIF uiInfoIdx = 6 THEN
		IF strInfoKey = 'name' THEN</v>
      </c>
      <c r="AD18" t="str">
        <f ca="1"/>
        <v xml:space="preserve">
	//Supply confirmation operation
	ELSIF uiInfoIdx = 6 THEN
		IF strInfoKey = 'name' THEN
			strRt	:= 'Supply confirmation operation';</v>
      </c>
      <c r="AE18" t="str">
        <f ca="1"/>
        <v xml:space="preserve">
	//Supply confirmation operation
	ELSIF uiInfoIdx = 6 THEN
		IF strInfoKey = 'name' THEN
			strRt	:= 'Supply confirmation operation';
		ELSIF strInfoKey = 'index_name' THEN</v>
      </c>
      <c r="AF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</v>
      </c>
      <c r="AG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</v>
      </c>
      <c r="AH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</v>
      </c>
      <c r="AI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</v>
      </c>
      <c r="AJ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</v>
      </c>
      <c r="AK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L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  <c r="AM18" t="str">
        <f ca="1"/>
        <v xml:space="preserve">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1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12</v>
      </c>
      <c r="K23" t="str">
        <f ca="1"/>
        <v>Home return operation</v>
      </c>
      <c r="L23" t="str">
        <f ca="1"/>
        <v>Home return operation</v>
      </c>
      <c r="N23" t="str">
        <f ca="1"/>
        <v>【31】 Home return operation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//Home return operation
	IF uiInfoIdx = 1 THEN</v>
      </c>
      <c r="AC23" t="str">
        <f ca="1"/>
        <v xml:space="preserve">
//3
ELSIF strInfoType = 3 THEN
	//Home return operation
	IF uiInfoIdx = 1 THEN
		IF strInfoKey = 'name' THEN</v>
      </c>
      <c r="AD23" t="str">
        <f ca="1"/>
        <v xml:space="preserve">
//3
ELSIF strInfoType = 3 THEN
	//Home return operation
	IF uiInfoIdx = 1 THEN
		IF strInfoKey = 'name' THEN
			strRt	:= 'Home return operation';</v>
      </c>
      <c r="AE23" t="str">
        <f ca="1"/>
        <v xml:space="preserve">
//3
ELSIF strInfoType = 3 THEN
	//Home return operation
	IF uiInfoIdx = 1 THEN
		IF strInfoKey = 'name' THEN
			strRt	:= 'Home return operation';
		ELSIF strInfoKey = 'index_name' THEN</v>
      </c>
      <c r="AF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</v>
      </c>
      <c r="AG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</v>
      </c>
      <c r="AH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</v>
      </c>
      <c r="AI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</v>
      </c>
      <c r="AJ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</v>
      </c>
      <c r="AK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L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  <c r="AM23" t="str">
        <f ca="1"/>
        <v xml:space="preserve">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13</v>
      </c>
      <c r="K24" t="str">
        <f ca="1"/>
        <v>Supply preparation operation</v>
      </c>
      <c r="L24" t="str">
        <f ca="1"/>
        <v>Supply preparation operation</v>
      </c>
      <c r="N24" t="str">
        <f ca="1"/>
        <v>【32】 Supply preparation operation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//Supply preparation operation
	ELSIF uiInfoIdx = 2 THEN</v>
      </c>
      <c r="AC24" t="str">
        <f ca="1"/>
        <v xml:space="preserve">
	//Supply preparation operation
	ELSIF uiInfoIdx = 2 THEN
		IF strInfoKey = 'name' THEN</v>
      </c>
      <c r="AD24" t="str">
        <f ca="1"/>
        <v xml:space="preserve">
	//Supply preparation operation
	ELSIF uiInfoIdx = 2 THEN
		IF strInfoKey = 'name' THEN
			strRt	:= 'Supply preparation operation';</v>
      </c>
      <c r="AE24" t="str">
        <f ca="1"/>
        <v xml:space="preserve">
	//Supply preparation operation
	ELSIF uiInfoIdx = 2 THEN
		IF strInfoKey = 'name' THEN
			strRt	:= 'Supply preparation operation';
		ELSIF strInfoKey = 'index_name' THEN</v>
      </c>
      <c r="AF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</v>
      </c>
      <c r="AG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</v>
      </c>
      <c r="AH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</v>
      </c>
      <c r="AI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</v>
      </c>
      <c r="AJ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</v>
      </c>
      <c r="AK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L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  <c r="AM24" t="str">
        <f ca="1"/>
        <v xml:space="preserve">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14</v>
      </c>
      <c r="K25" t="str">
        <f ca="1"/>
        <v>supply operation</v>
      </c>
      <c r="L25" t="str">
        <f ca="1"/>
        <v>supply operation</v>
      </c>
      <c r="N25" t="str">
        <f ca="1"/>
        <v>【33】 supply operation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//supply operation
	ELSIF uiInfoIdx = 3 THEN</v>
      </c>
      <c r="AC25" t="str">
        <f ca="1"/>
        <v xml:space="preserve">
	//supply operation
	ELSIF uiInfoIdx = 3 THEN
		IF strInfoKey = 'name' THEN</v>
      </c>
      <c r="AD25" t="str">
        <f ca="1"/>
        <v xml:space="preserve">
	//supply operation
	ELSIF uiInfoIdx = 3 THEN
		IF strInfoKey = 'name' THEN
			strRt	:= 'supply operation';</v>
      </c>
      <c r="AE25" t="str">
        <f ca="1"/>
        <v xml:space="preserve">
	//supply operation
	ELSIF uiInfoIdx = 3 THEN
		IF strInfoKey = 'name' THEN
			strRt	:= 'supply operation';
		ELSIF strInfoKey = 'index_name' THEN</v>
      </c>
      <c r="AF25" t="str">
        <f ca="1"/>
        <v xml:space="preserve">
	//supply operation
	ELSIF uiInfoIdx = 3 THEN
		IF strInfoKey = 'name' THEN
			strRt	:= 'supply operation';
		ELSIF strInfoKey = 'index_name' THEN
			strRt	:= '【33】 supply operation';</v>
      </c>
      <c r="AG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</v>
      </c>
      <c r="AH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</v>
      </c>
      <c r="AI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</v>
      </c>
      <c r="AJ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</v>
      </c>
      <c r="AK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L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  <c r="AM25" t="str">
        <f ca="1"/>
        <v xml:space="preserve">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 t="str">
        <v/>
      </c>
      <c r="K26" t="str">
        <f ca="1"/>
        <v/>
      </c>
      <c r="L26" t="str">
        <f ca="1"/>
        <v/>
      </c>
      <c r="N26" t="str">
        <f ca="1"/>
        <v/>
      </c>
      <c r="O26" t="str">
        <v/>
      </c>
      <c r="P26" t="str">
        <v/>
      </c>
      <c r="Q26" t="str">
        <f ca="1"/>
        <v/>
      </c>
      <c r="R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  <c r="AL26" t="str">
        <f ca="1"/>
        <v/>
      </c>
      <c r="AM26" t="str">
        <f ca="1"/>
        <v/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15</v>
      </c>
      <c r="K33" t="str">
        <f ca="1"/>
        <v>Home return operation</v>
      </c>
      <c r="L33" t="str">
        <f ca="1"/>
        <v>Home return operation</v>
      </c>
      <c r="N33" t="str">
        <f ca="1"/>
        <v>【41】 Home return operation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//Home return operation
	IF uiInfoIdx = 1 THEN</v>
      </c>
      <c r="AC33" t="str">
        <f ca="1"/>
        <v xml:space="preserve">
//4
ELSIF strInfoType = 4 THEN
	//Home return operation
	IF uiInfoIdx = 1 THEN
		IF strInfoKey = 'name' THEN</v>
      </c>
      <c r="AD33" t="str">
        <f ca="1"/>
        <v xml:space="preserve">
//4
ELSIF strInfoType = 4 THEN
	//Home return operation
	IF uiInfoIdx = 1 THEN
		IF strInfoKey = 'name' THEN
			strRt	:= 'Home return operation';</v>
      </c>
      <c r="AE33" t="str">
        <f ca="1"/>
        <v xml:space="preserve">
//4
ELSIF strInfoType = 4 THEN
	//Home return operation
	IF uiInfoIdx = 1 THEN
		IF strInfoKey = 'name' THEN
			strRt	:= 'Home return operation';
		ELSIF strInfoKey = 'index_name' THEN</v>
      </c>
      <c r="AF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</v>
      </c>
      <c r="AG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</v>
      </c>
      <c r="AH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</v>
      </c>
      <c r="AI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</v>
      </c>
      <c r="AJ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</v>
      </c>
      <c r="AK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L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  <c r="AM33" t="str">
        <f ca="1"/>
        <v xml:space="preserve">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16</v>
      </c>
      <c r="K34" t="str">
        <f ca="1"/>
        <v>Circumference gauge preset</v>
      </c>
      <c r="L34" t="str">
        <f ca="1"/>
        <v>Circumference gauge preset</v>
      </c>
      <c r="N34" t="str">
        <f ca="1"/>
        <v>【42】 Circumference gauge preset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//Circumference gauge preset
	ELSIF uiInfoIdx = 2 THEN</v>
      </c>
      <c r="AC34" t="str">
        <f ca="1"/>
        <v xml:space="preserve">
	//Circumference gauge preset
	ELSIF uiInfoIdx = 2 THEN
		IF strInfoKey = 'name' THEN</v>
      </c>
      <c r="AD34" t="str">
        <f ca="1"/>
        <v xml:space="preserve">
	//Circumference gauge preset
	ELSIF uiInfoIdx = 2 THEN
		IF strInfoKey = 'name' THEN
			strRt	:= 'Circumference gauge preset';</v>
      </c>
      <c r="AE34" t="str">
        <f ca="1"/>
        <v xml:space="preserve">
	//Circumference gauge preset
	ELSIF uiInfoIdx = 2 THEN
		IF strInfoKey = 'name' THEN
			strRt	:= 'Circumference gauge preset';
		ELSIF strInfoKey = 'index_name' THEN</v>
      </c>
      <c r="AF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</v>
      </c>
      <c r="AG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</v>
      </c>
      <c r="AH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</v>
      </c>
      <c r="AI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</v>
      </c>
      <c r="AJ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</v>
      </c>
      <c r="AK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L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  <c r="AM34" t="str">
        <f ca="1"/>
        <v xml:space="preserve">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17</v>
      </c>
      <c r="K35" t="str">
        <f ca="1"/>
        <v>Winding preparation operation</v>
      </c>
      <c r="L35" t="str">
        <f ca="1"/>
        <v>Winding preparation operation</v>
      </c>
      <c r="N35" t="str">
        <f ca="1"/>
        <v>【43】 Winding preparation operation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//Winding preparation operation
	ELSIF uiInfoIdx = 3 THEN</v>
      </c>
      <c r="AC35" t="str">
        <f ca="1"/>
        <v xml:space="preserve">
	//Winding preparation operation
	ELSIF uiInfoIdx = 3 THEN
		IF strInfoKey = 'name' THEN</v>
      </c>
      <c r="AD35" t="str">
        <f ca="1"/>
        <v xml:space="preserve">
	//Winding preparation operation
	ELSIF uiInfoIdx = 3 THEN
		IF strInfoKey = 'name' THEN
			strRt	:= 'Winding preparation operation';</v>
      </c>
      <c r="AE35" t="str">
        <f ca="1"/>
        <v xml:space="preserve">
	//Winding preparation operation
	ELSIF uiInfoIdx = 3 THEN
		IF strInfoKey = 'name' THEN
			strRt	:= 'Winding preparation operation';
		ELSIF strInfoKey = 'index_name' THEN</v>
      </c>
      <c r="AF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</v>
      </c>
      <c r="AG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</v>
      </c>
      <c r="AH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</v>
      </c>
      <c r="AI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</v>
      </c>
      <c r="AJ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</v>
      </c>
      <c r="AK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L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  <c r="AM35" t="str">
        <f ca="1"/>
        <v xml:space="preserve">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18</v>
      </c>
      <c r="K36" t="str">
        <f ca="1"/>
        <v>Winding operation</v>
      </c>
      <c r="L36" t="str">
        <f ca="1"/>
        <v>Winding operation</v>
      </c>
      <c r="N36" t="str">
        <f ca="1"/>
        <v>【44】 Winding operation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//Winding operation
	ELSIF uiInfoIdx = 4 THEN</v>
      </c>
      <c r="AC36" t="str">
        <f ca="1"/>
        <v xml:space="preserve">
	//Winding operation
	ELSIF uiInfoIdx = 4 THEN
		IF strInfoKey = 'name' THEN</v>
      </c>
      <c r="AD36" t="str">
        <f ca="1"/>
        <v xml:space="preserve">
	//Winding operation
	ELSIF uiInfoIdx = 4 THEN
		IF strInfoKey = 'name' THEN
			strRt	:= 'Winding operation';</v>
      </c>
      <c r="AE36" t="str">
        <f ca="1"/>
        <v xml:space="preserve">
	//Winding operation
	ELSIF uiInfoIdx = 4 THEN
		IF strInfoKey = 'name' THEN
			strRt	:= 'Winding operation';
		ELSIF strInfoKey = 'index_name' THEN</v>
      </c>
      <c r="AF36" t="str">
        <f ca="1"/>
        <v xml:space="preserve">
	//Winding operation
	ELSIF uiInfoIdx = 4 THEN
		IF strInfoKey = 'name' THEN
			strRt	:= 'Winding operation';
		ELSIF strInfoKey = 'index_name' THEN
			strRt	:= '【44】 Winding operation';</v>
      </c>
      <c r="AG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</v>
      </c>
      <c r="AH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</v>
      </c>
      <c r="AI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</v>
      </c>
      <c r="AJ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</v>
      </c>
      <c r="AK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L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  <c r="AM36" t="str">
        <f ca="1"/>
        <v xml:space="preserve">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19</v>
      </c>
      <c r="K37" t="str">
        <f ca="1"/>
        <v>Foil brazing operation</v>
      </c>
      <c r="L37" t="str">
        <f ca="1"/>
        <v>Foil brazing operation</v>
      </c>
      <c r="N37" t="str">
        <f ca="1"/>
        <v>【45】 Foil brazing operation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//Foil brazing operation
	ELSIF uiInfoIdx = 5 THEN</v>
      </c>
      <c r="AC37" t="str">
        <f ca="1"/>
        <v xml:space="preserve">
	//Foil brazing operation
	ELSIF uiInfoIdx = 5 THEN
		IF strInfoKey = 'name' THEN</v>
      </c>
      <c r="AD37" t="str">
        <f ca="1"/>
        <v xml:space="preserve">
	//Foil brazing operation
	ELSIF uiInfoIdx = 5 THEN
		IF strInfoKey = 'name' THEN
			strRt	:= 'Foil brazing operation';</v>
      </c>
      <c r="AE37" t="str">
        <f ca="1"/>
        <v xml:space="preserve">
	//Foil brazing operation
	ELSIF uiInfoIdx = 5 THEN
		IF strInfoKey = 'name' THEN
			strRt	:= 'Foil brazing operation';
		ELSIF strInfoKey = 'index_name' THEN</v>
      </c>
      <c r="AF37" t="str">
        <f ca="1"/>
        <v xml:space="preserve">
	//Foil brazing operation
	ELSIF uiInfoIdx = 5 THEN
		IF strInfoKey = 'name' THEN
			strRt	:= 'Foil brazing operation';
		ELSIF strInfoKey = 'index_name' THEN
			strRt	:= '【45】 Foil brazing operation';</v>
      </c>
      <c r="AG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</v>
      </c>
      <c r="AH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</v>
      </c>
      <c r="AI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</v>
      </c>
      <c r="AJ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</v>
      </c>
      <c r="AK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L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  <c r="AM37" t="str">
        <f ca="1"/>
        <v xml:space="preserve">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20</v>
      </c>
      <c r="K38" t="str">
        <f ca="1"/>
        <v>Circumference measurement operation</v>
      </c>
      <c r="L38" t="str">
        <f ca="1"/>
        <v>Circumference measurement operation</v>
      </c>
      <c r="N38" t="str">
        <f ca="1"/>
        <v>【46】 Circumference measurement operation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//Circumference measurement operation
	ELSIF uiInfoIdx = 6 THEN</v>
      </c>
      <c r="AC38" t="str">
        <f ca="1"/>
        <v xml:space="preserve">
	//Circumference measurement operation
	ELSIF uiInfoIdx = 6 THEN
		IF strInfoKey = 'name' THEN</v>
      </c>
      <c r="AD38" t="str">
        <f ca="1"/>
        <v xml:space="preserve">
	//Circumference measurement operation
	ELSIF uiInfoIdx = 6 THEN
		IF strInfoKey = 'name' THEN
			strRt	:= 'Circumference measurement operation';</v>
      </c>
      <c r="AE38" t="str">
        <f ca="1"/>
        <v xml:space="preserve">
	//Circumference measurement operation
	ELSIF uiInfoIdx = 6 THEN
		IF strInfoKey = 'name' THEN
			strRt	:= 'Circumference measurement operation';
		ELSIF strInfoKey = 'index_name' THEN</v>
      </c>
      <c r="AF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</v>
      </c>
      <c r="AG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</v>
      </c>
      <c r="AH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</v>
      </c>
      <c r="AI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</v>
      </c>
      <c r="AJ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</v>
      </c>
      <c r="AK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L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  <c r="AM38" t="str">
        <f ca="1"/>
        <v xml:space="preserve">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 t="str">
        <v/>
      </c>
      <c r="K39" t="str">
        <f ca="1"/>
        <v/>
      </c>
      <c r="L39" t="str">
        <f ca="1"/>
        <v/>
      </c>
      <c r="N39" t="str">
        <f ca="1"/>
        <v/>
      </c>
      <c r="O39" t="str">
        <v/>
      </c>
      <c r="P39" t="str">
        <v/>
      </c>
      <c r="Q39" t="str">
        <f ca="1"/>
        <v/>
      </c>
      <c r="R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  <c r="AL39" t="str">
        <f ca="1"/>
        <v/>
      </c>
      <c r="AM39" t="str">
        <f ca="1"/>
        <v/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21</v>
      </c>
      <c r="K43" t="str">
        <f ca="1"/>
        <v>Home return operation</v>
      </c>
      <c r="L43" t="str">
        <f ca="1"/>
        <v>Home return operation</v>
      </c>
      <c r="N43" t="str">
        <f ca="1"/>
        <v>【51】 Home return operation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//Home return operation
	IF uiInfoIdx = 1 THEN</v>
      </c>
      <c r="AC43" t="str">
        <f ca="1"/>
        <v xml:space="preserve">
//5
ELSIF strInfoType = 5 THEN
	//Home return operation
	IF uiInfoIdx = 1 THEN
		IF strInfoKey = 'name' THEN</v>
      </c>
      <c r="AD43" t="str">
        <f ca="1"/>
        <v xml:space="preserve">
//5
ELSIF strInfoType = 5 THEN
	//Home return operation
	IF uiInfoIdx = 1 THEN
		IF strInfoKey = 'name' THEN
			strRt	:= 'Home return operation';</v>
      </c>
      <c r="AE43" t="str">
        <f ca="1"/>
        <v xml:space="preserve">
//5
ELSIF strInfoType = 5 THEN
	//Home return operation
	IF uiInfoIdx = 1 THEN
		IF strInfoKey = 'name' THEN
			strRt	:= 'Home return operation';
		ELSIF strInfoKey = 'index_name' THEN</v>
      </c>
      <c r="AF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</v>
      </c>
      <c r="AG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</v>
      </c>
      <c r="AH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</v>
      </c>
      <c r="AI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</v>
      </c>
      <c r="AJ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</v>
      </c>
      <c r="AK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L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  <c r="AM43" t="str">
        <f ca="1"/>
        <v xml:space="preserve">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22</v>
      </c>
      <c r="K44" t="str">
        <f ca="1"/>
        <v>Winding clamping operation</v>
      </c>
      <c r="L44" t="str">
        <f ca="1"/>
        <v>Winding clamping operation</v>
      </c>
      <c r="N44" t="str">
        <f ca="1"/>
        <v>【52】 Winding clamping operation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//Winding clamping operation
	ELSIF uiInfoIdx = 2 THEN</v>
      </c>
      <c r="AC44" t="str">
        <f ca="1"/>
        <v xml:space="preserve">
	//Winding clamping operation
	ELSIF uiInfoIdx = 2 THEN
		IF strInfoKey = 'name' THEN</v>
      </c>
      <c r="AD44" t="str">
        <f ca="1"/>
        <v xml:space="preserve">
	//Winding clamping operation
	ELSIF uiInfoIdx = 2 THEN
		IF strInfoKey = 'name' THEN
			strRt	:= 'Winding clamping operation';</v>
      </c>
      <c r="AE44" t="str">
        <f ca="1"/>
        <v xml:space="preserve">
	//Winding clamping operation
	ELSIF uiInfoIdx = 2 THEN
		IF strInfoKey = 'name' THEN
			strRt	:= 'Winding clamping operation';
		ELSIF strInfoKey = 'index_name' THEN</v>
      </c>
      <c r="AF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</v>
      </c>
      <c r="AG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</v>
      </c>
      <c r="AH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</v>
      </c>
      <c r="AI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</v>
      </c>
      <c r="AJ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</v>
      </c>
      <c r="AK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L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  <c r="AM44" t="str">
        <f ca="1"/>
        <v xml:space="preserve">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23</v>
      </c>
      <c r="K45" t="str">
        <f ca="1"/>
        <v>Welding operation</v>
      </c>
      <c r="L45" t="str">
        <f ca="1"/>
        <v>Welding operation</v>
      </c>
      <c r="N45" t="str">
        <f ca="1"/>
        <v>【53】 Welding operation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//Welding operation
	ELSIF uiInfoIdx = 3 THEN</v>
      </c>
      <c r="AC45" t="str">
        <f ca="1"/>
        <v xml:space="preserve">
	//Welding operation
	ELSIF uiInfoIdx = 3 THEN
		IF strInfoKey = 'name' THEN</v>
      </c>
      <c r="AD45" t="str">
        <f ca="1"/>
        <v xml:space="preserve">
	//Welding operation
	ELSIF uiInfoIdx = 3 THEN
		IF strInfoKey = 'name' THEN
			strRt	:= 'Welding operation';</v>
      </c>
      <c r="AE45" t="str">
        <f ca="1"/>
        <v xml:space="preserve">
	//Welding operation
	ELSIF uiInfoIdx = 3 THEN
		IF strInfoKey = 'name' THEN
			strRt	:= 'Welding operation';
		ELSIF strInfoKey = 'index_name' THEN</v>
      </c>
      <c r="AF45" t="str">
        <f ca="1"/>
        <v xml:space="preserve">
	//Welding operation
	ELSIF uiInfoIdx = 3 THEN
		IF strInfoKey = 'name' THEN
			strRt	:= 'Welding operation';
		ELSIF strInfoKey = 'index_name' THEN
			strRt	:= '【53】 Welding operation';</v>
      </c>
      <c r="AG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</v>
      </c>
      <c r="AH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</v>
      </c>
      <c r="AI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</v>
      </c>
      <c r="AJ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</v>
      </c>
      <c r="AK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L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  <c r="AM45" t="str">
        <f ca="1"/>
        <v xml:space="preserve">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 t="str">
        <v/>
      </c>
      <c r="K46" t="str">
        <f ca="1"/>
        <v/>
      </c>
      <c r="L46" t="str">
        <f ca="1"/>
        <v/>
      </c>
      <c r="N46" t="str">
        <f ca="1"/>
        <v/>
      </c>
      <c r="O46" t="str">
        <v/>
      </c>
      <c r="P46" t="str">
        <v/>
      </c>
      <c r="Q46" t="str">
        <f ca="1"/>
        <v/>
      </c>
      <c r="R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  <c r="AL46" t="str">
        <f ca="1"/>
        <v/>
      </c>
      <c r="AM46" t="str">
        <f ca="1"/>
        <v/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Return to origin operation</v>
      </c>
      <c r="L53" t="str">
        <f ca="1"/>
        <v>Return to origin operation</v>
      </c>
      <c r="N53" t="str">
        <f ca="1"/>
        <v>【61】 Return to origin operation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//Return to origin operation
	IF uiInfoIdx = 1 THEN</v>
      </c>
      <c r="AC53" t="str">
        <f ca="1"/>
        <v xml:space="preserve">
//6
ELSIF strInfoType = 6 THEN
	//Return to origin operation
	IF uiInfoIdx = 1 THEN
		IF strInfoKey = 'name' THEN</v>
      </c>
      <c r="AD53" t="str">
        <f ca="1"/>
        <v xml:space="preserve">
//6
ELSIF strInfoType = 6 THEN
	//Return to origin operation
	IF uiInfoIdx = 1 THEN
		IF strInfoKey = 'name' THEN
			strRt	:= 'Return to origin operation';</v>
      </c>
      <c r="AE53" t="str">
        <f ca="1"/>
        <v xml:space="preserve">
//6
ELSIF strInfoType = 6 THEN
	//Return to origin operation
	IF uiInfoIdx = 1 THEN
		IF strInfoKey = 'name' THEN
			strRt	:= 'Return to origin operation';
		ELSIF strInfoKey = 'index_name' THEN</v>
      </c>
      <c r="AF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</v>
      </c>
      <c r="AG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</v>
      </c>
      <c r="AH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</v>
      </c>
      <c r="AI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</v>
      </c>
      <c r="AJ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</v>
      </c>
      <c r="AK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L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  <c r="AM53" t="str">
        <f ca="1"/>
        <v xml:space="preserve">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Discharge operation</v>
      </c>
      <c r="L54" t="str">
        <f ca="1"/>
        <v>Discharge operation</v>
      </c>
      <c r="N54" t="str">
        <f ca="1"/>
        <v>【62】 Discharge operation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//Discharge operation
	ELSIF uiInfoIdx = 2 THEN</v>
      </c>
      <c r="AC54" t="str">
        <f ca="1"/>
        <v xml:space="preserve">
	//Discharge operation
	ELSIF uiInfoIdx = 2 THEN
		IF strInfoKey = 'name' THEN</v>
      </c>
      <c r="AD54" t="str">
        <f ca="1"/>
        <v xml:space="preserve">
	//Discharge operation
	ELSIF uiInfoIdx = 2 THEN
		IF strInfoKey = 'name' THEN
			strRt	:= 'Discharge operation';</v>
      </c>
      <c r="AE54" t="str">
        <f ca="1"/>
        <v xml:space="preserve">
	//Discharge operation
	ELSIF uiInfoIdx = 2 THEN
		IF strInfoKey = 'name' THEN
			strRt	:= 'Discharge operation';
		ELSIF strInfoKey = 'index_name' THEN</v>
      </c>
      <c r="AF54" t="str">
        <f ca="1"/>
        <v xml:space="preserve">
	//Discharge operation
	ELSIF uiInfoIdx = 2 THEN
		IF strInfoKey = 'name' THEN
			strRt	:= 'Discharge operation';
		ELSIF strInfoKey = 'index_name' THEN
			strRt	:= '【62】 Discharge operation';</v>
      </c>
      <c r="AG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</v>
      </c>
      <c r="AH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</v>
      </c>
      <c r="AI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</v>
      </c>
      <c r="AJ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</v>
      </c>
      <c r="AK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L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  <c r="AM54" t="str">
        <f ca="1"/>
        <v xml:space="preserve">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 t="str">
        <v/>
      </c>
      <c r="K55" t="str">
        <f ca="1"/>
        <v/>
      </c>
      <c r="L55" t="str">
        <f ca="1"/>
        <v/>
      </c>
      <c r="N55" t="str">
        <f ca="1"/>
        <v/>
      </c>
      <c r="O55" t="str">
        <v/>
      </c>
      <c r="P55" t="str">
        <v/>
      </c>
      <c r="Q55" t="str">
        <f ca="1"/>
        <v/>
      </c>
      <c r="R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  <c r="AL55" t="str">
        <f ca="1"/>
        <v/>
      </c>
      <c r="AM55" t="str">
        <f ca="1"/>
        <v/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 t="str">
        <v/>
      </c>
      <c r="K56" t="str">
        <f ca="1"/>
        <v/>
      </c>
      <c r="L56" t="str">
        <f ca="1"/>
        <v/>
      </c>
      <c r="N56" t="str">
        <f ca="1"/>
        <v/>
      </c>
      <c r="O56" t="str">
        <v/>
      </c>
      <c r="P56" t="str">
        <v/>
      </c>
      <c r="Q56" t="str">
        <f ca="1"/>
        <v/>
      </c>
      <c r="R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  <c r="AL56" t="str">
        <f ca="1"/>
        <v/>
      </c>
      <c r="AM56" t="str">
        <f ca="1"/>
        <v/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 t="str">
        <v/>
      </c>
      <c r="K57" t="str">
        <f ca="1"/>
        <v/>
      </c>
      <c r="L57" t="str">
        <f ca="1"/>
        <v/>
      </c>
      <c r="N57" t="str">
        <f ca="1"/>
        <v/>
      </c>
      <c r="O57" t="str">
        <v/>
      </c>
      <c r="P57" t="str">
        <v/>
      </c>
      <c r="Q57" t="str">
        <f ca="1"/>
        <v/>
      </c>
      <c r="R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  <c r="AL57" t="str">
        <f ca="1"/>
        <v/>
      </c>
      <c r="AM57" t="str">
        <f ca="1"/>
        <v/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>
        <v>26</v>
      </c>
      <c r="K58" t="str">
        <f ca="1"/>
        <v>Measurement preparation</v>
      </c>
      <c r="L58" t="str">
        <f ca="1"/>
        <v>Measurement preparation</v>
      </c>
      <c r="N58" t="str">
        <f ca="1"/>
        <v>【66】 Measurement preparation</v>
      </c>
      <c r="O58" t="str">
        <v/>
      </c>
      <c r="P58" t="str">
        <v>unknown</v>
      </c>
      <c r="Q58" t="str">
        <f ca="1"/>
        <v/>
      </c>
      <c r="R58" t="str">
        <f ca="1"/>
        <v>unknown</v>
      </c>
      <c r="Z58" t="str">
        <f ca="1"/>
        <v xml:space="preserve">
</v>
      </c>
      <c r="AA58" t="str">
        <f ca="1"/>
        <v xml:space="preserve">
</v>
      </c>
      <c r="AB58" t="str">
        <f ca="1"/>
        <v xml:space="preserve">
	//Measurement preparation
	ELSIF uiInfoIdx = 6 THEN</v>
      </c>
      <c r="AC58" t="str">
        <f ca="1"/>
        <v xml:space="preserve">
	//Measurement preparation
	ELSIF uiInfoIdx = 6 THEN
		IF strInfoKey = 'name' THEN</v>
      </c>
      <c r="AD58" t="str">
        <f ca="1"/>
        <v xml:space="preserve">
	//Measurement preparation
	ELSIF uiInfoIdx = 6 THEN
		IF strInfoKey = 'name' THEN
			strRt	:= 'Measurement preparation';</v>
      </c>
      <c r="AE58" t="str">
        <f ca="1"/>
        <v xml:space="preserve">
	//Measurement preparation
	ELSIF uiInfoIdx = 6 THEN
		IF strInfoKey = 'name' THEN
			strRt	:= 'Measurement preparation';
		ELSIF strInfoKey = 'index_name' THEN</v>
      </c>
      <c r="AF58" t="str">
        <f ca="1"/>
        <v xml:space="preserve">
	//Measurement preparation
	ELSIF uiInfoIdx = 6 THEN
		IF strInfoKey = 'name' THEN
			strRt	:= 'Measurement preparation';
		ELSIF strInfoKey = 'index_name' THEN
			strRt	:= '【66】 Measurement preparation';</v>
      </c>
      <c r="AG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</v>
      </c>
      <c r="AH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</v>
      </c>
      <c r="AI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</v>
      </c>
      <c r="AJ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</v>
      </c>
      <c r="AK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L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  <c r="AM58" t="str">
        <f ca="1"/>
        <v xml:space="preserve">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</v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>
        <v>27</v>
      </c>
      <c r="K59" t="str">
        <f ca="1"/>
        <v>Measurement operation during winding</v>
      </c>
      <c r="L59" t="str">
        <f ca="1"/>
        <v>Measurement operation during winding</v>
      </c>
      <c r="N59" t="str">
        <f ca="1"/>
        <v>【67】 Measurement operation during winding</v>
      </c>
      <c r="O59" t="str">
        <v/>
      </c>
      <c r="P59" t="str">
        <v>unknown</v>
      </c>
      <c r="Q59" t="str">
        <f ca="1"/>
        <v/>
      </c>
      <c r="R59" t="str">
        <f ca="1"/>
        <v>unknown</v>
      </c>
      <c r="Z59" t="str">
        <f ca="1"/>
        <v xml:space="preserve">
</v>
      </c>
      <c r="AA59" t="str">
        <f ca="1"/>
        <v xml:space="preserve">
</v>
      </c>
      <c r="AB59" t="str">
        <f ca="1"/>
        <v xml:space="preserve">
	//Measurement operation during winding
	ELSIF uiInfoIdx = 7 THEN</v>
      </c>
      <c r="AC59" t="str">
        <f ca="1"/>
        <v xml:space="preserve">
	//Measurement operation during winding
	ELSIF uiInfoIdx = 7 THEN
		IF strInfoKey = 'name' THEN</v>
      </c>
      <c r="AD59" t="str">
        <f ca="1"/>
        <v xml:space="preserve">
	//Measurement operation during winding
	ELSIF uiInfoIdx = 7 THEN
		IF strInfoKey = 'name' THEN
			strRt	:= 'Measurement operation during winding';</v>
      </c>
      <c r="AE59" t="str">
        <f ca="1"/>
        <v xml:space="preserve">
	//Measurement operation during winding
	ELSIF uiInfoIdx = 7 THEN
		IF strInfoKey = 'name' THEN
			strRt	:= 'Measurement operation during winding';
		ELSIF strInfoKey = 'index_name' THEN</v>
      </c>
      <c r="AF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</v>
      </c>
      <c r="AG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</v>
      </c>
      <c r="AH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</v>
      </c>
      <c r="AI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</v>
      </c>
      <c r="AJ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</v>
      </c>
      <c r="AK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L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  <c r="AM59" t="str">
        <f ca="1"/>
        <v xml:space="preserve">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</v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>●</v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 xml:space="preserve">
	ELSE
		uiErrCode	:= 2;
	END_IF;</v>
      </c>
      <c r="AM62" t="str">
        <f ca="1"/>
        <v xml:space="preserve">
	ELSE
		uiErrCode	:= 2;
	END_IF;</v>
      </c>
    </row>
    <row r="63" spans="6:39" x14ac:dyDescent="0.55000000000000004">
      <c r="F63">
        <f>F53+1</f>
        <v>7</v>
      </c>
      <c r="G63" t="str">
        <f t="shared" ref="G63:G96" si="5">E63&amp;F63</f>
        <v>7</v>
      </c>
      <c r="H63">
        <f>COUNTIF(G$3:G63,G63)</f>
        <v>1</v>
      </c>
      <c r="I63" t="str">
        <v/>
      </c>
      <c r="J63">
        <v>28</v>
      </c>
      <c r="K63" t="str">
        <f ca="1"/>
        <v>Return to origin operation</v>
      </c>
      <c r="L63" t="str">
        <f ca="1"/>
        <v>Return to origin operation</v>
      </c>
      <c r="N63" t="str">
        <f ca="1"/>
        <v>【71】 Return to origin operation</v>
      </c>
      <c r="O63" t="str">
        <v/>
      </c>
      <c r="P63" t="str">
        <v>unknown</v>
      </c>
      <c r="Q63" t="str">
        <f ca="1"/>
        <v/>
      </c>
      <c r="R63" t="str">
        <f ca="1"/>
        <v>unknown</v>
      </c>
      <c r="Z63" t="str">
        <f ca="1"/>
        <v xml:space="preserve">
//7</v>
      </c>
      <c r="AA63" t="str">
        <f ca="1"/>
        <v xml:space="preserve">
//7
ELSIF strInfoType = 7 THEN</v>
      </c>
      <c r="AB63" t="str">
        <f ca="1"/>
        <v xml:space="preserve">
//7
ELSIF strInfoType = 7 THEN
	//Return to origin operation
	IF uiInfoIdx = 1 THEN</v>
      </c>
      <c r="AC63" t="str">
        <f ca="1"/>
        <v xml:space="preserve">
//7
ELSIF strInfoType = 7 THEN
	//Return to origin operation
	IF uiInfoIdx = 1 THEN
		IF strInfoKey = 'name' THEN</v>
      </c>
      <c r="AD63" t="str">
        <f ca="1"/>
        <v xml:space="preserve">
//7
ELSIF strInfoType = 7 THEN
	//Return to origin operation
	IF uiInfoIdx = 1 THEN
		IF strInfoKey = 'name' THEN
			strRt	:= 'Return to origin operation';</v>
      </c>
      <c r="AE63" t="str">
        <f ca="1"/>
        <v xml:space="preserve">
//7
ELSIF strInfoType = 7 THEN
	//Return to origin operation
	IF uiInfoIdx = 1 THEN
		IF strInfoKey = 'name' THEN
			strRt	:= 'Return to origin operation';
		ELSIF strInfoKey = 'index_name' THEN</v>
      </c>
      <c r="AF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</v>
      </c>
      <c r="AG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</v>
      </c>
      <c r="AH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</v>
      </c>
      <c r="AI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</v>
      </c>
      <c r="AJ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</v>
      </c>
      <c r="AK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L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  <c r="AM63" t="str">
        <f ca="1"/>
        <v xml:space="preserve">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</v>
      </c>
    </row>
    <row r="64" spans="6:39" x14ac:dyDescent="0.55000000000000004">
      <c r="F64">
        <f t="shared" si="1"/>
        <v>7</v>
      </c>
      <c r="G64" t="str">
        <f t="shared" si="5"/>
        <v>7</v>
      </c>
      <c r="H64">
        <f>COUNTIF(G$3:G64,G64)</f>
        <v>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7</v>
      </c>
      <c r="G65" t="str">
        <f t="shared" si="5"/>
        <v>7</v>
      </c>
      <c r="H65">
        <f>COUNTIF(G$3:G65,G65)</f>
        <v>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7</v>
      </c>
      <c r="G66" t="str">
        <f t="shared" si="5"/>
        <v>7</v>
      </c>
      <c r="H66">
        <f>COUNTIF(G$3:G66,G66)</f>
        <v>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7</v>
      </c>
      <c r="G67" t="str">
        <f t="shared" si="5"/>
        <v>7</v>
      </c>
      <c r="H67">
        <f>COUNTIF(G$3:G67,G67)</f>
        <v>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7</v>
      </c>
      <c r="G68" t="str">
        <f t="shared" si="5"/>
        <v>7</v>
      </c>
      <c r="H68">
        <f>COUNTIF(G$3:G68,G68)</f>
        <v>6</v>
      </c>
      <c r="I68" t="str">
        <v/>
      </c>
      <c r="J68">
        <v>29</v>
      </c>
      <c r="K68" t="str">
        <f ca="1"/>
        <v>Gluing operation</v>
      </c>
      <c r="L68" t="str">
        <f ca="1"/>
        <v>Gluing operation</v>
      </c>
      <c r="N68" t="str">
        <f ca="1"/>
        <v>【76】 Gluing operation</v>
      </c>
      <c r="O68" t="str">
        <v/>
      </c>
      <c r="P68" t="str">
        <v>unknown</v>
      </c>
      <c r="Q68" t="str">
        <f ca="1"/>
        <v/>
      </c>
      <c r="R68" t="str">
        <f ca="1"/>
        <v>unknown</v>
      </c>
      <c r="Z68" t="str">
        <f ca="1"/>
        <v xml:space="preserve">
</v>
      </c>
      <c r="AA68" t="str">
        <f ca="1"/>
        <v xml:space="preserve">
</v>
      </c>
      <c r="AB68" t="str">
        <f ca="1"/>
        <v xml:space="preserve">
	//Gluing operation
	ELSIF uiInfoIdx = 6 THEN</v>
      </c>
      <c r="AC68" t="str">
        <f ca="1"/>
        <v xml:space="preserve">
	//Gluing operation
	ELSIF uiInfoIdx = 6 THEN
		IF strInfoKey = 'name' THEN</v>
      </c>
      <c r="AD68" t="str">
        <f ca="1"/>
        <v xml:space="preserve">
	//Gluing operation
	ELSIF uiInfoIdx = 6 THEN
		IF strInfoKey = 'name' THEN
			strRt	:= 'Gluing operation';</v>
      </c>
      <c r="AE68" t="str">
        <f ca="1"/>
        <v xml:space="preserve">
	//Gluing operation
	ELSIF uiInfoIdx = 6 THEN
		IF strInfoKey = 'name' THEN
			strRt	:= 'Gluing operation';
		ELSIF strInfoKey = 'index_name' THEN</v>
      </c>
      <c r="AF68" t="str">
        <f ca="1"/>
        <v xml:space="preserve">
	//Gluing operation
	ELSIF uiInfoIdx = 6 THEN
		IF strInfoKey = 'name' THEN
			strRt	:= 'Gluing operation';
		ELSIF strInfoKey = 'index_name' THEN
			strRt	:= '【76】 Gluing operation';</v>
      </c>
      <c r="AG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</v>
      </c>
      <c r="AH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</v>
      </c>
      <c r="AI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</v>
      </c>
      <c r="AJ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</v>
      </c>
      <c r="AK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L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  <c r="AM68" t="str">
        <f ca="1"/>
        <v xml:space="preserve">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</v>
      </c>
    </row>
    <row r="69" spans="6:39" x14ac:dyDescent="0.55000000000000004">
      <c r="F69">
        <f t="shared" ref="F69:F132" si="6">F68</f>
        <v>7</v>
      </c>
      <c r="G69" t="str">
        <f t="shared" si="5"/>
        <v>7</v>
      </c>
      <c r="H69">
        <f>COUNTIF(G$3:G69,G69)</f>
        <v>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7</v>
      </c>
      <c r="G70" t="str">
        <f t="shared" si="5"/>
        <v>7</v>
      </c>
      <c r="H70">
        <f>COUNTIF(G$3:G70,G70)</f>
        <v>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7</v>
      </c>
      <c r="G71" t="str">
        <f t="shared" si="5"/>
        <v>7</v>
      </c>
      <c r="H71">
        <f>COUNTIF(G$3:G71,G71)</f>
        <v>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7</v>
      </c>
      <c r="G72" t="str">
        <f t="shared" si="5"/>
        <v>7</v>
      </c>
      <c r="H72">
        <f>COUNTIF(G$3:G72,G72)</f>
        <v>10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7</v>
      </c>
      <c r="G73" t="str">
        <f t="shared" si="5"/>
        <v>7</v>
      </c>
      <c r="H73">
        <f>COUNTIF(G$3:G73,G73)</f>
        <v>11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7</v>
      </c>
      <c r="G74" t="str">
        <f t="shared" si="5"/>
        <v>7</v>
      </c>
      <c r="H74">
        <f>COUNTIF(G$3:G74,G74)</f>
        <v>12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7</v>
      </c>
      <c r="G75" t="str">
        <f t="shared" si="5"/>
        <v>7</v>
      </c>
      <c r="H75">
        <f>COUNTIF(G$3:G75,G75)</f>
        <v>13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7</v>
      </c>
      <c r="G76" t="str">
        <f t="shared" si="5"/>
        <v>7</v>
      </c>
      <c r="H76">
        <f>COUNTIF(G$3:G76,G76)</f>
        <v>14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7</v>
      </c>
      <c r="G77" t="str">
        <f t="shared" si="5"/>
        <v>7</v>
      </c>
      <c r="H77">
        <f>COUNTIF(G$3:G77,G77)</f>
        <v>15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7</v>
      </c>
      <c r="G78" t="str">
        <f t="shared" si="5"/>
        <v>7</v>
      </c>
      <c r="H78">
        <f>COUNTIF(G$3:G78,G78)</f>
        <v>16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7</v>
      </c>
      <c r="G79" t="str">
        <f t="shared" si="5"/>
        <v>7</v>
      </c>
      <c r="H79">
        <f>COUNTIF(G$3:G79,G79)</f>
        <v>17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7</v>
      </c>
      <c r="G80" t="str">
        <f t="shared" si="5"/>
        <v>7</v>
      </c>
      <c r="H80">
        <f>COUNTIF(G$3:G80,G80)</f>
        <v>18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7</v>
      </c>
      <c r="G81" t="str">
        <f t="shared" si="5"/>
        <v>7</v>
      </c>
      <c r="H81">
        <f>COUNTIF(G$3:G81,G81)</f>
        <v>19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7</v>
      </c>
      <c r="G82" t="str">
        <f t="shared" si="5"/>
        <v>7</v>
      </c>
      <c r="H82">
        <f>COUNTIF(G$3:G82,G82)</f>
        <v>20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7</v>
      </c>
      <c r="G83" t="str">
        <f t="shared" si="5"/>
        <v>7</v>
      </c>
      <c r="H83">
        <f>COUNTIF(G$3:G83,G83)</f>
        <v>21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7</v>
      </c>
      <c r="G84" t="str">
        <f t="shared" si="5"/>
        <v>7</v>
      </c>
      <c r="H84">
        <f>COUNTIF(G$3:G84,G84)</f>
        <v>22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7</v>
      </c>
      <c r="G85" t="str">
        <f t="shared" si="5"/>
        <v>7</v>
      </c>
      <c r="H85">
        <f>COUNTIF(G$3:G85,G85)</f>
        <v>23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7</v>
      </c>
      <c r="G86" t="str">
        <f t="shared" si="5"/>
        <v>7</v>
      </c>
      <c r="H86">
        <f>COUNTIF(G$3:G86,G86)</f>
        <v>24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7</v>
      </c>
      <c r="G87" t="str">
        <f t="shared" si="5"/>
        <v>7</v>
      </c>
      <c r="H87">
        <f>COUNTIF(G$3:G87,G87)</f>
        <v>25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7</v>
      </c>
      <c r="G88" t="str">
        <f t="shared" si="5"/>
        <v>7</v>
      </c>
      <c r="H88">
        <f>COUNTIF(G$3:G88,G88)</f>
        <v>26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7</v>
      </c>
      <c r="G89" t="str">
        <f t="shared" si="5"/>
        <v>7</v>
      </c>
      <c r="H89">
        <f>COUNTIF(G$3:G89,G89)</f>
        <v>27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7</v>
      </c>
      <c r="G90" t="str">
        <f t="shared" si="5"/>
        <v>7</v>
      </c>
      <c r="H90">
        <f>COUNTIF(G$3:G90,G90)</f>
        <v>28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7</v>
      </c>
      <c r="G91" t="str">
        <f t="shared" si="5"/>
        <v>7</v>
      </c>
      <c r="H91">
        <f>COUNTIF(G$3:G91,G91)</f>
        <v>29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7</v>
      </c>
      <c r="G92" t="str">
        <f t="shared" si="5"/>
        <v>7</v>
      </c>
      <c r="H92">
        <f>COUNTIF(G$3:G92,G92)</f>
        <v>30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7</v>
      </c>
      <c r="G93" t="str">
        <f t="shared" si="5"/>
        <v>7</v>
      </c>
      <c r="H93">
        <f>COUNTIF(G$3:G93,G93)</f>
        <v>31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7</v>
      </c>
      <c r="G94" t="str">
        <f t="shared" si="5"/>
        <v>7</v>
      </c>
      <c r="H94">
        <f>COUNTIF(G$3:G94,G94)</f>
        <v>32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7</v>
      </c>
      <c r="G95" t="str">
        <f t="shared" si="5"/>
        <v>7</v>
      </c>
      <c r="H95">
        <f>COUNTIF(G$3:G95,G95)</f>
        <v>33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7</v>
      </c>
      <c r="G96" t="str">
        <f t="shared" si="5"/>
        <v>7</v>
      </c>
      <c r="H96">
        <f>COUNTIF(G$3:G96,G96)</f>
        <v>34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7</v>
      </c>
      <c r="G97" t="str">
        <f t="shared" ref="G97:G160" si="7">E97&amp;F97</f>
        <v>7</v>
      </c>
      <c r="H97">
        <f>COUNTIF(G$3:G97,G97)</f>
        <v>35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7</v>
      </c>
      <c r="G98" t="str">
        <f t="shared" si="7"/>
        <v>7</v>
      </c>
      <c r="H98">
        <f>COUNTIF(G$3:G98,G98)</f>
        <v>36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7</v>
      </c>
      <c r="G99" t="str">
        <f t="shared" si="7"/>
        <v>7</v>
      </c>
      <c r="H99">
        <f>COUNTIF(G$3:G99,G99)</f>
        <v>37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7</v>
      </c>
      <c r="G100" t="str">
        <f t="shared" si="7"/>
        <v>7</v>
      </c>
      <c r="H100">
        <f>COUNTIF(G$3:G100,G100)</f>
        <v>38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7</v>
      </c>
      <c r="G101" t="str">
        <f t="shared" si="7"/>
        <v>7</v>
      </c>
      <c r="H101">
        <f>COUNTIF(G$3:G101,G101)</f>
        <v>39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7</v>
      </c>
      <c r="G102" t="str">
        <f t="shared" si="7"/>
        <v>7</v>
      </c>
      <c r="H102">
        <f>COUNTIF(G$3:G102,G102)</f>
        <v>40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7</v>
      </c>
      <c r="G103" t="str">
        <f t="shared" si="7"/>
        <v>7</v>
      </c>
      <c r="H103">
        <f>COUNTIF(G$3:G103,G103)</f>
        <v>41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7</v>
      </c>
      <c r="G104" t="str">
        <f t="shared" si="7"/>
        <v>7</v>
      </c>
      <c r="H104">
        <f>COUNTIF(G$3:G104,G104)</f>
        <v>42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7</v>
      </c>
      <c r="G105" t="str">
        <f t="shared" si="7"/>
        <v>7</v>
      </c>
      <c r="H105">
        <f>COUNTIF(G$3:G105,G105)</f>
        <v>43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7</v>
      </c>
      <c r="G106" t="str">
        <f t="shared" si="7"/>
        <v>7</v>
      </c>
      <c r="H106">
        <f>COUNTIF(G$3:G106,G106)</f>
        <v>44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7</v>
      </c>
      <c r="G107" t="str">
        <f t="shared" si="7"/>
        <v>7</v>
      </c>
      <c r="H107">
        <f>COUNTIF(G$3:G107,G107)</f>
        <v>45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7</v>
      </c>
      <c r="G108" t="str">
        <f t="shared" si="7"/>
        <v>7</v>
      </c>
      <c r="H108">
        <f>COUNTIF(G$3:G108,G108)</f>
        <v>46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7</v>
      </c>
      <c r="G109" t="str">
        <f t="shared" si="7"/>
        <v>7</v>
      </c>
      <c r="H109">
        <f>COUNTIF(G$3:G109,G109)</f>
        <v>47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7</v>
      </c>
      <c r="G110" t="str">
        <f t="shared" si="7"/>
        <v>7</v>
      </c>
      <c r="H110">
        <f>COUNTIF(G$3:G110,G110)</f>
        <v>48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7</v>
      </c>
      <c r="G111" t="str">
        <f t="shared" si="7"/>
        <v>7</v>
      </c>
      <c r="H111">
        <f>COUNTIF(G$3:G111,G111)</f>
        <v>49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7</v>
      </c>
      <c r="G112" t="str">
        <f t="shared" si="7"/>
        <v>7</v>
      </c>
      <c r="H112">
        <f>COUNTIF(G$3:G112,G112)</f>
        <v>50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7</v>
      </c>
      <c r="G113" t="str">
        <f t="shared" si="7"/>
        <v>7</v>
      </c>
      <c r="H113">
        <f>COUNTIF(G$3:G113,G113)</f>
        <v>51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7</v>
      </c>
      <c r="G114" t="str">
        <f t="shared" si="7"/>
        <v>7</v>
      </c>
      <c r="H114">
        <f>COUNTIF(G$3:G114,G114)</f>
        <v>52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7</v>
      </c>
      <c r="G115" t="str">
        <f t="shared" si="7"/>
        <v>7</v>
      </c>
      <c r="H115">
        <f>COUNTIF(G$3:G115,G115)</f>
        <v>53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7</v>
      </c>
      <c r="G116" t="str">
        <f t="shared" si="7"/>
        <v>7</v>
      </c>
      <c r="H116">
        <f>COUNTIF(G$3:G116,G116)</f>
        <v>54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7</v>
      </c>
      <c r="G117" t="str">
        <f t="shared" si="7"/>
        <v>7</v>
      </c>
      <c r="H117">
        <f>COUNTIF(G$3:G117,G117)</f>
        <v>55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7</v>
      </c>
      <c r="G118" t="str">
        <f t="shared" si="7"/>
        <v>7</v>
      </c>
      <c r="H118">
        <f>COUNTIF(G$3:G118,G118)</f>
        <v>56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7</v>
      </c>
      <c r="G119" t="str">
        <f t="shared" si="7"/>
        <v>7</v>
      </c>
      <c r="H119">
        <f>COUNTIF(G$3:G119,G119)</f>
        <v>57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7</v>
      </c>
      <c r="G120" t="str">
        <f t="shared" si="7"/>
        <v>7</v>
      </c>
      <c r="H120">
        <f>COUNTIF(G$3:G120,G120)</f>
        <v>58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7</v>
      </c>
      <c r="G121" t="str">
        <f t="shared" si="7"/>
        <v>7</v>
      </c>
      <c r="H121">
        <f>COUNTIF(G$3:G121,G121)</f>
        <v>59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7</v>
      </c>
      <c r="G122" t="str">
        <f t="shared" si="7"/>
        <v>7</v>
      </c>
      <c r="H122">
        <f>COUNTIF(G$3:G122,G122)</f>
        <v>60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7</v>
      </c>
      <c r="G123" t="str">
        <f t="shared" si="7"/>
        <v>7</v>
      </c>
      <c r="H123">
        <f>COUNTIF(G$3:G123,G123)</f>
        <v>61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7</v>
      </c>
      <c r="G124" t="str">
        <f t="shared" si="7"/>
        <v>7</v>
      </c>
      <c r="H124">
        <f>COUNTIF(G$3:G124,G124)</f>
        <v>62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7</v>
      </c>
      <c r="G125" t="str">
        <f t="shared" si="7"/>
        <v>7</v>
      </c>
      <c r="H125">
        <f>COUNTIF(G$3:G125,G125)</f>
        <v>63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7</v>
      </c>
      <c r="G126" t="str">
        <f t="shared" si="7"/>
        <v>7</v>
      </c>
      <c r="H126">
        <f>COUNTIF(G$3:G126,G126)</f>
        <v>64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7</v>
      </c>
      <c r="G127" t="str">
        <f t="shared" si="7"/>
        <v>7</v>
      </c>
      <c r="H127">
        <f>COUNTIF(G$3:G127,G127)</f>
        <v>65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7</v>
      </c>
      <c r="G128" t="str">
        <f t="shared" si="7"/>
        <v>7</v>
      </c>
      <c r="H128">
        <f>COUNTIF(G$3:G128,G128)</f>
        <v>66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7</v>
      </c>
      <c r="G129" t="str">
        <f t="shared" si="7"/>
        <v>7</v>
      </c>
      <c r="H129">
        <f>COUNTIF(G$3:G129,G129)</f>
        <v>67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7</v>
      </c>
      <c r="G130" t="str">
        <f t="shared" si="7"/>
        <v>7</v>
      </c>
      <c r="H130">
        <f>COUNTIF(G$3:G130,G130)</f>
        <v>68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7</v>
      </c>
      <c r="G131" t="str">
        <f t="shared" si="7"/>
        <v>7</v>
      </c>
      <c r="H131">
        <f>COUNTIF(G$3:G131,G131)</f>
        <v>69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7</v>
      </c>
      <c r="G132" t="str">
        <f t="shared" si="7"/>
        <v>7</v>
      </c>
      <c r="H132">
        <f>COUNTIF(G$3:G132,G132)</f>
        <v>70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7</v>
      </c>
      <c r="G133" t="str">
        <f t="shared" si="7"/>
        <v>7</v>
      </c>
      <c r="H133">
        <f>COUNTIF(G$3:G133,G133)</f>
        <v>71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7</v>
      </c>
      <c r="G134" t="str">
        <f t="shared" si="7"/>
        <v>7</v>
      </c>
      <c r="H134">
        <f>COUNTIF(G$3:G134,G134)</f>
        <v>72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7</v>
      </c>
      <c r="G135" t="str">
        <f t="shared" si="7"/>
        <v>7</v>
      </c>
      <c r="H135">
        <f>COUNTIF(G$3:G135,G135)</f>
        <v>73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7</v>
      </c>
      <c r="G136" t="str">
        <f t="shared" si="7"/>
        <v>7</v>
      </c>
      <c r="H136">
        <f>COUNTIF(G$3:G136,G136)</f>
        <v>74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7</v>
      </c>
      <c r="G137" t="str">
        <f t="shared" si="7"/>
        <v>7</v>
      </c>
      <c r="H137">
        <f>COUNTIF(G$3:G137,G137)</f>
        <v>75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7</v>
      </c>
      <c r="G138" t="str">
        <f t="shared" si="7"/>
        <v>7</v>
      </c>
      <c r="H138">
        <f>COUNTIF(G$3:G138,G138)</f>
        <v>76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7</v>
      </c>
      <c r="G139" t="str">
        <f t="shared" si="7"/>
        <v>7</v>
      </c>
      <c r="H139">
        <f>COUNTIF(G$3:G139,G139)</f>
        <v>77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7</v>
      </c>
      <c r="G140" t="str">
        <f t="shared" si="7"/>
        <v>7</v>
      </c>
      <c r="H140">
        <f>COUNTIF(G$3:G140,G140)</f>
        <v>78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7</v>
      </c>
      <c r="G141" t="str">
        <f t="shared" si="7"/>
        <v>7</v>
      </c>
      <c r="H141">
        <f>COUNTIF(G$3:G141,G141)</f>
        <v>79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7</v>
      </c>
      <c r="G142" t="str">
        <f t="shared" si="7"/>
        <v>7</v>
      </c>
      <c r="H142">
        <f>COUNTIF(G$3:G142,G142)</f>
        <v>80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7</v>
      </c>
      <c r="G143" t="str">
        <f t="shared" si="7"/>
        <v>7</v>
      </c>
      <c r="H143">
        <f>COUNTIF(G$3:G143,G143)</f>
        <v>81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7</v>
      </c>
      <c r="G144" t="str">
        <f t="shared" si="7"/>
        <v>7</v>
      </c>
      <c r="H144">
        <f>COUNTIF(G$3:G144,G144)</f>
        <v>82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7</v>
      </c>
      <c r="G145" t="str">
        <f t="shared" si="7"/>
        <v>7</v>
      </c>
      <c r="H145">
        <f>COUNTIF(G$3:G145,G145)</f>
        <v>83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7</v>
      </c>
      <c r="G146" t="str">
        <f t="shared" si="7"/>
        <v>7</v>
      </c>
      <c r="H146">
        <f>COUNTIF(G$3:G146,G146)</f>
        <v>84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7</v>
      </c>
      <c r="G147" t="str">
        <f t="shared" si="7"/>
        <v>7</v>
      </c>
      <c r="H147">
        <f>COUNTIF(G$3:G147,G147)</f>
        <v>85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7</v>
      </c>
      <c r="G148" t="str">
        <f t="shared" si="7"/>
        <v>7</v>
      </c>
      <c r="H148">
        <f>COUNTIF(G$3:G148,G148)</f>
        <v>86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7</v>
      </c>
      <c r="G149" t="str">
        <f t="shared" si="7"/>
        <v>7</v>
      </c>
      <c r="H149">
        <f>COUNTIF(G$3:G149,G149)</f>
        <v>87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7</v>
      </c>
      <c r="G150" t="str">
        <f t="shared" si="7"/>
        <v>7</v>
      </c>
      <c r="H150">
        <f>COUNTIF(G$3:G150,G150)</f>
        <v>88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7</v>
      </c>
      <c r="G151" t="str">
        <f t="shared" si="7"/>
        <v>7</v>
      </c>
      <c r="H151">
        <f>COUNTIF(G$3:G151,G151)</f>
        <v>89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7</v>
      </c>
      <c r="G152" t="str">
        <f t="shared" si="7"/>
        <v>7</v>
      </c>
      <c r="H152">
        <f>COUNTIF(G$3:G152,G152)</f>
        <v>90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7</v>
      </c>
      <c r="G153" t="str">
        <f t="shared" si="7"/>
        <v>7</v>
      </c>
      <c r="H153">
        <f>COUNTIF(G$3:G153,G153)</f>
        <v>91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7</v>
      </c>
      <c r="G154" t="str">
        <f t="shared" si="7"/>
        <v>7</v>
      </c>
      <c r="H154">
        <f>COUNTIF(G$3:G154,G154)</f>
        <v>92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7</v>
      </c>
      <c r="G155" t="str">
        <f t="shared" si="7"/>
        <v>7</v>
      </c>
      <c r="H155">
        <f>COUNTIF(G$3:G155,G155)</f>
        <v>93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7</v>
      </c>
      <c r="G156" t="str">
        <f t="shared" si="7"/>
        <v>7</v>
      </c>
      <c r="H156">
        <f>COUNTIF(G$3:G156,G156)</f>
        <v>94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7</v>
      </c>
      <c r="G157" t="str">
        <f t="shared" si="7"/>
        <v>7</v>
      </c>
      <c r="H157">
        <f>COUNTIF(G$3:G157,G157)</f>
        <v>95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7</v>
      </c>
      <c r="G158" t="str">
        <f t="shared" si="7"/>
        <v>7</v>
      </c>
      <c r="H158">
        <f>COUNTIF(G$3:G158,G158)</f>
        <v>96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7</v>
      </c>
      <c r="G159" t="str">
        <f t="shared" si="7"/>
        <v>7</v>
      </c>
      <c r="H159">
        <f>COUNTIF(G$3:G159,G159)</f>
        <v>97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7</v>
      </c>
      <c r="G160" t="str">
        <f t="shared" si="7"/>
        <v>7</v>
      </c>
      <c r="H160">
        <f>COUNTIF(G$3:G160,G160)</f>
        <v>98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7</v>
      </c>
      <c r="G161" t="str">
        <f t="shared" ref="G161:G202" si="9">E161&amp;F161</f>
        <v>7</v>
      </c>
      <c r="H161">
        <f>COUNTIF(G$3:G161,G161)</f>
        <v>99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7</v>
      </c>
      <c r="G162" t="str">
        <f t="shared" si="9"/>
        <v>7</v>
      </c>
      <c r="H162">
        <f>COUNTIF(G$3:G162,G162)</f>
        <v>100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7</v>
      </c>
      <c r="G163" t="str">
        <f t="shared" si="9"/>
        <v>7</v>
      </c>
      <c r="H163">
        <f>COUNTIF(G$3:G163,G163)</f>
        <v>101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7</v>
      </c>
      <c r="G164" t="str">
        <f t="shared" si="9"/>
        <v>7</v>
      </c>
      <c r="H164">
        <f>COUNTIF(G$3:G164,G164)</f>
        <v>102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7</v>
      </c>
      <c r="G165" t="str">
        <f t="shared" si="9"/>
        <v>7</v>
      </c>
      <c r="H165">
        <f>COUNTIF(G$3:G165,G165)</f>
        <v>103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7</v>
      </c>
      <c r="G166" t="str">
        <f t="shared" si="9"/>
        <v>7</v>
      </c>
      <c r="H166">
        <f>COUNTIF(G$3:G166,G166)</f>
        <v>104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7</v>
      </c>
      <c r="G167" t="str">
        <f t="shared" si="9"/>
        <v>7</v>
      </c>
      <c r="H167">
        <f>COUNTIF(G$3:G167,G167)</f>
        <v>105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7</v>
      </c>
      <c r="G168" t="str">
        <f t="shared" si="9"/>
        <v>7</v>
      </c>
      <c r="H168">
        <f>COUNTIF(G$3:G168,G168)</f>
        <v>106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7</v>
      </c>
      <c r="G169" t="str">
        <f t="shared" si="9"/>
        <v>7</v>
      </c>
      <c r="H169">
        <f>COUNTIF(G$3:G169,G169)</f>
        <v>107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7</v>
      </c>
      <c r="G170" t="str">
        <f t="shared" si="9"/>
        <v>7</v>
      </c>
      <c r="H170">
        <f>COUNTIF(G$3:G170,G170)</f>
        <v>108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7</v>
      </c>
      <c r="G171" t="str">
        <f t="shared" si="9"/>
        <v>7</v>
      </c>
      <c r="H171">
        <f>COUNTIF(G$3:G171,G171)</f>
        <v>109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7</v>
      </c>
      <c r="G172" t="str">
        <f t="shared" si="9"/>
        <v>7</v>
      </c>
      <c r="H172">
        <f>COUNTIF(G$3:G172,G172)</f>
        <v>110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7</v>
      </c>
      <c r="G173" t="str">
        <f t="shared" si="9"/>
        <v>7</v>
      </c>
      <c r="H173">
        <f>COUNTIF(G$3:G173,G173)</f>
        <v>111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7</v>
      </c>
      <c r="G174" t="str">
        <f t="shared" si="9"/>
        <v>7</v>
      </c>
      <c r="H174">
        <f>COUNTIF(G$3:G174,G174)</f>
        <v>112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7</v>
      </c>
      <c r="G175" t="str">
        <f t="shared" si="9"/>
        <v>7</v>
      </c>
      <c r="H175">
        <f>COUNTIF(G$3:G175,G175)</f>
        <v>113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7</v>
      </c>
      <c r="G176" t="str">
        <f t="shared" si="9"/>
        <v>7</v>
      </c>
      <c r="H176">
        <f>COUNTIF(G$3:G176,G176)</f>
        <v>114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7</v>
      </c>
      <c r="G177" t="str">
        <f t="shared" si="9"/>
        <v>7</v>
      </c>
      <c r="H177">
        <f>COUNTIF(G$3:G177,G177)</f>
        <v>115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7</v>
      </c>
      <c r="G178" t="str">
        <f t="shared" si="9"/>
        <v>7</v>
      </c>
      <c r="H178">
        <f>COUNTIF(G$3:G178,G178)</f>
        <v>116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7</v>
      </c>
      <c r="G179" t="str">
        <f t="shared" si="9"/>
        <v>7</v>
      </c>
      <c r="H179">
        <f>COUNTIF(G$3:G179,G179)</f>
        <v>117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7</v>
      </c>
      <c r="G180" t="str">
        <f t="shared" si="9"/>
        <v>7</v>
      </c>
      <c r="H180">
        <f>COUNTIF(G$3:G180,G180)</f>
        <v>118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7</v>
      </c>
      <c r="G181" t="str">
        <f t="shared" si="9"/>
        <v>7</v>
      </c>
      <c r="H181">
        <f>COUNTIF(G$3:G181,G181)</f>
        <v>119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7</v>
      </c>
      <c r="G182" t="str">
        <f t="shared" si="9"/>
        <v>7</v>
      </c>
      <c r="H182">
        <f>COUNTIF(G$3:G182,G182)</f>
        <v>120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7</v>
      </c>
      <c r="G183" t="str">
        <f t="shared" si="9"/>
        <v>7</v>
      </c>
      <c r="H183">
        <f>COUNTIF(G$3:G183,G183)</f>
        <v>121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7</v>
      </c>
      <c r="G184" t="str">
        <f t="shared" si="9"/>
        <v>7</v>
      </c>
      <c r="H184">
        <f>COUNTIF(G$3:G184,G184)</f>
        <v>122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7</v>
      </c>
      <c r="G185" t="str">
        <f t="shared" si="9"/>
        <v>7</v>
      </c>
      <c r="H185">
        <f>COUNTIF(G$3:G185,G185)</f>
        <v>123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7</v>
      </c>
      <c r="G186" t="str">
        <f t="shared" si="9"/>
        <v>7</v>
      </c>
      <c r="H186">
        <f>COUNTIF(G$3:G186,G186)</f>
        <v>124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7</v>
      </c>
      <c r="G187" t="str">
        <f t="shared" si="9"/>
        <v>7</v>
      </c>
      <c r="H187">
        <f>COUNTIF(G$3:G187,G187)</f>
        <v>125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7</v>
      </c>
      <c r="G188" t="str">
        <f t="shared" si="9"/>
        <v>7</v>
      </c>
      <c r="H188">
        <f>COUNTIF(G$3:G188,G188)</f>
        <v>126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7</v>
      </c>
      <c r="G189" t="str">
        <f t="shared" si="9"/>
        <v>7</v>
      </c>
      <c r="H189">
        <f>COUNTIF(G$3:G189,G189)</f>
        <v>127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7</v>
      </c>
      <c r="G190" t="str">
        <f t="shared" si="9"/>
        <v>7</v>
      </c>
      <c r="H190">
        <f>COUNTIF(G$3:G190,G190)</f>
        <v>128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7</v>
      </c>
      <c r="G191" t="str">
        <f t="shared" si="9"/>
        <v>7</v>
      </c>
      <c r="H191">
        <f>COUNTIF(G$3:G191,G191)</f>
        <v>129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7</v>
      </c>
      <c r="G192" t="str">
        <f t="shared" si="9"/>
        <v>7</v>
      </c>
      <c r="H192">
        <f>COUNTIF(G$3:G192,G192)</f>
        <v>130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7</v>
      </c>
      <c r="G193" t="str">
        <f t="shared" si="9"/>
        <v>7</v>
      </c>
      <c r="H193">
        <f>COUNTIF(G$3:G193,G193)</f>
        <v>131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7</v>
      </c>
      <c r="G194" t="str">
        <f t="shared" si="9"/>
        <v>7</v>
      </c>
      <c r="H194">
        <f>COUNTIF(G$3:G194,G194)</f>
        <v>132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7</v>
      </c>
      <c r="G195" t="str">
        <f t="shared" si="9"/>
        <v>7</v>
      </c>
      <c r="H195">
        <f>COUNTIF(G$3:G195,G195)</f>
        <v>133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7</v>
      </c>
      <c r="G196" t="str">
        <f t="shared" si="9"/>
        <v>7</v>
      </c>
      <c r="H196">
        <f>COUNTIF(G$3:G196,G196)</f>
        <v>134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7</v>
      </c>
      <c r="G197" t="str">
        <f t="shared" si="9"/>
        <v>7</v>
      </c>
      <c r="H197">
        <f>COUNTIF(G$3:G197,G197)</f>
        <v>135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7</v>
      </c>
      <c r="G198" t="str">
        <f t="shared" si="9"/>
        <v>7</v>
      </c>
      <c r="H198">
        <f>COUNTIF(G$3:G198,G198)</f>
        <v>136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7</v>
      </c>
      <c r="G199" t="str">
        <f t="shared" si="9"/>
        <v>7</v>
      </c>
      <c r="H199">
        <f>COUNTIF(G$3:G199,G199)</f>
        <v>137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7</v>
      </c>
      <c r="G200" t="str">
        <f t="shared" si="9"/>
        <v>7</v>
      </c>
      <c r="H200">
        <f>COUNTIF(G$3:G200,G200)</f>
        <v>138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7</v>
      </c>
      <c r="G201" t="str">
        <f t="shared" si="9"/>
        <v>7</v>
      </c>
      <c r="H201">
        <f>COUNTIF(G$3:G201,G201)</f>
        <v>139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7</v>
      </c>
      <c r="G202" t="str">
        <f t="shared" si="9"/>
        <v>7</v>
      </c>
      <c r="H202">
        <f>COUNTIF(G$3:G202,G202)</f>
        <v>140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C:\tk\prj\hg-0025-0016\git\kv-x520\doc\[kv_script_conv_TP1_popup.xlsx]info_index によって生成されました。
//1
IF strInfoType = 1 THEN
	//Return to origin operation
	IF uiInfoIdx = 1 THEN
		IF strInfoKey = 'name' THEN
			strRt	:= 'Return to origin operation';
		ELSIF strInfoKey = 'index_name' THEN
			strRt	:= '【11】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'【12】 Preparation for supply operation';
		ELSIF strInfoKey = 'model' THEN
			strRt	:= 'unknown';
		ELSIF strInfoKey = 'mf' THEN
			strRt	:= 'unknown';
		ELSE
			uiErrCode	:= 3;
		END_IF;
	//Cut operation
	ELSIF uiInfoIdx = 3 THEN
		IF strInfoKey = 'name' THEN
			strRt	:= 'Cut operation';
		ELSIF strInfoKey = 'index_name' THEN
			strRt	:= '【13】 Cut operation';
		ELSIF strInfoKey = 'model' THEN
			strRt	:= 'unknown';
		ELSIF strInfoKey = 'mf' THEN
			strRt	:= 'unknown';
		ELSE
			uiErrCode	:= 3;
		END_IF;
	//Start supply operation
	ELSIF uiInfoIdx = 6 THEN
		IF strInfoKey = 'name' THEN
			strRt	:= 'Start supply operation';
		ELSIF strInfoKey = 'index_name' THEN
			strRt	:= '【16】 Start supply operation';
		ELSIF strInfoKey = 'model' THEN
			strRt	:= 'unknown';
		ELSIF strInfoKey = 'mf' THEN
			strRt	:= 'unknown';
		ELSE
			uiErrCode	:= 3;
		END_IF;
	//Supply operation
	ELSIF uiInfoIdx = 7 THEN
		IF strInfoKey = 'name' THEN
			strRt	:= 'Supply operation';
		ELSIF strInfoKey = 'index_name' THEN
			strRt	:= '【17】 Supply operation';
		ELSIF strInfoKey = 'model' THEN
			strRt	:= 'unknown';
		ELSIF strInfoKey = 'mf' THEN
			strRt	:= 'unknown';
		ELSE
			uiErrCode	:= 3;
		END_IF;
	ELSE
		uiErrCode	:= 2;
	END_IF;
//2
ELSIF strInfoType = 2 THEN
	//Return to origin operation
	IF uiInfoIdx = 1 THEN
		IF strInfoKey = 'name' THEN
			strRt	:= 'Return to origin operation';
		ELSIF strInfoKey = 'index_name' THEN
			strRt	:= '【21】 Return to origin operation';
		ELSIF strInfoKey = 'model' THEN
			strRt	:= 'unknown';
		ELSIF strInfoKey = 'mf' THEN
			strRt	:= 'unknown';
		ELSE
			uiErrCode	:= 3;
		END_IF;
	//Preparation for supply operation
	ELSIF uiInfoIdx = 2 THEN
		IF strInfoKey = 'name' THEN
			strRt	:= 'Preparation for supply operation';
		ELSIF strInfoKey = 'index_name' THEN
			strRt	:= '【22】 Preparation for supply operation';
		ELSIF strInfoKey = 'model' THEN
			strRt	:= 'unknown';
		ELSIF strInfoKey = 'mf' THEN
			strRt	:= 'unknown';
		ELSE
			uiErrCode	:= 3;
		END_IF;
	//Start supply operation
	ELSIF uiInfoIdx = 3 THEN
		IF strInfoKey = 'name' THEN
			strRt	:= 'Start supply operation';
		ELSIF strInfoKey = 'index_name' THEN
			strRt	:= '【23】 Start supply operation';
		ELSIF strInfoKey = 'model' THEN
			strRt	:= 'unknown';
		ELSIF strInfoKey = 'mf' THEN
			strRt	:= 'unknown';
		ELSE
			uiErrCode	:= 3;
		END_IF;
	//Supply operation
	ELSIF uiInfoIdx = 4 THEN
		IF strInfoKey = 'name' THEN
			strRt	:= 'Supply operation';
		ELSIF strInfoKey = 'index_name' THEN
			strRt	:= '【24】 Supply operation';
		ELSIF strInfoKey = 'model' THEN
			strRt	:= 'unknown';
		ELSIF strInfoKey = 'mf' THEN
			strRt	:= 'unknown';
		ELSE
			uiErrCode	:= 3;
		END_IF;
	//Cut operation
	ELSIF uiInfoIdx = 5 THEN
		IF strInfoKey = 'name' THEN
			strRt	:= 'Cut operation';
		ELSIF strInfoKey = 'index_name' THEN
			strRt	:= '【25】 Cut operation';
		ELSIF strInfoKey = 'model' THEN
			strRt	:= 'unknown';
		ELSIF strInfoKey = 'mf' THEN
			strRt	:= 'unknown';
		ELSE
			uiErrCode	:= 3;
		END_IF;
	//Supply confirmation operation
	ELSIF uiInfoIdx = 6 THEN
		IF strInfoKey = 'name' THEN
			strRt	:= 'Supply confirmation operation';
		ELSIF strInfoKey = 'index_name' THEN
			strRt	:= '【26】 Supply confirmation operation';
		ELSIF strInfoKey = 'model' THEN
			strRt	:= 'unknown';
		ELSIF strInfoKey = 'mf' THEN
			strRt	:= 'unknown';
		ELSE
			uiErrCode	:= 3;
		END_IF;
	ELSE
		uiErrCode	:= 2;
	END_IF;
//3
ELSIF strInfoType = 3 THEN
	//Home return operation
	IF uiInfoIdx = 1 THEN
		IF strInfoKey = 'name' THEN
			strRt	:= 'Home return operation';
		ELSIF strInfoKey = 'index_name' THEN
			strRt	:= '【31】 Home return operation';
		ELSIF strInfoKey = 'model' THEN
			strRt	:= 'unknown';
		ELSIF strInfoKey = 'mf' THEN
			strRt	:= 'unknown';
		ELSE
			uiErrCode	:= 3;
		END_IF;
	//Supply preparation operation
	ELSIF uiInfoIdx = 2 THEN
		IF strInfoKey = 'name' THEN
			strRt	:= 'Supply preparation operation';
		ELSIF strInfoKey = 'index_name' THEN
			strRt	:= '【32】 Supply preparation operation';
		ELSIF strInfoKey = 'model' THEN
			strRt	:= 'unknown';
		ELSIF strInfoKey = 'mf' THEN
			strRt	:= 'unknown';
		ELSE
			uiErrCode	:= 3;
		END_IF;
	//supply operation
	ELSIF uiInfoIdx = 3 THEN
		IF strInfoKey = 'name' THEN
			strRt	:= 'supply operation';
		ELSIF strInfoKey = 'index_name' THEN
			strRt	:= '【33】 supply operation';
		ELSIF strInfoKey = 'model' THEN
			strRt	:= 'unknown';
		ELSIF strInfoKey = 'mf' THEN
			strRt	:= 'unknown';
		ELSE
			uiErrCode	:= 3;
		END_IF;
	ELSE
		uiErrCode	:= 2;
	END_IF;
//4
ELSIF strInfoType = 4 THEN
	//Home return operation
	IF uiInfoIdx = 1 THEN
		IF strInfoKey = 'name' THEN
			strRt	:= 'Home return operation';
		ELSIF strInfoKey = 'index_name' THEN
			strRt	:= '【41】 Home return operation';
		ELSIF strInfoKey = 'model' THEN
			strRt	:= 'unknown';
		ELSIF strInfoKey = 'mf' THEN
			strRt	:= 'unknown';
		ELSE
			uiErrCode	:= 3;
		END_IF;
	//Circumference gauge preset
	ELSIF uiInfoIdx = 2 THEN
		IF strInfoKey = 'name' THEN
			strRt	:= 'Circumference gauge preset';
		ELSIF strInfoKey = 'index_name' THEN
			strRt	:= '【42】 Circumference gauge preset';
		ELSIF strInfoKey = 'model' THEN
			strRt	:= 'unknown';
		ELSIF strInfoKey = 'mf' THEN
			strRt	:= 'unknown';
		ELSE
			uiErrCode	:= 3;
		END_IF;
	//Winding preparation operation
	ELSIF uiInfoIdx = 3 THEN
		IF strInfoKey = 'name' THEN
			strRt	:= 'Winding preparation operation';
		ELSIF strInfoKey = 'index_name' THEN
			strRt	:= '【43】 Winding preparation operation';
		ELSIF strInfoKey = 'model' THEN
			strRt	:= 'unknown';
		ELSIF strInfoKey = 'mf' THEN
			strRt	:= 'unknown';
		ELSE
			uiErrCode	:= 3;
		END_IF;
	//Winding operation
	ELSIF uiInfoIdx = 4 THEN
		IF strInfoKey = 'name' THEN
			strRt	:= 'Winding operation';
		ELSIF strInfoKey = 'index_name' THEN
			strRt	:= '【44】 Winding operation';
		ELSIF strInfoKey = 'model' THEN
			strRt	:= 'unknown';
		ELSIF strInfoKey = 'mf' THEN
			strRt	:= 'unknown';
		ELSE
			uiErrCode	:= 3;
		END_IF;
	//Foil brazing operation
	ELSIF uiInfoIdx = 5 THEN
		IF strInfoKey = 'name' THEN
			strRt	:= 'Foil brazing operation';
		ELSIF strInfoKey = 'index_name' THEN
			strRt	:= '【45】 Foil brazing operation';
		ELSIF strInfoKey = 'model' THEN
			strRt	:= 'unknown';
		ELSIF strInfoKey = 'mf' THEN
			strRt	:= 'unknown';
		ELSE
			uiErrCode	:= 3;
		END_IF;
	//Circumference measurement operation
	ELSIF uiInfoIdx = 6 THEN
		IF strInfoKey = 'name' THEN
			strRt	:= 'Circumference measurement operation';
		ELSIF strInfoKey = 'index_name' THEN
			strRt	:= '【46】 Circumference measurement operation';
		ELSIF strInfoKey = 'model' THEN
			strRt	:= 'unknown';
		ELSIF strInfoKey = 'mf' THEN
			strRt	:= 'unknown';
		ELSE
			uiErrCode	:= 3;
		END_IF;
	ELSE
		uiErrCode	:= 2;
	END_IF;
//5
ELSIF strInfoType = 5 THEN
	//Home return operation
	IF uiInfoIdx = 1 THEN
		IF strInfoKey = 'name' THEN
			strRt	:= 'Home return operation';
		ELSIF strInfoKey = 'index_name' THEN
			strRt	:= '【51】 Home return operation';
		ELSIF strInfoKey = 'model' THEN
			strRt	:= 'unknown';
		ELSIF strInfoKey = 'mf' THEN
			strRt	:= 'unknown';
		ELSE
			uiErrCode	:= 3;
		END_IF;
	//Winding clamping operation
	ELSIF uiInfoIdx = 2 THEN
		IF strInfoKey = 'name' THEN
			strRt	:= 'Winding clamping operation';
		ELSIF strInfoKey = 'index_name' THEN
			strRt	:= '【52】 Winding clamping operation';
		ELSIF strInfoKey = 'model' THEN
			strRt	:= 'unknown';
		ELSIF strInfoKey = 'mf' THEN
			strRt	:= 'unknown';
		ELSE
			uiErrCode	:= 3;
		END_IF;
	//Welding operation
	ELSIF uiInfoIdx = 3 THEN
		IF strInfoKey = 'name' THEN
			strRt	:= 'Welding operation';
		ELSIF strInfoKey = 'index_name' THEN
			strRt	:= '【53】 Welding operation';
		ELSIF strInfoKey = 'model' THEN
			strRt	:= 'unknown';
		ELSIF strInfoKey = 'mf' THEN
			strRt	:= 'unknown';
		ELSE
			uiErrCode	:= 3;
		END_IF;
	ELSE
		uiErrCode	:= 2;
	END_IF;
//6
ELSIF strInfoType = 6 THEN
	//Return to origin operation
	IF uiInfoIdx = 1 THEN
		IF strInfoKey = 'name' THEN
			strRt	:= 'Return to origin operation';
		ELSIF strInfoKey = 'index_name' THEN
			strRt	:= '【61】 Return to origin operation';
		ELSIF strInfoKey = 'model' THEN
			strRt	:= 'unknown';
		ELSIF strInfoKey = 'mf' THEN
			strRt	:= 'unknown';
		ELSE
			uiErrCode	:= 3;
		END_IF;
	//Discharge operation
	ELSIF uiInfoIdx = 2 THEN
		IF strInfoKey = 'name' THEN
			strRt	:= 'Discharge operation';
		ELSIF strInfoKey = 'index_name' THEN
			strRt	:= '【62】 Discharge operation';
		ELSIF strInfoKey = 'model' THEN
			strRt	:= 'unknown';
		ELSIF strInfoKey = 'mf' THEN
			strRt	:= 'unknown';
		ELSE
			uiErrCode	:= 3;
		END_IF;
	//Measurement preparation
	ELSIF uiInfoIdx = 6 THEN
		IF strInfoKey = 'name' THEN
			strRt	:= 'Measurement preparation';
		ELSIF strInfoKey = 'index_name' THEN
			strRt	:= '【66】 Measurement preparation';
		ELSIF strInfoKey = 'model' THEN
			strRt	:= 'unknown';
		ELSIF strInfoKey = 'mf' THEN
			strRt	:= 'unknown';
		ELSE
			uiErrCode	:= 3;
		END_IF;
	//Measurement operation during winding
	ELSIF uiInfoIdx = 7 THEN
		IF strInfoKey = 'name' THEN
			strRt	:= 'Measurement operation during winding';
		ELSIF strInfoKey = 'index_name' THEN
			strRt	:= '【67】 Measurement operation during winding';
		ELSIF strInfoKey = 'model' THEN
			strRt	:= 'unknown';
		ELSIF strInfoKey = 'mf' THEN
			strRt	:= 'unknown';
		ELSE
			uiErrCode	:= 3;
		END_IF;
	ELSE
		uiErrCode	:= 2;
	END_IF;
//7
ELSIF strInfoType = 7 THEN
	//Return to origin operation
	IF uiInfoIdx = 1 THEN
		IF strInfoKey = 'name' THEN
			strRt	:= 'Return to origin operation';
		ELSIF strInfoKey = 'index_name' THEN
			strRt	:= '【71】 Return to origin operation';
		ELSIF strInfoKey = 'model' THEN
			strRt	:= 'unknown';
		ELSIF strInfoKey = 'mf' THEN
			strRt	:= 'unknown';
		ELSE
			uiErrCode	:= 3;
		END_IF;
	//Gluing operation
	ELSIF uiInfoIdx = 6 THEN
		IF strInfoKey = 'name' THEN
			strRt	:= 'Gluing operation';
		ELSIF strInfoKey = 'index_name' THEN
			strRt	:= '【76】 Gluing operation';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2026-02-16T11:08:42Z</dcterms:modified>
</cp:coreProperties>
</file>