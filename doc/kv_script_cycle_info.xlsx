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A0783D7D-DDBA-499E-897B-40F1A1736272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1" l="1"/>
  <c r="C27" i="1"/>
  <c r="D27" i="1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7" i="1"/>
  <c r="F95" i="1"/>
  <c r="A95" i="1"/>
  <c r="F6" i="3" l="1"/>
  <c r="G5" i="3"/>
  <c r="H5" i="3" s="1"/>
  <c r="F60" i="3"/>
  <c r="G59" i="3"/>
  <c r="F42" i="3"/>
  <c r="G42" i="3" s="1"/>
  <c r="G41" i="3"/>
  <c r="F51" i="3"/>
  <c r="G50" i="3"/>
  <c r="E16" i="1"/>
  <c r="E22" i="1" s="1"/>
  <c r="E25" i="1" s="1"/>
  <c r="D22" i="1"/>
  <c r="C25" i="1"/>
  <c r="C18" i="1"/>
  <c r="D17" i="1"/>
  <c r="D8" i="1"/>
  <c r="C15" i="1"/>
  <c r="D14" i="1"/>
  <c r="C23" i="1"/>
  <c r="H4" i="3"/>
  <c r="F7" i="3" l="1"/>
  <c r="G6" i="3"/>
  <c r="G51" i="3"/>
  <c r="F52" i="3"/>
  <c r="G52" i="3" s="1"/>
  <c r="G60" i="3"/>
  <c r="F61" i="3"/>
  <c r="E30" i="1"/>
  <c r="E26" i="1"/>
  <c r="E29" i="1" s="1"/>
  <c r="E17" i="1"/>
  <c r="E18" i="1" s="1"/>
  <c r="E19" i="1" s="1"/>
  <c r="E20" i="1" s="1"/>
  <c r="E21" i="1" s="1"/>
  <c r="C26" i="1"/>
  <c r="D25" i="1"/>
  <c r="C30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F8" i="3" l="1"/>
  <c r="G7" i="3"/>
  <c r="H7" i="3" s="1"/>
  <c r="F62" i="3"/>
  <c r="G62" i="3" s="1"/>
  <c r="G61" i="3"/>
  <c r="D11" i="1"/>
  <c r="C28" i="1"/>
  <c r="C29" i="1" s="1"/>
  <c r="D29" i="1" s="1"/>
  <c r="D26" i="1"/>
  <c r="E32" i="1"/>
  <c r="C31" i="1"/>
  <c r="C32" i="1"/>
  <c r="D30" i="1"/>
  <c r="D10" i="1"/>
  <c r="C20" i="1"/>
  <c r="D19" i="1"/>
  <c r="D24" i="1"/>
  <c r="G8" i="3" l="1"/>
  <c r="H8" i="3" s="1"/>
  <c r="F9" i="3"/>
  <c r="D20" i="1"/>
  <c r="C21" i="1"/>
  <c r="D28" i="1"/>
  <c r="D32" i="1"/>
  <c r="C37" i="1"/>
  <c r="C33" i="1"/>
  <c r="D31" i="1"/>
  <c r="E37" i="1"/>
  <c r="E33" i="1"/>
  <c r="E34" i="1" s="1"/>
  <c r="E35" i="1" s="1"/>
  <c r="E36" i="1" s="1"/>
  <c r="G9" i="3" l="1"/>
  <c r="F10" i="3"/>
  <c r="D21" i="1"/>
  <c r="E38" i="1"/>
  <c r="E39" i="1" s="1"/>
  <c r="E40" i="1" s="1"/>
  <c r="E41" i="1" s="1"/>
  <c r="E42" i="1"/>
  <c r="C34" i="1"/>
  <c r="D33" i="1"/>
  <c r="C42" i="1"/>
  <c r="D37" i="1"/>
  <c r="C38" i="1"/>
  <c r="G10" i="3" l="1"/>
  <c r="F11" i="3"/>
  <c r="H9" i="3"/>
  <c r="E47" i="1"/>
  <c r="E43" i="1"/>
  <c r="E44" i="1" s="1"/>
  <c r="E45" i="1" s="1"/>
  <c r="E46" i="1" s="1"/>
  <c r="C39" i="1"/>
  <c r="D38" i="1"/>
  <c r="C47" i="1"/>
  <c r="C43" i="1"/>
  <c r="D42" i="1"/>
  <c r="D34" i="1"/>
  <c r="C35" i="1"/>
  <c r="G11" i="3" l="1"/>
  <c r="H11" i="3" s="1"/>
  <c r="F12" i="3"/>
  <c r="G12" i="3" s="1"/>
  <c r="H30" i="3"/>
  <c r="H10" i="3"/>
  <c r="H33" i="3"/>
  <c r="C44" i="1"/>
  <c r="D43" i="1"/>
  <c r="C52" i="1"/>
  <c r="D47" i="1"/>
  <c r="C48" i="1"/>
  <c r="D39" i="1"/>
  <c r="C40" i="1"/>
  <c r="D35" i="1"/>
  <c r="C36" i="1"/>
  <c r="D36" i="1" s="1"/>
  <c r="E52" i="1"/>
  <c r="E48" i="1"/>
  <c r="E49" i="1" s="1"/>
  <c r="E50" i="1" s="1"/>
  <c r="E51" i="1" s="1"/>
  <c r="H29" i="3" l="1"/>
  <c r="H31" i="3"/>
  <c r="H32" i="3"/>
  <c r="H28" i="3"/>
  <c r="H34" i="3"/>
  <c r="C41" i="1"/>
  <c r="D41" i="1" s="1"/>
  <c r="D40" i="1"/>
  <c r="D48" i="1"/>
  <c r="C49" i="1"/>
  <c r="C57" i="1"/>
  <c r="D52" i="1"/>
  <c r="C53" i="1"/>
  <c r="E57" i="1"/>
  <c r="E53" i="1"/>
  <c r="E54" i="1" s="1"/>
  <c r="E55" i="1" s="1"/>
  <c r="E56" i="1" s="1"/>
  <c r="D44" i="1"/>
  <c r="C45" i="1"/>
  <c r="H12" i="3"/>
  <c r="H35" i="3" l="1"/>
  <c r="C54" i="1"/>
  <c r="D53" i="1"/>
  <c r="C50" i="1"/>
  <c r="D49" i="1"/>
  <c r="E58" i="1"/>
  <c r="E59" i="1" s="1"/>
  <c r="E60" i="1" s="1"/>
  <c r="E61" i="1" s="1"/>
  <c r="E62" i="1"/>
  <c r="C62" i="1"/>
  <c r="D57" i="1"/>
  <c r="C58" i="1"/>
  <c r="C46" i="1"/>
  <c r="D46" i="1" s="1"/>
  <c r="D45" i="1"/>
  <c r="H13" i="3"/>
  <c r="H36" i="3" l="1"/>
  <c r="C67" i="1"/>
  <c r="D62" i="1"/>
  <c r="C63" i="1"/>
  <c r="D50" i="1"/>
  <c r="C51" i="1"/>
  <c r="D51" i="1" s="1"/>
  <c r="E63" i="1"/>
  <c r="E64" i="1" s="1"/>
  <c r="E65" i="1" s="1"/>
  <c r="E66" i="1" s="1"/>
  <c r="E67" i="1"/>
  <c r="D58" i="1"/>
  <c r="C59" i="1"/>
  <c r="D54" i="1"/>
  <c r="C55" i="1"/>
  <c r="H14" i="3"/>
  <c r="H37" i="3" l="1"/>
  <c r="E68" i="1"/>
  <c r="E69" i="1" s="1"/>
  <c r="E70" i="1" s="1"/>
  <c r="E71" i="1" s="1"/>
  <c r="E72" i="1"/>
  <c r="D55" i="1"/>
  <c r="C56" i="1"/>
  <c r="D56" i="1" s="1"/>
  <c r="D63" i="1"/>
  <c r="C64" i="1"/>
  <c r="C60" i="1"/>
  <c r="D59" i="1"/>
  <c r="D67" i="1"/>
  <c r="C72" i="1"/>
  <c r="C68" i="1"/>
  <c r="H15" i="3"/>
  <c r="H38" i="3" l="1"/>
  <c r="D64" i="1"/>
  <c r="C65" i="1"/>
  <c r="D60" i="1"/>
  <c r="C61" i="1"/>
  <c r="D61" i="1" s="1"/>
  <c r="D68" i="1"/>
  <c r="C69" i="1"/>
  <c r="D72" i="1"/>
  <c r="C77" i="1"/>
  <c r="C73" i="1"/>
  <c r="E77" i="1"/>
  <c r="E73" i="1"/>
  <c r="E74" i="1" s="1"/>
  <c r="E75" i="1" s="1"/>
  <c r="E76" i="1" s="1"/>
  <c r="H16" i="3"/>
  <c r="H39" i="3" l="1"/>
  <c r="C82" i="1"/>
  <c r="D77" i="1"/>
  <c r="C78" i="1"/>
  <c r="C70" i="1"/>
  <c r="D69" i="1"/>
  <c r="E82" i="1"/>
  <c r="E78" i="1"/>
  <c r="E79" i="1" s="1"/>
  <c r="E80" i="1" s="1"/>
  <c r="E81" i="1" s="1"/>
  <c r="C66" i="1"/>
  <c r="D66" i="1" s="1"/>
  <c r="D65" i="1"/>
  <c r="C74" i="1"/>
  <c r="D73" i="1"/>
  <c r="H17" i="3"/>
  <c r="H40" i="3" l="1"/>
  <c r="E83" i="1"/>
  <c r="E84" i="1" s="1"/>
  <c r="E85" i="1" s="1"/>
  <c r="E86" i="1" s="1"/>
  <c r="E87" i="1"/>
  <c r="E88" i="1" s="1"/>
  <c r="E89" i="1" s="1"/>
  <c r="E90" i="1" s="1"/>
  <c r="E91" i="1" s="1"/>
  <c r="C71" i="1"/>
  <c r="D71" i="1" s="1"/>
  <c r="D70" i="1"/>
  <c r="C79" i="1"/>
  <c r="D78" i="1"/>
  <c r="C75" i="1"/>
  <c r="D74" i="1"/>
  <c r="C83" i="1"/>
  <c r="C87" i="1"/>
  <c r="D82" i="1"/>
  <c r="H18" i="3"/>
  <c r="H41" i="3" l="1"/>
  <c r="D75" i="1"/>
  <c r="C76" i="1"/>
  <c r="D76" i="1" s="1"/>
  <c r="D79" i="1"/>
  <c r="C80" i="1"/>
  <c r="C88" i="1"/>
  <c r="D87" i="1"/>
  <c r="D83" i="1"/>
  <c r="C84" i="1"/>
  <c r="H19" i="3"/>
  <c r="H42" i="3" l="1"/>
  <c r="D80" i="1"/>
  <c r="C81" i="1"/>
  <c r="D81" i="1" s="1"/>
  <c r="C89" i="1"/>
  <c r="D88" i="1"/>
  <c r="D84" i="1"/>
  <c r="C85" i="1"/>
  <c r="H20" i="3"/>
  <c r="H43" i="3" l="1"/>
  <c r="D89" i="1"/>
  <c r="C90" i="1"/>
  <c r="D85" i="1"/>
  <c r="C86" i="1"/>
  <c r="D86" i="1" s="1"/>
  <c r="H21" i="3"/>
  <c r="H44" i="3" l="1"/>
  <c r="C91" i="1"/>
  <c r="D91" i="1" s="1"/>
  <c r="D90" i="1"/>
  <c r="H22" i="3"/>
  <c r="H45" i="3" l="1"/>
  <c r="H23" i="3"/>
  <c r="H46" i="3" l="1"/>
  <c r="E97" i="1"/>
  <c r="D97" i="1"/>
  <c r="D99" i="1"/>
  <c r="E99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<sst xmlns="http://schemas.openxmlformats.org/spreadsheetml/2006/main" count="163" uniqueCount="120">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</sst>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5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9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11" sqref="G11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1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100</v>
      </c>
      <c r="I9" s="5" t="s">
        <v>105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109</v>
      </c>
      <c r="I10" s="5" t="s">
        <v>110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v>6</v>
      </c>
      <c r="F11" s="5"/>
      <c r="G11" s="5" t="s">
        <v>73</v>
      </c>
      <c r="H11" s="5" t="s">
        <v>96</v>
      </c>
      <c r="I11" s="5" t="s">
        <v>103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7</v>
      </c>
      <c r="F12" s="5"/>
      <c r="G12" s="5" t="s">
        <v>73</v>
      </c>
      <c r="H12" s="5" t="s">
        <v>97</v>
      </c>
      <c r="I12" s="5" t="s">
        <v>104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1" si="8">C13</f>
        <v>3</v>
      </c>
      <c r="D14" s="4" t="str">
        <f t="shared" si="0"/>
        <v>3</v>
      </c>
      <c r="E14" s="4">
        <f t="shared" ref="E14:E71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:C27" si="15">C25</f>
        <v>6</v>
      </c>
      <c r="D26" s="4" t="str">
        <f t="shared" si="0"/>
        <v>6</v>
      </c>
      <c r="E26" s="4">
        <f t="shared" ref="E26:E27" si="16">E25+1</f>
        <v>2</v>
      </c>
      <c r="F26" s="9"/>
      <c r="G26" s="5" t="s">
        <v>77</v>
      </c>
      <c r="H26" s="9" t="s">
        <v>117</v>
      </c>
      <c r="I26" s="9" t="s">
        <v>118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15"/>
        <v>6</v>
      </c>
      <c r="D27" s="4" t="str">
        <f t="shared" ref="D27" si="17">B27&amp;C27</f>
        <v>6</v>
      </c>
      <c r="E27" s="4">
        <f t="shared" si="16"/>
        <v>3</v>
      </c>
      <c r="F27" s="9"/>
      <c r="G27" s="5" t="s">
        <v>77</v>
      </c>
      <c r="H27" s="9" t="s">
        <v>116</v>
      </c>
      <c r="I27" s="9" t="s">
        <v>119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>C26</f>
        <v>6</v>
      </c>
      <c r="D28" s="4" t="str">
        <f t="shared" si="0"/>
        <v>6</v>
      </c>
      <c r="E28" s="4">
        <v>6</v>
      </c>
      <c r="F28" s="5"/>
      <c r="G28" s="5" t="s">
        <v>77</v>
      </c>
      <c r="H28" s="5" t="s">
        <v>106</v>
      </c>
      <c r="I28" s="5" t="s">
        <v>107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 t="shared" si="8"/>
        <v>6</v>
      </c>
      <c r="D29" s="4" t="str">
        <f t="shared" ref="D29" si="18">B29&amp;C29</f>
        <v>6</v>
      </c>
      <c r="E29" s="4">
        <f t="shared" si="9"/>
        <v>7</v>
      </c>
      <c r="F29" s="5"/>
      <c r="G29" s="5" t="s">
        <v>77</v>
      </c>
      <c r="H29" s="5" t="s">
        <v>80</v>
      </c>
      <c r="I29" s="5" t="s">
        <v>108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/>
      <c r="B30" s="4"/>
      <c r="C30" s="4">
        <f>C25+1</f>
        <v>7</v>
      </c>
      <c r="D30" s="4" t="str">
        <f t="shared" si="0"/>
        <v>7</v>
      </c>
      <c r="E30" s="4">
        <f>E25</f>
        <v>1</v>
      </c>
      <c r="F30" s="9"/>
      <c r="G30" s="9" t="s">
        <v>112</v>
      </c>
      <c r="H30" s="9" t="s">
        <v>113</v>
      </c>
      <c r="I30" s="9" t="s">
        <v>101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ref="C31" si="19">C30</f>
        <v>7</v>
      </c>
      <c r="D31" s="4" t="str">
        <f t="shared" si="0"/>
        <v>7</v>
      </c>
      <c r="E31" s="4">
        <v>6</v>
      </c>
      <c r="F31" s="9"/>
      <c r="G31" s="9" t="s">
        <v>111</v>
      </c>
      <c r="H31" s="9" t="s">
        <v>114</v>
      </c>
      <c r="I31" s="9" t="s">
        <v>115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26"/>
      <c r="B32" s="4"/>
      <c r="C32" s="26">
        <f>C30+1</f>
        <v>8</v>
      </c>
      <c r="D32" s="26" t="str">
        <f t="shared" si="0"/>
        <v>8</v>
      </c>
      <c r="E32" s="4">
        <f>E30</f>
        <v>1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ref="C33" si="20">C32</f>
        <v>8</v>
      </c>
      <c r="D33" s="26" t="str">
        <f t="shared" si="0"/>
        <v>8</v>
      </c>
      <c r="E33" s="4">
        <f t="shared" ref="E33" si="21">E32+1</f>
        <v>2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26"/>
      <c r="B34" s="4"/>
      <c r="C34" s="26">
        <f t="shared" si="8"/>
        <v>8</v>
      </c>
      <c r="D34" s="26" t="str">
        <f t="shared" si="0"/>
        <v>8</v>
      </c>
      <c r="E34" s="4">
        <f t="shared" si="9"/>
        <v>3</v>
      </c>
      <c r="F34" s="11"/>
      <c r="G34" s="11"/>
      <c r="H34" s="11"/>
      <c r="I34" s="11"/>
      <c r="J34" s="11"/>
      <c r="K34" s="11"/>
      <c r="L34" s="11"/>
      <c r="M34" s="11"/>
      <c r="N34" s="12"/>
      <c r="O34" s="23"/>
      <c r="P34" s="23"/>
      <c r="Q34" s="23"/>
      <c r="R34" s="7"/>
    </row>
    <row r="35" spans="1:18" x14ac:dyDescent="0.55000000000000004">
      <c r="A35" s="4"/>
      <c r="B35" s="4"/>
      <c r="C35" s="4">
        <f t="shared" si="8"/>
        <v>8</v>
      </c>
      <c r="D35" s="4" t="str">
        <f t="shared" si="0"/>
        <v>8</v>
      </c>
      <c r="E35" s="4">
        <f t="shared" si="9"/>
        <v>4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8"/>
        <v>8</v>
      </c>
      <c r="D36" s="4" t="str">
        <f t="shared" si="0"/>
        <v>8</v>
      </c>
      <c r="E36" s="4">
        <f t="shared" si="9"/>
        <v>5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2">C32+1</f>
        <v>9</v>
      </c>
      <c r="D37" s="4" t="str">
        <f t="shared" si="0"/>
        <v>9</v>
      </c>
      <c r="E37" s="4">
        <f t="shared" ref="E37" si="23">E32</f>
        <v>1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4">C37</f>
        <v>9</v>
      </c>
      <c r="D38" s="4" t="str">
        <f t="shared" si="0"/>
        <v>9</v>
      </c>
      <c r="E38" s="4">
        <f t="shared" ref="E38" si="25">E37+1</f>
        <v>2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8"/>
        <v>9</v>
      </c>
      <c r="D39" s="4" t="str">
        <f t="shared" si="0"/>
        <v>9</v>
      </c>
      <c r="E39" s="4">
        <f t="shared" si="9"/>
        <v>3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9</v>
      </c>
      <c r="D40" s="4" t="str">
        <f t="shared" si="0"/>
        <v>9</v>
      </c>
      <c r="E40" s="4">
        <f t="shared" si="9"/>
        <v>4</v>
      </c>
      <c r="F40" s="5"/>
      <c r="G40" s="5"/>
      <c r="H40" s="5"/>
      <c r="I40" s="5"/>
      <c r="J40" s="5"/>
      <c r="K40" s="13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8"/>
        <v>9</v>
      </c>
      <c r="D41" s="4" t="str">
        <f t="shared" si="0"/>
        <v>9</v>
      </c>
      <c r="E41" s="4">
        <f t="shared" si="9"/>
        <v>5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6">C37+1</f>
        <v>10</v>
      </c>
      <c r="D42" s="4" t="str">
        <f t="shared" si="0"/>
        <v>10</v>
      </c>
      <c r="E42" s="4">
        <f t="shared" ref="E42" si="27">E37</f>
        <v>1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8">C42</f>
        <v>10</v>
      </c>
      <c r="D43" s="4" t="str">
        <f t="shared" si="0"/>
        <v>10</v>
      </c>
      <c r="E43" s="4">
        <f t="shared" ref="E43" si="29">E42+1</f>
        <v>2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8"/>
        <v>10</v>
      </c>
      <c r="D44" s="4" t="str">
        <f t="shared" si="0"/>
        <v>10</v>
      </c>
      <c r="E44" s="4">
        <f t="shared" si="9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10</v>
      </c>
      <c r="D45" s="4" t="str">
        <f t="shared" si="0"/>
        <v>10</v>
      </c>
      <c r="E45" s="4">
        <f t="shared" si="9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8"/>
        <v>10</v>
      </c>
      <c r="D46" s="4" t="str">
        <f t="shared" si="0"/>
        <v>10</v>
      </c>
      <c r="E46" s="4">
        <f t="shared" si="9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0">C42+1</f>
        <v>11</v>
      </c>
      <c r="D47" s="4" t="str">
        <f t="shared" si="0"/>
        <v>11</v>
      </c>
      <c r="E47" s="4">
        <f t="shared" ref="E47" si="31">E42</f>
        <v>1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2">C47</f>
        <v>11</v>
      </c>
      <c r="D48" s="4" t="str">
        <f t="shared" si="0"/>
        <v>11</v>
      </c>
      <c r="E48" s="4">
        <f t="shared" ref="E48" si="33">E47+1</f>
        <v>2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8"/>
        <v>11</v>
      </c>
      <c r="D49" s="4" t="str">
        <f t="shared" si="0"/>
        <v>11</v>
      </c>
      <c r="E49" s="4">
        <f t="shared" si="9"/>
        <v>3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11</v>
      </c>
      <c r="D50" s="4" t="str">
        <f t="shared" si="0"/>
        <v>11</v>
      </c>
      <c r="E50" s="4">
        <f t="shared" si="9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8"/>
        <v>11</v>
      </c>
      <c r="D51" s="4" t="str">
        <f t="shared" si="0"/>
        <v>11</v>
      </c>
      <c r="E51" s="4">
        <f t="shared" si="9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4">C47+1</f>
        <v>12</v>
      </c>
      <c r="D52" s="4" t="str">
        <f t="shared" si="0"/>
        <v>12</v>
      </c>
      <c r="E52" s="4">
        <f t="shared" ref="E52" si="35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6">C52</f>
        <v>12</v>
      </c>
      <c r="D53" s="4" t="str">
        <f t="shared" si="0"/>
        <v>12</v>
      </c>
      <c r="E53" s="4">
        <f t="shared" ref="E53" si="37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8"/>
        <v>12</v>
      </c>
      <c r="D54" s="4" t="str">
        <f t="shared" si="0"/>
        <v>12</v>
      </c>
      <c r="E54" s="4">
        <f t="shared" si="9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12</v>
      </c>
      <c r="D55" s="4" t="str">
        <f t="shared" si="0"/>
        <v>12</v>
      </c>
      <c r="E55" s="4">
        <f t="shared" si="9"/>
        <v>4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8"/>
        <v>12</v>
      </c>
      <c r="D56" s="4" t="str">
        <f t="shared" si="0"/>
        <v>12</v>
      </c>
      <c r="E56" s="4">
        <f t="shared" si="9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8">C52+1</f>
        <v>13</v>
      </c>
      <c r="D57" s="4" t="str">
        <f t="shared" si="0"/>
        <v>13</v>
      </c>
      <c r="E57" s="4">
        <f t="shared" ref="E57" si="39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:C88" si="40">C57</f>
        <v>13</v>
      </c>
      <c r="D58" s="4" t="str">
        <f t="shared" si="0"/>
        <v>13</v>
      </c>
      <c r="E58" s="4">
        <f t="shared" ref="E58" si="41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8"/>
        <v>13</v>
      </c>
      <c r="D59" s="4" t="str">
        <f t="shared" si="0"/>
        <v>13</v>
      </c>
      <c r="E59" s="4">
        <f t="shared" si="9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13</v>
      </c>
      <c r="D60" s="4" t="str">
        <f t="shared" si="0"/>
        <v>13</v>
      </c>
      <c r="E60" s="4">
        <f t="shared" si="9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8"/>
        <v>13</v>
      </c>
      <c r="D61" s="4" t="str">
        <f t="shared" si="0"/>
        <v>13</v>
      </c>
      <c r="E61" s="4">
        <f t="shared" si="9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8"/>
        <v>14</v>
      </c>
      <c r="D62" s="4" t="str">
        <f t="shared" ref="D62:D91" si="42">B62&amp;C62</f>
        <v>14</v>
      </c>
      <c r="E62" s="4">
        <f t="shared" ref="E62" si="43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40"/>
        <v>14</v>
      </c>
      <c r="D63" s="4" t="str">
        <f t="shared" si="42"/>
        <v>14</v>
      </c>
      <c r="E63" s="4">
        <f t="shared" ref="E63" si="44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8"/>
        <v>14</v>
      </c>
      <c r="D64" s="4" t="str">
        <f t="shared" si="42"/>
        <v>14</v>
      </c>
      <c r="E64" s="4">
        <f t="shared" si="9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14</v>
      </c>
      <c r="D65" s="4" t="str">
        <f t="shared" si="42"/>
        <v>14</v>
      </c>
      <c r="E65" s="4">
        <f t="shared" si="9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8"/>
        <v>14</v>
      </c>
      <c r="D66" s="4" t="str">
        <f t="shared" si="42"/>
        <v>14</v>
      </c>
      <c r="E66" s="4">
        <f t="shared" si="9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8"/>
        <v>15</v>
      </c>
      <c r="D67" s="4" t="str">
        <f t="shared" si="42"/>
        <v>15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40"/>
        <v>15</v>
      </c>
      <c r="D68" s="4" t="str">
        <f t="shared" si="42"/>
        <v>15</v>
      </c>
      <c r="E68" s="4">
        <f t="shared" ref="E68" si="46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8"/>
        <v>15</v>
      </c>
      <c r="D69" s="4" t="str">
        <f t="shared" si="42"/>
        <v>15</v>
      </c>
      <c r="E69" s="4">
        <f t="shared" si="9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15</v>
      </c>
      <c r="D70" s="4" t="str">
        <f t="shared" si="42"/>
        <v>15</v>
      </c>
      <c r="E70" s="4">
        <f t="shared" si="9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8"/>
        <v>15</v>
      </c>
      <c r="D71" s="4" t="str">
        <f t="shared" si="42"/>
        <v>15</v>
      </c>
      <c r="E71" s="4">
        <f t="shared" si="9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8"/>
        <v>16</v>
      </c>
      <c r="D72" s="4" t="str">
        <f t="shared" si="42"/>
        <v>16</v>
      </c>
      <c r="E72" s="4">
        <f t="shared" ref="E72" si="47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40"/>
        <v>16</v>
      </c>
      <c r="D73" s="4" t="str">
        <f t="shared" si="42"/>
        <v>16</v>
      </c>
      <c r="E73" s="4">
        <f t="shared" ref="E73:E91" si="48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8"/>
        <v>16</v>
      </c>
      <c r="D74" s="4" t="str">
        <f t="shared" si="42"/>
        <v>16</v>
      </c>
      <c r="E74" s="4">
        <f t="shared" si="48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16</v>
      </c>
      <c r="D75" s="4" t="str">
        <f t="shared" si="42"/>
        <v>16</v>
      </c>
      <c r="E75" s="4">
        <f t="shared" si="48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8"/>
        <v>16</v>
      </c>
      <c r="D76" s="4" t="str">
        <f t="shared" si="42"/>
        <v>16</v>
      </c>
      <c r="E76" s="4">
        <f t="shared" si="48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8"/>
        <v>17</v>
      </c>
      <c r="D77" s="4" t="str">
        <f t="shared" si="42"/>
        <v>17</v>
      </c>
      <c r="E77" s="4">
        <f t="shared" ref="E77" si="49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40"/>
        <v>17</v>
      </c>
      <c r="D78" s="4" t="str">
        <f t="shared" si="42"/>
        <v>17</v>
      </c>
      <c r="E78" s="4">
        <f t="shared" ref="E78" si="50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8"/>
        <v>17</v>
      </c>
      <c r="D79" s="4" t="str">
        <f t="shared" si="42"/>
        <v>17</v>
      </c>
      <c r="E79" s="4">
        <f t="shared" si="48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17</v>
      </c>
      <c r="D80" s="4" t="str">
        <f t="shared" si="42"/>
        <v>17</v>
      </c>
      <c r="E80" s="4">
        <f t="shared" si="48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8"/>
        <v>17</v>
      </c>
      <c r="D81" s="4" t="str">
        <f t="shared" si="42"/>
        <v>17</v>
      </c>
      <c r="E81" s="4">
        <f t="shared" si="48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8"/>
        <v>18</v>
      </c>
      <c r="D82" s="4" t="str">
        <f t="shared" si="42"/>
        <v>18</v>
      </c>
      <c r="E82" s="4">
        <f t="shared" ref="E82" si="51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40"/>
        <v>18</v>
      </c>
      <c r="D83" s="4" t="str">
        <f t="shared" si="42"/>
        <v>18</v>
      </c>
      <c r="E83" s="4">
        <f t="shared" ref="E83" si="52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8"/>
        <v>18</v>
      </c>
      <c r="D84" s="4" t="str">
        <f t="shared" si="42"/>
        <v>18</v>
      </c>
      <c r="E84" s="4">
        <f t="shared" si="48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18</v>
      </c>
      <c r="D85" s="4" t="str">
        <f t="shared" si="42"/>
        <v>18</v>
      </c>
      <c r="E85" s="4">
        <f t="shared" si="48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8"/>
        <v>18</v>
      </c>
      <c r="D86" s="4" t="str">
        <f t="shared" si="42"/>
        <v>18</v>
      </c>
      <c r="E86" s="4">
        <f t="shared" si="48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8"/>
        <v>19</v>
      </c>
      <c r="D87" s="4" t="str">
        <f t="shared" si="42"/>
        <v>19</v>
      </c>
      <c r="E87" s="4">
        <f t="shared" ref="E87" si="53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40"/>
        <v>19</v>
      </c>
      <c r="D88" s="4" t="str">
        <f t="shared" si="42"/>
        <v>19</v>
      </c>
      <c r="E88" s="4">
        <f t="shared" ref="E88" si="54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8"/>
        <v>19</v>
      </c>
      <c r="D89" s="4" t="str">
        <f t="shared" si="42"/>
        <v>19</v>
      </c>
      <c r="E89" s="4">
        <f t="shared" si="4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8"/>
        <v>19</v>
      </c>
      <c r="D90" s="4" t="str">
        <f t="shared" si="42"/>
        <v>19</v>
      </c>
      <c r="E90" s="4">
        <f t="shared" si="4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8"/>
        <v>19</v>
      </c>
      <c r="D91" s="4" t="str">
        <f t="shared" si="42"/>
        <v>19</v>
      </c>
      <c r="E91" s="4">
        <f t="shared" si="4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15"/>
      <c r="B92" s="15"/>
      <c r="C92" s="15"/>
      <c r="D92" s="15"/>
      <c r="E92" s="15"/>
      <c r="F92" s="16"/>
      <c r="G92" s="16"/>
      <c r="H92" s="16"/>
      <c r="I92" s="16"/>
      <c r="J92" s="16"/>
      <c r="K92" s="16"/>
      <c r="L92" s="16"/>
      <c r="M92" s="16"/>
      <c r="N92" s="16"/>
      <c r="O92" s="17"/>
      <c r="P92" s="17"/>
      <c r="Q92" s="17"/>
      <c r="R92" s="17"/>
    </row>
    <row r="94" spans="1:18" x14ac:dyDescent="0.55000000000000004">
      <c r="A94" t="s">
        <v>9</v>
      </c>
      <c r="F94" t="s">
        <v>8</v>
      </c>
    </row>
    <row r="95" spans="1:18" x14ac:dyDescent="0.55000000000000004">
      <c r="A95">
        <f>MAX(A$2:A$92)</f>
        <v>0</v>
      </c>
      <c r="F95">
        <f>MAX(F$2:F$92)</f>
        <v>0</v>
      </c>
    </row>
    <row r="96" spans="1:18" x14ac:dyDescent="0.55000000000000004">
      <c r="A96" t="s">
        <v>40</v>
      </c>
      <c r="D96" t="s">
        <v>14</v>
      </c>
      <c r="E96" t="s">
        <v>13</v>
      </c>
    </row>
    <row r="97" spans="1:5" x14ac:dyDescent="0.55000000000000004">
      <c r="A97">
        <f>ROW(A93)-ROW(A1)-1</f>
        <v>91</v>
      </c>
      <c r="D97">
        <f>COUNTIF(D$2:D$92,D96)</f>
        <v>0</v>
      </c>
      <c r="E97" s="25">
        <f>_xlfn.MAXIFS(E$2:E$92,$D$2:$D$92,E96)</f>
        <v>0</v>
      </c>
    </row>
    <row r="98" spans="1:5" x14ac:dyDescent="0.55000000000000004">
      <c r="D98" t="s">
        <v>12</v>
      </c>
      <c r="E98" t="s">
        <v>12</v>
      </c>
    </row>
    <row r="99" spans="1:5" x14ac:dyDescent="0.55000000000000004">
      <c r="D99">
        <f>COUNTIF(D$2:D$92,D98)</f>
        <v>0</v>
      </c>
      <c r="E99" s="25">
        <f>_xlfn.MAXIFS(E$2:E$92,$D$2:$D$92,E98)</f>
        <v>0</v>
      </c>
    </row>
  </sheetData>
  <autoFilter ref="A1:R91" xr:uid="{48D32264-F25D-40E9-9C76-26E43E79C8CC}">
    <sortState xmlns:xlrd2="http://schemas.microsoft.com/office/spreadsheetml/2017/richdata2" ref="A2:R91">
      <sortCondition ref="D1:D91"/>
    </sortState>
  </autoFilter>
  <phoneticPr fontId="1"/>
  <conditionalFormatting sqref="A2:R92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IFERROR(MATCH($G$3:$G$202&amp;$H$3:$H$202,info_index!$D$2:$D$92&amp;info_index!$E$2:$E$92,0),"")</f>
        <v>1</v>
      </c>
      <c r="K3" t="str" cm="1">
        <f t="array" aca="1" ref="K3:K202" ca="1">IF(LEN(_xlfn.ANCHORARRAY(J3)),INDEX(OFFSET(info_index!$H$2:$H$92,0,$B$23),MATCH($G$3:$G$202&amp;$H$3:$H$202,info_index!$D$2:$D$92&amp;info_index!$E$2:$E$92,0),1)&amp;"","")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IFERROR(INDEX(info_index!$J$2:$J$92,MATCH($G$3:$G$202&amp;$H$3:$H$202,info_index!$D$2:$D$92&amp;info_index!$E$2:$E$92,0),1)&amp;"","")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IF(LEN(_xlfn.ANCHORARRAY(J3)),INDEX(OFFSET(info_index!$L$2:$L$92,0,$B$23),MATCH($G$3:$G$202&amp;$H$3:$H$202,info_index!$D$2:$D$92&amp;info_index!$E$2:$E$92,0),1)&amp;"","")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Start supply operation</v>
      </c>
      <c r="L8" t="str">
        <f ca="1"/>
        <v>Start supply operation</v>
      </c>
      <c r="N8" t="str">
        <f ca="1"/>
        <v>【16】 Start supply operation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//Start supply operation
	ELSIF uiInfoIdx = 6 THEN</v>
      </c>
      <c r="AC8" t="str">
        <f ca="1"/>
        <v xml:space="preserve">
	//Start supply operation
	ELSIF uiInfoIdx = 6 THEN
		IF strInfoKey = 'name' THEN</v>
      </c>
      <c r="AD8" t="str">
        <f ca="1"/>
        <v xml:space="preserve">
	//Start supply operation
	ELSIF uiInfoIdx = 6 THEN
		IF strInfoKey = 'name' THEN
			strRt	:= 'Start supply operation';</v>
      </c>
      <c r="AE8" t="str">
        <f ca="1"/>
        <v xml:space="preserve">
	//Start supply operation
	ELSIF uiInfoIdx = 6 THEN
		IF strInfoKey = 'name' THEN
			strRt	:= 'Start supply operation';
		ELSIF strInfoKey = 'index_name' THEN</v>
      </c>
      <c r="AF8" t="str">
        <f ca="1"/>
        <v xml:space="preserve">
	//Start supply operation
	ELSIF uiInfoIdx = 6 THEN
		IF strInfoKey = 'name' THEN
			strRt	:= 'Start supply operation';
		ELSIF strInfoKey = 'index_name' THEN
			strRt	:= '【16】 Start supply operation';</v>
      </c>
      <c r="AG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</v>
      </c>
      <c r="AH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</v>
      </c>
      <c r="AI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</v>
      </c>
      <c r="AJ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</v>
      </c>
      <c r="AK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L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M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Cut operation</v>
      </c>
      <c r="L15" t="str">
        <f ca="1"/>
        <v>Cut operation</v>
      </c>
      <c r="N15" t="str">
        <f ca="1"/>
        <v>【23】 Cut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//Cut operation
	ELSIF uiInfoIdx = 3 THEN</v>
      </c>
      <c r="AC15" t="str">
        <f ca="1"/>
        <v xml:space="preserve">
	//Cut operation
	ELSIF uiInfoIdx = 3 THEN
		IF strInfoKey = 'name' THEN</v>
      </c>
      <c r="AD15" t="str">
        <f ca="1"/>
        <v xml:space="preserve">
	//Cut operation
	ELSIF uiInfoIdx = 3 THEN
		IF strInfoKey = 'name' THEN
			strRt	:= 'Cut operation';</v>
      </c>
      <c r="AE15" t="str">
        <f ca="1"/>
        <v xml:space="preserve">
	//Cut operation
	ELSIF uiInfoIdx = 3 THEN
		IF strInfoKey = 'name' THEN
			strRt	:= 'Cut operation';
		ELSIF strInfoKey = 'index_name' THEN</v>
      </c>
      <c r="AF15" t="str">
        <f ca="1"/>
        <v xml:space="preserve">
	//Cut operation
	ELSIF uiInfoIdx = 3 THEN
		IF strInfoKey = 'name' THEN
			strRt	:= 'Cut operation';
		ELSIF strInfoKey = 'index_name' THEN
			strRt	:= '【23】 Cut operation';</v>
      </c>
      <c r="AG15" t="str">
        <f ca="1"/>
        <v xml:space="preserve">
	//Cut operation
	ELSIF uiInfoIdx = 3 THEN
		IF strInfoKey = 'name' THEN
			strRt	:= 'Cut operation';
		ELSIF strInfoKey = 'index_name' THEN
			strRt	:= '【23】 Cut operation';
		ELSIF strInfoKey = 'model' THEN</v>
      </c>
      <c r="AH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</v>
      </c>
      <c r="AI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</v>
      </c>
      <c r="AJ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</v>
      </c>
      <c r="AK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  <c r="AL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  <c r="AM15" t="str">
        <f ca="1"/>
        <v xml:space="preserve">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confirmation operation</v>
      </c>
      <c r="L16" t="str">
        <f ca="1"/>
        <v>Supply confirmation operation</v>
      </c>
      <c r="N16" t="str">
        <f ca="1"/>
        <v>【24】 Supply confirmation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confirmation operation
	ELSIF uiInfoIdx = 4 THEN</v>
      </c>
      <c r="AC16" t="str">
        <f ca="1"/>
        <v xml:space="preserve">
	//Supply confirmation operation
	ELSIF uiInfoIdx = 4 THEN
		IF strInfoKey = 'name' THEN</v>
      </c>
      <c r="AD16" t="str">
        <f ca="1"/>
        <v xml:space="preserve">
	//Supply confirmation operation
	ELSIF uiInfoIdx = 4 THEN
		IF strInfoKey = 'name' THEN
			strRt	:= 'Supply confirmation operation';</v>
      </c>
      <c r="AE16" t="str">
        <f ca="1"/>
        <v xml:space="preserve">
	//Supply confirmation operation
	ELSIF uiInfoIdx = 4 THEN
		IF strInfoKey = 'name' THEN
			strRt	:= 'Supply confirmation operation';
		ELSIF strInfoKey = 'index_name' THEN</v>
      </c>
      <c r="AF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</v>
      </c>
      <c r="AG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</v>
      </c>
      <c r="AH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</v>
      </c>
      <c r="AI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</v>
      </c>
      <c r="AJ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</v>
      </c>
      <c r="AK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  <c r="AL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  <c r="AM16" t="str">
        <f ca="1"/>
        <v xml:space="preserve">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 t="str">
        <v/>
      </c>
      <c r="K17" t="str">
        <f ca="1"/>
        <v/>
      </c>
      <c r="L17" t="str">
        <f ca="1"/>
        <v/>
      </c>
      <c r="N17" t="str">
        <f ca="1"/>
        <v/>
      </c>
      <c r="O17" t="str">
        <v/>
      </c>
      <c r="P17" t="str">
        <v/>
      </c>
      <c r="Q17" t="str">
        <f ca="1"/>
        <v/>
      </c>
      <c r="R17" t="str">
        <f ca="1"/>
        <v/>
      </c>
      <c r="Z17" t="str">
        <f ca="1"/>
        <v/>
      </c>
      <c r="AA17" t="str">
        <f ca="1"/>
        <v/>
      </c>
      <c r="AB17" t="str">
        <f ca="1"/>
        <v/>
      </c>
      <c r="AC17" t="str">
        <f ca="1"/>
        <v/>
      </c>
      <c r="AD17" t="str">
        <f ca="1"/>
        <v/>
      </c>
      <c r="AE17" t="str">
        <f ca="1"/>
        <v/>
      </c>
      <c r="AF17" t="str">
        <f ca="1"/>
        <v/>
      </c>
      <c r="AG17" t="str">
        <f ca="1"/>
        <v/>
      </c>
      <c r="AH17" t="str">
        <f ca="1"/>
        <v/>
      </c>
      <c r="AI17" t="str">
        <f ca="1"/>
        <v/>
      </c>
      <c r="AJ17" t="str">
        <f ca="1"/>
        <v/>
      </c>
      <c r="AK17" t="str">
        <f ca="1"/>
        <v/>
      </c>
      <c r="AL17" t="str">
        <f ca="1"/>
        <v/>
      </c>
      <c r="AM17" t="str">
        <f ca="1"/>
        <v/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10</v>
      </c>
      <c r="K18" t="str">
        <f ca="1"/>
        <v>Start supply operation</v>
      </c>
      <c r="L18" t="str">
        <f ca="1"/>
        <v>Start supply operation</v>
      </c>
      <c r="N18" t="str">
        <f ca="1"/>
        <v>【26】 Start supply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//Start supply operation
	ELSIF uiInfoIdx = 6 THEN</v>
      </c>
      <c r="AC18" t="str">
        <f ca="1"/>
        <v xml:space="preserve">
	//Start supply operation
	ELSIF uiInfoIdx = 6 THEN
		IF strInfoKey = 'name' THEN</v>
      </c>
      <c r="AD18" t="str">
        <f ca="1"/>
        <v xml:space="preserve">
	//Start supply operation
	ELSIF uiInfoIdx = 6 THEN
		IF strInfoKey = 'name' THEN
			strRt	:= 'Start supply operation';</v>
      </c>
      <c r="AE18" t="str">
        <f ca="1"/>
        <v xml:space="preserve">
	//Start supply operation
	ELSIF uiInfoIdx = 6 THEN
		IF strInfoKey = 'name' THEN
			strRt	:= 'Start supply operation';
		ELSIF strInfoKey = 'index_name' THEN</v>
      </c>
      <c r="AF18" t="str">
        <f ca="1"/>
        <v xml:space="preserve">
	//Start supply operation
	ELSIF uiInfoIdx = 6 THEN
		IF strInfoKey = 'name' THEN
			strRt	:= 'Start supply operation';
		ELSIF strInfoKey = 'index_name' THEN
			strRt	:= '【26】 Start supply operation';</v>
      </c>
      <c r="AG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</v>
      </c>
      <c r="AH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</v>
      </c>
      <c r="AI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</v>
      </c>
      <c r="AJ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</v>
      </c>
      <c r="AK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  <c r="AL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  <c r="AM18" t="str">
        <f ca="1"/>
        <v xml:space="preserve">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11</v>
      </c>
      <c r="K19" t="str">
        <f ca="1"/>
        <v>Supply operation</v>
      </c>
      <c r="L19" t="str">
        <f ca="1"/>
        <v>Supply operation</v>
      </c>
      <c r="N19" t="str">
        <f ca="1"/>
        <v>【27】 Supply operation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//Supply operation
	ELSIF uiInfoIdx = 7 THEN</v>
      </c>
      <c r="AC19" t="str">
        <f ca="1"/>
        <v xml:space="preserve">
	//Supply operation
	ELSIF uiInfoIdx = 7 THEN
		IF strInfoKey = 'name' THEN</v>
      </c>
      <c r="AD19" t="str">
        <f ca="1"/>
        <v xml:space="preserve">
	//Supply operation
	ELSIF uiInfoIdx = 7 THEN
		IF strInfoKey = 'name' THEN
			strRt	:= 'Supply operation';</v>
      </c>
      <c r="AE19" t="str">
        <f ca="1"/>
        <v xml:space="preserve">
	//Supply operation
	ELSIF uiInfoIdx = 7 THEN
		IF strInfoKey = 'name' THEN
			strRt	:= 'Supply operation';
		ELSIF strInfoKey = 'index_name' THEN</v>
      </c>
      <c r="AF19" t="str">
        <f ca="1"/>
        <v xml:space="preserve">
	//Supply operation
	ELSIF uiInfoIdx = 7 THEN
		IF strInfoKey = 'name' THEN
			strRt	:= 'Supply operation';
		ELSIF strInfoKey = 'index_name' THEN
			strRt	:= '【27】 Supply operation';</v>
      </c>
      <c r="AG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</v>
      </c>
      <c r="AH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</v>
      </c>
      <c r="AI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</v>
      </c>
      <c r="AJ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</v>
      </c>
      <c r="AK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  <c r="AL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  <c r="AM19" t="str">
        <f ca="1"/>
        <v xml:space="preserve">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Discharge and receiving operation</v>
      </c>
      <c r="L54" t="str">
        <f ca="1"/>
        <v>Discharge and receiving operation</v>
      </c>
      <c r="N54" t="str">
        <f ca="1"/>
        <v>【62】 Discharge and receiving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and receiving operation
	ELSIF uiInfoIdx = 2 THEN</v>
      </c>
      <c r="AC54" t="str">
        <f ca="1"/>
        <v xml:space="preserve">
	//Discharge and receiving operation
	ELSIF uiInfoIdx = 2 THEN
		IF strInfoKey = 'name' THEN</v>
      </c>
      <c r="AD54" t="str">
        <f ca="1"/>
        <v xml:space="preserve">
	//Discharge and receiving operation
	ELSIF uiInfoIdx = 2 THEN
		IF strInfoKey = 'name' THEN
			strRt	:= 'Discharge and receiving operation';</v>
      </c>
      <c r="AE54" t="str">
        <f ca="1"/>
        <v xml:space="preserve">
	//Discharge and receiving operation
	ELSIF uiInfoIdx = 2 THEN
		IF strInfoKey = 'name' THEN
			strRt	:= 'Discharge and receiving operation';
		ELSIF strInfoKey = 'index_name' THEN</v>
      </c>
      <c r="AF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</v>
      </c>
      <c r="AG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</v>
      </c>
      <c r="AH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</v>
      </c>
      <c r="AI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</v>
      </c>
      <c r="AJ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</v>
      </c>
      <c r="AK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  <c r="AL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  <c r="AM54" t="str">
        <f ca="1"/>
        <v xml:space="preserve">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Discharge and handover operation</v>
      </c>
      <c r="L55" t="str">
        <f ca="1"/>
        <v>Discharge and handover operation</v>
      </c>
      <c r="N55" t="str">
        <f ca="1"/>
        <v>【63】 Discharge and handover operation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//Discharge and handover operation
	ELSIF uiInfoIdx = 3 THEN</v>
      </c>
      <c r="AC55" t="str">
        <f ca="1"/>
        <v xml:space="preserve">
	//Discharge and handover operation
	ELSIF uiInfoIdx = 3 THEN
		IF strInfoKey = 'name' THEN</v>
      </c>
      <c r="AD55" t="str">
        <f ca="1"/>
        <v xml:space="preserve">
	//Discharge and handover operation
	ELSIF uiInfoIdx = 3 THEN
		IF strInfoKey = 'name' THEN
			strRt	:= 'Discharge and handover operation';</v>
      </c>
      <c r="AE55" t="str">
        <f ca="1"/>
        <v xml:space="preserve">
	//Discharge and handover operation
	ELSIF uiInfoIdx = 3 THEN
		IF strInfoKey = 'name' THEN
			strRt	:= 'Discharge and handover operation';
		ELSIF strInfoKey = 'index_name' THEN</v>
      </c>
      <c r="AF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</v>
      </c>
      <c r="AG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</v>
      </c>
      <c r="AH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</v>
      </c>
      <c r="AI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</v>
      </c>
      <c r="AJ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</v>
      </c>
      <c r="AK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  <c r="AL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  <c r="AM55" t="str">
        <f ca="1"/>
        <v xml:space="preserve">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27</v>
      </c>
      <c r="K58" t="str">
        <f ca="1"/>
        <v>Measurement preparation</v>
      </c>
      <c r="L58" t="str">
        <f ca="1"/>
        <v>Measurement preparation</v>
      </c>
      <c r="N58" t="str">
        <f ca="1"/>
        <v>【66】 Measurement preparation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preparation
	ELSIF uiInfoIdx = 6 THEN</v>
      </c>
      <c r="AC58" t="str">
        <f ca="1"/>
        <v xml:space="preserve">
	//Measurement preparation
	ELSIF uiInfoIdx = 6 THEN
		IF strInfoKey = 'name' THEN</v>
      </c>
      <c r="AD58" t="str">
        <f ca="1"/>
        <v xml:space="preserve">
	//Measurement preparation
	ELSIF uiInfoIdx = 6 THEN
		IF strInfoKey = 'name' THEN
			strRt	:= 'Measurement preparation';</v>
      </c>
      <c r="AE58" t="str">
        <f ca="1"/>
        <v xml:space="preserve">
	//Measurement preparation
	ELSIF uiInfoIdx = 6 THEN
		IF strInfoKey = 'name' THEN
			strRt	:= 'Measurement preparation';
		ELSIF strInfoKey = 'index_name' THEN</v>
      </c>
      <c r="AF58" t="str">
        <f ca="1"/>
        <v xml:space="preserve">
	//Measurement preparation
	ELSIF uiInfoIdx = 6 THEN
		IF strInfoKey = 'name' THEN
			strRt	:= 'Measurement preparation';
		ELSIF strInfoKey = 'index_name' THEN
			strRt	:= '【66】 Measurement preparation';</v>
      </c>
      <c r="AG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</v>
      </c>
      <c r="AH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</v>
      </c>
      <c r="AI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</v>
      </c>
      <c r="AJ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</v>
      </c>
      <c r="AK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L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M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28</v>
      </c>
      <c r="K59" t="str">
        <f ca="1"/>
        <v>Measurement operation during winding</v>
      </c>
      <c r="L59" t="str">
        <f ca="1"/>
        <v>Measurement operation during winding</v>
      </c>
      <c r="N59" t="str">
        <f ca="1"/>
        <v>【67】 Measurement operation during winding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//Measurement operation during winding
	ELSIF uiInfoIdx = 7 THEN</v>
      </c>
      <c r="AC59" t="str">
        <f ca="1"/>
        <v xml:space="preserve">
	//Measurement operation during winding
	ELSIF uiInfoIdx = 7 THEN
		IF strInfoKey = 'name' THEN</v>
      </c>
      <c r="AD59" t="str">
        <f ca="1"/>
        <v xml:space="preserve">
	//Measurement operation during winding
	ELSIF uiInfoIdx = 7 THEN
		IF strInfoKey = 'name' THEN
			strRt	:= 'Measurement operation during winding';</v>
      </c>
      <c r="AE59" t="str">
        <f ca="1"/>
        <v xml:space="preserve">
	//Measurement operation during winding
	ELSIF uiInfoIdx = 7 THEN
		IF strInfoKey = 'name' THEN
			strRt	:= 'Measurement operation during winding';
		ELSIF strInfoKey = 'index_name' THEN</v>
      </c>
      <c r="AF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</v>
      </c>
      <c r="AG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</v>
      </c>
      <c r="AH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</v>
      </c>
      <c r="AI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</v>
      </c>
      <c r="AJ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</v>
      </c>
      <c r="AK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L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M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29</v>
      </c>
      <c r="K63" t="str">
        <f ca="1"/>
        <v>Return to origin operation</v>
      </c>
      <c r="L63" t="str">
        <f ca="1"/>
        <v>Return to origin operation</v>
      </c>
      <c r="N63" t="str">
        <f ca="1"/>
        <v>【71】 Return to origin operation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//Return to origin operation
	IF uiInfoIdx = 1 THEN</v>
      </c>
      <c r="AC63" t="str">
        <f ca="1"/>
        <v xml:space="preserve">
//7
ELSIF strInfoType = 7 THEN
	//Return to origin operation
	IF uiInfoIdx = 1 THEN
		IF strInfoKey = 'name' THEN</v>
      </c>
      <c r="AD63" t="str">
        <f ca="1"/>
        <v xml:space="preserve">
//7
ELSIF strInfoType = 7 THEN
	//Return to origin operation
	IF uiInfoIdx = 1 THEN
		IF strInfoKey = 'name' THEN
			strRt	:= 'Return to origin operation';</v>
      </c>
      <c r="AE63" t="str">
        <f ca="1"/>
        <v xml:space="preserve">
//7
ELSIF strInfoType = 7 THEN
	//Return to origin operation
	IF uiInfoIdx = 1 THEN
		IF strInfoKey = 'name' THEN
			strRt	:= 'Return to origin operation';
		ELSIF strInfoKey = 'index_name' THEN</v>
      </c>
      <c r="AF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</v>
      </c>
      <c r="AG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</v>
      </c>
      <c r="AH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</v>
      </c>
      <c r="AI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</v>
      </c>
      <c r="AJ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</v>
      </c>
      <c r="AK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L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M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30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7</v>
      </c>
      <c r="G73" t="str">
        <f t="shared" si="5"/>
        <v>7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7</v>
      </c>
      <c r="G74" t="str">
        <f t="shared" si="5"/>
        <v>7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7</v>
      </c>
      <c r="G75" t="str">
        <f t="shared" si="5"/>
        <v>7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7</v>
      </c>
      <c r="G76" t="str">
        <f t="shared" si="5"/>
        <v>7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7</v>
      </c>
      <c r="G77" t="str">
        <f t="shared" si="5"/>
        <v>7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7</v>
      </c>
      <c r="G78" t="str">
        <f t="shared" si="5"/>
        <v>7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7</v>
      </c>
      <c r="G79" t="str">
        <f t="shared" si="5"/>
        <v>7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7</v>
      </c>
      <c r="G80" t="str">
        <f t="shared" si="5"/>
        <v>7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7</v>
      </c>
      <c r="G81" t="str">
        <f t="shared" si="5"/>
        <v>7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7</v>
      </c>
      <c r="G82" t="str">
        <f t="shared" si="5"/>
        <v>7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7</v>
      </c>
      <c r="G83" t="str">
        <f t="shared" si="5"/>
        <v>7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7</v>
      </c>
      <c r="G84" t="str">
        <f t="shared" si="5"/>
        <v>7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7</v>
      </c>
      <c r="G85" t="str">
        <f t="shared" si="5"/>
        <v>7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7</v>
      </c>
      <c r="G86" t="str">
        <f t="shared" si="5"/>
        <v>7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7</v>
      </c>
      <c r="G87" t="str">
        <f t="shared" si="5"/>
        <v>7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7</v>
      </c>
      <c r="G88" t="str">
        <f t="shared" si="5"/>
        <v>7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7</v>
      </c>
      <c r="G89" t="str">
        <f t="shared" si="5"/>
        <v>7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7</v>
      </c>
      <c r="G90" t="str">
        <f t="shared" si="5"/>
        <v>7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7</v>
      </c>
      <c r="G91" t="str">
        <f t="shared" si="5"/>
        <v>7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7</v>
      </c>
      <c r="G92" t="str">
        <f t="shared" si="5"/>
        <v>7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7</v>
      </c>
      <c r="G93" t="str">
        <f t="shared" si="5"/>
        <v>7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7</v>
      </c>
      <c r="G94" t="str">
        <f t="shared" si="5"/>
        <v>7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7</v>
      </c>
      <c r="G95" t="str">
        <f t="shared" si="5"/>
        <v>7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7</v>
      </c>
      <c r="G96" t="str">
        <f t="shared" si="5"/>
        <v>7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7</v>
      </c>
      <c r="G97" t="str">
        <f t="shared" ref="G97:G160" si="7">E97&amp;F97</f>
        <v>7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7</v>
      </c>
      <c r="G98" t="str">
        <f t="shared" si="7"/>
        <v>7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7</v>
      </c>
      <c r="G99" t="str">
        <f t="shared" si="7"/>
        <v>7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7</v>
      </c>
      <c r="G100" t="str">
        <f t="shared" si="7"/>
        <v>7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7</v>
      </c>
      <c r="G101" t="str">
        <f t="shared" si="7"/>
        <v>7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7</v>
      </c>
      <c r="G102" t="str">
        <f t="shared" si="7"/>
        <v>7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7</v>
      </c>
      <c r="G103" t="str">
        <f t="shared" si="7"/>
        <v>7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7</v>
      </c>
      <c r="G104" t="str">
        <f t="shared" si="7"/>
        <v>7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7</v>
      </c>
      <c r="G105" t="str">
        <f t="shared" si="7"/>
        <v>7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7</v>
      </c>
      <c r="G106" t="str">
        <f t="shared" si="7"/>
        <v>7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7</v>
      </c>
      <c r="G107" t="str">
        <f t="shared" si="7"/>
        <v>7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7</v>
      </c>
      <c r="G108" t="str">
        <f t="shared" si="7"/>
        <v>7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7</v>
      </c>
      <c r="G109" t="str">
        <f t="shared" si="7"/>
        <v>7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7</v>
      </c>
      <c r="G110" t="str">
        <f t="shared" si="7"/>
        <v>7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7</v>
      </c>
      <c r="G111" t="str">
        <f t="shared" si="7"/>
        <v>7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7</v>
      </c>
      <c r="G112" t="str">
        <f t="shared" si="7"/>
        <v>7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7</v>
      </c>
      <c r="G113" t="str">
        <f t="shared" si="7"/>
        <v>7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7</v>
      </c>
      <c r="G114" t="str">
        <f t="shared" si="7"/>
        <v>7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7</v>
      </c>
      <c r="G115" t="str">
        <f t="shared" si="7"/>
        <v>7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7</v>
      </c>
      <c r="G116" t="str">
        <f t="shared" si="7"/>
        <v>7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7</v>
      </c>
      <c r="G117" t="str">
        <f t="shared" si="7"/>
        <v>7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7</v>
      </c>
      <c r="G118" t="str">
        <f t="shared" si="7"/>
        <v>7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7</v>
      </c>
      <c r="G119" t="str">
        <f t="shared" si="7"/>
        <v>7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7</v>
      </c>
      <c r="G120" t="str">
        <f t="shared" si="7"/>
        <v>7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7</v>
      </c>
      <c r="G121" t="str">
        <f t="shared" si="7"/>
        <v>7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7</v>
      </c>
      <c r="G122" t="str">
        <f t="shared" si="7"/>
        <v>7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7</v>
      </c>
      <c r="G123" t="str">
        <f t="shared" si="7"/>
        <v>7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7</v>
      </c>
      <c r="G124" t="str">
        <f t="shared" si="7"/>
        <v>7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7</v>
      </c>
      <c r="G125" t="str">
        <f t="shared" si="7"/>
        <v>7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7</v>
      </c>
      <c r="G126" t="str">
        <f t="shared" si="7"/>
        <v>7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7</v>
      </c>
      <c r="G127" t="str">
        <f t="shared" si="7"/>
        <v>7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7</v>
      </c>
      <c r="G128" t="str">
        <f t="shared" si="7"/>
        <v>7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7</v>
      </c>
      <c r="G129" t="str">
        <f t="shared" si="7"/>
        <v>7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7</v>
      </c>
      <c r="G130" t="str">
        <f t="shared" si="7"/>
        <v>7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7</v>
      </c>
      <c r="G131" t="str">
        <f t="shared" si="7"/>
        <v>7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7</v>
      </c>
      <c r="G132" t="str">
        <f t="shared" si="7"/>
        <v>7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7</v>
      </c>
      <c r="G133" t="str">
        <f t="shared" si="7"/>
        <v>7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7</v>
      </c>
      <c r="G134" t="str">
        <f t="shared" si="7"/>
        <v>7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7</v>
      </c>
      <c r="G135" t="str">
        <f t="shared" si="7"/>
        <v>7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7</v>
      </c>
      <c r="G136" t="str">
        <f t="shared" si="7"/>
        <v>7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7</v>
      </c>
      <c r="G137" t="str">
        <f t="shared" si="7"/>
        <v>7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7</v>
      </c>
      <c r="G138" t="str">
        <f t="shared" si="7"/>
        <v>7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7</v>
      </c>
      <c r="G139" t="str">
        <f t="shared" si="7"/>
        <v>7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7</v>
      </c>
      <c r="G140" t="str">
        <f t="shared" si="7"/>
        <v>7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7</v>
      </c>
      <c r="G141" t="str">
        <f t="shared" si="7"/>
        <v>7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7</v>
      </c>
      <c r="G142" t="str">
        <f t="shared" si="7"/>
        <v>7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7</v>
      </c>
      <c r="G143" t="str">
        <f t="shared" si="7"/>
        <v>7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7</v>
      </c>
      <c r="G144" t="str">
        <f t="shared" si="7"/>
        <v>7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7</v>
      </c>
      <c r="G145" t="str">
        <f t="shared" si="7"/>
        <v>7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7</v>
      </c>
      <c r="G146" t="str">
        <f t="shared" si="7"/>
        <v>7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7</v>
      </c>
      <c r="G147" t="str">
        <f t="shared" si="7"/>
        <v>7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7</v>
      </c>
      <c r="G148" t="str">
        <f t="shared" si="7"/>
        <v>7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7</v>
      </c>
      <c r="G149" t="str">
        <f t="shared" si="7"/>
        <v>7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7</v>
      </c>
      <c r="G150" t="str">
        <f t="shared" si="7"/>
        <v>7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7</v>
      </c>
      <c r="G151" t="str">
        <f t="shared" si="7"/>
        <v>7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7</v>
      </c>
      <c r="G152" t="str">
        <f t="shared" si="7"/>
        <v>7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7</v>
      </c>
      <c r="G153" t="str">
        <f t="shared" si="7"/>
        <v>7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7</v>
      </c>
      <c r="G154" t="str">
        <f t="shared" si="7"/>
        <v>7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7</v>
      </c>
      <c r="G155" t="str">
        <f t="shared" si="7"/>
        <v>7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7</v>
      </c>
      <c r="G156" t="str">
        <f t="shared" si="7"/>
        <v>7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7</v>
      </c>
      <c r="G157" t="str">
        <f t="shared" si="7"/>
        <v>7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7</v>
      </c>
      <c r="G158" t="str">
        <f t="shared" si="7"/>
        <v>7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7</v>
      </c>
      <c r="G159" t="str">
        <f t="shared" si="7"/>
        <v>7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7</v>
      </c>
      <c r="G160" t="str">
        <f t="shared" si="7"/>
        <v>7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7</v>
      </c>
      <c r="G161" t="str">
        <f t="shared" ref="G161:G202" si="9">E161&amp;F161</f>
        <v>7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7</v>
      </c>
      <c r="G162" t="str">
        <f t="shared" si="9"/>
        <v>7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7</v>
      </c>
      <c r="G163" t="str">
        <f t="shared" si="9"/>
        <v>7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7</v>
      </c>
      <c r="G164" t="str">
        <f t="shared" si="9"/>
        <v>7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7</v>
      </c>
      <c r="G165" t="str">
        <f t="shared" si="9"/>
        <v>7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7</v>
      </c>
      <c r="G166" t="str">
        <f t="shared" si="9"/>
        <v>7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7</v>
      </c>
      <c r="G167" t="str">
        <f t="shared" si="9"/>
        <v>7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7</v>
      </c>
      <c r="G168" t="str">
        <f t="shared" si="9"/>
        <v>7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7</v>
      </c>
      <c r="G169" t="str">
        <f t="shared" si="9"/>
        <v>7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7</v>
      </c>
      <c r="G170" t="str">
        <f t="shared" si="9"/>
        <v>7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7</v>
      </c>
      <c r="G171" t="str">
        <f t="shared" si="9"/>
        <v>7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7</v>
      </c>
      <c r="G172" t="str">
        <f t="shared" si="9"/>
        <v>7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7</v>
      </c>
      <c r="G173" t="str">
        <f t="shared" si="9"/>
        <v>7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7</v>
      </c>
      <c r="G174" t="str">
        <f t="shared" si="9"/>
        <v>7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7</v>
      </c>
      <c r="G175" t="str">
        <f t="shared" si="9"/>
        <v>7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7</v>
      </c>
      <c r="G176" t="str">
        <f t="shared" si="9"/>
        <v>7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7</v>
      </c>
      <c r="G177" t="str">
        <f t="shared" si="9"/>
        <v>7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7</v>
      </c>
      <c r="G178" t="str">
        <f t="shared" si="9"/>
        <v>7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7</v>
      </c>
      <c r="G179" t="str">
        <f t="shared" si="9"/>
        <v>7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7</v>
      </c>
      <c r="G180" t="str">
        <f t="shared" si="9"/>
        <v>7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7</v>
      </c>
      <c r="G181" t="str">
        <f t="shared" si="9"/>
        <v>7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7</v>
      </c>
      <c r="G182" t="str">
        <f t="shared" si="9"/>
        <v>7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7</v>
      </c>
      <c r="G183" t="str">
        <f t="shared" si="9"/>
        <v>7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7</v>
      </c>
      <c r="G184" t="str">
        <f t="shared" si="9"/>
        <v>7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7</v>
      </c>
      <c r="G185" t="str">
        <f t="shared" si="9"/>
        <v>7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7</v>
      </c>
      <c r="G186" t="str">
        <f t="shared" si="9"/>
        <v>7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7</v>
      </c>
      <c r="G187" t="str">
        <f t="shared" si="9"/>
        <v>7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7</v>
      </c>
      <c r="G188" t="str">
        <f t="shared" si="9"/>
        <v>7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7</v>
      </c>
      <c r="G189" t="str">
        <f t="shared" si="9"/>
        <v>7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7</v>
      </c>
      <c r="G190" t="str">
        <f t="shared" si="9"/>
        <v>7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7</v>
      </c>
      <c r="G191" t="str">
        <f t="shared" si="9"/>
        <v>7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7</v>
      </c>
      <c r="G192" t="str">
        <f t="shared" si="9"/>
        <v>7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7</v>
      </c>
      <c r="G193" t="str">
        <f t="shared" si="9"/>
        <v>7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7</v>
      </c>
      <c r="G194" t="str">
        <f t="shared" si="9"/>
        <v>7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7</v>
      </c>
      <c r="G195" t="str">
        <f t="shared" si="9"/>
        <v>7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7</v>
      </c>
      <c r="G196" t="str">
        <f t="shared" si="9"/>
        <v>7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7</v>
      </c>
      <c r="G197" t="str">
        <f t="shared" si="9"/>
        <v>7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7</v>
      </c>
      <c r="G198" t="str">
        <f t="shared" si="9"/>
        <v>7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7</v>
      </c>
      <c r="G199" t="str">
        <f t="shared" si="9"/>
        <v>7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7</v>
      </c>
      <c r="G200" t="str">
        <f t="shared" si="9"/>
        <v>7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7</v>
      </c>
      <c r="G201" t="str">
        <f t="shared" si="9"/>
        <v>7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7</v>
      </c>
      <c r="G202" t="str">
        <f t="shared" si="9"/>
        <v>7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'【23】 Cut operation';
		ELSIF strInfoKey = 'model' THEN
			strRt	:= 'unknown';
		ELSIF strInfoKey = 'mf' THEN
			strRt	:= 'unknown';
		ELSE
			uiErrCode	:= 3;
		END_IF;
	//Supply confirmation operation
	ELSIF uiInfoIdx = 4 THEN
		IF strInfoKey = 'name' THEN
			strRt	:= 'Supply confirmation operation';
		ELSIF strInfoKey = 'index_name' THEN
			strRt	:= '【24】 Supply confirmation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'【26】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'【27】 Supply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and receiving operation
	ELSIF uiInfoIdx = 2 THEN
		IF strInfoKey = 'name' THEN
			strRt	:= 'Discharge and receiving operation';
		ELSIF strInfoKey = 'index_name' THEN
			strRt	:= '【62】 Discharge and receiving operation';
		ELSIF strInfoKey = 'model' THEN
			strRt	:= 'unknown';
		ELSIF strInfoKey = 'mf' THEN
			strRt	:= 'unknown';
		ELSE
			uiErrCode	:= 3;
		END_IF;
	//Discharge and handover operation
	ELSIF uiInfoIdx = 3 THEN
		IF strInfoKey = 'name' THEN
			strRt	:= 'Discharge and handover operation';
		ELSIF strInfoKey = 'index_name' THEN
			strRt	:= '【63】 Discharge and handover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2026-02-25T12:10:03Z</dcterms:modified>
</cp:coreProperties>
</file>