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B3A7A51B-2FFB-4274-9D8D-91FA96110E54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" i="2" a="1"/>
  <c r="B7" i="2" a="1"/>
  <c r="B26" i="2" a="1"/>
  <c r="B31" i="2" a="1"/>
  <c r="B6" i="2" a="1"/>
  <c r="B23" i="2" a="1"/>
  <c r="B25" i="2" a="1"/>
  <c r="B22" i="2" a="1"/>
  <c r="B21" i="2" a="1"/>
  <c r="B4" i="2" a="1"/>
  <c r="B5" i="2" a="1"/>
  <c r="B8" i="2" a="1"/>
  <c r="B24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AM50" i="1"/>
  <c r="AM58" i="1"/>
  <c r="AM66" i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AM83" i="1"/>
  <c r="AM91" i="1"/>
  <c r="AM99" i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BB101" i="1" s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43" i="1" l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N71" i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AQ62" i="1"/>
  <c r="AQ54" i="1"/>
  <c r="AQ46" i="1"/>
  <c r="AQ60" i="1"/>
  <c r="BA107" i="1"/>
  <c r="AQ59" i="1"/>
  <c r="AQ51" i="1"/>
  <c r="AQ43" i="1"/>
  <c r="BA90" i="1"/>
  <c r="BA101" i="1"/>
  <c r="AQ61" i="1"/>
  <c r="AQ53" i="1"/>
  <c r="AQ44" i="1"/>
  <c r="BA106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7" i="1"/>
  <c r="AY90" i="1"/>
  <c r="AY105" i="1"/>
  <c r="AY97" i="1"/>
  <c r="AY104" i="1"/>
  <c r="AY96" i="1"/>
  <c r="AY106" i="1"/>
  <c r="AY103" i="1"/>
  <c r="AY102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102" i="1"/>
  <c r="BC102" i="1"/>
  <c r="AQ92" i="1"/>
  <c r="AZ101" i="1"/>
  <c r="BC101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3" i="1" l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50" i="1" l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5" i="1" l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<sst xmlns="http://schemas.openxmlformats.org/spreadsheetml/2006/main" count="57" uniqueCount="51">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</sst>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I14" sqref="I14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17</v>
      </c>
      <c r="AN4">
        <v>0</v>
      </c>
    </row>
    <row r="5" spans="1:60" x14ac:dyDescent="0.55000000000000004">
      <c r="AE5">
        <v>16</v>
      </c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4">IF(AM8="●",(AN$4+MOD(INT(MID(E8,5,3)),AN$2))*AN$6,"")</f>
        <v/>
      </c>
      <c r="AO8" t="str">
        <f t="shared" ref="AO8:AO39" si="5">IF($AM8="●","LDP "&amp;E8&amp;"."&amp;$B$14,"")</f>
        <v/>
      </c>
      <c r="AP8" t="str">
        <f t="shared" ref="AP8:AP39" si="6">IF($AM8="●","AND=.D "&amp;$B$15&amp;" #0","")</f>
        <v/>
      </c>
      <c r="AQ8" t="str">
        <f t="shared" ref="AQ8:AQ39" si="7">IF($AM8="●","MOV.D #"&amp;AN8&amp;" "&amp;$B$15,"")</f>
        <v/>
      </c>
      <c r="AR8" t="str">
        <f t="shared" ref="AR8:AR39" si="8">IF(LEN(AK8),"MOV.D "&amp;$AK8&amp;" "&amp;$B$17,"")</f>
        <v/>
      </c>
      <c r="AS8" t="str">
        <f t="shared" ref="AS8:AS39" si="9">IF(AND(D8&lt;&gt;0,AM8="●"),CHAR(10),"")&amp;IF(LEN(AO8),AO8,"")</f>
        <v/>
      </c>
      <c r="AT8" t="str">
        <f t="shared" ref="AT8:AT39" si="10">IF(LEN(AS8),AS8&amp;CHAR(10),"")&amp;IF(LEN(AP8),AP8,"")</f>
        <v/>
      </c>
      <c r="AU8" t="str">
        <f t="shared" ref="AU8:AU39" si="11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2">IF($AM8="●",AT8&amp;CHAR(10)&amp;"BOX_ST"&amp;CHAR(10)&amp;";//"&amp;$B$28,"")</f>
        <v/>
      </c>
      <c r="AZ8" t="str">
        <f t="shared" ref="AZ8:AZ39" si="13">IF($AM8="●",IF(LEN(AY8),AY8&amp;CHAR(10),"")&amp;";//エラーNo.を入れる"&amp;CHAR(10)&amp;";"&amp;$B$15&amp;"	:= "&amp;AN8&amp;";","")</f>
        <v/>
      </c>
      <c r="BA8" t="str">
        <f t="shared" ref="BA8:BA39" si="14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5">IF($AM8="●",IF(LEN(BB8),BB8&amp;CHAR(10),"")&amp;";//"&amp;$B$29,"")</f>
        <v/>
      </c>
      <c r="BE8">
        <f t="shared" ref="BE8:BE39" si="16">INT(D8/$BE$6)</f>
        <v>0</v>
      </c>
      <c r="BF8">
        <f t="shared" ref="BF8:BF39" si="17">MOD(D8,$BE$6)</f>
        <v>0</v>
      </c>
      <c r="BG8" t="str">
        <f t="shared" ref="BG8:BG39" si="18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9">IF(LEN(J9),J9,IF(LEN(Q9),Q9,""))</f>
        <v/>
      </c>
      <c r="G9" t="str">
        <f t="shared" si="3"/>
        <v/>
      </c>
      <c r="I9" s="3"/>
      <c r="Z9" t="str">
        <f t="shared" ref="Z9:Z72" si="20">IF(COUNTIF($G9,"*"&amp;Z$7&amp;"*"),INT(MID($G9,FIND(Z$7,$G9)+LEN(Z$7)+1,2)),"")</f>
        <v/>
      </c>
      <c r="AA9" t="str">
        <f t="shared" ref="AA9:AC72" si="21">IF(COUNTIF($G9,"*"&amp;AA$7&amp;"*"),INT(MID($G9,FIND(AA$7,$G9)+LEN(AA$7),2)),"")</f>
        <v/>
      </c>
      <c r="AB9" t="str">
        <f t="shared" si="21"/>
        <v/>
      </c>
      <c r="AC9" t="str">
        <f t="shared" si="21"/>
        <v/>
      </c>
      <c r="AD9" t="str">
        <f t="shared" ref="AD9:AD40" si="22">IF(AND(LEN($Z9),AD$2&lt;=$Z9,$Z9&lt;=AD$3),AD$7&amp;"["&amp;$Z9-AD$2&amp;"]","")</f>
        <v/>
      </c>
      <c r="AE9" t="str">
        <f t="shared" ref="AE9:AE72" si="23">IF(AND(LEN($Z9),AE$2&lt;=$Z9,$Z9&lt;=AE$3),AE$7&amp;"["&amp;$Z9-AE$2&amp;"]",IF(AND(LEN($Z9),AE$4&lt;=$Z9,$Z9&lt;=AE$5),AE$7&amp;"["&amp;AE$3+$Z9-AE$4-AE$2+1&amp;"]",""))</f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4"/>
        <v/>
      </c>
      <c r="AO9" t="str">
        <f t="shared" si="5"/>
        <v/>
      </c>
      <c r="AP9" t="str">
        <f t="shared" si="6"/>
        <v/>
      </c>
      <c r="AQ9" t="str">
        <f t="shared" si="7"/>
        <v/>
      </c>
      <c r="AR9" t="str">
        <f t="shared" si="8"/>
        <v/>
      </c>
      <c r="AS9" t="str">
        <f t="shared" si="9"/>
        <v/>
      </c>
      <c r="AT9" t="str">
        <f t="shared" si="10"/>
        <v/>
      </c>
      <c r="AU9" t="str">
        <f t="shared" si="11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2"/>
        <v/>
      </c>
      <c r="AZ9" t="str">
        <f t="shared" si="13"/>
        <v/>
      </c>
      <c r="BA9" t="str">
        <f t="shared" si="14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5"/>
        <v/>
      </c>
      <c r="BE9">
        <f t="shared" si="16"/>
        <v>0</v>
      </c>
      <c r="BF9">
        <f t="shared" si="17"/>
        <v>1</v>
      </c>
      <c r="BG9" t="str">
        <f t="shared" si="18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9"/>
        <v/>
      </c>
      <c r="G10" t="str">
        <f t="shared" si="3"/>
        <v/>
      </c>
      <c r="Z10" t="str">
        <f t="shared" si="20"/>
        <v/>
      </c>
      <c r="AA10" t="str">
        <f t="shared" si="21"/>
        <v/>
      </c>
      <c r="AB10" t="str">
        <f t="shared" si="21"/>
        <v/>
      </c>
      <c r="AC10" t="str">
        <f t="shared" si="21"/>
        <v/>
      </c>
      <c r="AD10" t="str">
        <f t="shared" si="22"/>
        <v/>
      </c>
      <c r="AE10" t="str">
        <f t="shared" si="23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4"/>
        <v/>
      </c>
      <c r="AO10" t="str">
        <f t="shared" si="5"/>
        <v/>
      </c>
      <c r="AP10" t="str">
        <f t="shared" si="6"/>
        <v/>
      </c>
      <c r="AQ10" t="str">
        <f t="shared" si="7"/>
        <v/>
      </c>
      <c r="AR10" t="str">
        <f t="shared" si="8"/>
        <v/>
      </c>
      <c r="AS10" t="str">
        <f t="shared" si="9"/>
        <v/>
      </c>
      <c r="AT10" t="str">
        <f t="shared" si="10"/>
        <v/>
      </c>
      <c r="AU10" t="str">
        <f t="shared" si="11"/>
        <v/>
      </c>
      <c r="AV10" t="str">
        <f t="shared" si="31"/>
        <v/>
      </c>
      <c r="AW10" t="str">
        <f t="shared" si="32"/>
        <v/>
      </c>
      <c r="AY10" t="str">
        <f t="shared" si="12"/>
        <v/>
      </c>
      <c r="AZ10" t="str">
        <f t="shared" si="13"/>
        <v/>
      </c>
      <c r="BA10" t="str">
        <f t="shared" si="14"/>
        <v/>
      </c>
      <c r="BB10" t="str">
        <f t="shared" si="33"/>
        <v/>
      </c>
      <c r="BC10" t="str">
        <f t="shared" si="15"/>
        <v/>
      </c>
      <c r="BE10">
        <f t="shared" si="16"/>
        <v>0</v>
      </c>
      <c r="BF10">
        <f t="shared" si="17"/>
        <v>2</v>
      </c>
      <c r="BG10" t="str">
        <f t="shared" si="18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9"/>
        <v/>
      </c>
      <c r="G11" t="str">
        <f t="shared" si="3"/>
        <v/>
      </c>
      <c r="Z11" t="str">
        <f t="shared" si="20"/>
        <v/>
      </c>
      <c r="AA11" t="str">
        <f t="shared" si="21"/>
        <v/>
      </c>
      <c r="AB11" t="str">
        <f t="shared" si="21"/>
        <v/>
      </c>
      <c r="AC11" t="str">
        <f t="shared" si="21"/>
        <v/>
      </c>
      <c r="AD11" t="str">
        <f t="shared" si="22"/>
        <v/>
      </c>
      <c r="AE11" t="str">
        <f t="shared" si="23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4"/>
        <v/>
      </c>
      <c r="AO11" t="str">
        <f t="shared" si="5"/>
        <v/>
      </c>
      <c r="AP11" t="str">
        <f t="shared" si="6"/>
        <v/>
      </c>
      <c r="AQ11" t="str">
        <f t="shared" si="7"/>
        <v/>
      </c>
      <c r="AR11" t="str">
        <f t="shared" si="8"/>
        <v/>
      </c>
      <c r="AS11" t="str">
        <f t="shared" si="9"/>
        <v/>
      </c>
      <c r="AT11" t="str">
        <f t="shared" si="10"/>
        <v/>
      </c>
      <c r="AU11" t="str">
        <f t="shared" si="11"/>
        <v/>
      </c>
      <c r="AV11" t="str">
        <f t="shared" si="31"/>
        <v/>
      </c>
      <c r="AW11" t="str">
        <f t="shared" si="32"/>
        <v/>
      </c>
      <c r="AY11" t="str">
        <f t="shared" si="12"/>
        <v/>
      </c>
      <c r="AZ11" t="str">
        <f t="shared" si="13"/>
        <v/>
      </c>
      <c r="BA11" t="str">
        <f t="shared" si="14"/>
        <v/>
      </c>
      <c r="BB11" t="str">
        <f t="shared" si="33"/>
        <v/>
      </c>
      <c r="BC11" t="str">
        <f t="shared" si="15"/>
        <v/>
      </c>
      <c r="BE11">
        <f t="shared" si="16"/>
        <v>1</v>
      </c>
      <c r="BF11">
        <f t="shared" si="17"/>
        <v>0</v>
      </c>
      <c r="BG11" t="str">
        <f t="shared" si="18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9"/>
        <v/>
      </c>
      <c r="G12" t="str">
        <f t="shared" si="3"/>
        <v/>
      </c>
      <c r="Z12" t="str">
        <f t="shared" si="20"/>
        <v/>
      </c>
      <c r="AA12" t="str">
        <f t="shared" si="21"/>
        <v/>
      </c>
      <c r="AB12" t="str">
        <f t="shared" si="21"/>
        <v/>
      </c>
      <c r="AC12" t="str">
        <f t="shared" si="21"/>
        <v/>
      </c>
      <c r="AD12" t="str">
        <f t="shared" si="22"/>
        <v/>
      </c>
      <c r="AE12" t="str">
        <f t="shared" si="23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4"/>
        <v/>
      </c>
      <c r="AO12" t="str">
        <f t="shared" si="5"/>
        <v/>
      </c>
      <c r="AP12" t="str">
        <f t="shared" si="6"/>
        <v/>
      </c>
      <c r="AQ12" t="str">
        <f t="shared" si="7"/>
        <v/>
      </c>
      <c r="AR12" t="str">
        <f t="shared" si="8"/>
        <v/>
      </c>
      <c r="AS12" t="str">
        <f t="shared" si="9"/>
        <v/>
      </c>
      <c r="AT12" t="str">
        <f t="shared" si="10"/>
        <v/>
      </c>
      <c r="AU12" t="str">
        <f t="shared" si="11"/>
        <v/>
      </c>
      <c r="AV12" t="str">
        <f t="shared" si="31"/>
        <v/>
      </c>
      <c r="AW12" t="str">
        <f t="shared" si="32"/>
        <v/>
      </c>
      <c r="AY12" t="str">
        <f t="shared" si="12"/>
        <v/>
      </c>
      <c r="AZ12" t="str">
        <f t="shared" si="13"/>
        <v/>
      </c>
      <c r="BA12" t="str">
        <f t="shared" si="14"/>
        <v/>
      </c>
      <c r="BB12" t="str">
        <f t="shared" si="33"/>
        <v/>
      </c>
      <c r="BC12" t="str">
        <f t="shared" si="15"/>
        <v/>
      </c>
      <c r="BE12">
        <f t="shared" si="16"/>
        <v>1</v>
      </c>
      <c r="BF12">
        <f t="shared" si="17"/>
        <v>1</v>
      </c>
      <c r="BG12" t="str">
        <f t="shared" si="18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9"/>
        <v/>
      </c>
      <c r="G13" t="str">
        <f t="shared" si="3"/>
        <v/>
      </c>
      <c r="Z13" t="str">
        <f t="shared" si="20"/>
        <v/>
      </c>
      <c r="AA13" t="str">
        <f t="shared" si="21"/>
        <v/>
      </c>
      <c r="AB13" t="str">
        <f t="shared" si="21"/>
        <v/>
      </c>
      <c r="AC13" t="str">
        <f t="shared" si="21"/>
        <v/>
      </c>
      <c r="AD13" t="str">
        <f t="shared" si="22"/>
        <v/>
      </c>
      <c r="AE13" t="str">
        <f t="shared" si="23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4"/>
        <v/>
      </c>
      <c r="AO13" t="str">
        <f t="shared" si="5"/>
        <v/>
      </c>
      <c r="AP13" t="str">
        <f t="shared" si="6"/>
        <v/>
      </c>
      <c r="AQ13" t="str">
        <f t="shared" si="7"/>
        <v/>
      </c>
      <c r="AR13" t="str">
        <f t="shared" si="8"/>
        <v/>
      </c>
      <c r="AS13" t="str">
        <f t="shared" si="9"/>
        <v/>
      </c>
      <c r="AT13" t="str">
        <f t="shared" si="10"/>
        <v/>
      </c>
      <c r="AU13" t="str">
        <f t="shared" si="11"/>
        <v/>
      </c>
      <c r="AV13" t="str">
        <f t="shared" si="31"/>
        <v/>
      </c>
      <c r="AW13" t="str">
        <f t="shared" si="32"/>
        <v/>
      </c>
      <c r="AY13" t="str">
        <f t="shared" si="12"/>
        <v/>
      </c>
      <c r="AZ13" t="str">
        <f t="shared" si="13"/>
        <v/>
      </c>
      <c r="BA13" t="str">
        <f t="shared" si="14"/>
        <v/>
      </c>
      <c r="BB13" t="str">
        <f t="shared" si="33"/>
        <v/>
      </c>
      <c r="BC13" t="str">
        <f t="shared" si="15"/>
        <v/>
      </c>
      <c r="BE13">
        <f t="shared" si="16"/>
        <v>1</v>
      </c>
      <c r="BF13">
        <f t="shared" si="17"/>
        <v>2</v>
      </c>
      <c r="BG13" t="str">
        <f t="shared" si="18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9"/>
        <v/>
      </c>
      <c r="G14" t="str">
        <f t="shared" si="3"/>
        <v/>
      </c>
      <c r="Z14" t="str">
        <f t="shared" si="20"/>
        <v/>
      </c>
      <c r="AA14" t="str">
        <f t="shared" si="21"/>
        <v/>
      </c>
      <c r="AB14" t="str">
        <f t="shared" si="21"/>
        <v/>
      </c>
      <c r="AC14" t="str">
        <f t="shared" si="21"/>
        <v/>
      </c>
      <c r="AD14" t="str">
        <f t="shared" si="22"/>
        <v/>
      </c>
      <c r="AE14" t="str">
        <f t="shared" si="23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4"/>
        <v/>
      </c>
      <c r="AO14" t="str">
        <f t="shared" si="5"/>
        <v/>
      </c>
      <c r="AP14" t="str">
        <f t="shared" si="6"/>
        <v/>
      </c>
      <c r="AQ14" t="str">
        <f t="shared" si="7"/>
        <v/>
      </c>
      <c r="AR14" t="str">
        <f t="shared" si="8"/>
        <v/>
      </c>
      <c r="AS14" t="str">
        <f t="shared" si="9"/>
        <v/>
      </c>
      <c r="AT14" t="str">
        <f t="shared" si="10"/>
        <v/>
      </c>
      <c r="AU14" t="str">
        <f t="shared" si="11"/>
        <v/>
      </c>
      <c r="AV14" t="str">
        <f t="shared" si="31"/>
        <v/>
      </c>
      <c r="AW14" t="str">
        <f t="shared" si="32"/>
        <v/>
      </c>
      <c r="AY14" t="str">
        <f t="shared" si="12"/>
        <v/>
      </c>
      <c r="AZ14" t="str">
        <f t="shared" si="13"/>
        <v/>
      </c>
      <c r="BA14" t="str">
        <f t="shared" si="14"/>
        <v/>
      </c>
      <c r="BB14" t="str">
        <f t="shared" si="33"/>
        <v/>
      </c>
      <c r="BC14" t="str">
        <f t="shared" si="15"/>
        <v/>
      </c>
      <c r="BE14">
        <f t="shared" si="16"/>
        <v>2</v>
      </c>
      <c r="BF14">
        <f t="shared" si="17"/>
        <v>0</v>
      </c>
      <c r="BG14" t="str">
        <f t="shared" si="18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9"/>
        <v/>
      </c>
      <c r="G15" t="str">
        <f t="shared" si="3"/>
        <v/>
      </c>
      <c r="Z15" t="str">
        <f t="shared" si="20"/>
        <v/>
      </c>
      <c r="AA15" t="str">
        <f t="shared" si="21"/>
        <v/>
      </c>
      <c r="AB15" t="str">
        <f t="shared" si="21"/>
        <v/>
      </c>
      <c r="AC15" t="str">
        <f t="shared" si="21"/>
        <v/>
      </c>
      <c r="AD15" t="str">
        <f t="shared" si="22"/>
        <v/>
      </c>
      <c r="AE15" t="str">
        <f t="shared" si="23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4"/>
        <v/>
      </c>
      <c r="AO15" t="str">
        <f t="shared" si="5"/>
        <v/>
      </c>
      <c r="AP15" t="str">
        <f t="shared" si="6"/>
        <v/>
      </c>
      <c r="AQ15" t="str">
        <f t="shared" si="7"/>
        <v/>
      </c>
      <c r="AR15" t="str">
        <f t="shared" si="8"/>
        <v/>
      </c>
      <c r="AS15" t="str">
        <f t="shared" si="9"/>
        <v/>
      </c>
      <c r="AT15" t="str">
        <f t="shared" si="10"/>
        <v/>
      </c>
      <c r="AU15" t="str">
        <f t="shared" si="11"/>
        <v/>
      </c>
      <c r="AV15" t="str">
        <f t="shared" si="31"/>
        <v/>
      </c>
      <c r="AW15" t="str">
        <f t="shared" si="32"/>
        <v/>
      </c>
      <c r="AY15" t="str">
        <f t="shared" si="12"/>
        <v/>
      </c>
      <c r="AZ15" t="str">
        <f t="shared" si="13"/>
        <v/>
      </c>
      <c r="BA15" t="str">
        <f t="shared" si="14"/>
        <v/>
      </c>
      <c r="BB15" t="str">
        <f t="shared" si="33"/>
        <v/>
      </c>
      <c r="BC15" t="str">
        <f t="shared" si="15"/>
        <v/>
      </c>
      <c r="BE15">
        <f t="shared" si="16"/>
        <v>2</v>
      </c>
      <c r="BF15">
        <f t="shared" si="17"/>
        <v>1</v>
      </c>
      <c r="BG15" t="str">
        <f t="shared" si="18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9"/>
        <v/>
      </c>
      <c r="G16" t="str">
        <f t="shared" si="3"/>
        <v/>
      </c>
      <c r="Z16" t="str">
        <f t="shared" si="20"/>
        <v/>
      </c>
      <c r="AA16" t="str">
        <f t="shared" si="21"/>
        <v/>
      </c>
      <c r="AB16" t="str">
        <f t="shared" si="21"/>
        <v/>
      </c>
      <c r="AC16" t="str">
        <f t="shared" si="21"/>
        <v/>
      </c>
      <c r="AD16" t="str">
        <f t="shared" si="22"/>
        <v/>
      </c>
      <c r="AE16" t="str">
        <f t="shared" si="23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4"/>
        <v/>
      </c>
      <c r="AO16" t="str">
        <f t="shared" si="5"/>
        <v/>
      </c>
      <c r="AP16" t="str">
        <f t="shared" si="6"/>
        <v/>
      </c>
      <c r="AQ16" t="str">
        <f t="shared" si="7"/>
        <v/>
      </c>
      <c r="AR16" t="str">
        <f t="shared" si="8"/>
        <v/>
      </c>
      <c r="AS16" t="str">
        <f t="shared" si="9"/>
        <v/>
      </c>
      <c r="AT16" t="str">
        <f t="shared" si="10"/>
        <v/>
      </c>
      <c r="AU16" t="str">
        <f t="shared" si="11"/>
        <v/>
      </c>
      <c r="AV16" t="str">
        <f t="shared" si="31"/>
        <v/>
      </c>
      <c r="AW16" t="str">
        <f t="shared" si="32"/>
        <v/>
      </c>
      <c r="AY16" t="str">
        <f t="shared" si="12"/>
        <v/>
      </c>
      <c r="AZ16" t="str">
        <f t="shared" si="13"/>
        <v/>
      </c>
      <c r="BA16" t="str">
        <f t="shared" si="14"/>
        <v/>
      </c>
      <c r="BB16" t="str">
        <f t="shared" si="33"/>
        <v/>
      </c>
      <c r="BC16" t="str">
        <f t="shared" si="15"/>
        <v/>
      </c>
      <c r="BE16">
        <f t="shared" si="16"/>
        <v>2</v>
      </c>
      <c r="BF16">
        <f t="shared" si="17"/>
        <v>2</v>
      </c>
      <c r="BG16" t="str">
        <f t="shared" si="18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9"/>
        <v/>
      </c>
      <c r="G17" t="str">
        <f t="shared" si="3"/>
        <v/>
      </c>
      <c r="Z17" t="str">
        <f t="shared" si="20"/>
        <v/>
      </c>
      <c r="AA17" t="str">
        <f t="shared" si="21"/>
        <v/>
      </c>
      <c r="AB17" t="str">
        <f t="shared" si="21"/>
        <v/>
      </c>
      <c r="AC17" t="str">
        <f t="shared" si="21"/>
        <v/>
      </c>
      <c r="AD17" t="str">
        <f t="shared" si="22"/>
        <v/>
      </c>
      <c r="AE17" t="str">
        <f t="shared" si="23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4"/>
        <v/>
      </c>
      <c r="AO17" t="str">
        <f t="shared" si="5"/>
        <v/>
      </c>
      <c r="AP17" t="str">
        <f t="shared" si="6"/>
        <v/>
      </c>
      <c r="AQ17" t="str">
        <f t="shared" si="7"/>
        <v/>
      </c>
      <c r="AR17" t="str">
        <f t="shared" si="8"/>
        <v/>
      </c>
      <c r="AS17" t="str">
        <f t="shared" si="9"/>
        <v/>
      </c>
      <c r="AT17" t="str">
        <f t="shared" si="10"/>
        <v/>
      </c>
      <c r="AU17" t="str">
        <f t="shared" si="11"/>
        <v/>
      </c>
      <c r="AV17" t="str">
        <f t="shared" si="31"/>
        <v/>
      </c>
      <c r="AW17" t="str">
        <f t="shared" si="32"/>
        <v/>
      </c>
      <c r="AY17" t="str">
        <f t="shared" si="12"/>
        <v/>
      </c>
      <c r="AZ17" t="str">
        <f t="shared" si="13"/>
        <v/>
      </c>
      <c r="BA17" t="str">
        <f t="shared" si="14"/>
        <v/>
      </c>
      <c r="BB17" t="str">
        <f t="shared" si="33"/>
        <v/>
      </c>
      <c r="BC17" t="str">
        <f t="shared" si="15"/>
        <v/>
      </c>
      <c r="BE17">
        <f t="shared" si="16"/>
        <v>3</v>
      </c>
      <c r="BF17">
        <f t="shared" si="17"/>
        <v>0</v>
      </c>
      <c r="BG17" t="str">
        <f t="shared" si="18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9"/>
        <v/>
      </c>
      <c r="G18" t="str">
        <f t="shared" si="3"/>
        <v/>
      </c>
      <c r="Z18" t="str">
        <f t="shared" si="20"/>
        <v/>
      </c>
      <c r="AA18" t="str">
        <f t="shared" si="21"/>
        <v/>
      </c>
      <c r="AB18" t="str">
        <f t="shared" si="21"/>
        <v/>
      </c>
      <c r="AC18" t="str">
        <f t="shared" si="21"/>
        <v/>
      </c>
      <c r="AD18" t="str">
        <f t="shared" si="22"/>
        <v/>
      </c>
      <c r="AE18" t="str">
        <f t="shared" si="23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4"/>
        <v/>
      </c>
      <c r="AO18" t="str">
        <f t="shared" si="5"/>
        <v/>
      </c>
      <c r="AP18" t="str">
        <f t="shared" si="6"/>
        <v/>
      </c>
      <c r="AQ18" t="str">
        <f t="shared" si="7"/>
        <v/>
      </c>
      <c r="AR18" t="str">
        <f t="shared" si="8"/>
        <v/>
      </c>
      <c r="AS18" t="str">
        <f t="shared" si="9"/>
        <v/>
      </c>
      <c r="AT18" t="str">
        <f t="shared" si="10"/>
        <v/>
      </c>
      <c r="AU18" t="str">
        <f t="shared" si="11"/>
        <v/>
      </c>
      <c r="AV18" t="str">
        <f t="shared" si="31"/>
        <v/>
      </c>
      <c r="AW18" t="str">
        <f t="shared" si="32"/>
        <v/>
      </c>
      <c r="AY18" t="str">
        <f t="shared" si="12"/>
        <v/>
      </c>
      <c r="AZ18" t="str">
        <f t="shared" si="13"/>
        <v/>
      </c>
      <c r="BA18" t="str">
        <f t="shared" si="14"/>
        <v/>
      </c>
      <c r="BB18" t="str">
        <f t="shared" si="33"/>
        <v/>
      </c>
      <c r="BC18" t="str">
        <f t="shared" si="15"/>
        <v/>
      </c>
      <c r="BE18">
        <f t="shared" si="16"/>
        <v>3</v>
      </c>
      <c r="BF18">
        <f t="shared" si="17"/>
        <v>1</v>
      </c>
      <c r="BG18" t="str">
        <f t="shared" si="18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9"/>
        <v/>
      </c>
      <c r="G19" t="str">
        <f t="shared" si="3"/>
        <v/>
      </c>
      <c r="Z19" t="str">
        <f t="shared" si="20"/>
        <v/>
      </c>
      <c r="AA19" t="str">
        <f t="shared" si="21"/>
        <v/>
      </c>
      <c r="AB19" t="str">
        <f t="shared" si="21"/>
        <v/>
      </c>
      <c r="AC19" t="str">
        <f t="shared" si="21"/>
        <v/>
      </c>
      <c r="AD19" t="str">
        <f t="shared" si="22"/>
        <v/>
      </c>
      <c r="AE19" t="str">
        <f t="shared" si="23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4"/>
        <v/>
      </c>
      <c r="AO19" t="str">
        <f t="shared" si="5"/>
        <v/>
      </c>
      <c r="AP19" t="str">
        <f t="shared" si="6"/>
        <v/>
      </c>
      <c r="AQ19" t="str">
        <f t="shared" si="7"/>
        <v/>
      </c>
      <c r="AR19" t="str">
        <f t="shared" si="8"/>
        <v/>
      </c>
      <c r="AS19" t="str">
        <f t="shared" si="9"/>
        <v/>
      </c>
      <c r="AT19" t="str">
        <f t="shared" si="10"/>
        <v/>
      </c>
      <c r="AU19" t="str">
        <f t="shared" si="11"/>
        <v/>
      </c>
      <c r="AV19" t="str">
        <f t="shared" si="31"/>
        <v/>
      </c>
      <c r="AW19" t="str">
        <f t="shared" si="32"/>
        <v/>
      </c>
      <c r="AY19" t="str">
        <f t="shared" si="12"/>
        <v/>
      </c>
      <c r="AZ19" t="str">
        <f t="shared" si="13"/>
        <v/>
      </c>
      <c r="BA19" t="str">
        <f t="shared" si="14"/>
        <v/>
      </c>
      <c r="BB19" t="str">
        <f t="shared" si="33"/>
        <v/>
      </c>
      <c r="BC19" t="str">
        <f t="shared" si="15"/>
        <v/>
      </c>
      <c r="BE19">
        <f t="shared" si="16"/>
        <v>3</v>
      </c>
      <c r="BF19">
        <f t="shared" si="17"/>
        <v>2</v>
      </c>
      <c r="BG19" t="str">
        <f t="shared" si="18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9"/>
        <v/>
      </c>
      <c r="G20" t="str">
        <f t="shared" si="3"/>
        <v/>
      </c>
      <c r="Z20" t="str">
        <f t="shared" si="20"/>
        <v/>
      </c>
      <c r="AA20" t="str">
        <f t="shared" si="21"/>
        <v/>
      </c>
      <c r="AB20" t="str">
        <f t="shared" si="21"/>
        <v/>
      </c>
      <c r="AC20" t="str">
        <f t="shared" si="21"/>
        <v/>
      </c>
      <c r="AD20" t="str">
        <f t="shared" si="22"/>
        <v/>
      </c>
      <c r="AE20" t="str">
        <f t="shared" si="23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4"/>
        <v/>
      </c>
      <c r="AO20" t="str">
        <f t="shared" si="5"/>
        <v/>
      </c>
      <c r="AP20" t="str">
        <f t="shared" si="6"/>
        <v/>
      </c>
      <c r="AQ20" t="str">
        <f t="shared" si="7"/>
        <v/>
      </c>
      <c r="AR20" t="str">
        <f t="shared" si="8"/>
        <v/>
      </c>
      <c r="AS20" t="str">
        <f t="shared" si="9"/>
        <v/>
      </c>
      <c r="AT20" t="str">
        <f t="shared" si="10"/>
        <v/>
      </c>
      <c r="AU20" t="str">
        <f t="shared" si="11"/>
        <v/>
      </c>
      <c r="AV20" t="str">
        <f t="shared" si="31"/>
        <v/>
      </c>
      <c r="AW20" t="str">
        <f t="shared" si="32"/>
        <v/>
      </c>
      <c r="AY20" t="str">
        <f t="shared" si="12"/>
        <v/>
      </c>
      <c r="AZ20" t="str">
        <f t="shared" si="13"/>
        <v/>
      </c>
      <c r="BA20" t="str">
        <f t="shared" si="14"/>
        <v/>
      </c>
      <c r="BB20" t="str">
        <f t="shared" si="33"/>
        <v/>
      </c>
      <c r="BC20" t="str">
        <f t="shared" si="15"/>
        <v/>
      </c>
      <c r="BE20">
        <f t="shared" si="16"/>
        <v>4</v>
      </c>
      <c r="BF20">
        <f t="shared" si="17"/>
        <v>0</v>
      </c>
      <c r="BG20" t="str">
        <f t="shared" si="18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9"/>
        <v/>
      </c>
      <c r="G21" t="str">
        <f t="shared" si="3"/>
        <v/>
      </c>
      <c r="Z21" t="str">
        <f t="shared" si="20"/>
        <v/>
      </c>
      <c r="AA21" t="str">
        <f t="shared" si="21"/>
        <v/>
      </c>
      <c r="AB21" t="str">
        <f t="shared" si="21"/>
        <v/>
      </c>
      <c r="AC21" t="str">
        <f t="shared" si="21"/>
        <v/>
      </c>
      <c r="AD21" t="str">
        <f t="shared" si="22"/>
        <v/>
      </c>
      <c r="AE21" t="str">
        <f t="shared" si="23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4"/>
        <v/>
      </c>
      <c r="AO21" t="str">
        <f t="shared" si="5"/>
        <v/>
      </c>
      <c r="AP21" t="str">
        <f t="shared" si="6"/>
        <v/>
      </c>
      <c r="AQ21" t="str">
        <f t="shared" si="7"/>
        <v/>
      </c>
      <c r="AR21" t="str">
        <f t="shared" si="8"/>
        <v/>
      </c>
      <c r="AS21" t="str">
        <f t="shared" si="9"/>
        <v/>
      </c>
      <c r="AT21" t="str">
        <f t="shared" si="10"/>
        <v/>
      </c>
      <c r="AU21" t="str">
        <f t="shared" si="11"/>
        <v/>
      </c>
      <c r="AV21" t="str">
        <f t="shared" si="31"/>
        <v/>
      </c>
      <c r="AW21" t="str">
        <f t="shared" si="32"/>
        <v/>
      </c>
      <c r="AY21" t="str">
        <f t="shared" si="12"/>
        <v/>
      </c>
      <c r="AZ21" t="str">
        <f t="shared" si="13"/>
        <v/>
      </c>
      <c r="BA21" t="str">
        <f t="shared" si="14"/>
        <v/>
      </c>
      <c r="BB21" t="str">
        <f t="shared" si="33"/>
        <v/>
      </c>
      <c r="BC21" t="str">
        <f t="shared" si="15"/>
        <v/>
      </c>
      <c r="BE21">
        <f t="shared" si="16"/>
        <v>4</v>
      </c>
      <c r="BF21">
        <f t="shared" si="17"/>
        <v>1</v>
      </c>
      <c r="BG21" t="str">
        <f t="shared" si="18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9"/>
        <v/>
      </c>
      <c r="G22" t="str">
        <f t="shared" si="3"/>
        <v/>
      </c>
      <c r="Z22" t="str">
        <f t="shared" si="20"/>
        <v/>
      </c>
      <c r="AA22" t="str">
        <f t="shared" si="21"/>
        <v/>
      </c>
      <c r="AB22" t="str">
        <f t="shared" si="21"/>
        <v/>
      </c>
      <c r="AC22" t="str">
        <f t="shared" si="21"/>
        <v/>
      </c>
      <c r="AD22" t="str">
        <f t="shared" si="22"/>
        <v/>
      </c>
      <c r="AE22" t="str">
        <f t="shared" si="23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4"/>
        <v/>
      </c>
      <c r="AO22" t="str">
        <f t="shared" si="5"/>
        <v/>
      </c>
      <c r="AP22" t="str">
        <f t="shared" si="6"/>
        <v/>
      </c>
      <c r="AQ22" t="str">
        <f t="shared" si="7"/>
        <v/>
      </c>
      <c r="AR22" t="str">
        <f t="shared" si="8"/>
        <v/>
      </c>
      <c r="AS22" t="str">
        <f t="shared" si="9"/>
        <v/>
      </c>
      <c r="AT22" t="str">
        <f t="shared" si="10"/>
        <v/>
      </c>
      <c r="AU22" t="str">
        <f t="shared" si="11"/>
        <v/>
      </c>
      <c r="AV22" t="str">
        <f t="shared" si="31"/>
        <v/>
      </c>
      <c r="AW22" t="str">
        <f t="shared" si="32"/>
        <v/>
      </c>
      <c r="AY22" t="str">
        <f t="shared" si="12"/>
        <v/>
      </c>
      <c r="AZ22" t="str">
        <f t="shared" si="13"/>
        <v/>
      </c>
      <c r="BA22" t="str">
        <f t="shared" si="14"/>
        <v/>
      </c>
      <c r="BB22" t="str">
        <f t="shared" si="33"/>
        <v/>
      </c>
      <c r="BC22" t="str">
        <f t="shared" si="15"/>
        <v/>
      </c>
      <c r="BE22">
        <f t="shared" si="16"/>
        <v>4</v>
      </c>
      <c r="BF22">
        <f t="shared" si="17"/>
        <v>2</v>
      </c>
      <c r="BG22" t="str">
        <f t="shared" si="18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9"/>
        <v/>
      </c>
      <c r="G23" t="str">
        <f t="shared" si="3"/>
        <v/>
      </c>
      <c r="Z23" t="str">
        <f t="shared" si="20"/>
        <v/>
      </c>
      <c r="AA23" t="str">
        <f t="shared" si="21"/>
        <v/>
      </c>
      <c r="AB23" t="str">
        <f t="shared" si="21"/>
        <v/>
      </c>
      <c r="AC23" t="str">
        <f t="shared" si="21"/>
        <v/>
      </c>
      <c r="AD23" t="str">
        <f t="shared" si="22"/>
        <v/>
      </c>
      <c r="AE23" t="str">
        <f t="shared" si="23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4"/>
        <v/>
      </c>
      <c r="AO23" t="str">
        <f t="shared" si="5"/>
        <v/>
      </c>
      <c r="AP23" t="str">
        <f t="shared" si="6"/>
        <v/>
      </c>
      <c r="AQ23" t="str">
        <f t="shared" si="7"/>
        <v/>
      </c>
      <c r="AR23" t="str">
        <f t="shared" si="8"/>
        <v/>
      </c>
      <c r="AS23" t="str">
        <f t="shared" si="9"/>
        <v/>
      </c>
      <c r="AT23" t="str">
        <f t="shared" si="10"/>
        <v/>
      </c>
      <c r="AU23" t="str">
        <f t="shared" si="11"/>
        <v/>
      </c>
      <c r="AV23" t="str">
        <f t="shared" si="31"/>
        <v/>
      </c>
      <c r="AW23" t="str">
        <f t="shared" si="32"/>
        <v/>
      </c>
      <c r="AY23" t="str">
        <f t="shared" si="12"/>
        <v/>
      </c>
      <c r="AZ23" t="str">
        <f t="shared" si="13"/>
        <v/>
      </c>
      <c r="BA23" t="str">
        <f t="shared" si="14"/>
        <v/>
      </c>
      <c r="BB23" t="str">
        <f t="shared" si="33"/>
        <v/>
      </c>
      <c r="BC23" t="str">
        <f t="shared" si="15"/>
        <v/>
      </c>
      <c r="BE23">
        <f t="shared" si="16"/>
        <v>5</v>
      </c>
      <c r="BF23">
        <f t="shared" si="17"/>
        <v>0</v>
      </c>
      <c r="BG23" t="str">
        <f t="shared" si="18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9"/>
        <v/>
      </c>
      <c r="G24" t="str">
        <f t="shared" si="3"/>
        <v/>
      </c>
      <c r="Z24" t="str">
        <f t="shared" si="20"/>
        <v/>
      </c>
      <c r="AA24" t="str">
        <f t="shared" si="21"/>
        <v/>
      </c>
      <c r="AB24" t="str">
        <f t="shared" si="21"/>
        <v/>
      </c>
      <c r="AC24" t="str">
        <f t="shared" si="21"/>
        <v/>
      </c>
      <c r="AD24" t="str">
        <f t="shared" si="22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4"/>
        <v/>
      </c>
      <c r="AO24" t="str">
        <f t="shared" si="5"/>
        <v/>
      </c>
      <c r="AP24" t="str">
        <f t="shared" si="6"/>
        <v/>
      </c>
      <c r="AQ24" t="str">
        <f t="shared" si="7"/>
        <v/>
      </c>
      <c r="AR24" t="str">
        <f t="shared" si="8"/>
        <v/>
      </c>
      <c r="AS24" t="str">
        <f t="shared" si="9"/>
        <v/>
      </c>
      <c r="AT24" t="str">
        <f t="shared" si="10"/>
        <v/>
      </c>
      <c r="AU24" t="str">
        <f t="shared" si="11"/>
        <v/>
      </c>
      <c r="AV24" t="str">
        <f t="shared" si="31"/>
        <v/>
      </c>
      <c r="AW24" t="str">
        <f t="shared" si="32"/>
        <v/>
      </c>
      <c r="AY24" t="str">
        <f t="shared" si="12"/>
        <v/>
      </c>
      <c r="AZ24" t="str">
        <f t="shared" si="13"/>
        <v/>
      </c>
      <c r="BA24" t="str">
        <f t="shared" si="14"/>
        <v/>
      </c>
      <c r="BB24" t="str">
        <f t="shared" si="33"/>
        <v/>
      </c>
      <c r="BC24" t="str">
        <f t="shared" si="15"/>
        <v/>
      </c>
      <c r="BE24">
        <f t="shared" si="16"/>
        <v>5</v>
      </c>
      <c r="BF24">
        <f t="shared" si="17"/>
        <v>1</v>
      </c>
      <c r="BG24" t="str">
        <f t="shared" si="18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9"/>
        <v/>
      </c>
      <c r="G25" t="str">
        <f t="shared" si="3"/>
        <v/>
      </c>
      <c r="Z25" t="str">
        <f t="shared" si="20"/>
        <v/>
      </c>
      <c r="AA25" t="str">
        <f t="shared" si="21"/>
        <v/>
      </c>
      <c r="AB25" t="str">
        <f t="shared" si="21"/>
        <v/>
      </c>
      <c r="AC25" t="str">
        <f t="shared" si="21"/>
        <v/>
      </c>
      <c r="AD25" t="str">
        <f t="shared" si="22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4"/>
        <v/>
      </c>
      <c r="AO25" t="str">
        <f t="shared" si="5"/>
        <v/>
      </c>
      <c r="AP25" t="str">
        <f t="shared" si="6"/>
        <v/>
      </c>
      <c r="AQ25" t="str">
        <f t="shared" si="7"/>
        <v/>
      </c>
      <c r="AR25" t="str">
        <f t="shared" si="8"/>
        <v/>
      </c>
      <c r="AS25" t="str">
        <f t="shared" si="9"/>
        <v/>
      </c>
      <c r="AT25" t="str">
        <f t="shared" si="10"/>
        <v/>
      </c>
      <c r="AU25" t="str">
        <f t="shared" si="11"/>
        <v/>
      </c>
      <c r="AV25" t="str">
        <f t="shared" si="31"/>
        <v/>
      </c>
      <c r="AW25" t="str">
        <f t="shared" si="32"/>
        <v/>
      </c>
      <c r="AY25" t="str">
        <f t="shared" si="12"/>
        <v/>
      </c>
      <c r="AZ25" t="str">
        <f t="shared" si="13"/>
        <v/>
      </c>
      <c r="BA25" t="str">
        <f t="shared" si="14"/>
        <v/>
      </c>
      <c r="BB25" t="str">
        <f t="shared" si="33"/>
        <v/>
      </c>
      <c r="BC25" t="str">
        <f t="shared" si="15"/>
        <v/>
      </c>
      <c r="BE25">
        <f t="shared" si="16"/>
        <v>5</v>
      </c>
      <c r="BF25">
        <f t="shared" si="17"/>
        <v>2</v>
      </c>
      <c r="BG25" t="str">
        <f t="shared" si="18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9"/>
        <v/>
      </c>
      <c r="G26" t="str">
        <f t="shared" si="3"/>
        <v/>
      </c>
      <c r="Z26" t="str">
        <f t="shared" si="20"/>
        <v/>
      </c>
      <c r="AA26" t="str">
        <f t="shared" si="21"/>
        <v/>
      </c>
      <c r="AB26" t="str">
        <f t="shared" si="21"/>
        <v/>
      </c>
      <c r="AC26" t="str">
        <f t="shared" si="21"/>
        <v/>
      </c>
      <c r="AD26" t="str">
        <f t="shared" si="22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4"/>
        <v/>
      </c>
      <c r="AO26" t="str">
        <f t="shared" si="5"/>
        <v/>
      </c>
      <c r="AP26" t="str">
        <f t="shared" si="6"/>
        <v/>
      </c>
      <c r="AQ26" t="str">
        <f t="shared" si="7"/>
        <v/>
      </c>
      <c r="AR26" t="str">
        <f t="shared" si="8"/>
        <v/>
      </c>
      <c r="AS26" t="str">
        <f t="shared" si="9"/>
        <v/>
      </c>
      <c r="AT26" t="str">
        <f t="shared" si="10"/>
        <v/>
      </c>
      <c r="AU26" t="str">
        <f t="shared" si="11"/>
        <v/>
      </c>
      <c r="AV26" t="str">
        <f t="shared" si="31"/>
        <v/>
      </c>
      <c r="AW26" t="str">
        <f t="shared" si="32"/>
        <v/>
      </c>
      <c r="AY26" t="str">
        <f t="shared" si="12"/>
        <v/>
      </c>
      <c r="AZ26" t="str">
        <f t="shared" si="13"/>
        <v/>
      </c>
      <c r="BA26" t="str">
        <f t="shared" si="14"/>
        <v/>
      </c>
      <c r="BB26" t="str">
        <f t="shared" si="33"/>
        <v/>
      </c>
      <c r="BC26" t="str">
        <f t="shared" si="15"/>
        <v/>
      </c>
      <c r="BE26">
        <f t="shared" si="16"/>
        <v>6</v>
      </c>
      <c r="BF26">
        <f t="shared" si="17"/>
        <v>0</v>
      </c>
      <c r="BG26" t="str">
        <f t="shared" si="18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9"/>
        <v/>
      </c>
      <c r="G27" t="str">
        <f t="shared" si="3"/>
        <v/>
      </c>
      <c r="Z27" t="str">
        <f t="shared" si="20"/>
        <v/>
      </c>
      <c r="AA27" t="str">
        <f t="shared" si="21"/>
        <v/>
      </c>
      <c r="AB27" t="str">
        <f t="shared" si="21"/>
        <v/>
      </c>
      <c r="AC27" t="str">
        <f t="shared" si="21"/>
        <v/>
      </c>
      <c r="AD27" t="str">
        <f t="shared" si="22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4"/>
        <v/>
      </c>
      <c r="AO27" t="str">
        <f t="shared" si="5"/>
        <v/>
      </c>
      <c r="AP27" t="str">
        <f t="shared" si="6"/>
        <v/>
      </c>
      <c r="AQ27" t="str">
        <f t="shared" si="7"/>
        <v/>
      </c>
      <c r="AR27" t="str">
        <f t="shared" si="8"/>
        <v/>
      </c>
      <c r="AS27" t="str">
        <f t="shared" si="9"/>
        <v/>
      </c>
      <c r="AT27" t="str">
        <f t="shared" si="10"/>
        <v/>
      </c>
      <c r="AU27" t="str">
        <f t="shared" si="11"/>
        <v/>
      </c>
      <c r="AV27" t="str">
        <f t="shared" si="31"/>
        <v/>
      </c>
      <c r="AW27" t="str">
        <f t="shared" si="32"/>
        <v/>
      </c>
      <c r="AY27" t="str">
        <f t="shared" si="12"/>
        <v/>
      </c>
      <c r="AZ27" t="str">
        <f t="shared" si="13"/>
        <v/>
      </c>
      <c r="BA27" t="str">
        <f t="shared" si="14"/>
        <v/>
      </c>
      <c r="BB27" t="str">
        <f t="shared" si="33"/>
        <v/>
      </c>
      <c r="BC27" t="str">
        <f t="shared" si="15"/>
        <v/>
      </c>
      <c r="BE27">
        <f t="shared" si="16"/>
        <v>6</v>
      </c>
      <c r="BF27">
        <f t="shared" si="17"/>
        <v>1</v>
      </c>
      <c r="BG27" t="str">
        <f t="shared" si="18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9"/>
        <v/>
      </c>
      <c r="G28" t="str">
        <f t="shared" si="3"/>
        <v/>
      </c>
      <c r="Z28" t="str">
        <f t="shared" si="20"/>
        <v/>
      </c>
      <c r="AA28" t="str">
        <f t="shared" si="21"/>
        <v/>
      </c>
      <c r="AB28" t="str">
        <f t="shared" si="21"/>
        <v/>
      </c>
      <c r="AC28" t="str">
        <f t="shared" si="21"/>
        <v/>
      </c>
      <c r="AD28" t="str">
        <f t="shared" si="22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4"/>
        <v/>
      </c>
      <c r="AO28" t="str">
        <f t="shared" si="5"/>
        <v/>
      </c>
      <c r="AP28" t="str">
        <f t="shared" si="6"/>
        <v/>
      </c>
      <c r="AQ28" t="str">
        <f t="shared" si="7"/>
        <v/>
      </c>
      <c r="AR28" t="str">
        <f t="shared" si="8"/>
        <v/>
      </c>
      <c r="AS28" t="str">
        <f t="shared" si="9"/>
        <v/>
      </c>
      <c r="AT28" t="str">
        <f t="shared" si="10"/>
        <v/>
      </c>
      <c r="AU28" t="str">
        <f t="shared" si="11"/>
        <v/>
      </c>
      <c r="AV28" t="str">
        <f t="shared" si="31"/>
        <v/>
      </c>
      <c r="AW28" t="str">
        <f t="shared" si="32"/>
        <v/>
      </c>
      <c r="AY28" t="str">
        <f t="shared" si="12"/>
        <v/>
      </c>
      <c r="AZ28" t="str">
        <f t="shared" si="13"/>
        <v/>
      </c>
      <c r="BA28" t="str">
        <f t="shared" si="14"/>
        <v/>
      </c>
      <c r="BB28" t="str">
        <f t="shared" si="33"/>
        <v/>
      </c>
      <c r="BC28" t="str">
        <f t="shared" si="15"/>
        <v/>
      </c>
      <c r="BE28">
        <f t="shared" si="16"/>
        <v>6</v>
      </c>
      <c r="BF28">
        <f t="shared" si="17"/>
        <v>2</v>
      </c>
      <c r="BG28" t="str">
        <f t="shared" si="18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9"/>
        <v/>
      </c>
      <c r="G29" t="str">
        <f t="shared" si="3"/>
        <v/>
      </c>
      <c r="Z29" t="str">
        <f t="shared" si="20"/>
        <v/>
      </c>
      <c r="AA29" t="str">
        <f t="shared" si="21"/>
        <v/>
      </c>
      <c r="AB29" t="str">
        <f t="shared" si="21"/>
        <v/>
      </c>
      <c r="AC29" t="str">
        <f t="shared" si="21"/>
        <v/>
      </c>
      <c r="AD29" t="str">
        <f t="shared" si="22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4"/>
        <v/>
      </c>
      <c r="AO29" t="str">
        <f t="shared" si="5"/>
        <v/>
      </c>
      <c r="AP29" t="str">
        <f t="shared" si="6"/>
        <v/>
      </c>
      <c r="AQ29" t="str">
        <f t="shared" si="7"/>
        <v/>
      </c>
      <c r="AR29" t="str">
        <f t="shared" si="8"/>
        <v/>
      </c>
      <c r="AS29" t="str">
        <f t="shared" si="9"/>
        <v/>
      </c>
      <c r="AT29" t="str">
        <f t="shared" si="10"/>
        <v/>
      </c>
      <c r="AU29" t="str">
        <f t="shared" si="11"/>
        <v/>
      </c>
      <c r="AV29" t="str">
        <f t="shared" si="31"/>
        <v/>
      </c>
      <c r="AW29" t="str">
        <f t="shared" si="32"/>
        <v/>
      </c>
      <c r="AY29" t="str">
        <f t="shared" si="12"/>
        <v/>
      </c>
      <c r="AZ29" t="str">
        <f t="shared" si="13"/>
        <v/>
      </c>
      <c r="BA29" t="str">
        <f t="shared" si="14"/>
        <v/>
      </c>
      <c r="BB29" t="str">
        <f t="shared" si="33"/>
        <v/>
      </c>
      <c r="BC29" t="str">
        <f t="shared" si="15"/>
        <v/>
      </c>
      <c r="BE29">
        <f t="shared" si="16"/>
        <v>7</v>
      </c>
      <c r="BF29">
        <f t="shared" si="17"/>
        <v>0</v>
      </c>
      <c r="BG29" t="str">
        <f t="shared" si="18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9"/>
        <v/>
      </c>
      <c r="G30" t="str">
        <f t="shared" si="3"/>
        <v/>
      </c>
      <c r="Z30" t="str">
        <f t="shared" si="20"/>
        <v/>
      </c>
      <c r="AA30" t="str">
        <f t="shared" si="21"/>
        <v/>
      </c>
      <c r="AB30" t="str">
        <f t="shared" si="21"/>
        <v/>
      </c>
      <c r="AC30" t="str">
        <f t="shared" si="21"/>
        <v/>
      </c>
      <c r="AD30" t="str">
        <f t="shared" si="22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4"/>
        <v/>
      </c>
      <c r="AO30" t="str">
        <f t="shared" si="5"/>
        <v/>
      </c>
      <c r="AP30" t="str">
        <f t="shared" si="6"/>
        <v/>
      </c>
      <c r="AQ30" t="str">
        <f t="shared" si="7"/>
        <v/>
      </c>
      <c r="AR30" t="str">
        <f t="shared" si="8"/>
        <v/>
      </c>
      <c r="AS30" t="str">
        <f t="shared" si="9"/>
        <v/>
      </c>
      <c r="AT30" t="str">
        <f t="shared" si="10"/>
        <v/>
      </c>
      <c r="AU30" t="str">
        <f t="shared" si="11"/>
        <v/>
      </c>
      <c r="AV30" t="str">
        <f t="shared" si="31"/>
        <v/>
      </c>
      <c r="AW30" t="str">
        <f t="shared" si="32"/>
        <v/>
      </c>
      <c r="AY30" t="str">
        <f t="shared" si="12"/>
        <v/>
      </c>
      <c r="AZ30" t="str">
        <f t="shared" si="13"/>
        <v/>
      </c>
      <c r="BA30" t="str">
        <f t="shared" si="14"/>
        <v/>
      </c>
      <c r="BB30" t="str">
        <f t="shared" si="33"/>
        <v/>
      </c>
      <c r="BC30" t="str">
        <f t="shared" si="15"/>
        <v/>
      </c>
      <c r="BE30">
        <f t="shared" si="16"/>
        <v>7</v>
      </c>
      <c r="BF30">
        <f t="shared" si="17"/>
        <v>1</v>
      </c>
      <c r="BG30" t="str">
        <f t="shared" si="18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9"/>
        <v/>
      </c>
      <c r="G31" t="str">
        <f t="shared" si="3"/>
        <v/>
      </c>
      <c r="Z31" t="str">
        <f t="shared" si="20"/>
        <v/>
      </c>
      <c r="AA31" t="str">
        <f t="shared" si="21"/>
        <v/>
      </c>
      <c r="AB31" t="str">
        <f t="shared" si="21"/>
        <v/>
      </c>
      <c r="AC31" t="str">
        <f t="shared" si="21"/>
        <v/>
      </c>
      <c r="AD31" t="str">
        <f t="shared" si="22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4"/>
        <v/>
      </c>
      <c r="AO31" t="str">
        <f t="shared" si="5"/>
        <v/>
      </c>
      <c r="AP31" t="str">
        <f t="shared" si="6"/>
        <v/>
      </c>
      <c r="AQ31" t="str">
        <f t="shared" si="7"/>
        <v/>
      </c>
      <c r="AR31" t="str">
        <f t="shared" si="8"/>
        <v/>
      </c>
      <c r="AS31" t="str">
        <f t="shared" si="9"/>
        <v/>
      </c>
      <c r="AT31" t="str">
        <f t="shared" si="10"/>
        <v/>
      </c>
      <c r="AU31" t="str">
        <f t="shared" si="11"/>
        <v/>
      </c>
      <c r="AV31" t="str">
        <f t="shared" si="31"/>
        <v/>
      </c>
      <c r="AW31" t="str">
        <f t="shared" si="32"/>
        <v/>
      </c>
      <c r="AY31" t="str">
        <f t="shared" si="12"/>
        <v/>
      </c>
      <c r="AZ31" t="str">
        <f t="shared" si="13"/>
        <v/>
      </c>
      <c r="BA31" t="str">
        <f t="shared" si="14"/>
        <v/>
      </c>
      <c r="BB31" t="str">
        <f t="shared" si="33"/>
        <v/>
      </c>
      <c r="BC31" t="str">
        <f t="shared" si="15"/>
        <v/>
      </c>
      <c r="BE31">
        <f t="shared" si="16"/>
        <v>7</v>
      </c>
      <c r="BF31">
        <f t="shared" si="17"/>
        <v>2</v>
      </c>
      <c r="BG31" t="str">
        <f t="shared" si="18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9"/>
        <v/>
      </c>
      <c r="G32" t="str">
        <f t="shared" si="3"/>
        <v/>
      </c>
      <c r="Z32" t="str">
        <f t="shared" si="20"/>
        <v/>
      </c>
      <c r="AA32" t="str">
        <f t="shared" si="21"/>
        <v/>
      </c>
      <c r="AB32" t="str">
        <f t="shared" si="21"/>
        <v/>
      </c>
      <c r="AC32" t="str">
        <f t="shared" si="21"/>
        <v/>
      </c>
      <c r="AD32" t="str">
        <f t="shared" si="22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4"/>
        <v/>
      </c>
      <c r="AO32" t="str">
        <f t="shared" si="5"/>
        <v/>
      </c>
      <c r="AP32" t="str">
        <f t="shared" si="6"/>
        <v/>
      </c>
      <c r="AQ32" t="str">
        <f t="shared" si="7"/>
        <v/>
      </c>
      <c r="AR32" t="str">
        <f t="shared" si="8"/>
        <v/>
      </c>
      <c r="AS32" t="str">
        <f t="shared" si="9"/>
        <v/>
      </c>
      <c r="AT32" t="str">
        <f t="shared" si="10"/>
        <v/>
      </c>
      <c r="AU32" t="str">
        <f t="shared" si="11"/>
        <v/>
      </c>
      <c r="AV32" t="str">
        <f t="shared" si="31"/>
        <v/>
      </c>
      <c r="AW32" t="str">
        <f t="shared" si="32"/>
        <v/>
      </c>
      <c r="AY32" t="str">
        <f t="shared" si="12"/>
        <v/>
      </c>
      <c r="AZ32" t="str">
        <f t="shared" si="13"/>
        <v/>
      </c>
      <c r="BA32" t="str">
        <f t="shared" si="14"/>
        <v/>
      </c>
      <c r="BB32" t="str">
        <f t="shared" si="33"/>
        <v/>
      </c>
      <c r="BC32" t="str">
        <f t="shared" si="15"/>
        <v/>
      </c>
      <c r="BE32">
        <f t="shared" si="16"/>
        <v>8</v>
      </c>
      <c r="BF32">
        <f t="shared" si="17"/>
        <v>0</v>
      </c>
      <c r="BG32" t="str">
        <f t="shared" si="18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9"/>
        <v/>
      </c>
      <c r="G33" t="str">
        <f t="shared" si="3"/>
        <v/>
      </c>
      <c r="Z33" t="str">
        <f t="shared" si="20"/>
        <v/>
      </c>
      <c r="AA33" t="str">
        <f t="shared" si="21"/>
        <v/>
      </c>
      <c r="AB33" t="str">
        <f t="shared" si="21"/>
        <v/>
      </c>
      <c r="AC33" t="str">
        <f t="shared" si="21"/>
        <v/>
      </c>
      <c r="AD33" t="str">
        <f t="shared" si="22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4"/>
        <v/>
      </c>
      <c r="AO33" t="str">
        <f t="shared" si="5"/>
        <v/>
      </c>
      <c r="AP33" t="str">
        <f t="shared" si="6"/>
        <v/>
      </c>
      <c r="AQ33" t="str">
        <f t="shared" si="7"/>
        <v/>
      </c>
      <c r="AR33" t="str">
        <f t="shared" si="8"/>
        <v/>
      </c>
      <c r="AS33" t="str">
        <f t="shared" si="9"/>
        <v/>
      </c>
      <c r="AT33" t="str">
        <f t="shared" si="10"/>
        <v/>
      </c>
      <c r="AU33" t="str">
        <f t="shared" si="11"/>
        <v/>
      </c>
      <c r="AV33" t="str">
        <f t="shared" si="31"/>
        <v/>
      </c>
      <c r="AW33" t="str">
        <f t="shared" si="32"/>
        <v/>
      </c>
      <c r="AY33" t="str">
        <f t="shared" si="12"/>
        <v/>
      </c>
      <c r="AZ33" t="str">
        <f t="shared" si="13"/>
        <v/>
      </c>
      <c r="BA33" t="str">
        <f t="shared" si="14"/>
        <v/>
      </c>
      <c r="BB33" t="str">
        <f t="shared" si="33"/>
        <v/>
      </c>
      <c r="BC33" t="str">
        <f t="shared" si="15"/>
        <v/>
      </c>
      <c r="BE33">
        <f t="shared" si="16"/>
        <v>8</v>
      </c>
      <c r="BF33">
        <f t="shared" si="17"/>
        <v>1</v>
      </c>
      <c r="BG33" t="str">
        <f t="shared" si="18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9"/>
        <v/>
      </c>
      <c r="G34" t="str">
        <f t="shared" si="3"/>
        <v/>
      </c>
      <c r="Z34" t="str">
        <f t="shared" si="20"/>
        <v/>
      </c>
      <c r="AA34" t="str">
        <f t="shared" si="21"/>
        <v/>
      </c>
      <c r="AB34" t="str">
        <f t="shared" si="21"/>
        <v/>
      </c>
      <c r="AC34" t="str">
        <f t="shared" si="21"/>
        <v/>
      </c>
      <c r="AD34" t="str">
        <f t="shared" si="22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4"/>
        <v/>
      </c>
      <c r="AO34" t="str">
        <f t="shared" si="5"/>
        <v/>
      </c>
      <c r="AP34" t="str">
        <f t="shared" si="6"/>
        <v/>
      </c>
      <c r="AQ34" t="str">
        <f t="shared" si="7"/>
        <v/>
      </c>
      <c r="AR34" t="str">
        <f t="shared" si="8"/>
        <v/>
      </c>
      <c r="AS34" t="str">
        <f t="shared" si="9"/>
        <v/>
      </c>
      <c r="AT34" t="str">
        <f t="shared" si="10"/>
        <v/>
      </c>
      <c r="AU34" t="str">
        <f t="shared" si="11"/>
        <v/>
      </c>
      <c r="AV34" t="str">
        <f t="shared" si="31"/>
        <v/>
      </c>
      <c r="AW34" t="str">
        <f t="shared" si="32"/>
        <v/>
      </c>
      <c r="AY34" t="str">
        <f t="shared" si="12"/>
        <v/>
      </c>
      <c r="AZ34" t="str">
        <f t="shared" si="13"/>
        <v/>
      </c>
      <c r="BA34" t="str">
        <f t="shared" si="14"/>
        <v/>
      </c>
      <c r="BB34" t="str">
        <f t="shared" si="33"/>
        <v/>
      </c>
      <c r="BC34" t="str">
        <f t="shared" si="15"/>
        <v/>
      </c>
      <c r="BE34">
        <f t="shared" si="16"/>
        <v>8</v>
      </c>
      <c r="BF34">
        <f t="shared" si="17"/>
        <v>2</v>
      </c>
      <c r="BG34" t="str">
        <f t="shared" si="18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9"/>
        <v/>
      </c>
      <c r="G35" t="str">
        <f t="shared" si="3"/>
        <v/>
      </c>
      <c r="Z35" t="str">
        <f t="shared" si="20"/>
        <v/>
      </c>
      <c r="AA35" t="str">
        <f t="shared" si="21"/>
        <v/>
      </c>
      <c r="AB35" t="str">
        <f t="shared" si="21"/>
        <v/>
      </c>
      <c r="AC35" t="str">
        <f t="shared" si="21"/>
        <v/>
      </c>
      <c r="AD35" t="str">
        <f t="shared" si="22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4"/>
        <v/>
      </c>
      <c r="AO35" t="str">
        <f t="shared" si="5"/>
        <v/>
      </c>
      <c r="AP35" t="str">
        <f t="shared" si="6"/>
        <v/>
      </c>
      <c r="AQ35" t="str">
        <f t="shared" si="7"/>
        <v/>
      </c>
      <c r="AR35" t="str">
        <f t="shared" si="8"/>
        <v/>
      </c>
      <c r="AS35" t="str">
        <f t="shared" si="9"/>
        <v/>
      </c>
      <c r="AT35" t="str">
        <f t="shared" si="10"/>
        <v/>
      </c>
      <c r="AU35" t="str">
        <f t="shared" si="11"/>
        <v/>
      </c>
      <c r="AV35" t="str">
        <f t="shared" si="31"/>
        <v/>
      </c>
      <c r="AW35" t="str">
        <f t="shared" si="32"/>
        <v/>
      </c>
      <c r="AY35" t="str">
        <f t="shared" si="12"/>
        <v/>
      </c>
      <c r="AZ35" t="str">
        <f t="shared" si="13"/>
        <v/>
      </c>
      <c r="BA35" t="str">
        <f t="shared" si="14"/>
        <v/>
      </c>
      <c r="BB35" t="str">
        <f t="shared" si="33"/>
        <v/>
      </c>
      <c r="BC35" t="str">
        <f t="shared" si="15"/>
        <v/>
      </c>
      <c r="BE35">
        <f t="shared" si="16"/>
        <v>9</v>
      </c>
      <c r="BF35">
        <f t="shared" si="17"/>
        <v>0</v>
      </c>
      <c r="BG35" t="str">
        <f t="shared" si="18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9"/>
        <v/>
      </c>
      <c r="G36" t="str">
        <f t="shared" si="3"/>
        <v/>
      </c>
      <c r="Z36" t="str">
        <f t="shared" si="20"/>
        <v/>
      </c>
      <c r="AA36" t="str">
        <f t="shared" si="21"/>
        <v/>
      </c>
      <c r="AB36" t="str">
        <f t="shared" si="21"/>
        <v/>
      </c>
      <c r="AC36" t="str">
        <f t="shared" si="21"/>
        <v/>
      </c>
      <c r="AD36" t="str">
        <f t="shared" si="22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4"/>
        <v/>
      </c>
      <c r="AO36" t="str">
        <f t="shared" si="5"/>
        <v/>
      </c>
      <c r="AP36" t="str">
        <f t="shared" si="6"/>
        <v/>
      </c>
      <c r="AQ36" t="str">
        <f t="shared" si="7"/>
        <v/>
      </c>
      <c r="AR36" t="str">
        <f t="shared" si="8"/>
        <v/>
      </c>
      <c r="AS36" t="str">
        <f t="shared" si="9"/>
        <v/>
      </c>
      <c r="AT36" t="str">
        <f t="shared" si="10"/>
        <v/>
      </c>
      <c r="AU36" t="str">
        <f t="shared" si="11"/>
        <v/>
      </c>
      <c r="AV36" t="str">
        <f t="shared" si="31"/>
        <v/>
      </c>
      <c r="AW36" t="str">
        <f t="shared" si="32"/>
        <v/>
      </c>
      <c r="AY36" t="str">
        <f t="shared" si="12"/>
        <v/>
      </c>
      <c r="AZ36" t="str">
        <f t="shared" si="13"/>
        <v/>
      </c>
      <c r="BA36" t="str">
        <f t="shared" si="14"/>
        <v/>
      </c>
      <c r="BB36" t="str">
        <f t="shared" si="33"/>
        <v/>
      </c>
      <c r="BC36" t="str">
        <f t="shared" si="15"/>
        <v/>
      </c>
      <c r="BE36">
        <f t="shared" si="16"/>
        <v>9</v>
      </c>
      <c r="BF36">
        <f t="shared" si="17"/>
        <v>1</v>
      </c>
      <c r="BG36" t="str">
        <f t="shared" si="18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9"/>
        <v/>
      </c>
      <c r="G37" t="str">
        <f t="shared" si="3"/>
        <v/>
      </c>
      <c r="Z37" t="str">
        <f t="shared" si="20"/>
        <v/>
      </c>
      <c r="AA37" t="str">
        <f t="shared" si="21"/>
        <v/>
      </c>
      <c r="AB37" t="str">
        <f t="shared" si="21"/>
        <v/>
      </c>
      <c r="AC37" t="str">
        <f t="shared" si="21"/>
        <v/>
      </c>
      <c r="AD37" t="str">
        <f t="shared" si="22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4"/>
        <v/>
      </c>
      <c r="AO37" t="str">
        <f t="shared" si="5"/>
        <v/>
      </c>
      <c r="AP37" t="str">
        <f t="shared" si="6"/>
        <v/>
      </c>
      <c r="AQ37" t="str">
        <f t="shared" si="7"/>
        <v/>
      </c>
      <c r="AR37" t="str">
        <f t="shared" si="8"/>
        <v/>
      </c>
      <c r="AS37" t="str">
        <f t="shared" si="9"/>
        <v/>
      </c>
      <c r="AT37" t="str">
        <f t="shared" si="10"/>
        <v/>
      </c>
      <c r="AU37" t="str">
        <f t="shared" si="11"/>
        <v/>
      </c>
      <c r="AV37" t="str">
        <f t="shared" si="31"/>
        <v/>
      </c>
      <c r="AW37" t="str">
        <f t="shared" si="32"/>
        <v/>
      </c>
      <c r="AY37" t="str">
        <f t="shared" si="12"/>
        <v/>
      </c>
      <c r="AZ37" t="str">
        <f t="shared" si="13"/>
        <v/>
      </c>
      <c r="BA37" t="str">
        <f t="shared" si="14"/>
        <v/>
      </c>
      <c r="BB37" t="str">
        <f t="shared" si="33"/>
        <v/>
      </c>
      <c r="BC37" t="str">
        <f t="shared" si="15"/>
        <v/>
      </c>
      <c r="BE37">
        <f t="shared" si="16"/>
        <v>9</v>
      </c>
      <c r="BF37">
        <f t="shared" si="17"/>
        <v>2</v>
      </c>
      <c r="BG37" t="str">
        <f t="shared" si="18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9"/>
        <v/>
      </c>
      <c r="G38" t="str">
        <f t="shared" si="3"/>
        <v/>
      </c>
      <c r="Z38" t="str">
        <f t="shared" si="20"/>
        <v/>
      </c>
      <c r="AA38" t="str">
        <f t="shared" si="21"/>
        <v/>
      </c>
      <c r="AB38" t="str">
        <f t="shared" si="21"/>
        <v/>
      </c>
      <c r="AC38" t="str">
        <f t="shared" si="21"/>
        <v/>
      </c>
      <c r="AD38" t="str">
        <f t="shared" si="22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4"/>
        <v/>
      </c>
      <c r="AO38" t="str">
        <f t="shared" si="5"/>
        <v/>
      </c>
      <c r="AP38" t="str">
        <f t="shared" si="6"/>
        <v/>
      </c>
      <c r="AQ38" t="str">
        <f t="shared" si="7"/>
        <v/>
      </c>
      <c r="AR38" t="str">
        <f t="shared" si="8"/>
        <v/>
      </c>
      <c r="AS38" t="str">
        <f t="shared" si="9"/>
        <v/>
      </c>
      <c r="AT38" t="str">
        <f t="shared" si="10"/>
        <v/>
      </c>
      <c r="AU38" t="str">
        <f t="shared" si="11"/>
        <v/>
      </c>
      <c r="AV38" t="str">
        <f t="shared" si="31"/>
        <v/>
      </c>
      <c r="AW38" t="str">
        <f t="shared" si="32"/>
        <v/>
      </c>
      <c r="AY38" t="str">
        <f t="shared" si="12"/>
        <v/>
      </c>
      <c r="AZ38" t="str">
        <f t="shared" si="13"/>
        <v/>
      </c>
      <c r="BA38" t="str">
        <f t="shared" si="14"/>
        <v/>
      </c>
      <c r="BB38" t="str">
        <f t="shared" si="33"/>
        <v/>
      </c>
      <c r="BC38" t="str">
        <f t="shared" si="15"/>
        <v/>
      </c>
      <c r="BE38">
        <f t="shared" si="16"/>
        <v>10</v>
      </c>
      <c r="BF38">
        <f t="shared" si="17"/>
        <v>0</v>
      </c>
      <c r="BG38" t="str">
        <f t="shared" si="18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9"/>
        <v/>
      </c>
      <c r="G39" t="str">
        <f t="shared" si="3"/>
        <v/>
      </c>
      <c r="Z39" t="str">
        <f t="shared" si="20"/>
        <v/>
      </c>
      <c r="AA39" t="str">
        <f t="shared" si="21"/>
        <v/>
      </c>
      <c r="AB39" t="str">
        <f t="shared" si="21"/>
        <v/>
      </c>
      <c r="AC39" t="str">
        <f t="shared" si="21"/>
        <v/>
      </c>
      <c r="AD39" t="str">
        <f t="shared" si="22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4"/>
        <v/>
      </c>
      <c r="AO39" t="str">
        <f t="shared" si="5"/>
        <v/>
      </c>
      <c r="AP39" t="str">
        <f t="shared" si="6"/>
        <v/>
      </c>
      <c r="AQ39" t="str">
        <f t="shared" si="7"/>
        <v/>
      </c>
      <c r="AR39" t="str">
        <f t="shared" si="8"/>
        <v/>
      </c>
      <c r="AS39" t="str">
        <f t="shared" si="9"/>
        <v/>
      </c>
      <c r="AT39" t="str">
        <f t="shared" si="10"/>
        <v/>
      </c>
      <c r="AU39" t="str">
        <f t="shared" si="11"/>
        <v/>
      </c>
      <c r="AV39" t="str">
        <f t="shared" si="31"/>
        <v/>
      </c>
      <c r="AW39" t="str">
        <f t="shared" si="32"/>
        <v/>
      </c>
      <c r="AY39" t="str">
        <f t="shared" si="12"/>
        <v/>
      </c>
      <c r="AZ39" t="str">
        <f t="shared" si="13"/>
        <v/>
      </c>
      <c r="BA39" t="str">
        <f t="shared" si="14"/>
        <v/>
      </c>
      <c r="BB39" t="str">
        <f t="shared" si="33"/>
        <v/>
      </c>
      <c r="BC39" t="str">
        <f t="shared" si="15"/>
        <v/>
      </c>
      <c r="BE39">
        <f t="shared" si="16"/>
        <v>10</v>
      </c>
      <c r="BF39">
        <f t="shared" si="17"/>
        <v>1</v>
      </c>
      <c r="BG39" t="str">
        <f t="shared" si="18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9"/>
        <v/>
      </c>
      <c r="G40" t="str">
        <f t="shared" ref="G40:G71" si="36">IF(LEN(O40),O40,IF(LEN(X40),X40,""))</f>
        <v/>
      </c>
      <c r="Z40" t="str">
        <f t="shared" si="20"/>
        <v/>
      </c>
      <c r="AA40" t="str">
        <f t="shared" si="21"/>
        <v/>
      </c>
      <c r="AB40" t="str">
        <f t="shared" si="21"/>
        <v/>
      </c>
      <c r="AC40" t="str">
        <f t="shared" si="21"/>
        <v/>
      </c>
      <c r="AD40" t="str">
        <f t="shared" si="22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9"/>
        <v/>
      </c>
      <c r="G41" t="str">
        <f t="shared" si="36"/>
        <v/>
      </c>
      <c r="Z41" t="str">
        <f t="shared" si="20"/>
        <v/>
      </c>
      <c r="AA41" t="str">
        <f t="shared" si="21"/>
        <v/>
      </c>
      <c r="AB41" t="str">
        <f t="shared" si="21"/>
        <v/>
      </c>
      <c r="AC41" t="str">
        <f t="shared" si="21"/>
        <v/>
      </c>
      <c r="AD41" t="str">
        <f t="shared" ref="AD41:AD72" si="52">IF(AND(LEN($Z41),AD$2&lt;=$Z41,$Z41&lt;=AD$3),AD$7&amp;"["&amp;$Z41-AD$2&amp;"]","")</f>
        <v/>
      </c>
      <c r="AE41" t="str">
        <f t="shared" si="23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9"/>
        <v/>
      </c>
      <c r="G42" t="str">
        <f t="shared" si="36"/>
        <v/>
      </c>
      <c r="Z42" t="str">
        <f t="shared" si="20"/>
        <v/>
      </c>
      <c r="AA42" t="str">
        <f t="shared" si="21"/>
        <v/>
      </c>
      <c r="AB42" t="str">
        <f t="shared" si="21"/>
        <v/>
      </c>
      <c r="AC42" t="str">
        <f t="shared" si="21"/>
        <v/>
      </c>
      <c r="AD42" t="str">
        <f t="shared" si="52"/>
        <v/>
      </c>
      <c r="AE42" t="str">
        <f t="shared" si="23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9"/>
        <v/>
      </c>
      <c r="G43" t="str">
        <f t="shared" si="36"/>
        <v/>
      </c>
      <c r="Z43" t="str">
        <f t="shared" si="20"/>
        <v/>
      </c>
      <c r="AA43" t="str">
        <f t="shared" si="21"/>
        <v/>
      </c>
      <c r="AB43" t="str">
        <f t="shared" si="21"/>
        <v/>
      </c>
      <c r="AC43" t="str">
        <f t="shared" si="21"/>
        <v/>
      </c>
      <c r="AD43" t="str">
        <f t="shared" si="52"/>
        <v/>
      </c>
      <c r="AE43" t="str">
        <f t="shared" si="23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9"/>
        <v/>
      </c>
      <c r="G44" t="str">
        <f t="shared" si="36"/>
        <v/>
      </c>
      <c r="Z44" t="str">
        <f t="shared" si="20"/>
        <v/>
      </c>
      <c r="AA44" t="str">
        <f t="shared" si="21"/>
        <v/>
      </c>
      <c r="AB44" t="str">
        <f t="shared" si="21"/>
        <v/>
      </c>
      <c r="AC44" t="str">
        <f t="shared" si="21"/>
        <v/>
      </c>
      <c r="AD44" t="str">
        <f t="shared" si="52"/>
        <v/>
      </c>
      <c r="AE44" t="str">
        <f t="shared" si="23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9"/>
        <v/>
      </c>
      <c r="G45" t="str">
        <f t="shared" si="36"/>
        <v/>
      </c>
      <c r="Z45" t="str">
        <f t="shared" si="20"/>
        <v/>
      </c>
      <c r="AA45" t="str">
        <f t="shared" si="21"/>
        <v/>
      </c>
      <c r="AB45" t="str">
        <f t="shared" si="21"/>
        <v/>
      </c>
      <c r="AC45" t="str">
        <f t="shared" si="21"/>
        <v/>
      </c>
      <c r="AD45" t="str">
        <f t="shared" si="52"/>
        <v/>
      </c>
      <c r="AE45" t="str">
        <f t="shared" si="23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9"/>
        <v/>
      </c>
      <c r="G46" t="str">
        <f t="shared" si="36"/>
        <v/>
      </c>
      <c r="Z46" t="str">
        <f t="shared" si="20"/>
        <v/>
      </c>
      <c r="AA46" t="str">
        <f t="shared" si="21"/>
        <v/>
      </c>
      <c r="AB46" t="str">
        <f t="shared" si="21"/>
        <v/>
      </c>
      <c r="AC46" t="str">
        <f t="shared" si="21"/>
        <v/>
      </c>
      <c r="AD46" t="str">
        <f t="shared" si="52"/>
        <v/>
      </c>
      <c r="AE46" t="str">
        <f t="shared" si="23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9"/>
        <v/>
      </c>
      <c r="G47" t="str">
        <f t="shared" si="36"/>
        <v/>
      </c>
      <c r="Z47" t="str">
        <f t="shared" si="20"/>
        <v/>
      </c>
      <c r="AA47" t="str">
        <f t="shared" si="21"/>
        <v/>
      </c>
      <c r="AB47" t="str">
        <f t="shared" si="21"/>
        <v/>
      </c>
      <c r="AC47" t="str">
        <f t="shared" si="21"/>
        <v/>
      </c>
      <c r="AD47" t="str">
        <f t="shared" si="52"/>
        <v/>
      </c>
      <c r="AE47" t="str">
        <f t="shared" si="23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9"/>
        <v/>
      </c>
      <c r="G48" t="str">
        <f t="shared" si="36"/>
        <v/>
      </c>
      <c r="Z48" t="str">
        <f t="shared" si="20"/>
        <v/>
      </c>
      <c r="AA48" t="str">
        <f t="shared" si="21"/>
        <v/>
      </c>
      <c r="AB48" t="str">
        <f t="shared" si="21"/>
        <v/>
      </c>
      <c r="AC48" t="str">
        <f t="shared" si="21"/>
        <v/>
      </c>
      <c r="AD48" t="str">
        <f t="shared" si="52"/>
        <v/>
      </c>
      <c r="AE48" t="str">
        <f t="shared" si="23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9"/>
        <v/>
      </c>
      <c r="G49" t="str">
        <f t="shared" si="36"/>
        <v/>
      </c>
      <c r="Z49" t="str">
        <f t="shared" si="20"/>
        <v/>
      </c>
      <c r="AA49" t="str">
        <f t="shared" si="21"/>
        <v/>
      </c>
      <c r="AB49" t="str">
        <f t="shared" si="21"/>
        <v/>
      </c>
      <c r="AC49" t="str">
        <f t="shared" si="21"/>
        <v/>
      </c>
      <c r="AD49" t="str">
        <f t="shared" si="52"/>
        <v/>
      </c>
      <c r="AE49" t="str">
        <f t="shared" si="23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9"/>
        <v/>
      </c>
      <c r="G50" t="str">
        <f t="shared" si="36"/>
        <v/>
      </c>
      <c r="Z50" t="str">
        <f t="shared" si="20"/>
        <v/>
      </c>
      <c r="AA50" t="str">
        <f t="shared" si="21"/>
        <v/>
      </c>
      <c r="AB50" t="str">
        <f t="shared" si="21"/>
        <v/>
      </c>
      <c r="AC50" t="str">
        <f t="shared" si="21"/>
        <v/>
      </c>
      <c r="AD50" t="str">
        <f t="shared" si="52"/>
        <v/>
      </c>
      <c r="AE50" t="str">
        <f t="shared" si="23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9"/>
        <v/>
      </c>
      <c r="G51" t="str">
        <f t="shared" si="36"/>
        <v/>
      </c>
      <c r="Z51" t="str">
        <f t="shared" si="20"/>
        <v/>
      </c>
      <c r="AA51" t="str">
        <f t="shared" si="21"/>
        <v/>
      </c>
      <c r="AB51" t="str">
        <f t="shared" si="21"/>
        <v/>
      </c>
      <c r="AC51" t="str">
        <f t="shared" si="21"/>
        <v/>
      </c>
      <c r="AD51" t="str">
        <f t="shared" si="52"/>
        <v/>
      </c>
      <c r="AE51" t="str">
        <f t="shared" si="23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9"/>
        <v/>
      </c>
      <c r="G52" t="str">
        <f t="shared" si="36"/>
        <v/>
      </c>
      <c r="Z52" t="str">
        <f t="shared" si="20"/>
        <v/>
      </c>
      <c r="AA52" t="str">
        <f t="shared" si="21"/>
        <v/>
      </c>
      <c r="AB52" t="str">
        <f t="shared" si="21"/>
        <v/>
      </c>
      <c r="AC52" t="str">
        <f t="shared" si="21"/>
        <v/>
      </c>
      <c r="AD52" t="str">
        <f t="shared" si="52"/>
        <v/>
      </c>
      <c r="AE52" t="str">
        <f t="shared" si="23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9"/>
        <v/>
      </c>
      <c r="G53" t="str">
        <f t="shared" si="36"/>
        <v/>
      </c>
      <c r="Z53" t="str">
        <f t="shared" si="20"/>
        <v/>
      </c>
      <c r="AA53" t="str">
        <f t="shared" si="21"/>
        <v/>
      </c>
      <c r="AB53" t="str">
        <f t="shared" si="21"/>
        <v/>
      </c>
      <c r="AC53" t="str">
        <f t="shared" si="21"/>
        <v/>
      </c>
      <c r="AD53" t="str">
        <f t="shared" si="52"/>
        <v/>
      </c>
      <c r="AE53" t="str">
        <f t="shared" si="23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9"/>
        <v/>
      </c>
      <c r="G54" t="str">
        <f t="shared" si="36"/>
        <v/>
      </c>
      <c r="Z54" t="str">
        <f t="shared" si="20"/>
        <v/>
      </c>
      <c r="AA54" t="str">
        <f t="shared" si="21"/>
        <v/>
      </c>
      <c r="AB54" t="str">
        <f t="shared" si="21"/>
        <v/>
      </c>
      <c r="AC54" t="str">
        <f t="shared" si="21"/>
        <v/>
      </c>
      <c r="AD54" t="str">
        <f t="shared" si="52"/>
        <v/>
      </c>
      <c r="AE54" t="str">
        <f t="shared" si="23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9"/>
        <v/>
      </c>
      <c r="G55" t="str">
        <f t="shared" si="36"/>
        <v/>
      </c>
      <c r="Z55" t="str">
        <f t="shared" si="20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52"/>
        <v/>
      </c>
      <c r="AE55" t="str">
        <f t="shared" si="23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9"/>
        <v/>
      </c>
      <c r="G56" t="str">
        <f t="shared" si="36"/>
        <v/>
      </c>
      <c r="Z56" t="str">
        <f t="shared" si="20"/>
        <v/>
      </c>
      <c r="AA56" t="str">
        <f t="shared" si="21"/>
        <v/>
      </c>
      <c r="AB56" t="str">
        <f t="shared" si="21"/>
        <v/>
      </c>
      <c r="AC56" t="str">
        <f t="shared" si="21"/>
        <v/>
      </c>
      <c r="AD56" t="str">
        <f t="shared" si="52"/>
        <v/>
      </c>
      <c r="AE56" t="str">
        <f t="shared" si="23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9"/>
        <v/>
      </c>
      <c r="G57" t="str">
        <f t="shared" si="36"/>
        <v/>
      </c>
      <c r="Z57" t="str">
        <f t="shared" si="20"/>
        <v/>
      </c>
      <c r="AA57" t="str">
        <f t="shared" si="21"/>
        <v/>
      </c>
      <c r="AB57" t="str">
        <f t="shared" si="21"/>
        <v/>
      </c>
      <c r="AC57" t="str">
        <f t="shared" si="21"/>
        <v/>
      </c>
      <c r="AD57" t="str">
        <f t="shared" si="52"/>
        <v/>
      </c>
      <c r="AE57" t="str">
        <f t="shared" si="23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9"/>
        <v/>
      </c>
      <c r="G58" t="str">
        <f t="shared" si="36"/>
        <v/>
      </c>
      <c r="Z58" t="str">
        <f t="shared" si="20"/>
        <v/>
      </c>
      <c r="AA58" t="str">
        <f t="shared" si="21"/>
        <v/>
      </c>
      <c r="AB58" t="str">
        <f t="shared" si="21"/>
        <v/>
      </c>
      <c r="AC58" t="str">
        <f t="shared" si="21"/>
        <v/>
      </c>
      <c r="AD58" t="str">
        <f t="shared" si="52"/>
        <v/>
      </c>
      <c r="AE58" t="str">
        <f t="shared" si="23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9"/>
        <v/>
      </c>
      <c r="G59" t="str">
        <f t="shared" si="36"/>
        <v/>
      </c>
      <c r="Z59" t="str">
        <f t="shared" si="20"/>
        <v/>
      </c>
      <c r="AA59" t="str">
        <f t="shared" si="21"/>
        <v/>
      </c>
      <c r="AB59" t="str">
        <f t="shared" si="21"/>
        <v/>
      </c>
      <c r="AC59" t="str">
        <f t="shared" si="21"/>
        <v/>
      </c>
      <c r="AD59" t="str">
        <f t="shared" si="52"/>
        <v/>
      </c>
      <c r="AE59" t="str">
        <f t="shared" si="23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9"/>
        <v/>
      </c>
      <c r="G60" t="str">
        <f t="shared" si="36"/>
        <v/>
      </c>
      <c r="Z60" t="str">
        <f t="shared" si="20"/>
        <v/>
      </c>
      <c r="AA60" t="str">
        <f t="shared" si="21"/>
        <v/>
      </c>
      <c r="AB60" t="str">
        <f t="shared" si="21"/>
        <v/>
      </c>
      <c r="AC60" t="str">
        <f t="shared" si="21"/>
        <v/>
      </c>
      <c r="AD60" t="str">
        <f t="shared" si="52"/>
        <v/>
      </c>
      <c r="AE60" t="str">
        <f t="shared" si="23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9"/>
        <v/>
      </c>
      <c r="G61" t="str">
        <f t="shared" si="36"/>
        <v/>
      </c>
      <c r="Z61" t="str">
        <f t="shared" si="20"/>
        <v/>
      </c>
      <c r="AA61" t="str">
        <f t="shared" si="21"/>
        <v/>
      </c>
      <c r="AB61" t="str">
        <f t="shared" si="21"/>
        <v/>
      </c>
      <c r="AC61" t="str">
        <f t="shared" si="21"/>
        <v/>
      </c>
      <c r="AD61" t="str">
        <f t="shared" si="52"/>
        <v/>
      </c>
      <c r="AE61" t="str">
        <f t="shared" si="23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9"/>
        <v/>
      </c>
      <c r="G62" t="str">
        <f t="shared" si="36"/>
        <v/>
      </c>
      <c r="Z62" t="str">
        <f t="shared" si="20"/>
        <v/>
      </c>
      <c r="AA62" t="str">
        <f t="shared" si="21"/>
        <v/>
      </c>
      <c r="AB62" t="str">
        <f t="shared" si="21"/>
        <v/>
      </c>
      <c r="AC62" t="str">
        <f t="shared" si="21"/>
        <v/>
      </c>
      <c r="AD62" t="str">
        <f t="shared" si="52"/>
        <v/>
      </c>
      <c r="AE62" t="str">
        <f t="shared" si="23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9"/>
        <v/>
      </c>
      <c r="G63" t="str">
        <f t="shared" si="36"/>
        <v/>
      </c>
      <c r="Z63" t="str">
        <f t="shared" si="20"/>
        <v/>
      </c>
      <c r="AA63" t="str">
        <f t="shared" si="21"/>
        <v/>
      </c>
      <c r="AB63" t="str">
        <f t="shared" si="21"/>
        <v/>
      </c>
      <c r="AC63" t="str">
        <f t="shared" si="21"/>
        <v/>
      </c>
      <c r="AD63" t="str">
        <f t="shared" si="52"/>
        <v/>
      </c>
      <c r="AE63" t="str">
        <f t="shared" si="23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9"/>
        <v/>
      </c>
      <c r="G64" t="str">
        <f t="shared" si="36"/>
        <v/>
      </c>
      <c r="Z64" t="str">
        <f t="shared" si="20"/>
        <v/>
      </c>
      <c r="AA64" t="str">
        <f t="shared" si="21"/>
        <v/>
      </c>
      <c r="AB64" t="str">
        <f t="shared" si="21"/>
        <v/>
      </c>
      <c r="AC64" t="str">
        <f t="shared" si="21"/>
        <v/>
      </c>
      <c r="AD64" t="str">
        <f t="shared" si="52"/>
        <v/>
      </c>
      <c r="AE64" t="str">
        <f t="shared" si="23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9"/>
        <v/>
      </c>
      <c r="G65" t="str">
        <f t="shared" si="36"/>
        <v/>
      </c>
      <c r="Z65" t="str">
        <f t="shared" si="20"/>
        <v/>
      </c>
      <c r="AA65" t="str">
        <f t="shared" si="21"/>
        <v/>
      </c>
      <c r="AB65" t="str">
        <f t="shared" si="21"/>
        <v/>
      </c>
      <c r="AC65" t="str">
        <f t="shared" si="21"/>
        <v/>
      </c>
      <c r="AD65" t="str">
        <f t="shared" si="52"/>
        <v/>
      </c>
      <c r="AE65" t="str">
        <f t="shared" si="23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9"/>
        <v/>
      </c>
      <c r="G66" t="str">
        <f t="shared" si="36"/>
        <v/>
      </c>
      <c r="Z66" t="str">
        <f t="shared" si="20"/>
        <v/>
      </c>
      <c r="AA66" t="str">
        <f t="shared" si="21"/>
        <v/>
      </c>
      <c r="AB66" t="str">
        <f t="shared" si="21"/>
        <v/>
      </c>
      <c r="AC66" t="str">
        <f t="shared" si="21"/>
        <v/>
      </c>
      <c r="AD66" t="str">
        <f t="shared" si="52"/>
        <v/>
      </c>
      <c r="AE66" t="str">
        <f t="shared" si="23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9"/>
        <v/>
      </c>
      <c r="G67" t="str">
        <f t="shared" si="36"/>
        <v/>
      </c>
      <c r="Z67" t="str">
        <f t="shared" si="20"/>
        <v/>
      </c>
      <c r="AA67" t="str">
        <f t="shared" si="21"/>
        <v/>
      </c>
      <c r="AB67" t="str">
        <f t="shared" si="21"/>
        <v/>
      </c>
      <c r="AC67" t="str">
        <f t="shared" si="21"/>
        <v/>
      </c>
      <c r="AD67" t="str">
        <f t="shared" si="5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9"/>
        <v/>
      </c>
      <c r="G68" t="str">
        <f t="shared" si="36"/>
        <v/>
      </c>
      <c r="Z68" t="str">
        <f t="shared" si="20"/>
        <v/>
      </c>
      <c r="AA68" t="str">
        <f t="shared" si="21"/>
        <v/>
      </c>
      <c r="AB68" t="str">
        <f t="shared" si="21"/>
        <v/>
      </c>
      <c r="AC68" t="str">
        <f t="shared" si="21"/>
        <v/>
      </c>
      <c r="AD68" t="str">
        <f t="shared" si="5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9"/>
        <v/>
      </c>
      <c r="G69" t="str">
        <f t="shared" si="36"/>
        <v/>
      </c>
      <c r="Z69" t="str">
        <f t="shared" si="20"/>
        <v/>
      </c>
      <c r="AA69" t="str">
        <f t="shared" si="21"/>
        <v/>
      </c>
      <c r="AB69" t="str">
        <f t="shared" si="21"/>
        <v/>
      </c>
      <c r="AC69" t="str">
        <f t="shared" si="21"/>
        <v/>
      </c>
      <c r="AD69" t="str">
        <f t="shared" si="5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9"/>
        <v/>
      </c>
      <c r="G70" t="str">
        <f t="shared" si="36"/>
        <v/>
      </c>
      <c r="Z70" t="str">
        <f t="shared" si="20"/>
        <v/>
      </c>
      <c r="AA70" t="str">
        <f t="shared" si="21"/>
        <v/>
      </c>
      <c r="AB70" t="str">
        <f t="shared" si="21"/>
        <v/>
      </c>
      <c r="AC70" t="str">
        <f t="shared" si="21"/>
        <v/>
      </c>
      <c r="AD70" t="str">
        <f t="shared" si="5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9"/>
        <v/>
      </c>
      <c r="G71" t="str">
        <f t="shared" si="36"/>
        <v/>
      </c>
      <c r="Z71" t="str">
        <f t="shared" si="20"/>
        <v/>
      </c>
      <c r="AA71" t="str">
        <f t="shared" si="21"/>
        <v/>
      </c>
      <c r="AB71" t="str">
        <f t="shared" si="21"/>
        <v/>
      </c>
      <c r="AC71" t="str">
        <f t="shared" si="21"/>
        <v/>
      </c>
      <c r="AD71" t="str">
        <f t="shared" si="5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19"/>
        <v/>
      </c>
      <c r="G72" t="str">
        <f t="shared" ref="G72:G107" si="54">IF(LEN(O72),O72,IF(LEN(X72),X72,""))</f>
        <v/>
      </c>
      <c r="Z72" t="str">
        <f t="shared" si="20"/>
        <v/>
      </c>
      <c r="AA72" t="str">
        <f t="shared" si="21"/>
        <v/>
      </c>
      <c r="AB72" t="str">
        <f t="shared" si="21"/>
        <v/>
      </c>
      <c r="AC72" t="str">
        <f t="shared" si="21"/>
        <v/>
      </c>
      <c r="AD72" t="str">
        <f t="shared" si="5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D107" si="73">IF(AND(LEN($Z73),AD$2&lt;=$Z73,$Z73&lt;=AD$3),AD$7&amp;"["&amp;$Z73-AD$2&amp;"]","")</f>
        <v/>
      </c>
      <c r="AE73" t="str">
        <f t="shared" ref="AE73:AE107" si="74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5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6">IF(AND(LEN($Z73),AG$2&lt;=$Z73,$Z73&lt;=AG$3),AG$7&amp;"["&amp;$Z73-AG$2&amp;"]",IF(AND(LEN($Z73),AG$4&lt;=$Z73,$Z73&lt;=AG$5),AG$7&amp;"["&amp;AG$3+$Z73-AG$4&amp;"]",""))</f>
        <v/>
      </c>
      <c r="AH73" t="str">
        <f t="shared" ref="AH73:AH107" si="77">IF(AND(LEN($AA73),AH$2&lt;=$AA73,$AA73&lt;=AH$3),AH$7&amp;"["&amp;$AA73-AH$2&amp;"]","")</f>
        <v/>
      </c>
      <c r="AI73" t="str">
        <f t="shared" ref="AI73:AI107" si="78">IF(AND(LEN($AB73),AI$2&lt;=$AB73,$AB73&lt;=AI$3),AI$7&amp;"["&amp;$AB73-AI$2&amp;"]","")</f>
        <v/>
      </c>
      <c r="AJ73" t="str">
        <f t="shared" ref="AJ73:AJ107" si="79">IF(AND(LEN($AC73),AJ$2&lt;=$AC73,$AC73&lt;=AJ$3),AJ$7&amp;$AC73-AJ$2&amp;"Out","")</f>
        <v/>
      </c>
      <c r="AK73" t="str">
        <f t="shared" ref="AK73:AK107" si="80">IF(LEN(_xlfn.CONCAT(AD73:AJ73)),_xlfn.CONCAT(AD73:AJ73),"")</f>
        <v/>
      </c>
      <c r="AM73" t="str">
        <f t="shared" ref="AM73:AM107" si="81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2">IF(LEN(AU73),AU73&amp;CHAR(10),"")&amp;IF(LEN(AR73),AR73,"")</f>
        <v/>
      </c>
      <c r="AW73" t="str">
        <f t="shared" ref="AW73:AW107" si="83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4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5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4"/>
        <v/>
      </c>
      <c r="AF74" t="str">
        <f t="shared" si="75"/>
        <v/>
      </c>
      <c r="AG74" t="str">
        <f t="shared" si="76"/>
        <v/>
      </c>
      <c r="AH74" t="str">
        <f t="shared" si="77"/>
        <v/>
      </c>
      <c r="AI74" t="str">
        <f t="shared" si="78"/>
        <v/>
      </c>
      <c r="AJ74" t="str">
        <f t="shared" si="79"/>
        <v/>
      </c>
      <c r="AK74" t="str">
        <f t="shared" si="80"/>
        <v/>
      </c>
      <c r="AM74" t="str">
        <f t="shared" si="81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2"/>
        <v/>
      </c>
      <c r="AW74" t="str">
        <f t="shared" si="83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4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5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4"/>
        <v/>
      </c>
      <c r="AF75" t="str">
        <f t="shared" si="75"/>
        <v/>
      </c>
      <c r="AG75" t="str">
        <f t="shared" si="76"/>
        <v/>
      </c>
      <c r="AH75" t="str">
        <f t="shared" si="77"/>
        <v/>
      </c>
      <c r="AI75" t="str">
        <f t="shared" si="78"/>
        <v/>
      </c>
      <c r="AJ75" t="str">
        <f t="shared" si="79"/>
        <v/>
      </c>
      <c r="AK75" t="str">
        <f t="shared" si="80"/>
        <v/>
      </c>
      <c r="AM75" t="str">
        <f t="shared" si="81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2"/>
        <v/>
      </c>
      <c r="AW75" t="str">
        <f t="shared" si="83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4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5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4"/>
        <v/>
      </c>
      <c r="AF76" t="str">
        <f t="shared" si="75"/>
        <v/>
      </c>
      <c r="AG76" t="str">
        <f t="shared" si="76"/>
        <v/>
      </c>
      <c r="AH76" t="str">
        <f t="shared" si="77"/>
        <v/>
      </c>
      <c r="AI76" t="str">
        <f t="shared" si="78"/>
        <v/>
      </c>
      <c r="AJ76" t="str">
        <f t="shared" si="79"/>
        <v/>
      </c>
      <c r="AK76" t="str">
        <f t="shared" si="80"/>
        <v/>
      </c>
      <c r="AM76" t="str">
        <f t="shared" si="81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2"/>
        <v/>
      </c>
      <c r="AW76" t="str">
        <f t="shared" si="83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4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5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4"/>
        <v/>
      </c>
      <c r="AF77" t="str">
        <f t="shared" si="75"/>
        <v/>
      </c>
      <c r="AG77" t="str">
        <f t="shared" si="76"/>
        <v/>
      </c>
      <c r="AH77" t="str">
        <f t="shared" si="77"/>
        <v/>
      </c>
      <c r="AI77" t="str">
        <f t="shared" si="78"/>
        <v/>
      </c>
      <c r="AJ77" t="str">
        <f t="shared" si="79"/>
        <v/>
      </c>
      <c r="AK77" t="str">
        <f t="shared" si="80"/>
        <v/>
      </c>
      <c r="AM77" t="str">
        <f t="shared" si="81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2"/>
        <v/>
      </c>
      <c r="AW77" t="str">
        <f t="shared" si="83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4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5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4"/>
        <v/>
      </c>
      <c r="AF78" t="str">
        <f t="shared" si="75"/>
        <v/>
      </c>
      <c r="AG78" t="str">
        <f t="shared" si="76"/>
        <v/>
      </c>
      <c r="AH78" t="str">
        <f t="shared" si="77"/>
        <v/>
      </c>
      <c r="AI78" t="str">
        <f t="shared" si="78"/>
        <v/>
      </c>
      <c r="AJ78" t="str">
        <f t="shared" si="79"/>
        <v/>
      </c>
      <c r="AK78" t="str">
        <f t="shared" si="80"/>
        <v/>
      </c>
      <c r="AM78" t="str">
        <f t="shared" si="81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2"/>
        <v/>
      </c>
      <c r="AW78" t="str">
        <f t="shared" si="83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4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5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4"/>
        <v/>
      </c>
      <c r="AF79" t="str">
        <f t="shared" si="75"/>
        <v/>
      </c>
      <c r="AG79" t="str">
        <f t="shared" si="76"/>
        <v/>
      </c>
      <c r="AH79" t="str">
        <f t="shared" si="77"/>
        <v/>
      </c>
      <c r="AI79" t="str">
        <f t="shared" si="78"/>
        <v/>
      </c>
      <c r="AJ79" t="str">
        <f t="shared" si="79"/>
        <v/>
      </c>
      <c r="AK79" t="str">
        <f t="shared" si="80"/>
        <v/>
      </c>
      <c r="AM79" t="str">
        <f t="shared" si="81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2"/>
        <v/>
      </c>
      <c r="AW79" t="str">
        <f t="shared" si="83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4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5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4"/>
        <v/>
      </c>
      <c r="AF80" t="str">
        <f t="shared" si="75"/>
        <v/>
      </c>
      <c r="AG80" t="str">
        <f t="shared" si="76"/>
        <v/>
      </c>
      <c r="AH80" t="str">
        <f t="shared" si="77"/>
        <v/>
      </c>
      <c r="AI80" t="str">
        <f t="shared" si="78"/>
        <v/>
      </c>
      <c r="AJ80" t="str">
        <f t="shared" si="79"/>
        <v/>
      </c>
      <c r="AK80" t="str">
        <f t="shared" si="80"/>
        <v/>
      </c>
      <c r="AM80" t="str">
        <f t="shared" si="81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2"/>
        <v/>
      </c>
      <c r="AW80" t="str">
        <f t="shared" si="83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4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5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4"/>
        <v/>
      </c>
      <c r="AF81" t="str">
        <f t="shared" si="75"/>
        <v/>
      </c>
      <c r="AG81" t="str">
        <f t="shared" si="76"/>
        <v/>
      </c>
      <c r="AH81" t="str">
        <f t="shared" si="77"/>
        <v/>
      </c>
      <c r="AI81" t="str">
        <f t="shared" si="78"/>
        <v/>
      </c>
      <c r="AJ81" t="str">
        <f t="shared" si="79"/>
        <v/>
      </c>
      <c r="AK81" t="str">
        <f t="shared" si="80"/>
        <v/>
      </c>
      <c r="AM81" t="str">
        <f t="shared" si="81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2"/>
        <v/>
      </c>
      <c r="AW81" t="str">
        <f t="shared" si="83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4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5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4"/>
        <v/>
      </c>
      <c r="AF82" t="str">
        <f t="shared" si="75"/>
        <v/>
      </c>
      <c r="AG82" t="str">
        <f t="shared" si="76"/>
        <v/>
      </c>
      <c r="AH82" t="str">
        <f t="shared" si="77"/>
        <v/>
      </c>
      <c r="AI82" t="str">
        <f t="shared" si="78"/>
        <v/>
      </c>
      <c r="AJ82" t="str">
        <f t="shared" si="79"/>
        <v/>
      </c>
      <c r="AK82" t="str">
        <f t="shared" si="80"/>
        <v/>
      </c>
      <c r="AM82" t="str">
        <f t="shared" si="81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2"/>
        <v/>
      </c>
      <c r="AW82" t="str">
        <f t="shared" si="83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4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5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4"/>
        <v/>
      </c>
      <c r="AF83" t="str">
        <f t="shared" si="75"/>
        <v/>
      </c>
      <c r="AG83" t="str">
        <f t="shared" si="76"/>
        <v/>
      </c>
      <c r="AH83" t="str">
        <f t="shared" si="77"/>
        <v/>
      </c>
      <c r="AI83" t="str">
        <f t="shared" si="78"/>
        <v/>
      </c>
      <c r="AJ83" t="str">
        <f t="shared" si="79"/>
        <v/>
      </c>
      <c r="AK83" t="str">
        <f t="shared" si="80"/>
        <v/>
      </c>
      <c r="AM83" t="str">
        <f t="shared" si="81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2"/>
        <v/>
      </c>
      <c r="AW83" t="str">
        <f t="shared" si="83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4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5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4"/>
        <v/>
      </c>
      <c r="AF84" t="str">
        <f t="shared" si="75"/>
        <v/>
      </c>
      <c r="AG84" t="str">
        <f t="shared" si="76"/>
        <v/>
      </c>
      <c r="AH84" t="str">
        <f t="shared" si="77"/>
        <v/>
      </c>
      <c r="AI84" t="str">
        <f t="shared" si="78"/>
        <v/>
      </c>
      <c r="AJ84" t="str">
        <f t="shared" si="79"/>
        <v/>
      </c>
      <c r="AK84" t="str">
        <f t="shared" si="80"/>
        <v/>
      </c>
      <c r="AM84" t="str">
        <f t="shared" si="81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2"/>
        <v/>
      </c>
      <c r="AW84" t="str">
        <f t="shared" si="83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4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5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4"/>
        <v/>
      </c>
      <c r="AF85" t="str">
        <f t="shared" si="75"/>
        <v/>
      </c>
      <c r="AG85" t="str">
        <f t="shared" si="76"/>
        <v/>
      </c>
      <c r="AH85" t="str">
        <f t="shared" si="77"/>
        <v/>
      </c>
      <c r="AI85" t="str">
        <f t="shared" si="78"/>
        <v/>
      </c>
      <c r="AJ85" t="str">
        <f t="shared" si="79"/>
        <v/>
      </c>
      <c r="AK85" t="str">
        <f t="shared" si="80"/>
        <v/>
      </c>
      <c r="AM85" t="str">
        <f t="shared" si="81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2"/>
        <v/>
      </c>
      <c r="AW85" t="str">
        <f t="shared" si="83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4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5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4"/>
        <v/>
      </c>
      <c r="AF86" t="str">
        <f t="shared" si="75"/>
        <v/>
      </c>
      <c r="AG86" t="str">
        <f t="shared" si="76"/>
        <v/>
      </c>
      <c r="AH86" t="str">
        <f t="shared" si="77"/>
        <v/>
      </c>
      <c r="AI86" t="str">
        <f t="shared" si="78"/>
        <v/>
      </c>
      <c r="AJ86" t="str">
        <f t="shared" si="79"/>
        <v/>
      </c>
      <c r="AK86" t="str">
        <f t="shared" si="80"/>
        <v/>
      </c>
      <c r="AM86" t="str">
        <f t="shared" si="81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2"/>
        <v/>
      </c>
      <c r="AW86" t="str">
        <f t="shared" si="83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4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5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4"/>
        <v/>
      </c>
      <c r="AF87" t="str">
        <f t="shared" si="75"/>
        <v/>
      </c>
      <c r="AG87" t="str">
        <f t="shared" si="76"/>
        <v/>
      </c>
      <c r="AH87" t="str">
        <f t="shared" si="77"/>
        <v/>
      </c>
      <c r="AI87" t="str">
        <f t="shared" si="78"/>
        <v/>
      </c>
      <c r="AJ87" t="str">
        <f t="shared" si="79"/>
        <v/>
      </c>
      <c r="AK87" t="str">
        <f t="shared" si="80"/>
        <v/>
      </c>
      <c r="AM87" t="str">
        <f t="shared" si="81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2"/>
        <v/>
      </c>
      <c r="AW87" t="str">
        <f t="shared" si="83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4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5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4"/>
        <v/>
      </c>
      <c r="AF88" t="str">
        <f t="shared" si="75"/>
        <v/>
      </c>
      <c r="AG88" t="str">
        <f t="shared" si="76"/>
        <v/>
      </c>
      <c r="AH88" t="str">
        <f t="shared" si="77"/>
        <v/>
      </c>
      <c r="AI88" t="str">
        <f t="shared" si="78"/>
        <v/>
      </c>
      <c r="AJ88" t="str">
        <f t="shared" si="79"/>
        <v/>
      </c>
      <c r="AK88" t="str">
        <f t="shared" si="80"/>
        <v/>
      </c>
      <c r="AM88" t="str">
        <f t="shared" si="81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2"/>
        <v/>
      </c>
      <c r="AW88" t="str">
        <f t="shared" si="83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4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5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4"/>
        <v/>
      </c>
      <c r="AF89" t="str">
        <f t="shared" si="75"/>
        <v/>
      </c>
      <c r="AG89" t="str">
        <f t="shared" si="76"/>
        <v/>
      </c>
      <c r="AH89" t="str">
        <f t="shared" si="77"/>
        <v/>
      </c>
      <c r="AI89" t="str">
        <f t="shared" si="78"/>
        <v/>
      </c>
      <c r="AJ89" t="str">
        <f t="shared" si="79"/>
        <v/>
      </c>
      <c r="AK89" t="str">
        <f t="shared" si="80"/>
        <v/>
      </c>
      <c r="AM89" t="str">
        <f t="shared" si="81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2"/>
        <v/>
      </c>
      <c r="AW89" t="str">
        <f t="shared" si="83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4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5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4"/>
        <v/>
      </c>
      <c r="AF90" t="str">
        <f t="shared" si="75"/>
        <v/>
      </c>
      <c r="AG90" t="str">
        <f t="shared" si="76"/>
        <v/>
      </c>
      <c r="AH90" t="str">
        <f t="shared" si="77"/>
        <v/>
      </c>
      <c r="AI90" t="str">
        <f t="shared" si="78"/>
        <v/>
      </c>
      <c r="AJ90" t="str">
        <f t="shared" si="79"/>
        <v/>
      </c>
      <c r="AK90" t="str">
        <f t="shared" si="80"/>
        <v/>
      </c>
      <c r="AM90" t="str">
        <f t="shared" si="81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2"/>
        <v/>
      </c>
      <c r="AW90" t="str">
        <f t="shared" si="83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4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5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4"/>
        <v/>
      </c>
      <c r="AF91" t="str">
        <f t="shared" si="75"/>
        <v/>
      </c>
      <c r="AG91" t="str">
        <f t="shared" si="76"/>
        <v/>
      </c>
      <c r="AH91" t="str">
        <f t="shared" si="77"/>
        <v/>
      </c>
      <c r="AI91" t="str">
        <f t="shared" si="78"/>
        <v/>
      </c>
      <c r="AJ91" t="str">
        <f t="shared" si="79"/>
        <v/>
      </c>
      <c r="AK91" t="str">
        <f t="shared" si="80"/>
        <v/>
      </c>
      <c r="AM91" t="str">
        <f t="shared" si="81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2"/>
        <v/>
      </c>
      <c r="AW91" t="str">
        <f t="shared" si="83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4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5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4"/>
        <v/>
      </c>
      <c r="AF92" t="str">
        <f t="shared" si="75"/>
        <v/>
      </c>
      <c r="AG92" t="str">
        <f t="shared" si="76"/>
        <v/>
      </c>
      <c r="AH92" t="str">
        <f t="shared" si="77"/>
        <v/>
      </c>
      <c r="AI92" t="str">
        <f t="shared" si="78"/>
        <v/>
      </c>
      <c r="AJ92" t="str">
        <f t="shared" si="79"/>
        <v/>
      </c>
      <c r="AK92" t="str">
        <f t="shared" si="80"/>
        <v/>
      </c>
      <c r="AM92" t="str">
        <f t="shared" si="81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2"/>
        <v/>
      </c>
      <c r="AW92" t="str">
        <f t="shared" si="83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4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5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4"/>
        <v/>
      </c>
      <c r="AF93" t="str">
        <f t="shared" si="75"/>
        <v/>
      </c>
      <c r="AG93" t="str">
        <f t="shared" si="76"/>
        <v/>
      </c>
      <c r="AH93" t="str">
        <f t="shared" si="77"/>
        <v/>
      </c>
      <c r="AI93" t="str">
        <f t="shared" si="78"/>
        <v/>
      </c>
      <c r="AJ93" t="str">
        <f t="shared" si="79"/>
        <v/>
      </c>
      <c r="AK93" t="str">
        <f t="shared" si="80"/>
        <v/>
      </c>
      <c r="AM93" t="str">
        <f t="shared" si="81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2"/>
        <v/>
      </c>
      <c r="AW93" t="str">
        <f t="shared" si="83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4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5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4"/>
        <v/>
      </c>
      <c r="AF94" t="str">
        <f t="shared" si="75"/>
        <v/>
      </c>
      <c r="AG94" t="str">
        <f t="shared" si="76"/>
        <v/>
      </c>
      <c r="AH94" t="str">
        <f t="shared" si="77"/>
        <v/>
      </c>
      <c r="AI94" t="str">
        <f t="shared" si="78"/>
        <v/>
      </c>
      <c r="AJ94" t="str">
        <f t="shared" si="79"/>
        <v/>
      </c>
      <c r="AK94" t="str">
        <f t="shared" si="80"/>
        <v/>
      </c>
      <c r="AM94" t="str">
        <f t="shared" si="81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2"/>
        <v/>
      </c>
      <c r="AW94" t="str">
        <f t="shared" si="83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4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5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4"/>
        <v/>
      </c>
      <c r="AF95" t="str">
        <f t="shared" si="75"/>
        <v/>
      </c>
      <c r="AG95" t="str">
        <f t="shared" si="76"/>
        <v/>
      </c>
      <c r="AH95" t="str">
        <f t="shared" si="77"/>
        <v/>
      </c>
      <c r="AI95" t="str">
        <f t="shared" si="78"/>
        <v/>
      </c>
      <c r="AJ95" t="str">
        <f t="shared" si="79"/>
        <v/>
      </c>
      <c r="AK95" t="str">
        <f t="shared" si="80"/>
        <v/>
      </c>
      <c r="AM95" t="str">
        <f t="shared" si="81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2"/>
        <v/>
      </c>
      <c r="AW95" t="str">
        <f t="shared" si="83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4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5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4"/>
        <v/>
      </c>
      <c r="AF96" t="str">
        <f t="shared" si="75"/>
        <v/>
      </c>
      <c r="AG96" t="str">
        <f t="shared" si="76"/>
        <v/>
      </c>
      <c r="AH96" t="str">
        <f t="shared" si="77"/>
        <v/>
      </c>
      <c r="AI96" t="str">
        <f t="shared" si="78"/>
        <v/>
      </c>
      <c r="AJ96" t="str">
        <f t="shared" si="79"/>
        <v/>
      </c>
      <c r="AK96" t="str">
        <f t="shared" si="80"/>
        <v/>
      </c>
      <c r="AM96" t="str">
        <f t="shared" si="81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2"/>
        <v/>
      </c>
      <c r="AW96" t="str">
        <f t="shared" si="83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4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5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4"/>
        <v/>
      </c>
      <c r="AF97" t="str">
        <f t="shared" si="75"/>
        <v/>
      </c>
      <c r="AG97" t="str">
        <f t="shared" si="76"/>
        <v/>
      </c>
      <c r="AH97" t="str">
        <f t="shared" si="77"/>
        <v/>
      </c>
      <c r="AI97" t="str">
        <f t="shared" si="78"/>
        <v/>
      </c>
      <c r="AJ97" t="str">
        <f t="shared" si="79"/>
        <v/>
      </c>
      <c r="AK97" t="str">
        <f t="shared" si="80"/>
        <v/>
      </c>
      <c r="AM97" t="str">
        <f t="shared" si="81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2"/>
        <v/>
      </c>
      <c r="AW97" t="str">
        <f t="shared" si="83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4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5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4"/>
        <v/>
      </c>
      <c r="AF98" t="str">
        <f t="shared" si="75"/>
        <v/>
      </c>
      <c r="AG98" t="str">
        <f t="shared" si="76"/>
        <v/>
      </c>
      <c r="AH98" t="str">
        <f t="shared" si="77"/>
        <v/>
      </c>
      <c r="AI98" t="str">
        <f t="shared" si="78"/>
        <v/>
      </c>
      <c r="AJ98" t="str">
        <f t="shared" si="79"/>
        <v/>
      </c>
      <c r="AK98" t="str">
        <f t="shared" si="80"/>
        <v/>
      </c>
      <c r="AM98" t="str">
        <f t="shared" si="81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2"/>
        <v/>
      </c>
      <c r="AW98" t="str">
        <f t="shared" si="83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4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5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4"/>
        <v/>
      </c>
      <c r="AF99" t="str">
        <f t="shared" si="75"/>
        <v/>
      </c>
      <c r="AG99" t="str">
        <f t="shared" si="76"/>
        <v/>
      </c>
      <c r="AH99" t="str">
        <f t="shared" si="77"/>
        <v/>
      </c>
      <c r="AI99" t="str">
        <f t="shared" si="78"/>
        <v/>
      </c>
      <c r="AJ99" t="str">
        <f t="shared" si="79"/>
        <v/>
      </c>
      <c r="AK99" t="str">
        <f t="shared" si="80"/>
        <v/>
      </c>
      <c r="AM99" t="str">
        <f t="shared" si="81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2"/>
        <v/>
      </c>
      <c r="AW99" t="str">
        <f t="shared" si="83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4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5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4"/>
        <v/>
      </c>
      <c r="AF100" t="str">
        <f t="shared" si="75"/>
        <v/>
      </c>
      <c r="AG100" t="str">
        <f t="shared" si="76"/>
        <v/>
      </c>
      <c r="AH100" t="str">
        <f t="shared" si="77"/>
        <v/>
      </c>
      <c r="AI100" t="str">
        <f t="shared" si="78"/>
        <v/>
      </c>
      <c r="AJ100" t="str">
        <f t="shared" si="79"/>
        <v/>
      </c>
      <c r="AK100" t="str">
        <f t="shared" si="80"/>
        <v/>
      </c>
      <c r="AM100" t="str">
        <f t="shared" si="81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2"/>
        <v/>
      </c>
      <c r="AW100" t="str">
        <f t="shared" si="83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4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5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4"/>
        <v/>
      </c>
      <c r="AF101" t="str">
        <f t="shared" si="75"/>
        <v/>
      </c>
      <c r="AG101" t="str">
        <f t="shared" si="76"/>
        <v/>
      </c>
      <c r="AH101" t="str">
        <f t="shared" si="77"/>
        <v/>
      </c>
      <c r="AI101" t="str">
        <f t="shared" si="78"/>
        <v/>
      </c>
      <c r="AJ101" t="str">
        <f t="shared" si="79"/>
        <v/>
      </c>
      <c r="AK101" t="str">
        <f t="shared" si="80"/>
        <v/>
      </c>
      <c r="AM101" t="str">
        <f t="shared" si="81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2"/>
        <v/>
      </c>
      <c r="AW101" t="str">
        <f t="shared" si="83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4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5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4"/>
        <v/>
      </c>
      <c r="AF102" t="str">
        <f t="shared" si="75"/>
        <v/>
      </c>
      <c r="AG102" t="str">
        <f t="shared" si="76"/>
        <v/>
      </c>
      <c r="AH102" t="str">
        <f t="shared" si="77"/>
        <v/>
      </c>
      <c r="AI102" t="str">
        <f t="shared" si="78"/>
        <v/>
      </c>
      <c r="AJ102" t="str">
        <f t="shared" si="79"/>
        <v/>
      </c>
      <c r="AK102" t="str">
        <f t="shared" si="80"/>
        <v/>
      </c>
      <c r="AM102" t="str">
        <f t="shared" si="81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2"/>
        <v/>
      </c>
      <c r="AW102" t="str">
        <f t="shared" si="83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4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5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4"/>
        <v/>
      </c>
      <c r="AF103" t="str">
        <f t="shared" si="75"/>
        <v/>
      </c>
      <c r="AG103" t="str">
        <f t="shared" si="76"/>
        <v/>
      </c>
      <c r="AH103" t="str">
        <f t="shared" si="77"/>
        <v/>
      </c>
      <c r="AI103" t="str">
        <f t="shared" si="78"/>
        <v/>
      </c>
      <c r="AJ103" t="str">
        <f t="shared" si="79"/>
        <v/>
      </c>
      <c r="AK103" t="str">
        <f t="shared" si="80"/>
        <v/>
      </c>
      <c r="AM103" t="str">
        <f t="shared" si="81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2"/>
        <v/>
      </c>
      <c r="AW103" t="str">
        <f t="shared" si="83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4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5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4"/>
        <v/>
      </c>
      <c r="AF104" t="str">
        <f t="shared" si="75"/>
        <v/>
      </c>
      <c r="AG104" t="str">
        <f t="shared" si="76"/>
        <v/>
      </c>
      <c r="AH104" t="str">
        <f t="shared" si="77"/>
        <v/>
      </c>
      <c r="AI104" t="str">
        <f t="shared" si="78"/>
        <v/>
      </c>
      <c r="AJ104" t="str">
        <f t="shared" si="79"/>
        <v/>
      </c>
      <c r="AK104" t="str">
        <f t="shared" si="80"/>
        <v/>
      </c>
      <c r="AM104" t="str">
        <f t="shared" si="81"/>
        <v/>
      </c>
      <c r="AN104" t="str">
        <f t="shared" ref="AN104:AN107" si="86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7">IF(LEN(AS104),AS104&amp;CHAR(10),"")&amp;IF(LEN(AP104),AP104,"")</f>
        <v/>
      </c>
      <c r="AU104" t="str">
        <f t="shared" ref="AU104:AU107" si="88">IF(LEN(AT104),AT104&amp;CHAR(10),"")&amp;IF(LEN(AQ104),AQ104,"")</f>
        <v/>
      </c>
      <c r="AV104" t="str">
        <f t="shared" si="82"/>
        <v/>
      </c>
      <c r="AW104" t="str">
        <f t="shared" si="83"/>
        <v/>
      </c>
      <c r="AY104" t="str">
        <f t="shared" si="63"/>
        <v/>
      </c>
      <c r="AZ104" t="str">
        <f t="shared" ref="AZ104:AZ107" si="89">IF($AM104="●",IF(LEN(AY104),AY104&amp;CHAR(10),"")&amp;";//エラーNo.を入れる"&amp;CHAR(10)&amp;";"&amp;$B$15&amp;"	:= "&amp;AN104&amp;";","")</f>
        <v/>
      </c>
      <c r="BA104" t="str">
        <f t="shared" ref="BA104:BA107" si="90">IF($AM104="●",IF(LEN(AZ104),AZ104&amp;CHAR(10),"")&amp;";//カウントする"&amp;CHAR(10)&amp;";"&amp;$B$16&amp;"	:= "&amp;$B$16&amp;" + 1;","")</f>
        <v/>
      </c>
      <c r="BB104" t="str">
        <f t="shared" si="84"/>
        <v/>
      </c>
      <c r="BC104" t="str">
        <f t="shared" ref="BC104:BC107" si="91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2">IF(LEN(E104),E104&amp;".x"&amp;TEXT(BF104,"0")&amp;CHAR(9)&amp;" := FALSE;","")</f>
        <v/>
      </c>
      <c r="BH104" t="str">
        <f t="shared" si="85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4"/>
        <v/>
      </c>
      <c r="AF105" t="str">
        <f t="shared" si="75"/>
        <v/>
      </c>
      <c r="AG105" t="str">
        <f t="shared" si="76"/>
        <v/>
      </c>
      <c r="AH105" t="str">
        <f t="shared" si="77"/>
        <v/>
      </c>
      <c r="AI105" t="str">
        <f t="shared" si="78"/>
        <v/>
      </c>
      <c r="AJ105" t="str">
        <f t="shared" si="79"/>
        <v/>
      </c>
      <c r="AK105" t="str">
        <f t="shared" si="80"/>
        <v/>
      </c>
      <c r="AM105" t="str">
        <f t="shared" si="81"/>
        <v/>
      </c>
      <c r="AN105" t="str">
        <f t="shared" si="86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7"/>
        <v/>
      </c>
      <c r="AU105" t="str">
        <f t="shared" si="88"/>
        <v/>
      </c>
      <c r="AV105" t="str">
        <f t="shared" si="82"/>
        <v/>
      </c>
      <c r="AW105" t="str">
        <f t="shared" si="83"/>
        <v/>
      </c>
      <c r="AY105" t="str">
        <f t="shared" si="63"/>
        <v/>
      </c>
      <c r="AZ105" t="str">
        <f t="shared" si="89"/>
        <v/>
      </c>
      <c r="BA105" t="str">
        <f t="shared" si="90"/>
        <v/>
      </c>
      <c r="BB105" t="str">
        <f t="shared" si="84"/>
        <v/>
      </c>
      <c r="BC105" t="str">
        <f t="shared" si="91"/>
        <v/>
      </c>
      <c r="BE105">
        <f t="shared" si="67"/>
        <v>32</v>
      </c>
      <c r="BF105">
        <f t="shared" si="68"/>
        <v>1</v>
      </c>
      <c r="BG105" t="str">
        <f t="shared" si="92"/>
        <v/>
      </c>
      <c r="BH105" t="str">
        <f t="shared" si="85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4"/>
        <v/>
      </c>
      <c r="AF106" t="str">
        <f t="shared" si="75"/>
        <v/>
      </c>
      <c r="AG106" t="str">
        <f t="shared" si="76"/>
        <v/>
      </c>
      <c r="AH106" t="str">
        <f t="shared" si="77"/>
        <v/>
      </c>
      <c r="AI106" t="str">
        <f t="shared" si="78"/>
        <v/>
      </c>
      <c r="AJ106" t="str">
        <f t="shared" si="79"/>
        <v/>
      </c>
      <c r="AK106" t="str">
        <f t="shared" si="80"/>
        <v/>
      </c>
      <c r="AM106" t="str">
        <f t="shared" si="81"/>
        <v/>
      </c>
      <c r="AN106" t="str">
        <f t="shared" si="86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7"/>
        <v/>
      </c>
      <c r="AU106" t="str">
        <f t="shared" si="88"/>
        <v/>
      </c>
      <c r="AV106" t="str">
        <f t="shared" si="82"/>
        <v/>
      </c>
      <c r="AW106" t="str">
        <f t="shared" si="83"/>
        <v/>
      </c>
      <c r="AY106" t="str">
        <f t="shared" si="63"/>
        <v/>
      </c>
      <c r="AZ106" t="str">
        <f t="shared" si="89"/>
        <v/>
      </c>
      <c r="BA106" t="str">
        <f t="shared" si="90"/>
        <v/>
      </c>
      <c r="BB106" t="str">
        <f t="shared" si="84"/>
        <v/>
      </c>
      <c r="BC106" t="str">
        <f t="shared" si="91"/>
        <v/>
      </c>
      <c r="BE106">
        <f t="shared" si="67"/>
        <v>32</v>
      </c>
      <c r="BF106">
        <f t="shared" si="68"/>
        <v>2</v>
      </c>
      <c r="BG106" t="str">
        <f t="shared" si="92"/>
        <v/>
      </c>
      <c r="BH106" t="str">
        <f t="shared" si="85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4"/>
        <v/>
      </c>
      <c r="AF107" t="str">
        <f t="shared" si="75"/>
        <v/>
      </c>
      <c r="AG107" t="str">
        <f t="shared" si="76"/>
        <v/>
      </c>
      <c r="AH107" t="str">
        <f t="shared" si="77"/>
        <v/>
      </c>
      <c r="AI107" t="str">
        <f t="shared" si="78"/>
        <v/>
      </c>
      <c r="AJ107" t="str">
        <f t="shared" si="79"/>
        <v/>
      </c>
      <c r="AK107" t="str">
        <f t="shared" si="80"/>
        <v/>
      </c>
      <c r="AM107" t="str">
        <f t="shared" si="81"/>
        <v/>
      </c>
      <c r="AN107" t="str">
        <f t="shared" si="86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7"/>
        <v/>
      </c>
      <c r="AU107" t="str">
        <f t="shared" si="88"/>
        <v/>
      </c>
      <c r="AV107" t="str">
        <f t="shared" si="82"/>
        <v/>
      </c>
      <c r="AW107" t="str">
        <f t="shared" si="83"/>
        <v/>
      </c>
      <c r="AY107" t="str">
        <f t="shared" si="63"/>
        <v/>
      </c>
      <c r="AZ107" t="str">
        <f t="shared" si="89"/>
        <v/>
      </c>
      <c r="BA107" t="str">
        <f t="shared" si="90"/>
        <v/>
      </c>
      <c r="BB107" t="str">
        <f t="shared" si="84"/>
        <v/>
      </c>
      <c r="BC107" t="str">
        <f t="shared" si="91"/>
        <v/>
      </c>
      <c r="BE107">
        <f t="shared" si="67"/>
        <v>33</v>
      </c>
      <c r="BF107">
        <f t="shared" si="68"/>
        <v>0</v>
      </c>
      <c r="BG107" t="str">
        <f t="shared" si="92"/>
        <v/>
      </c>
      <c r="BH107" t="str">
        <f t="shared" si="85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2026-06-17T11:22:59Z</dcterms:modified>
</cp:coreProperties>
</file>