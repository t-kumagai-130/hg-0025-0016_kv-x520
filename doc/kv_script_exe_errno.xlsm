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9251F06F-75E7-4E69-9700-4B0950DF39AE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07" i="1" l="1"/>
  <c r="AF106" i="1"/>
  <c r="AF105" i="1"/>
  <c r="AF104" i="1"/>
  <c r="AF103" i="1"/>
  <c r="AF102" i="1"/>
  <c r="AF101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E8" i="1"/>
  <c r="F8" i="1"/>
  <c r="G8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B31" i="2" a="1"/>
  <c r="B22" i="2" a="1"/>
  <c r="B21" i="2" a="1"/>
  <c r="B2" i="2" a="1"/>
  <c r="B4" i="2" a="1"/>
  <c r="B5" i="2" a="1"/>
  <c r="B7" i="2" a="1"/>
  <c r="B6" i="2" a="1"/>
  <c r="B8" i="2" a="1"/>
  <c r="B31" i="2" l="1"/>
  <c r="B22" i="2"/>
  <c r="B21" i="2"/>
  <c r="B2" i="2"/>
  <c r="B6" i="2"/>
  <c r="B7" i="2"/>
  <c r="B5" i="2"/>
  <c r="B4" i="2"/>
  <c r="B8" i="2"/>
  <c r="AJ107" i="1" l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AJ90" i="1"/>
  <c r="AJ89" i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I7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AM107" i="1" s="1"/>
  <c r="AN107" i="1" s="1"/>
  <c r="G106" i="1"/>
  <c r="AM106" i="1" s="1"/>
  <c r="AN106" i="1" s="1"/>
  <c r="G105" i="1"/>
  <c r="AC105" i="1" s="1"/>
  <c r="G104" i="1"/>
  <c r="AM104" i="1" s="1"/>
  <c r="AN104" i="1" s="1"/>
  <c r="G103" i="1"/>
  <c r="AC103" i="1" s="1"/>
  <c r="G102" i="1"/>
  <c r="AM102" i="1" s="1"/>
  <c r="AN102" i="1" s="1"/>
  <c r="G101" i="1"/>
  <c r="AM101" i="1" s="1"/>
  <c r="AN101" i="1" s="1"/>
  <c r="G100" i="1"/>
  <c r="AM100" i="1" s="1"/>
  <c r="AN100" i="1" s="1"/>
  <c r="G99" i="1"/>
  <c r="AM99" i="1" s="1"/>
  <c r="AN99" i="1" s="1"/>
  <c r="G98" i="1"/>
  <c r="AM98" i="1" s="1"/>
  <c r="AN98" i="1" s="1"/>
  <c r="G97" i="1"/>
  <c r="AC97" i="1" s="1"/>
  <c r="G96" i="1"/>
  <c r="AM96" i="1" s="1"/>
  <c r="AN96" i="1" s="1"/>
  <c r="G95" i="1"/>
  <c r="AC95" i="1" s="1"/>
  <c r="G94" i="1"/>
  <c r="AM94" i="1" s="1"/>
  <c r="AN94" i="1" s="1"/>
  <c r="G93" i="1"/>
  <c r="AM93" i="1" s="1"/>
  <c r="AN93" i="1" s="1"/>
  <c r="G92" i="1"/>
  <c r="AM92" i="1" s="1"/>
  <c r="AN92" i="1" s="1"/>
  <c r="G91" i="1"/>
  <c r="AM91" i="1" s="1"/>
  <c r="AN91" i="1" s="1"/>
  <c r="G90" i="1"/>
  <c r="AC90" i="1" s="1"/>
  <c r="G89" i="1"/>
  <c r="AC89" i="1" s="1"/>
  <c r="G88" i="1"/>
  <c r="AC88" i="1" s="1"/>
  <c r="G87" i="1"/>
  <c r="AC87" i="1" s="1"/>
  <c r="G86" i="1"/>
  <c r="AM86" i="1" s="1"/>
  <c r="AN86" i="1" s="1"/>
  <c r="G85" i="1"/>
  <c r="AM85" i="1" s="1"/>
  <c r="AN85" i="1" s="1"/>
  <c r="G84" i="1"/>
  <c r="AM84" i="1" s="1"/>
  <c r="AN84" i="1" s="1"/>
  <c r="G83" i="1"/>
  <c r="AM83" i="1" s="1"/>
  <c r="AN83" i="1" s="1"/>
  <c r="G82" i="1"/>
  <c r="AC82" i="1" s="1"/>
  <c r="G81" i="1"/>
  <c r="AC81" i="1" s="1"/>
  <c r="G80" i="1"/>
  <c r="AM80" i="1" s="1"/>
  <c r="AN80" i="1" s="1"/>
  <c r="G79" i="1"/>
  <c r="AC79" i="1" s="1"/>
  <c r="G78" i="1"/>
  <c r="AC78" i="1" s="1"/>
  <c r="G77" i="1"/>
  <c r="AM77" i="1" s="1"/>
  <c r="AN77" i="1" s="1"/>
  <c r="G76" i="1"/>
  <c r="AM76" i="1" s="1"/>
  <c r="AN76" i="1" s="1"/>
  <c r="G75" i="1"/>
  <c r="AM75" i="1" s="1"/>
  <c r="AN75" i="1" s="1"/>
  <c r="G74" i="1"/>
  <c r="AM74" i="1" s="1"/>
  <c r="AN74" i="1" s="1"/>
  <c r="G73" i="1"/>
  <c r="AC73" i="1" s="1"/>
  <c r="G72" i="1"/>
  <c r="AC72" i="1" s="1"/>
  <c r="G71" i="1"/>
  <c r="AC71" i="1" s="1"/>
  <c r="G70" i="1"/>
  <c r="AM70" i="1" s="1"/>
  <c r="AN70" i="1" s="1"/>
  <c r="G69" i="1"/>
  <c r="AM69" i="1" s="1"/>
  <c r="AN69" i="1" s="1"/>
  <c r="G68" i="1"/>
  <c r="AM68" i="1" s="1"/>
  <c r="AN68" i="1" s="1"/>
  <c r="G67" i="1"/>
  <c r="AM67" i="1" s="1"/>
  <c r="AN67" i="1" s="1"/>
  <c r="G66" i="1"/>
  <c r="AM66" i="1" s="1"/>
  <c r="AN66" i="1" s="1"/>
  <c r="G65" i="1"/>
  <c r="AC65" i="1" s="1"/>
  <c r="G64" i="1"/>
  <c r="AC64" i="1" s="1"/>
  <c r="G63" i="1"/>
  <c r="AC63" i="1" s="1"/>
  <c r="G62" i="1"/>
  <c r="AM62" i="1" s="1"/>
  <c r="AN62" i="1" s="1"/>
  <c r="G61" i="1"/>
  <c r="AM61" i="1" s="1"/>
  <c r="G60" i="1"/>
  <c r="AM60" i="1" s="1"/>
  <c r="AN60" i="1" s="1"/>
  <c r="G59" i="1"/>
  <c r="AM59" i="1" s="1"/>
  <c r="G58" i="1"/>
  <c r="AM58" i="1" s="1"/>
  <c r="AN58" i="1" s="1"/>
  <c r="G57" i="1"/>
  <c r="AM57" i="1" s="1"/>
  <c r="G56" i="1"/>
  <c r="AC56" i="1" s="1"/>
  <c r="AJ56" i="1" s="1"/>
  <c r="G55" i="1"/>
  <c r="AC55" i="1" s="1"/>
  <c r="AJ55" i="1" s="1"/>
  <c r="G54" i="1"/>
  <c r="AM54" i="1" s="1"/>
  <c r="AN54" i="1" s="1"/>
  <c r="G53" i="1"/>
  <c r="AM53" i="1" s="1"/>
  <c r="G52" i="1"/>
  <c r="AM52" i="1" s="1"/>
  <c r="AN52" i="1" s="1"/>
  <c r="G51" i="1"/>
  <c r="AM51" i="1" s="1"/>
  <c r="G50" i="1"/>
  <c r="AM50" i="1" s="1"/>
  <c r="AN50" i="1" s="1"/>
  <c r="G49" i="1"/>
  <c r="AM49" i="1" s="1"/>
  <c r="AN49" i="1" s="1"/>
  <c r="G48" i="1"/>
  <c r="AM48" i="1" s="1"/>
  <c r="AN48" i="1" s="1"/>
  <c r="G47" i="1"/>
  <c r="AC47" i="1" s="1"/>
  <c r="AJ47" i="1" s="1"/>
  <c r="G46" i="1"/>
  <c r="AM46" i="1" s="1"/>
  <c r="AN46" i="1" s="1"/>
  <c r="G45" i="1"/>
  <c r="AM45" i="1" s="1"/>
  <c r="AN45" i="1" s="1"/>
  <c r="G44" i="1"/>
  <c r="AM44" i="1" s="1"/>
  <c r="AN44" i="1" s="1"/>
  <c r="G43" i="1"/>
  <c r="AM43" i="1" s="1"/>
  <c r="G42" i="1"/>
  <c r="AM42" i="1" s="1"/>
  <c r="G41" i="1"/>
  <c r="AM41" i="1" s="1"/>
  <c r="G40" i="1"/>
  <c r="AM40" i="1" s="1"/>
  <c r="G39" i="1"/>
  <c r="AC39" i="1" s="1"/>
  <c r="AJ39" i="1" s="1"/>
  <c r="G38" i="1"/>
  <c r="AM38" i="1" s="1"/>
  <c r="AN38" i="1" s="1"/>
  <c r="G37" i="1"/>
  <c r="AM37" i="1" s="1"/>
  <c r="AN37" i="1" s="1"/>
  <c r="G36" i="1"/>
  <c r="AM36" i="1" s="1"/>
  <c r="AN36" i="1" s="1"/>
  <c r="G35" i="1"/>
  <c r="AM35" i="1" s="1"/>
  <c r="AN35" i="1" s="1"/>
  <c r="G34" i="1"/>
  <c r="AM34" i="1" s="1"/>
  <c r="G33" i="1"/>
  <c r="AM33" i="1" s="1"/>
  <c r="G32" i="1"/>
  <c r="AM32" i="1" s="1"/>
  <c r="G31" i="1"/>
  <c r="AC31" i="1" s="1"/>
  <c r="AJ31" i="1" s="1"/>
  <c r="G30" i="1"/>
  <c r="AM30" i="1" s="1"/>
  <c r="AN30" i="1" s="1"/>
  <c r="G29" i="1"/>
  <c r="AM29" i="1" s="1"/>
  <c r="G28" i="1"/>
  <c r="AM28" i="1" s="1"/>
  <c r="G27" i="1"/>
  <c r="AM27" i="1" s="1"/>
  <c r="G26" i="1"/>
  <c r="AM26" i="1" s="1"/>
  <c r="AN26" i="1" s="1"/>
  <c r="AM25" i="1"/>
  <c r="AM24" i="1"/>
  <c r="AM23" i="1"/>
  <c r="AM22" i="1"/>
  <c r="AM21" i="1"/>
  <c r="AM20" i="1"/>
  <c r="AM19" i="1"/>
  <c r="AN19" i="1" s="1"/>
  <c r="AM18" i="1"/>
  <c r="AN18" i="1" s="1"/>
  <c r="AM17" i="1"/>
  <c r="AM16" i="1"/>
  <c r="AM15" i="1"/>
  <c r="AN15" i="1" s="1"/>
  <c r="AM14" i="1"/>
  <c r="AN14" i="1" s="1"/>
  <c r="AM13" i="1"/>
  <c r="AM12" i="1"/>
  <c r="AM11" i="1"/>
  <c r="AN11" i="1" s="1"/>
  <c r="AM10" i="1"/>
  <c r="AM9" i="1"/>
  <c r="AM8" i="1"/>
  <c r="AM90" i="1"/>
  <c r="AN90" i="1" s="1"/>
  <c r="AM82" i="1"/>
  <c r="AN82" i="1" s="1"/>
  <c r="AM78" i="1"/>
  <c r="AN78" i="1" s="1"/>
  <c r="AM105" i="1"/>
  <c r="AN105" i="1" s="1"/>
  <c r="AM103" i="1"/>
  <c r="AN103" i="1" s="1"/>
  <c r="AM97" i="1"/>
  <c r="AN97" i="1" s="1"/>
  <c r="AM95" i="1"/>
  <c r="AN95" i="1" s="1"/>
  <c r="AM89" i="1"/>
  <c r="AN89" i="1" s="1"/>
  <c r="AM87" i="1"/>
  <c r="AN87" i="1" s="1"/>
  <c r="AM81" i="1"/>
  <c r="AN81" i="1" s="1"/>
  <c r="AM79" i="1"/>
  <c r="AN79" i="1" s="1"/>
  <c r="AM73" i="1"/>
  <c r="AN73" i="1" s="1"/>
  <c r="AM72" i="1"/>
  <c r="AN72" i="1" s="1"/>
  <c r="AM71" i="1"/>
  <c r="AN71" i="1" s="1"/>
  <c r="AM63" i="1"/>
  <c r="AM55" i="1"/>
  <c r="AG7" i="1"/>
  <c r="AM31" i="1" l="1"/>
  <c r="AN31" i="1" s="1"/>
  <c r="AM39" i="1"/>
  <c r="AM47" i="1"/>
  <c r="AN47" i="1" s="1"/>
  <c r="AN27" i="1"/>
  <c r="AC49" i="1"/>
  <c r="AJ49" i="1" s="1"/>
  <c r="AC52" i="1"/>
  <c r="AJ52" i="1" s="1"/>
  <c r="AC60" i="1"/>
  <c r="AJ60" i="1" s="1"/>
  <c r="AC68" i="1"/>
  <c r="AC33" i="1"/>
  <c r="AJ33" i="1" s="1"/>
  <c r="AC76" i="1"/>
  <c r="AC36" i="1"/>
  <c r="AJ36" i="1" s="1"/>
  <c r="AC84" i="1"/>
  <c r="AM65" i="1"/>
  <c r="AN65" i="1" s="1"/>
  <c r="AC41" i="1"/>
  <c r="AJ41" i="1" s="1"/>
  <c r="AC92" i="1"/>
  <c r="AC44" i="1"/>
  <c r="AJ44" i="1" s="1"/>
  <c r="AC100" i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C77" i="1"/>
  <c r="AC85" i="1"/>
  <c r="AC93" i="1"/>
  <c r="AC101" i="1"/>
  <c r="AM64" i="1"/>
  <c r="AN64" i="1" s="1"/>
  <c r="AM88" i="1"/>
  <c r="AN88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C86" i="1"/>
  <c r="AC94" i="1"/>
  <c r="AC102" i="1"/>
  <c r="AN55" i="1"/>
  <c r="AN63" i="1"/>
  <c r="AM56" i="1"/>
  <c r="AN56" i="1" s="1"/>
  <c r="AN12" i="1"/>
  <c r="AN20" i="1"/>
  <c r="AN28" i="1"/>
  <c r="AC32" i="1"/>
  <c r="AJ32" i="1" s="1"/>
  <c r="AC40" i="1"/>
  <c r="AJ40" i="1" s="1"/>
  <c r="AC48" i="1"/>
  <c r="AJ48" i="1" s="1"/>
  <c r="AC80" i="1"/>
  <c r="AC96" i="1"/>
  <c r="AC104" i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C74" i="1"/>
  <c r="AC98" i="1"/>
  <c r="AC106" i="1"/>
  <c r="AC35" i="1"/>
  <c r="AJ35" i="1" s="1"/>
  <c r="AC43" i="1"/>
  <c r="AJ43" i="1" s="1"/>
  <c r="AC51" i="1"/>
  <c r="AJ51" i="1" s="1"/>
  <c r="AC59" i="1"/>
  <c r="AJ59" i="1" s="1"/>
  <c r="AC67" i="1"/>
  <c r="AC75" i="1"/>
  <c r="AC83" i="1"/>
  <c r="AC91" i="1"/>
  <c r="AC99" i="1"/>
  <c r="AC107" i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39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H80" i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AG107" i="1" s="1"/>
  <c r="AK107" i="1" s="1"/>
  <c r="Z106" i="1"/>
  <c r="Z105" i="1"/>
  <c r="Z104" i="1"/>
  <c r="Z103" i="1"/>
  <c r="Z102" i="1"/>
  <c r="Z101" i="1"/>
  <c r="AG101" i="1" s="1"/>
  <c r="AK101" i="1" s="1"/>
  <c r="Z100" i="1"/>
  <c r="AG100" i="1" s="1"/>
  <c r="AK100" i="1" s="1"/>
  <c r="Z99" i="1"/>
  <c r="AG99" i="1" s="1"/>
  <c r="AK99" i="1" s="1"/>
  <c r="Z98" i="1"/>
  <c r="Z97" i="1"/>
  <c r="AG97" i="1" s="1"/>
  <c r="AK97" i="1" s="1"/>
  <c r="Z96" i="1"/>
  <c r="Z95" i="1"/>
  <c r="AG95" i="1" s="1"/>
  <c r="AK95" i="1" s="1"/>
  <c r="Z94" i="1"/>
  <c r="AG94" i="1" s="1"/>
  <c r="AK94" i="1" s="1"/>
  <c r="Z93" i="1"/>
  <c r="AG93" i="1" s="1"/>
  <c r="AK93" i="1" s="1"/>
  <c r="Z92" i="1"/>
  <c r="AG92" i="1" s="1"/>
  <c r="AK92" i="1" s="1"/>
  <c r="Z91" i="1"/>
  <c r="AG91" i="1" s="1"/>
  <c r="AK91" i="1" s="1"/>
  <c r="Z90" i="1"/>
  <c r="Z89" i="1"/>
  <c r="Z88" i="1"/>
  <c r="Z87" i="1"/>
  <c r="Z86" i="1"/>
  <c r="AG86" i="1" s="1"/>
  <c r="AK86" i="1" s="1"/>
  <c r="Z85" i="1"/>
  <c r="Z84" i="1"/>
  <c r="AG84" i="1" s="1"/>
  <c r="AK84" i="1" s="1"/>
  <c r="Z83" i="1"/>
  <c r="AG83" i="1" s="1"/>
  <c r="AK83" i="1" s="1"/>
  <c r="Z82" i="1"/>
  <c r="Z81" i="1"/>
  <c r="Z80" i="1"/>
  <c r="Z79" i="1"/>
  <c r="AG79" i="1" s="1"/>
  <c r="AK79" i="1" s="1"/>
  <c r="Z78" i="1"/>
  <c r="Z77" i="1"/>
  <c r="Z76" i="1"/>
  <c r="AG76" i="1" s="1"/>
  <c r="AK76" i="1" s="1"/>
  <c r="Z75" i="1"/>
  <c r="Z74" i="1"/>
  <c r="Z73" i="1"/>
  <c r="AG73" i="1" s="1"/>
  <c r="AK73" i="1" s="1"/>
  <c r="Z72" i="1"/>
  <c r="Z71" i="1"/>
  <c r="AE71" i="1" s="1"/>
  <c r="Z70" i="1"/>
  <c r="AG70" i="1" s="1"/>
  <c r="AK70" i="1" s="1"/>
  <c r="Z69" i="1"/>
  <c r="Z68" i="1"/>
  <c r="Z67" i="1"/>
  <c r="AG67" i="1" s="1"/>
  <c r="AK67" i="1" s="1"/>
  <c r="Z66" i="1"/>
  <c r="Z65" i="1"/>
  <c r="AG65" i="1" s="1"/>
  <c r="AK65" i="1" s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10" i="1" s="1"/>
  <c r="AG44" i="1" l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K89" i="1" s="1"/>
  <c r="AD66" i="1"/>
  <c r="AG66" i="1"/>
  <c r="AK66" i="1" s="1"/>
  <c r="AD74" i="1"/>
  <c r="AG74" i="1"/>
  <c r="AK74" i="1" s="1"/>
  <c r="AD82" i="1"/>
  <c r="AG82" i="1"/>
  <c r="AK82" i="1" s="1"/>
  <c r="AD90" i="1"/>
  <c r="AG90" i="1"/>
  <c r="AK90" i="1" s="1"/>
  <c r="AD98" i="1"/>
  <c r="AG98" i="1"/>
  <c r="AK98" i="1" s="1"/>
  <c r="AD106" i="1"/>
  <c r="AG106" i="1"/>
  <c r="AK106" i="1" s="1"/>
  <c r="AG75" i="1"/>
  <c r="AK75" i="1" s="1"/>
  <c r="AG81" i="1"/>
  <c r="AK81" i="1" s="1"/>
  <c r="AE68" i="1"/>
  <c r="AG68" i="1"/>
  <c r="AK68" i="1" s="1"/>
  <c r="AE77" i="1"/>
  <c r="AG77" i="1"/>
  <c r="AK77" i="1" s="1"/>
  <c r="AG78" i="1"/>
  <c r="AK78" i="1" s="1"/>
  <c r="AG102" i="1"/>
  <c r="AK102" i="1" s="1"/>
  <c r="AE69" i="1"/>
  <c r="AG69" i="1"/>
  <c r="AK69" i="1" s="1"/>
  <c r="AG71" i="1"/>
  <c r="AK71" i="1" s="1"/>
  <c r="AG87" i="1"/>
  <c r="AK87" i="1" s="1"/>
  <c r="AE103" i="1"/>
  <c r="AG103" i="1"/>
  <c r="AK103" i="1" s="1"/>
  <c r="AG105" i="1"/>
  <c r="AK105" i="1" s="1"/>
  <c r="AE85" i="1"/>
  <c r="AG85" i="1"/>
  <c r="AK85" i="1" s="1"/>
  <c r="AG64" i="1"/>
  <c r="AK64" i="1" s="1"/>
  <c r="AG72" i="1"/>
  <c r="AK72" i="1" s="1"/>
  <c r="AG80" i="1"/>
  <c r="AK80" i="1" s="1"/>
  <c r="AG88" i="1"/>
  <c r="AK88" i="1" s="1"/>
  <c r="AG96" i="1"/>
  <c r="AK96" i="1" s="1"/>
  <c r="AG104" i="1"/>
  <c r="AK104" i="1" s="1"/>
  <c r="AG18" i="1"/>
  <c r="AG42" i="1"/>
  <c r="AG50" i="1"/>
  <c r="AG58" i="1"/>
  <c r="AG48" i="1"/>
  <c r="AG49" i="1"/>
  <c r="AD59" i="1"/>
  <c r="AG59" i="1"/>
  <c r="AK59" i="1" s="1"/>
  <c r="AG24" i="1"/>
  <c r="AG56" i="1"/>
  <c r="AG53" i="1"/>
  <c r="AG31" i="1"/>
  <c r="AG55" i="1"/>
  <c r="AG63" i="1"/>
  <c r="AK63" i="1" s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K26" i="1" s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34" i="1" l="1"/>
  <c r="AK17" i="1"/>
  <c r="AK37" i="1"/>
  <c r="AK49" i="1"/>
  <c r="AK36" i="1"/>
  <c r="AR36" i="1" s="1"/>
  <c r="AK46" i="1"/>
  <c r="AR46" i="1" s="1"/>
  <c r="AK48" i="1"/>
  <c r="AR48" i="1" s="1"/>
  <c r="AK54" i="1"/>
  <c r="AR54" i="1" s="1"/>
  <c r="AK51" i="1"/>
  <c r="AK61" i="1"/>
  <c r="AK31" i="1"/>
  <c r="AK58" i="1"/>
  <c r="AK43" i="1"/>
  <c r="AR43" i="1" s="1"/>
  <c r="AK57" i="1"/>
  <c r="AR57" i="1" s="1"/>
  <c r="AK40" i="1"/>
  <c r="AR40" i="1" s="1"/>
  <c r="AK60" i="1"/>
  <c r="AR60" i="1" s="1"/>
  <c r="AK38" i="1"/>
  <c r="AK45" i="1"/>
  <c r="AK33" i="1"/>
  <c r="AK52" i="1"/>
  <c r="AK53" i="1"/>
  <c r="AR53" i="1" s="1"/>
  <c r="AK50" i="1"/>
  <c r="AR50" i="1" s="1"/>
  <c r="AK47" i="1"/>
  <c r="AR47" i="1" s="1"/>
  <c r="AK39" i="1"/>
  <c r="AR39" i="1" s="1"/>
  <c r="AK55" i="1"/>
  <c r="AK56" i="1"/>
  <c r="AK42" i="1"/>
  <c r="AK35" i="1"/>
  <c r="AK41" i="1"/>
  <c r="AR41" i="1" s="1"/>
  <c r="AK32" i="1"/>
  <c r="AR32" i="1" s="1"/>
  <c r="AK62" i="1"/>
  <c r="AR62" i="1" s="1"/>
  <c r="AK30" i="1"/>
  <c r="AR30" i="1" s="1"/>
  <c r="AK44" i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K23" i="1"/>
  <c r="AR23" i="1" s="1"/>
  <c r="AK22" i="1"/>
  <c r="AR22" i="1" s="1"/>
  <c r="AR63" i="1"/>
  <c r="AR83" i="1"/>
  <c r="AR70" i="1"/>
  <c r="AR49" i="1"/>
  <c r="AR69" i="1"/>
  <c r="AR55" i="1"/>
  <c r="AR84" i="1"/>
  <c r="AR88" i="1"/>
  <c r="AR77" i="1"/>
  <c r="AR81" i="1"/>
  <c r="AR89" i="1"/>
  <c r="AR74" i="1"/>
  <c r="AR104" i="1"/>
  <c r="AR72" i="1"/>
  <c r="AR82" i="1"/>
  <c r="AR44" i="1"/>
  <c r="AR96" i="1"/>
  <c r="AR64" i="1"/>
  <c r="AR101" i="1"/>
  <c r="AR94" i="1"/>
  <c r="AR73" i="1"/>
  <c r="AR58" i="1"/>
  <c r="AR76" i="1"/>
  <c r="AR105" i="1"/>
  <c r="AR99" i="1"/>
  <c r="AR92" i="1"/>
  <c r="AR97" i="1"/>
  <c r="AR35" i="1"/>
  <c r="AR61" i="1"/>
  <c r="AR67" i="1"/>
  <c r="AR86" i="1"/>
  <c r="AR100" i="1"/>
  <c r="AR68" i="1"/>
  <c r="AR90" i="1"/>
  <c r="AR65" i="1"/>
  <c r="AR51" i="1"/>
  <c r="AR56" i="1"/>
  <c r="AR42" i="1"/>
  <c r="AR93" i="1"/>
  <c r="AR45" i="1"/>
  <c r="AR37" i="1"/>
  <c r="AR107" i="1"/>
  <c r="AR75" i="1"/>
  <c r="AR91" i="1"/>
  <c r="AR78" i="1"/>
  <c r="AR98" i="1"/>
  <c r="AR66" i="1"/>
  <c r="AR85" i="1"/>
  <c r="AR87" i="1"/>
  <c r="AR80" i="1"/>
  <c r="AR79" i="1"/>
  <c r="AR95" i="1"/>
  <c r="AR71" i="1"/>
  <c r="AR106" i="1"/>
  <c r="AR103" i="1"/>
  <c r="AR31" i="1"/>
  <c r="AR14" i="1"/>
  <c r="AR17" i="1"/>
  <c r="AR26" i="1"/>
  <c r="AR33" i="1"/>
  <c r="BB102" i="1"/>
  <c r="BA102" i="1"/>
  <c r="BB94" i="1"/>
  <c r="BA94" i="1"/>
  <c r="BB86" i="1"/>
  <c r="BA86" i="1"/>
  <c r="BB78" i="1"/>
  <c r="BA78" i="1"/>
  <c r="BB70" i="1"/>
  <c r="BA70" i="1"/>
  <c r="AQ62" i="1"/>
  <c r="AQ54" i="1"/>
  <c r="AQ46" i="1"/>
  <c r="BB84" i="1"/>
  <c r="BA84" i="1"/>
  <c r="AQ60" i="1"/>
  <c r="BA107" i="1"/>
  <c r="BB107" i="1"/>
  <c r="BA99" i="1"/>
  <c r="BB99" i="1"/>
  <c r="BA91" i="1"/>
  <c r="BB91" i="1"/>
  <c r="BA83" i="1"/>
  <c r="BB83" i="1"/>
  <c r="BA75" i="1"/>
  <c r="BB75" i="1"/>
  <c r="BA67" i="1"/>
  <c r="BB67" i="1"/>
  <c r="AQ59" i="1"/>
  <c r="AQ51" i="1"/>
  <c r="AQ43" i="1"/>
  <c r="AR102" i="1"/>
  <c r="BB100" i="1"/>
  <c r="BA100" i="1"/>
  <c r="BB76" i="1"/>
  <c r="BA76" i="1"/>
  <c r="BB90" i="1"/>
  <c r="BA90" i="1"/>
  <c r="BB101" i="1"/>
  <c r="BA101" i="1"/>
  <c r="BB93" i="1"/>
  <c r="BA93" i="1"/>
  <c r="BB85" i="1"/>
  <c r="BA85" i="1"/>
  <c r="BB77" i="1"/>
  <c r="BA77" i="1"/>
  <c r="BA69" i="1"/>
  <c r="BB69" i="1"/>
  <c r="AQ61" i="1"/>
  <c r="AQ53" i="1"/>
  <c r="BB92" i="1"/>
  <c r="BA92" i="1"/>
  <c r="BB68" i="1"/>
  <c r="BA68" i="1"/>
  <c r="AQ44" i="1"/>
  <c r="BB106" i="1"/>
  <c r="BA106" i="1"/>
  <c r="BB98" i="1"/>
  <c r="BA98" i="1"/>
  <c r="BB82" i="1"/>
  <c r="BA82" i="1"/>
  <c r="BB74" i="1"/>
  <c r="BA74" i="1"/>
  <c r="BB66" i="1"/>
  <c r="BA66" i="1"/>
  <c r="AQ50" i="1"/>
  <c r="AQ42" i="1"/>
  <c r="BA105" i="1"/>
  <c r="BB105" i="1"/>
  <c r="BA97" i="1"/>
  <c r="BB97" i="1"/>
  <c r="BA89" i="1"/>
  <c r="BB89" i="1"/>
  <c r="BA81" i="1"/>
  <c r="BB81" i="1"/>
  <c r="BB73" i="1"/>
  <c r="BA73" i="1"/>
  <c r="BB65" i="1"/>
  <c r="BA65" i="1"/>
  <c r="AQ57" i="1"/>
  <c r="AQ49" i="1"/>
  <c r="AQ41" i="1"/>
  <c r="BB104" i="1"/>
  <c r="BA104" i="1"/>
  <c r="BB96" i="1"/>
  <c r="BA96" i="1"/>
  <c r="BB88" i="1"/>
  <c r="BA88" i="1"/>
  <c r="BB80" i="1"/>
  <c r="BA80" i="1"/>
  <c r="BB72" i="1"/>
  <c r="BA72" i="1"/>
  <c r="BB64" i="1"/>
  <c r="BA64" i="1"/>
  <c r="AQ56" i="1"/>
  <c r="AQ48" i="1"/>
  <c r="BA103" i="1"/>
  <c r="BB103" i="1"/>
  <c r="BA95" i="1"/>
  <c r="BB95" i="1"/>
  <c r="BA87" i="1"/>
  <c r="BB87" i="1"/>
  <c r="BA79" i="1"/>
  <c r="BB79" i="1"/>
  <c r="BA71" i="1"/>
  <c r="BB71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R52" i="1"/>
  <c r="AR59" i="1"/>
  <c r="AR34" i="1"/>
  <c r="AR38" i="1"/>
  <c r="AQ14" i="1"/>
  <c r="AP13" i="1"/>
  <c r="AQ10" i="1"/>
  <c r="AP9" i="1"/>
  <c r="AQ9" i="1"/>
  <c r="AY101" i="1"/>
  <c r="AY69" i="1"/>
  <c r="AY100" i="1"/>
  <c r="AY92" i="1"/>
  <c r="AY84" i="1"/>
  <c r="AY76" i="1"/>
  <c r="AY68" i="1"/>
  <c r="AY85" i="1"/>
  <c r="AY107" i="1"/>
  <c r="AY83" i="1"/>
  <c r="AY91" i="1"/>
  <c r="AY75" i="1"/>
  <c r="AY90" i="1"/>
  <c r="AY66" i="1"/>
  <c r="AY105" i="1"/>
  <c r="AY97" i="1"/>
  <c r="AY89" i="1"/>
  <c r="AY81" i="1"/>
  <c r="AY73" i="1"/>
  <c r="AY65" i="1"/>
  <c r="AY99" i="1"/>
  <c r="AY67" i="1"/>
  <c r="AY104" i="1"/>
  <c r="AY96" i="1"/>
  <c r="AY88" i="1"/>
  <c r="AY80" i="1"/>
  <c r="AY72" i="1"/>
  <c r="AY64" i="1"/>
  <c r="AY77" i="1"/>
  <c r="AY106" i="1"/>
  <c r="AY82" i="1"/>
  <c r="AY74" i="1"/>
  <c r="AY103" i="1"/>
  <c r="AY95" i="1"/>
  <c r="AY87" i="1"/>
  <c r="AY79" i="1"/>
  <c r="AY71" i="1"/>
  <c r="AY93" i="1"/>
  <c r="AY98" i="1"/>
  <c r="AY102" i="1"/>
  <c r="AY94" i="1"/>
  <c r="AY86" i="1"/>
  <c r="AY78" i="1"/>
  <c r="AY70" i="1"/>
  <c r="BC100" i="1"/>
  <c r="AZ100" i="1"/>
  <c r="AZ106" i="1"/>
  <c r="BC106" i="1"/>
  <c r="AZ90" i="1"/>
  <c r="BC90" i="1"/>
  <c r="AZ74" i="1"/>
  <c r="BC74" i="1"/>
  <c r="BC105" i="1"/>
  <c r="AZ105" i="1"/>
  <c r="BC89" i="1"/>
  <c r="AZ89" i="1"/>
  <c r="BC73" i="1"/>
  <c r="AZ73" i="1"/>
  <c r="AP17" i="1"/>
  <c r="BC84" i="1"/>
  <c r="AZ84" i="1"/>
  <c r="AQ68" i="1"/>
  <c r="BC68" i="1"/>
  <c r="AZ68" i="1"/>
  <c r="AP20" i="1"/>
  <c r="BC107" i="1"/>
  <c r="AZ107" i="1"/>
  <c r="AP91" i="1"/>
  <c r="BC91" i="1"/>
  <c r="AZ91" i="1"/>
  <c r="BC75" i="1"/>
  <c r="AZ75" i="1"/>
  <c r="AZ98" i="1"/>
  <c r="BC98" i="1"/>
  <c r="AZ82" i="1"/>
  <c r="BC82" i="1"/>
  <c r="AZ66" i="1"/>
  <c r="BC66" i="1"/>
  <c r="BC97" i="1"/>
  <c r="AZ97" i="1"/>
  <c r="BC81" i="1"/>
  <c r="AZ81" i="1"/>
  <c r="BC65" i="1"/>
  <c r="AZ65" i="1"/>
  <c r="BC104" i="1"/>
  <c r="AZ104" i="1"/>
  <c r="AQ96" i="1"/>
  <c r="BC96" i="1"/>
  <c r="AZ96" i="1"/>
  <c r="BC88" i="1"/>
  <c r="AZ88" i="1"/>
  <c r="BC80" i="1"/>
  <c r="AZ80" i="1"/>
  <c r="AQ72" i="1"/>
  <c r="BC72" i="1"/>
  <c r="AZ72" i="1"/>
  <c r="AQ64" i="1"/>
  <c r="BC64" i="1"/>
  <c r="AZ64" i="1"/>
  <c r="AP32" i="1"/>
  <c r="AZ103" i="1"/>
  <c r="BC103" i="1"/>
  <c r="AZ95" i="1"/>
  <c r="BC95" i="1"/>
  <c r="AZ87" i="1"/>
  <c r="BC87" i="1"/>
  <c r="AZ79" i="1"/>
  <c r="BC79" i="1"/>
  <c r="AZ71" i="1"/>
  <c r="BC71" i="1"/>
  <c r="AZ102" i="1"/>
  <c r="BC102" i="1"/>
  <c r="AZ86" i="1"/>
  <c r="BC86" i="1"/>
  <c r="AZ78" i="1"/>
  <c r="BC78" i="1"/>
  <c r="AZ70" i="1"/>
  <c r="BC70" i="1"/>
  <c r="AQ92" i="1"/>
  <c r="BC92" i="1"/>
  <c r="AZ92" i="1"/>
  <c r="BC76" i="1"/>
  <c r="AZ76" i="1"/>
  <c r="BC99" i="1"/>
  <c r="AZ99" i="1"/>
  <c r="BC83" i="1"/>
  <c r="AZ83" i="1"/>
  <c r="BC67" i="1"/>
  <c r="AZ67" i="1"/>
  <c r="AZ94" i="1"/>
  <c r="BC94" i="1"/>
  <c r="AZ101" i="1"/>
  <c r="BC101" i="1"/>
  <c r="AZ93" i="1"/>
  <c r="BC93" i="1"/>
  <c r="AZ85" i="1"/>
  <c r="BC85" i="1"/>
  <c r="AZ77" i="1"/>
  <c r="BC77" i="1"/>
  <c r="AZ69" i="1"/>
  <c r="BC69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BC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U91" i="1" s="1"/>
  <c r="AV91" i="1" s="1"/>
  <c r="AW91" i="1" s="1"/>
  <c r="AT97" i="1"/>
  <c r="AT80" i="1"/>
  <c r="AT18" i="1"/>
  <c r="AT81" i="1"/>
  <c r="AU81" i="1" s="1"/>
  <c r="AV81" i="1" s="1"/>
  <c r="AW81" i="1" s="1"/>
  <c r="AT93" i="1"/>
  <c r="AT44" i="1"/>
  <c r="AT103" i="1"/>
  <c r="AT99" i="1"/>
  <c r="AT88" i="1"/>
  <c r="AT92" i="1"/>
  <c r="AU92" i="1" s="1"/>
  <c r="AV92" i="1" s="1"/>
  <c r="AW92" i="1" s="1"/>
  <c r="AT95" i="1"/>
  <c r="AU95" i="1" s="1"/>
  <c r="AV95" i="1" s="1"/>
  <c r="AW95" i="1" s="1"/>
  <c r="AT85" i="1"/>
  <c r="AT100" i="1"/>
  <c r="AU100" i="1" s="1"/>
  <c r="AV100" i="1" s="1"/>
  <c r="AW100" i="1" s="1"/>
  <c r="AT96" i="1"/>
  <c r="AU96" i="1" s="1"/>
  <c r="AV96" i="1" s="1"/>
  <c r="AW96" i="1" s="1"/>
  <c r="AT87" i="1"/>
  <c r="AT105" i="1"/>
  <c r="AU105" i="1" s="1"/>
  <c r="AV105" i="1" s="1"/>
  <c r="AW105" i="1" s="1"/>
  <c r="AT89" i="1"/>
  <c r="AT70" i="1"/>
  <c r="AU70" i="1" s="1"/>
  <c r="AV70" i="1" s="1"/>
  <c r="AW70" i="1" s="1"/>
  <c r="AT43" i="1"/>
  <c r="AY43" i="1" s="1"/>
  <c r="AZ43" i="1" s="1"/>
  <c r="AT107" i="1"/>
  <c r="AT63" i="1"/>
  <c r="AT56" i="1"/>
  <c r="AT53" i="1"/>
  <c r="AY53" i="1" s="1"/>
  <c r="AZ53" i="1" s="1"/>
  <c r="AT77" i="1"/>
  <c r="AU77" i="1" s="1"/>
  <c r="AV77" i="1" s="1"/>
  <c r="AW77" i="1" s="1"/>
  <c r="AT28" i="1"/>
  <c r="AY28" i="1" s="1"/>
  <c r="AZ28" i="1" s="1"/>
  <c r="AT29" i="1"/>
  <c r="AQ13" i="1"/>
  <c r="AT45" i="1"/>
  <c r="AT106" i="1"/>
  <c r="AT65" i="1"/>
  <c r="AU65" i="1" s="1"/>
  <c r="AV65" i="1" s="1"/>
  <c r="AW65" i="1" s="1"/>
  <c r="AT64" i="1"/>
  <c r="AT33" i="1"/>
  <c r="AY33" i="1" s="1"/>
  <c r="AZ33" i="1" s="1"/>
  <c r="AT47" i="1"/>
  <c r="AY47" i="1" s="1"/>
  <c r="AZ47" i="1" s="1"/>
  <c r="AT71" i="1"/>
  <c r="AU71" i="1" s="1"/>
  <c r="AV71" i="1" s="1"/>
  <c r="AW71" i="1" s="1"/>
  <c r="AT31" i="1"/>
  <c r="AY31" i="1" s="1"/>
  <c r="AZ31" i="1" s="1"/>
  <c r="AT75" i="1"/>
  <c r="AQ32" i="1"/>
  <c r="AT61" i="1"/>
  <c r="AT49" i="1"/>
  <c r="AT16" i="1"/>
  <c r="AT35" i="1"/>
  <c r="AY35" i="1" s="1"/>
  <c r="AZ35" i="1" s="1"/>
  <c r="AT51" i="1"/>
  <c r="AT84" i="1"/>
  <c r="AU84" i="1" s="1"/>
  <c r="AV84" i="1" s="1"/>
  <c r="AW84" i="1" s="1"/>
  <c r="AT79" i="1"/>
  <c r="AU79" i="1" s="1"/>
  <c r="AV79" i="1" s="1"/>
  <c r="AW79" i="1" s="1"/>
  <c r="AT101" i="1"/>
  <c r="AQ35" i="1"/>
  <c r="AT76" i="1"/>
  <c r="AU76" i="1" s="1"/>
  <c r="AV76" i="1" s="1"/>
  <c r="AW76" i="1" s="1"/>
  <c r="AT21" i="1"/>
  <c r="AT37" i="1"/>
  <c r="AT55" i="1"/>
  <c r="AY55" i="1" s="1"/>
  <c r="AZ55" i="1" s="1"/>
  <c r="AT40" i="1"/>
  <c r="AT72" i="1"/>
  <c r="AU72" i="1" s="1"/>
  <c r="AV72" i="1" s="1"/>
  <c r="AW72" i="1" s="1"/>
  <c r="AT39" i="1"/>
  <c r="AT36" i="1"/>
  <c r="AY36" i="1" s="1"/>
  <c r="AZ36" i="1" s="1"/>
  <c r="AT83" i="1"/>
  <c r="AT24" i="1"/>
  <c r="AY24" i="1" s="1"/>
  <c r="AZ24" i="1" s="1"/>
  <c r="AT27" i="1"/>
  <c r="AY27" i="1" s="1"/>
  <c r="AZ27" i="1" s="1"/>
  <c r="AT67" i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T98" i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U82" i="1" s="1"/>
  <c r="AV82" i="1" s="1"/>
  <c r="AW82" i="1" s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T11" i="1"/>
  <c r="AY11" i="1" s="1"/>
  <c r="AZ11" i="1" s="1"/>
  <c r="AT69" i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T94" i="1"/>
  <c r="AT73" i="1"/>
  <c r="AQ34" i="1"/>
  <c r="AT86" i="1"/>
  <c r="AU13" i="1" l="1"/>
  <c r="AV13" i="1" s="1"/>
  <c r="AW13" i="1" s="1"/>
  <c r="BA50" i="1"/>
  <c r="BB50" i="1" s="1"/>
  <c r="BC50" i="1" s="1"/>
  <c r="BA58" i="1"/>
  <c r="BB58" i="1" s="1"/>
  <c r="BC58" i="1" s="1"/>
  <c r="BA47" i="1"/>
  <c r="BB47" i="1" s="1"/>
  <c r="BC47" i="1" s="1"/>
  <c r="BA57" i="1"/>
  <c r="BB57" i="1" s="1"/>
  <c r="BC57" i="1" s="1"/>
  <c r="AU61" i="1"/>
  <c r="AV61" i="1" s="1"/>
  <c r="AW61" i="1" s="1"/>
  <c r="AY61" i="1"/>
  <c r="AZ61" i="1" s="1"/>
  <c r="BA61" i="1" s="1"/>
  <c r="BB61" i="1" s="1"/>
  <c r="BC61" i="1" s="1"/>
  <c r="BA53" i="1"/>
  <c r="BB53" i="1" s="1"/>
  <c r="BC53" i="1" s="1"/>
  <c r="AU63" i="1"/>
  <c r="AV63" i="1" s="1"/>
  <c r="AW63" i="1" s="1"/>
  <c r="AY63" i="1"/>
  <c r="AZ63" i="1" s="1"/>
  <c r="BA63" i="1" s="1"/>
  <c r="BB63" i="1" s="1"/>
  <c r="BC63" i="1" s="1"/>
  <c r="BA43" i="1"/>
  <c r="BB43" i="1" s="1"/>
  <c r="BC43" i="1" s="1"/>
  <c r="AU62" i="1"/>
  <c r="AV62" i="1" s="1"/>
  <c r="AW62" i="1" s="1"/>
  <c r="AY62" i="1"/>
  <c r="AZ62" i="1" s="1"/>
  <c r="BA62" i="1" s="1"/>
  <c r="BB62" i="1" s="1"/>
  <c r="BC62" i="1" s="1"/>
  <c r="BA42" i="1"/>
  <c r="BB42" i="1" s="1"/>
  <c r="BC42" i="1" s="1"/>
  <c r="BA55" i="1"/>
  <c r="BB55" i="1" s="1"/>
  <c r="BC55" i="1" s="1"/>
  <c r="AU17" i="1"/>
  <c r="AV17" i="1" s="1"/>
  <c r="AW17" i="1" s="1"/>
  <c r="BA22" i="1"/>
  <c r="BB22" i="1" s="1"/>
  <c r="BC22" i="1" s="1"/>
  <c r="BA35" i="1"/>
  <c r="BB35" i="1" s="1"/>
  <c r="BC35" i="1" s="1"/>
  <c r="BA19" i="1"/>
  <c r="BB19" i="1" s="1"/>
  <c r="BC19" i="1" s="1"/>
  <c r="BA24" i="1"/>
  <c r="BB24" i="1" s="1"/>
  <c r="BC24" i="1" s="1"/>
  <c r="BA33" i="1"/>
  <c r="BB33" i="1" s="1"/>
  <c r="BC33" i="1" s="1"/>
  <c r="BA27" i="1"/>
  <c r="BB27" i="1" s="1"/>
  <c r="BC27" i="1" s="1"/>
  <c r="BA23" i="1"/>
  <c r="BB23" i="1" s="1"/>
  <c r="BC23" i="1" s="1"/>
  <c r="BA11" i="1"/>
  <c r="BB11" i="1" s="1"/>
  <c r="BC11" i="1" s="1"/>
  <c r="BA28" i="1"/>
  <c r="BB28" i="1" s="1"/>
  <c r="BC28" i="1" s="1"/>
  <c r="BA36" i="1"/>
  <c r="BB36" i="1" s="1"/>
  <c r="BC36" i="1" s="1"/>
  <c r="BA34" i="1"/>
  <c r="BB34" i="1" s="1"/>
  <c r="BC34" i="1" s="1"/>
  <c r="BA31" i="1"/>
  <c r="BB31" i="1" s="1"/>
  <c r="BC31" i="1" s="1"/>
  <c r="BA32" i="1"/>
  <c r="BB32" i="1" s="1"/>
  <c r="BC32" i="1" s="1"/>
  <c r="BA26" i="1"/>
  <c r="BB26" i="1" s="1"/>
  <c r="BC26" i="1" s="1"/>
  <c r="BA12" i="1"/>
  <c r="BB12" i="1" s="1"/>
  <c r="BC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A18" i="1" l="1"/>
  <c r="BB18" i="1" s="1"/>
  <c r="BC18" i="1" s="1"/>
  <c r="BC49" i="1"/>
  <c r="BA49" i="1"/>
  <c r="BB49" i="1" s="1"/>
  <c r="BA48" i="1"/>
  <c r="BB48" i="1" s="1"/>
  <c r="BC48" i="1" s="1"/>
  <c r="BA45" i="1"/>
  <c r="BB45" i="1" s="1"/>
  <c r="BC45" i="1" s="1"/>
  <c r="BA44" i="1"/>
  <c r="BB44" i="1" s="1"/>
  <c r="BC44" i="1" s="1"/>
  <c r="BA52" i="1"/>
  <c r="BB52" i="1" s="1"/>
  <c r="BC52" i="1" s="1"/>
  <c r="BA59" i="1"/>
  <c r="BB59" i="1" s="1"/>
  <c r="BC59" i="1" s="1"/>
  <c r="BA60" i="1"/>
  <c r="BB60" i="1" s="1"/>
  <c r="BC60" i="1" s="1"/>
  <c r="BA54" i="1"/>
  <c r="BB54" i="1" s="1"/>
  <c r="BC54" i="1" s="1"/>
  <c r="BA39" i="1"/>
  <c r="BB39" i="1" s="1"/>
  <c r="BC39" i="1" s="1"/>
  <c r="BA46" i="1"/>
  <c r="BB46" i="1" s="1"/>
  <c r="BC46" i="1" s="1"/>
  <c r="BA41" i="1"/>
  <c r="BB41" i="1" s="1"/>
  <c r="BC41" i="1" s="1"/>
  <c r="BA51" i="1"/>
  <c r="BB51" i="1" s="1"/>
  <c r="BC51" i="1" s="1"/>
  <c r="BA56" i="1"/>
  <c r="BB56" i="1" s="1"/>
  <c r="BC56" i="1" s="1"/>
  <c r="BA14" i="1"/>
  <c r="BB14" i="1" s="1"/>
  <c r="BC14" i="1" s="1"/>
  <c r="BA15" i="1"/>
  <c r="BB15" i="1" s="1"/>
  <c r="BC15" i="1" s="1"/>
  <c r="BA29" i="1"/>
  <c r="BB29" i="1" s="1"/>
  <c r="BC29" i="1" s="1"/>
  <c r="BA21" i="1"/>
  <c r="BB21" i="1" s="1"/>
  <c r="BC21" i="1" s="1"/>
  <c r="BA30" i="1"/>
  <c r="BB30" i="1" s="1"/>
  <c r="BC30" i="1" s="1"/>
  <c r="BA38" i="1"/>
  <c r="BB38" i="1" s="1"/>
  <c r="BC38" i="1" s="1"/>
  <c r="BA40" i="1"/>
  <c r="BB40" i="1" s="1"/>
  <c r="BC40" i="1" s="1"/>
  <c r="BA37" i="1"/>
  <c r="BB37" i="1" s="1"/>
  <c r="BC37" i="1" s="1"/>
  <c r="BA25" i="1"/>
  <c r="BB25" i="1" s="1"/>
  <c r="BC25" i="1" s="1"/>
  <c r="BA20" i="1"/>
  <c r="BB20" i="1" s="1"/>
  <c r="BC20" i="1" s="1"/>
  <c r="BA10" i="1"/>
  <c r="BB10" i="1" s="1"/>
  <c r="BC10" i="1" s="1"/>
  <c r="BA16" i="1"/>
  <c r="BB16" i="1" s="1"/>
  <c r="BC16" i="1" s="1"/>
  <c r="AW109" i="1"/>
  <c r="B19" i="1" s="1"/>
  <c r="B32" i="2" l="1"/>
  <c r="BC109" i="1"/>
  <c r="B2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<sst xmlns="http://schemas.openxmlformats.org/spreadsheetml/2006/main" count="216" uniqueCount="158">
  <si>
    <t>EXE_DIREC</t>
  </si>
  <si>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</si>
  <si>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</si>
  <si>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</si>
  <si>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</si>
  <si>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</si>
  <si>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</si>
  <si>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</si>
  <si>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</si>
  <si>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</si>
  <si>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</si>
  <si>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</si>
  <si>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</si>
  <si>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</si>
  <si>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</si>
  <si>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</si>
  <si>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stDevIn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</si>
  <si>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</si>
  <si>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</si>
  <si>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</si>
  <si>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</si>
  <si>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</si>
  <si>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</si>
  <si>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</si>
  <si>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</si>
  <si>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</si>
  <si>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</si>
  <si>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</si>
  <si>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</si>
  <si>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</si>
  <si>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</si>
  <si>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</si>
  <si>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</si>
  <si>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</si>
  <si>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</si>
  <si>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stEx400</t>
  </si>
  <si>
    <t>△●U01平板 巻き動作</t>
  </si>
  <si>
    <t>stEx401</t>
  </si>
  <si>
    <t>△●U02波板 巻き動作</t>
  </si>
  <si>
    <t>stEx402</t>
  </si>
  <si>
    <t>△●U05溶接 押え</t>
  </si>
  <si>
    <t>stEx403</t>
  </si>
  <si>
    <t>△◆平板押え 上昇有無</t>
  </si>
  <si>
    <t>stEx404</t>
  </si>
  <si>
    <t>&gt;●CYL07平板押え 上昇</t>
  </si>
  <si>
    <t>stEx405</t>
  </si>
  <si>
    <t>&gt;巻き締まり 待機</t>
  </si>
  <si>
    <t>stEx406</t>
  </si>
  <si>
    <t>▼平板押え 下降</t>
  </si>
  <si>
    <t>stEx407</t>
  </si>
  <si>
    <t>△◆主軸 巻き継続判定</t>
  </si>
  <si>
    <t>stEx408</t>
  </si>
  <si>
    <t>&gt;●AXK13主軸 巻き回転</t>
  </si>
  <si>
    <t>stEx409</t>
  </si>
  <si>
    <t>&gt;◆整え+測定 有無</t>
  </si>
  <si>
    <t>stEx410</t>
  </si>
  <si>
    <t>&gt;&gt;◆整え 有無</t>
  </si>
  <si>
    <t>stEx411</t>
  </si>
  <si>
    <t>&gt;&gt;&gt;◆整え繰返し 有無</t>
  </si>
  <si>
    <t>stEx412</t>
  </si>
  <si>
    <t>&gt;&gt;&gt;●AXK14調台 整え</t>
  </si>
  <si>
    <t>stEx413</t>
  </si>
  <si>
    <t>&gt;&gt;&gt;●AXK14調台 待機</t>
  </si>
  <si>
    <t>stEx414</t>
  </si>
  <si>
    <t>&gt;&gt;▼整え</t>
  </si>
  <si>
    <t>stEx415</t>
  </si>
  <si>
    <t>&gt;&gt;◆巻き中測定 有無</t>
  </si>
  <si>
    <t>stEx416</t>
  </si>
  <si>
    <t>&gt;&gt;&gt;●U06 巻き中測定</t>
  </si>
  <si>
    <t>stEx417</t>
  </si>
  <si>
    <t>&gt;&gt;▼巻き中測定 有無</t>
  </si>
  <si>
    <t>stEx418</t>
  </si>
  <si>
    <t>&gt;▼整え+測定</t>
  </si>
  <si>
    <t>stEx419</t>
  </si>
  <si>
    <t>&gt;◆波板ﾉﾘ 有無判定</t>
  </si>
  <si>
    <t>stEx420</t>
  </si>
  <si>
    <t>&gt;&gt;●AXO17 波板補助 退避</t>
  </si>
  <si>
    <t>stEx421</t>
  </si>
  <si>
    <t>&gt;&gt;●CYL02波ﾉﾘ1 塗布開始</t>
  </si>
  <si>
    <t>stEx422</t>
  </si>
  <si>
    <t>&gt;&gt;●CYL03波ﾉﾘ2 塗布開始</t>
  </si>
  <si>
    <t>stEx423</t>
  </si>
  <si>
    <t>&gt;&gt;▼波板ﾉﾘ 開始</t>
  </si>
  <si>
    <t>stEx424</t>
  </si>
  <si>
    <t>&gt;&gt;●CYL02波ﾉﾘ1 塗布終了</t>
  </si>
  <si>
    <t>stEx425</t>
  </si>
  <si>
    <t>&gt;&gt;●CYL03波ﾉﾘ2 塗布終了</t>
  </si>
  <si>
    <t>stEx426</t>
  </si>
  <si>
    <t>&gt;&gt;●AXO17 波板補助 補助</t>
  </si>
  <si>
    <t>stEx427</t>
  </si>
  <si>
    <t>&gt;▼波板ﾉﾘ 終了</t>
  </si>
  <si>
    <t>stEx428</t>
  </si>
  <si>
    <t>&gt;▼主軸+ﾉﾘ</t>
  </si>
  <si>
    <t>stEx429</t>
  </si>
  <si>
    <t>&gt;◆平板ｶｯﾄ 有無判定</t>
  </si>
  <si>
    <t>stEx430</t>
  </si>
  <si>
    <t>&gt;&gt;△●AXI05 排出</t>
  </si>
  <si>
    <t>stEx431</t>
  </si>
  <si>
    <t>&gt;&gt;●AXI05 平板押え</t>
  </si>
  <si>
    <t>stEx432</t>
  </si>
  <si>
    <t>&gt;&gt;△●CYL07平板押え 下降</t>
  </si>
  <si>
    <t>stEx433</t>
  </si>
  <si>
    <t>&gt;&gt;▽主軸 +平板押え</t>
  </si>
  <si>
    <t>stEx434</t>
  </si>
  <si>
    <t>&gt;&gt;●U01平板 ｶｯﾄ</t>
  </si>
  <si>
    <t>stEx435</t>
  </si>
  <si>
    <t>&gt;&gt;●AXI05 排出受取</t>
  </si>
  <si>
    <t>stEx436</t>
  </si>
  <si>
    <t>&gt;▼平板ｶｯﾄ</t>
  </si>
  <si>
    <t>stEx437</t>
  </si>
  <si>
    <t>&gt;◆波板ｶｯﾄ 有無判定</t>
  </si>
  <si>
    <t>stEx438</t>
  </si>
  <si>
    <t>&gt;&gt;●U02波板 ｶｯﾄ</t>
  </si>
  <si>
    <t>stEx439</t>
  </si>
  <si>
    <t>&gt;▼波板ｶｯﾄ</t>
  </si>
  <si>
    <t>stEx440</t>
  </si>
  <si>
    <t>&gt;▼ｶｯﾄ処理</t>
  </si>
  <si>
    <t>stEx441</t>
  </si>
  <si>
    <t>▼巻き継続 (完成角度)</t>
  </si>
  <si>
    <t>stEx442</t>
  </si>
  <si>
    <t>△◆巻締 締め有無</t>
  </si>
  <si>
    <t>stEx443</t>
  </si>
  <si>
    <t>●AXK14調台 締め位置</t>
  </si>
  <si>
    <t>stEx444</t>
  </si>
  <si>
    <t>▼巻締 締め</t>
  </si>
  <si>
    <t>stEx445</t>
  </si>
  <si>
    <t>▽平+波 +溶接+主軸</t>
  </si>
  <si>
    <t>stEx446</t>
  </si>
  <si>
    <t>△●AXI05 波板検索</t>
  </si>
  <si>
    <t>stEx447</t>
  </si>
  <si>
    <t>△●AXI06 波板検索</t>
  </si>
  <si>
    <t>stEx448</t>
  </si>
  <si>
    <t>△波板終端 検索</t>
  </si>
  <si>
    <t>stEx449</t>
  </si>
  <si>
    <t>△●AXK13 波板検索</t>
  </si>
  <si>
    <t>stEx450</t>
  </si>
  <si>
    <t>▽▼波板終端 検索</t>
  </si>
  <si>
    <t>stEx451</t>
  </si>
  <si>
    <t>●AXK13主軸 溶接位置</t>
  </si>
  <si>
    <t>stEx452</t>
  </si>
  <si>
    <t>△●AXI05 排出</t>
  </si>
  <si>
    <t>stEx453</t>
  </si>
  <si>
    <t>△●AXI06 待機</t>
  </si>
  <si>
    <t>stEx454</t>
  </si>
  <si>
    <t>▽AXI05+AXI06</t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</si>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</sst>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 applyAlignme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J12" sqref="J12"/>
    </sheetView>
  </sheetViews>
  <sheetFormatPr defaultRowHeight="18" x14ac:dyDescent="0.55000000000000004"/>
  <sheetData>
    <row r="2" spans="1:2" x14ac:dyDescent="0.55000000000000004">
      <c r="A2" t="s">
        <v>7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8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9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151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152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153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154</v>
      </c>
      <c r="B21" t="str" cm="1">
        <f t="array" aca="1" ref="B21" ca="1">MID(CELL("address",info_script!B10),FIND("!",CELL("address",info_script!B10))+1,LEN(CELL("address",info_script!B10)))</f>
        <v>$B$10</v>
      </c>
    </row>
    <row r="22" spans="1:2" x14ac:dyDescent="0.55000000000000004">
      <c r="A22" t="s">
        <v>155</v>
      </c>
      <c r="B22" t="str" cm="1">
        <f t="array" aca="1" ref="B22" ca="1">MID(CELL("address",info_script!B11),FIND("!",CELL("address",info_script!B11))+1,LEN(CELL("address",info_script!B11)))</f>
        <v>$B$11</v>
      </c>
    </row>
    <row r="31" spans="1:2" x14ac:dyDescent="0.55000000000000004">
      <c r="A31" t="s">
        <v>156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157</v>
      </c>
      <c r="B32">
        <f ca="1"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9" activePane="bottomRight" state="frozen"/>
      <selection pane="topRight" activeCell="F1" sqref="F1"/>
      <selection pane="bottomLeft" activeCell="A4" sqref="A4"/>
      <selection pane="bottomRight" activeCell="X20" sqref="X20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16</v>
      </c>
      <c r="AN1" t="s">
        <v>23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24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147</v>
      </c>
    </row>
    <row r="6" spans="1:60" x14ac:dyDescent="0.55000000000000004">
      <c r="AD6" t="s">
        <v>148</v>
      </c>
      <c r="AE6" t="s">
        <v>14</v>
      </c>
      <c r="AF6" t="s">
        <v>15</v>
      </c>
      <c r="AG6" t="s">
        <v>15</v>
      </c>
      <c r="AH6" t="s">
        <v>13</v>
      </c>
      <c r="AI6" t="s">
        <v>17</v>
      </c>
      <c r="AN6">
        <v>10</v>
      </c>
      <c r="BE6">
        <v>3</v>
      </c>
    </row>
    <row r="7" spans="1:60" x14ac:dyDescent="0.55000000000000004">
      <c r="A7" t="s">
        <v>6</v>
      </c>
      <c r="E7" s="1"/>
      <c r="F7" s="1"/>
      <c r="G7" s="1"/>
      <c r="I7" s="2" t="s">
        <v>145</v>
      </c>
      <c r="J7" s="2"/>
      <c r="K7" s="2"/>
      <c r="L7" s="2"/>
      <c r="M7" s="2"/>
      <c r="N7" s="2"/>
      <c r="O7" s="2"/>
      <c r="P7" s="1"/>
      <c r="Q7" s="4" t="s">
        <v>146</v>
      </c>
      <c r="R7" s="4"/>
      <c r="S7" s="4"/>
      <c r="T7" s="4"/>
      <c r="U7" s="4"/>
      <c r="V7" s="4"/>
      <c r="W7" s="4"/>
      <c r="X7" s="4"/>
      <c r="Z7" t="s">
        <v>11</v>
      </c>
      <c r="AA7" t="s">
        <v>12</v>
      </c>
      <c r="AB7" t="s">
        <v>20</v>
      </c>
      <c r="AC7" t="s">
        <v>149</v>
      </c>
      <c r="AD7" t="str">
        <f t="shared" ref="AD7:AF7" si="0">$Z$1&amp;"."&amp;AD6</f>
        <v>stDevIn.astAXI</v>
      </c>
      <c r="AE7" t="str">
        <f t="shared" si="0"/>
        <v>stDevIn.astAXK</v>
      </c>
      <c r="AF7" t="str">
        <f t="shared" si="0"/>
        <v>stDevIn.astAXO</v>
      </c>
      <c r="AG7" t="str">
        <f t="shared" ref="AG7" si="1">$Z$1&amp;"."&amp;AG6</f>
        <v>stDevIn.astAXO</v>
      </c>
      <c r="AH7" t="str">
        <f>$Z$1&amp;"."&amp;AH6</f>
        <v>stDevIn.astCYL</v>
      </c>
      <c r="AI7" t="str">
        <f>$Z$1&amp;"."&amp;AI6</f>
        <v>stDevIn.astEC</v>
      </c>
      <c r="AJ7" t="s">
        <v>150</v>
      </c>
      <c r="AK7" t="s">
        <v>18</v>
      </c>
      <c r="AM7" t="s">
        <v>5</v>
      </c>
      <c r="AN7" t="s">
        <v>4</v>
      </c>
      <c r="AS7" t="s">
        <v>30</v>
      </c>
      <c r="AW7" t="s">
        <v>33</v>
      </c>
      <c r="AY7" t="s">
        <v>31</v>
      </c>
      <c r="BC7" t="s">
        <v>32</v>
      </c>
      <c r="BE7" t="s">
        <v>27</v>
      </c>
      <c r="BH7" t="s">
        <v>28</v>
      </c>
    </row>
    <row r="8" spans="1:60" x14ac:dyDescent="0.55000000000000004">
      <c r="A8" t="s">
        <v>7</v>
      </c>
      <c r="B8" t="str" cm="1">
        <f t="array" aca="1" ref="B8" ca="1">CELL("filename")</f>
        <v>C:\tk\prj\hg-0025-0016\git\kv-x520\doc\[kv_script_exe_errno.xlsm]info_script</v>
      </c>
      <c r="D8">
        <v>0</v>
      </c>
      <c r="E8" t="str">
        <f>IF(LEN(I8),I8,IF(LEN(Q8),Q8,""))</f>
        <v>stEx400</v>
      </c>
      <c r="F8" t="str">
        <f>IF(LEN(J8),J8,IF(LEN(Q8),Q8,""))</f>
        <v>stEx400</v>
      </c>
      <c r="G8" t="str">
        <f>IF(LEN(O8),O8,IF(LEN(X8),X8,""))</f>
        <v>△●U01平板 巻き動作</v>
      </c>
      <c r="Q8" t="s">
        <v>35</v>
      </c>
      <c r="R8" t="s">
        <v>0</v>
      </c>
      <c r="U8" t="b">
        <v>0</v>
      </c>
      <c r="V8" t="b">
        <v>0</v>
      </c>
      <c r="W8" t="b">
        <v>0</v>
      </c>
      <c r="X8" t="s">
        <v>36</v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 t="shared" ref="AE8:AF23" si="2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IF(LEN(G8),IF(OR(COUNTIF(G8,"*◆*"),COUNTIF(G8,"*▼*"),COUNTIF(G8,"*■*")),"","●"),"")</f>
        <v>●</v>
      </c>
      <c r="AN8">
        <f>IF(AM8="●",(AN$4+MOD(INT(MID(E8,5,3)),AN$2))*AN$6,"")</f>
        <v>4000</v>
      </c>
      <c r="AO8" t="str">
        <f>IF($AM8="●","LDP "&amp;E8&amp;"."&amp;$B$14,"")</f>
        <v>LDP stEx400.x2</v>
      </c>
      <c r="AP8" t="str">
        <f>IF($AM8="●","AND=.D "&amp;$B$15&amp;" #0","")</f>
        <v>AND=.D stM.udiErrNo #0</v>
      </c>
      <c r="AQ8" t="str">
        <f>IF($AM8="●","MOV.D #"&amp;AN8&amp;" "&amp;$B$15,"")</f>
        <v>MOV.D #4000 stM.udiErrNo</v>
      </c>
      <c r="AR8" t="str">
        <f>IF(LEN(AK8),"MOV.D "&amp;$AK8&amp;" "&amp;$B$17,"")</f>
        <v/>
      </c>
      <c r="AS8" t="str">
        <f>IF(AND(D8&lt;&gt;0,AM8="●"),CHAR(10),"")&amp;IF(LEN(AO8),AO8,"")</f>
        <v>LDP stEx400.x2</v>
      </c>
      <c r="AT8" t="str">
        <f t="shared" ref="AT8:AT39" si="3">IF(LEN(AS8),AS8&amp;CHAR(10),"")&amp;IF(LEN(AP8),AP8,"")</f>
        <v>LDP stEx400.x2
AND=.D stM.udiErrNo #0</v>
      </c>
      <c r="AU8" t="str">
        <f t="shared" ref="AU8:AU39" si="4">IF(LEN(AT8),AT8&amp;CHAR(10),"")&amp;IF(LEN(AQ8),AQ8,"")</f>
        <v>LDP stEx400.x2
AND=.D stM.udiErrNo #0
MOV.D #4000 stM.udiErrNo</v>
      </c>
      <c r="AV8" t="str">
        <f>IF(LEN(AU8),AU8&amp;CHAR(10),"")&amp;IF(LEN(AR8),AR8,"")</f>
        <v xml:space="preserve">LDP stEx400.x2
AND=.D stM.udiErrNo #0
MOV.D #4000 stM.udiErrNo
</v>
      </c>
      <c r="AW8" t="str">
        <f>AV8</f>
        <v xml:space="preserve">LDP stEx400.x2
AND=.D stM.udiErrNo #0
MOV.D #4000 stM.udiErrNo
</v>
      </c>
      <c r="AY8" t="str">
        <f ca="1">IF($AM8="●",AT8&amp;CHAR(10)&amp;"BOX_ST"&amp;CHAR(10)&amp;";//"&amp;$B$10,"")</f>
        <v>LDP stEx400.x2
AND=.D stM.udiErrNo #0
BOX_ST
;//このスクリプトは C:\tk\prj\hg-0025-0016\git\kv-x520\doc\[kv_script_exe_errno.xlsm]info_script によって生成されました。</v>
      </c>
      <c r="AZ8" t="str">
        <f ca="1">IF($AM8="●",IF(LEN(AY8),AY8&amp;CHAR(10),"")&amp;";//エラーNo.を入れる"&amp;CHAR(10)&amp;";"&amp;$B$15&amp;"	:= "&amp;AN8&amp;";","")</f>
        <v>LDP stEx400.x2
AND=.D stM.udiErrNo #0
BOX_ST
;//このスクリプトは C:\tk\prj\hg-0025-0016\git\kv-x520\doc\[kv_script_exe_errno.xlsm]info_script によって生成されました。
;//エラーNo.を入れる
;stM.udiErrNo	:= 4000;</v>
      </c>
      <c r="BA8" t="str">
        <f ca="1">IF($AM8="●",IF(LEN(AZ8),AZ8&amp;CHAR(10),"")&amp;";//カウントする"&amp;CHAR(10)&amp;";"&amp;$B$16&amp;"	:= "&amp;$B$16&amp;" + 1;","")</f>
        <v>LDP stEx400.x2
AND=.D stM.udiErrNo #0
BOX_ST
;//このスクリプトは C:\tk\prj\hg-0025-0016\git\kv-x520\doc\[kv_script_exe_errno.xlsm]info_script によって生成されました。
;//エラーNo.を入れる
;stM.udiErrNo	:= 4000;
;//カウントする
;stM.uiEDCnt	:= stM.uiEDCnt + 1;</v>
      </c>
      <c r="BB8" t="str">
        <f ca="1">IF($AM8="●",IF(LEN(BA8),BA8&amp;CHAR(10),"")&amp;IF(LEN(AK8),";//エラーコードを入れる"&amp;CHAR(10)&amp;";"&amp;$B$17&amp;"	:= "&amp;AK8&amp;".udiErr;",""),"")</f>
        <v xml:space="preserve">LDP stEx400.x2
AND=.D stM.udiErrNo #0
BOX_ST
;//このスクリプトは C:\tk\prj\hg-0025-0016\git\kv-x520\doc\[kv_script_exe_errno.xlsm]info_script によって生成されました。
;//エラーNo.を入れる
;stM.udiErrNo	:= 4000;
;//カウントする
;stM.uiEDCnt	:= stM.uiEDCnt + 1;
</v>
      </c>
      <c r="BC8" t="str">
        <f ca="1">IF($AM8="●",IF(LEN(BB8),BB8&amp;CHAR(10),"")&amp;";//"&amp;$B$11,"")</f>
        <v>LDP stEx400.x2
AND=.D stM.udiErrNo #0
BOX_ST
;//このスクリプトは C:\tk\prj\hg-0025-0016\git\kv-x520\doc\[kv_script_exe_errno.xlsm]info_script によって生成されました。
;//エラーNo.を入れる
;stM.udiErrNo	:= 4000;
;//カウントする
;stM.uiEDCnt	:= stM.uiEDCnt + 1;
;//-----ここまで生成script-----</v>
      </c>
      <c r="BE8">
        <f>INT(D8/$BE$6)</f>
        <v>0</v>
      </c>
      <c r="BF8">
        <f>MOD(D8,$BE$6)</f>
        <v>0</v>
      </c>
      <c r="BG8" t="str">
        <f>IF(LEN(E8),E8&amp;".x"&amp;TEXT(BF8,"0")&amp;CHAR(9)&amp;" := FALSE;","")</f>
        <v>stEx400.x0	 := FALSE;</v>
      </c>
      <c r="BH8" t="str">
        <f>IF(LEN(BG8),BG8&amp;CHAR(10),"")</f>
        <v xml:space="preserve">stEx400.x0	 := FALSE;
</v>
      </c>
    </row>
    <row r="9" spans="1:60" x14ac:dyDescent="0.55000000000000004">
      <c r="D9">
        <v>1</v>
      </c>
      <c r="E9" t="str">
        <f>IF(LEN(I9),I9,IF(LEN(Q9),Q9,""))</f>
        <v>stEx401</v>
      </c>
      <c r="F9" t="str">
        <f>IF(LEN(J9),J9,IF(LEN(R9),R9,""))</f>
        <v>EXE_DIREC</v>
      </c>
      <c r="G9" t="str">
        <f>IF(LEN(O9),O9,IF(LEN(X9),X9,""))</f>
        <v>△●U02波板 巻き動作</v>
      </c>
      <c r="I9" s="3"/>
      <c r="Q9" t="s">
        <v>37</v>
      </c>
      <c r="R9" t="s">
        <v>0</v>
      </c>
      <c r="U9" t="b">
        <v>0</v>
      </c>
      <c r="V9" t="b">
        <v>0</v>
      </c>
      <c r="W9" t="b">
        <v>0</v>
      </c>
      <c r="X9" t="s">
        <v>38</v>
      </c>
      <c r="Z9" t="str">
        <f t="shared" ref="Z9:Z72" si="5">IF(COUNTIF($G9,"*"&amp;Z$7&amp;"*"),INT(MID($G9,FIND(Z$7,$G9)+LEN(Z$7)+1,2)),"")</f>
        <v/>
      </c>
      <c r="AA9" t="str">
        <f t="shared" ref="AA9:AC72" si="6">IF(COUNTIF($G9,"*"&amp;AA$7&amp;"*"),INT(MID($G9,FIND(AA$7,$G9)+LEN(AA$7),2)),"")</f>
        <v/>
      </c>
      <c r="AB9" t="str">
        <f t="shared" si="6"/>
        <v/>
      </c>
      <c r="AC9" t="str">
        <f t="shared" si="6"/>
        <v/>
      </c>
      <c r="AD9" t="str">
        <f t="shared" ref="AD9:AF40" si="7">IF(AND(LEN($Z9),AD$2&lt;=$Z9,$Z9&lt;=AD$3),AD$7&amp;"["&amp;$Z9-AD$2&amp;"]","")</f>
        <v/>
      </c>
      <c r="AE9" t="str">
        <f t="shared" si="2"/>
        <v/>
      </c>
      <c r="AF9" t="str">
        <f t="shared" ref="AF9:AF72" si="8">IF(AND(LEN($Z9),AF$2&lt;=$Z9,$Z9&lt;=AF$3),AF$7&amp;"["&amp;$Z9-AF$2&amp;"]",IF(AND(LEN($Z9),AF$4&lt;=$Z9,$Z9&lt;=AF$5),AF$7&amp;"["&amp;AF$3+$Z9-AF$4-AF$2+1&amp;"]",""))</f>
        <v/>
      </c>
      <c r="AG9" t="str">
        <f t="shared" ref="AF9:AG72" si="9">IF(AND(LEN($Z9),AG$2&lt;=$Z9,$Z9&lt;=AG$3),AG$7&amp;"["&amp;$Z9-AG$2&amp;"]",IF(AND(LEN($Z9),AG$4&lt;=$Z9,$Z9&lt;=AG$5),AG$7&amp;"["&amp;AG$3+$Z9-AG$4&amp;"]",""))</f>
        <v/>
      </c>
      <c r="AH9" t="str">
        <f t="shared" ref="AH9:AH72" si="10">IF(AND(LEN($AA9),AH$2&lt;=$AA9,$AA9&lt;=AH$3),AH$7&amp;"["&amp;$AA9-AH$2&amp;"]","")</f>
        <v/>
      </c>
      <c r="AI9" t="str">
        <f t="shared" ref="AI9:AJ72" si="11">IF(AND(LEN($AB9),AI$2&lt;=$AB9,$AB9&lt;=AI$3),AI$7&amp;"["&amp;$AB9-AI$2&amp;"]","")</f>
        <v/>
      </c>
      <c r="AJ9" t="str">
        <f t="shared" ref="AJ9:AJ72" si="12">IF(AND(LEN($AC9),AJ$2&lt;=$AC9,$AC9&lt;=AJ$3),AJ$7&amp;$AC9-AJ$2&amp;"Out","")</f>
        <v/>
      </c>
      <c r="AK9" t="str">
        <f t="shared" ref="AK9:AK72" si="13">IF(LEN(_xlfn.CONCAT(AD9:AJ9)),_xlfn.CONCAT(AD9:AJ9),"")</f>
        <v/>
      </c>
      <c r="AM9" t="str">
        <f>IF(LEN(G9),IF(OR(COUNTIF(G9,"*◆*"),COUNTIF(G9,"*▼*"),COUNTIF(G9,"*■*")),"","●"),"")</f>
        <v>●</v>
      </c>
      <c r="AN9">
        <f>IF(AM9="●",(AN$4+MOD(INT(MID(E9,5,3)),AN$2))*AN$6,"")</f>
        <v>4010</v>
      </c>
      <c r="AO9" t="str">
        <f>IF($AM9="●","LDP "&amp;E9&amp;"."&amp;$B$14,"")</f>
        <v>LDP stEx401.x2</v>
      </c>
      <c r="AP9" t="str">
        <f>IF($AM9="●","AND=.D "&amp;$B$15&amp;" #0","")</f>
        <v>AND=.D stM.udiErrNo #0</v>
      </c>
      <c r="AQ9" t="str">
        <f>IF($AM9="●","MOV.D #"&amp;AN9&amp;" "&amp;$B$15,"")</f>
        <v>MOV.D #4010 stM.udiErrNo</v>
      </c>
      <c r="AR9" t="str">
        <f>IF(LEN(AK9),"MOV.D "&amp;$AK9&amp;" "&amp;$B$17,"")</f>
        <v/>
      </c>
      <c r="AS9" t="str">
        <f>IF(AND(D9&lt;&gt;0,AM9="●"),CHAR(10),"")&amp;IF(LEN(AO9),AO9,"")</f>
        <v xml:space="preserve">
LDP stEx401.x2</v>
      </c>
      <c r="AT9" t="str">
        <f t="shared" si="3"/>
        <v xml:space="preserve">
LDP stEx401.x2
AND=.D stM.udiErrNo #0</v>
      </c>
      <c r="AU9" t="str">
        <f t="shared" si="4"/>
        <v xml:space="preserve">
LDP stEx401.x2
AND=.D stM.udiErrNo #0
MOV.D #4010 stM.udiErrNo</v>
      </c>
      <c r="AV9" t="str">
        <f t="shared" ref="AV9:AV72" si="14">IF(LEN(AU9),AU9&amp;CHAR(10),"")&amp;IF(LEN(AR9),AR9,"")</f>
        <v xml:space="preserve">
LDP stEx401.x2
AND=.D stM.udiErrNo #0
MOV.D #4010 stM.udiErrNo
</v>
      </c>
      <c r="AW9" t="str">
        <f t="shared" ref="AW9:AW72" si="15">AV9</f>
        <v xml:space="preserve">
LDP stEx401.x2
AND=.D stM.udiErrNo #0
MOV.D #4010 stM.udiErrNo
</v>
      </c>
      <c r="AY9" t="str">
        <f ca="1">IF($AM9="●",AT9&amp;CHAR(10)&amp;"BOX_ST"&amp;CHAR(10)&amp;";//"&amp;$B$10,"")</f>
        <v xml:space="preserve">
LDP stEx401.x2
AND=.D stM.udiErrNo #0
BOX_ST
;//このスクリプトは C:\tk\prj\hg-0025-0016\git\kv-x520\doc\[kv_script_exe_errno.xlsm]info_script によって生成されました。</v>
      </c>
      <c r="AZ9" t="str">
        <f ca="1">IF($AM9="●",IF(LEN(AY9),AY9&amp;CHAR(10),"")&amp;";//エラーNo.を入れる"&amp;CHAR(10)&amp;";"&amp;$B$15&amp;"	:= "&amp;AN9&amp;";","")</f>
        <v xml:space="preserve">
LDP stEx401.x2
AND=.D stM.udiErrNo #0
BOX_ST
;//このスクリプトは C:\tk\prj\hg-0025-0016\git\kv-x520\doc\[kv_script_exe_errno.xlsm]info_script によって生成されました。
;//エラーNo.を入れる
;stM.udiErrNo	:= 4010;</v>
      </c>
      <c r="BA9" t="str">
        <f ca="1">IF($AM9="●",IF(LEN(AZ9),AZ9&amp;CHAR(10),"")&amp;";//カウントする"&amp;CHAR(10)&amp;";"&amp;$B$16&amp;"	:= "&amp;$B$16&amp;" + 1;","")</f>
        <v xml:space="preserve">
LDP stEx401.x2
AND=.D stM.udiErrNo #0
BOX_ST
;//このスクリプトは C:\tk\prj\hg-0025-0016\git\kv-x520\doc\[kv_script_exe_errno.xlsm]info_script によって生成されました。
;//エラーNo.を入れる
;stM.udiErrNo	:= 4010;
;//カウントする
;stM.uiEDCnt	:= stM.uiEDCnt + 1;</v>
      </c>
      <c r="BB9" t="str">
        <f ca="1">IF($AM9="●",IF(LEN(BA9),BA9&amp;CHAR(10),"")&amp;IF(LEN(AK9),";//エラーコードを入れる"&amp;CHAR(10)&amp;";"&amp;$B$17&amp;"	:= "&amp;AK9&amp;".udiErr;",""),"")</f>
        <v xml:space="preserve">
LDP stEx401.x2
AND=.D stM.udiErrNo #0
BOX_ST
;//このスクリプトは C:\tk\prj\hg-0025-0016\git\kv-x520\doc\[kv_script_exe_errno.xlsm]info_script によって生成されました。
;//エラーNo.を入れる
;stM.udiErrNo	:= 4010;
;//カウントする
;stM.uiEDCnt	:= stM.uiEDCnt + 1;
</v>
      </c>
      <c r="BC9" t="str">
        <f ca="1">IF($AM9="●",IF(LEN(BB9),BB9&amp;CHAR(10),"")&amp;";//"&amp;$B$11,"")</f>
        <v xml:space="preserve">
LDP stEx401.x2
AND=.D stM.udiErrNo #0
BOX_ST
;//このスクリプトは C:\tk\prj\hg-0025-0016\git\kv-x520\doc\[kv_script_exe_errno.xlsm]info_script によって生成されました。
;//エラーNo.を入れる
;stM.udiErrNo	:= 4010;
;//カウントする
;stM.uiEDCnt	:= stM.uiEDCnt + 1;
;//-----ここまで生成script-----</v>
      </c>
      <c r="BE9">
        <f>INT(D9/$BE$6)</f>
        <v>0</v>
      </c>
      <c r="BF9">
        <f>MOD(D9,$BE$6)</f>
        <v>1</v>
      </c>
      <c r="BG9" t="str">
        <f>IF(LEN(E9),E9&amp;".x"&amp;TEXT(BF9,"0")&amp;CHAR(9)&amp;" := FALSE;","")</f>
        <v>stEx401.x1	 := FALSE;</v>
      </c>
      <c r="BH9" t="str">
        <f t="shared" ref="BH9:BH72" si="16">IF(LEN(BG9),BG9&amp;CHAR(10),"")</f>
        <v xml:space="preserve">stEx401.x1	 := FALSE;
</v>
      </c>
    </row>
    <row r="10" spans="1:60" x14ac:dyDescent="0.55000000000000004">
      <c r="A10" t="s">
        <v>8</v>
      </c>
      <c r="B10" t="str">
        <f ca="1">"このスクリプトは "&amp;B8&amp;" によって生成されました。"</f>
        <v>このスクリプトは C:\tk\prj\hg-0025-0016\git\kv-x520\doc\[kv_script_exe_errno.xlsm]info_script によって生成されました。</v>
      </c>
      <c r="D10">
        <v>2</v>
      </c>
      <c r="E10" t="str">
        <f>IF(LEN(I10),I10,IF(LEN(Q10),Q10,""))</f>
        <v>stEx402</v>
      </c>
      <c r="F10" t="str">
        <f>IF(LEN(J10),J10,IF(LEN(R10),R10,""))</f>
        <v>EXE_DIREC</v>
      </c>
      <c r="G10" t="str">
        <f>IF(LEN(O10),O10,IF(LEN(X10),X10,""))</f>
        <v>△●U05溶接 押え</v>
      </c>
      <c r="Q10" t="s">
        <v>39</v>
      </c>
      <c r="R10" t="s">
        <v>0</v>
      </c>
      <c r="U10" t="b">
        <v>0</v>
      </c>
      <c r="V10" t="b">
        <v>0</v>
      </c>
      <c r="W10" t="b">
        <v>0</v>
      </c>
      <c r="X10" t="s">
        <v>40</v>
      </c>
      <c r="Z10" t="str">
        <f t="shared" si="5"/>
        <v/>
      </c>
      <c r="AA10" t="str">
        <f t="shared" si="6"/>
        <v/>
      </c>
      <c r="AB10" t="str">
        <f t="shared" si="6"/>
        <v/>
      </c>
      <c r="AC10" t="str">
        <f t="shared" si="6"/>
        <v/>
      </c>
      <c r="AD10" t="str">
        <f t="shared" si="7"/>
        <v/>
      </c>
      <c r="AE10" t="str">
        <f t="shared" si="2"/>
        <v/>
      </c>
      <c r="AF10" t="str">
        <f t="shared" si="8"/>
        <v/>
      </c>
      <c r="AG10" t="str">
        <f t="shared" si="9"/>
        <v/>
      </c>
      <c r="AH10" t="str">
        <f t="shared" si="10"/>
        <v/>
      </c>
      <c r="AI10" t="str">
        <f t="shared" si="11"/>
        <v/>
      </c>
      <c r="AJ10" t="str">
        <f t="shared" si="12"/>
        <v/>
      </c>
      <c r="AK10" t="str">
        <f t="shared" si="13"/>
        <v/>
      </c>
      <c r="AM10" t="str">
        <f>IF(LEN(G10),IF(OR(COUNTIF(G10,"*◆*"),COUNTIF(G10,"*▼*"),COUNTIF(G10,"*■*")),"","●"),"")</f>
        <v>●</v>
      </c>
      <c r="AN10">
        <f>IF(AM10="●",(AN$4+MOD(INT(MID(E10,5,3)),AN$2))*AN$6,"")</f>
        <v>4020</v>
      </c>
      <c r="AO10" t="str">
        <f>IF($AM10="●","LDP "&amp;E10&amp;"."&amp;$B$14,"")</f>
        <v>LDP stEx402.x2</v>
      </c>
      <c r="AP10" t="str">
        <f>IF($AM10="●","AND=.D "&amp;$B$15&amp;" #0","")</f>
        <v>AND=.D stM.udiErrNo #0</v>
      </c>
      <c r="AQ10" t="str">
        <f>IF($AM10="●","MOV.D #"&amp;AN10&amp;" "&amp;$B$15,"")</f>
        <v>MOV.D #4020 stM.udiErrNo</v>
      </c>
      <c r="AR10" t="str">
        <f>IF(LEN(AK10),"MOV.D "&amp;$AK10&amp;" "&amp;$B$17,"")</f>
        <v/>
      </c>
      <c r="AS10" t="str">
        <f>IF(AND(D10&lt;&gt;0,AM10="●"),CHAR(10),"")&amp;IF(LEN(AO10),AO10,"")</f>
        <v xml:space="preserve">
LDP stEx402.x2</v>
      </c>
      <c r="AT10" t="str">
        <f t="shared" si="3"/>
        <v xml:space="preserve">
LDP stEx402.x2
AND=.D stM.udiErrNo #0</v>
      </c>
      <c r="AU10" t="str">
        <f t="shared" si="4"/>
        <v xml:space="preserve">
LDP stEx402.x2
AND=.D stM.udiErrNo #0
MOV.D #4020 stM.udiErrNo</v>
      </c>
      <c r="AV10" t="str">
        <f t="shared" si="14"/>
        <v xml:space="preserve">
LDP stEx402.x2
AND=.D stM.udiErrNo #0
MOV.D #4020 stM.udiErrNo
</v>
      </c>
      <c r="AW10" t="str">
        <f t="shared" si="15"/>
        <v xml:space="preserve">
LDP stEx402.x2
AND=.D stM.udiErrNo #0
MOV.D #4020 stM.udiErrNo
</v>
      </c>
      <c r="AY10" t="str">
        <f ca="1">IF($AM10="●",AT10&amp;CHAR(10)&amp;"BOX_ST"&amp;CHAR(10)&amp;";//"&amp;$B$10,"")</f>
        <v xml:space="preserve">
LDP stEx402.x2
AND=.D stM.udiErrNo #0
BOX_ST
;//このスクリプトは C:\tk\prj\hg-0025-0016\git\kv-x520\doc\[kv_script_exe_errno.xlsm]info_script によって生成されました。</v>
      </c>
      <c r="AZ10" t="str">
        <f ca="1">IF($AM10="●",IF(LEN(AY10),AY10&amp;CHAR(10),"")&amp;";//エラーNo.を入れる"&amp;CHAR(10)&amp;";"&amp;$B$15&amp;"	:= "&amp;AN10&amp;";","")</f>
        <v xml:space="preserve">
LDP stEx402.x2
AND=.D stM.udiErrNo #0
BOX_ST
;//このスクリプトは C:\tk\prj\hg-0025-0016\git\kv-x520\doc\[kv_script_exe_errno.xlsm]info_script によって生成されました。
;//エラーNo.を入れる
;stM.udiErrNo	:= 4020;</v>
      </c>
      <c r="BA10" t="str">
        <f ca="1">IF($AM10="●",IF(LEN(AZ10),AZ10&amp;CHAR(10),"")&amp;";//カウントする"&amp;CHAR(10)&amp;";"&amp;$B$16&amp;"	:= "&amp;$B$16&amp;" + 1;","")</f>
        <v xml:space="preserve">
LDP stEx402.x2
AND=.D stM.udiErrNo #0
BOX_ST
;//このスクリプトは C:\tk\prj\hg-0025-0016\git\kv-x520\doc\[kv_script_exe_errno.xlsm]info_script によって生成されました。
;//エラーNo.を入れる
;stM.udiErrNo	:= 4020;
;//カウントする
;stM.uiEDCnt	:= stM.uiEDCnt + 1;</v>
      </c>
      <c r="BB10" t="str">
        <f ca="1">IF($AM10="●",IF(LEN(BA10),BA10&amp;CHAR(10),"")&amp;IF(LEN(AK10),";//エラーコードを入れる"&amp;CHAR(10)&amp;";"&amp;$B$17&amp;"	:= "&amp;AK10&amp;".udiErr;",""),"")</f>
        <v xml:space="preserve">
LDP stEx402.x2
AND=.D stM.udiErrNo #0
BOX_ST
;//このスクリプトは C:\tk\prj\hg-0025-0016\git\kv-x520\doc\[kv_script_exe_errno.xlsm]info_script によって生成されました。
;//エラーNo.を入れる
;stM.udiErrNo	:= 4020;
;//カウントする
;stM.uiEDCnt	:= stM.uiEDCnt + 1;
</v>
      </c>
      <c r="BC10" t="str">
        <f ca="1">IF($AM10="●",IF(LEN(BB10),BB10&amp;CHAR(10),"")&amp;";//"&amp;$B$11,"")</f>
        <v xml:space="preserve">
LDP stEx402.x2
AND=.D stM.udiErrNo #0
BOX_ST
;//このスクリプトは C:\tk\prj\hg-0025-0016\git\kv-x520\doc\[kv_script_exe_errno.xlsm]info_script によって生成されました。
;//エラーNo.を入れる
;stM.udiErrNo	:= 4020;
;//カウントする
;stM.uiEDCnt	:= stM.uiEDCnt + 1;
;//-----ここまで生成script-----</v>
      </c>
      <c r="BE10">
        <f>INT(D10/$BE$6)</f>
        <v>0</v>
      </c>
      <c r="BF10">
        <f>MOD(D10,$BE$6)</f>
        <v>2</v>
      </c>
      <c r="BG10" t="str">
        <f>IF(LEN(E10),E10&amp;".x"&amp;TEXT(BF10,"0")&amp;CHAR(9)&amp;" := FALSE;","")</f>
        <v>stEx402.x2	 := FALSE;</v>
      </c>
      <c r="BH10" t="str">
        <f t="shared" si="16"/>
        <v xml:space="preserve">stEx402.x2	 := FALSE;
</v>
      </c>
    </row>
    <row r="11" spans="1:60" x14ac:dyDescent="0.55000000000000004">
      <c r="A11" t="s">
        <v>9</v>
      </c>
      <c r="B11" t="s">
        <v>10</v>
      </c>
      <c r="D11">
        <v>3</v>
      </c>
      <c r="E11" t="str">
        <f>IF(LEN(I11),I11,IF(LEN(Q11),Q11,""))</f>
        <v>stEx403</v>
      </c>
      <c r="F11" t="str">
        <f>IF(LEN(J11),J11,IF(LEN(R11),R11,""))</f>
        <v>EXE_DIREC</v>
      </c>
      <c r="G11" t="str">
        <f>IF(LEN(O11),O11,IF(LEN(X11),X11,""))</f>
        <v>△◆平板押え 上昇有無</v>
      </c>
      <c r="Q11" t="s">
        <v>41</v>
      </c>
      <c r="R11" t="s">
        <v>0</v>
      </c>
      <c r="U11" t="b">
        <v>0</v>
      </c>
      <c r="V11" t="b">
        <v>0</v>
      </c>
      <c r="W11" t="b">
        <v>0</v>
      </c>
      <c r="X11" t="s">
        <v>42</v>
      </c>
      <c r="Z11" t="str">
        <f t="shared" si="5"/>
        <v/>
      </c>
      <c r="AA11" t="str">
        <f t="shared" si="6"/>
        <v/>
      </c>
      <c r="AB11" t="str">
        <f t="shared" si="6"/>
        <v/>
      </c>
      <c r="AC11" t="str">
        <f t="shared" si="6"/>
        <v/>
      </c>
      <c r="AD11" t="str">
        <f t="shared" si="7"/>
        <v/>
      </c>
      <c r="AE11" t="str">
        <f t="shared" si="2"/>
        <v/>
      </c>
      <c r="AF11" t="str">
        <f t="shared" si="8"/>
        <v/>
      </c>
      <c r="AG11" t="str">
        <f t="shared" si="9"/>
        <v/>
      </c>
      <c r="AH11" t="str">
        <f t="shared" si="10"/>
        <v/>
      </c>
      <c r="AI11" t="str">
        <f t="shared" si="11"/>
        <v/>
      </c>
      <c r="AJ11" t="str">
        <f t="shared" si="12"/>
        <v/>
      </c>
      <c r="AK11" t="str">
        <f t="shared" si="13"/>
        <v/>
      </c>
      <c r="AM11" t="str">
        <f>IF(LEN(G11),IF(OR(COUNTIF(G11,"*◆*"),COUNTIF(G11,"*▼*"),COUNTIF(G11,"*■*")),"","●"),"")</f>
        <v/>
      </c>
      <c r="AN11" t="str">
        <f>IF(AM11="●",(AN$4+MOD(INT(MID(E11,5,3)),AN$2))*AN$6,"")</f>
        <v/>
      </c>
      <c r="AO11" t="str">
        <f>IF($AM11="●","LDP "&amp;E11&amp;"."&amp;$B$14,"")</f>
        <v/>
      </c>
      <c r="AP11" t="str">
        <f>IF($AM11="●","AND=.D "&amp;$B$15&amp;" #0","")</f>
        <v/>
      </c>
      <c r="AQ11" t="str">
        <f>IF($AM11="●","MOV.D #"&amp;AN11&amp;" "&amp;$B$15,"")</f>
        <v/>
      </c>
      <c r="AR11" t="str">
        <f>IF(LEN(AK11),"MOV.D "&amp;$AK11&amp;" "&amp;$B$17,"")</f>
        <v/>
      </c>
      <c r="AS11" t="str">
        <f>IF(AND(D11&lt;&gt;0,AM11="●"),CHAR(10),"")&amp;IF(LEN(AO11),AO11,"")</f>
        <v/>
      </c>
      <c r="AT11" t="str">
        <f t="shared" si="3"/>
        <v/>
      </c>
      <c r="AU11" t="str">
        <f t="shared" si="4"/>
        <v/>
      </c>
      <c r="AV11" t="str">
        <f t="shared" si="14"/>
        <v/>
      </c>
      <c r="AW11" t="str">
        <f t="shared" si="15"/>
        <v/>
      </c>
      <c r="AY11" t="str">
        <f>IF($AM11="●",AT11&amp;CHAR(10)&amp;"BOX_ST"&amp;CHAR(10)&amp;";//"&amp;$B$10,"")</f>
        <v/>
      </c>
      <c r="AZ11" t="str">
        <f>IF($AM11="●",IF(LEN(AY11),AY11&amp;CHAR(10),"")&amp;";//エラーNo.を入れる"&amp;CHAR(10)&amp;";"&amp;$B$15&amp;"	:= "&amp;AN11&amp;";","")</f>
        <v/>
      </c>
      <c r="BA11" t="str">
        <f>IF($AM11="●",IF(LEN(AZ11),AZ11&amp;CHAR(10),"")&amp;";//カウントする"&amp;CHAR(10)&amp;";"&amp;$B$16&amp;"	:= "&amp;$B$16&amp;" + 1;","")</f>
        <v/>
      </c>
      <c r="BB11" t="str">
        <f>IF($AM11="●",IF(LEN(BA11),BA11&amp;CHAR(10),"")&amp;IF(LEN(AK11),";//エラーコードを入れる"&amp;CHAR(10)&amp;";"&amp;$B$17&amp;"	:= "&amp;AK11&amp;".udiErr;",""),"")</f>
        <v/>
      </c>
      <c r="BC11" t="str">
        <f>IF($AM11="●",IF(LEN(BB11),BB11&amp;CHAR(10),"")&amp;";//"&amp;$B$11,"")</f>
        <v/>
      </c>
      <c r="BE11">
        <f>INT(D11/$BE$6)</f>
        <v>1</v>
      </c>
      <c r="BF11">
        <f>MOD(D11,$BE$6)</f>
        <v>0</v>
      </c>
      <c r="BG11" t="str">
        <f>IF(LEN(E11),E11&amp;".x"&amp;TEXT(BF11,"0")&amp;CHAR(9)&amp;" := FALSE;","")</f>
        <v>stEx403.x0	 := FALSE;</v>
      </c>
      <c r="BH11" t="str">
        <f t="shared" si="16"/>
        <v xml:space="preserve">stEx403.x0	 := FALSE;
</v>
      </c>
    </row>
    <row r="12" spans="1:60" x14ac:dyDescent="0.55000000000000004">
      <c r="D12">
        <v>4</v>
      </c>
      <c r="E12" t="str">
        <f>IF(LEN(I12),I12,IF(LEN(Q12),Q12,""))</f>
        <v>stEx404</v>
      </c>
      <c r="F12" t="str">
        <f>IF(LEN(J12),J12,IF(LEN(R12),R12,""))</f>
        <v>EXE_DIREC</v>
      </c>
      <c r="G12" t="str">
        <f>IF(LEN(O12),O12,IF(LEN(X12),X12,""))</f>
        <v>&gt;●CYL07平板押え 上昇</v>
      </c>
      <c r="Q12" t="s">
        <v>43</v>
      </c>
      <c r="R12" t="s">
        <v>0</v>
      </c>
      <c r="U12" t="b">
        <v>0</v>
      </c>
      <c r="V12" t="b">
        <v>0</v>
      </c>
      <c r="W12" t="b">
        <v>0</v>
      </c>
      <c r="X12" t="s">
        <v>44</v>
      </c>
      <c r="Z12" t="str">
        <f t="shared" si="5"/>
        <v/>
      </c>
      <c r="AA12">
        <f t="shared" si="6"/>
        <v>7</v>
      </c>
      <c r="AB12" t="str">
        <f t="shared" si="6"/>
        <v/>
      </c>
      <c r="AC12" t="str">
        <f t="shared" si="6"/>
        <v/>
      </c>
      <c r="AD12" t="str">
        <f t="shared" si="7"/>
        <v/>
      </c>
      <c r="AE12" t="str">
        <f t="shared" si="2"/>
        <v/>
      </c>
      <c r="AF12" t="str">
        <f t="shared" si="8"/>
        <v/>
      </c>
      <c r="AG12" t="str">
        <f t="shared" si="9"/>
        <v/>
      </c>
      <c r="AH12" t="str">
        <f t="shared" si="10"/>
        <v>stDevIn.astCYL[6]</v>
      </c>
      <c r="AI12" t="str">
        <f t="shared" si="11"/>
        <v/>
      </c>
      <c r="AJ12" t="str">
        <f t="shared" si="12"/>
        <v/>
      </c>
      <c r="AK12" t="str">
        <f t="shared" si="13"/>
        <v>stDevIn.astCYL[6]</v>
      </c>
      <c r="AM12" t="str">
        <f>IF(LEN(G12),IF(OR(COUNTIF(G12,"*◆*"),COUNTIF(G12,"*▼*"),COUNTIF(G12,"*■*")),"","●"),"")</f>
        <v>●</v>
      </c>
      <c r="AN12">
        <f>IF(AM12="●",(AN$4+MOD(INT(MID(E12,5,3)),AN$2))*AN$6,"")</f>
        <v>4040</v>
      </c>
      <c r="AO12" t="str">
        <f>IF($AM12="●","LDP "&amp;E12&amp;"."&amp;$B$14,"")</f>
        <v>LDP stEx404.x2</v>
      </c>
      <c r="AP12" t="str">
        <f>IF($AM12="●","AND=.D "&amp;$B$15&amp;" #0","")</f>
        <v>AND=.D stM.udiErrNo #0</v>
      </c>
      <c r="AQ12" t="str">
        <f>IF($AM12="●","MOV.D #"&amp;AN12&amp;" "&amp;$B$15,"")</f>
        <v>MOV.D #4040 stM.udiErrNo</v>
      </c>
      <c r="AR12" t="str">
        <f>IF(LEN(AK12),"MOV.D "&amp;$AK12&amp;" "&amp;$B$17,"")</f>
        <v>MOV.D stDevIn.astCYL[6] stM.udiSubErr</v>
      </c>
      <c r="AS12" t="str">
        <f>IF(AND(D12&lt;&gt;0,AM12="●"),CHAR(10),"")&amp;IF(LEN(AO12),AO12,"")</f>
        <v xml:space="preserve">
LDP stEx404.x2</v>
      </c>
      <c r="AT12" t="str">
        <f t="shared" si="3"/>
        <v xml:space="preserve">
LDP stEx404.x2
AND=.D stM.udiErrNo #0</v>
      </c>
      <c r="AU12" t="str">
        <f t="shared" si="4"/>
        <v xml:space="preserve">
LDP stEx404.x2
AND=.D stM.udiErrNo #0
MOV.D #4040 stM.udiErrNo</v>
      </c>
      <c r="AV12" t="str">
        <f t="shared" si="14"/>
        <v xml:space="preserve">
LDP stEx404.x2
AND=.D stM.udiErrNo #0
MOV.D #4040 stM.udiErrNo
MOV.D stDevIn.astCYL[6] stM.udiSubErr</v>
      </c>
      <c r="AW12" t="str">
        <f t="shared" si="15"/>
        <v xml:space="preserve">
LDP stEx404.x2
AND=.D stM.udiErrNo #0
MOV.D #4040 stM.udiErrNo
MOV.D stDevIn.astCYL[6] stM.udiSubErr</v>
      </c>
      <c r="AY12" t="str">
        <f ca="1">IF($AM12="●",AT12&amp;CHAR(10)&amp;"BOX_ST"&amp;CHAR(10)&amp;";//"&amp;$B$10,"")</f>
        <v xml:space="preserve">
LDP stEx404.x2
AND=.D stM.udiErrNo #0
BOX_ST
;//このスクリプトは C:\tk\prj\hg-0025-0016\git\kv-x520\doc\[kv_script_exe_errno.xlsm]info_script によって生成されました。</v>
      </c>
      <c r="AZ12" t="str">
        <f ca="1">IF($AM12="●",IF(LEN(AY12),AY12&amp;CHAR(10),"")&amp;";//エラーNo.を入れる"&amp;CHAR(10)&amp;";"&amp;$B$15&amp;"	:= "&amp;AN12&amp;";","")</f>
        <v xml:space="preserve">
LDP stEx404.x2
AND=.D stM.udiErrNo #0
BOX_ST
;//このスクリプトは C:\tk\prj\hg-0025-0016\git\kv-x520\doc\[kv_script_exe_errno.xlsm]info_script によって生成されました。
;//エラーNo.を入れる
;stM.udiErrNo	:= 4040;</v>
      </c>
      <c r="BA12" t="str">
        <f ca="1">IF($AM12="●",IF(LEN(AZ12),AZ12&amp;CHAR(10),"")&amp;";//カウントする"&amp;CHAR(10)&amp;";"&amp;$B$16&amp;"	:= "&amp;$B$16&amp;" + 1;","")</f>
        <v xml:space="preserve">
LDP stEx404.x2
AND=.D stM.udiErrNo #0
BOX_ST
;//このスクリプトは C:\tk\prj\hg-0025-0016\git\kv-x520\doc\[kv_script_exe_errno.xlsm]info_script によって生成されました。
;//エラーNo.を入れる
;stM.udiErrNo	:= 4040;
;//カウントする
;stM.uiEDCnt	:= stM.uiEDCnt + 1;</v>
      </c>
      <c r="BB12" t="str">
        <f ca="1">IF($AM12="●",IF(LEN(BA12),BA12&amp;CHAR(10),"")&amp;IF(LEN(AK12),";//エラーコードを入れる"&amp;CHAR(10)&amp;";"&amp;$B$17&amp;"	:= "&amp;AK12&amp;".udiErr;",""),"")</f>
        <v xml:space="preserve">
LDP stEx404.x2
AND=.D stM.udiErrNo #0
BOX_ST
;//このスクリプトは C:\tk\prj\hg-0025-0016\git\kv-x520\doc\[kv_script_exe_errno.xlsm]info_script によって生成されました。
;//エラーNo.を入れる
;stM.udiErrNo	:= 4040;
;//カウントする
;stM.uiEDCnt	:= stM.uiEDCnt + 1;
;//エラーコードを入れる
;stM.udiSubErr	:= stDevIn.astCYL[6].udiErr;</v>
      </c>
      <c r="BC12" t="str">
        <f ca="1">IF($AM12="●",IF(LEN(BB12),BB12&amp;CHAR(10),"")&amp;";//"&amp;$B$11,"")</f>
        <v xml:space="preserve">
LDP stEx404.x2
AND=.D stM.udiErrNo #0
BOX_ST
;//このスクリプトは C:\tk\prj\hg-0025-0016\git\kv-x520\doc\[kv_script_exe_errno.xlsm]info_script によって生成されました。
;//エラーNo.を入れる
;stM.udiErrNo	:= 4040;
;//カウントする
;stM.uiEDCnt	:= stM.uiEDCnt + 1;
;//エラーコードを入れる
;stM.udiSubErr	:= stDevIn.astCYL[6].udiErr;
;//-----ここまで生成script-----</v>
      </c>
      <c r="BE12">
        <f>INT(D12/$BE$6)</f>
        <v>1</v>
      </c>
      <c r="BF12">
        <f>MOD(D12,$BE$6)</f>
        <v>1</v>
      </c>
      <c r="BG12" t="str">
        <f>IF(LEN(E12),E12&amp;".x"&amp;TEXT(BF12,"0")&amp;CHAR(9)&amp;" := FALSE;","")</f>
        <v>stEx404.x1	 := FALSE;</v>
      </c>
      <c r="BH12" t="str">
        <f t="shared" si="16"/>
        <v xml:space="preserve">stEx404.x1	 := FALSE;
</v>
      </c>
    </row>
    <row r="13" spans="1:60" x14ac:dyDescent="0.55000000000000004">
      <c r="D13">
        <v>5</v>
      </c>
      <c r="E13" t="str">
        <f>IF(LEN(I13),I13,IF(LEN(Q13),Q13,""))</f>
        <v>stEx405</v>
      </c>
      <c r="F13" t="str">
        <f>IF(LEN(J13),J13,IF(LEN(R13),R13,""))</f>
        <v>EXE_DIREC</v>
      </c>
      <c r="G13" t="str">
        <f>IF(LEN(O13),O13,IF(LEN(X13),X13,""))</f>
        <v>&gt;巻き締まり 待機</v>
      </c>
      <c r="Q13" t="s">
        <v>45</v>
      </c>
      <c r="R13" t="s">
        <v>0</v>
      </c>
      <c r="U13" t="b">
        <v>0</v>
      </c>
      <c r="V13" t="b">
        <v>0</v>
      </c>
      <c r="W13" t="b">
        <v>0</v>
      </c>
      <c r="X13" t="s">
        <v>46</v>
      </c>
      <c r="Z13" t="str">
        <f t="shared" si="5"/>
        <v/>
      </c>
      <c r="AA13" t="str">
        <f t="shared" si="6"/>
        <v/>
      </c>
      <c r="AB13" t="str">
        <f t="shared" si="6"/>
        <v/>
      </c>
      <c r="AC13" t="str">
        <f t="shared" si="6"/>
        <v/>
      </c>
      <c r="AD13" t="str">
        <f t="shared" si="7"/>
        <v/>
      </c>
      <c r="AE13" t="str">
        <f t="shared" si="2"/>
        <v/>
      </c>
      <c r="AF13" t="str">
        <f t="shared" si="8"/>
        <v/>
      </c>
      <c r="AG13" t="str">
        <f t="shared" si="9"/>
        <v/>
      </c>
      <c r="AH13" t="str">
        <f t="shared" si="10"/>
        <v/>
      </c>
      <c r="AI13" t="str">
        <f t="shared" si="11"/>
        <v/>
      </c>
      <c r="AJ13" t="str">
        <f t="shared" si="12"/>
        <v/>
      </c>
      <c r="AK13" t="str">
        <f t="shared" si="13"/>
        <v/>
      </c>
      <c r="AM13" t="str">
        <f>IF(LEN(G13),IF(OR(COUNTIF(G13,"*◆*"),COUNTIF(G13,"*▼*"),COUNTIF(G13,"*■*")),"","●"),"")</f>
        <v>●</v>
      </c>
      <c r="AN13">
        <f>IF(AM13="●",(AN$4+MOD(INT(MID(E13,5,3)),AN$2))*AN$6,"")</f>
        <v>4050</v>
      </c>
      <c r="AO13" t="str">
        <f>IF($AM13="●","LDP "&amp;E13&amp;"."&amp;$B$14,"")</f>
        <v>LDP stEx405.x2</v>
      </c>
      <c r="AP13" t="str">
        <f>IF($AM13="●","AND=.D "&amp;$B$15&amp;" #0","")</f>
        <v>AND=.D stM.udiErrNo #0</v>
      </c>
      <c r="AQ13" t="str">
        <f>IF($AM13="●","MOV.D #"&amp;AN13&amp;" "&amp;$B$15,"")</f>
        <v>MOV.D #4050 stM.udiErrNo</v>
      </c>
      <c r="AR13" t="str">
        <f>IF(LEN(AK13),"MOV.D "&amp;$AK13&amp;" "&amp;$B$17,"")</f>
        <v/>
      </c>
      <c r="AS13" t="str">
        <f>IF(AND(D13&lt;&gt;0,AM13="●"),CHAR(10),"")&amp;IF(LEN(AO13),AO13,"")</f>
        <v xml:space="preserve">
LDP stEx405.x2</v>
      </c>
      <c r="AT13" t="str">
        <f t="shared" si="3"/>
        <v xml:space="preserve">
LDP stEx405.x2
AND=.D stM.udiErrNo #0</v>
      </c>
      <c r="AU13" t="str">
        <f t="shared" si="4"/>
        <v xml:space="preserve">
LDP stEx405.x2
AND=.D stM.udiErrNo #0
MOV.D #4050 stM.udiErrNo</v>
      </c>
      <c r="AV13" t="str">
        <f t="shared" si="14"/>
        <v xml:space="preserve">
LDP stEx405.x2
AND=.D stM.udiErrNo #0
MOV.D #4050 stM.udiErrNo
</v>
      </c>
      <c r="AW13" t="str">
        <f t="shared" si="15"/>
        <v xml:space="preserve">
LDP stEx405.x2
AND=.D stM.udiErrNo #0
MOV.D #4050 stM.udiErrNo
</v>
      </c>
      <c r="AY13" t="str">
        <f ca="1">IF($AM13="●",AT13&amp;CHAR(10)&amp;"BOX_ST"&amp;CHAR(10)&amp;";//"&amp;$B$10,"")</f>
        <v xml:space="preserve">
LDP stEx405.x2
AND=.D stM.udiErrNo #0
BOX_ST
;//このスクリプトは C:\tk\prj\hg-0025-0016\git\kv-x520\doc\[kv_script_exe_errno.xlsm]info_script によって生成されました。</v>
      </c>
      <c r="AZ13" t="str">
        <f ca="1">IF($AM13="●",IF(LEN(AY13),AY13&amp;CHAR(10),"")&amp;";//エラーNo.を入れる"&amp;CHAR(10)&amp;";"&amp;$B$15&amp;"	:= "&amp;AN13&amp;";","")</f>
        <v xml:space="preserve">
LDP stEx405.x2
AND=.D stM.udiErrNo #0
BOX_ST
;//このスクリプトは C:\tk\prj\hg-0025-0016\git\kv-x520\doc\[kv_script_exe_errno.xlsm]info_script によって生成されました。
;//エラーNo.を入れる
;stM.udiErrNo	:= 4050;</v>
      </c>
      <c r="BA13" t="str">
        <f ca="1">IF($AM13="●",IF(LEN(AZ13),AZ13&amp;CHAR(10),"")&amp;";//カウントする"&amp;CHAR(10)&amp;";"&amp;$B$16&amp;"	:= "&amp;$B$16&amp;" + 1;","")</f>
        <v xml:space="preserve">
LDP stEx405.x2
AND=.D stM.udiErrNo #0
BOX_ST
;//このスクリプトは C:\tk\prj\hg-0025-0016\git\kv-x520\doc\[kv_script_exe_errno.xlsm]info_script によって生成されました。
;//エラーNo.を入れる
;stM.udiErrNo	:= 4050;
;//カウントする
;stM.uiEDCnt	:= stM.uiEDCnt + 1;</v>
      </c>
      <c r="BB13" t="str">
        <f ca="1">IF($AM13="●",IF(LEN(BA13),BA13&amp;CHAR(10),"")&amp;IF(LEN(AK13),";//エラーコードを入れる"&amp;CHAR(10)&amp;";"&amp;$B$17&amp;"	:= "&amp;AK13&amp;".udiErr;",""),"")</f>
        <v xml:space="preserve">
LDP stEx405.x2
AND=.D stM.udiErrNo #0
BOX_ST
;//このスクリプトは C:\tk\prj\hg-0025-0016\git\kv-x520\doc\[kv_script_exe_errno.xlsm]info_script によって生成されました。
;//エラーNo.を入れる
;stM.udiErrNo	:= 4050;
;//カウントする
;stM.uiEDCnt	:= stM.uiEDCnt + 1;
</v>
      </c>
      <c r="BC13" t="str">
        <f ca="1">IF($AM13="●",IF(LEN(BB13),BB13&amp;CHAR(10),"")&amp;";//"&amp;$B$11,"")</f>
        <v xml:space="preserve">
LDP stEx405.x2
AND=.D stM.udiErrNo #0
BOX_ST
;//このスクリプトは C:\tk\prj\hg-0025-0016\git\kv-x520\doc\[kv_script_exe_errno.xlsm]info_script によって生成されました。
;//エラーNo.を入れる
;stM.udiErrNo	:= 4050;
;//カウントする
;stM.uiEDCnt	:= stM.uiEDCnt + 1;
;//-----ここまで生成script-----</v>
      </c>
      <c r="BE13">
        <f>INT(D13/$BE$6)</f>
        <v>1</v>
      </c>
      <c r="BF13">
        <f>MOD(D13,$BE$6)</f>
        <v>2</v>
      </c>
      <c r="BG13" t="str">
        <f>IF(LEN(E13),E13&amp;".x"&amp;TEXT(BF13,"0")&amp;CHAR(9)&amp;" := FALSE;","")</f>
        <v>stEx405.x2	 := FALSE;</v>
      </c>
      <c r="BH13" t="str">
        <f t="shared" si="16"/>
        <v xml:space="preserve">stEx405.x2	 := FALSE;
</v>
      </c>
    </row>
    <row r="14" spans="1:60" x14ac:dyDescent="0.55000000000000004">
      <c r="A14" t="s">
        <v>3</v>
      </c>
      <c r="B14" t="s">
        <v>2</v>
      </c>
      <c r="D14">
        <v>6</v>
      </c>
      <c r="E14" t="str">
        <f>IF(LEN(I14),I14,IF(LEN(Q14),Q14,""))</f>
        <v>stEx406</v>
      </c>
      <c r="F14" t="str">
        <f>IF(LEN(J14),J14,IF(LEN(R14),R14,""))</f>
        <v>EXE_DIREC</v>
      </c>
      <c r="G14" t="str">
        <f>IF(LEN(O14),O14,IF(LEN(X14),X14,""))</f>
        <v>▼平板押え 下降</v>
      </c>
      <c r="Q14" t="s">
        <v>47</v>
      </c>
      <c r="R14" t="s">
        <v>0</v>
      </c>
      <c r="U14" t="b">
        <v>0</v>
      </c>
      <c r="V14" t="b">
        <v>0</v>
      </c>
      <c r="W14" t="b">
        <v>0</v>
      </c>
      <c r="X14" t="s">
        <v>48</v>
      </c>
      <c r="Z14" t="str">
        <f t="shared" si="5"/>
        <v/>
      </c>
      <c r="AA14" t="str">
        <f t="shared" si="6"/>
        <v/>
      </c>
      <c r="AB14" t="str">
        <f t="shared" si="6"/>
        <v/>
      </c>
      <c r="AC14" t="str">
        <f t="shared" si="6"/>
        <v/>
      </c>
      <c r="AD14" t="str">
        <f t="shared" si="7"/>
        <v/>
      </c>
      <c r="AE14" t="str">
        <f t="shared" si="2"/>
        <v/>
      </c>
      <c r="AF14" t="str">
        <f t="shared" si="8"/>
        <v/>
      </c>
      <c r="AG14" t="str">
        <f t="shared" si="9"/>
        <v/>
      </c>
      <c r="AH14" t="str">
        <f t="shared" si="10"/>
        <v/>
      </c>
      <c r="AI14" t="str">
        <f t="shared" si="11"/>
        <v/>
      </c>
      <c r="AJ14" t="str">
        <f t="shared" si="12"/>
        <v/>
      </c>
      <c r="AK14" t="str">
        <f t="shared" si="13"/>
        <v/>
      </c>
      <c r="AM14" t="str">
        <f>IF(LEN(G14),IF(OR(COUNTIF(G14,"*◆*"),COUNTIF(G14,"*▼*"),COUNTIF(G14,"*■*")),"","●"),"")</f>
        <v/>
      </c>
      <c r="AN14" t="str">
        <f>IF(AM14="●",(AN$4+MOD(INT(MID(E14,5,3)),AN$2))*AN$6,"")</f>
        <v/>
      </c>
      <c r="AO14" t="str">
        <f>IF($AM14="●","LDP "&amp;E14&amp;"."&amp;$B$14,"")</f>
        <v/>
      </c>
      <c r="AP14" t="str">
        <f>IF($AM14="●","AND=.D "&amp;$B$15&amp;" #0","")</f>
        <v/>
      </c>
      <c r="AQ14" t="str">
        <f>IF($AM14="●","MOV.D #"&amp;AN14&amp;" "&amp;$B$15,"")</f>
        <v/>
      </c>
      <c r="AR14" t="str">
        <f>IF(LEN(AK14),"MOV.D "&amp;$AK14&amp;" "&amp;$B$17,"")</f>
        <v/>
      </c>
      <c r="AS14" t="str">
        <f>IF(AND(D14&lt;&gt;0,AM14="●"),CHAR(10),"")&amp;IF(LEN(AO14),AO14,"")</f>
        <v/>
      </c>
      <c r="AT14" t="str">
        <f t="shared" si="3"/>
        <v/>
      </c>
      <c r="AU14" t="str">
        <f t="shared" si="4"/>
        <v/>
      </c>
      <c r="AV14" t="str">
        <f t="shared" si="14"/>
        <v/>
      </c>
      <c r="AW14" t="str">
        <f t="shared" si="15"/>
        <v/>
      </c>
      <c r="AY14" t="str">
        <f>IF($AM14="●",AT14&amp;CHAR(10)&amp;"BOX_ST"&amp;CHAR(10)&amp;";//"&amp;$B$10,"")</f>
        <v/>
      </c>
      <c r="AZ14" t="str">
        <f>IF($AM14="●",IF(LEN(AY14),AY14&amp;CHAR(10),"")&amp;";//エラーNo.を入れる"&amp;CHAR(10)&amp;";"&amp;$B$15&amp;"	:= "&amp;AN14&amp;";","")</f>
        <v/>
      </c>
      <c r="BA14" t="str">
        <f>IF($AM14="●",IF(LEN(AZ14),AZ14&amp;CHAR(10),"")&amp;";//カウントする"&amp;CHAR(10)&amp;";"&amp;$B$16&amp;"	:= "&amp;$B$16&amp;" + 1;","")</f>
        <v/>
      </c>
      <c r="BB14" t="str">
        <f>IF($AM14="●",IF(LEN(BA14),BA14&amp;CHAR(10),"")&amp;IF(LEN(AK14),";//エラーコードを入れる"&amp;CHAR(10)&amp;";"&amp;$B$17&amp;"	:= "&amp;AK14&amp;".udiErr;",""),"")</f>
        <v/>
      </c>
      <c r="BC14" t="str">
        <f>IF($AM14="●",IF(LEN(BB14),BB14&amp;CHAR(10),"")&amp;";//"&amp;$B$11,"")</f>
        <v/>
      </c>
      <c r="BE14">
        <f>INT(D14/$BE$6)</f>
        <v>2</v>
      </c>
      <c r="BF14">
        <f>MOD(D14,$BE$6)</f>
        <v>0</v>
      </c>
      <c r="BG14" t="str">
        <f>IF(LEN(E14),E14&amp;".x"&amp;TEXT(BF14,"0")&amp;CHAR(9)&amp;" := FALSE;","")</f>
        <v>stEx406.x0	 := FALSE;</v>
      </c>
      <c r="BH14" t="str">
        <f t="shared" si="16"/>
        <v xml:space="preserve">stEx406.x0	 := FALSE;
</v>
      </c>
    </row>
    <row r="15" spans="1:60" x14ac:dyDescent="0.55000000000000004">
      <c r="A15" t="s">
        <v>1</v>
      </c>
      <c r="B15" t="s">
        <v>34</v>
      </c>
      <c r="D15">
        <v>7</v>
      </c>
      <c r="E15" t="str">
        <f>IF(LEN(I15),I15,IF(LEN(Q15),Q15,""))</f>
        <v>stEx407</v>
      </c>
      <c r="F15" t="str">
        <f>IF(LEN(J15),J15,IF(LEN(R15),R15,""))</f>
        <v>EXE_DIREC</v>
      </c>
      <c r="G15" t="str">
        <f>IF(LEN(O15),O15,IF(LEN(X15),X15,""))</f>
        <v>△◆主軸 巻き継続判定</v>
      </c>
      <c r="Q15" t="s">
        <v>49</v>
      </c>
      <c r="R15" t="s">
        <v>0</v>
      </c>
      <c r="U15" t="b">
        <v>0</v>
      </c>
      <c r="V15" t="b">
        <v>0</v>
      </c>
      <c r="W15" t="b">
        <v>0</v>
      </c>
      <c r="X15" t="s">
        <v>50</v>
      </c>
      <c r="Z15" t="str">
        <f t="shared" si="5"/>
        <v/>
      </c>
      <c r="AA15" t="str">
        <f t="shared" si="6"/>
        <v/>
      </c>
      <c r="AB15" t="str">
        <f t="shared" si="6"/>
        <v/>
      </c>
      <c r="AC15" t="str">
        <f t="shared" si="6"/>
        <v/>
      </c>
      <c r="AD15" t="str">
        <f t="shared" si="7"/>
        <v/>
      </c>
      <c r="AE15" t="str">
        <f t="shared" si="2"/>
        <v/>
      </c>
      <c r="AF15" t="str">
        <f t="shared" si="8"/>
        <v/>
      </c>
      <c r="AG15" t="str">
        <f t="shared" si="9"/>
        <v/>
      </c>
      <c r="AH15" t="str">
        <f t="shared" si="10"/>
        <v/>
      </c>
      <c r="AI15" t="str">
        <f t="shared" si="11"/>
        <v/>
      </c>
      <c r="AJ15" t="str">
        <f t="shared" si="12"/>
        <v/>
      </c>
      <c r="AK15" t="str">
        <f t="shared" si="13"/>
        <v/>
      </c>
      <c r="AM15" t="str">
        <f>IF(LEN(G15),IF(OR(COUNTIF(G15,"*◆*"),COUNTIF(G15,"*▼*"),COUNTIF(G15,"*■*")),"","●"),"")</f>
        <v/>
      </c>
      <c r="AN15" t="str">
        <f>IF(AM15="●",(AN$4+MOD(INT(MID(E15,5,3)),AN$2))*AN$6,"")</f>
        <v/>
      </c>
      <c r="AO15" t="str">
        <f>IF($AM15="●","LDP "&amp;E15&amp;"."&amp;$B$14,"")</f>
        <v/>
      </c>
      <c r="AP15" t="str">
        <f>IF($AM15="●","AND=.D "&amp;$B$15&amp;" #0","")</f>
        <v/>
      </c>
      <c r="AQ15" t="str">
        <f>IF($AM15="●","MOV.D #"&amp;AN15&amp;" "&amp;$B$15,"")</f>
        <v/>
      </c>
      <c r="AR15" t="str">
        <f>IF(LEN(AK15),"MOV.D "&amp;$AK15&amp;" "&amp;$B$17,"")</f>
        <v/>
      </c>
      <c r="AS15" t="str">
        <f>IF(AND(D15&lt;&gt;0,AM15="●"),CHAR(10),"")&amp;IF(LEN(AO15),AO15,"")</f>
        <v/>
      </c>
      <c r="AT15" t="str">
        <f t="shared" si="3"/>
        <v/>
      </c>
      <c r="AU15" t="str">
        <f t="shared" si="4"/>
        <v/>
      </c>
      <c r="AV15" t="str">
        <f t="shared" si="14"/>
        <v/>
      </c>
      <c r="AW15" t="str">
        <f t="shared" si="15"/>
        <v/>
      </c>
      <c r="AY15" t="str">
        <f>IF($AM15="●",AT15&amp;CHAR(10)&amp;"BOX_ST"&amp;CHAR(10)&amp;";//"&amp;$B$10,"")</f>
        <v/>
      </c>
      <c r="AZ15" t="str">
        <f>IF($AM15="●",IF(LEN(AY15),AY15&amp;CHAR(10),"")&amp;";//エラーNo.を入れる"&amp;CHAR(10)&amp;";"&amp;$B$15&amp;"	:= "&amp;AN15&amp;";","")</f>
        <v/>
      </c>
      <c r="BA15" t="str">
        <f>IF($AM15="●",IF(LEN(AZ15),AZ15&amp;CHAR(10),"")&amp;";//カウントする"&amp;CHAR(10)&amp;";"&amp;$B$16&amp;"	:= "&amp;$B$16&amp;" + 1;","")</f>
        <v/>
      </c>
      <c r="BB15" t="str">
        <f>IF($AM15="●",IF(LEN(BA15),BA15&amp;CHAR(10),"")&amp;IF(LEN(AK15),";//エラーコードを入れる"&amp;CHAR(10)&amp;";"&amp;$B$17&amp;"	:= "&amp;AK15&amp;".udiErr;",""),"")</f>
        <v/>
      </c>
      <c r="BC15" t="str">
        <f>IF($AM15="●",IF(LEN(BB15),BB15&amp;CHAR(10),"")&amp;";//"&amp;$B$11,"")</f>
        <v/>
      </c>
      <c r="BE15">
        <f>INT(D15/$BE$6)</f>
        <v>2</v>
      </c>
      <c r="BF15">
        <f>MOD(D15,$BE$6)</f>
        <v>1</v>
      </c>
      <c r="BG15" t="str">
        <f>IF(LEN(E15),E15&amp;".x"&amp;TEXT(BF15,"0")&amp;CHAR(9)&amp;" := FALSE;","")</f>
        <v>stEx407.x1	 := FALSE;</v>
      </c>
      <c r="BH15" t="str">
        <f t="shared" si="16"/>
        <v xml:space="preserve">stEx407.x1	 := FALSE;
</v>
      </c>
    </row>
    <row r="16" spans="1:60" x14ac:dyDescent="0.55000000000000004">
      <c r="A16" t="s">
        <v>25</v>
      </c>
      <c r="B16" t="s">
        <v>26</v>
      </c>
      <c r="D16">
        <v>8</v>
      </c>
      <c r="E16" t="str">
        <f>IF(LEN(I16),I16,IF(LEN(Q16),Q16,""))</f>
        <v>stEx408</v>
      </c>
      <c r="F16" t="str">
        <f>IF(LEN(J16),J16,IF(LEN(R16),R16,""))</f>
        <v>EXE_DIREC</v>
      </c>
      <c r="G16" t="str">
        <f>IF(LEN(O16),O16,IF(LEN(X16),X16,""))</f>
        <v>&gt;●AXK13主軸 巻き回転</v>
      </c>
      <c r="Q16" t="s">
        <v>51</v>
      </c>
      <c r="R16" t="s">
        <v>0</v>
      </c>
      <c r="U16" t="b">
        <v>0</v>
      </c>
      <c r="V16" t="b">
        <v>0</v>
      </c>
      <c r="W16" t="b">
        <v>0</v>
      </c>
      <c r="X16" t="s">
        <v>52</v>
      </c>
      <c r="Z16">
        <f t="shared" si="5"/>
        <v>13</v>
      </c>
      <c r="AA16" t="str">
        <f t="shared" si="6"/>
        <v/>
      </c>
      <c r="AB16" t="str">
        <f t="shared" si="6"/>
        <v/>
      </c>
      <c r="AC16" t="str">
        <f t="shared" si="6"/>
        <v/>
      </c>
      <c r="AD16" t="str">
        <f t="shared" si="7"/>
        <v/>
      </c>
      <c r="AE16" t="str">
        <f t="shared" si="2"/>
        <v>stDevIn.astAXK[0]</v>
      </c>
      <c r="AF16" t="str">
        <f t="shared" si="8"/>
        <v/>
      </c>
      <c r="AG16" t="str">
        <f t="shared" si="9"/>
        <v/>
      </c>
      <c r="AH16" t="str">
        <f t="shared" si="10"/>
        <v/>
      </c>
      <c r="AI16" t="str">
        <f t="shared" si="11"/>
        <v/>
      </c>
      <c r="AJ16" t="str">
        <f t="shared" si="12"/>
        <v/>
      </c>
      <c r="AK16" t="str">
        <f t="shared" si="13"/>
        <v>stDevIn.astAXK[0]</v>
      </c>
      <c r="AM16" t="str">
        <f>IF(LEN(G16),IF(OR(COUNTIF(G16,"*◆*"),COUNTIF(G16,"*▼*"),COUNTIF(G16,"*■*")),"","●"),"")</f>
        <v>●</v>
      </c>
      <c r="AN16">
        <f>IF(AM16="●",(AN$4+MOD(INT(MID(E16,5,3)),AN$2))*AN$6,"")</f>
        <v>4080</v>
      </c>
      <c r="AO16" t="str">
        <f>IF($AM16="●","LDP "&amp;E16&amp;"."&amp;$B$14,"")</f>
        <v>LDP stEx408.x2</v>
      </c>
      <c r="AP16" t="str">
        <f>IF($AM16="●","AND=.D "&amp;$B$15&amp;" #0","")</f>
        <v>AND=.D stM.udiErrNo #0</v>
      </c>
      <c r="AQ16" t="str">
        <f>IF($AM16="●","MOV.D #"&amp;AN16&amp;" "&amp;$B$15,"")</f>
        <v>MOV.D #4080 stM.udiErrNo</v>
      </c>
      <c r="AR16" t="str">
        <f>IF(LEN(AK16),"MOV.D "&amp;$AK16&amp;" "&amp;$B$17,"")</f>
        <v>MOV.D stDevIn.astAXK[0] stM.udiSubErr</v>
      </c>
      <c r="AS16" t="str">
        <f>IF(AND(D16&lt;&gt;0,AM16="●"),CHAR(10),"")&amp;IF(LEN(AO16),AO16,"")</f>
        <v xml:space="preserve">
LDP stEx408.x2</v>
      </c>
      <c r="AT16" t="str">
        <f t="shared" si="3"/>
        <v xml:space="preserve">
LDP stEx408.x2
AND=.D stM.udiErrNo #0</v>
      </c>
      <c r="AU16" t="str">
        <f t="shared" si="4"/>
        <v xml:space="preserve">
LDP stEx408.x2
AND=.D stM.udiErrNo #0
MOV.D #4080 stM.udiErrNo</v>
      </c>
      <c r="AV16" t="str">
        <f t="shared" si="14"/>
        <v xml:space="preserve">
LDP stEx408.x2
AND=.D stM.udiErrNo #0
MOV.D #4080 stM.udiErrNo
MOV.D stDevIn.astAXK[0] stM.udiSubErr</v>
      </c>
      <c r="AW16" t="str">
        <f t="shared" si="15"/>
        <v xml:space="preserve">
LDP stEx408.x2
AND=.D stM.udiErrNo #0
MOV.D #4080 stM.udiErrNo
MOV.D stDevIn.astAXK[0] stM.udiSubErr</v>
      </c>
      <c r="AY16" t="str">
        <f ca="1">IF($AM16="●",AT16&amp;CHAR(10)&amp;"BOX_ST"&amp;CHAR(10)&amp;";//"&amp;$B$10,"")</f>
        <v xml:space="preserve">
LDP stEx408.x2
AND=.D stM.udiErrNo #0
BOX_ST
;//このスクリプトは C:\tk\prj\hg-0025-0016\git\kv-x520\doc\[kv_script_exe_errno.xlsm]info_script によって生成されました。</v>
      </c>
      <c r="AZ16" t="str">
        <f ca="1">IF($AM16="●",IF(LEN(AY16),AY16&amp;CHAR(10),"")&amp;";//エラーNo.を入れる"&amp;CHAR(10)&amp;";"&amp;$B$15&amp;"	:= "&amp;AN16&amp;";","")</f>
        <v xml:space="preserve">
LDP stEx408.x2
AND=.D stM.udiErrNo #0
BOX_ST
;//このスクリプトは C:\tk\prj\hg-0025-0016\git\kv-x520\doc\[kv_script_exe_errno.xlsm]info_script によって生成されました。
;//エラーNo.を入れる
;stM.udiErrNo	:= 4080;</v>
      </c>
      <c r="BA16" t="str">
        <f ca="1">IF($AM16="●",IF(LEN(AZ16),AZ16&amp;CHAR(10),"")&amp;";//カウントする"&amp;CHAR(10)&amp;";"&amp;$B$16&amp;"	:= "&amp;$B$16&amp;" + 1;","")</f>
        <v xml:space="preserve">
LDP stEx408.x2
AND=.D stM.udiErrNo #0
BOX_ST
;//このスクリプトは C:\tk\prj\hg-0025-0016\git\kv-x520\doc\[kv_script_exe_errno.xlsm]info_script によって生成されました。
;//エラーNo.を入れる
;stM.udiErrNo	:= 4080;
;//カウントする
;stM.uiEDCnt	:= stM.uiEDCnt + 1;</v>
      </c>
      <c r="BB16" t="str">
        <f ca="1">IF($AM16="●",IF(LEN(BA16),BA16&amp;CHAR(10),"")&amp;IF(LEN(AK16),";//エラーコードを入れる"&amp;CHAR(10)&amp;";"&amp;$B$17&amp;"	:= "&amp;AK16&amp;".udiErr;",""),"")</f>
        <v xml:space="preserve">
LDP stEx408.x2
AND=.D stM.udiErrNo #0
BOX_ST
;//このスクリプトは C:\tk\prj\hg-0025-0016\git\kv-x520\doc\[kv_script_exe_errno.xlsm]info_script によって生成されました。
;//エラーNo.を入れる
;stM.udiErrNo	:= 4080;
;//カウントする
;stM.uiEDCnt	:= stM.uiEDCnt + 1;
;//エラーコードを入れる
;stM.udiSubErr	:= stDevIn.astAXK[0].udiErr;</v>
      </c>
      <c r="BC16" t="str">
        <f ca="1">IF($AM16="●",IF(LEN(BB16),BB16&amp;CHAR(10),"")&amp;";//"&amp;$B$11,"")</f>
        <v xml:space="preserve">
LDP stEx408.x2
AND=.D stM.udiErrNo #0
BOX_ST
;//このスクリプトは C:\tk\prj\hg-0025-0016\git\kv-x520\doc\[kv_script_exe_errno.xlsm]info_script によって生成されました。
;//エラーNo.を入れる
;stM.udiErrNo	:= 4080;
;//カウントする
;stM.uiEDCnt	:= stM.uiEDCnt + 1;
;//エラーコードを入れる
;stM.udiSubErr	:= stDevIn.astAXK[0].udiErr;
;//-----ここまで生成script-----</v>
      </c>
      <c r="BE16">
        <f>INT(D16/$BE$6)</f>
        <v>2</v>
      </c>
      <c r="BF16">
        <f>MOD(D16,$BE$6)</f>
        <v>2</v>
      </c>
      <c r="BG16" t="str">
        <f>IF(LEN(E16),E16&amp;".x"&amp;TEXT(BF16,"0")&amp;CHAR(9)&amp;" := FALSE;","")</f>
        <v>stEx408.x2	 := FALSE;</v>
      </c>
      <c r="BH16" t="str">
        <f t="shared" si="16"/>
        <v xml:space="preserve">stEx408.x2	 := FALSE;
</v>
      </c>
    </row>
    <row r="17" spans="1:60" x14ac:dyDescent="0.55000000000000004">
      <c r="A17" t="s">
        <v>19</v>
      </c>
      <c r="B17" t="s">
        <v>29</v>
      </c>
      <c r="D17">
        <v>9</v>
      </c>
      <c r="E17" t="str">
        <f>IF(LEN(I17),I17,IF(LEN(Q17),Q17,""))</f>
        <v>stEx409</v>
      </c>
      <c r="F17" t="str">
        <f>IF(LEN(J17),J17,IF(LEN(R17),R17,""))</f>
        <v>EXE_DIREC</v>
      </c>
      <c r="G17" t="str">
        <f>IF(LEN(O17),O17,IF(LEN(X17),X17,""))</f>
        <v>&gt;◆整え+測定 有無</v>
      </c>
      <c r="Q17" t="s">
        <v>53</v>
      </c>
      <c r="R17" t="s">
        <v>0</v>
      </c>
      <c r="U17" t="b">
        <v>0</v>
      </c>
      <c r="V17" t="b">
        <v>0</v>
      </c>
      <c r="W17" t="b">
        <v>0</v>
      </c>
      <c r="X17" t="s">
        <v>54</v>
      </c>
      <c r="Z17" t="str">
        <f t="shared" si="5"/>
        <v/>
      </c>
      <c r="AA17" t="str">
        <f t="shared" si="6"/>
        <v/>
      </c>
      <c r="AB17" t="str">
        <f t="shared" si="6"/>
        <v/>
      </c>
      <c r="AC17" t="str">
        <f t="shared" si="6"/>
        <v/>
      </c>
      <c r="AD17" t="str">
        <f t="shared" si="7"/>
        <v/>
      </c>
      <c r="AE17" t="str">
        <f t="shared" si="2"/>
        <v/>
      </c>
      <c r="AF17" t="str">
        <f t="shared" si="8"/>
        <v/>
      </c>
      <c r="AG17" t="str">
        <f t="shared" si="9"/>
        <v/>
      </c>
      <c r="AH17" t="str">
        <f t="shared" si="10"/>
        <v/>
      </c>
      <c r="AI17" t="str">
        <f t="shared" si="11"/>
        <v/>
      </c>
      <c r="AJ17" t="str">
        <f t="shared" si="12"/>
        <v/>
      </c>
      <c r="AK17" t="str">
        <f t="shared" si="13"/>
        <v/>
      </c>
      <c r="AM17" t="str">
        <f>IF(LEN(G17),IF(OR(COUNTIF(G17,"*◆*"),COUNTIF(G17,"*▼*"),COUNTIF(G17,"*■*")),"","●"),"")</f>
        <v/>
      </c>
      <c r="AN17" t="str">
        <f>IF(AM17="●",(AN$4+MOD(INT(MID(E17,5,3)),AN$2))*AN$6,"")</f>
        <v/>
      </c>
      <c r="AO17" t="str">
        <f>IF($AM17="●","LDP "&amp;E17&amp;"."&amp;$B$14,"")</f>
        <v/>
      </c>
      <c r="AP17" t="str">
        <f>IF($AM17="●","AND=.D "&amp;$B$15&amp;" #0","")</f>
        <v/>
      </c>
      <c r="AQ17" t="str">
        <f>IF($AM17="●","MOV.D #"&amp;AN17&amp;" "&amp;$B$15,"")</f>
        <v/>
      </c>
      <c r="AR17" t="str">
        <f>IF(LEN(AK17),"MOV.D "&amp;$AK17&amp;" "&amp;$B$17,"")</f>
        <v/>
      </c>
      <c r="AS17" t="str">
        <f>IF(AND(D17&lt;&gt;0,AM17="●"),CHAR(10),"")&amp;IF(LEN(AO17),AO17,"")</f>
        <v/>
      </c>
      <c r="AT17" t="str">
        <f t="shared" si="3"/>
        <v/>
      </c>
      <c r="AU17" t="str">
        <f t="shared" si="4"/>
        <v/>
      </c>
      <c r="AV17" t="str">
        <f t="shared" si="14"/>
        <v/>
      </c>
      <c r="AW17" t="str">
        <f t="shared" si="15"/>
        <v/>
      </c>
      <c r="AY17" t="str">
        <f>IF($AM17="●",AT17&amp;CHAR(10)&amp;"BOX_ST"&amp;CHAR(10)&amp;";//"&amp;$B$10,"")</f>
        <v/>
      </c>
      <c r="AZ17" t="str">
        <f>IF($AM17="●",IF(LEN(AY17),AY17&amp;CHAR(10),"")&amp;";//エラーNo.を入れる"&amp;CHAR(10)&amp;";"&amp;$B$15&amp;"	:= "&amp;AN17&amp;";","")</f>
        <v/>
      </c>
      <c r="BA17" t="str">
        <f>IF($AM17="●",IF(LEN(AZ17),AZ17&amp;CHAR(10),"")&amp;";//カウントする"&amp;CHAR(10)&amp;";"&amp;$B$16&amp;"	:= "&amp;$B$16&amp;" + 1;","")</f>
        <v/>
      </c>
      <c r="BB17" t="str">
        <f>IF($AM17="●",IF(LEN(BA17),BA17&amp;CHAR(10),"")&amp;IF(LEN(AK17),";//エラーコードを入れる"&amp;CHAR(10)&amp;";"&amp;$B$17&amp;"	:= "&amp;AK17&amp;".udiErr;",""),"")</f>
        <v/>
      </c>
      <c r="BC17" t="str">
        <f>IF($AM17="●",IF(LEN(BB17),BB17&amp;CHAR(10),"")&amp;";//"&amp;$B$11,"")</f>
        <v/>
      </c>
      <c r="BE17">
        <f>INT(D17/$BE$6)</f>
        <v>3</v>
      </c>
      <c r="BF17">
        <f>MOD(D17,$BE$6)</f>
        <v>0</v>
      </c>
      <c r="BG17" t="str">
        <f>IF(LEN(E17),E17&amp;".x"&amp;TEXT(BF17,"0")&amp;CHAR(9)&amp;" := FALSE;","")</f>
        <v>stEx409.x0	 := FALSE;</v>
      </c>
      <c r="BH17" t="str">
        <f t="shared" si="16"/>
        <v xml:space="preserve">stEx409.x0	 := FALSE;
</v>
      </c>
    </row>
    <row r="18" spans="1:60" x14ac:dyDescent="0.55000000000000004">
      <c r="D18">
        <v>10</v>
      </c>
      <c r="E18" t="str">
        <f>IF(LEN(I18),I18,IF(LEN(Q18),Q18,""))</f>
        <v>stEx410</v>
      </c>
      <c r="F18" t="str">
        <f>IF(LEN(J18),J18,IF(LEN(R18),R18,""))</f>
        <v>EXE_DIREC</v>
      </c>
      <c r="G18" t="str">
        <f>IF(LEN(O18),O18,IF(LEN(X18),X18,""))</f>
        <v>&gt;&gt;◆整え 有無</v>
      </c>
      <c r="Q18" t="s">
        <v>55</v>
      </c>
      <c r="R18" t="s">
        <v>0</v>
      </c>
      <c r="U18" t="b">
        <v>0</v>
      </c>
      <c r="V18" t="b">
        <v>0</v>
      </c>
      <c r="W18" t="b">
        <v>0</v>
      </c>
      <c r="X18" t="s">
        <v>56</v>
      </c>
      <c r="Z18" t="str">
        <f t="shared" si="5"/>
        <v/>
      </c>
      <c r="AA18" t="str">
        <f t="shared" si="6"/>
        <v/>
      </c>
      <c r="AB18" t="str">
        <f t="shared" si="6"/>
        <v/>
      </c>
      <c r="AC18" t="str">
        <f t="shared" si="6"/>
        <v/>
      </c>
      <c r="AD18" t="str">
        <f t="shared" si="7"/>
        <v/>
      </c>
      <c r="AE18" t="str">
        <f t="shared" si="2"/>
        <v/>
      </c>
      <c r="AF18" t="str">
        <f t="shared" si="8"/>
        <v/>
      </c>
      <c r="AG18" t="str">
        <f t="shared" si="9"/>
        <v/>
      </c>
      <c r="AH18" t="str">
        <f t="shared" si="10"/>
        <v/>
      </c>
      <c r="AI18" t="str">
        <f t="shared" si="11"/>
        <v/>
      </c>
      <c r="AJ18" t="str">
        <f t="shared" si="12"/>
        <v/>
      </c>
      <c r="AK18" t="str">
        <f t="shared" si="13"/>
        <v/>
      </c>
      <c r="AM18" t="str">
        <f>IF(LEN(G18),IF(OR(COUNTIF(G18,"*◆*"),COUNTIF(G18,"*▼*"),COUNTIF(G18,"*■*")),"","●"),"")</f>
        <v/>
      </c>
      <c r="AN18" t="str">
        <f>IF(AM18="●",(AN$4+MOD(INT(MID(E18,5,3)),AN$2))*AN$6,"")</f>
        <v/>
      </c>
      <c r="AO18" t="str">
        <f>IF($AM18="●","LDP "&amp;E18&amp;"."&amp;$B$14,"")</f>
        <v/>
      </c>
      <c r="AP18" t="str">
        <f>IF($AM18="●","AND=.D "&amp;$B$15&amp;" #0","")</f>
        <v/>
      </c>
      <c r="AQ18" t="str">
        <f>IF($AM18="●","MOV.D #"&amp;AN18&amp;" "&amp;$B$15,"")</f>
        <v/>
      </c>
      <c r="AR18" t="str">
        <f>IF(LEN(AK18),"MOV.D "&amp;$AK18&amp;" "&amp;$B$17,"")</f>
        <v/>
      </c>
      <c r="AS18" t="str">
        <f>IF(AND(D18&lt;&gt;0,AM18="●"),CHAR(10),"")&amp;IF(LEN(AO18),AO18,"")</f>
        <v/>
      </c>
      <c r="AT18" t="str">
        <f t="shared" si="3"/>
        <v/>
      </c>
      <c r="AU18" t="str">
        <f t="shared" si="4"/>
        <v/>
      </c>
      <c r="AV18" t="str">
        <f t="shared" si="14"/>
        <v/>
      </c>
      <c r="AW18" t="str">
        <f t="shared" si="15"/>
        <v/>
      </c>
      <c r="AY18" t="str">
        <f>IF($AM18="●",AT18&amp;CHAR(10)&amp;"BOX_ST"&amp;CHAR(10)&amp;";//"&amp;$B$10,"")</f>
        <v/>
      </c>
      <c r="AZ18" t="str">
        <f>IF($AM18="●",IF(LEN(AY18),AY18&amp;CHAR(10),"")&amp;";//エラーNo.を入れる"&amp;CHAR(10)&amp;";"&amp;$B$15&amp;"	:= "&amp;AN18&amp;";","")</f>
        <v/>
      </c>
      <c r="BA18" t="str">
        <f>IF($AM18="●",IF(LEN(AZ18),AZ18&amp;CHAR(10),"")&amp;";//カウントする"&amp;CHAR(10)&amp;";"&amp;$B$16&amp;"	:= "&amp;$B$16&amp;" + 1;","")</f>
        <v/>
      </c>
      <c r="BB18" t="str">
        <f>IF($AM18="●",IF(LEN(BA18),BA18&amp;CHAR(10),"")&amp;IF(LEN(AK18),";//エラーコードを入れる"&amp;CHAR(10)&amp;";"&amp;$B$17&amp;"	:= "&amp;AK18&amp;".udiErr;",""),"")</f>
        <v/>
      </c>
      <c r="BC18" t="str">
        <f>IF($AM18="●",IF(LEN(BB18),BB18&amp;CHAR(10),"")&amp;";//"&amp;$B$11,"")</f>
        <v/>
      </c>
      <c r="BE18">
        <f>INT(D18/$BE$6)</f>
        <v>3</v>
      </c>
      <c r="BF18">
        <f>MOD(D18,$BE$6)</f>
        <v>1</v>
      </c>
      <c r="BG18" t="str">
        <f>IF(LEN(E18),E18&amp;".x"&amp;TEXT(BF18,"0")&amp;CHAR(9)&amp;" := FALSE;","")</f>
        <v>stEx410.x1	 := FALSE;</v>
      </c>
      <c r="BH18" t="str">
        <f t="shared" si="16"/>
        <v xml:space="preserve">stEx410.x1	 := FALSE;
</v>
      </c>
    </row>
    <row r="19" spans="1:60" x14ac:dyDescent="0.55000000000000004">
      <c r="A19" t="s">
        <v>22</v>
      </c>
      <c r="B19" t="str">
        <f ca="1">"RUNG_COMMENT"&amp;CHAR(10)&amp;";"&amp;B10&amp;AW109&amp;CHAR(10)&amp;"RUNG_COMMENT"&amp;CHAR(10)&amp;";"&amp;B11</f>
        <v>RUNG_COMMENT
;このスクリプトは C:\tk\prj\hg-0025-0016\git\kv-x520\doc\[kv_script_exe_errno.xlsm]info_script によって生成されました。LDP stEx400.x2
AND=.D stM.udiErrNo #0
MOV.D #4000 stM.udiErrNo
LDP stEx401.x2
AND=.D stM.udiErrNo #0
MOV.D #4010 stM.udiErrNo
LDP stEx402.x2
AND=.D stM.udiErrNo #0
MOV.D #4020 stM.udiErrNo
LDP stEx404.x2
AND=.D stM.udiErrNo #0
MOV.D #4040 stM.udiErrNo
MOV.D stDevIn.astCYL[6] stM.udiSubErr
LDP stEx405.x2
AND=.D stM.udiErrNo #0
MOV.D #4050 stM.udiErrNo
LDP stEx408.x2
AND=.D stM.udiErrNo #0
MOV.D #4080 stM.udiErrNo
MOV.D stDevIn.astAXK[0] stM.udiSubErr
LDP stEx412.x2
AND=.D stM.udiErrNo #0
MOV.D #4120 stM.udiErrNo
MOV.D stDevIn.astAXK[1] stM.udiSubErr
LDP stEx413.x2
AND=.D stM.udiErrNo #0
MOV.D #4130 stM.udiErrNo
MOV.D stDevIn.astAXK[1] stM.udiSubErr
LDP stEx416.x2
AND=.D stM.udiErrNo #0
MOV.D #4160 stM.udiErrNo
LDP stEx420.x2
AND=.D stM.udiErrNo #0
MOV.D #4200 stM.udiErrNo
MOV.D stDevIn.astAXO[3] stM.udiSubErr
LDP stEx421.x2
AND=.D stM.udiErrNo #0
MOV.D #4210 stM.udiErrNo
MOV.D stDevIn.astCYL[1] stM.udiSubErr
LDP stEx422.x2
AND=.D stM.udiErrNo #0
MOV.D #4220 stM.udiErrNo
MOV.D stDevIn.astCYL[2] stM.udiSubErr
LDP stEx424.x2
AND=.D stM.udiErrNo #0
MOV.D #4240 stM.udiErrNo
MOV.D stDevIn.astCYL[1] stM.udiSubErr
LDP stEx425.x2
AND=.D stM.udiErrNo #0
MOV.D #4250 stM.udiErrNo
MOV.D stDevIn.astCYL[2] stM.udiSubErr
LDP stEx426.x2
AND=.D stM.udiErrNo #0
MOV.D #4260 stM.udiErrNo
MOV.D stDevIn.astAXO[3] stM.udiSubErr
LDP stEx430.x2
AND=.D stM.udiErrNo #0
MOV.D #4300 stM.udiErrNo
MOV.D stDevIn.astAXI[0] stM.udiSubErr
LDP stEx431.x2
AND=.D stM.udiErrNo #0
MOV.D #4310 stM.udiErrNo
MOV.D stDevIn.astAXI[0] stM.udiSubErr
LDP stEx432.x2
AND=.D stM.udiErrNo #0
MOV.D #4320 stM.udiErrNo
MOV.D stDevIn.astCYL[6] stM.udiSubErr
LDP stEx433.x2
AND=.D stM.udiErrNo #0
MOV.D #4330 stM.udiErrNo
LDP stEx434.x2
AND=.D stM.udiErrNo #0
MOV.D #4340 stM.udiErrNo
LDP stEx435.x2
AND=.D stM.udiErrNo #0
MOV.D #4350 stM.udiErrNo
MOV.D stDevIn.astAXI[0] stM.udiSubErr
LDP stEx438.x2
AND=.D stM.udiErrNo #0
MOV.D #4380 stM.udiErrNo
LDP stEx443.x2
AND=.D stM.udiErrNo #0
MOV.D #4430 stM.udiErrNo
MOV.D stDevIn.astAXK[1] stM.udiSubErr
LDP stEx445.x2
AND=.D stM.udiErrNo #0
MOV.D #4450 stM.udiErrNo
LDP stEx446.x2
AND=.D stM.udiErrNo #0
MOV.D #4460 stM.udiErrNo
MOV.D stDevIn.astAXI[0] stM.udiSubErr
LDP stEx447.x2
AND=.D stM.udiErrNo #0
MOV.D #4470 stM.udiErrNo
MOV.D stDevIn.astAXI[1] stM.udiSubErr
LDP stEx448.x2
AND=.D stM.udiErrNo #0
MOV.D #4480 stM.udiErrNo
LDP stEx449.x2
AND=.D stM.udiErrNo #0
MOV.D #4490 stM.udiErrNo
MOV.D stDevIn.astAXK[0] stM.udiSubErr
LDP stEx451.x2
AND=.D stM.udiErrNo #0
MOV.D #4510 stM.udiErrNo
MOV.D stDevIn.astAXK[0] stM.udiSubErr
LDP stEx452.x2
AND=.D stM.udiErrNo #0
MOV.D #4520 stM.udiErrNo
MOV.D stDevIn.astAXI[0] stM.udiSubErr
LDP stEx453.x2
AND=.D stM.udiErrNo #0
MOV.D #4530 stM.udiErrNo
MOV.D stDevIn.astAXI[1] stM.udiSubErr
LDP stEx454.x2
AND=.D stM.udiErrNo #0
MOV.D #4540 stM.udiErrNo
MOV.D stDevIn.astAXI[0] stM.udiSubErr
RUNG_COMMENT
;-----ここまで生成script-----</v>
      </c>
      <c r="D19">
        <v>11</v>
      </c>
      <c r="E19" t="str">
        <f>IF(LEN(I19),I19,IF(LEN(Q19),Q19,""))</f>
        <v>stEx411</v>
      </c>
      <c r="F19" t="str">
        <f>IF(LEN(J19),J19,IF(LEN(R19),R19,""))</f>
        <v>EXE_DIREC</v>
      </c>
      <c r="G19" t="str">
        <f>IF(LEN(O19),O19,IF(LEN(X19),X19,""))</f>
        <v>&gt;&gt;&gt;◆整え繰返し 有無</v>
      </c>
      <c r="Q19" t="s">
        <v>57</v>
      </c>
      <c r="R19" t="s">
        <v>0</v>
      </c>
      <c r="U19" t="b">
        <v>0</v>
      </c>
      <c r="V19" t="b">
        <v>0</v>
      </c>
      <c r="W19" t="b">
        <v>0</v>
      </c>
      <c r="X19" t="s">
        <v>58</v>
      </c>
      <c r="Z19" t="str">
        <f t="shared" si="5"/>
        <v/>
      </c>
      <c r="AA19" t="str">
        <f t="shared" si="6"/>
        <v/>
      </c>
      <c r="AB19" t="str">
        <f t="shared" si="6"/>
        <v/>
      </c>
      <c r="AC19" t="str">
        <f t="shared" si="6"/>
        <v/>
      </c>
      <c r="AD19" t="str">
        <f t="shared" si="7"/>
        <v/>
      </c>
      <c r="AE19" t="str">
        <f t="shared" si="2"/>
        <v/>
      </c>
      <c r="AF19" t="str">
        <f t="shared" si="8"/>
        <v/>
      </c>
      <c r="AG19" t="str">
        <f t="shared" si="9"/>
        <v/>
      </c>
      <c r="AH19" t="str">
        <f t="shared" si="10"/>
        <v/>
      </c>
      <c r="AI19" t="str">
        <f t="shared" si="11"/>
        <v/>
      </c>
      <c r="AJ19" t="str">
        <f t="shared" si="12"/>
        <v/>
      </c>
      <c r="AK19" t="str">
        <f t="shared" si="13"/>
        <v/>
      </c>
      <c r="AM19" t="str">
        <f>IF(LEN(G19),IF(OR(COUNTIF(G19,"*◆*"),COUNTIF(G19,"*▼*"),COUNTIF(G19,"*■*")),"","●"),"")</f>
        <v/>
      </c>
      <c r="AN19" t="str">
        <f>IF(AM19="●",(AN$4+MOD(INT(MID(E19,5,3)),AN$2))*AN$6,"")</f>
        <v/>
      </c>
      <c r="AO19" t="str">
        <f>IF($AM19="●","LDP "&amp;E19&amp;"."&amp;$B$14,"")</f>
        <v/>
      </c>
      <c r="AP19" t="str">
        <f>IF($AM19="●","AND=.D "&amp;$B$15&amp;" #0","")</f>
        <v/>
      </c>
      <c r="AQ19" t="str">
        <f>IF($AM19="●","MOV.D #"&amp;AN19&amp;" "&amp;$B$15,"")</f>
        <v/>
      </c>
      <c r="AR19" t="str">
        <f>IF(LEN(AK19),"MOV.D "&amp;$AK19&amp;" "&amp;$B$17,"")</f>
        <v/>
      </c>
      <c r="AS19" t="str">
        <f>IF(AND(D19&lt;&gt;0,AM19="●"),CHAR(10),"")&amp;IF(LEN(AO19),AO19,"")</f>
        <v/>
      </c>
      <c r="AT19" t="str">
        <f t="shared" si="3"/>
        <v/>
      </c>
      <c r="AU19" t="str">
        <f t="shared" si="4"/>
        <v/>
      </c>
      <c r="AV19" t="str">
        <f t="shared" si="14"/>
        <v/>
      </c>
      <c r="AW19" t="str">
        <f t="shared" si="15"/>
        <v/>
      </c>
      <c r="AY19" t="str">
        <f>IF($AM19="●",AT19&amp;CHAR(10)&amp;"BOX_ST"&amp;CHAR(10)&amp;";//"&amp;$B$10,"")</f>
        <v/>
      </c>
      <c r="AZ19" t="str">
        <f>IF($AM19="●",IF(LEN(AY19),AY19&amp;CHAR(10),"")&amp;";//エラーNo.を入れる"&amp;CHAR(10)&amp;";"&amp;$B$15&amp;"	:= "&amp;AN19&amp;";","")</f>
        <v/>
      </c>
      <c r="BA19" t="str">
        <f>IF($AM19="●",IF(LEN(AZ19),AZ19&amp;CHAR(10),"")&amp;";//カウントする"&amp;CHAR(10)&amp;";"&amp;$B$16&amp;"	:= "&amp;$B$16&amp;" + 1;","")</f>
        <v/>
      </c>
      <c r="BB19" t="str">
        <f>IF($AM19="●",IF(LEN(BA19),BA19&amp;CHAR(10),"")&amp;IF(LEN(AK19),";//エラーコードを入れる"&amp;CHAR(10)&amp;";"&amp;$B$17&amp;"	:= "&amp;AK19&amp;".udiErr;",""),"")</f>
        <v/>
      </c>
      <c r="BC19" t="str">
        <f>IF($AM19="●",IF(LEN(BB19),BB19&amp;CHAR(10),"")&amp;";//"&amp;$B$11,"")</f>
        <v/>
      </c>
      <c r="BE19">
        <f>INT(D19/$BE$6)</f>
        <v>3</v>
      </c>
      <c r="BF19">
        <f>MOD(D19,$BE$6)</f>
        <v>2</v>
      </c>
      <c r="BG19" t="str">
        <f>IF(LEN(E19),E19&amp;".x"&amp;TEXT(BF19,"0")&amp;CHAR(9)&amp;" := FALSE;","")</f>
        <v>stEx411.x2	 := FALSE;</v>
      </c>
      <c r="BH19" t="str">
        <f t="shared" si="16"/>
        <v xml:space="preserve">stEx411.x2	 := FALSE;
</v>
      </c>
    </row>
    <row r="20" spans="1:60" x14ac:dyDescent="0.55000000000000004">
      <c r="A20" t="s">
        <v>21</v>
      </c>
      <c r="B20" t="str">
        <f ca="1">"RUNG_COMMENT"&amp;CHAR(10)&amp;";"&amp;B10&amp;CHAR(10)&amp;BC109&amp;CHAR(10)&amp;"RUNG_COMMENT"&amp;CHAR(10)&amp;";"&amp;B11</f>
        <v>RUNG_COMMENT
;このスクリプトは C:\tk\prj\hg-0025-0016\git\kv-x520\doc\[kv_script_exe_errno.xlsm]info_script によって生成されました。
LDP stEx400.x2
AND=.D stM.udiErrNo #0
BOX_ST
;//このスクリプトは C:\tk\prj\hg-0025-0016\git\kv-x520\doc\[kv_script_exe_errno.xlsm]info_script によって生成されました。
;//エラーNo.を入れる
;stM.udiErrNo	:= 4000;
;//カウントする
;stM.uiEDCnt	:= stM.uiEDCnt + 1;
;//-----ここまで生成script-----
LDP stEx401.x2
AND=.D stM.udiErrNo #0
BOX_ST
;//このスクリプトは C:\tk\prj\hg-0025-0016\git\kv-x520\doc\[kv_script_exe_errno.xlsm]info_script によって生成されました。
;//エラーNo.を入れる
;stM.udiErrNo	:= 4010;
;//カウントする
;stM.uiEDCnt	:= stM.uiEDCnt + 1;
;//-----ここまで生成script-----
LDP stEx402.x2
AND=.D stM.udiErrNo #0
BOX_ST
;//このスクリプトは C:\tk\prj\hg-0025-0016\git\kv-x520\doc\[kv_script_exe_errno.xlsm]info_script によって生成されました。
;//エラーNo.を入れる
;stM.udiErrNo	:= 4020;
;//カウントする
;stM.uiEDCnt	:= stM.uiEDCnt + 1;
;//-----ここまで生成script-----
LDP stEx404.x2
AND=.D stM.udiErrNo #0
BOX_ST
;//このスクリプトは C:\tk\prj\hg-0025-0016\git\kv-x520\doc\[kv_script_exe_errno.xlsm]info_script によって生成されました。
;//エラーNo.を入れる
;stM.udiErrNo	:= 4040;
;//カウントする
;stM.uiEDCnt	:= stM.uiEDCnt + 1;
;//エラーコードを入れる
;stM.udiSubErr	:= stDevIn.astCYL[6].udiErr;
;//-----ここまで生成script-----
LDP stEx405.x2
AND=.D stM.udiErrNo #0
BOX_ST
;//このスクリプトは C:\tk\prj\hg-0025-0016\git\kv-x520\doc\[kv_script_exe_errno.xlsm]info_script によって生成されました。
;//エラーNo.を入れる
;stM.udiErrNo	:= 4050;
;//カウントする
;stM.uiEDCnt	:= stM.uiEDCnt + 1;
;//-----ここまで生成script-----
LDP stEx408.x2
AND=.D stM.udiErrNo #0
BOX_ST
;//このスクリプトは C:\tk\prj\hg-0025-0016\git\kv-x520\doc\[kv_script_exe_errno.xlsm]info_script によって生成されました。
;//エラーNo.を入れる
;stM.udiErrNo	:= 4080;
;//カウントする
;stM.uiEDCnt	:= stM.uiEDCnt + 1;
;//エラーコードを入れる
;stM.udiSubErr	:= stDevIn.astAXK[0].udiErr;
;//-----ここまで生成script-----
LDP stEx412.x2
AND=.D stM.udiErrNo #0
BOX_ST
;//このスクリプトは C:\tk\prj\hg-0025-0016\git\kv-x520\doc\[kv_script_exe_errno.xlsm]info_script によって生成されました。
;//エラーNo.を入れる
;stM.udiErrNo	:= 4120;
;//カウントする
;stM.uiEDCnt	:= stM.uiEDCnt + 1;
;//エラーコードを入れる
;stM.udiSubErr	:= stDevIn.astAXK[1].udiErr;
;//-----ここまで生成script-----
LDP stEx413.x2
AND=.D stM.udiErrNo #0
BOX_ST
;//このスクリプトは C:\tk\prj\hg-0025-0016\git\kv-x520\doc\[kv_script_exe_errno.xlsm]info_script によって生成されました。
;//エラーNo.を入れる
;stM.udiErrNo	:= 4130;
;//カウントする
;stM.uiEDCnt	:= stM.uiEDCnt + 1;
;//エラーコードを入れる
;stM.udiSubErr	:= stDevIn.astAXK[1].udiErr;
;//-----ここまで生成script-----
LDP stEx416.x2
AND=.D stM.udiErrNo #0
BOX_ST
;//このスクリプトは C:\tk\prj\hg-0025-0016\git\kv-x520\doc\[kv_script_exe_errno.xlsm]info_script によって生成されました。
;//エラーNo.を入れる
;stM.udiErrNo	:= 4160;
;//カウントする
;stM.uiEDCnt	:= stM.uiEDCnt + 1;
;//-----ここまで生成script-----
LDP stEx420.x2
AND=.D stM.udiErrNo #0
BOX_ST
;//このスクリプトは C:\tk\prj\hg-0025-0016\git\kv-x520\doc\[kv_script_exe_errno.xlsm]info_script によって生成されました。
;//エラーNo.を入れる
;stM.udiErrNo	:= 4200;
;//カウントする
;stM.uiEDCnt	:= stM.uiEDCnt + 1;
;//エラーコードを入れる
;stM.udiSubErr	:= stDevIn.astAXO[3].udiErr;
;//-----ここまで生成script-----
LDP stEx421.x2
AND=.D stM.udiErrNo #0
BOX_ST
;//このスクリプトは C:\tk\prj\hg-0025-0016\git\kv-x520\doc\[kv_script_exe_errno.xlsm]info_script によって生成されました。
;//エラーNo.を入れる
;stM.udiErrNo	:= 4210;
;//カウントする
;stM.uiEDCnt	:= stM.uiEDCnt + 1;
;//エラーコードを入れる
;stM.udiSubErr	:= stDevIn.astCYL[1].udiErr;
;//-----ここまで生成script-----
LDP stEx422.x2
AND=.D stM.udiErrNo #0
BOX_ST
;//このスクリプトは C:\tk\prj\hg-0025-0016\git\kv-x520\doc\[kv_script_exe_errno.xlsm]info_script によって生成されました。
;//エラーNo.を入れる
;stM.udiErrNo	:= 4220;
;//カウントする
;stM.uiEDCnt	:= stM.uiEDCnt + 1;
;//エラーコードを入れる
;stM.udiSubErr	:= stDevIn.astCYL[2].udiErr;
;//-----ここまで生成script-----
LDP stEx424.x2
AND=.D stM.udiErrNo #0
BOX_ST
;//このスクリプトは C:\tk\prj\hg-0025-0016\git\kv-x520\doc\[kv_script_exe_errno.xlsm]info_script によって生成されました。
;//エラーNo.を入れる
;stM.udiErrNo	:= 4240;
;//カウントする
;stM.uiEDCnt	:= stM.uiEDCnt + 1;
;//エラーコードを入れる
;stM.udiSubErr	:= stDevIn.astCYL[1].udiErr;
;//-----ここまで生成script-----
LDP stEx425.x2
AND=.D stM.udiErrNo #0
BOX_ST
;//このスクリプトは C:\tk\prj\hg-0025-0016\git\kv-x520\doc\[kv_script_exe_errno.xlsm]info_script によって生成されました。
;//エラーNo.を入れる
;stM.udiErrNo	:= 4250;
;//カウントする
;stM.uiEDCnt	:= stM.uiEDCnt + 1;
;//エラーコードを入れる
;stM.udiSubErr	:= stDevIn.astCYL[2].udiErr;
;//-----ここまで生成script-----
LDP stEx426.x2
AND=.D stM.udiErrNo #0
BOX_ST
;//このスクリプトは C:\tk\prj\hg-0025-0016\git\kv-x520\doc\[kv_script_exe_errno.xlsm]info_script によって生成されました。
;//エラーNo.を入れる
;stM.udiErrNo	:= 4260;
;//カウントする
;stM.uiEDCnt	:= stM.uiEDCnt + 1;
;//エラーコードを入れる
;stM.udiSubErr	:= stDevIn.astAXO[3].udiErr;
;//-----ここまで生成script-----
LDP stEx430.x2
AND=.D stM.udiErrNo #0
BOX_ST
;//このスクリプトは C:\tk\prj\hg-0025-0016\git\kv-x520\doc\[kv_script_exe_errno.xlsm]info_script によって生成されました。
;//エラーNo.を入れる
;stM.udiErrNo	:= 4300;
;//カウントする
;stM.uiEDCnt	:= stM.uiEDCnt + 1;
;//エラーコードを入れる
;stM.udiSubErr	:= stDevIn.astAXI[0].udiErr;
;//-----ここまで生成script-----
LDP stEx431.x2
AND=.D stM.udiErrNo #0
BOX_ST
;//このスクリプトは C:\tk\prj\hg-0025-0016\git\kv-x520\doc\[kv_script_exe_errno.xlsm]info_script によって生成されました。
;//エラーNo.を入れる
;stM.udiErrNo	:= 4310;
;//カウントする
;stM.uiEDCnt	:= stM.uiEDCnt + 1;
;//エラーコードを入れる
;stM.udiSubErr	:= stDevIn.astAXI[0].udiErr;
;//-----ここまで生成script-----
LDP stEx432.x2
AND=.D stM.udiErrNo #0
BOX_ST
;//このスクリプトは C:\tk\prj\hg-0025-0016\git\kv-x520\doc\[kv_script_exe_errno.xlsm]info_script によって生成されました。
;//エラーNo.を入れる
;stM.udiErrNo	:= 4320;
;//カウントする
;stM.uiEDCnt	:= stM.uiEDCnt + 1;
;//エラーコードを入れる
;stM.udiSubErr	:= stDevIn.astCYL[6].udiErr;
;//-----ここまで生成script-----
LDP stEx433.x2
AND=.D stM.udiErrNo #0
BOX_ST
;//このスクリプトは C:\tk\prj\hg-0025-0016\git\kv-x520\doc\[kv_script_exe_errno.xlsm]info_script によって生成されました。
;//エラーNo.を入れる
;stM.udiErrNo	:= 4330;
;//カウントする
;stM.uiEDCnt	:= stM.uiEDCnt + 1;
;//-----ここまで生成script-----
LDP stEx434.x2
AND=.D stM.udiErrNo #0
BOX_ST
;//このスクリプトは C:\tk\prj\hg-0025-0016\git\kv-x520\doc\[kv_script_exe_errno.xlsm]info_script によって生成されました。
;//エラーNo.を入れる
;stM.udiErrNo	:= 4340;
;//カウントする
;stM.uiEDCnt	:= stM.uiEDCnt + 1;
;//-----ここまで生成script-----
LDP stEx435.x2
AND=.D stM.udiErrNo #0
BOX_ST
;//このスクリプトは C:\tk\prj\hg-0025-0016\git\kv-x520\doc\[kv_script_exe_errno.xlsm]info_script によって生成されました。
;//エラーNo.を入れる
;stM.udiErrNo	:= 4350;
;//カウントする
;stM.uiEDCnt	:= stM.uiEDCnt + 1;
;//エラーコードを入れる
;stM.udiSubErr	:= stDevIn.astAXI[0].udiErr;
;//-----ここまで生成script-----
LDP stEx438.x2
AND=.D stM.udiErrNo #0
BOX_ST
;//このスクリプトは C:\tk\prj\hg-0025-0016\git\kv-x520\doc\[kv_script_exe_errno.xlsm]info_script によって生成されました。
;//エラーNo.を入れる
;stM.udiErrNo	:= 4380;
;//カウントする
;stM.uiEDCnt	:= stM.uiEDCnt + 1;
;//-----ここまで生成script-----
LDP stEx443.x2
AND=.D stM.udiErrNo #0
BOX_ST
;//このスクリプトは C:\tk\prj\hg-0025-0016\git\kv-x520\doc\[kv_script_exe_errno.xlsm]info_script によって生成されました。
;//エラーNo.を入れる
;stM.udiErrNo	:= 4430;
;//カウントする
;stM.uiEDCnt	:= stM.uiEDCnt + 1;
;//エラーコードを入れる
;stM.udiSubErr	:= stDevIn.astAXK[1].udiErr;
;//-----ここまで生成script-----
LDP stEx445.x2
AND=.D stM.udiErrNo #0
BOX_ST
;//このスクリプトは C:\tk\prj\hg-0025-0016\git\kv-x520\doc\[kv_script_exe_errno.xlsm]info_script によって生成されました。
;//エラーNo.を入れる
;stM.udiErrNo	:= 4450;
;//カウントする
;stM.uiEDCnt	:= stM.uiEDCnt + 1;
;//-----ここまで生成script-----
LDP stEx446.x2
AND=.D stM.udiErrNo #0
BOX_ST
;//このスクリプトは C:\tk\prj\hg-0025-0016\git\kv-x520\doc\[kv_script_exe_errno.xlsm]info_script によって生成されました。
;//エラーNo.を入れる
;stM.udiErrNo	:= 4460;
;//カウントする
;stM.uiEDCnt	:= stM.uiEDCnt + 1;
;//エラーコードを入れる
;stM.udiSubErr	:= stDevIn.astAXI[0].udiErr;
;//-----ここまで生成script-----
LDP stEx447.x2
AND=.D stM.udiErrNo #0
BOX_ST
;//このスクリプトは C:\tk\prj\hg-0025-0016\git\kv-x520\doc\[kv_script_exe_errno.xlsm]info_script によって生成されました。
;//エラーNo.を入れる
;stM.udiErrNo	:= 4470;
;//カウントする
;stM.uiEDCnt	:= stM.uiEDCnt + 1;
;//エラーコードを入れる
;stM.udiSubErr	:= stDevIn.astAXI[1].udiErr;
;//-----ここまで生成script-----
LDP stEx448.x2
AND=.D stM.udiErrNo #0
BOX_ST
;//このスクリプトは C:\tk\prj\hg-0025-0016\git\kv-x520\doc\[kv_script_exe_errno.xlsm]info_script によって生成されました。
;//エラーNo.を入れる
;stM.udiErrNo	:= 4480;
;//カウントする
;stM.uiEDCnt	:= stM.uiEDCnt + 1;
;//-----ここまで生成script-----
LDP stEx449.x2
AND=.D stM.udiErrNo #0
BOX_ST
;//このスクリプトは C:\tk\prj\hg-0025-0016\git\kv-x520\doc\[kv_script_exe_errno.xlsm]info_script によって生成されました。
;//エラーNo.を入れる
;stM.udiErrNo	:= 4490;
;//カウントする
;stM.uiEDCnt	:= stM.uiEDCnt + 1;
;//エラーコードを入れる
;stM.udiSubErr	:= stDevIn.astAXK[0].udiErr;
;//-----ここまで生成script-----
LDP stEx451.x2
AND=.D stM.udiErrNo #0
BOX_ST
;//このスクリプトは C:\tk\prj\hg-0025-0016\git\kv-x520\doc\[kv_script_exe_errno.xlsm]info_script によって生成されました。
;//エラーNo.を入れる
;stM.udiErrNo	:= 4510;
;//カウントする
;stM.uiEDCnt	:= stM.uiEDCnt + 1;
;//エラーコードを入れる
;stM.udiSubErr	:= stDevIn.astAXK[0].udiErr;
;//-----ここまで生成script-----
LDP stEx452.x2
AND=.D stM.udiErrNo #0
BOX_ST
;//このスクリプトは C:\tk\prj\hg-0025-0016\git\kv-x520\doc\[kv_script_exe_errno.xlsm]info_script によって生成されました。
;//エラーNo.を入れる
;stM.udiErrNo	:= 4520;
;//カウントする
;stM.uiEDCnt	:= stM.uiEDCnt + 1;
;//エラーコードを入れる
;stM.udiSubErr	:= stDevIn.astAXI[0].udiErr;
;//-----ここまで生成script-----
LDP stEx453.x2
AND=.D stM.udiErrNo #0
BOX_ST
;//このスクリプトは C:\tk\prj\hg-0025-0016\git\kv-x520\doc\[kv_script_exe_errno.xlsm]info_script によって生成されました。
;//エラーNo.を入れる
;stM.udiErrNo	:= 4530;
;//カウントする
;stM.uiEDCnt	:= stM.uiEDCnt + 1;
;//エラーコードを入れる
;stM.udiSubErr	:= stDevIn.astAXI[1].udiErr;
;//-----ここまで生成script-----
LDP stEx454.x2
AND=.D stM.udiErrNo #0
BOX_ST
;//このスクリプトは C:\tk\prj\hg-0025-0016\git\kv-x520\doc\[kv_script_exe_errno.xlsm]info_script によって生成されました。
;//エラーNo.を入れる
;stM.udiErrNo	:= 4540;
;//カウントする
;stM.uiEDCnt	:= stM.uiEDCnt + 1;
;//エラーコードを入れる
;stM.udiSubErr	:= stDevIn.astAXI[0].udiErr;
;//-----ここまで生成script-----
RUNG_COMMENT
;-----ここまで生成script-----</v>
      </c>
      <c r="D20">
        <v>12</v>
      </c>
      <c r="E20" t="str">
        <f>IF(LEN(I20),I20,IF(LEN(Q20),Q20,""))</f>
        <v>stEx412</v>
      </c>
      <c r="F20" t="str">
        <f>IF(LEN(J20),J20,IF(LEN(R20),R20,""))</f>
        <v>EXE_DIREC</v>
      </c>
      <c r="G20" t="str">
        <f>IF(LEN(O20),O20,IF(LEN(X20),X20,""))</f>
        <v>&gt;&gt;&gt;●AXK14調台 整え</v>
      </c>
      <c r="Q20" t="s">
        <v>59</v>
      </c>
      <c r="R20" t="s">
        <v>0</v>
      </c>
      <c r="U20" t="b">
        <v>0</v>
      </c>
      <c r="V20" t="b">
        <v>0</v>
      </c>
      <c r="W20" t="b">
        <v>0</v>
      </c>
      <c r="X20" t="s">
        <v>60</v>
      </c>
      <c r="Z20">
        <f t="shared" si="5"/>
        <v>14</v>
      </c>
      <c r="AA20" t="str">
        <f t="shared" si="6"/>
        <v/>
      </c>
      <c r="AB20" t="str">
        <f t="shared" si="6"/>
        <v/>
      </c>
      <c r="AC20" t="str">
        <f t="shared" si="6"/>
        <v/>
      </c>
      <c r="AD20" t="str">
        <f t="shared" si="7"/>
        <v/>
      </c>
      <c r="AE20" t="str">
        <f t="shared" si="2"/>
        <v>stDevIn.astAXK[1]</v>
      </c>
      <c r="AF20" t="str">
        <f t="shared" si="8"/>
        <v/>
      </c>
      <c r="AG20" t="str">
        <f t="shared" si="9"/>
        <v/>
      </c>
      <c r="AH20" t="str">
        <f t="shared" si="10"/>
        <v/>
      </c>
      <c r="AI20" t="str">
        <f t="shared" si="11"/>
        <v/>
      </c>
      <c r="AJ20" t="str">
        <f t="shared" si="12"/>
        <v/>
      </c>
      <c r="AK20" t="str">
        <f t="shared" si="13"/>
        <v>stDevIn.astAXK[1]</v>
      </c>
      <c r="AM20" t="str">
        <f>IF(LEN(G20),IF(OR(COUNTIF(G20,"*◆*"),COUNTIF(G20,"*▼*"),COUNTIF(G20,"*■*")),"","●"),"")</f>
        <v>●</v>
      </c>
      <c r="AN20">
        <f>IF(AM20="●",(AN$4+MOD(INT(MID(E20,5,3)),AN$2))*AN$6,"")</f>
        <v>4120</v>
      </c>
      <c r="AO20" t="str">
        <f>IF($AM20="●","LDP "&amp;E20&amp;"."&amp;$B$14,"")</f>
        <v>LDP stEx412.x2</v>
      </c>
      <c r="AP20" t="str">
        <f>IF($AM20="●","AND=.D "&amp;$B$15&amp;" #0","")</f>
        <v>AND=.D stM.udiErrNo #0</v>
      </c>
      <c r="AQ20" t="str">
        <f>IF($AM20="●","MOV.D #"&amp;AN20&amp;" "&amp;$B$15,"")</f>
        <v>MOV.D #4120 stM.udiErrNo</v>
      </c>
      <c r="AR20" t="str">
        <f>IF(LEN(AK20),"MOV.D "&amp;$AK20&amp;" "&amp;$B$17,"")</f>
        <v>MOV.D stDevIn.astAXK[1] stM.udiSubErr</v>
      </c>
      <c r="AS20" t="str">
        <f>IF(AND(D20&lt;&gt;0,AM20="●"),CHAR(10),"")&amp;IF(LEN(AO20),AO20,"")</f>
        <v xml:space="preserve">
LDP stEx412.x2</v>
      </c>
      <c r="AT20" t="str">
        <f t="shared" si="3"/>
        <v xml:space="preserve">
LDP stEx412.x2
AND=.D stM.udiErrNo #0</v>
      </c>
      <c r="AU20" t="str">
        <f t="shared" si="4"/>
        <v xml:space="preserve">
LDP stEx412.x2
AND=.D stM.udiErrNo #0
MOV.D #4120 stM.udiErrNo</v>
      </c>
      <c r="AV20" t="str">
        <f t="shared" si="14"/>
        <v xml:space="preserve">
LDP stEx412.x2
AND=.D stM.udiErrNo #0
MOV.D #4120 stM.udiErrNo
MOV.D stDevIn.astAXK[1] stM.udiSubErr</v>
      </c>
      <c r="AW20" t="str">
        <f t="shared" si="15"/>
        <v xml:space="preserve">
LDP stEx412.x2
AND=.D stM.udiErrNo #0
MOV.D #4120 stM.udiErrNo
MOV.D stDevIn.astAXK[1] stM.udiSubErr</v>
      </c>
      <c r="AY20" t="str">
        <f ca="1">IF($AM20="●",AT20&amp;CHAR(10)&amp;"BOX_ST"&amp;CHAR(10)&amp;";//"&amp;$B$10,"")</f>
        <v xml:space="preserve">
LDP stEx412.x2
AND=.D stM.udiErrNo #0
BOX_ST
;//このスクリプトは C:\tk\prj\hg-0025-0016\git\kv-x520\doc\[kv_script_exe_errno.xlsm]info_script によって生成されました。</v>
      </c>
      <c r="AZ20" t="str">
        <f ca="1">IF($AM20="●",IF(LEN(AY20),AY20&amp;CHAR(10),"")&amp;";//エラーNo.を入れる"&amp;CHAR(10)&amp;";"&amp;$B$15&amp;"	:= "&amp;AN20&amp;";","")</f>
        <v xml:space="preserve">
LDP stEx412.x2
AND=.D stM.udiErrNo #0
BOX_ST
;//このスクリプトは C:\tk\prj\hg-0025-0016\git\kv-x520\doc\[kv_script_exe_errno.xlsm]info_script によって生成されました。
;//エラーNo.を入れる
;stM.udiErrNo	:= 4120;</v>
      </c>
      <c r="BA20" t="str">
        <f ca="1">IF($AM20="●",IF(LEN(AZ20),AZ20&amp;CHAR(10),"")&amp;";//カウントする"&amp;CHAR(10)&amp;";"&amp;$B$16&amp;"	:= "&amp;$B$16&amp;" + 1;","")</f>
        <v xml:space="preserve">
LDP stEx412.x2
AND=.D stM.udiErrNo #0
BOX_ST
;//このスクリプトは C:\tk\prj\hg-0025-0016\git\kv-x520\doc\[kv_script_exe_errno.xlsm]info_script によって生成されました。
;//エラーNo.を入れる
;stM.udiErrNo	:= 4120;
;//カウントする
;stM.uiEDCnt	:= stM.uiEDCnt + 1;</v>
      </c>
      <c r="BB20" t="str">
        <f ca="1">IF($AM20="●",IF(LEN(BA20),BA20&amp;CHAR(10),"")&amp;IF(LEN(AK20),";//エラーコードを入れる"&amp;CHAR(10)&amp;";"&amp;$B$17&amp;"	:= "&amp;AK20&amp;".udiErr;",""),"")</f>
        <v xml:space="preserve">
LDP stEx412.x2
AND=.D stM.udiErrNo #0
BOX_ST
;//このスクリプトは C:\tk\prj\hg-0025-0016\git\kv-x520\doc\[kv_script_exe_errno.xlsm]info_script によって生成されました。
;//エラーNo.を入れる
;stM.udiErrNo	:= 4120;
;//カウントする
;stM.uiEDCnt	:= stM.uiEDCnt + 1;
;//エラーコードを入れる
;stM.udiSubErr	:= stDevIn.astAXK[1].udiErr;</v>
      </c>
      <c r="BC20" t="str">
        <f ca="1">IF($AM20="●",IF(LEN(BB20),BB20&amp;CHAR(10),"")&amp;";//"&amp;$B$11,"")</f>
        <v xml:space="preserve">
LDP stEx412.x2
AND=.D stM.udiErrNo #0
BOX_ST
;//このスクリプトは C:\tk\prj\hg-0025-0016\git\kv-x520\doc\[kv_script_exe_errno.xlsm]info_script によって生成されました。
;//エラーNo.を入れる
;stM.udiErrNo	:= 4120;
;//カウントする
;stM.uiEDCnt	:= stM.uiEDCnt + 1;
;//エラーコードを入れる
;stM.udiSubErr	:= stDevIn.astAXK[1].udiErr;
;//-----ここまで生成script-----</v>
      </c>
      <c r="BE20">
        <f>INT(D20/$BE$6)</f>
        <v>4</v>
      </c>
      <c r="BF20">
        <f>MOD(D20,$BE$6)</f>
        <v>0</v>
      </c>
      <c r="BG20" t="str">
        <f>IF(LEN(E20),E20&amp;".x"&amp;TEXT(BF20,"0")&amp;CHAR(9)&amp;" := FALSE;","")</f>
        <v>stEx412.x0	 := FALSE;</v>
      </c>
      <c r="BH20" t="str">
        <f t="shared" si="16"/>
        <v xml:space="preserve">stEx412.x0	 := FALSE;
</v>
      </c>
    </row>
    <row r="21" spans="1:60" x14ac:dyDescent="0.55000000000000004">
      <c r="D21">
        <v>13</v>
      </c>
      <c r="E21" t="str">
        <f>IF(LEN(I21),I21,IF(LEN(Q21),Q21,""))</f>
        <v>stEx413</v>
      </c>
      <c r="F21" t="str">
        <f>IF(LEN(J21),J21,IF(LEN(R21),R21,""))</f>
        <v>EXE_DIREC</v>
      </c>
      <c r="G21" t="str">
        <f>IF(LEN(O21),O21,IF(LEN(X21),X21,""))</f>
        <v>&gt;&gt;&gt;●AXK14調台 待機</v>
      </c>
      <c r="Q21" t="s">
        <v>61</v>
      </c>
      <c r="R21" t="s">
        <v>0</v>
      </c>
      <c r="U21" t="b">
        <v>0</v>
      </c>
      <c r="V21" t="b">
        <v>0</v>
      </c>
      <c r="W21" t="b">
        <v>0</v>
      </c>
      <c r="X21" t="s">
        <v>62</v>
      </c>
      <c r="Z21">
        <f t="shared" si="5"/>
        <v>14</v>
      </c>
      <c r="AA21" t="str">
        <f t="shared" si="6"/>
        <v/>
      </c>
      <c r="AB21" t="str">
        <f t="shared" si="6"/>
        <v/>
      </c>
      <c r="AC21" t="str">
        <f t="shared" si="6"/>
        <v/>
      </c>
      <c r="AD21" t="str">
        <f t="shared" si="7"/>
        <v/>
      </c>
      <c r="AE21" t="str">
        <f t="shared" si="2"/>
        <v>stDevIn.astAXK[1]</v>
      </c>
      <c r="AF21" t="str">
        <f t="shared" si="8"/>
        <v/>
      </c>
      <c r="AG21" t="str">
        <f t="shared" si="9"/>
        <v/>
      </c>
      <c r="AH21" t="str">
        <f t="shared" si="10"/>
        <v/>
      </c>
      <c r="AI21" t="str">
        <f t="shared" si="11"/>
        <v/>
      </c>
      <c r="AJ21" t="str">
        <f t="shared" si="12"/>
        <v/>
      </c>
      <c r="AK21" t="str">
        <f t="shared" si="13"/>
        <v>stDevIn.astAXK[1]</v>
      </c>
      <c r="AM21" t="str">
        <f>IF(LEN(G21),IF(OR(COUNTIF(G21,"*◆*"),COUNTIF(G21,"*▼*"),COUNTIF(G21,"*■*")),"","●"),"")</f>
        <v>●</v>
      </c>
      <c r="AN21">
        <f>IF(AM21="●",(AN$4+MOD(INT(MID(E21,5,3)),AN$2))*AN$6,"")</f>
        <v>4130</v>
      </c>
      <c r="AO21" t="str">
        <f>IF($AM21="●","LDP "&amp;E21&amp;"."&amp;$B$14,"")</f>
        <v>LDP stEx413.x2</v>
      </c>
      <c r="AP21" t="str">
        <f>IF($AM21="●","AND=.D "&amp;$B$15&amp;" #0","")</f>
        <v>AND=.D stM.udiErrNo #0</v>
      </c>
      <c r="AQ21" t="str">
        <f>IF($AM21="●","MOV.D #"&amp;AN21&amp;" "&amp;$B$15,"")</f>
        <v>MOV.D #4130 stM.udiErrNo</v>
      </c>
      <c r="AR21" t="str">
        <f>IF(LEN(AK21),"MOV.D "&amp;$AK21&amp;" "&amp;$B$17,"")</f>
        <v>MOV.D stDevIn.astAXK[1] stM.udiSubErr</v>
      </c>
      <c r="AS21" t="str">
        <f>IF(AND(D21&lt;&gt;0,AM21="●"),CHAR(10),"")&amp;IF(LEN(AO21),AO21,"")</f>
        <v xml:space="preserve">
LDP stEx413.x2</v>
      </c>
      <c r="AT21" t="str">
        <f t="shared" si="3"/>
        <v xml:space="preserve">
LDP stEx413.x2
AND=.D stM.udiErrNo #0</v>
      </c>
      <c r="AU21" t="str">
        <f t="shared" si="4"/>
        <v xml:space="preserve">
LDP stEx413.x2
AND=.D stM.udiErrNo #0
MOV.D #4130 stM.udiErrNo</v>
      </c>
      <c r="AV21" t="str">
        <f t="shared" si="14"/>
        <v xml:space="preserve">
LDP stEx413.x2
AND=.D stM.udiErrNo #0
MOV.D #4130 stM.udiErrNo
MOV.D stDevIn.astAXK[1] stM.udiSubErr</v>
      </c>
      <c r="AW21" t="str">
        <f t="shared" si="15"/>
        <v xml:space="preserve">
LDP stEx413.x2
AND=.D stM.udiErrNo #0
MOV.D #4130 stM.udiErrNo
MOV.D stDevIn.astAXK[1] stM.udiSubErr</v>
      </c>
      <c r="AY21" t="str">
        <f ca="1">IF($AM21="●",AT21&amp;CHAR(10)&amp;"BOX_ST"&amp;CHAR(10)&amp;";//"&amp;$B$10,"")</f>
        <v xml:space="preserve">
LDP stEx413.x2
AND=.D stM.udiErrNo #0
BOX_ST
;//このスクリプトは C:\tk\prj\hg-0025-0016\git\kv-x520\doc\[kv_script_exe_errno.xlsm]info_script によって生成されました。</v>
      </c>
      <c r="AZ21" t="str">
        <f ca="1">IF($AM21="●",IF(LEN(AY21),AY21&amp;CHAR(10),"")&amp;";//エラーNo.を入れる"&amp;CHAR(10)&amp;";"&amp;$B$15&amp;"	:= "&amp;AN21&amp;";","")</f>
        <v xml:space="preserve">
LDP stEx413.x2
AND=.D stM.udiErrNo #0
BOX_ST
;//このスクリプトは C:\tk\prj\hg-0025-0016\git\kv-x520\doc\[kv_script_exe_errno.xlsm]info_script によって生成されました。
;//エラーNo.を入れる
;stM.udiErrNo	:= 4130;</v>
      </c>
      <c r="BA21" t="str">
        <f ca="1">IF($AM21="●",IF(LEN(AZ21),AZ21&amp;CHAR(10),"")&amp;";//カウントする"&amp;CHAR(10)&amp;";"&amp;$B$16&amp;"	:= "&amp;$B$16&amp;" + 1;","")</f>
        <v xml:space="preserve">
LDP stEx413.x2
AND=.D stM.udiErrNo #0
BOX_ST
;//このスクリプトは C:\tk\prj\hg-0025-0016\git\kv-x520\doc\[kv_script_exe_errno.xlsm]info_script によって生成されました。
;//エラーNo.を入れる
;stM.udiErrNo	:= 4130;
;//カウントする
;stM.uiEDCnt	:= stM.uiEDCnt + 1;</v>
      </c>
      <c r="BB21" t="str">
        <f ca="1">IF($AM21="●",IF(LEN(BA21),BA21&amp;CHAR(10),"")&amp;IF(LEN(AK21),";//エラーコードを入れる"&amp;CHAR(10)&amp;";"&amp;$B$17&amp;"	:= "&amp;AK21&amp;".udiErr;",""),"")</f>
        <v xml:space="preserve">
LDP stEx413.x2
AND=.D stM.udiErrNo #0
BOX_ST
;//このスクリプトは C:\tk\prj\hg-0025-0016\git\kv-x520\doc\[kv_script_exe_errno.xlsm]info_script によって生成されました。
;//エラーNo.を入れる
;stM.udiErrNo	:= 4130;
;//カウントする
;stM.uiEDCnt	:= stM.uiEDCnt + 1;
;//エラーコードを入れる
;stM.udiSubErr	:= stDevIn.astAXK[1].udiErr;</v>
      </c>
      <c r="BC21" t="str">
        <f ca="1">IF($AM21="●",IF(LEN(BB21),BB21&amp;CHAR(10),"")&amp;";//"&amp;$B$11,"")</f>
        <v xml:space="preserve">
LDP stEx413.x2
AND=.D stM.udiErrNo #0
BOX_ST
;//このスクリプトは C:\tk\prj\hg-0025-0016\git\kv-x520\doc\[kv_script_exe_errno.xlsm]info_script によって生成されました。
;//エラーNo.を入れる
;stM.udiErrNo	:= 4130;
;//カウントする
;stM.uiEDCnt	:= stM.uiEDCnt + 1;
;//エラーコードを入れる
;stM.udiSubErr	:= stDevIn.astAXK[1].udiErr;
;//-----ここまで生成script-----</v>
      </c>
      <c r="BE21">
        <f>INT(D21/$BE$6)</f>
        <v>4</v>
      </c>
      <c r="BF21">
        <f>MOD(D21,$BE$6)</f>
        <v>1</v>
      </c>
      <c r="BG21" t="str">
        <f>IF(LEN(E21),E21&amp;".x"&amp;TEXT(BF21,"0")&amp;CHAR(9)&amp;" := FALSE;","")</f>
        <v>stEx413.x1	 := FALSE;</v>
      </c>
      <c r="BH21" t="str">
        <f t="shared" si="16"/>
        <v xml:space="preserve">stEx413.x1	 := FALSE;
</v>
      </c>
    </row>
    <row r="22" spans="1:60" x14ac:dyDescent="0.55000000000000004">
      <c r="D22">
        <v>14</v>
      </c>
      <c r="E22" t="str">
        <f>IF(LEN(I22),I22,IF(LEN(Q22),Q22,""))</f>
        <v>stEx414</v>
      </c>
      <c r="F22" t="str">
        <f>IF(LEN(J22),J22,IF(LEN(R22),R22,""))</f>
        <v>EXE_DIREC</v>
      </c>
      <c r="G22" t="str">
        <f>IF(LEN(O22),O22,IF(LEN(X22),X22,""))</f>
        <v>&gt;&gt;▼整え</v>
      </c>
      <c r="Q22" t="s">
        <v>63</v>
      </c>
      <c r="R22" t="s">
        <v>0</v>
      </c>
      <c r="U22" t="b">
        <v>0</v>
      </c>
      <c r="V22" t="b">
        <v>0</v>
      </c>
      <c r="W22" t="b">
        <v>0</v>
      </c>
      <c r="X22" t="s">
        <v>64</v>
      </c>
      <c r="Z22" t="str">
        <f t="shared" si="5"/>
        <v/>
      </c>
      <c r="AA22" t="str">
        <f t="shared" si="6"/>
        <v/>
      </c>
      <c r="AB22" t="str">
        <f t="shared" si="6"/>
        <v/>
      </c>
      <c r="AC22" t="str">
        <f t="shared" si="6"/>
        <v/>
      </c>
      <c r="AD22" t="str">
        <f t="shared" si="7"/>
        <v/>
      </c>
      <c r="AE22" t="str">
        <f t="shared" si="2"/>
        <v/>
      </c>
      <c r="AF22" t="str">
        <f t="shared" si="8"/>
        <v/>
      </c>
      <c r="AG22" t="str">
        <f t="shared" si="9"/>
        <v/>
      </c>
      <c r="AH22" t="str">
        <f t="shared" si="10"/>
        <v/>
      </c>
      <c r="AI22" t="str">
        <f t="shared" si="11"/>
        <v/>
      </c>
      <c r="AJ22" t="str">
        <f t="shared" si="12"/>
        <v/>
      </c>
      <c r="AK22" t="str">
        <f t="shared" si="13"/>
        <v/>
      </c>
      <c r="AM22" t="str">
        <f>IF(LEN(G22),IF(OR(COUNTIF(G22,"*◆*"),COUNTIF(G22,"*▼*"),COUNTIF(G22,"*■*")),"","●"),"")</f>
        <v/>
      </c>
      <c r="AN22" t="str">
        <f>IF(AM22="●",(AN$4+MOD(INT(MID(E22,5,3)),AN$2))*AN$6,"")</f>
        <v/>
      </c>
      <c r="AO22" t="str">
        <f>IF($AM22="●","LDP "&amp;E22&amp;"."&amp;$B$14,"")</f>
        <v/>
      </c>
      <c r="AP22" t="str">
        <f>IF($AM22="●","AND=.D "&amp;$B$15&amp;" #0","")</f>
        <v/>
      </c>
      <c r="AQ22" t="str">
        <f>IF($AM22="●","MOV.D #"&amp;AN22&amp;" "&amp;$B$15,"")</f>
        <v/>
      </c>
      <c r="AR22" t="str">
        <f>IF(LEN(AK22),"MOV.D "&amp;$AK22&amp;" "&amp;$B$17,"")</f>
        <v/>
      </c>
      <c r="AS22" t="str">
        <f>IF(AND(D22&lt;&gt;0,AM22="●"),CHAR(10),"")&amp;IF(LEN(AO22),AO22,"")</f>
        <v/>
      </c>
      <c r="AT22" t="str">
        <f t="shared" si="3"/>
        <v/>
      </c>
      <c r="AU22" t="str">
        <f t="shared" si="4"/>
        <v/>
      </c>
      <c r="AV22" t="str">
        <f t="shared" si="14"/>
        <v/>
      </c>
      <c r="AW22" t="str">
        <f t="shared" si="15"/>
        <v/>
      </c>
      <c r="AY22" t="str">
        <f>IF($AM22="●",AT22&amp;CHAR(10)&amp;"BOX_ST"&amp;CHAR(10)&amp;";//"&amp;$B$10,"")</f>
        <v/>
      </c>
      <c r="AZ22" t="str">
        <f>IF($AM22="●",IF(LEN(AY22),AY22&amp;CHAR(10),"")&amp;";//エラーNo.を入れる"&amp;CHAR(10)&amp;";"&amp;$B$15&amp;"	:= "&amp;AN22&amp;";","")</f>
        <v/>
      </c>
      <c r="BA22" t="str">
        <f>IF($AM22="●",IF(LEN(AZ22),AZ22&amp;CHAR(10),"")&amp;";//カウントする"&amp;CHAR(10)&amp;";"&amp;$B$16&amp;"	:= "&amp;$B$16&amp;" + 1;","")</f>
        <v/>
      </c>
      <c r="BB22" t="str">
        <f>IF($AM22="●",IF(LEN(BA22),BA22&amp;CHAR(10),"")&amp;IF(LEN(AK22),";//エラーコードを入れる"&amp;CHAR(10)&amp;";"&amp;$B$17&amp;"	:= "&amp;AK22&amp;".udiErr;",""),"")</f>
        <v/>
      </c>
      <c r="BC22" t="str">
        <f>IF($AM22="●",IF(LEN(BB22),BB22&amp;CHAR(10),"")&amp;";//"&amp;$B$11,"")</f>
        <v/>
      </c>
      <c r="BE22">
        <f>INT(D22/$BE$6)</f>
        <v>4</v>
      </c>
      <c r="BF22">
        <f>MOD(D22,$BE$6)</f>
        <v>2</v>
      </c>
      <c r="BG22" t="str">
        <f>IF(LEN(E22),E22&amp;".x"&amp;TEXT(BF22,"0")&amp;CHAR(9)&amp;" := FALSE;","")</f>
        <v>stEx414.x2	 := FALSE;</v>
      </c>
      <c r="BH22" t="str">
        <f t="shared" si="16"/>
        <v xml:space="preserve">stEx414.x2	 := FALSE;
</v>
      </c>
    </row>
    <row r="23" spans="1:60" x14ac:dyDescent="0.55000000000000004">
      <c r="D23">
        <v>15</v>
      </c>
      <c r="E23" t="str">
        <f>IF(LEN(I23),I23,IF(LEN(Q23),Q23,""))</f>
        <v>stEx415</v>
      </c>
      <c r="F23" t="str">
        <f>IF(LEN(J23),J23,IF(LEN(R23),R23,""))</f>
        <v>EXE_DIREC</v>
      </c>
      <c r="G23" t="str">
        <f>IF(LEN(O23),O23,IF(LEN(X23),X23,""))</f>
        <v>&gt;&gt;◆巻き中測定 有無</v>
      </c>
      <c r="Q23" t="s">
        <v>65</v>
      </c>
      <c r="R23" t="s">
        <v>0</v>
      </c>
      <c r="U23" t="b">
        <v>0</v>
      </c>
      <c r="V23" t="b">
        <v>0</v>
      </c>
      <c r="W23" t="b">
        <v>0</v>
      </c>
      <c r="X23" t="s">
        <v>66</v>
      </c>
      <c r="Z23" t="str">
        <f t="shared" si="5"/>
        <v/>
      </c>
      <c r="AA23" t="str">
        <f t="shared" si="6"/>
        <v/>
      </c>
      <c r="AB23" t="str">
        <f t="shared" si="6"/>
        <v/>
      </c>
      <c r="AC23" t="str">
        <f t="shared" si="6"/>
        <v/>
      </c>
      <c r="AD23" t="str">
        <f t="shared" si="7"/>
        <v/>
      </c>
      <c r="AE23" t="str">
        <f t="shared" si="2"/>
        <v/>
      </c>
      <c r="AF23" t="str">
        <f t="shared" si="8"/>
        <v/>
      </c>
      <c r="AG23" t="str">
        <f t="shared" si="9"/>
        <v/>
      </c>
      <c r="AH23" t="str">
        <f t="shared" si="10"/>
        <v/>
      </c>
      <c r="AI23" t="str">
        <f t="shared" si="11"/>
        <v/>
      </c>
      <c r="AJ23" t="str">
        <f t="shared" si="12"/>
        <v/>
      </c>
      <c r="AK23" t="str">
        <f t="shared" si="13"/>
        <v/>
      </c>
      <c r="AM23" t="str">
        <f>IF(LEN(G23),IF(OR(COUNTIF(G23,"*◆*"),COUNTIF(G23,"*▼*"),COUNTIF(G23,"*■*")),"","●"),"")</f>
        <v/>
      </c>
      <c r="AN23" t="str">
        <f>IF(AM23="●",(AN$4+MOD(INT(MID(E23,5,3)),AN$2))*AN$6,"")</f>
        <v/>
      </c>
      <c r="AO23" t="str">
        <f>IF($AM23="●","LDP "&amp;E23&amp;"."&amp;$B$14,"")</f>
        <v/>
      </c>
      <c r="AP23" t="str">
        <f>IF($AM23="●","AND=.D "&amp;$B$15&amp;" #0","")</f>
        <v/>
      </c>
      <c r="AQ23" t="str">
        <f>IF($AM23="●","MOV.D #"&amp;AN23&amp;" "&amp;$B$15,"")</f>
        <v/>
      </c>
      <c r="AR23" t="str">
        <f>IF(LEN(AK23),"MOV.D "&amp;$AK23&amp;" "&amp;$B$17,"")</f>
        <v/>
      </c>
      <c r="AS23" t="str">
        <f>IF(AND(D23&lt;&gt;0,AM23="●"),CHAR(10),"")&amp;IF(LEN(AO23),AO23,"")</f>
        <v/>
      </c>
      <c r="AT23" t="str">
        <f t="shared" si="3"/>
        <v/>
      </c>
      <c r="AU23" t="str">
        <f t="shared" si="4"/>
        <v/>
      </c>
      <c r="AV23" t="str">
        <f t="shared" si="14"/>
        <v/>
      </c>
      <c r="AW23" t="str">
        <f t="shared" si="15"/>
        <v/>
      </c>
      <c r="AY23" t="str">
        <f>IF($AM23="●",AT23&amp;CHAR(10)&amp;"BOX_ST"&amp;CHAR(10)&amp;";//"&amp;$B$10,"")</f>
        <v/>
      </c>
      <c r="AZ23" t="str">
        <f>IF($AM23="●",IF(LEN(AY23),AY23&amp;CHAR(10),"")&amp;";//エラーNo.を入れる"&amp;CHAR(10)&amp;";"&amp;$B$15&amp;"	:= "&amp;AN23&amp;";","")</f>
        <v/>
      </c>
      <c r="BA23" t="str">
        <f>IF($AM23="●",IF(LEN(AZ23),AZ23&amp;CHAR(10),"")&amp;";//カウントする"&amp;CHAR(10)&amp;";"&amp;$B$16&amp;"	:= "&amp;$B$16&amp;" + 1;","")</f>
        <v/>
      </c>
      <c r="BB23" t="str">
        <f>IF($AM23="●",IF(LEN(BA23),BA23&amp;CHAR(10),"")&amp;IF(LEN(AK23),";//エラーコードを入れる"&amp;CHAR(10)&amp;";"&amp;$B$17&amp;"	:= "&amp;AK23&amp;".udiErr;",""),"")</f>
        <v/>
      </c>
      <c r="BC23" t="str">
        <f>IF($AM23="●",IF(LEN(BB23),BB23&amp;CHAR(10),"")&amp;";//"&amp;$B$11,"")</f>
        <v/>
      </c>
      <c r="BE23">
        <f>INT(D23/$BE$6)</f>
        <v>5</v>
      </c>
      <c r="BF23">
        <f>MOD(D23,$BE$6)</f>
        <v>0</v>
      </c>
      <c r="BG23" t="str">
        <f>IF(LEN(E23),E23&amp;".x"&amp;TEXT(BF23,"0")&amp;CHAR(9)&amp;" := FALSE;","")</f>
        <v>stEx415.x0	 := FALSE;</v>
      </c>
      <c r="BH23" t="str">
        <f t="shared" si="16"/>
        <v xml:space="preserve">stEx415.x0	 := FALSE;
</v>
      </c>
    </row>
    <row r="24" spans="1:60" x14ac:dyDescent="0.55000000000000004">
      <c r="D24">
        <v>16</v>
      </c>
      <c r="E24" t="str">
        <f>IF(LEN(I24),I24,IF(LEN(Q24),Q24,""))</f>
        <v>stEx416</v>
      </c>
      <c r="F24" t="str">
        <f>IF(LEN(J24),J24,IF(LEN(R24),R24,""))</f>
        <v>EXE_DIREC</v>
      </c>
      <c r="G24" t="str">
        <f>IF(LEN(O24),O24,IF(LEN(X24),X24,""))</f>
        <v>&gt;&gt;&gt;●U06 巻き中測定</v>
      </c>
      <c r="Q24" t="s">
        <v>67</v>
      </c>
      <c r="R24" t="s">
        <v>0</v>
      </c>
      <c r="U24" t="b">
        <v>0</v>
      </c>
      <c r="V24" t="b">
        <v>0</v>
      </c>
      <c r="W24" t="b">
        <v>0</v>
      </c>
      <c r="X24" t="s">
        <v>68</v>
      </c>
      <c r="Z24" t="str">
        <f t="shared" si="5"/>
        <v/>
      </c>
      <c r="AA24" t="str">
        <f t="shared" si="6"/>
        <v/>
      </c>
      <c r="AB24" t="str">
        <f t="shared" si="6"/>
        <v/>
      </c>
      <c r="AC24" t="str">
        <f t="shared" si="6"/>
        <v/>
      </c>
      <c r="AD24" t="str">
        <f t="shared" si="7"/>
        <v/>
      </c>
      <c r="AE24" t="str">
        <f t="shared" si="7"/>
        <v/>
      </c>
      <c r="AF24" t="str">
        <f t="shared" si="8"/>
        <v/>
      </c>
      <c r="AG24" t="str">
        <f t="shared" si="9"/>
        <v/>
      </c>
      <c r="AH24" t="str">
        <f t="shared" si="10"/>
        <v/>
      </c>
      <c r="AI24" t="str">
        <f t="shared" si="11"/>
        <v/>
      </c>
      <c r="AJ24" t="str">
        <f t="shared" si="12"/>
        <v/>
      </c>
      <c r="AK24" t="str">
        <f t="shared" si="13"/>
        <v/>
      </c>
      <c r="AM24" t="str">
        <f>IF(LEN(G24),IF(OR(COUNTIF(G24,"*◆*"),COUNTIF(G24,"*▼*"),COUNTIF(G24,"*■*")),"","●"),"")</f>
        <v>●</v>
      </c>
      <c r="AN24">
        <f>IF(AM24="●",(AN$4+MOD(INT(MID(E24,5,3)),AN$2))*AN$6,"")</f>
        <v>4160</v>
      </c>
      <c r="AO24" t="str">
        <f>IF($AM24="●","LDP "&amp;E24&amp;"."&amp;$B$14,"")</f>
        <v>LDP stEx416.x2</v>
      </c>
      <c r="AP24" t="str">
        <f>IF($AM24="●","AND=.D "&amp;$B$15&amp;" #0","")</f>
        <v>AND=.D stM.udiErrNo #0</v>
      </c>
      <c r="AQ24" t="str">
        <f>IF($AM24="●","MOV.D #"&amp;AN24&amp;" "&amp;$B$15,"")</f>
        <v>MOV.D #4160 stM.udiErrNo</v>
      </c>
      <c r="AR24" t="str">
        <f>IF(LEN(AK24),"MOV.D "&amp;$AK24&amp;" "&amp;$B$17,"")</f>
        <v/>
      </c>
      <c r="AS24" t="str">
        <f>IF(AND(D24&lt;&gt;0,AM24="●"),CHAR(10),"")&amp;IF(LEN(AO24),AO24,"")</f>
        <v xml:space="preserve">
LDP stEx416.x2</v>
      </c>
      <c r="AT24" t="str">
        <f t="shared" si="3"/>
        <v xml:space="preserve">
LDP stEx416.x2
AND=.D stM.udiErrNo #0</v>
      </c>
      <c r="AU24" t="str">
        <f t="shared" si="4"/>
        <v xml:space="preserve">
LDP stEx416.x2
AND=.D stM.udiErrNo #0
MOV.D #4160 stM.udiErrNo</v>
      </c>
      <c r="AV24" t="str">
        <f t="shared" si="14"/>
        <v xml:space="preserve">
LDP stEx416.x2
AND=.D stM.udiErrNo #0
MOV.D #4160 stM.udiErrNo
</v>
      </c>
      <c r="AW24" t="str">
        <f t="shared" si="15"/>
        <v xml:space="preserve">
LDP stEx416.x2
AND=.D stM.udiErrNo #0
MOV.D #4160 stM.udiErrNo
</v>
      </c>
      <c r="AY24" t="str">
        <f ca="1">IF($AM24="●",AT24&amp;CHAR(10)&amp;"BOX_ST"&amp;CHAR(10)&amp;";//"&amp;$B$10,"")</f>
        <v xml:space="preserve">
LDP stEx416.x2
AND=.D stM.udiErrNo #0
BOX_ST
;//このスクリプトは C:\tk\prj\hg-0025-0016\git\kv-x520\doc\[kv_script_exe_errno.xlsm]info_script によって生成されました。</v>
      </c>
      <c r="AZ24" t="str">
        <f ca="1">IF($AM24="●",IF(LEN(AY24),AY24&amp;CHAR(10),"")&amp;";//エラーNo.を入れる"&amp;CHAR(10)&amp;";"&amp;$B$15&amp;"	:= "&amp;AN24&amp;";","")</f>
        <v xml:space="preserve">
LDP stEx416.x2
AND=.D stM.udiErrNo #0
BOX_ST
;//このスクリプトは C:\tk\prj\hg-0025-0016\git\kv-x520\doc\[kv_script_exe_errno.xlsm]info_script によって生成されました。
;//エラーNo.を入れる
;stM.udiErrNo	:= 4160;</v>
      </c>
      <c r="BA24" t="str">
        <f ca="1">IF($AM24="●",IF(LEN(AZ24),AZ24&amp;CHAR(10),"")&amp;";//カウントする"&amp;CHAR(10)&amp;";"&amp;$B$16&amp;"	:= "&amp;$B$16&amp;" + 1;","")</f>
        <v xml:space="preserve">
LDP stEx416.x2
AND=.D stM.udiErrNo #0
BOX_ST
;//このスクリプトは C:\tk\prj\hg-0025-0016\git\kv-x520\doc\[kv_script_exe_errno.xlsm]info_script によって生成されました。
;//エラーNo.を入れる
;stM.udiErrNo	:= 4160;
;//カウントする
;stM.uiEDCnt	:= stM.uiEDCnt + 1;</v>
      </c>
      <c r="BB24" t="str">
        <f ca="1">IF($AM24="●",IF(LEN(BA24),BA24&amp;CHAR(10),"")&amp;IF(LEN(AK24),";//エラーコードを入れる"&amp;CHAR(10)&amp;";"&amp;$B$17&amp;"	:= "&amp;AK24&amp;".udiErr;",""),"")</f>
        <v xml:space="preserve">
LDP stEx416.x2
AND=.D stM.udiErrNo #0
BOX_ST
;//このスクリプトは C:\tk\prj\hg-0025-0016\git\kv-x520\doc\[kv_script_exe_errno.xlsm]info_script によって生成されました。
;//エラーNo.を入れる
;stM.udiErrNo	:= 4160;
;//カウントする
;stM.uiEDCnt	:= stM.uiEDCnt + 1;
</v>
      </c>
      <c r="BC24" t="str">
        <f ca="1">IF($AM24="●",IF(LEN(BB24),BB24&amp;CHAR(10),"")&amp;";//"&amp;$B$11,"")</f>
        <v xml:space="preserve">
LDP stEx416.x2
AND=.D stM.udiErrNo #0
BOX_ST
;//このスクリプトは C:\tk\prj\hg-0025-0016\git\kv-x520\doc\[kv_script_exe_errno.xlsm]info_script によって生成されました。
;//エラーNo.を入れる
;stM.udiErrNo	:= 4160;
;//カウントする
;stM.uiEDCnt	:= stM.uiEDCnt + 1;
;//-----ここまで生成script-----</v>
      </c>
      <c r="BE24">
        <f>INT(D24/$BE$6)</f>
        <v>5</v>
      </c>
      <c r="BF24">
        <f>MOD(D24,$BE$6)</f>
        <v>1</v>
      </c>
      <c r="BG24" t="str">
        <f>IF(LEN(E24),E24&amp;".x"&amp;TEXT(BF24,"0")&amp;CHAR(9)&amp;" := FALSE;","")</f>
        <v>stEx416.x1	 := FALSE;</v>
      </c>
      <c r="BH24" t="str">
        <f t="shared" si="16"/>
        <v xml:space="preserve">stEx416.x1	 := FALSE;
</v>
      </c>
    </row>
    <row r="25" spans="1:60" x14ac:dyDescent="0.55000000000000004">
      <c r="D25">
        <v>17</v>
      </c>
      <c r="E25" t="str">
        <f>IF(LEN(I25),I25,IF(LEN(Q25),Q25,""))</f>
        <v>stEx417</v>
      </c>
      <c r="F25" t="str">
        <f>IF(LEN(J25),J25,IF(LEN(R25),R25,""))</f>
        <v>EXE_DIREC</v>
      </c>
      <c r="G25" t="str">
        <f>IF(LEN(O25),O25,IF(LEN(X25),X25,""))</f>
        <v>&gt;&gt;▼巻き中測定 有無</v>
      </c>
      <c r="Q25" t="s">
        <v>69</v>
      </c>
      <c r="R25" t="s">
        <v>0</v>
      </c>
      <c r="U25" t="b">
        <v>0</v>
      </c>
      <c r="V25" t="b">
        <v>0</v>
      </c>
      <c r="W25" t="b">
        <v>0</v>
      </c>
      <c r="X25" t="s">
        <v>70</v>
      </c>
      <c r="Z25" t="str">
        <f t="shared" si="5"/>
        <v/>
      </c>
      <c r="AA25" t="str">
        <f t="shared" si="6"/>
        <v/>
      </c>
      <c r="AB25" t="str">
        <f t="shared" si="6"/>
        <v/>
      </c>
      <c r="AC25" t="str">
        <f t="shared" si="6"/>
        <v/>
      </c>
      <c r="AD25" t="str">
        <f t="shared" si="7"/>
        <v/>
      </c>
      <c r="AE25" t="str">
        <f t="shared" si="7"/>
        <v/>
      </c>
      <c r="AF25" t="str">
        <f t="shared" si="8"/>
        <v/>
      </c>
      <c r="AG25" t="str">
        <f t="shared" si="9"/>
        <v/>
      </c>
      <c r="AH25" t="str">
        <f t="shared" si="10"/>
        <v/>
      </c>
      <c r="AI25" t="str">
        <f t="shared" si="11"/>
        <v/>
      </c>
      <c r="AJ25" t="str">
        <f t="shared" si="12"/>
        <v/>
      </c>
      <c r="AK25" t="str">
        <f t="shared" si="13"/>
        <v/>
      </c>
      <c r="AM25" t="str">
        <f>IF(LEN(G25),IF(OR(COUNTIF(G25,"*◆*"),COUNTIF(G25,"*▼*"),COUNTIF(G25,"*■*")),"","●"),"")</f>
        <v/>
      </c>
      <c r="AN25" t="str">
        <f>IF(AM25="●",(AN$4+MOD(INT(MID(E25,5,3)),AN$2))*AN$6,"")</f>
        <v/>
      </c>
      <c r="AO25" t="str">
        <f>IF($AM25="●","LDP "&amp;E25&amp;"."&amp;$B$14,"")</f>
        <v/>
      </c>
      <c r="AP25" t="str">
        <f>IF($AM25="●","AND=.D "&amp;$B$15&amp;" #0","")</f>
        <v/>
      </c>
      <c r="AQ25" t="str">
        <f>IF($AM25="●","MOV.D #"&amp;AN25&amp;" "&amp;$B$15,"")</f>
        <v/>
      </c>
      <c r="AR25" t="str">
        <f>IF(LEN(AK25),"MOV.D "&amp;$AK25&amp;" "&amp;$B$17,"")</f>
        <v/>
      </c>
      <c r="AS25" t="str">
        <f>IF(AND(D25&lt;&gt;0,AM25="●"),CHAR(10),"")&amp;IF(LEN(AO25),AO25,"")</f>
        <v/>
      </c>
      <c r="AT25" t="str">
        <f t="shared" si="3"/>
        <v/>
      </c>
      <c r="AU25" t="str">
        <f t="shared" si="4"/>
        <v/>
      </c>
      <c r="AV25" t="str">
        <f t="shared" si="14"/>
        <v/>
      </c>
      <c r="AW25" t="str">
        <f t="shared" si="15"/>
        <v/>
      </c>
      <c r="AY25" t="str">
        <f>IF($AM25="●",AT25&amp;CHAR(10)&amp;"BOX_ST"&amp;CHAR(10)&amp;";//"&amp;$B$10,"")</f>
        <v/>
      </c>
      <c r="AZ25" t="str">
        <f>IF($AM25="●",IF(LEN(AY25),AY25&amp;CHAR(10),"")&amp;";//エラーNo.を入れる"&amp;CHAR(10)&amp;";"&amp;$B$15&amp;"	:= "&amp;AN25&amp;";","")</f>
        <v/>
      </c>
      <c r="BA25" t="str">
        <f>IF($AM25="●",IF(LEN(AZ25),AZ25&amp;CHAR(10),"")&amp;";//カウントする"&amp;CHAR(10)&amp;";"&amp;$B$16&amp;"	:= "&amp;$B$16&amp;" + 1;","")</f>
        <v/>
      </c>
      <c r="BB25" t="str">
        <f>IF($AM25="●",IF(LEN(BA25),BA25&amp;CHAR(10),"")&amp;IF(LEN(AK25),";//エラーコードを入れる"&amp;CHAR(10)&amp;";"&amp;$B$17&amp;"	:= "&amp;AK25&amp;".udiErr;",""),"")</f>
        <v/>
      </c>
      <c r="BC25" t="str">
        <f>IF($AM25="●",IF(LEN(BB25),BB25&amp;CHAR(10),"")&amp;";//"&amp;$B$11,"")</f>
        <v/>
      </c>
      <c r="BE25">
        <f>INT(D25/$BE$6)</f>
        <v>5</v>
      </c>
      <c r="BF25">
        <f>MOD(D25,$BE$6)</f>
        <v>2</v>
      </c>
      <c r="BG25" t="str">
        <f>IF(LEN(E25),E25&amp;".x"&amp;TEXT(BF25,"0")&amp;CHAR(9)&amp;" := FALSE;","")</f>
        <v>stEx417.x2	 := FALSE;</v>
      </c>
      <c r="BH25" t="str">
        <f t="shared" si="16"/>
        <v xml:space="preserve">stEx417.x2	 := FALSE;
</v>
      </c>
    </row>
    <row r="26" spans="1:60" x14ac:dyDescent="0.55000000000000004">
      <c r="D26">
        <v>18</v>
      </c>
      <c r="E26" t="str">
        <f>IF(LEN(I26),I26,IF(LEN(Q26),Q26,""))</f>
        <v>stEx418</v>
      </c>
      <c r="F26" t="str">
        <f>IF(LEN(J26),J26,IF(LEN(R26),R26,""))</f>
        <v>EXE_DIREC</v>
      </c>
      <c r="G26" t="str">
        <f>IF(LEN(O26),O26,IF(LEN(X26),X26,""))</f>
        <v>&gt;▼整え+測定</v>
      </c>
      <c r="Q26" t="s">
        <v>71</v>
      </c>
      <c r="R26" t="s">
        <v>0</v>
      </c>
      <c r="U26" t="b">
        <v>0</v>
      </c>
      <c r="V26" t="b">
        <v>0</v>
      </c>
      <c r="W26" t="b">
        <v>0</v>
      </c>
      <c r="X26" t="s">
        <v>72</v>
      </c>
      <c r="Z26" t="str">
        <f t="shared" si="5"/>
        <v/>
      </c>
      <c r="AA26" t="str">
        <f t="shared" si="6"/>
        <v/>
      </c>
      <c r="AB26" t="str">
        <f t="shared" si="6"/>
        <v/>
      </c>
      <c r="AC26" t="str">
        <f t="shared" si="6"/>
        <v/>
      </c>
      <c r="AD26" t="str">
        <f t="shared" si="7"/>
        <v/>
      </c>
      <c r="AE26" t="str">
        <f t="shared" si="7"/>
        <v/>
      </c>
      <c r="AF26" t="str">
        <f t="shared" si="8"/>
        <v/>
      </c>
      <c r="AG26" t="str">
        <f t="shared" si="9"/>
        <v/>
      </c>
      <c r="AH26" t="str">
        <f t="shared" si="10"/>
        <v/>
      </c>
      <c r="AI26" t="str">
        <f t="shared" si="11"/>
        <v/>
      </c>
      <c r="AJ26" t="str">
        <f t="shared" si="12"/>
        <v/>
      </c>
      <c r="AK26" t="str">
        <f t="shared" si="13"/>
        <v/>
      </c>
      <c r="AM26" t="str">
        <f>IF(LEN(G26),IF(OR(COUNTIF(G26,"*◆*"),COUNTIF(G26,"*▼*"),COUNTIF(G26,"*■*")),"","●"),"")</f>
        <v/>
      </c>
      <c r="AN26" t="str">
        <f>IF(AM26="●",(AN$4+MOD(INT(MID(E26,5,3)),AN$2))*AN$6,"")</f>
        <v/>
      </c>
      <c r="AO26" t="str">
        <f>IF($AM26="●","LDP "&amp;E26&amp;"."&amp;$B$14,"")</f>
        <v/>
      </c>
      <c r="AP26" t="str">
        <f>IF($AM26="●","AND=.D "&amp;$B$15&amp;" #0","")</f>
        <v/>
      </c>
      <c r="AQ26" t="str">
        <f>IF($AM26="●","MOV.D #"&amp;AN26&amp;" "&amp;$B$15,"")</f>
        <v/>
      </c>
      <c r="AR26" t="str">
        <f>IF(LEN(AK26),"MOV.D "&amp;$AK26&amp;" "&amp;$B$17,"")</f>
        <v/>
      </c>
      <c r="AS26" t="str">
        <f>IF(AND(D26&lt;&gt;0,AM26="●"),CHAR(10),"")&amp;IF(LEN(AO26),AO26,"")</f>
        <v/>
      </c>
      <c r="AT26" t="str">
        <f t="shared" si="3"/>
        <v/>
      </c>
      <c r="AU26" t="str">
        <f t="shared" si="4"/>
        <v/>
      </c>
      <c r="AV26" t="str">
        <f t="shared" si="14"/>
        <v/>
      </c>
      <c r="AW26" t="str">
        <f t="shared" si="15"/>
        <v/>
      </c>
      <c r="AY26" t="str">
        <f>IF($AM26="●",AT26&amp;CHAR(10)&amp;"BOX_ST"&amp;CHAR(10)&amp;";//"&amp;$B$10,"")</f>
        <v/>
      </c>
      <c r="AZ26" t="str">
        <f>IF($AM26="●",IF(LEN(AY26),AY26&amp;CHAR(10),"")&amp;";//エラーNo.を入れる"&amp;CHAR(10)&amp;";"&amp;$B$15&amp;"	:= "&amp;AN26&amp;";","")</f>
        <v/>
      </c>
      <c r="BA26" t="str">
        <f>IF($AM26="●",IF(LEN(AZ26),AZ26&amp;CHAR(10),"")&amp;";//カウントする"&amp;CHAR(10)&amp;";"&amp;$B$16&amp;"	:= "&amp;$B$16&amp;" + 1;","")</f>
        <v/>
      </c>
      <c r="BB26" t="str">
        <f>IF($AM26="●",IF(LEN(BA26),BA26&amp;CHAR(10),"")&amp;IF(LEN(AK26),";//エラーコードを入れる"&amp;CHAR(10)&amp;";"&amp;$B$17&amp;"	:= "&amp;AK26&amp;".udiErr;",""),"")</f>
        <v/>
      </c>
      <c r="BC26" t="str">
        <f>IF($AM26="●",IF(LEN(BB26),BB26&amp;CHAR(10),"")&amp;";//"&amp;$B$11,"")</f>
        <v/>
      </c>
      <c r="BE26">
        <f>INT(D26/$BE$6)</f>
        <v>6</v>
      </c>
      <c r="BF26">
        <f>MOD(D26,$BE$6)</f>
        <v>0</v>
      </c>
      <c r="BG26" t="str">
        <f>IF(LEN(E26),E26&amp;".x"&amp;TEXT(BF26,"0")&amp;CHAR(9)&amp;" := FALSE;","")</f>
        <v>stEx418.x0	 := FALSE;</v>
      </c>
      <c r="BH26" t="str">
        <f t="shared" si="16"/>
        <v xml:space="preserve">stEx418.x0	 := FALSE;
</v>
      </c>
    </row>
    <row r="27" spans="1:60" x14ac:dyDescent="0.55000000000000004">
      <c r="D27">
        <v>19</v>
      </c>
      <c r="E27" t="str">
        <f>IF(LEN(I27),I27,IF(LEN(Q27),Q27,""))</f>
        <v>stEx419</v>
      </c>
      <c r="F27" t="str">
        <f>IF(LEN(J27),J27,IF(LEN(R27),R27,""))</f>
        <v>EXE_DIREC</v>
      </c>
      <c r="G27" t="str">
        <f>IF(LEN(O27),O27,IF(LEN(X27),X27,""))</f>
        <v>&gt;◆波板ﾉﾘ 有無判定</v>
      </c>
      <c r="Q27" t="s">
        <v>73</v>
      </c>
      <c r="R27" t="s">
        <v>0</v>
      </c>
      <c r="U27" t="b">
        <v>0</v>
      </c>
      <c r="V27" t="b">
        <v>0</v>
      </c>
      <c r="W27" t="b">
        <v>0</v>
      </c>
      <c r="X27" t="s">
        <v>74</v>
      </c>
      <c r="Z27" t="str">
        <f t="shared" si="5"/>
        <v/>
      </c>
      <c r="AA27" t="str">
        <f t="shared" si="6"/>
        <v/>
      </c>
      <c r="AB27" t="str">
        <f t="shared" si="6"/>
        <v/>
      </c>
      <c r="AC27" t="str">
        <f t="shared" si="6"/>
        <v/>
      </c>
      <c r="AD27" t="str">
        <f t="shared" si="7"/>
        <v/>
      </c>
      <c r="AE27" t="str">
        <f t="shared" si="7"/>
        <v/>
      </c>
      <c r="AF27" t="str">
        <f t="shared" si="8"/>
        <v/>
      </c>
      <c r="AG27" t="str">
        <f t="shared" si="9"/>
        <v/>
      </c>
      <c r="AH27" t="str">
        <f t="shared" si="10"/>
        <v/>
      </c>
      <c r="AI27" t="str">
        <f t="shared" si="11"/>
        <v/>
      </c>
      <c r="AJ27" t="str">
        <f t="shared" si="12"/>
        <v/>
      </c>
      <c r="AK27" t="str">
        <f t="shared" si="13"/>
        <v/>
      </c>
      <c r="AM27" t="str">
        <f>IF(LEN(G27),IF(OR(COUNTIF(G27,"*◆*"),COUNTIF(G27,"*▼*"),COUNTIF(G27,"*■*")),"","●"),"")</f>
        <v/>
      </c>
      <c r="AN27" t="str">
        <f>IF(AM27="●",(AN$4+MOD(INT(MID(E27,5,3)),AN$2))*AN$6,"")</f>
        <v/>
      </c>
      <c r="AO27" t="str">
        <f>IF($AM27="●","LDP "&amp;E27&amp;"."&amp;$B$14,"")</f>
        <v/>
      </c>
      <c r="AP27" t="str">
        <f>IF($AM27="●","AND=.D "&amp;$B$15&amp;" #0","")</f>
        <v/>
      </c>
      <c r="AQ27" t="str">
        <f>IF($AM27="●","MOV.D #"&amp;AN27&amp;" "&amp;$B$15,"")</f>
        <v/>
      </c>
      <c r="AR27" t="str">
        <f>IF(LEN(AK27),"MOV.D "&amp;$AK27&amp;" "&amp;$B$17,"")</f>
        <v/>
      </c>
      <c r="AS27" t="str">
        <f>IF(AND(D27&lt;&gt;0,AM27="●"),CHAR(10),"")&amp;IF(LEN(AO27),AO27,"")</f>
        <v/>
      </c>
      <c r="AT27" t="str">
        <f t="shared" si="3"/>
        <v/>
      </c>
      <c r="AU27" t="str">
        <f t="shared" si="4"/>
        <v/>
      </c>
      <c r="AV27" t="str">
        <f t="shared" si="14"/>
        <v/>
      </c>
      <c r="AW27" t="str">
        <f t="shared" si="15"/>
        <v/>
      </c>
      <c r="AY27" t="str">
        <f>IF($AM27="●",AT27&amp;CHAR(10)&amp;"BOX_ST"&amp;CHAR(10)&amp;";//"&amp;$B$10,"")</f>
        <v/>
      </c>
      <c r="AZ27" t="str">
        <f>IF($AM27="●",IF(LEN(AY27),AY27&amp;CHAR(10),"")&amp;";//エラーNo.を入れる"&amp;CHAR(10)&amp;";"&amp;$B$15&amp;"	:= "&amp;AN27&amp;";","")</f>
        <v/>
      </c>
      <c r="BA27" t="str">
        <f>IF($AM27="●",IF(LEN(AZ27),AZ27&amp;CHAR(10),"")&amp;";//カウントする"&amp;CHAR(10)&amp;";"&amp;$B$16&amp;"	:= "&amp;$B$16&amp;" + 1;","")</f>
        <v/>
      </c>
      <c r="BB27" t="str">
        <f>IF($AM27="●",IF(LEN(BA27),BA27&amp;CHAR(10),"")&amp;IF(LEN(AK27),";//エラーコードを入れる"&amp;CHAR(10)&amp;";"&amp;$B$17&amp;"	:= "&amp;AK27&amp;".udiErr;",""),"")</f>
        <v/>
      </c>
      <c r="BC27" t="str">
        <f>IF($AM27="●",IF(LEN(BB27),BB27&amp;CHAR(10),"")&amp;";//"&amp;$B$11,"")</f>
        <v/>
      </c>
      <c r="BE27">
        <f>INT(D27/$BE$6)</f>
        <v>6</v>
      </c>
      <c r="BF27">
        <f>MOD(D27,$BE$6)</f>
        <v>1</v>
      </c>
      <c r="BG27" t="str">
        <f>IF(LEN(E27),E27&amp;".x"&amp;TEXT(BF27,"0")&amp;CHAR(9)&amp;" := FALSE;","")</f>
        <v>stEx419.x1	 := FALSE;</v>
      </c>
      <c r="BH27" t="str">
        <f t="shared" si="16"/>
        <v xml:space="preserve">stEx419.x1	 := FALSE;
</v>
      </c>
    </row>
    <row r="28" spans="1:60" x14ac:dyDescent="0.55000000000000004">
      <c r="D28">
        <v>20</v>
      </c>
      <c r="E28" t="str">
        <f>IF(LEN(I28),I28,IF(LEN(Q28),Q28,""))</f>
        <v>stEx420</v>
      </c>
      <c r="F28" t="str">
        <f>IF(LEN(J28),J28,IF(LEN(R28),R28,""))</f>
        <v>EXE_DIREC</v>
      </c>
      <c r="G28" t="str">
        <f>IF(LEN(O28),O28,IF(LEN(X28),X28,""))</f>
        <v>&gt;&gt;●AXO17 波板補助 退避</v>
      </c>
      <c r="Q28" t="s">
        <v>75</v>
      </c>
      <c r="R28" t="s">
        <v>0</v>
      </c>
      <c r="U28" t="b">
        <v>0</v>
      </c>
      <c r="V28" t="b">
        <v>0</v>
      </c>
      <c r="W28" t="b">
        <v>0</v>
      </c>
      <c r="X28" t="s">
        <v>76</v>
      </c>
      <c r="Z28">
        <f t="shared" si="5"/>
        <v>17</v>
      </c>
      <c r="AA28" t="str">
        <f t="shared" si="6"/>
        <v/>
      </c>
      <c r="AB28" t="str">
        <f t="shared" si="6"/>
        <v/>
      </c>
      <c r="AC28" t="str">
        <f t="shared" si="6"/>
        <v/>
      </c>
      <c r="AD28" t="str">
        <f t="shared" si="7"/>
        <v/>
      </c>
      <c r="AE28" t="str">
        <f t="shared" si="7"/>
        <v/>
      </c>
      <c r="AF28" t="str">
        <f t="shared" si="8"/>
        <v>stDevIn.astAXO[3]</v>
      </c>
      <c r="AG28" t="str">
        <f t="shared" si="9"/>
        <v/>
      </c>
      <c r="AH28" t="str">
        <f t="shared" si="10"/>
        <v/>
      </c>
      <c r="AI28" t="str">
        <f t="shared" si="11"/>
        <v/>
      </c>
      <c r="AJ28" t="str">
        <f t="shared" si="12"/>
        <v/>
      </c>
      <c r="AK28" t="str">
        <f t="shared" si="13"/>
        <v>stDevIn.astAXO[3]</v>
      </c>
      <c r="AM28" t="str">
        <f>IF(LEN(G28),IF(OR(COUNTIF(G28,"*◆*"),COUNTIF(G28,"*▼*"),COUNTIF(G28,"*■*")),"","●"),"")</f>
        <v>●</v>
      </c>
      <c r="AN28">
        <f>IF(AM28="●",(AN$4+MOD(INT(MID(E28,5,3)),AN$2))*AN$6,"")</f>
        <v>4200</v>
      </c>
      <c r="AO28" t="str">
        <f>IF($AM28="●","LDP "&amp;E28&amp;"."&amp;$B$14,"")</f>
        <v>LDP stEx420.x2</v>
      </c>
      <c r="AP28" t="str">
        <f>IF($AM28="●","AND=.D "&amp;$B$15&amp;" #0","")</f>
        <v>AND=.D stM.udiErrNo #0</v>
      </c>
      <c r="AQ28" t="str">
        <f>IF($AM28="●","MOV.D #"&amp;AN28&amp;" "&amp;$B$15,"")</f>
        <v>MOV.D #4200 stM.udiErrNo</v>
      </c>
      <c r="AR28" t="str">
        <f>IF(LEN(AK28),"MOV.D "&amp;$AK28&amp;" "&amp;$B$17,"")</f>
        <v>MOV.D stDevIn.astAXO[3] stM.udiSubErr</v>
      </c>
      <c r="AS28" t="str">
        <f>IF(AND(D28&lt;&gt;0,AM28="●"),CHAR(10),"")&amp;IF(LEN(AO28),AO28,"")</f>
        <v xml:space="preserve">
LDP stEx420.x2</v>
      </c>
      <c r="AT28" t="str">
        <f t="shared" si="3"/>
        <v xml:space="preserve">
LDP stEx420.x2
AND=.D stM.udiErrNo #0</v>
      </c>
      <c r="AU28" t="str">
        <f t="shared" si="4"/>
        <v xml:space="preserve">
LDP stEx420.x2
AND=.D stM.udiErrNo #0
MOV.D #4200 stM.udiErrNo</v>
      </c>
      <c r="AV28" t="str">
        <f t="shared" si="14"/>
        <v xml:space="preserve">
LDP stEx420.x2
AND=.D stM.udiErrNo #0
MOV.D #4200 stM.udiErrNo
MOV.D stDevIn.astAXO[3] stM.udiSubErr</v>
      </c>
      <c r="AW28" t="str">
        <f t="shared" si="15"/>
        <v xml:space="preserve">
LDP stEx420.x2
AND=.D stM.udiErrNo #0
MOV.D #4200 stM.udiErrNo
MOV.D stDevIn.astAXO[3] stM.udiSubErr</v>
      </c>
      <c r="AY28" t="str">
        <f ca="1">IF($AM28="●",AT28&amp;CHAR(10)&amp;"BOX_ST"&amp;CHAR(10)&amp;";//"&amp;$B$10,"")</f>
        <v xml:space="preserve">
LDP stEx420.x2
AND=.D stM.udiErrNo #0
BOX_ST
;//このスクリプトは C:\tk\prj\hg-0025-0016\git\kv-x520\doc\[kv_script_exe_errno.xlsm]info_script によって生成されました。</v>
      </c>
      <c r="AZ28" t="str">
        <f ca="1">IF($AM28="●",IF(LEN(AY28),AY28&amp;CHAR(10),"")&amp;";//エラーNo.を入れる"&amp;CHAR(10)&amp;";"&amp;$B$15&amp;"	:= "&amp;AN28&amp;";","")</f>
        <v xml:space="preserve">
LDP stEx420.x2
AND=.D stM.udiErrNo #0
BOX_ST
;//このスクリプトは C:\tk\prj\hg-0025-0016\git\kv-x520\doc\[kv_script_exe_errno.xlsm]info_script によって生成されました。
;//エラーNo.を入れる
;stM.udiErrNo	:= 4200;</v>
      </c>
      <c r="BA28" t="str">
        <f ca="1">IF($AM28="●",IF(LEN(AZ28),AZ28&amp;CHAR(10),"")&amp;";//カウントする"&amp;CHAR(10)&amp;";"&amp;$B$16&amp;"	:= "&amp;$B$16&amp;" + 1;","")</f>
        <v xml:space="preserve">
LDP stEx420.x2
AND=.D stM.udiErrNo #0
BOX_ST
;//このスクリプトは C:\tk\prj\hg-0025-0016\git\kv-x520\doc\[kv_script_exe_errno.xlsm]info_script によって生成されました。
;//エラーNo.を入れる
;stM.udiErrNo	:= 4200;
;//カウントする
;stM.uiEDCnt	:= stM.uiEDCnt + 1;</v>
      </c>
      <c r="BB28" t="str">
        <f ca="1">IF($AM28="●",IF(LEN(BA28),BA28&amp;CHAR(10),"")&amp;IF(LEN(AK28),";//エラーコードを入れる"&amp;CHAR(10)&amp;";"&amp;$B$17&amp;"	:= "&amp;AK28&amp;".udiErr;",""),"")</f>
        <v xml:space="preserve">
LDP stEx420.x2
AND=.D stM.udiErrNo #0
BOX_ST
;//このスクリプトは C:\tk\prj\hg-0025-0016\git\kv-x520\doc\[kv_script_exe_errno.xlsm]info_script によって生成されました。
;//エラーNo.を入れる
;stM.udiErrNo	:= 4200;
;//カウントする
;stM.uiEDCnt	:= stM.uiEDCnt + 1;
;//エラーコードを入れる
;stM.udiSubErr	:= stDevIn.astAXO[3].udiErr;</v>
      </c>
      <c r="BC28" t="str">
        <f ca="1">IF($AM28="●",IF(LEN(BB28),BB28&amp;CHAR(10),"")&amp;";//"&amp;$B$11,"")</f>
        <v xml:space="preserve">
LDP stEx420.x2
AND=.D stM.udiErrNo #0
BOX_ST
;//このスクリプトは C:\tk\prj\hg-0025-0016\git\kv-x520\doc\[kv_script_exe_errno.xlsm]info_script によって生成されました。
;//エラーNo.を入れる
;stM.udiErrNo	:= 4200;
;//カウントする
;stM.uiEDCnt	:= stM.uiEDCnt + 1;
;//エラーコードを入れる
;stM.udiSubErr	:= stDevIn.astAXO[3].udiErr;
;//-----ここまで生成script-----</v>
      </c>
      <c r="BE28">
        <f>INT(D28/$BE$6)</f>
        <v>6</v>
      </c>
      <c r="BF28">
        <f>MOD(D28,$BE$6)</f>
        <v>2</v>
      </c>
      <c r="BG28" t="str">
        <f>IF(LEN(E28),E28&amp;".x"&amp;TEXT(BF28,"0")&amp;CHAR(9)&amp;" := FALSE;","")</f>
        <v>stEx420.x2	 := FALSE;</v>
      </c>
      <c r="BH28" t="str">
        <f t="shared" si="16"/>
        <v xml:space="preserve">stEx420.x2	 := FALSE;
</v>
      </c>
    </row>
    <row r="29" spans="1:60" x14ac:dyDescent="0.55000000000000004">
      <c r="D29">
        <v>21</v>
      </c>
      <c r="E29" t="str">
        <f>IF(LEN(I29),I29,IF(LEN(Q29),Q29,""))</f>
        <v>stEx421</v>
      </c>
      <c r="F29" t="str">
        <f>IF(LEN(J29),J29,IF(LEN(R29),R29,""))</f>
        <v>EXE_DIREC</v>
      </c>
      <c r="G29" t="str">
        <f>IF(LEN(O29),O29,IF(LEN(X29),X29,""))</f>
        <v>&gt;&gt;●CYL02波ﾉﾘ1 塗布開始</v>
      </c>
      <c r="Q29" t="s">
        <v>77</v>
      </c>
      <c r="R29" t="s">
        <v>0</v>
      </c>
      <c r="U29" t="b">
        <v>0</v>
      </c>
      <c r="V29" t="b">
        <v>0</v>
      </c>
      <c r="W29" t="b">
        <v>0</v>
      </c>
      <c r="X29" t="s">
        <v>78</v>
      </c>
      <c r="Z29" t="str">
        <f t="shared" si="5"/>
        <v/>
      </c>
      <c r="AA29">
        <f t="shared" si="6"/>
        <v>2</v>
      </c>
      <c r="AB29" t="str">
        <f t="shared" si="6"/>
        <v/>
      </c>
      <c r="AC29" t="str">
        <f t="shared" si="6"/>
        <v/>
      </c>
      <c r="AD29" t="str">
        <f t="shared" si="7"/>
        <v/>
      </c>
      <c r="AE29" t="str">
        <f t="shared" si="7"/>
        <v/>
      </c>
      <c r="AF29" t="str">
        <f t="shared" si="8"/>
        <v/>
      </c>
      <c r="AG29" t="str">
        <f t="shared" si="9"/>
        <v/>
      </c>
      <c r="AH29" t="str">
        <f t="shared" si="10"/>
        <v>stDevIn.astCYL[1]</v>
      </c>
      <c r="AI29" t="str">
        <f t="shared" si="11"/>
        <v/>
      </c>
      <c r="AJ29" t="str">
        <f t="shared" si="12"/>
        <v/>
      </c>
      <c r="AK29" t="str">
        <f t="shared" si="13"/>
        <v>stDevIn.astCYL[1]</v>
      </c>
      <c r="AM29" t="str">
        <f>IF(LEN(G29),IF(OR(COUNTIF(G29,"*◆*"),COUNTIF(G29,"*▼*"),COUNTIF(G29,"*■*")),"","●"),"")</f>
        <v>●</v>
      </c>
      <c r="AN29">
        <f>IF(AM29="●",(AN$4+MOD(INT(MID(E29,5,3)),AN$2))*AN$6,"")</f>
        <v>4210</v>
      </c>
      <c r="AO29" t="str">
        <f>IF($AM29="●","LDP "&amp;E29&amp;"."&amp;$B$14,"")</f>
        <v>LDP stEx421.x2</v>
      </c>
      <c r="AP29" t="str">
        <f>IF($AM29="●","AND=.D "&amp;$B$15&amp;" #0","")</f>
        <v>AND=.D stM.udiErrNo #0</v>
      </c>
      <c r="AQ29" t="str">
        <f>IF($AM29="●","MOV.D #"&amp;AN29&amp;" "&amp;$B$15,"")</f>
        <v>MOV.D #4210 stM.udiErrNo</v>
      </c>
      <c r="AR29" t="str">
        <f>IF(LEN(AK29),"MOV.D "&amp;$AK29&amp;" "&amp;$B$17,"")</f>
        <v>MOV.D stDevIn.astCYL[1] stM.udiSubErr</v>
      </c>
      <c r="AS29" t="str">
        <f>IF(AND(D29&lt;&gt;0,AM29="●"),CHAR(10),"")&amp;IF(LEN(AO29),AO29,"")</f>
        <v xml:space="preserve">
LDP stEx421.x2</v>
      </c>
      <c r="AT29" t="str">
        <f t="shared" si="3"/>
        <v xml:space="preserve">
LDP stEx421.x2
AND=.D stM.udiErrNo #0</v>
      </c>
      <c r="AU29" t="str">
        <f t="shared" si="4"/>
        <v xml:space="preserve">
LDP stEx421.x2
AND=.D stM.udiErrNo #0
MOV.D #4210 stM.udiErrNo</v>
      </c>
      <c r="AV29" t="str">
        <f t="shared" si="14"/>
        <v xml:space="preserve">
LDP stEx421.x2
AND=.D stM.udiErrNo #0
MOV.D #4210 stM.udiErrNo
MOV.D stDevIn.astCYL[1] stM.udiSubErr</v>
      </c>
      <c r="AW29" t="str">
        <f t="shared" si="15"/>
        <v xml:space="preserve">
LDP stEx421.x2
AND=.D stM.udiErrNo #0
MOV.D #4210 stM.udiErrNo
MOV.D stDevIn.astCYL[1] stM.udiSubErr</v>
      </c>
      <c r="AY29" t="str">
        <f ca="1">IF($AM29="●",AT29&amp;CHAR(10)&amp;"BOX_ST"&amp;CHAR(10)&amp;";//"&amp;$B$10,"")</f>
        <v xml:space="preserve">
LDP stEx421.x2
AND=.D stM.udiErrNo #0
BOX_ST
;//このスクリプトは C:\tk\prj\hg-0025-0016\git\kv-x520\doc\[kv_script_exe_errno.xlsm]info_script によって生成されました。</v>
      </c>
      <c r="AZ29" t="str">
        <f ca="1">IF($AM29="●",IF(LEN(AY29),AY29&amp;CHAR(10),"")&amp;";//エラーNo.を入れる"&amp;CHAR(10)&amp;";"&amp;$B$15&amp;"	:= "&amp;AN29&amp;";","")</f>
        <v xml:space="preserve">
LDP stEx421.x2
AND=.D stM.udiErrNo #0
BOX_ST
;//このスクリプトは C:\tk\prj\hg-0025-0016\git\kv-x520\doc\[kv_script_exe_errno.xlsm]info_script によって生成されました。
;//エラーNo.を入れる
;stM.udiErrNo	:= 4210;</v>
      </c>
      <c r="BA29" t="str">
        <f ca="1">IF($AM29="●",IF(LEN(AZ29),AZ29&amp;CHAR(10),"")&amp;";//カウントする"&amp;CHAR(10)&amp;";"&amp;$B$16&amp;"	:= "&amp;$B$16&amp;" + 1;","")</f>
        <v xml:space="preserve">
LDP stEx421.x2
AND=.D stM.udiErrNo #0
BOX_ST
;//このスクリプトは C:\tk\prj\hg-0025-0016\git\kv-x520\doc\[kv_script_exe_errno.xlsm]info_script によって生成されました。
;//エラーNo.を入れる
;stM.udiErrNo	:= 4210;
;//カウントする
;stM.uiEDCnt	:= stM.uiEDCnt + 1;</v>
      </c>
      <c r="BB29" t="str">
        <f ca="1">IF($AM29="●",IF(LEN(BA29),BA29&amp;CHAR(10),"")&amp;IF(LEN(AK29),";//エラーコードを入れる"&amp;CHAR(10)&amp;";"&amp;$B$17&amp;"	:= "&amp;AK29&amp;".udiErr;",""),"")</f>
        <v xml:space="preserve">
LDP stEx421.x2
AND=.D stM.udiErrNo #0
BOX_ST
;//このスクリプトは C:\tk\prj\hg-0025-0016\git\kv-x520\doc\[kv_script_exe_errno.xlsm]info_script によって生成されました。
;//エラーNo.を入れる
;stM.udiErrNo	:= 4210;
;//カウントする
;stM.uiEDCnt	:= stM.uiEDCnt + 1;
;//エラーコードを入れる
;stM.udiSubErr	:= stDevIn.astCYL[1].udiErr;</v>
      </c>
      <c r="BC29" t="str">
        <f ca="1">IF($AM29="●",IF(LEN(BB29),BB29&amp;CHAR(10),"")&amp;";//"&amp;$B$11,"")</f>
        <v xml:space="preserve">
LDP stEx421.x2
AND=.D stM.udiErrNo #0
BOX_ST
;//このスクリプトは C:\tk\prj\hg-0025-0016\git\kv-x520\doc\[kv_script_exe_errno.xlsm]info_script によって生成されました。
;//エラーNo.を入れる
;stM.udiErrNo	:= 4210;
;//カウントする
;stM.uiEDCnt	:= stM.uiEDCnt + 1;
;//エラーコードを入れる
;stM.udiSubErr	:= stDevIn.astCYL[1].udiErr;
;//-----ここまで生成script-----</v>
      </c>
      <c r="BE29">
        <f>INT(D29/$BE$6)</f>
        <v>7</v>
      </c>
      <c r="BF29">
        <f>MOD(D29,$BE$6)</f>
        <v>0</v>
      </c>
      <c r="BG29" t="str">
        <f>IF(LEN(E29),E29&amp;".x"&amp;TEXT(BF29,"0")&amp;CHAR(9)&amp;" := FALSE;","")</f>
        <v>stEx421.x0	 := FALSE;</v>
      </c>
      <c r="BH29" t="str">
        <f t="shared" si="16"/>
        <v xml:space="preserve">stEx421.x0	 := FALSE;
</v>
      </c>
    </row>
    <row r="30" spans="1:60" x14ac:dyDescent="0.55000000000000004">
      <c r="D30">
        <v>22</v>
      </c>
      <c r="E30" t="str">
        <f>IF(LEN(I30),I30,IF(LEN(Q30),Q30,""))</f>
        <v>stEx422</v>
      </c>
      <c r="F30" t="str">
        <f>IF(LEN(J30),J30,IF(LEN(R30),R30,""))</f>
        <v>EXE_DIREC</v>
      </c>
      <c r="G30" t="str">
        <f>IF(LEN(O30),O30,IF(LEN(X30),X30,""))</f>
        <v>&gt;&gt;●CYL03波ﾉﾘ2 塗布開始</v>
      </c>
      <c r="Q30" t="s">
        <v>79</v>
      </c>
      <c r="R30" t="s">
        <v>0</v>
      </c>
      <c r="U30" t="b">
        <v>0</v>
      </c>
      <c r="V30" t="b">
        <v>0</v>
      </c>
      <c r="W30" t="b">
        <v>0</v>
      </c>
      <c r="X30" t="s">
        <v>80</v>
      </c>
      <c r="Z30" t="str">
        <f t="shared" si="5"/>
        <v/>
      </c>
      <c r="AA30">
        <f t="shared" si="6"/>
        <v>3</v>
      </c>
      <c r="AB30" t="str">
        <f t="shared" si="6"/>
        <v/>
      </c>
      <c r="AC30" t="str">
        <f t="shared" si="6"/>
        <v/>
      </c>
      <c r="AD30" t="str">
        <f t="shared" si="7"/>
        <v/>
      </c>
      <c r="AE30" t="str">
        <f t="shared" si="7"/>
        <v/>
      </c>
      <c r="AF30" t="str">
        <f t="shared" si="8"/>
        <v/>
      </c>
      <c r="AG30" t="str">
        <f t="shared" si="9"/>
        <v/>
      </c>
      <c r="AH30" t="str">
        <f t="shared" si="10"/>
        <v>stDevIn.astCYL[2]</v>
      </c>
      <c r="AI30" t="str">
        <f t="shared" si="11"/>
        <v/>
      </c>
      <c r="AJ30" t="str">
        <f t="shared" si="12"/>
        <v/>
      </c>
      <c r="AK30" t="str">
        <f t="shared" si="13"/>
        <v>stDevIn.astCYL[2]</v>
      </c>
      <c r="AM30" t="str">
        <f>IF(LEN(G30),IF(OR(COUNTIF(G30,"*◆*"),COUNTIF(G30,"*▼*"),COUNTIF(G30,"*■*")),"","●"),"")</f>
        <v>●</v>
      </c>
      <c r="AN30">
        <f>IF(AM30="●",(AN$4+MOD(INT(MID(E30,5,3)),AN$2))*AN$6,"")</f>
        <v>4220</v>
      </c>
      <c r="AO30" t="str">
        <f>IF($AM30="●","LDP "&amp;E30&amp;"."&amp;$B$14,"")</f>
        <v>LDP stEx422.x2</v>
      </c>
      <c r="AP30" t="str">
        <f>IF($AM30="●","AND=.D "&amp;$B$15&amp;" #0","")</f>
        <v>AND=.D stM.udiErrNo #0</v>
      </c>
      <c r="AQ30" t="str">
        <f>IF($AM30="●","MOV.D #"&amp;AN30&amp;" "&amp;$B$15,"")</f>
        <v>MOV.D #4220 stM.udiErrNo</v>
      </c>
      <c r="AR30" t="str">
        <f>IF(LEN(AK30),"MOV.D "&amp;$AK30&amp;" "&amp;$B$17,"")</f>
        <v>MOV.D stDevIn.astCYL[2] stM.udiSubErr</v>
      </c>
      <c r="AS30" t="str">
        <f>IF(AND(D30&lt;&gt;0,AM30="●"),CHAR(10),"")&amp;IF(LEN(AO30),AO30,"")</f>
        <v xml:space="preserve">
LDP stEx422.x2</v>
      </c>
      <c r="AT30" t="str">
        <f t="shared" si="3"/>
        <v xml:space="preserve">
LDP stEx422.x2
AND=.D stM.udiErrNo #0</v>
      </c>
      <c r="AU30" t="str">
        <f t="shared" si="4"/>
        <v xml:space="preserve">
LDP stEx422.x2
AND=.D stM.udiErrNo #0
MOV.D #4220 stM.udiErrNo</v>
      </c>
      <c r="AV30" t="str">
        <f t="shared" si="14"/>
        <v xml:space="preserve">
LDP stEx422.x2
AND=.D stM.udiErrNo #0
MOV.D #4220 stM.udiErrNo
MOV.D stDevIn.astCYL[2] stM.udiSubErr</v>
      </c>
      <c r="AW30" t="str">
        <f t="shared" si="15"/>
        <v xml:space="preserve">
LDP stEx422.x2
AND=.D stM.udiErrNo #0
MOV.D #4220 stM.udiErrNo
MOV.D stDevIn.astCYL[2] stM.udiSubErr</v>
      </c>
      <c r="AY30" t="str">
        <f ca="1">IF($AM30="●",AT30&amp;CHAR(10)&amp;"BOX_ST"&amp;CHAR(10)&amp;";//"&amp;$B$10,"")</f>
        <v xml:space="preserve">
LDP stEx422.x2
AND=.D stM.udiErrNo #0
BOX_ST
;//このスクリプトは C:\tk\prj\hg-0025-0016\git\kv-x520\doc\[kv_script_exe_errno.xlsm]info_script によって生成されました。</v>
      </c>
      <c r="AZ30" t="str">
        <f ca="1">IF($AM30="●",IF(LEN(AY30),AY30&amp;CHAR(10),"")&amp;";//エラーNo.を入れる"&amp;CHAR(10)&amp;";"&amp;$B$15&amp;"	:= "&amp;AN30&amp;";","")</f>
        <v xml:space="preserve">
LDP stEx422.x2
AND=.D stM.udiErrNo #0
BOX_ST
;//このスクリプトは C:\tk\prj\hg-0025-0016\git\kv-x520\doc\[kv_script_exe_errno.xlsm]info_script によって生成されました。
;//エラーNo.を入れる
;stM.udiErrNo	:= 4220;</v>
      </c>
      <c r="BA30" t="str">
        <f ca="1">IF($AM30="●",IF(LEN(AZ30),AZ30&amp;CHAR(10),"")&amp;";//カウントする"&amp;CHAR(10)&amp;";"&amp;$B$16&amp;"	:= "&amp;$B$16&amp;" + 1;","")</f>
        <v xml:space="preserve">
LDP stEx422.x2
AND=.D stM.udiErrNo #0
BOX_ST
;//このスクリプトは C:\tk\prj\hg-0025-0016\git\kv-x520\doc\[kv_script_exe_errno.xlsm]info_script によって生成されました。
;//エラーNo.を入れる
;stM.udiErrNo	:= 4220;
;//カウントする
;stM.uiEDCnt	:= stM.uiEDCnt + 1;</v>
      </c>
      <c r="BB30" t="str">
        <f ca="1">IF($AM30="●",IF(LEN(BA30),BA30&amp;CHAR(10),"")&amp;IF(LEN(AK30),";//エラーコードを入れる"&amp;CHAR(10)&amp;";"&amp;$B$17&amp;"	:= "&amp;AK30&amp;".udiErr;",""),"")</f>
        <v xml:space="preserve">
LDP stEx422.x2
AND=.D stM.udiErrNo #0
BOX_ST
;//このスクリプトは C:\tk\prj\hg-0025-0016\git\kv-x520\doc\[kv_script_exe_errno.xlsm]info_script によって生成されました。
;//エラーNo.を入れる
;stM.udiErrNo	:= 4220;
;//カウントする
;stM.uiEDCnt	:= stM.uiEDCnt + 1;
;//エラーコードを入れる
;stM.udiSubErr	:= stDevIn.astCYL[2].udiErr;</v>
      </c>
      <c r="BC30" t="str">
        <f ca="1">IF($AM30="●",IF(LEN(BB30),BB30&amp;CHAR(10),"")&amp;";//"&amp;$B$11,"")</f>
        <v xml:space="preserve">
LDP stEx422.x2
AND=.D stM.udiErrNo #0
BOX_ST
;//このスクリプトは C:\tk\prj\hg-0025-0016\git\kv-x520\doc\[kv_script_exe_errno.xlsm]info_script によって生成されました。
;//エラーNo.を入れる
;stM.udiErrNo	:= 4220;
;//カウントする
;stM.uiEDCnt	:= stM.uiEDCnt + 1;
;//エラーコードを入れる
;stM.udiSubErr	:= stDevIn.astCYL[2].udiErr;
;//-----ここまで生成script-----</v>
      </c>
      <c r="BE30">
        <f>INT(D30/$BE$6)</f>
        <v>7</v>
      </c>
      <c r="BF30">
        <f>MOD(D30,$BE$6)</f>
        <v>1</v>
      </c>
      <c r="BG30" t="str">
        <f>IF(LEN(E30),E30&amp;".x"&amp;TEXT(BF30,"0")&amp;CHAR(9)&amp;" := FALSE;","")</f>
        <v>stEx422.x1	 := FALSE;</v>
      </c>
      <c r="BH30" t="str">
        <f t="shared" si="16"/>
        <v xml:space="preserve">stEx422.x1	 := FALSE;
</v>
      </c>
    </row>
    <row r="31" spans="1:60" x14ac:dyDescent="0.55000000000000004">
      <c r="D31">
        <v>23</v>
      </c>
      <c r="E31" t="str">
        <f>IF(LEN(I31),I31,IF(LEN(Q31),Q31,""))</f>
        <v>stEx423</v>
      </c>
      <c r="F31" t="str">
        <f>IF(LEN(J31),J31,IF(LEN(R31),R31,""))</f>
        <v>EXE_DIREC</v>
      </c>
      <c r="G31" t="str">
        <f>IF(LEN(O31),O31,IF(LEN(X31),X31,""))</f>
        <v>&gt;&gt;▼波板ﾉﾘ 開始</v>
      </c>
      <c r="Q31" t="s">
        <v>81</v>
      </c>
      <c r="R31" t="s">
        <v>0</v>
      </c>
      <c r="U31" t="b">
        <v>0</v>
      </c>
      <c r="V31" t="b">
        <v>0</v>
      </c>
      <c r="W31" t="b">
        <v>0</v>
      </c>
      <c r="X31" t="s">
        <v>82</v>
      </c>
      <c r="Z31" t="str">
        <f t="shared" si="5"/>
        <v/>
      </c>
      <c r="AA31" t="str">
        <f t="shared" si="6"/>
        <v/>
      </c>
      <c r="AB31" t="str">
        <f t="shared" si="6"/>
        <v/>
      </c>
      <c r="AC31" t="str">
        <f t="shared" si="6"/>
        <v/>
      </c>
      <c r="AD31" t="str">
        <f t="shared" si="7"/>
        <v/>
      </c>
      <c r="AE31" t="str">
        <f t="shared" si="7"/>
        <v/>
      </c>
      <c r="AF31" t="str">
        <f t="shared" si="8"/>
        <v/>
      </c>
      <c r="AG31" t="str">
        <f t="shared" si="9"/>
        <v/>
      </c>
      <c r="AH31" t="str">
        <f t="shared" si="10"/>
        <v/>
      </c>
      <c r="AI31" t="str">
        <f t="shared" si="11"/>
        <v/>
      </c>
      <c r="AJ31" t="str">
        <f t="shared" si="12"/>
        <v/>
      </c>
      <c r="AK31" t="str">
        <f t="shared" si="13"/>
        <v/>
      </c>
      <c r="AM31" t="str">
        <f>IF(LEN(G31),IF(OR(COUNTIF(G31,"*◆*"),COUNTIF(G31,"*▼*"),COUNTIF(G31,"*■*")),"","●"),"")</f>
        <v/>
      </c>
      <c r="AN31" t="str">
        <f>IF(AM31="●",(AN$4+MOD(INT(MID(E31,5,3)),AN$2))*AN$6,"")</f>
        <v/>
      </c>
      <c r="AO31" t="str">
        <f>IF($AM31="●","LDP "&amp;E31&amp;"."&amp;$B$14,"")</f>
        <v/>
      </c>
      <c r="AP31" t="str">
        <f>IF($AM31="●","AND=.D "&amp;$B$15&amp;" #0","")</f>
        <v/>
      </c>
      <c r="AQ31" t="str">
        <f>IF($AM31="●","MOV.D #"&amp;AN31&amp;" "&amp;$B$15,"")</f>
        <v/>
      </c>
      <c r="AR31" t="str">
        <f>IF(LEN(AK31),"MOV.D "&amp;$AK31&amp;" "&amp;$B$17,"")</f>
        <v/>
      </c>
      <c r="AS31" t="str">
        <f>IF(AND(D31&lt;&gt;0,AM31="●"),CHAR(10),"")&amp;IF(LEN(AO31),AO31,"")</f>
        <v/>
      </c>
      <c r="AT31" t="str">
        <f t="shared" si="3"/>
        <v/>
      </c>
      <c r="AU31" t="str">
        <f t="shared" si="4"/>
        <v/>
      </c>
      <c r="AV31" t="str">
        <f t="shared" si="14"/>
        <v/>
      </c>
      <c r="AW31" t="str">
        <f t="shared" si="15"/>
        <v/>
      </c>
      <c r="AY31" t="str">
        <f>IF($AM31="●",AT31&amp;CHAR(10)&amp;"BOX_ST"&amp;CHAR(10)&amp;";//"&amp;$B$10,"")</f>
        <v/>
      </c>
      <c r="AZ31" t="str">
        <f>IF($AM31="●",IF(LEN(AY31),AY31&amp;CHAR(10),"")&amp;";//エラーNo.を入れる"&amp;CHAR(10)&amp;";"&amp;$B$15&amp;"	:= "&amp;AN31&amp;";","")</f>
        <v/>
      </c>
      <c r="BA31" t="str">
        <f>IF($AM31="●",IF(LEN(AZ31),AZ31&amp;CHAR(10),"")&amp;";//カウントする"&amp;CHAR(10)&amp;";"&amp;$B$16&amp;"	:= "&amp;$B$16&amp;" + 1;","")</f>
        <v/>
      </c>
      <c r="BB31" t="str">
        <f>IF($AM31="●",IF(LEN(BA31),BA31&amp;CHAR(10),"")&amp;IF(LEN(AK31),";//エラーコードを入れる"&amp;CHAR(10)&amp;";"&amp;$B$17&amp;"	:= "&amp;AK31&amp;".udiErr;",""),"")</f>
        <v/>
      </c>
      <c r="BC31" t="str">
        <f>IF($AM31="●",IF(LEN(BB31),BB31&amp;CHAR(10),"")&amp;";//"&amp;$B$11,"")</f>
        <v/>
      </c>
      <c r="BE31">
        <f>INT(D31/$BE$6)</f>
        <v>7</v>
      </c>
      <c r="BF31">
        <f>MOD(D31,$BE$6)</f>
        <v>2</v>
      </c>
      <c r="BG31" t="str">
        <f>IF(LEN(E31),E31&amp;".x"&amp;TEXT(BF31,"0")&amp;CHAR(9)&amp;" := FALSE;","")</f>
        <v>stEx423.x2	 := FALSE;</v>
      </c>
      <c r="BH31" t="str">
        <f t="shared" si="16"/>
        <v xml:space="preserve">stEx423.x2	 := FALSE;
</v>
      </c>
    </row>
    <row r="32" spans="1:60" x14ac:dyDescent="0.55000000000000004">
      <c r="D32">
        <v>24</v>
      </c>
      <c r="E32" t="str">
        <f>IF(LEN(I32),I32,IF(LEN(Q32),Q32,""))</f>
        <v>stEx424</v>
      </c>
      <c r="F32" t="str">
        <f>IF(LEN(J32),J32,IF(LEN(R32),R32,""))</f>
        <v>EXE_DIREC</v>
      </c>
      <c r="G32" t="str">
        <f>IF(LEN(O32),O32,IF(LEN(X32),X32,""))</f>
        <v>&gt;&gt;●CYL02波ﾉﾘ1 塗布終了</v>
      </c>
      <c r="Q32" t="s">
        <v>83</v>
      </c>
      <c r="R32" t="s">
        <v>0</v>
      </c>
      <c r="U32" t="b">
        <v>0</v>
      </c>
      <c r="V32" t="b">
        <v>0</v>
      </c>
      <c r="W32" t="b">
        <v>0</v>
      </c>
      <c r="X32" t="s">
        <v>84</v>
      </c>
      <c r="Z32" t="str">
        <f t="shared" si="5"/>
        <v/>
      </c>
      <c r="AA32">
        <f t="shared" si="6"/>
        <v>2</v>
      </c>
      <c r="AB32" t="str">
        <f t="shared" si="6"/>
        <v/>
      </c>
      <c r="AC32" t="str">
        <f t="shared" si="6"/>
        <v/>
      </c>
      <c r="AD32" t="str">
        <f t="shared" si="7"/>
        <v/>
      </c>
      <c r="AE32" t="str">
        <f t="shared" si="7"/>
        <v/>
      </c>
      <c r="AF32" t="str">
        <f t="shared" si="8"/>
        <v/>
      </c>
      <c r="AG32" t="str">
        <f t="shared" si="9"/>
        <v/>
      </c>
      <c r="AH32" t="str">
        <f t="shared" si="10"/>
        <v>stDevIn.astCYL[1]</v>
      </c>
      <c r="AI32" t="str">
        <f t="shared" si="11"/>
        <v/>
      </c>
      <c r="AJ32" t="str">
        <f t="shared" si="12"/>
        <v/>
      </c>
      <c r="AK32" t="str">
        <f t="shared" si="13"/>
        <v>stDevIn.astCYL[1]</v>
      </c>
      <c r="AM32" t="str">
        <f>IF(LEN(G32),IF(OR(COUNTIF(G32,"*◆*"),COUNTIF(G32,"*▼*"),COUNTIF(G32,"*■*")),"","●"),"")</f>
        <v>●</v>
      </c>
      <c r="AN32">
        <f>IF(AM32="●",(AN$4+MOD(INT(MID(E32,5,3)),AN$2))*AN$6,"")</f>
        <v>4240</v>
      </c>
      <c r="AO32" t="str">
        <f>IF($AM32="●","LDP "&amp;E32&amp;"."&amp;$B$14,"")</f>
        <v>LDP stEx424.x2</v>
      </c>
      <c r="AP32" t="str">
        <f>IF($AM32="●","AND=.D "&amp;$B$15&amp;" #0","")</f>
        <v>AND=.D stM.udiErrNo #0</v>
      </c>
      <c r="AQ32" t="str">
        <f>IF($AM32="●","MOV.D #"&amp;AN32&amp;" "&amp;$B$15,"")</f>
        <v>MOV.D #4240 stM.udiErrNo</v>
      </c>
      <c r="AR32" t="str">
        <f>IF(LEN(AK32),"MOV.D "&amp;$AK32&amp;" "&amp;$B$17,"")</f>
        <v>MOV.D stDevIn.astCYL[1] stM.udiSubErr</v>
      </c>
      <c r="AS32" t="str">
        <f>IF(AND(D32&lt;&gt;0,AM32="●"),CHAR(10),"")&amp;IF(LEN(AO32),AO32,"")</f>
        <v xml:space="preserve">
LDP stEx424.x2</v>
      </c>
      <c r="AT32" t="str">
        <f t="shared" si="3"/>
        <v xml:space="preserve">
LDP stEx424.x2
AND=.D stM.udiErrNo #0</v>
      </c>
      <c r="AU32" t="str">
        <f t="shared" si="4"/>
        <v xml:space="preserve">
LDP stEx424.x2
AND=.D stM.udiErrNo #0
MOV.D #4240 stM.udiErrNo</v>
      </c>
      <c r="AV32" t="str">
        <f t="shared" si="14"/>
        <v xml:space="preserve">
LDP stEx424.x2
AND=.D stM.udiErrNo #0
MOV.D #4240 stM.udiErrNo
MOV.D stDevIn.astCYL[1] stM.udiSubErr</v>
      </c>
      <c r="AW32" t="str">
        <f t="shared" si="15"/>
        <v xml:space="preserve">
LDP stEx424.x2
AND=.D stM.udiErrNo #0
MOV.D #4240 stM.udiErrNo
MOV.D stDevIn.astCYL[1] stM.udiSubErr</v>
      </c>
      <c r="AY32" t="str">
        <f ca="1">IF($AM32="●",AT32&amp;CHAR(10)&amp;"BOX_ST"&amp;CHAR(10)&amp;";//"&amp;$B$10,"")</f>
        <v xml:space="preserve">
LDP stEx424.x2
AND=.D stM.udiErrNo #0
BOX_ST
;//このスクリプトは C:\tk\prj\hg-0025-0016\git\kv-x520\doc\[kv_script_exe_errno.xlsm]info_script によって生成されました。</v>
      </c>
      <c r="AZ32" t="str">
        <f ca="1">IF($AM32="●",IF(LEN(AY32),AY32&amp;CHAR(10),"")&amp;";//エラーNo.を入れる"&amp;CHAR(10)&amp;";"&amp;$B$15&amp;"	:= "&amp;AN32&amp;";","")</f>
        <v xml:space="preserve">
LDP stEx424.x2
AND=.D stM.udiErrNo #0
BOX_ST
;//このスクリプトは C:\tk\prj\hg-0025-0016\git\kv-x520\doc\[kv_script_exe_errno.xlsm]info_script によって生成されました。
;//エラーNo.を入れる
;stM.udiErrNo	:= 4240;</v>
      </c>
      <c r="BA32" t="str">
        <f ca="1">IF($AM32="●",IF(LEN(AZ32),AZ32&amp;CHAR(10),"")&amp;";//カウントする"&amp;CHAR(10)&amp;";"&amp;$B$16&amp;"	:= "&amp;$B$16&amp;" + 1;","")</f>
        <v xml:space="preserve">
LDP stEx424.x2
AND=.D stM.udiErrNo #0
BOX_ST
;//このスクリプトは C:\tk\prj\hg-0025-0016\git\kv-x520\doc\[kv_script_exe_errno.xlsm]info_script によって生成されました。
;//エラーNo.を入れる
;stM.udiErrNo	:= 4240;
;//カウントする
;stM.uiEDCnt	:= stM.uiEDCnt + 1;</v>
      </c>
      <c r="BB32" t="str">
        <f ca="1">IF($AM32="●",IF(LEN(BA32),BA32&amp;CHAR(10),"")&amp;IF(LEN(AK32),";//エラーコードを入れる"&amp;CHAR(10)&amp;";"&amp;$B$17&amp;"	:= "&amp;AK32&amp;".udiErr;",""),"")</f>
        <v xml:space="preserve">
LDP stEx424.x2
AND=.D stM.udiErrNo #0
BOX_ST
;//このスクリプトは C:\tk\prj\hg-0025-0016\git\kv-x520\doc\[kv_script_exe_errno.xlsm]info_script によって生成されました。
;//エラーNo.を入れる
;stM.udiErrNo	:= 4240;
;//カウントする
;stM.uiEDCnt	:= stM.uiEDCnt + 1;
;//エラーコードを入れる
;stM.udiSubErr	:= stDevIn.astCYL[1].udiErr;</v>
      </c>
      <c r="BC32" t="str">
        <f ca="1">IF($AM32="●",IF(LEN(BB32),BB32&amp;CHAR(10),"")&amp;";//"&amp;$B$11,"")</f>
        <v xml:space="preserve">
LDP stEx424.x2
AND=.D stM.udiErrNo #0
BOX_ST
;//このスクリプトは C:\tk\prj\hg-0025-0016\git\kv-x520\doc\[kv_script_exe_errno.xlsm]info_script によって生成されました。
;//エラーNo.を入れる
;stM.udiErrNo	:= 4240;
;//カウントする
;stM.uiEDCnt	:= stM.uiEDCnt + 1;
;//エラーコードを入れる
;stM.udiSubErr	:= stDevIn.astCYL[1].udiErr;
;//-----ここまで生成script-----</v>
      </c>
      <c r="BE32">
        <f>INT(D32/$BE$6)</f>
        <v>8</v>
      </c>
      <c r="BF32">
        <f>MOD(D32,$BE$6)</f>
        <v>0</v>
      </c>
      <c r="BG32" t="str">
        <f>IF(LEN(E32),E32&amp;".x"&amp;TEXT(BF32,"0")&amp;CHAR(9)&amp;" := FALSE;","")</f>
        <v>stEx424.x0	 := FALSE;</v>
      </c>
      <c r="BH32" t="str">
        <f t="shared" si="16"/>
        <v xml:space="preserve">stEx424.x0	 := FALSE;
</v>
      </c>
    </row>
    <row r="33" spans="4:60" x14ac:dyDescent="0.55000000000000004">
      <c r="D33">
        <v>25</v>
      </c>
      <c r="E33" t="str">
        <f>IF(LEN(I33),I33,IF(LEN(Q33),Q33,""))</f>
        <v>stEx425</v>
      </c>
      <c r="F33" t="str">
        <f>IF(LEN(J33),J33,IF(LEN(R33),R33,""))</f>
        <v>EXE_DIREC</v>
      </c>
      <c r="G33" t="str">
        <f>IF(LEN(O33),O33,IF(LEN(X33),X33,""))</f>
        <v>&gt;&gt;●CYL03波ﾉﾘ2 塗布終了</v>
      </c>
      <c r="Q33" t="s">
        <v>85</v>
      </c>
      <c r="R33" t="s">
        <v>0</v>
      </c>
      <c r="U33" t="b">
        <v>0</v>
      </c>
      <c r="V33" t="b">
        <v>0</v>
      </c>
      <c r="W33" t="b">
        <v>0</v>
      </c>
      <c r="X33" t="s">
        <v>86</v>
      </c>
      <c r="Z33" t="str">
        <f t="shared" si="5"/>
        <v/>
      </c>
      <c r="AA33">
        <f t="shared" si="6"/>
        <v>3</v>
      </c>
      <c r="AB33" t="str">
        <f t="shared" si="6"/>
        <v/>
      </c>
      <c r="AC33" t="str">
        <f t="shared" si="6"/>
        <v/>
      </c>
      <c r="AD33" t="str">
        <f t="shared" si="7"/>
        <v/>
      </c>
      <c r="AE33" t="str">
        <f t="shared" si="7"/>
        <v/>
      </c>
      <c r="AF33" t="str">
        <f t="shared" si="8"/>
        <v/>
      </c>
      <c r="AG33" t="str">
        <f t="shared" si="9"/>
        <v/>
      </c>
      <c r="AH33" t="str">
        <f t="shared" si="10"/>
        <v>stDevIn.astCYL[2]</v>
      </c>
      <c r="AI33" t="str">
        <f t="shared" si="11"/>
        <v/>
      </c>
      <c r="AJ33" t="str">
        <f t="shared" si="12"/>
        <v/>
      </c>
      <c r="AK33" t="str">
        <f t="shared" si="13"/>
        <v>stDevIn.astCYL[2]</v>
      </c>
      <c r="AM33" t="str">
        <f>IF(LEN(G33),IF(OR(COUNTIF(G33,"*◆*"),COUNTIF(G33,"*▼*"),COUNTIF(G33,"*■*")),"","●"),"")</f>
        <v>●</v>
      </c>
      <c r="AN33">
        <f>IF(AM33="●",(AN$4+MOD(INT(MID(E33,5,3)),AN$2))*AN$6,"")</f>
        <v>4250</v>
      </c>
      <c r="AO33" t="str">
        <f>IF($AM33="●","LDP "&amp;E33&amp;"."&amp;$B$14,"")</f>
        <v>LDP stEx425.x2</v>
      </c>
      <c r="AP33" t="str">
        <f>IF($AM33="●","AND=.D "&amp;$B$15&amp;" #0","")</f>
        <v>AND=.D stM.udiErrNo #0</v>
      </c>
      <c r="AQ33" t="str">
        <f>IF($AM33="●","MOV.D #"&amp;AN33&amp;" "&amp;$B$15,"")</f>
        <v>MOV.D #4250 stM.udiErrNo</v>
      </c>
      <c r="AR33" t="str">
        <f>IF(LEN(AK33),"MOV.D "&amp;$AK33&amp;" "&amp;$B$17,"")</f>
        <v>MOV.D stDevIn.astCYL[2] stM.udiSubErr</v>
      </c>
      <c r="AS33" t="str">
        <f>IF(AND(D33&lt;&gt;0,AM33="●"),CHAR(10),"")&amp;IF(LEN(AO33),AO33,"")</f>
        <v xml:space="preserve">
LDP stEx425.x2</v>
      </c>
      <c r="AT33" t="str">
        <f t="shared" si="3"/>
        <v xml:space="preserve">
LDP stEx425.x2
AND=.D stM.udiErrNo #0</v>
      </c>
      <c r="AU33" t="str">
        <f t="shared" si="4"/>
        <v xml:space="preserve">
LDP stEx425.x2
AND=.D stM.udiErrNo #0
MOV.D #4250 stM.udiErrNo</v>
      </c>
      <c r="AV33" t="str">
        <f t="shared" si="14"/>
        <v xml:space="preserve">
LDP stEx425.x2
AND=.D stM.udiErrNo #0
MOV.D #4250 stM.udiErrNo
MOV.D stDevIn.astCYL[2] stM.udiSubErr</v>
      </c>
      <c r="AW33" t="str">
        <f t="shared" si="15"/>
        <v xml:space="preserve">
LDP stEx425.x2
AND=.D stM.udiErrNo #0
MOV.D #4250 stM.udiErrNo
MOV.D stDevIn.astCYL[2] stM.udiSubErr</v>
      </c>
      <c r="AY33" t="str">
        <f ca="1">IF($AM33="●",AT33&amp;CHAR(10)&amp;"BOX_ST"&amp;CHAR(10)&amp;";//"&amp;$B$10,"")</f>
        <v xml:space="preserve">
LDP stEx425.x2
AND=.D stM.udiErrNo #0
BOX_ST
;//このスクリプトは C:\tk\prj\hg-0025-0016\git\kv-x520\doc\[kv_script_exe_errno.xlsm]info_script によって生成されました。</v>
      </c>
      <c r="AZ33" t="str">
        <f ca="1">IF($AM33="●",IF(LEN(AY33),AY33&amp;CHAR(10),"")&amp;";//エラーNo.を入れる"&amp;CHAR(10)&amp;";"&amp;$B$15&amp;"	:= "&amp;AN33&amp;";","")</f>
        <v xml:space="preserve">
LDP stEx425.x2
AND=.D stM.udiErrNo #0
BOX_ST
;//このスクリプトは C:\tk\prj\hg-0025-0016\git\kv-x520\doc\[kv_script_exe_errno.xlsm]info_script によって生成されました。
;//エラーNo.を入れる
;stM.udiErrNo	:= 4250;</v>
      </c>
      <c r="BA33" t="str">
        <f ca="1">IF($AM33="●",IF(LEN(AZ33),AZ33&amp;CHAR(10),"")&amp;";//カウントする"&amp;CHAR(10)&amp;";"&amp;$B$16&amp;"	:= "&amp;$B$16&amp;" + 1;","")</f>
        <v xml:space="preserve">
LDP stEx425.x2
AND=.D stM.udiErrNo #0
BOX_ST
;//このスクリプトは C:\tk\prj\hg-0025-0016\git\kv-x520\doc\[kv_script_exe_errno.xlsm]info_script によって生成されました。
;//エラーNo.を入れる
;stM.udiErrNo	:= 4250;
;//カウントする
;stM.uiEDCnt	:= stM.uiEDCnt + 1;</v>
      </c>
      <c r="BB33" t="str">
        <f ca="1">IF($AM33="●",IF(LEN(BA33),BA33&amp;CHAR(10),"")&amp;IF(LEN(AK33),";//エラーコードを入れる"&amp;CHAR(10)&amp;";"&amp;$B$17&amp;"	:= "&amp;AK33&amp;".udiErr;",""),"")</f>
        <v xml:space="preserve">
LDP stEx425.x2
AND=.D stM.udiErrNo #0
BOX_ST
;//このスクリプトは C:\tk\prj\hg-0025-0016\git\kv-x520\doc\[kv_script_exe_errno.xlsm]info_script によって生成されました。
;//エラーNo.を入れる
;stM.udiErrNo	:= 4250;
;//カウントする
;stM.uiEDCnt	:= stM.uiEDCnt + 1;
;//エラーコードを入れる
;stM.udiSubErr	:= stDevIn.astCYL[2].udiErr;</v>
      </c>
      <c r="BC33" t="str">
        <f ca="1">IF($AM33="●",IF(LEN(BB33),BB33&amp;CHAR(10),"")&amp;";//"&amp;$B$11,"")</f>
        <v xml:space="preserve">
LDP stEx425.x2
AND=.D stM.udiErrNo #0
BOX_ST
;//このスクリプトは C:\tk\prj\hg-0025-0016\git\kv-x520\doc\[kv_script_exe_errno.xlsm]info_script によって生成されました。
;//エラーNo.を入れる
;stM.udiErrNo	:= 4250;
;//カウントする
;stM.uiEDCnt	:= stM.uiEDCnt + 1;
;//エラーコードを入れる
;stM.udiSubErr	:= stDevIn.astCYL[2].udiErr;
;//-----ここまで生成script-----</v>
      </c>
      <c r="BE33">
        <f>INT(D33/$BE$6)</f>
        <v>8</v>
      </c>
      <c r="BF33">
        <f>MOD(D33,$BE$6)</f>
        <v>1</v>
      </c>
      <c r="BG33" t="str">
        <f>IF(LEN(E33),E33&amp;".x"&amp;TEXT(BF33,"0")&amp;CHAR(9)&amp;" := FALSE;","")</f>
        <v>stEx425.x1	 := FALSE;</v>
      </c>
      <c r="BH33" t="str">
        <f t="shared" si="16"/>
        <v xml:space="preserve">stEx425.x1	 := FALSE;
</v>
      </c>
    </row>
    <row r="34" spans="4:60" x14ac:dyDescent="0.55000000000000004">
      <c r="D34">
        <v>26</v>
      </c>
      <c r="E34" t="str">
        <f>IF(LEN(I34),I34,IF(LEN(Q34),Q34,""))</f>
        <v>stEx426</v>
      </c>
      <c r="F34" t="str">
        <f>IF(LEN(J34),J34,IF(LEN(R34),R34,""))</f>
        <v>EXE_DIREC</v>
      </c>
      <c r="G34" t="str">
        <f>IF(LEN(O34),O34,IF(LEN(X34),X34,""))</f>
        <v>&gt;&gt;●AXO17 波板補助 補助</v>
      </c>
      <c r="Q34" t="s">
        <v>87</v>
      </c>
      <c r="R34" t="s">
        <v>0</v>
      </c>
      <c r="U34" t="b">
        <v>0</v>
      </c>
      <c r="V34" t="b">
        <v>0</v>
      </c>
      <c r="W34" t="b">
        <v>0</v>
      </c>
      <c r="X34" t="s">
        <v>88</v>
      </c>
      <c r="Z34">
        <f t="shared" si="5"/>
        <v>17</v>
      </c>
      <c r="AA34" t="str">
        <f t="shared" si="6"/>
        <v/>
      </c>
      <c r="AB34" t="str">
        <f t="shared" si="6"/>
        <v/>
      </c>
      <c r="AC34" t="str">
        <f t="shared" si="6"/>
        <v/>
      </c>
      <c r="AD34" t="str">
        <f t="shared" si="7"/>
        <v/>
      </c>
      <c r="AE34" t="str">
        <f t="shared" si="7"/>
        <v/>
      </c>
      <c r="AF34" t="str">
        <f t="shared" si="8"/>
        <v>stDevIn.astAXO[3]</v>
      </c>
      <c r="AG34" t="str">
        <f t="shared" si="9"/>
        <v/>
      </c>
      <c r="AH34" t="str">
        <f t="shared" si="10"/>
        <v/>
      </c>
      <c r="AI34" t="str">
        <f t="shared" si="11"/>
        <v/>
      </c>
      <c r="AJ34" t="str">
        <f t="shared" si="12"/>
        <v/>
      </c>
      <c r="AK34" t="str">
        <f t="shared" si="13"/>
        <v>stDevIn.astAXO[3]</v>
      </c>
      <c r="AM34" t="str">
        <f>IF(LEN(G34),IF(OR(COUNTIF(G34,"*◆*"),COUNTIF(G34,"*▼*"),COUNTIF(G34,"*■*")),"","●"),"")</f>
        <v>●</v>
      </c>
      <c r="AN34">
        <f>IF(AM34="●",(AN$4+MOD(INT(MID(E34,5,3)),AN$2))*AN$6,"")</f>
        <v>4260</v>
      </c>
      <c r="AO34" t="str">
        <f>IF($AM34="●","LDP "&amp;E34&amp;"."&amp;$B$14,"")</f>
        <v>LDP stEx426.x2</v>
      </c>
      <c r="AP34" t="str">
        <f>IF($AM34="●","AND=.D "&amp;$B$15&amp;" #0","")</f>
        <v>AND=.D stM.udiErrNo #0</v>
      </c>
      <c r="AQ34" t="str">
        <f>IF($AM34="●","MOV.D #"&amp;AN34&amp;" "&amp;$B$15,"")</f>
        <v>MOV.D #4260 stM.udiErrNo</v>
      </c>
      <c r="AR34" t="str">
        <f>IF(LEN(AK34),"MOV.D "&amp;$AK34&amp;" "&amp;$B$17,"")</f>
        <v>MOV.D stDevIn.astAXO[3] stM.udiSubErr</v>
      </c>
      <c r="AS34" t="str">
        <f>IF(AND(D34&lt;&gt;0,AM34="●"),CHAR(10),"")&amp;IF(LEN(AO34),AO34,"")</f>
        <v xml:space="preserve">
LDP stEx426.x2</v>
      </c>
      <c r="AT34" t="str">
        <f t="shared" si="3"/>
        <v xml:space="preserve">
LDP stEx426.x2
AND=.D stM.udiErrNo #0</v>
      </c>
      <c r="AU34" t="str">
        <f t="shared" si="4"/>
        <v xml:space="preserve">
LDP stEx426.x2
AND=.D stM.udiErrNo #0
MOV.D #4260 stM.udiErrNo</v>
      </c>
      <c r="AV34" t="str">
        <f t="shared" si="14"/>
        <v xml:space="preserve">
LDP stEx426.x2
AND=.D stM.udiErrNo #0
MOV.D #4260 stM.udiErrNo
MOV.D stDevIn.astAXO[3] stM.udiSubErr</v>
      </c>
      <c r="AW34" t="str">
        <f t="shared" si="15"/>
        <v xml:space="preserve">
LDP stEx426.x2
AND=.D stM.udiErrNo #0
MOV.D #4260 stM.udiErrNo
MOV.D stDevIn.astAXO[3] stM.udiSubErr</v>
      </c>
      <c r="AY34" t="str">
        <f ca="1">IF($AM34="●",AT34&amp;CHAR(10)&amp;"BOX_ST"&amp;CHAR(10)&amp;";//"&amp;$B$10,"")</f>
        <v xml:space="preserve">
LDP stEx426.x2
AND=.D stM.udiErrNo #0
BOX_ST
;//このスクリプトは C:\tk\prj\hg-0025-0016\git\kv-x520\doc\[kv_script_exe_errno.xlsm]info_script によって生成されました。</v>
      </c>
      <c r="AZ34" t="str">
        <f ca="1">IF($AM34="●",IF(LEN(AY34),AY34&amp;CHAR(10),"")&amp;";//エラーNo.を入れる"&amp;CHAR(10)&amp;";"&amp;$B$15&amp;"	:= "&amp;AN34&amp;";","")</f>
        <v xml:space="preserve">
LDP stEx426.x2
AND=.D stM.udiErrNo #0
BOX_ST
;//このスクリプトは C:\tk\prj\hg-0025-0016\git\kv-x520\doc\[kv_script_exe_errno.xlsm]info_script によって生成されました。
;//エラーNo.を入れる
;stM.udiErrNo	:= 4260;</v>
      </c>
      <c r="BA34" t="str">
        <f ca="1">IF($AM34="●",IF(LEN(AZ34),AZ34&amp;CHAR(10),"")&amp;";//カウントする"&amp;CHAR(10)&amp;";"&amp;$B$16&amp;"	:= "&amp;$B$16&amp;" + 1;","")</f>
        <v xml:space="preserve">
LDP stEx426.x2
AND=.D stM.udiErrNo #0
BOX_ST
;//このスクリプトは C:\tk\prj\hg-0025-0016\git\kv-x520\doc\[kv_script_exe_errno.xlsm]info_script によって生成されました。
;//エラーNo.を入れる
;stM.udiErrNo	:= 4260;
;//カウントする
;stM.uiEDCnt	:= stM.uiEDCnt + 1;</v>
      </c>
      <c r="BB34" t="str">
        <f ca="1">IF($AM34="●",IF(LEN(BA34),BA34&amp;CHAR(10),"")&amp;IF(LEN(AK34),";//エラーコードを入れる"&amp;CHAR(10)&amp;";"&amp;$B$17&amp;"	:= "&amp;AK34&amp;".udiErr;",""),"")</f>
        <v xml:space="preserve">
LDP stEx426.x2
AND=.D stM.udiErrNo #0
BOX_ST
;//このスクリプトは C:\tk\prj\hg-0025-0016\git\kv-x520\doc\[kv_script_exe_errno.xlsm]info_script によって生成されました。
;//エラーNo.を入れる
;stM.udiErrNo	:= 4260;
;//カウントする
;stM.uiEDCnt	:= stM.uiEDCnt + 1;
;//エラーコードを入れる
;stM.udiSubErr	:= stDevIn.astAXO[3].udiErr;</v>
      </c>
      <c r="BC34" t="str">
        <f ca="1">IF($AM34="●",IF(LEN(BB34),BB34&amp;CHAR(10),"")&amp;";//"&amp;$B$11,"")</f>
        <v xml:space="preserve">
LDP stEx426.x2
AND=.D stM.udiErrNo #0
BOX_ST
;//このスクリプトは C:\tk\prj\hg-0025-0016\git\kv-x520\doc\[kv_script_exe_errno.xlsm]info_script によって生成されました。
;//エラーNo.を入れる
;stM.udiErrNo	:= 4260;
;//カウントする
;stM.uiEDCnt	:= stM.uiEDCnt + 1;
;//エラーコードを入れる
;stM.udiSubErr	:= stDevIn.astAXO[3].udiErr;
;//-----ここまで生成script-----</v>
      </c>
      <c r="BE34">
        <f>INT(D34/$BE$6)</f>
        <v>8</v>
      </c>
      <c r="BF34">
        <f>MOD(D34,$BE$6)</f>
        <v>2</v>
      </c>
      <c r="BG34" t="str">
        <f>IF(LEN(E34),E34&amp;".x"&amp;TEXT(BF34,"0")&amp;CHAR(9)&amp;" := FALSE;","")</f>
        <v>stEx426.x2	 := FALSE;</v>
      </c>
      <c r="BH34" t="str">
        <f t="shared" si="16"/>
        <v xml:space="preserve">stEx426.x2	 := FALSE;
</v>
      </c>
    </row>
    <row r="35" spans="4:60" x14ac:dyDescent="0.55000000000000004">
      <c r="D35">
        <v>27</v>
      </c>
      <c r="E35" t="str">
        <f>IF(LEN(I35),I35,IF(LEN(Q35),Q35,""))</f>
        <v>stEx427</v>
      </c>
      <c r="F35" t="str">
        <f>IF(LEN(J35),J35,IF(LEN(R35),R35,""))</f>
        <v>EXE_DIREC</v>
      </c>
      <c r="G35" t="str">
        <f>IF(LEN(O35),O35,IF(LEN(X35),X35,""))</f>
        <v>&gt;▼波板ﾉﾘ 終了</v>
      </c>
      <c r="Q35" t="s">
        <v>89</v>
      </c>
      <c r="R35" t="s">
        <v>0</v>
      </c>
      <c r="U35" t="b">
        <v>0</v>
      </c>
      <c r="V35" t="b">
        <v>0</v>
      </c>
      <c r="W35" t="b">
        <v>0</v>
      </c>
      <c r="X35" t="s">
        <v>90</v>
      </c>
      <c r="Z35" t="str">
        <f t="shared" si="5"/>
        <v/>
      </c>
      <c r="AA35" t="str">
        <f t="shared" si="6"/>
        <v/>
      </c>
      <c r="AB35" t="str">
        <f t="shared" si="6"/>
        <v/>
      </c>
      <c r="AC35" t="str">
        <f t="shared" si="6"/>
        <v/>
      </c>
      <c r="AD35" t="str">
        <f t="shared" si="7"/>
        <v/>
      </c>
      <c r="AE35" t="str">
        <f t="shared" si="7"/>
        <v/>
      </c>
      <c r="AF35" t="str">
        <f t="shared" si="8"/>
        <v/>
      </c>
      <c r="AG35" t="str">
        <f t="shared" si="9"/>
        <v/>
      </c>
      <c r="AH35" t="str">
        <f t="shared" si="10"/>
        <v/>
      </c>
      <c r="AI35" t="str">
        <f t="shared" si="11"/>
        <v/>
      </c>
      <c r="AJ35" t="str">
        <f t="shared" si="12"/>
        <v/>
      </c>
      <c r="AK35" t="str">
        <f t="shared" si="13"/>
        <v/>
      </c>
      <c r="AM35" t="str">
        <f>IF(LEN(G35),IF(OR(COUNTIF(G35,"*◆*"),COUNTIF(G35,"*▼*"),COUNTIF(G35,"*■*")),"","●"),"")</f>
        <v/>
      </c>
      <c r="AN35" t="str">
        <f>IF(AM35="●",(AN$4+MOD(INT(MID(E35,5,3)),AN$2))*AN$6,"")</f>
        <v/>
      </c>
      <c r="AO35" t="str">
        <f>IF($AM35="●","LDP "&amp;E35&amp;"."&amp;$B$14,"")</f>
        <v/>
      </c>
      <c r="AP35" t="str">
        <f>IF($AM35="●","AND=.D "&amp;$B$15&amp;" #0","")</f>
        <v/>
      </c>
      <c r="AQ35" t="str">
        <f>IF($AM35="●","MOV.D #"&amp;AN35&amp;" "&amp;$B$15,"")</f>
        <v/>
      </c>
      <c r="AR35" t="str">
        <f>IF(LEN(AK35),"MOV.D "&amp;$AK35&amp;" "&amp;$B$17,"")</f>
        <v/>
      </c>
      <c r="AS35" t="str">
        <f>IF(AND(D35&lt;&gt;0,AM35="●"),CHAR(10),"")&amp;IF(LEN(AO35),AO35,"")</f>
        <v/>
      </c>
      <c r="AT35" t="str">
        <f t="shared" si="3"/>
        <v/>
      </c>
      <c r="AU35" t="str">
        <f t="shared" si="4"/>
        <v/>
      </c>
      <c r="AV35" t="str">
        <f t="shared" si="14"/>
        <v/>
      </c>
      <c r="AW35" t="str">
        <f t="shared" si="15"/>
        <v/>
      </c>
      <c r="AY35" t="str">
        <f>IF($AM35="●",AT35&amp;CHAR(10)&amp;"BOX_ST"&amp;CHAR(10)&amp;";//"&amp;$B$10,"")</f>
        <v/>
      </c>
      <c r="AZ35" t="str">
        <f>IF($AM35="●",IF(LEN(AY35),AY35&amp;CHAR(10),"")&amp;";//エラーNo.を入れる"&amp;CHAR(10)&amp;";"&amp;$B$15&amp;"	:= "&amp;AN35&amp;";","")</f>
        <v/>
      </c>
      <c r="BA35" t="str">
        <f>IF($AM35="●",IF(LEN(AZ35),AZ35&amp;CHAR(10),"")&amp;";//カウントする"&amp;CHAR(10)&amp;";"&amp;$B$16&amp;"	:= "&amp;$B$16&amp;" + 1;","")</f>
        <v/>
      </c>
      <c r="BB35" t="str">
        <f>IF($AM35="●",IF(LEN(BA35),BA35&amp;CHAR(10),"")&amp;IF(LEN(AK35),";//エラーコードを入れる"&amp;CHAR(10)&amp;";"&amp;$B$17&amp;"	:= "&amp;AK35&amp;".udiErr;",""),"")</f>
        <v/>
      </c>
      <c r="BC35" t="str">
        <f>IF($AM35="●",IF(LEN(BB35),BB35&amp;CHAR(10),"")&amp;";//"&amp;$B$11,"")</f>
        <v/>
      </c>
      <c r="BE35">
        <f>INT(D35/$BE$6)</f>
        <v>9</v>
      </c>
      <c r="BF35">
        <f>MOD(D35,$BE$6)</f>
        <v>0</v>
      </c>
      <c r="BG35" t="str">
        <f>IF(LEN(E35),E35&amp;".x"&amp;TEXT(BF35,"0")&amp;CHAR(9)&amp;" := FALSE;","")</f>
        <v>stEx427.x0	 := FALSE;</v>
      </c>
      <c r="BH35" t="str">
        <f t="shared" si="16"/>
        <v xml:space="preserve">stEx427.x0	 := FALSE;
</v>
      </c>
    </row>
    <row r="36" spans="4:60" x14ac:dyDescent="0.55000000000000004">
      <c r="D36">
        <v>28</v>
      </c>
      <c r="E36" t="str">
        <f>IF(LEN(I36),I36,IF(LEN(Q36),Q36,""))</f>
        <v>stEx428</v>
      </c>
      <c r="F36" t="str">
        <f>IF(LEN(J36),J36,IF(LEN(R36),R36,""))</f>
        <v>EXE_DIREC</v>
      </c>
      <c r="G36" t="str">
        <f>IF(LEN(O36),O36,IF(LEN(X36),X36,""))</f>
        <v>&gt;▼主軸+ﾉﾘ</v>
      </c>
      <c r="Q36" t="s">
        <v>91</v>
      </c>
      <c r="R36" t="s">
        <v>0</v>
      </c>
      <c r="U36" t="b">
        <v>0</v>
      </c>
      <c r="V36" t="b">
        <v>0</v>
      </c>
      <c r="W36" t="b">
        <v>0</v>
      </c>
      <c r="X36" t="s">
        <v>92</v>
      </c>
      <c r="Z36" t="str">
        <f t="shared" si="5"/>
        <v/>
      </c>
      <c r="AA36" t="str">
        <f t="shared" si="6"/>
        <v/>
      </c>
      <c r="AB36" t="str">
        <f t="shared" si="6"/>
        <v/>
      </c>
      <c r="AC36" t="str">
        <f t="shared" si="6"/>
        <v/>
      </c>
      <c r="AD36" t="str">
        <f t="shared" si="7"/>
        <v/>
      </c>
      <c r="AE36" t="str">
        <f t="shared" si="7"/>
        <v/>
      </c>
      <c r="AF36" t="str">
        <f t="shared" si="8"/>
        <v/>
      </c>
      <c r="AG36" t="str">
        <f t="shared" si="9"/>
        <v/>
      </c>
      <c r="AH36" t="str">
        <f t="shared" si="10"/>
        <v/>
      </c>
      <c r="AI36" t="str">
        <f t="shared" si="11"/>
        <v/>
      </c>
      <c r="AJ36" t="str">
        <f t="shared" si="12"/>
        <v/>
      </c>
      <c r="AK36" t="str">
        <f t="shared" si="13"/>
        <v/>
      </c>
      <c r="AM36" t="str">
        <f>IF(LEN(G36),IF(OR(COUNTIF(G36,"*◆*"),COUNTIF(G36,"*▼*"),COUNTIF(G36,"*■*")),"","●"),"")</f>
        <v/>
      </c>
      <c r="AN36" t="str">
        <f>IF(AM36="●",(AN$4+MOD(INT(MID(E36,5,3)),AN$2))*AN$6,"")</f>
        <v/>
      </c>
      <c r="AO36" t="str">
        <f>IF($AM36="●","LDP "&amp;E36&amp;"."&amp;$B$14,"")</f>
        <v/>
      </c>
      <c r="AP36" t="str">
        <f>IF($AM36="●","AND=.D "&amp;$B$15&amp;" #0","")</f>
        <v/>
      </c>
      <c r="AQ36" t="str">
        <f>IF($AM36="●","MOV.D #"&amp;AN36&amp;" "&amp;$B$15,"")</f>
        <v/>
      </c>
      <c r="AR36" t="str">
        <f>IF(LEN(AK36),"MOV.D "&amp;$AK36&amp;" "&amp;$B$17,"")</f>
        <v/>
      </c>
      <c r="AS36" t="str">
        <f>IF(AND(D36&lt;&gt;0,AM36="●"),CHAR(10),"")&amp;IF(LEN(AO36),AO36,"")</f>
        <v/>
      </c>
      <c r="AT36" t="str">
        <f t="shared" si="3"/>
        <v/>
      </c>
      <c r="AU36" t="str">
        <f t="shared" si="4"/>
        <v/>
      </c>
      <c r="AV36" t="str">
        <f t="shared" si="14"/>
        <v/>
      </c>
      <c r="AW36" t="str">
        <f t="shared" si="15"/>
        <v/>
      </c>
      <c r="AY36" t="str">
        <f>IF($AM36="●",AT36&amp;CHAR(10)&amp;"BOX_ST"&amp;CHAR(10)&amp;";//"&amp;$B$10,"")</f>
        <v/>
      </c>
      <c r="AZ36" t="str">
        <f>IF($AM36="●",IF(LEN(AY36),AY36&amp;CHAR(10),"")&amp;";//エラーNo.を入れる"&amp;CHAR(10)&amp;";"&amp;$B$15&amp;"	:= "&amp;AN36&amp;";","")</f>
        <v/>
      </c>
      <c r="BA36" t="str">
        <f>IF($AM36="●",IF(LEN(AZ36),AZ36&amp;CHAR(10),"")&amp;";//カウントする"&amp;CHAR(10)&amp;";"&amp;$B$16&amp;"	:= "&amp;$B$16&amp;" + 1;","")</f>
        <v/>
      </c>
      <c r="BB36" t="str">
        <f>IF($AM36="●",IF(LEN(BA36),BA36&amp;CHAR(10),"")&amp;IF(LEN(AK36),";//エラーコードを入れる"&amp;CHAR(10)&amp;";"&amp;$B$17&amp;"	:= "&amp;AK36&amp;".udiErr;",""),"")</f>
        <v/>
      </c>
      <c r="BC36" t="str">
        <f>IF($AM36="●",IF(LEN(BB36),BB36&amp;CHAR(10),"")&amp;";//"&amp;$B$11,"")</f>
        <v/>
      </c>
      <c r="BE36">
        <f>INT(D36/$BE$6)</f>
        <v>9</v>
      </c>
      <c r="BF36">
        <f>MOD(D36,$BE$6)</f>
        <v>1</v>
      </c>
      <c r="BG36" t="str">
        <f>IF(LEN(E36),E36&amp;".x"&amp;TEXT(BF36,"0")&amp;CHAR(9)&amp;" := FALSE;","")</f>
        <v>stEx428.x1	 := FALSE;</v>
      </c>
      <c r="BH36" t="str">
        <f t="shared" si="16"/>
        <v xml:space="preserve">stEx428.x1	 := FALSE;
</v>
      </c>
    </row>
    <row r="37" spans="4:60" x14ac:dyDescent="0.55000000000000004">
      <c r="D37">
        <v>29</v>
      </c>
      <c r="E37" t="str">
        <f>IF(LEN(I37),I37,IF(LEN(Q37),Q37,""))</f>
        <v>stEx429</v>
      </c>
      <c r="F37" t="str">
        <f>IF(LEN(J37),J37,IF(LEN(R37),R37,""))</f>
        <v>EXE_DIREC</v>
      </c>
      <c r="G37" t="str">
        <f>IF(LEN(O37),O37,IF(LEN(X37),X37,""))</f>
        <v>&gt;◆平板ｶｯﾄ 有無判定</v>
      </c>
      <c r="Q37" t="s">
        <v>93</v>
      </c>
      <c r="R37" t="s">
        <v>0</v>
      </c>
      <c r="U37" t="b">
        <v>0</v>
      </c>
      <c r="V37" t="b">
        <v>0</v>
      </c>
      <c r="W37" t="b">
        <v>0</v>
      </c>
      <c r="X37" t="s">
        <v>94</v>
      </c>
      <c r="Z37" t="str">
        <f t="shared" si="5"/>
        <v/>
      </c>
      <c r="AA37" t="str">
        <f t="shared" si="6"/>
        <v/>
      </c>
      <c r="AB37" t="str">
        <f t="shared" si="6"/>
        <v/>
      </c>
      <c r="AC37" t="str">
        <f t="shared" si="6"/>
        <v/>
      </c>
      <c r="AD37" t="str">
        <f t="shared" si="7"/>
        <v/>
      </c>
      <c r="AE37" t="str">
        <f t="shared" si="7"/>
        <v/>
      </c>
      <c r="AF37" t="str">
        <f t="shared" si="8"/>
        <v/>
      </c>
      <c r="AG37" t="str">
        <f t="shared" si="9"/>
        <v/>
      </c>
      <c r="AH37" t="str">
        <f t="shared" si="10"/>
        <v/>
      </c>
      <c r="AI37" t="str">
        <f t="shared" si="11"/>
        <v/>
      </c>
      <c r="AJ37" t="str">
        <f t="shared" si="12"/>
        <v/>
      </c>
      <c r="AK37" t="str">
        <f t="shared" si="13"/>
        <v/>
      </c>
      <c r="AM37" t="str">
        <f>IF(LEN(G37),IF(OR(COUNTIF(G37,"*◆*"),COUNTIF(G37,"*▼*"),COUNTIF(G37,"*■*")),"","●"),"")</f>
        <v/>
      </c>
      <c r="AN37" t="str">
        <f>IF(AM37="●",(AN$4+MOD(INT(MID(E37,5,3)),AN$2))*AN$6,"")</f>
        <v/>
      </c>
      <c r="AO37" t="str">
        <f>IF($AM37="●","LDP "&amp;E37&amp;"."&amp;$B$14,"")</f>
        <v/>
      </c>
      <c r="AP37" t="str">
        <f>IF($AM37="●","AND=.D "&amp;$B$15&amp;" #0","")</f>
        <v/>
      </c>
      <c r="AQ37" t="str">
        <f>IF($AM37="●","MOV.D #"&amp;AN37&amp;" "&amp;$B$15,"")</f>
        <v/>
      </c>
      <c r="AR37" t="str">
        <f>IF(LEN(AK37),"MOV.D "&amp;$AK37&amp;" "&amp;$B$17,"")</f>
        <v/>
      </c>
      <c r="AS37" t="str">
        <f>IF(AND(D37&lt;&gt;0,AM37="●"),CHAR(10),"")&amp;IF(LEN(AO37),AO37,"")</f>
        <v/>
      </c>
      <c r="AT37" t="str">
        <f t="shared" si="3"/>
        <v/>
      </c>
      <c r="AU37" t="str">
        <f t="shared" si="4"/>
        <v/>
      </c>
      <c r="AV37" t="str">
        <f t="shared" si="14"/>
        <v/>
      </c>
      <c r="AW37" t="str">
        <f t="shared" si="15"/>
        <v/>
      </c>
      <c r="AY37" t="str">
        <f>IF($AM37="●",AT37&amp;CHAR(10)&amp;"BOX_ST"&amp;CHAR(10)&amp;";//"&amp;$B$10,"")</f>
        <v/>
      </c>
      <c r="AZ37" t="str">
        <f>IF($AM37="●",IF(LEN(AY37),AY37&amp;CHAR(10),"")&amp;";//エラーNo.を入れる"&amp;CHAR(10)&amp;";"&amp;$B$15&amp;"	:= "&amp;AN37&amp;";","")</f>
        <v/>
      </c>
      <c r="BA37" t="str">
        <f>IF($AM37="●",IF(LEN(AZ37),AZ37&amp;CHAR(10),"")&amp;";//カウントする"&amp;CHAR(10)&amp;";"&amp;$B$16&amp;"	:= "&amp;$B$16&amp;" + 1;","")</f>
        <v/>
      </c>
      <c r="BB37" t="str">
        <f>IF($AM37="●",IF(LEN(BA37),BA37&amp;CHAR(10),"")&amp;IF(LEN(AK37),";//エラーコードを入れる"&amp;CHAR(10)&amp;";"&amp;$B$17&amp;"	:= "&amp;AK37&amp;".udiErr;",""),"")</f>
        <v/>
      </c>
      <c r="BC37" t="str">
        <f>IF($AM37="●",IF(LEN(BB37),BB37&amp;CHAR(10),"")&amp;";//"&amp;$B$11,"")</f>
        <v/>
      </c>
      <c r="BE37">
        <f>INT(D37/$BE$6)</f>
        <v>9</v>
      </c>
      <c r="BF37">
        <f>MOD(D37,$BE$6)</f>
        <v>2</v>
      </c>
      <c r="BG37" t="str">
        <f>IF(LEN(E37),E37&amp;".x"&amp;TEXT(BF37,"0")&amp;CHAR(9)&amp;" := FALSE;","")</f>
        <v>stEx429.x2	 := FALSE;</v>
      </c>
      <c r="BH37" t="str">
        <f t="shared" si="16"/>
        <v xml:space="preserve">stEx429.x2	 := FALSE;
</v>
      </c>
    </row>
    <row r="38" spans="4:60" x14ac:dyDescent="0.55000000000000004">
      <c r="D38">
        <v>30</v>
      </c>
      <c r="E38" t="str">
        <f>IF(LEN(I38),I38,IF(LEN(Q38),Q38,""))</f>
        <v>stEx430</v>
      </c>
      <c r="F38" t="str">
        <f>IF(LEN(J38),J38,IF(LEN(R38),R38,""))</f>
        <v>EXE_DIREC</v>
      </c>
      <c r="G38" t="str">
        <f>IF(LEN(O38),O38,IF(LEN(X38),X38,""))</f>
        <v>&gt;&gt;△●AXI05 排出</v>
      </c>
      <c r="Q38" t="s">
        <v>95</v>
      </c>
      <c r="R38" t="s">
        <v>0</v>
      </c>
      <c r="U38" t="b">
        <v>0</v>
      </c>
      <c r="V38" t="b">
        <v>0</v>
      </c>
      <c r="W38" t="b">
        <v>0</v>
      </c>
      <c r="X38" t="s">
        <v>96</v>
      </c>
      <c r="Z38">
        <f t="shared" si="5"/>
        <v>5</v>
      </c>
      <c r="AA38" t="str">
        <f t="shared" si="6"/>
        <v/>
      </c>
      <c r="AB38" t="str">
        <f t="shared" si="6"/>
        <v/>
      </c>
      <c r="AC38" t="str">
        <f t="shared" si="6"/>
        <v/>
      </c>
      <c r="AD38" t="str">
        <f t="shared" si="7"/>
        <v>stDevIn.astAXI[0]</v>
      </c>
      <c r="AE38" t="str">
        <f t="shared" si="7"/>
        <v/>
      </c>
      <c r="AF38" t="str">
        <f t="shared" si="8"/>
        <v/>
      </c>
      <c r="AG38" t="str">
        <f t="shared" si="9"/>
        <v/>
      </c>
      <c r="AH38" t="str">
        <f t="shared" si="10"/>
        <v/>
      </c>
      <c r="AI38" t="str">
        <f t="shared" si="11"/>
        <v/>
      </c>
      <c r="AJ38" t="str">
        <f t="shared" si="12"/>
        <v/>
      </c>
      <c r="AK38" t="str">
        <f t="shared" si="13"/>
        <v>stDevIn.astAXI[0]</v>
      </c>
      <c r="AM38" t="str">
        <f>IF(LEN(G38),IF(OR(COUNTIF(G38,"*◆*"),COUNTIF(G38,"*▼*"),COUNTIF(G38,"*■*")),"","●"),"")</f>
        <v>●</v>
      </c>
      <c r="AN38">
        <f>IF(AM38="●",(AN$4+MOD(INT(MID(E38,5,3)),AN$2))*AN$6,"")</f>
        <v>4300</v>
      </c>
      <c r="AO38" t="str">
        <f>IF($AM38="●","LDP "&amp;E38&amp;"."&amp;$B$14,"")</f>
        <v>LDP stEx430.x2</v>
      </c>
      <c r="AP38" t="str">
        <f>IF($AM38="●","AND=.D "&amp;$B$15&amp;" #0","")</f>
        <v>AND=.D stM.udiErrNo #0</v>
      </c>
      <c r="AQ38" t="str">
        <f>IF($AM38="●","MOV.D #"&amp;AN38&amp;" "&amp;$B$15,"")</f>
        <v>MOV.D #4300 stM.udiErrNo</v>
      </c>
      <c r="AR38" t="str">
        <f>IF(LEN(AK38),"MOV.D "&amp;$AK38&amp;" "&amp;$B$17,"")</f>
        <v>MOV.D stDevIn.astAXI[0] stM.udiSubErr</v>
      </c>
      <c r="AS38" t="str">
        <f>IF(AND(D38&lt;&gt;0,AM38="●"),CHAR(10),"")&amp;IF(LEN(AO38),AO38,"")</f>
        <v xml:space="preserve">
LDP stEx430.x2</v>
      </c>
      <c r="AT38" t="str">
        <f t="shared" si="3"/>
        <v xml:space="preserve">
LDP stEx430.x2
AND=.D stM.udiErrNo #0</v>
      </c>
      <c r="AU38" t="str">
        <f t="shared" si="4"/>
        <v xml:space="preserve">
LDP stEx430.x2
AND=.D stM.udiErrNo #0
MOV.D #4300 stM.udiErrNo</v>
      </c>
      <c r="AV38" t="str">
        <f t="shared" si="14"/>
        <v xml:space="preserve">
LDP stEx430.x2
AND=.D stM.udiErrNo #0
MOV.D #4300 stM.udiErrNo
MOV.D stDevIn.astAXI[0] stM.udiSubErr</v>
      </c>
      <c r="AW38" t="str">
        <f t="shared" si="15"/>
        <v xml:space="preserve">
LDP stEx430.x2
AND=.D stM.udiErrNo #0
MOV.D #4300 stM.udiErrNo
MOV.D stDevIn.astAXI[0] stM.udiSubErr</v>
      </c>
      <c r="AY38" t="str">
        <f ca="1">IF($AM38="●",AT38&amp;CHAR(10)&amp;"BOX_ST"&amp;CHAR(10)&amp;";//"&amp;$B$10,"")</f>
        <v xml:space="preserve">
LDP stEx430.x2
AND=.D stM.udiErrNo #0
BOX_ST
;//このスクリプトは C:\tk\prj\hg-0025-0016\git\kv-x520\doc\[kv_script_exe_errno.xlsm]info_script によって生成されました。</v>
      </c>
      <c r="AZ38" t="str">
        <f ca="1">IF($AM38="●",IF(LEN(AY38),AY38&amp;CHAR(10),"")&amp;";//エラーNo.を入れる"&amp;CHAR(10)&amp;";"&amp;$B$15&amp;"	:= "&amp;AN38&amp;";","")</f>
        <v xml:space="preserve">
LDP stEx430.x2
AND=.D stM.udiErrNo #0
BOX_ST
;//このスクリプトは C:\tk\prj\hg-0025-0016\git\kv-x520\doc\[kv_script_exe_errno.xlsm]info_script によって生成されました。
;//エラーNo.を入れる
;stM.udiErrNo	:= 4300;</v>
      </c>
      <c r="BA38" t="str">
        <f ca="1">IF($AM38="●",IF(LEN(AZ38),AZ38&amp;CHAR(10),"")&amp;";//カウントする"&amp;CHAR(10)&amp;";"&amp;$B$16&amp;"	:= "&amp;$B$16&amp;" + 1;","")</f>
        <v xml:space="preserve">
LDP stEx430.x2
AND=.D stM.udiErrNo #0
BOX_ST
;//このスクリプトは C:\tk\prj\hg-0025-0016\git\kv-x520\doc\[kv_script_exe_errno.xlsm]info_script によって生成されました。
;//エラーNo.を入れる
;stM.udiErrNo	:= 4300;
;//カウントする
;stM.uiEDCnt	:= stM.uiEDCnt + 1;</v>
      </c>
      <c r="BB38" t="str">
        <f ca="1">IF($AM38="●",IF(LEN(BA38),BA38&amp;CHAR(10),"")&amp;IF(LEN(AK38),";//エラーコードを入れる"&amp;CHAR(10)&amp;";"&amp;$B$17&amp;"	:= "&amp;AK38&amp;".udiErr;",""),"")</f>
        <v xml:space="preserve">
LDP stEx430.x2
AND=.D stM.udiErrNo #0
BOX_ST
;//このスクリプトは C:\tk\prj\hg-0025-0016\git\kv-x520\doc\[kv_script_exe_errno.xlsm]info_script によって生成されました。
;//エラーNo.を入れる
;stM.udiErrNo	:= 4300;
;//カウントする
;stM.uiEDCnt	:= stM.uiEDCnt + 1;
;//エラーコードを入れる
;stM.udiSubErr	:= stDevIn.astAXI[0].udiErr;</v>
      </c>
      <c r="BC38" t="str">
        <f ca="1">IF($AM38="●",IF(LEN(BB38),BB38&amp;CHAR(10),"")&amp;";//"&amp;$B$11,"")</f>
        <v xml:space="preserve">
LDP stEx430.x2
AND=.D stM.udiErrNo #0
BOX_ST
;//このスクリプトは C:\tk\prj\hg-0025-0016\git\kv-x520\doc\[kv_script_exe_errno.xlsm]info_script によって生成されました。
;//エラーNo.を入れる
;stM.udiErrNo	:= 4300;
;//カウントする
;stM.uiEDCnt	:= stM.uiEDCnt + 1;
;//エラーコードを入れる
;stM.udiSubErr	:= stDevIn.astAXI[0].udiErr;
;//-----ここまで生成script-----</v>
      </c>
      <c r="BE38">
        <f>INT(D38/$BE$6)</f>
        <v>10</v>
      </c>
      <c r="BF38">
        <f>MOD(D38,$BE$6)</f>
        <v>0</v>
      </c>
      <c r="BG38" t="str">
        <f>IF(LEN(E38),E38&amp;".x"&amp;TEXT(BF38,"0")&amp;CHAR(9)&amp;" := FALSE;","")</f>
        <v>stEx430.x0	 := FALSE;</v>
      </c>
      <c r="BH38" t="str">
        <f t="shared" si="16"/>
        <v xml:space="preserve">stEx430.x0	 := FALSE;
</v>
      </c>
    </row>
    <row r="39" spans="4:60" x14ac:dyDescent="0.55000000000000004">
      <c r="D39">
        <v>31</v>
      </c>
      <c r="E39" t="str">
        <f>IF(LEN(I39),I39,IF(LEN(Q39),Q39,""))</f>
        <v>stEx431</v>
      </c>
      <c r="F39" t="str">
        <f>IF(LEN(J39),J39,IF(LEN(R39),R39,""))</f>
        <v>EXE_DIREC</v>
      </c>
      <c r="G39" t="str">
        <f>IF(LEN(O39),O39,IF(LEN(X39),X39,""))</f>
        <v>&gt;&gt;●AXI05 平板押え</v>
      </c>
      <c r="Q39" t="s">
        <v>97</v>
      </c>
      <c r="R39" t="s">
        <v>0</v>
      </c>
      <c r="U39" t="b">
        <v>0</v>
      </c>
      <c r="V39" t="b">
        <v>0</v>
      </c>
      <c r="W39" t="b">
        <v>0</v>
      </c>
      <c r="X39" t="s">
        <v>98</v>
      </c>
      <c r="Z39">
        <f t="shared" si="5"/>
        <v>5</v>
      </c>
      <c r="AA39" t="str">
        <f t="shared" si="6"/>
        <v/>
      </c>
      <c r="AB39" t="str">
        <f t="shared" si="6"/>
        <v/>
      </c>
      <c r="AC39" t="str">
        <f t="shared" si="6"/>
        <v/>
      </c>
      <c r="AD39" t="str">
        <f t="shared" si="7"/>
        <v>stDevIn.astAXI[0]</v>
      </c>
      <c r="AE39" t="str">
        <f t="shared" si="7"/>
        <v/>
      </c>
      <c r="AF39" t="str">
        <f t="shared" si="8"/>
        <v/>
      </c>
      <c r="AG39" t="str">
        <f t="shared" si="9"/>
        <v/>
      </c>
      <c r="AH39" t="str">
        <f t="shared" si="10"/>
        <v/>
      </c>
      <c r="AI39" t="str">
        <f t="shared" si="11"/>
        <v/>
      </c>
      <c r="AJ39" t="str">
        <f t="shared" si="12"/>
        <v/>
      </c>
      <c r="AK39" t="str">
        <f t="shared" si="13"/>
        <v>stDevIn.astAXI[0]</v>
      </c>
      <c r="AM39" t="str">
        <f>IF(LEN(G39),IF(OR(COUNTIF(G39,"*◆*"),COUNTIF(G39,"*▼*"),COUNTIF(G39,"*■*")),"","●"),"")</f>
        <v>●</v>
      </c>
      <c r="AN39">
        <f>IF(AM39="●",(AN$4+MOD(INT(MID(E39,5,3)),AN$2))*AN$6,"")</f>
        <v>4310</v>
      </c>
      <c r="AO39" t="str">
        <f>IF($AM39="●","LDP "&amp;E39&amp;"."&amp;$B$14,"")</f>
        <v>LDP stEx431.x2</v>
      </c>
      <c r="AP39" t="str">
        <f>IF($AM39="●","AND=.D "&amp;$B$15&amp;" #0","")</f>
        <v>AND=.D stM.udiErrNo #0</v>
      </c>
      <c r="AQ39" t="str">
        <f>IF($AM39="●","MOV.D #"&amp;AN39&amp;" "&amp;$B$15,"")</f>
        <v>MOV.D #4310 stM.udiErrNo</v>
      </c>
      <c r="AR39" t="str">
        <f>IF(LEN(AK39),"MOV.D "&amp;$AK39&amp;" "&amp;$B$17,"")</f>
        <v>MOV.D stDevIn.astAXI[0] stM.udiSubErr</v>
      </c>
      <c r="AS39" t="str">
        <f>IF(AND(D39&lt;&gt;0,AM39="●"),CHAR(10),"")&amp;IF(LEN(AO39),AO39,"")</f>
        <v xml:space="preserve">
LDP stEx431.x2</v>
      </c>
      <c r="AT39" t="str">
        <f t="shared" si="3"/>
        <v xml:space="preserve">
LDP stEx431.x2
AND=.D stM.udiErrNo #0</v>
      </c>
      <c r="AU39" t="str">
        <f t="shared" si="4"/>
        <v xml:space="preserve">
LDP stEx431.x2
AND=.D stM.udiErrNo #0
MOV.D #4310 stM.udiErrNo</v>
      </c>
      <c r="AV39" t="str">
        <f t="shared" si="14"/>
        <v xml:space="preserve">
LDP stEx431.x2
AND=.D stM.udiErrNo #0
MOV.D #4310 stM.udiErrNo
MOV.D stDevIn.astAXI[0] stM.udiSubErr</v>
      </c>
      <c r="AW39" t="str">
        <f t="shared" si="15"/>
        <v xml:space="preserve">
LDP stEx431.x2
AND=.D stM.udiErrNo #0
MOV.D #4310 stM.udiErrNo
MOV.D stDevIn.astAXI[0] stM.udiSubErr</v>
      </c>
      <c r="AY39" t="str">
        <f ca="1">IF($AM39="●",AT39&amp;CHAR(10)&amp;"BOX_ST"&amp;CHAR(10)&amp;";//"&amp;$B$10,"")</f>
        <v xml:space="preserve">
LDP stEx431.x2
AND=.D stM.udiErrNo #0
BOX_ST
;//このスクリプトは C:\tk\prj\hg-0025-0016\git\kv-x520\doc\[kv_script_exe_errno.xlsm]info_script によって生成されました。</v>
      </c>
      <c r="AZ39" t="str">
        <f ca="1">IF($AM39="●",IF(LEN(AY39),AY39&amp;CHAR(10),"")&amp;";//エラーNo.を入れる"&amp;CHAR(10)&amp;";"&amp;$B$15&amp;"	:= "&amp;AN39&amp;";","")</f>
        <v xml:space="preserve">
LDP stEx431.x2
AND=.D stM.udiErrNo #0
BOX_ST
;//このスクリプトは C:\tk\prj\hg-0025-0016\git\kv-x520\doc\[kv_script_exe_errno.xlsm]info_script によって生成されました。
;//エラーNo.を入れる
;stM.udiErrNo	:= 4310;</v>
      </c>
      <c r="BA39" t="str">
        <f ca="1">IF($AM39="●",IF(LEN(AZ39),AZ39&amp;CHAR(10),"")&amp;";//カウントする"&amp;CHAR(10)&amp;";"&amp;$B$16&amp;"	:= "&amp;$B$16&amp;" + 1;","")</f>
        <v xml:space="preserve">
LDP stEx431.x2
AND=.D stM.udiErrNo #0
BOX_ST
;//このスクリプトは C:\tk\prj\hg-0025-0016\git\kv-x520\doc\[kv_script_exe_errno.xlsm]info_script によって生成されました。
;//エラーNo.を入れる
;stM.udiErrNo	:= 4310;
;//カウントする
;stM.uiEDCnt	:= stM.uiEDCnt + 1;</v>
      </c>
      <c r="BB39" t="str">
        <f ca="1">IF($AM39="●",IF(LEN(BA39),BA39&amp;CHAR(10),"")&amp;IF(LEN(AK39),";//エラーコードを入れる"&amp;CHAR(10)&amp;";"&amp;$B$17&amp;"	:= "&amp;AK39&amp;".udiErr;",""),"")</f>
        <v xml:space="preserve">
LDP stEx431.x2
AND=.D stM.udiErrNo #0
BOX_ST
;//このスクリプトは C:\tk\prj\hg-0025-0016\git\kv-x520\doc\[kv_script_exe_errno.xlsm]info_script によって生成されました。
;//エラーNo.を入れる
;stM.udiErrNo	:= 4310;
;//カウントする
;stM.uiEDCnt	:= stM.uiEDCnt + 1;
;//エラーコードを入れる
;stM.udiSubErr	:= stDevIn.astAXI[0].udiErr;</v>
      </c>
      <c r="BC39" t="str">
        <f ca="1">IF($AM39="●",IF(LEN(BB39),BB39&amp;CHAR(10),"")&amp;";//"&amp;$B$11,"")</f>
        <v xml:space="preserve">
LDP stEx431.x2
AND=.D stM.udiErrNo #0
BOX_ST
;//このスクリプトは C:\tk\prj\hg-0025-0016\git\kv-x520\doc\[kv_script_exe_errno.xlsm]info_script によって生成されました。
;//エラーNo.を入れる
;stM.udiErrNo	:= 4310;
;//カウントする
;stM.uiEDCnt	:= stM.uiEDCnt + 1;
;//エラーコードを入れる
;stM.udiSubErr	:= stDevIn.astAXI[0].udiErr;
;//-----ここまで生成script-----</v>
      </c>
      <c r="BE39">
        <f>INT(D39/$BE$6)</f>
        <v>10</v>
      </c>
      <c r="BF39">
        <f>MOD(D39,$BE$6)</f>
        <v>1</v>
      </c>
      <c r="BG39" t="str">
        <f>IF(LEN(E39),E39&amp;".x"&amp;TEXT(BF39,"0")&amp;CHAR(9)&amp;" := FALSE;","")</f>
        <v>stEx431.x1	 := FALSE;</v>
      </c>
      <c r="BH39" t="str">
        <f t="shared" si="16"/>
        <v xml:space="preserve">stEx431.x1	 := FALSE;
</v>
      </c>
    </row>
    <row r="40" spans="4:60" x14ac:dyDescent="0.55000000000000004">
      <c r="D40">
        <v>32</v>
      </c>
      <c r="E40" t="str">
        <f>IF(LEN(I40),I40,IF(LEN(Q40),Q40,""))</f>
        <v>stEx432</v>
      </c>
      <c r="F40" t="str">
        <f>IF(LEN(J40),J40,IF(LEN(R40),R40,""))</f>
        <v>EXE_DIREC</v>
      </c>
      <c r="G40" t="str">
        <f>IF(LEN(O40),O40,IF(LEN(X40),X40,""))</f>
        <v>&gt;&gt;△●CYL07平板押え 下降</v>
      </c>
      <c r="Q40" t="s">
        <v>99</v>
      </c>
      <c r="R40" t="s">
        <v>0</v>
      </c>
      <c r="U40" t="b">
        <v>0</v>
      </c>
      <c r="V40" t="b">
        <v>0</v>
      </c>
      <c r="W40" t="b">
        <v>0</v>
      </c>
      <c r="X40" t="s">
        <v>100</v>
      </c>
      <c r="Z40" t="str">
        <f t="shared" si="5"/>
        <v/>
      </c>
      <c r="AA40">
        <f t="shared" si="6"/>
        <v>7</v>
      </c>
      <c r="AB40" t="str">
        <f t="shared" si="6"/>
        <v/>
      </c>
      <c r="AC40" t="str">
        <f t="shared" si="6"/>
        <v/>
      </c>
      <c r="AD40" t="str">
        <f t="shared" si="7"/>
        <v/>
      </c>
      <c r="AE40" t="str">
        <f t="shared" si="7"/>
        <v/>
      </c>
      <c r="AF40" t="str">
        <f t="shared" si="8"/>
        <v/>
      </c>
      <c r="AG40" t="str">
        <f t="shared" si="9"/>
        <v/>
      </c>
      <c r="AH40" t="str">
        <f t="shared" si="10"/>
        <v>stDevIn.astCYL[6]</v>
      </c>
      <c r="AI40" t="str">
        <f t="shared" si="11"/>
        <v/>
      </c>
      <c r="AJ40" t="str">
        <f t="shared" si="12"/>
        <v/>
      </c>
      <c r="AK40" t="str">
        <f t="shared" si="13"/>
        <v>stDevIn.astCYL[6]</v>
      </c>
      <c r="AM40" t="str">
        <f>IF(LEN(G40),IF(OR(COUNTIF(G40,"*◆*"),COUNTIF(G40,"*▼*"),COUNTIF(G40,"*■*")),"","●"),"")</f>
        <v>●</v>
      </c>
      <c r="AN40">
        <f>IF(AM40="●",(AN$4+MOD(INT(MID(E40,5,3)),AN$2))*AN$6,"")</f>
        <v>4320</v>
      </c>
      <c r="AO40" t="str">
        <f>IF($AM40="●","LDP "&amp;E40&amp;"."&amp;$B$14,"")</f>
        <v>LDP stEx432.x2</v>
      </c>
      <c r="AP40" t="str">
        <f>IF($AM40="●","AND=.D "&amp;$B$15&amp;" #0","")</f>
        <v>AND=.D stM.udiErrNo #0</v>
      </c>
      <c r="AQ40" t="str">
        <f>IF($AM40="●","MOV.D #"&amp;AN40&amp;" "&amp;$B$15,"")</f>
        <v>MOV.D #4320 stM.udiErrNo</v>
      </c>
      <c r="AR40" t="str">
        <f>IF(LEN(AK40),"MOV.D "&amp;$AK40&amp;" "&amp;$B$17,"")</f>
        <v>MOV.D stDevIn.astCYL[6] stM.udiSubErr</v>
      </c>
      <c r="AS40" t="str">
        <f>IF(AND(D40&lt;&gt;0,AM40="●"),CHAR(10),"")&amp;IF(LEN(AO40),AO40,"")</f>
        <v xml:space="preserve">
LDP stEx432.x2</v>
      </c>
      <c r="AT40" t="str">
        <f t="shared" ref="AT40:AT71" si="17">IF(LEN(AS40),AS40&amp;CHAR(10),"")&amp;IF(LEN(AP40),AP40,"")</f>
        <v xml:space="preserve">
LDP stEx432.x2
AND=.D stM.udiErrNo #0</v>
      </c>
      <c r="AU40" t="str">
        <f t="shared" ref="AU40:AU71" si="18">IF(LEN(AT40),AT40&amp;CHAR(10),"")&amp;IF(LEN(AQ40),AQ40,"")</f>
        <v xml:space="preserve">
LDP stEx432.x2
AND=.D stM.udiErrNo #0
MOV.D #4320 stM.udiErrNo</v>
      </c>
      <c r="AV40" t="str">
        <f t="shared" si="14"/>
        <v xml:space="preserve">
LDP stEx432.x2
AND=.D stM.udiErrNo #0
MOV.D #4320 stM.udiErrNo
MOV.D stDevIn.astCYL[6] stM.udiSubErr</v>
      </c>
      <c r="AW40" t="str">
        <f t="shared" si="15"/>
        <v xml:space="preserve">
LDP stEx432.x2
AND=.D stM.udiErrNo #0
MOV.D #4320 stM.udiErrNo
MOV.D stDevIn.astCYL[6] stM.udiSubErr</v>
      </c>
      <c r="AY40" t="str">
        <f ca="1">IF($AM40="●",AT40&amp;CHAR(10)&amp;"BOX_ST"&amp;CHAR(10)&amp;";//"&amp;$B$10,"")</f>
        <v xml:space="preserve">
LDP stEx432.x2
AND=.D stM.udiErrNo #0
BOX_ST
;//このスクリプトは C:\tk\prj\hg-0025-0016\git\kv-x520\doc\[kv_script_exe_errno.xlsm]info_script によって生成されました。</v>
      </c>
      <c r="AZ40" t="str">
        <f ca="1">IF($AM40="●",IF(LEN(AY40),AY40&amp;CHAR(10),"")&amp;";//エラーNo.を入れる"&amp;CHAR(10)&amp;";"&amp;$B$15&amp;"	:= "&amp;AN40&amp;";","")</f>
        <v xml:space="preserve">
LDP stEx432.x2
AND=.D stM.udiErrNo #0
BOX_ST
;//このスクリプトは C:\tk\prj\hg-0025-0016\git\kv-x520\doc\[kv_script_exe_errno.xlsm]info_script によって生成されました。
;//エラーNo.を入れる
;stM.udiErrNo	:= 4320;</v>
      </c>
      <c r="BA40" t="str">
        <f ca="1">IF($AM40="●",IF(LEN(AZ40),AZ40&amp;CHAR(10),"")&amp;";//カウントする"&amp;CHAR(10)&amp;";"&amp;$B$16&amp;"	:= "&amp;$B$16&amp;" + 1;","")</f>
        <v xml:space="preserve">
LDP stEx432.x2
AND=.D stM.udiErrNo #0
BOX_ST
;//このスクリプトは C:\tk\prj\hg-0025-0016\git\kv-x520\doc\[kv_script_exe_errno.xlsm]info_script によって生成されました。
;//エラーNo.を入れる
;stM.udiErrNo	:= 4320;
;//カウントする
;stM.uiEDCnt	:= stM.uiEDCnt + 1;</v>
      </c>
      <c r="BB40" t="str">
        <f ca="1">IF($AM40="●",IF(LEN(BA40),BA40&amp;CHAR(10),"")&amp;IF(LEN(AK40),";//エラーコードを入れる"&amp;CHAR(10)&amp;";"&amp;$B$17&amp;"	:= "&amp;AK40&amp;".udiErr;",""),"")</f>
        <v xml:space="preserve">
LDP stEx432.x2
AND=.D stM.udiErrNo #0
BOX_ST
;//このスクリプトは C:\tk\prj\hg-0025-0016\git\kv-x520\doc\[kv_script_exe_errno.xlsm]info_script によって生成されました。
;//エラーNo.を入れる
;stM.udiErrNo	:= 4320;
;//カウントする
;stM.uiEDCnt	:= stM.uiEDCnt + 1;
;//エラーコードを入れる
;stM.udiSubErr	:= stDevIn.astCYL[6].udiErr;</v>
      </c>
      <c r="BC40" t="str">
        <f ca="1">IF($AM40="●",IF(LEN(BB40),BB40&amp;CHAR(10),"")&amp;";//"&amp;$B$11,"")</f>
        <v xml:space="preserve">
LDP stEx432.x2
AND=.D stM.udiErrNo #0
BOX_ST
;//このスクリプトは C:\tk\prj\hg-0025-0016\git\kv-x520\doc\[kv_script_exe_errno.xlsm]info_script によって生成されました。
;//エラーNo.を入れる
;stM.udiErrNo	:= 4320;
;//カウントする
;stM.uiEDCnt	:= stM.uiEDCnt + 1;
;//エラーコードを入れる
;stM.udiSubErr	:= stDevIn.astCYL[6].udiErr;
;//-----ここまで生成script-----</v>
      </c>
      <c r="BE40">
        <f>INT(D40/$BE$6)</f>
        <v>10</v>
      </c>
      <c r="BF40">
        <f>MOD(D40,$BE$6)</f>
        <v>2</v>
      </c>
      <c r="BG40" t="str">
        <f>IF(LEN(E40),E40&amp;".x"&amp;TEXT(BF40,"0")&amp;CHAR(9)&amp;" := FALSE;","")</f>
        <v>stEx432.x2	 := FALSE;</v>
      </c>
      <c r="BH40" t="str">
        <f t="shared" si="16"/>
        <v xml:space="preserve">stEx432.x2	 := FALSE;
</v>
      </c>
    </row>
    <row r="41" spans="4:60" x14ac:dyDescent="0.55000000000000004">
      <c r="D41">
        <v>33</v>
      </c>
      <c r="E41" t="str">
        <f>IF(LEN(I41),I41,IF(LEN(Q41),Q41,""))</f>
        <v>stEx433</v>
      </c>
      <c r="F41" t="str">
        <f>IF(LEN(J41),J41,IF(LEN(R41),R41,""))</f>
        <v>EXE_DIREC</v>
      </c>
      <c r="G41" t="str">
        <f>IF(LEN(O41),O41,IF(LEN(X41),X41,""))</f>
        <v>&gt;&gt;▽主軸 +平板押え</v>
      </c>
      <c r="Q41" t="s">
        <v>101</v>
      </c>
      <c r="R41" t="s">
        <v>0</v>
      </c>
      <c r="U41" t="b">
        <v>0</v>
      </c>
      <c r="V41" t="b">
        <v>0</v>
      </c>
      <c r="W41" t="b">
        <v>0</v>
      </c>
      <c r="X41" t="s">
        <v>102</v>
      </c>
      <c r="Z41" t="str">
        <f t="shared" si="5"/>
        <v/>
      </c>
      <c r="AA41" t="str">
        <f t="shared" si="6"/>
        <v/>
      </c>
      <c r="AB41" t="str">
        <f t="shared" si="6"/>
        <v/>
      </c>
      <c r="AC41" t="str">
        <f t="shared" si="6"/>
        <v/>
      </c>
      <c r="AD41" t="str">
        <f t="shared" ref="AD41:AF72" si="19">IF(AND(LEN($Z41),AD$2&lt;=$Z41,$Z41&lt;=AD$3),AD$7&amp;"["&amp;$Z41-AD$2&amp;"]","")</f>
        <v/>
      </c>
      <c r="AE41" t="str">
        <f t="shared" si="19"/>
        <v/>
      </c>
      <c r="AF41" t="str">
        <f t="shared" si="8"/>
        <v/>
      </c>
      <c r="AG41" t="str">
        <f t="shared" si="9"/>
        <v/>
      </c>
      <c r="AH41" t="str">
        <f t="shared" si="10"/>
        <v/>
      </c>
      <c r="AI41" t="str">
        <f t="shared" si="11"/>
        <v/>
      </c>
      <c r="AJ41" t="str">
        <f t="shared" si="12"/>
        <v/>
      </c>
      <c r="AK41" t="str">
        <f t="shared" si="13"/>
        <v/>
      </c>
      <c r="AM41" t="str">
        <f>IF(LEN(G41),IF(OR(COUNTIF(G41,"*◆*"),COUNTIF(G41,"*▼*"),COUNTIF(G41,"*■*")),"","●"),"")</f>
        <v>●</v>
      </c>
      <c r="AN41">
        <f>IF(AM41="●",(AN$4+MOD(INT(MID(E41,5,3)),AN$2))*AN$6,"")</f>
        <v>4330</v>
      </c>
      <c r="AO41" t="str">
        <f>IF($AM41="●","LDP "&amp;E41&amp;"."&amp;$B$14,"")</f>
        <v>LDP stEx433.x2</v>
      </c>
      <c r="AP41" t="str">
        <f>IF($AM41="●","AND=.D "&amp;$B$15&amp;" #0","")</f>
        <v>AND=.D stM.udiErrNo #0</v>
      </c>
      <c r="AQ41" t="str">
        <f>IF($AM41="●","MOV.D #"&amp;AN41&amp;" "&amp;$B$15,"")</f>
        <v>MOV.D #4330 stM.udiErrNo</v>
      </c>
      <c r="AR41" t="str">
        <f>IF(LEN(AK41),"MOV.D "&amp;$AK41&amp;" "&amp;$B$17,"")</f>
        <v/>
      </c>
      <c r="AS41" t="str">
        <f>IF(AND(D41&lt;&gt;0,AM41="●"),CHAR(10),"")&amp;IF(LEN(AO41),AO41,"")</f>
        <v xml:space="preserve">
LDP stEx433.x2</v>
      </c>
      <c r="AT41" t="str">
        <f t="shared" si="17"/>
        <v xml:space="preserve">
LDP stEx433.x2
AND=.D stM.udiErrNo #0</v>
      </c>
      <c r="AU41" t="str">
        <f t="shared" si="18"/>
        <v xml:space="preserve">
LDP stEx433.x2
AND=.D stM.udiErrNo #0
MOV.D #4330 stM.udiErrNo</v>
      </c>
      <c r="AV41" t="str">
        <f t="shared" si="14"/>
        <v xml:space="preserve">
LDP stEx433.x2
AND=.D stM.udiErrNo #0
MOV.D #4330 stM.udiErrNo
</v>
      </c>
      <c r="AW41" t="str">
        <f t="shared" si="15"/>
        <v xml:space="preserve">
LDP stEx433.x2
AND=.D stM.udiErrNo #0
MOV.D #4330 stM.udiErrNo
</v>
      </c>
      <c r="AY41" t="str">
        <f ca="1">IF($AM41="●",AT41&amp;CHAR(10)&amp;"BOX_ST"&amp;CHAR(10)&amp;";//"&amp;$B$10,"")</f>
        <v xml:space="preserve">
LDP stEx433.x2
AND=.D stM.udiErrNo #0
BOX_ST
;//このスクリプトは C:\tk\prj\hg-0025-0016\git\kv-x520\doc\[kv_script_exe_errno.xlsm]info_script によって生成されました。</v>
      </c>
      <c r="AZ41" t="str">
        <f ca="1">IF($AM41="●",IF(LEN(AY41),AY41&amp;CHAR(10),"")&amp;";//エラーNo.を入れる"&amp;CHAR(10)&amp;";"&amp;$B$15&amp;"	:= "&amp;AN41&amp;";","")</f>
        <v xml:space="preserve">
LDP stEx433.x2
AND=.D stM.udiErrNo #0
BOX_ST
;//このスクリプトは C:\tk\prj\hg-0025-0016\git\kv-x520\doc\[kv_script_exe_errno.xlsm]info_script によって生成されました。
;//エラーNo.を入れる
;stM.udiErrNo	:= 4330;</v>
      </c>
      <c r="BA41" t="str">
        <f ca="1">IF($AM41="●",IF(LEN(AZ41),AZ41&amp;CHAR(10),"")&amp;";//カウントする"&amp;CHAR(10)&amp;";"&amp;$B$16&amp;"	:= "&amp;$B$16&amp;" + 1;","")</f>
        <v xml:space="preserve">
LDP stEx433.x2
AND=.D stM.udiErrNo #0
BOX_ST
;//このスクリプトは C:\tk\prj\hg-0025-0016\git\kv-x520\doc\[kv_script_exe_errno.xlsm]info_script によって生成されました。
;//エラーNo.を入れる
;stM.udiErrNo	:= 4330;
;//カウントする
;stM.uiEDCnt	:= stM.uiEDCnt + 1;</v>
      </c>
      <c r="BB41" t="str">
        <f ca="1">IF($AM41="●",IF(LEN(BA41),BA41&amp;CHAR(10),"")&amp;IF(LEN(AK41),";//エラーコードを入れる"&amp;CHAR(10)&amp;";"&amp;$B$17&amp;"	:= "&amp;AK41&amp;".udiErr;",""),"")</f>
        <v xml:space="preserve">
LDP stEx433.x2
AND=.D stM.udiErrNo #0
BOX_ST
;//このスクリプトは C:\tk\prj\hg-0025-0016\git\kv-x520\doc\[kv_script_exe_errno.xlsm]info_script によって生成されました。
;//エラーNo.を入れる
;stM.udiErrNo	:= 4330;
;//カウントする
;stM.uiEDCnt	:= stM.uiEDCnt + 1;
</v>
      </c>
      <c r="BC41" t="str">
        <f ca="1">IF($AM41="●",IF(LEN(BB41),BB41&amp;CHAR(10),"")&amp;";//"&amp;$B$11,"")</f>
        <v xml:space="preserve">
LDP stEx433.x2
AND=.D stM.udiErrNo #0
BOX_ST
;//このスクリプトは C:\tk\prj\hg-0025-0016\git\kv-x520\doc\[kv_script_exe_errno.xlsm]info_script によって生成されました。
;//エラーNo.を入れる
;stM.udiErrNo	:= 4330;
;//カウントする
;stM.uiEDCnt	:= stM.uiEDCnt + 1;
;//-----ここまで生成script-----</v>
      </c>
      <c r="BE41">
        <f>INT(D41/$BE$6)</f>
        <v>11</v>
      </c>
      <c r="BF41">
        <f>MOD(D41,$BE$6)</f>
        <v>0</v>
      </c>
      <c r="BG41" t="str">
        <f>IF(LEN(E41),E41&amp;".x"&amp;TEXT(BF41,"0")&amp;CHAR(9)&amp;" := FALSE;","")</f>
        <v>stEx433.x0	 := FALSE;</v>
      </c>
      <c r="BH41" t="str">
        <f t="shared" si="16"/>
        <v xml:space="preserve">stEx433.x0	 := FALSE;
</v>
      </c>
    </row>
    <row r="42" spans="4:60" x14ac:dyDescent="0.55000000000000004">
      <c r="D42">
        <v>34</v>
      </c>
      <c r="E42" t="str">
        <f>IF(LEN(I42),I42,IF(LEN(Q42),Q42,""))</f>
        <v>stEx434</v>
      </c>
      <c r="F42" t="str">
        <f>IF(LEN(J42),J42,IF(LEN(R42),R42,""))</f>
        <v>EXE_DIREC</v>
      </c>
      <c r="G42" t="str">
        <f>IF(LEN(O42),O42,IF(LEN(X42),X42,""))</f>
        <v>&gt;&gt;●U01平板 ｶｯﾄ</v>
      </c>
      <c r="Q42" t="s">
        <v>103</v>
      </c>
      <c r="R42" t="s">
        <v>0</v>
      </c>
      <c r="U42" t="b">
        <v>0</v>
      </c>
      <c r="V42" t="b">
        <v>0</v>
      </c>
      <c r="W42" t="b">
        <v>0</v>
      </c>
      <c r="X42" t="s">
        <v>104</v>
      </c>
      <c r="Z42" t="str">
        <f t="shared" si="5"/>
        <v/>
      </c>
      <c r="AA42" t="str">
        <f t="shared" si="6"/>
        <v/>
      </c>
      <c r="AB42" t="str">
        <f t="shared" si="6"/>
        <v/>
      </c>
      <c r="AC42" t="str">
        <f t="shared" si="6"/>
        <v/>
      </c>
      <c r="AD42" t="str">
        <f t="shared" si="19"/>
        <v/>
      </c>
      <c r="AE42" t="str">
        <f t="shared" si="19"/>
        <v/>
      </c>
      <c r="AF42" t="str">
        <f t="shared" si="8"/>
        <v/>
      </c>
      <c r="AG42" t="str">
        <f t="shared" si="9"/>
        <v/>
      </c>
      <c r="AH42" t="str">
        <f t="shared" si="10"/>
        <v/>
      </c>
      <c r="AI42" t="str">
        <f t="shared" si="11"/>
        <v/>
      </c>
      <c r="AJ42" t="str">
        <f t="shared" si="12"/>
        <v/>
      </c>
      <c r="AK42" t="str">
        <f t="shared" si="13"/>
        <v/>
      </c>
      <c r="AM42" t="str">
        <f>IF(LEN(G42),IF(OR(COUNTIF(G42,"*◆*"),COUNTIF(G42,"*▼*"),COUNTIF(G42,"*■*")),"","●"),"")</f>
        <v>●</v>
      </c>
      <c r="AN42">
        <f>IF(AM42="●",(AN$4+MOD(INT(MID(E42,5,3)),AN$2))*AN$6,"")</f>
        <v>4340</v>
      </c>
      <c r="AO42" t="str">
        <f>IF($AM42="●","LDP "&amp;E42&amp;"."&amp;$B$14,"")</f>
        <v>LDP stEx434.x2</v>
      </c>
      <c r="AP42" t="str">
        <f>IF($AM42="●","AND=.D "&amp;$B$15&amp;" #0","")</f>
        <v>AND=.D stM.udiErrNo #0</v>
      </c>
      <c r="AQ42" t="str">
        <f>IF($AM42="●","MOV.D #"&amp;AN42&amp;" "&amp;$B$15,"")</f>
        <v>MOV.D #4340 stM.udiErrNo</v>
      </c>
      <c r="AR42" t="str">
        <f>IF(LEN(AK42),"MOV.D "&amp;$AK42&amp;" "&amp;$B$17,"")</f>
        <v/>
      </c>
      <c r="AS42" t="str">
        <f>IF(AND(D42&lt;&gt;0,AM42="●"),CHAR(10),"")&amp;IF(LEN(AO42),AO42,"")</f>
        <v xml:space="preserve">
LDP stEx434.x2</v>
      </c>
      <c r="AT42" t="str">
        <f t="shared" si="17"/>
        <v xml:space="preserve">
LDP stEx434.x2
AND=.D stM.udiErrNo #0</v>
      </c>
      <c r="AU42" t="str">
        <f t="shared" si="18"/>
        <v xml:space="preserve">
LDP stEx434.x2
AND=.D stM.udiErrNo #0
MOV.D #4340 stM.udiErrNo</v>
      </c>
      <c r="AV42" t="str">
        <f t="shared" si="14"/>
        <v xml:space="preserve">
LDP stEx434.x2
AND=.D stM.udiErrNo #0
MOV.D #4340 stM.udiErrNo
</v>
      </c>
      <c r="AW42" t="str">
        <f t="shared" si="15"/>
        <v xml:space="preserve">
LDP stEx434.x2
AND=.D stM.udiErrNo #0
MOV.D #4340 stM.udiErrNo
</v>
      </c>
      <c r="AY42" t="str">
        <f ca="1">IF($AM42="●",AT42&amp;CHAR(10)&amp;"BOX_ST"&amp;CHAR(10)&amp;";//"&amp;$B$10,"")</f>
        <v xml:space="preserve">
LDP stEx434.x2
AND=.D stM.udiErrNo #0
BOX_ST
;//このスクリプトは C:\tk\prj\hg-0025-0016\git\kv-x520\doc\[kv_script_exe_errno.xlsm]info_script によって生成されました。</v>
      </c>
      <c r="AZ42" t="str">
        <f ca="1">IF($AM42="●",IF(LEN(AY42),AY42&amp;CHAR(10),"")&amp;";//エラーNo.を入れる"&amp;CHAR(10)&amp;";"&amp;$B$15&amp;"	:= "&amp;AN42&amp;";","")</f>
        <v xml:space="preserve">
LDP stEx434.x2
AND=.D stM.udiErrNo #0
BOX_ST
;//このスクリプトは C:\tk\prj\hg-0025-0016\git\kv-x520\doc\[kv_script_exe_errno.xlsm]info_script によって生成されました。
;//エラーNo.を入れる
;stM.udiErrNo	:= 4340;</v>
      </c>
      <c r="BA42" t="str">
        <f ca="1">IF($AM42="●",IF(LEN(AZ42),AZ42&amp;CHAR(10),"")&amp;";//カウントする"&amp;CHAR(10)&amp;";"&amp;$B$16&amp;"	:= "&amp;$B$16&amp;" + 1;","")</f>
        <v xml:space="preserve">
LDP stEx434.x2
AND=.D stM.udiErrNo #0
BOX_ST
;//このスクリプトは C:\tk\prj\hg-0025-0016\git\kv-x520\doc\[kv_script_exe_errno.xlsm]info_script によって生成されました。
;//エラーNo.を入れる
;stM.udiErrNo	:= 4340;
;//カウントする
;stM.uiEDCnt	:= stM.uiEDCnt + 1;</v>
      </c>
      <c r="BB42" t="str">
        <f ca="1">IF($AM42="●",IF(LEN(BA42),BA42&amp;CHAR(10),"")&amp;IF(LEN(AK42),";//エラーコードを入れる"&amp;CHAR(10)&amp;";"&amp;$B$17&amp;"	:= "&amp;AK42&amp;".udiErr;",""),"")</f>
        <v xml:space="preserve">
LDP stEx434.x2
AND=.D stM.udiErrNo #0
BOX_ST
;//このスクリプトは C:\tk\prj\hg-0025-0016\git\kv-x520\doc\[kv_script_exe_errno.xlsm]info_script によって生成されました。
;//エラーNo.を入れる
;stM.udiErrNo	:= 4340;
;//カウントする
;stM.uiEDCnt	:= stM.uiEDCnt + 1;
</v>
      </c>
      <c r="BC42" t="str">
        <f ca="1">IF($AM42="●",IF(LEN(BB42),BB42&amp;CHAR(10),"")&amp;";//"&amp;$B$11,"")</f>
        <v xml:space="preserve">
LDP stEx434.x2
AND=.D stM.udiErrNo #0
BOX_ST
;//このスクリプトは C:\tk\prj\hg-0025-0016\git\kv-x520\doc\[kv_script_exe_errno.xlsm]info_script によって生成されました。
;//エラーNo.を入れる
;stM.udiErrNo	:= 4340;
;//カウントする
;stM.uiEDCnt	:= stM.uiEDCnt + 1;
;//-----ここまで生成script-----</v>
      </c>
      <c r="BE42">
        <f>INT(D42/$BE$6)</f>
        <v>11</v>
      </c>
      <c r="BF42">
        <f>MOD(D42,$BE$6)</f>
        <v>1</v>
      </c>
      <c r="BG42" t="str">
        <f>IF(LEN(E42),E42&amp;".x"&amp;TEXT(BF42,"0")&amp;CHAR(9)&amp;" := FALSE;","")</f>
        <v>stEx434.x1	 := FALSE;</v>
      </c>
      <c r="BH42" t="str">
        <f t="shared" si="16"/>
        <v xml:space="preserve">stEx434.x1	 := FALSE;
</v>
      </c>
    </row>
    <row r="43" spans="4:60" x14ac:dyDescent="0.55000000000000004">
      <c r="D43">
        <v>35</v>
      </c>
      <c r="E43" t="str">
        <f>IF(LEN(I43),I43,IF(LEN(Q43),Q43,""))</f>
        <v>stEx435</v>
      </c>
      <c r="F43" t="str">
        <f>IF(LEN(J43),J43,IF(LEN(R43),R43,""))</f>
        <v>EXE_DIREC</v>
      </c>
      <c r="G43" t="str">
        <f>IF(LEN(O43),O43,IF(LEN(X43),X43,""))</f>
        <v>&gt;&gt;●AXI05 排出受取</v>
      </c>
      <c r="Q43" t="s">
        <v>105</v>
      </c>
      <c r="R43" t="s">
        <v>0</v>
      </c>
      <c r="U43" t="b">
        <v>0</v>
      </c>
      <c r="V43" t="b">
        <v>0</v>
      </c>
      <c r="W43" t="b">
        <v>0</v>
      </c>
      <c r="X43" t="s">
        <v>106</v>
      </c>
      <c r="Z43">
        <f t="shared" si="5"/>
        <v>5</v>
      </c>
      <c r="AA43" t="str">
        <f t="shared" si="6"/>
        <v/>
      </c>
      <c r="AB43" t="str">
        <f t="shared" si="6"/>
        <v/>
      </c>
      <c r="AC43" t="str">
        <f t="shared" si="6"/>
        <v/>
      </c>
      <c r="AD43" t="str">
        <f t="shared" si="19"/>
        <v>stDevIn.astAXI[0]</v>
      </c>
      <c r="AE43" t="str">
        <f t="shared" si="19"/>
        <v/>
      </c>
      <c r="AF43" t="str">
        <f t="shared" si="8"/>
        <v/>
      </c>
      <c r="AG43" t="str">
        <f t="shared" si="9"/>
        <v/>
      </c>
      <c r="AH43" t="str">
        <f t="shared" si="10"/>
        <v/>
      </c>
      <c r="AI43" t="str">
        <f t="shared" si="11"/>
        <v/>
      </c>
      <c r="AJ43" t="str">
        <f t="shared" si="12"/>
        <v/>
      </c>
      <c r="AK43" t="str">
        <f t="shared" si="13"/>
        <v>stDevIn.astAXI[0]</v>
      </c>
      <c r="AM43" t="str">
        <f>IF(LEN(G43),IF(OR(COUNTIF(G43,"*◆*"),COUNTIF(G43,"*▼*"),COUNTIF(G43,"*■*")),"","●"),"")</f>
        <v>●</v>
      </c>
      <c r="AN43">
        <f>IF(AM43="●",(AN$4+MOD(INT(MID(E43,5,3)),AN$2))*AN$6,"")</f>
        <v>4350</v>
      </c>
      <c r="AO43" t="str">
        <f>IF($AM43="●","LDP "&amp;E43&amp;"."&amp;$B$14,"")</f>
        <v>LDP stEx435.x2</v>
      </c>
      <c r="AP43" t="str">
        <f>IF($AM43="●","AND=.D "&amp;$B$15&amp;" #0","")</f>
        <v>AND=.D stM.udiErrNo #0</v>
      </c>
      <c r="AQ43" t="str">
        <f>IF($AM43="●","MOV.D #"&amp;AN43&amp;" "&amp;$B$15,"")</f>
        <v>MOV.D #4350 stM.udiErrNo</v>
      </c>
      <c r="AR43" t="str">
        <f>IF(LEN(AK43),"MOV.D "&amp;$AK43&amp;" "&amp;$B$17,"")</f>
        <v>MOV.D stDevIn.astAXI[0] stM.udiSubErr</v>
      </c>
      <c r="AS43" t="str">
        <f>IF(AND(D43&lt;&gt;0,AM43="●"),CHAR(10),"")&amp;IF(LEN(AO43),AO43,"")</f>
        <v xml:space="preserve">
LDP stEx435.x2</v>
      </c>
      <c r="AT43" t="str">
        <f t="shared" si="17"/>
        <v xml:space="preserve">
LDP stEx435.x2
AND=.D stM.udiErrNo #0</v>
      </c>
      <c r="AU43" t="str">
        <f t="shared" si="18"/>
        <v xml:space="preserve">
LDP stEx435.x2
AND=.D stM.udiErrNo #0
MOV.D #4350 stM.udiErrNo</v>
      </c>
      <c r="AV43" t="str">
        <f t="shared" si="14"/>
        <v xml:space="preserve">
LDP stEx435.x2
AND=.D stM.udiErrNo #0
MOV.D #4350 stM.udiErrNo
MOV.D stDevIn.astAXI[0] stM.udiSubErr</v>
      </c>
      <c r="AW43" t="str">
        <f t="shared" si="15"/>
        <v xml:space="preserve">
LDP stEx435.x2
AND=.D stM.udiErrNo #0
MOV.D #4350 stM.udiErrNo
MOV.D stDevIn.astAXI[0] stM.udiSubErr</v>
      </c>
      <c r="AY43" t="str">
        <f ca="1">IF($AM43="●",AT43&amp;CHAR(10)&amp;"BOX_ST"&amp;CHAR(10)&amp;";//"&amp;$B$10,"")</f>
        <v xml:space="preserve">
LDP stEx435.x2
AND=.D stM.udiErrNo #0
BOX_ST
;//このスクリプトは C:\tk\prj\hg-0025-0016\git\kv-x520\doc\[kv_script_exe_errno.xlsm]info_script によって生成されました。</v>
      </c>
      <c r="AZ43" t="str">
        <f ca="1">IF($AM43="●",IF(LEN(AY43),AY43&amp;CHAR(10),"")&amp;";//エラーNo.を入れる"&amp;CHAR(10)&amp;";"&amp;$B$15&amp;"	:= "&amp;AN43&amp;";","")</f>
        <v xml:space="preserve">
LDP stEx435.x2
AND=.D stM.udiErrNo #0
BOX_ST
;//このスクリプトは C:\tk\prj\hg-0025-0016\git\kv-x520\doc\[kv_script_exe_errno.xlsm]info_script によって生成されました。
;//エラーNo.を入れる
;stM.udiErrNo	:= 4350;</v>
      </c>
      <c r="BA43" t="str">
        <f ca="1">IF($AM43="●",IF(LEN(AZ43),AZ43&amp;CHAR(10),"")&amp;";//カウントする"&amp;CHAR(10)&amp;";"&amp;$B$16&amp;"	:= "&amp;$B$16&amp;" + 1;","")</f>
        <v xml:space="preserve">
LDP stEx435.x2
AND=.D stM.udiErrNo #0
BOX_ST
;//このスクリプトは C:\tk\prj\hg-0025-0016\git\kv-x520\doc\[kv_script_exe_errno.xlsm]info_script によって生成されました。
;//エラーNo.を入れる
;stM.udiErrNo	:= 4350;
;//カウントする
;stM.uiEDCnt	:= stM.uiEDCnt + 1;</v>
      </c>
      <c r="BB43" t="str">
        <f ca="1">IF($AM43="●",IF(LEN(BA43),BA43&amp;CHAR(10),"")&amp;IF(LEN(AK43),";//エラーコードを入れる"&amp;CHAR(10)&amp;";"&amp;$B$17&amp;"	:= "&amp;AK43&amp;".udiErr;",""),"")</f>
        <v xml:space="preserve">
LDP stEx435.x2
AND=.D stM.udiErrNo #0
BOX_ST
;//このスクリプトは C:\tk\prj\hg-0025-0016\git\kv-x520\doc\[kv_script_exe_errno.xlsm]info_script によって生成されました。
;//エラーNo.を入れる
;stM.udiErrNo	:= 4350;
;//カウントする
;stM.uiEDCnt	:= stM.uiEDCnt + 1;
;//エラーコードを入れる
;stM.udiSubErr	:= stDevIn.astAXI[0].udiErr;</v>
      </c>
      <c r="BC43" t="str">
        <f ca="1">IF($AM43="●",IF(LEN(BB43),BB43&amp;CHAR(10),"")&amp;";//"&amp;$B$11,"")</f>
        <v xml:space="preserve">
LDP stEx435.x2
AND=.D stM.udiErrNo #0
BOX_ST
;//このスクリプトは C:\tk\prj\hg-0025-0016\git\kv-x520\doc\[kv_script_exe_errno.xlsm]info_script によって生成されました。
;//エラーNo.を入れる
;stM.udiErrNo	:= 4350;
;//カウントする
;stM.uiEDCnt	:= stM.uiEDCnt + 1;
;//エラーコードを入れる
;stM.udiSubErr	:= stDevIn.astAXI[0].udiErr;
;//-----ここまで生成script-----</v>
      </c>
      <c r="BE43">
        <f>INT(D43/$BE$6)</f>
        <v>11</v>
      </c>
      <c r="BF43">
        <f>MOD(D43,$BE$6)</f>
        <v>2</v>
      </c>
      <c r="BG43" t="str">
        <f>IF(LEN(E43),E43&amp;".x"&amp;TEXT(BF43,"0")&amp;CHAR(9)&amp;" := FALSE;","")</f>
        <v>stEx435.x2	 := FALSE;</v>
      </c>
      <c r="BH43" t="str">
        <f t="shared" si="16"/>
        <v xml:space="preserve">stEx435.x2	 := FALSE;
</v>
      </c>
    </row>
    <row r="44" spans="4:60" x14ac:dyDescent="0.55000000000000004">
      <c r="D44">
        <v>36</v>
      </c>
      <c r="E44" t="str">
        <f>IF(LEN(I44),I44,IF(LEN(Q44),Q44,""))</f>
        <v>stEx436</v>
      </c>
      <c r="F44" t="str">
        <f>IF(LEN(J44),J44,IF(LEN(R44),R44,""))</f>
        <v>EXE_DIREC</v>
      </c>
      <c r="G44" t="str">
        <f>IF(LEN(O44),O44,IF(LEN(X44),X44,""))</f>
        <v>&gt;▼平板ｶｯﾄ</v>
      </c>
      <c r="Q44" t="s">
        <v>107</v>
      </c>
      <c r="R44" t="s">
        <v>0</v>
      </c>
      <c r="U44" t="b">
        <v>0</v>
      </c>
      <c r="V44" t="b">
        <v>0</v>
      </c>
      <c r="W44" t="b">
        <v>0</v>
      </c>
      <c r="X44" t="s">
        <v>108</v>
      </c>
      <c r="Z44" t="str">
        <f t="shared" si="5"/>
        <v/>
      </c>
      <c r="AA44" t="str">
        <f t="shared" si="6"/>
        <v/>
      </c>
      <c r="AB44" t="str">
        <f t="shared" si="6"/>
        <v/>
      </c>
      <c r="AC44" t="str">
        <f t="shared" si="6"/>
        <v/>
      </c>
      <c r="AD44" t="str">
        <f t="shared" si="19"/>
        <v/>
      </c>
      <c r="AE44" t="str">
        <f t="shared" si="19"/>
        <v/>
      </c>
      <c r="AF44" t="str">
        <f t="shared" si="8"/>
        <v/>
      </c>
      <c r="AG44" t="str">
        <f t="shared" si="9"/>
        <v/>
      </c>
      <c r="AH44" t="str">
        <f t="shared" si="10"/>
        <v/>
      </c>
      <c r="AI44" t="str">
        <f t="shared" si="11"/>
        <v/>
      </c>
      <c r="AJ44" t="str">
        <f t="shared" si="12"/>
        <v/>
      </c>
      <c r="AK44" t="str">
        <f t="shared" si="13"/>
        <v/>
      </c>
      <c r="AM44" t="str">
        <f>IF(LEN(G44),IF(OR(COUNTIF(G44,"*◆*"),COUNTIF(G44,"*▼*"),COUNTIF(G44,"*■*")),"","●"),"")</f>
        <v/>
      </c>
      <c r="AN44" t="str">
        <f>IF(AM44="●",(AN$4+MOD(INT(MID(E44,5,3)),AN$2))*AN$6,"")</f>
        <v/>
      </c>
      <c r="AO44" t="str">
        <f>IF($AM44="●","LDP "&amp;E44&amp;"."&amp;$B$14,"")</f>
        <v/>
      </c>
      <c r="AP44" t="str">
        <f>IF($AM44="●","AND=.D "&amp;$B$15&amp;" #0","")</f>
        <v/>
      </c>
      <c r="AQ44" t="str">
        <f>IF($AM44="●","MOV.D #"&amp;AN44&amp;" "&amp;$B$15,"")</f>
        <v/>
      </c>
      <c r="AR44" t="str">
        <f>IF(LEN(AK44),"MOV.D "&amp;$AK44&amp;" "&amp;$B$17,"")</f>
        <v/>
      </c>
      <c r="AS44" t="str">
        <f>IF(AND(D44&lt;&gt;0,AM44="●"),CHAR(10),"")&amp;IF(LEN(AO44),AO44,"")</f>
        <v/>
      </c>
      <c r="AT44" t="str">
        <f t="shared" si="17"/>
        <v/>
      </c>
      <c r="AU44" t="str">
        <f t="shared" si="18"/>
        <v/>
      </c>
      <c r="AV44" t="str">
        <f t="shared" si="14"/>
        <v/>
      </c>
      <c r="AW44" t="str">
        <f t="shared" si="15"/>
        <v/>
      </c>
      <c r="AY44" t="str">
        <f>IF($AM44="●",AT44&amp;CHAR(10)&amp;"BOX_ST"&amp;CHAR(10)&amp;";//"&amp;$B$10,"")</f>
        <v/>
      </c>
      <c r="AZ44" t="str">
        <f>IF($AM44="●",IF(LEN(AY44),AY44&amp;CHAR(10),"")&amp;";//エラーNo.を入れる"&amp;CHAR(10)&amp;";"&amp;$B$15&amp;"	:= "&amp;AN44&amp;";","")</f>
        <v/>
      </c>
      <c r="BA44" t="str">
        <f>IF($AM44="●",IF(LEN(AZ44),AZ44&amp;CHAR(10),"")&amp;";//カウントする"&amp;CHAR(10)&amp;";"&amp;$B$16&amp;"	:= "&amp;$B$16&amp;" + 1;","")</f>
        <v/>
      </c>
      <c r="BB44" t="str">
        <f>IF($AM44="●",IF(LEN(BA44),BA44&amp;CHAR(10),"")&amp;IF(LEN(AK44),";//エラーコードを入れる"&amp;CHAR(10)&amp;";"&amp;$B$17&amp;"	:= "&amp;AK44&amp;".udiErr;",""),"")</f>
        <v/>
      </c>
      <c r="BC44" t="str">
        <f>IF($AM44="●",IF(LEN(BB44),BB44&amp;CHAR(10),"")&amp;";//"&amp;$B$11,"")</f>
        <v/>
      </c>
      <c r="BE44">
        <f>INT(D44/$BE$6)</f>
        <v>12</v>
      </c>
      <c r="BF44">
        <f>MOD(D44,$BE$6)</f>
        <v>0</v>
      </c>
      <c r="BG44" t="str">
        <f>IF(LEN(E44),E44&amp;".x"&amp;TEXT(BF44,"0")&amp;CHAR(9)&amp;" := FALSE;","")</f>
        <v>stEx436.x0	 := FALSE;</v>
      </c>
      <c r="BH44" t="str">
        <f t="shared" si="16"/>
        <v xml:space="preserve">stEx436.x0	 := FALSE;
</v>
      </c>
    </row>
    <row r="45" spans="4:60" x14ac:dyDescent="0.55000000000000004">
      <c r="D45">
        <v>37</v>
      </c>
      <c r="E45" t="str">
        <f>IF(LEN(I45),I45,IF(LEN(Q45),Q45,""))</f>
        <v>stEx437</v>
      </c>
      <c r="F45" t="str">
        <f>IF(LEN(J45),J45,IF(LEN(R45),R45,""))</f>
        <v>EXE_DIREC</v>
      </c>
      <c r="G45" t="str">
        <f>IF(LEN(O45),O45,IF(LEN(X45),X45,""))</f>
        <v>&gt;◆波板ｶｯﾄ 有無判定</v>
      </c>
      <c r="Q45" t="s">
        <v>109</v>
      </c>
      <c r="R45" t="s">
        <v>0</v>
      </c>
      <c r="U45" t="b">
        <v>0</v>
      </c>
      <c r="V45" t="b">
        <v>0</v>
      </c>
      <c r="W45" t="b">
        <v>0</v>
      </c>
      <c r="X45" t="s">
        <v>110</v>
      </c>
      <c r="Z45" t="str">
        <f t="shared" si="5"/>
        <v/>
      </c>
      <c r="AA45" t="str">
        <f t="shared" si="6"/>
        <v/>
      </c>
      <c r="AB45" t="str">
        <f t="shared" si="6"/>
        <v/>
      </c>
      <c r="AC45" t="str">
        <f t="shared" si="6"/>
        <v/>
      </c>
      <c r="AD45" t="str">
        <f t="shared" si="19"/>
        <v/>
      </c>
      <c r="AE45" t="str">
        <f t="shared" si="19"/>
        <v/>
      </c>
      <c r="AF45" t="str">
        <f t="shared" si="8"/>
        <v/>
      </c>
      <c r="AG45" t="str">
        <f t="shared" si="9"/>
        <v/>
      </c>
      <c r="AH45" t="str">
        <f t="shared" si="10"/>
        <v/>
      </c>
      <c r="AI45" t="str">
        <f t="shared" si="11"/>
        <v/>
      </c>
      <c r="AJ45" t="str">
        <f t="shared" si="12"/>
        <v/>
      </c>
      <c r="AK45" t="str">
        <f t="shared" si="13"/>
        <v/>
      </c>
      <c r="AM45" t="str">
        <f>IF(LEN(G45),IF(OR(COUNTIF(G45,"*◆*"),COUNTIF(G45,"*▼*"),COUNTIF(G45,"*■*")),"","●"),"")</f>
        <v/>
      </c>
      <c r="AN45" t="str">
        <f>IF(AM45="●",(AN$4+MOD(INT(MID(E45,5,3)),AN$2))*AN$6,"")</f>
        <v/>
      </c>
      <c r="AO45" t="str">
        <f>IF($AM45="●","LDP "&amp;E45&amp;"."&amp;$B$14,"")</f>
        <v/>
      </c>
      <c r="AP45" t="str">
        <f>IF($AM45="●","AND=.D "&amp;$B$15&amp;" #0","")</f>
        <v/>
      </c>
      <c r="AQ45" t="str">
        <f>IF($AM45="●","MOV.D #"&amp;AN45&amp;" "&amp;$B$15,"")</f>
        <v/>
      </c>
      <c r="AR45" t="str">
        <f>IF(LEN(AK45),"MOV.D "&amp;$AK45&amp;" "&amp;$B$17,"")</f>
        <v/>
      </c>
      <c r="AS45" t="str">
        <f>IF(AND(D45&lt;&gt;0,AM45="●"),CHAR(10),"")&amp;IF(LEN(AO45),AO45,"")</f>
        <v/>
      </c>
      <c r="AT45" t="str">
        <f t="shared" si="17"/>
        <v/>
      </c>
      <c r="AU45" t="str">
        <f t="shared" si="18"/>
        <v/>
      </c>
      <c r="AV45" t="str">
        <f t="shared" si="14"/>
        <v/>
      </c>
      <c r="AW45" t="str">
        <f t="shared" si="15"/>
        <v/>
      </c>
      <c r="AY45" t="str">
        <f>IF($AM45="●",AT45&amp;CHAR(10)&amp;"BOX_ST"&amp;CHAR(10)&amp;";//"&amp;$B$10,"")</f>
        <v/>
      </c>
      <c r="AZ45" t="str">
        <f>IF($AM45="●",IF(LEN(AY45),AY45&amp;CHAR(10),"")&amp;";//エラーNo.を入れる"&amp;CHAR(10)&amp;";"&amp;$B$15&amp;"	:= "&amp;AN45&amp;";","")</f>
        <v/>
      </c>
      <c r="BA45" t="str">
        <f>IF($AM45="●",IF(LEN(AZ45),AZ45&amp;CHAR(10),"")&amp;";//カウントする"&amp;CHAR(10)&amp;";"&amp;$B$16&amp;"	:= "&amp;$B$16&amp;" + 1;","")</f>
        <v/>
      </c>
      <c r="BB45" t="str">
        <f>IF($AM45="●",IF(LEN(BA45),BA45&amp;CHAR(10),"")&amp;IF(LEN(AK45),";//エラーコードを入れる"&amp;CHAR(10)&amp;";"&amp;$B$17&amp;"	:= "&amp;AK45&amp;".udiErr;",""),"")</f>
        <v/>
      </c>
      <c r="BC45" t="str">
        <f>IF($AM45="●",IF(LEN(BB45),BB45&amp;CHAR(10),"")&amp;";//"&amp;$B$11,"")</f>
        <v/>
      </c>
      <c r="BE45">
        <f>INT(D45/$BE$6)</f>
        <v>12</v>
      </c>
      <c r="BF45">
        <f>MOD(D45,$BE$6)</f>
        <v>1</v>
      </c>
      <c r="BG45" t="str">
        <f>IF(LEN(E45),E45&amp;".x"&amp;TEXT(BF45,"0")&amp;CHAR(9)&amp;" := FALSE;","")</f>
        <v>stEx437.x1	 := FALSE;</v>
      </c>
      <c r="BH45" t="str">
        <f t="shared" si="16"/>
        <v xml:space="preserve">stEx437.x1	 := FALSE;
</v>
      </c>
    </row>
    <row r="46" spans="4:60" x14ac:dyDescent="0.55000000000000004">
      <c r="D46">
        <v>38</v>
      </c>
      <c r="E46" t="str">
        <f>IF(LEN(I46),I46,IF(LEN(Q46),Q46,""))</f>
        <v>stEx438</v>
      </c>
      <c r="F46" t="str">
        <f>IF(LEN(J46),J46,IF(LEN(R46),R46,""))</f>
        <v>EXE_DIREC</v>
      </c>
      <c r="G46" t="str">
        <f>IF(LEN(O46),O46,IF(LEN(X46),X46,""))</f>
        <v>&gt;&gt;●U02波板 ｶｯﾄ</v>
      </c>
      <c r="Q46" t="s">
        <v>111</v>
      </c>
      <c r="R46" t="s">
        <v>0</v>
      </c>
      <c r="U46" t="b">
        <v>0</v>
      </c>
      <c r="V46" t="b">
        <v>0</v>
      </c>
      <c r="W46" t="b">
        <v>0</v>
      </c>
      <c r="X46" t="s">
        <v>112</v>
      </c>
      <c r="Z46" t="str">
        <f t="shared" si="5"/>
        <v/>
      </c>
      <c r="AA46" t="str">
        <f t="shared" si="6"/>
        <v/>
      </c>
      <c r="AB46" t="str">
        <f t="shared" si="6"/>
        <v/>
      </c>
      <c r="AC46" t="str">
        <f t="shared" si="6"/>
        <v/>
      </c>
      <c r="AD46" t="str">
        <f t="shared" si="19"/>
        <v/>
      </c>
      <c r="AE46" t="str">
        <f t="shared" si="19"/>
        <v/>
      </c>
      <c r="AF46" t="str">
        <f t="shared" si="8"/>
        <v/>
      </c>
      <c r="AG46" t="str">
        <f t="shared" si="9"/>
        <v/>
      </c>
      <c r="AH46" t="str">
        <f t="shared" si="10"/>
        <v/>
      </c>
      <c r="AI46" t="str">
        <f t="shared" si="11"/>
        <v/>
      </c>
      <c r="AJ46" t="str">
        <f t="shared" si="12"/>
        <v/>
      </c>
      <c r="AK46" t="str">
        <f t="shared" si="13"/>
        <v/>
      </c>
      <c r="AM46" t="str">
        <f>IF(LEN(G46),IF(OR(COUNTIF(G46,"*◆*"),COUNTIF(G46,"*▼*"),COUNTIF(G46,"*■*")),"","●"),"")</f>
        <v>●</v>
      </c>
      <c r="AN46">
        <f>IF(AM46="●",(AN$4+MOD(INT(MID(E46,5,3)),AN$2))*AN$6,"")</f>
        <v>4380</v>
      </c>
      <c r="AO46" t="str">
        <f>IF($AM46="●","LDP "&amp;E46&amp;"."&amp;$B$14,"")</f>
        <v>LDP stEx438.x2</v>
      </c>
      <c r="AP46" t="str">
        <f>IF($AM46="●","AND=.D "&amp;$B$15&amp;" #0","")</f>
        <v>AND=.D stM.udiErrNo #0</v>
      </c>
      <c r="AQ46" t="str">
        <f>IF($AM46="●","MOV.D #"&amp;AN46&amp;" "&amp;$B$15,"")</f>
        <v>MOV.D #4380 stM.udiErrNo</v>
      </c>
      <c r="AR46" t="str">
        <f>IF(LEN(AK46),"MOV.D "&amp;$AK46&amp;" "&amp;$B$17,"")</f>
        <v/>
      </c>
      <c r="AS46" t="str">
        <f>IF(AND(D46&lt;&gt;0,AM46="●"),CHAR(10),"")&amp;IF(LEN(AO46),AO46,"")</f>
        <v xml:space="preserve">
LDP stEx438.x2</v>
      </c>
      <c r="AT46" t="str">
        <f t="shared" si="17"/>
        <v xml:space="preserve">
LDP stEx438.x2
AND=.D stM.udiErrNo #0</v>
      </c>
      <c r="AU46" t="str">
        <f t="shared" si="18"/>
        <v xml:space="preserve">
LDP stEx438.x2
AND=.D stM.udiErrNo #0
MOV.D #4380 stM.udiErrNo</v>
      </c>
      <c r="AV46" t="str">
        <f t="shared" si="14"/>
        <v xml:space="preserve">
LDP stEx438.x2
AND=.D stM.udiErrNo #0
MOV.D #4380 stM.udiErrNo
</v>
      </c>
      <c r="AW46" t="str">
        <f t="shared" si="15"/>
        <v xml:space="preserve">
LDP stEx438.x2
AND=.D stM.udiErrNo #0
MOV.D #4380 stM.udiErrNo
</v>
      </c>
      <c r="AY46" t="str">
        <f ca="1">IF($AM46="●",AT46&amp;CHAR(10)&amp;"BOX_ST"&amp;CHAR(10)&amp;";//"&amp;$B$10,"")</f>
        <v xml:space="preserve">
LDP stEx438.x2
AND=.D stM.udiErrNo #0
BOX_ST
;//このスクリプトは C:\tk\prj\hg-0025-0016\git\kv-x520\doc\[kv_script_exe_errno.xlsm]info_script によって生成されました。</v>
      </c>
      <c r="AZ46" t="str">
        <f ca="1">IF($AM46="●",IF(LEN(AY46),AY46&amp;CHAR(10),"")&amp;";//エラーNo.を入れる"&amp;CHAR(10)&amp;";"&amp;$B$15&amp;"	:= "&amp;AN46&amp;";","")</f>
        <v xml:space="preserve">
LDP stEx438.x2
AND=.D stM.udiErrNo #0
BOX_ST
;//このスクリプトは C:\tk\prj\hg-0025-0016\git\kv-x520\doc\[kv_script_exe_errno.xlsm]info_script によって生成されました。
;//エラーNo.を入れる
;stM.udiErrNo	:= 4380;</v>
      </c>
      <c r="BA46" t="str">
        <f ca="1">IF($AM46="●",IF(LEN(AZ46),AZ46&amp;CHAR(10),"")&amp;";//カウントする"&amp;CHAR(10)&amp;";"&amp;$B$16&amp;"	:= "&amp;$B$16&amp;" + 1;","")</f>
        <v xml:space="preserve">
LDP stEx438.x2
AND=.D stM.udiErrNo #0
BOX_ST
;//このスクリプトは C:\tk\prj\hg-0025-0016\git\kv-x520\doc\[kv_script_exe_errno.xlsm]info_script によって生成されました。
;//エラーNo.を入れる
;stM.udiErrNo	:= 4380;
;//カウントする
;stM.uiEDCnt	:= stM.uiEDCnt + 1;</v>
      </c>
      <c r="BB46" t="str">
        <f ca="1">IF($AM46="●",IF(LEN(BA46),BA46&amp;CHAR(10),"")&amp;IF(LEN(AK46),";//エラーコードを入れる"&amp;CHAR(10)&amp;";"&amp;$B$17&amp;"	:= "&amp;AK46&amp;".udiErr;",""),"")</f>
        <v xml:space="preserve">
LDP stEx438.x2
AND=.D stM.udiErrNo #0
BOX_ST
;//このスクリプトは C:\tk\prj\hg-0025-0016\git\kv-x520\doc\[kv_script_exe_errno.xlsm]info_script によって生成されました。
;//エラーNo.を入れる
;stM.udiErrNo	:= 4380;
;//カウントする
;stM.uiEDCnt	:= stM.uiEDCnt + 1;
</v>
      </c>
      <c r="BC46" t="str">
        <f ca="1">IF($AM46="●",IF(LEN(BB46),BB46&amp;CHAR(10),"")&amp;";//"&amp;$B$11,"")</f>
        <v xml:space="preserve">
LDP stEx438.x2
AND=.D stM.udiErrNo #0
BOX_ST
;//このスクリプトは C:\tk\prj\hg-0025-0016\git\kv-x520\doc\[kv_script_exe_errno.xlsm]info_script によって生成されました。
;//エラーNo.を入れる
;stM.udiErrNo	:= 4380;
;//カウントする
;stM.uiEDCnt	:= stM.uiEDCnt + 1;
;//-----ここまで生成script-----</v>
      </c>
      <c r="BE46">
        <f>INT(D46/$BE$6)</f>
        <v>12</v>
      </c>
      <c r="BF46">
        <f>MOD(D46,$BE$6)</f>
        <v>2</v>
      </c>
      <c r="BG46" t="str">
        <f>IF(LEN(E46),E46&amp;".x"&amp;TEXT(BF46,"0")&amp;CHAR(9)&amp;" := FALSE;","")</f>
        <v>stEx438.x2	 := FALSE;</v>
      </c>
      <c r="BH46" t="str">
        <f t="shared" si="16"/>
        <v xml:space="preserve">stEx438.x2	 := FALSE;
</v>
      </c>
    </row>
    <row r="47" spans="4:60" x14ac:dyDescent="0.55000000000000004">
      <c r="D47">
        <v>39</v>
      </c>
      <c r="E47" t="str">
        <f>IF(LEN(I47),I47,IF(LEN(Q47),Q47,""))</f>
        <v>stEx439</v>
      </c>
      <c r="F47" t="str">
        <f>IF(LEN(J47),J47,IF(LEN(R47),R47,""))</f>
        <v>EXE_DIREC</v>
      </c>
      <c r="G47" t="str">
        <f>IF(LEN(O47),O47,IF(LEN(X47),X47,""))</f>
        <v>&gt;▼波板ｶｯﾄ</v>
      </c>
      <c r="Q47" t="s">
        <v>113</v>
      </c>
      <c r="R47" t="s">
        <v>0</v>
      </c>
      <c r="U47" t="b">
        <v>0</v>
      </c>
      <c r="V47" t="b">
        <v>0</v>
      </c>
      <c r="W47" t="b">
        <v>0</v>
      </c>
      <c r="X47" t="s">
        <v>114</v>
      </c>
      <c r="Z47" t="str">
        <f t="shared" si="5"/>
        <v/>
      </c>
      <c r="AA47" t="str">
        <f t="shared" si="6"/>
        <v/>
      </c>
      <c r="AB47" t="str">
        <f t="shared" si="6"/>
        <v/>
      </c>
      <c r="AC47" t="str">
        <f t="shared" si="6"/>
        <v/>
      </c>
      <c r="AD47" t="str">
        <f t="shared" si="19"/>
        <v/>
      </c>
      <c r="AE47" t="str">
        <f t="shared" si="19"/>
        <v/>
      </c>
      <c r="AF47" t="str">
        <f t="shared" si="8"/>
        <v/>
      </c>
      <c r="AG47" t="str">
        <f t="shared" si="9"/>
        <v/>
      </c>
      <c r="AH47" t="str">
        <f t="shared" si="10"/>
        <v/>
      </c>
      <c r="AI47" t="str">
        <f t="shared" si="11"/>
        <v/>
      </c>
      <c r="AJ47" t="str">
        <f t="shared" si="12"/>
        <v/>
      </c>
      <c r="AK47" t="str">
        <f t="shared" si="13"/>
        <v/>
      </c>
      <c r="AM47" t="str">
        <f>IF(LEN(G47),IF(OR(COUNTIF(G47,"*◆*"),COUNTIF(G47,"*▼*"),COUNTIF(G47,"*■*")),"","●"),"")</f>
        <v/>
      </c>
      <c r="AN47" t="str">
        <f>IF(AM47="●",(AN$4+MOD(INT(MID(E47,5,3)),AN$2))*AN$6,"")</f>
        <v/>
      </c>
      <c r="AO47" t="str">
        <f>IF($AM47="●","LDP "&amp;E47&amp;"."&amp;$B$14,"")</f>
        <v/>
      </c>
      <c r="AP47" t="str">
        <f>IF($AM47="●","AND=.D "&amp;$B$15&amp;" #0","")</f>
        <v/>
      </c>
      <c r="AQ47" t="str">
        <f>IF($AM47="●","MOV.D #"&amp;AN47&amp;" "&amp;$B$15,"")</f>
        <v/>
      </c>
      <c r="AR47" t="str">
        <f>IF(LEN(AK47),"MOV.D "&amp;$AK47&amp;" "&amp;$B$17,"")</f>
        <v/>
      </c>
      <c r="AS47" t="str">
        <f>IF(AND(D47&lt;&gt;0,AM47="●"),CHAR(10),"")&amp;IF(LEN(AO47),AO47,"")</f>
        <v/>
      </c>
      <c r="AT47" t="str">
        <f t="shared" si="17"/>
        <v/>
      </c>
      <c r="AU47" t="str">
        <f t="shared" si="18"/>
        <v/>
      </c>
      <c r="AV47" t="str">
        <f t="shared" si="14"/>
        <v/>
      </c>
      <c r="AW47" t="str">
        <f t="shared" si="15"/>
        <v/>
      </c>
      <c r="AY47" t="str">
        <f>IF($AM47="●",AT47&amp;CHAR(10)&amp;"BOX_ST"&amp;CHAR(10)&amp;";//"&amp;$B$10,"")</f>
        <v/>
      </c>
      <c r="AZ47" t="str">
        <f>IF($AM47="●",IF(LEN(AY47),AY47&amp;CHAR(10),"")&amp;";//エラーNo.を入れる"&amp;CHAR(10)&amp;";"&amp;$B$15&amp;"	:= "&amp;AN47&amp;";","")</f>
        <v/>
      </c>
      <c r="BA47" t="str">
        <f>IF($AM47="●",IF(LEN(AZ47),AZ47&amp;CHAR(10),"")&amp;";//カウントする"&amp;CHAR(10)&amp;";"&amp;$B$16&amp;"	:= "&amp;$B$16&amp;" + 1;","")</f>
        <v/>
      </c>
      <c r="BB47" t="str">
        <f>IF($AM47="●",IF(LEN(BA47),BA47&amp;CHAR(10),"")&amp;IF(LEN(AK47),";//エラーコードを入れる"&amp;CHAR(10)&amp;";"&amp;$B$17&amp;"	:= "&amp;AK47&amp;".udiErr;",""),"")</f>
        <v/>
      </c>
      <c r="BC47" t="str">
        <f>IF($AM47="●",IF(LEN(BB47),BB47&amp;CHAR(10),"")&amp;";//"&amp;$B$11,"")</f>
        <v/>
      </c>
      <c r="BE47">
        <f>INT(D47/$BE$6)</f>
        <v>13</v>
      </c>
      <c r="BF47">
        <f>MOD(D47,$BE$6)</f>
        <v>0</v>
      </c>
      <c r="BG47" t="str">
        <f>IF(LEN(E47),E47&amp;".x"&amp;TEXT(BF47,"0")&amp;CHAR(9)&amp;" := FALSE;","")</f>
        <v>stEx439.x0	 := FALSE;</v>
      </c>
      <c r="BH47" t="str">
        <f t="shared" si="16"/>
        <v xml:space="preserve">stEx439.x0	 := FALSE;
</v>
      </c>
    </row>
    <row r="48" spans="4:60" x14ac:dyDescent="0.55000000000000004">
      <c r="D48">
        <v>40</v>
      </c>
      <c r="E48" t="str">
        <f>IF(LEN(I48),I48,IF(LEN(Q48),Q48,""))</f>
        <v>stEx440</v>
      </c>
      <c r="F48" t="str">
        <f>IF(LEN(J48),J48,IF(LEN(R48),R48,""))</f>
        <v>EXE_DIREC</v>
      </c>
      <c r="G48" t="str">
        <f>IF(LEN(O48),O48,IF(LEN(X48),X48,""))</f>
        <v>&gt;▼ｶｯﾄ処理</v>
      </c>
      <c r="Q48" t="s">
        <v>115</v>
      </c>
      <c r="R48" t="s">
        <v>0</v>
      </c>
      <c r="U48" t="b">
        <v>0</v>
      </c>
      <c r="V48" t="b">
        <v>0</v>
      </c>
      <c r="W48" t="b">
        <v>0</v>
      </c>
      <c r="X48" t="s">
        <v>116</v>
      </c>
      <c r="Z48" t="str">
        <f t="shared" si="5"/>
        <v/>
      </c>
      <c r="AA48" t="str">
        <f t="shared" si="6"/>
        <v/>
      </c>
      <c r="AB48" t="str">
        <f t="shared" si="6"/>
        <v/>
      </c>
      <c r="AC48" t="str">
        <f t="shared" si="6"/>
        <v/>
      </c>
      <c r="AD48" t="str">
        <f t="shared" si="19"/>
        <v/>
      </c>
      <c r="AE48" t="str">
        <f t="shared" si="19"/>
        <v/>
      </c>
      <c r="AF48" t="str">
        <f t="shared" si="8"/>
        <v/>
      </c>
      <c r="AG48" t="str">
        <f t="shared" si="9"/>
        <v/>
      </c>
      <c r="AH48" t="str">
        <f t="shared" si="10"/>
        <v/>
      </c>
      <c r="AI48" t="str">
        <f t="shared" si="11"/>
        <v/>
      </c>
      <c r="AJ48" t="str">
        <f t="shared" si="12"/>
        <v/>
      </c>
      <c r="AK48" t="str">
        <f t="shared" si="13"/>
        <v/>
      </c>
      <c r="AM48" t="str">
        <f>IF(LEN(G48),IF(OR(COUNTIF(G48,"*◆*"),COUNTIF(G48,"*▼*"),COUNTIF(G48,"*■*")),"","●"),"")</f>
        <v/>
      </c>
      <c r="AN48" t="str">
        <f>IF(AM48="●",(AN$4+MOD(INT(MID(E48,5,3)),AN$2))*AN$6,"")</f>
        <v/>
      </c>
      <c r="AO48" t="str">
        <f>IF($AM48="●","LDP "&amp;E48&amp;"."&amp;$B$14,"")</f>
        <v/>
      </c>
      <c r="AP48" t="str">
        <f>IF($AM48="●","AND=.D "&amp;$B$15&amp;" #0","")</f>
        <v/>
      </c>
      <c r="AQ48" t="str">
        <f>IF($AM48="●","MOV.D #"&amp;AN48&amp;" "&amp;$B$15,"")</f>
        <v/>
      </c>
      <c r="AR48" t="str">
        <f>IF(LEN(AK48),"MOV.D "&amp;$AK48&amp;" "&amp;$B$17,"")</f>
        <v/>
      </c>
      <c r="AS48" t="str">
        <f>IF(AND(D48&lt;&gt;0,AM48="●"),CHAR(10),"")&amp;IF(LEN(AO48),AO48,"")</f>
        <v/>
      </c>
      <c r="AT48" t="str">
        <f t="shared" si="17"/>
        <v/>
      </c>
      <c r="AU48" t="str">
        <f t="shared" si="18"/>
        <v/>
      </c>
      <c r="AV48" t="str">
        <f t="shared" si="14"/>
        <v/>
      </c>
      <c r="AW48" t="str">
        <f t="shared" si="15"/>
        <v/>
      </c>
      <c r="AY48" t="str">
        <f>IF($AM48="●",AT48&amp;CHAR(10)&amp;"BOX_ST"&amp;CHAR(10)&amp;";//"&amp;$B$10,"")</f>
        <v/>
      </c>
      <c r="AZ48" t="str">
        <f>IF($AM48="●",IF(LEN(AY48),AY48&amp;CHAR(10),"")&amp;";//エラーNo.を入れる"&amp;CHAR(10)&amp;";"&amp;$B$15&amp;"	:= "&amp;AN48&amp;";","")</f>
        <v/>
      </c>
      <c r="BA48" t="str">
        <f>IF($AM48="●",IF(LEN(AZ48),AZ48&amp;CHAR(10),"")&amp;";//カウントする"&amp;CHAR(10)&amp;";"&amp;$B$16&amp;"	:= "&amp;$B$16&amp;" + 1;","")</f>
        <v/>
      </c>
      <c r="BB48" t="str">
        <f>IF($AM48="●",IF(LEN(BA48),BA48&amp;CHAR(10),"")&amp;IF(LEN(AK48),";//エラーコードを入れる"&amp;CHAR(10)&amp;";"&amp;$B$17&amp;"	:= "&amp;AK48&amp;".udiErr;",""),"")</f>
        <v/>
      </c>
      <c r="BC48" t="str">
        <f>IF($AM48="●",IF(LEN(BB48),BB48&amp;CHAR(10),"")&amp;";//"&amp;$B$11,"")</f>
        <v/>
      </c>
      <c r="BE48">
        <f>INT(D48/$BE$6)</f>
        <v>13</v>
      </c>
      <c r="BF48">
        <f>MOD(D48,$BE$6)</f>
        <v>1</v>
      </c>
      <c r="BG48" t="str">
        <f>IF(LEN(E48),E48&amp;".x"&amp;TEXT(BF48,"0")&amp;CHAR(9)&amp;" := FALSE;","")</f>
        <v>stEx440.x1	 := FALSE;</v>
      </c>
      <c r="BH48" t="str">
        <f t="shared" si="16"/>
        <v xml:space="preserve">stEx440.x1	 := FALSE;
</v>
      </c>
    </row>
    <row r="49" spans="4:60" x14ac:dyDescent="0.55000000000000004">
      <c r="D49">
        <v>41</v>
      </c>
      <c r="E49" t="str">
        <f>IF(LEN(I49),I49,IF(LEN(Q49),Q49,""))</f>
        <v>stEx441</v>
      </c>
      <c r="F49" t="str">
        <f>IF(LEN(J49),J49,IF(LEN(R49),R49,""))</f>
        <v>EXE_DIREC</v>
      </c>
      <c r="G49" t="str">
        <f>IF(LEN(O49),O49,IF(LEN(X49),X49,""))</f>
        <v>▼巻き継続 (完成角度)</v>
      </c>
      <c r="Q49" t="s">
        <v>117</v>
      </c>
      <c r="R49" t="s">
        <v>0</v>
      </c>
      <c r="U49" t="b">
        <v>0</v>
      </c>
      <c r="V49" t="b">
        <v>0</v>
      </c>
      <c r="W49" t="b">
        <v>0</v>
      </c>
      <c r="X49" t="s">
        <v>118</v>
      </c>
      <c r="Z49" t="str">
        <f t="shared" si="5"/>
        <v/>
      </c>
      <c r="AA49" t="str">
        <f t="shared" si="6"/>
        <v/>
      </c>
      <c r="AB49" t="str">
        <f t="shared" si="6"/>
        <v/>
      </c>
      <c r="AC49" t="str">
        <f t="shared" si="6"/>
        <v/>
      </c>
      <c r="AD49" t="str">
        <f t="shared" si="19"/>
        <v/>
      </c>
      <c r="AE49" t="str">
        <f t="shared" si="19"/>
        <v/>
      </c>
      <c r="AF49" t="str">
        <f t="shared" si="8"/>
        <v/>
      </c>
      <c r="AG49" t="str">
        <f t="shared" si="9"/>
        <v/>
      </c>
      <c r="AH49" t="str">
        <f t="shared" si="10"/>
        <v/>
      </c>
      <c r="AI49" t="str">
        <f t="shared" si="11"/>
        <v/>
      </c>
      <c r="AJ49" t="str">
        <f t="shared" si="12"/>
        <v/>
      </c>
      <c r="AK49" t="str">
        <f t="shared" si="13"/>
        <v/>
      </c>
      <c r="AM49" t="str">
        <f>IF(LEN(G49),IF(OR(COUNTIF(G49,"*◆*"),COUNTIF(G49,"*▼*"),COUNTIF(G49,"*■*")),"","●"),"")</f>
        <v/>
      </c>
      <c r="AN49" t="str">
        <f>IF(AM49="●",(AN$4+MOD(INT(MID(E49,5,3)),AN$2))*AN$6,"")</f>
        <v/>
      </c>
      <c r="AO49" t="str">
        <f>IF($AM49="●","LDP "&amp;E49&amp;"."&amp;$B$14,"")</f>
        <v/>
      </c>
      <c r="AP49" t="str">
        <f>IF($AM49="●","AND=.D "&amp;$B$15&amp;" #0","")</f>
        <v/>
      </c>
      <c r="AQ49" t="str">
        <f>IF($AM49="●","MOV.D #"&amp;AN49&amp;" "&amp;$B$15,"")</f>
        <v/>
      </c>
      <c r="AR49" t="str">
        <f>IF(LEN(AK49),"MOV.D "&amp;$AK49&amp;" "&amp;$B$17,"")</f>
        <v/>
      </c>
      <c r="AS49" t="str">
        <f>IF(AND(D49&lt;&gt;0,AM49="●"),CHAR(10),"")&amp;IF(LEN(AO49),AO49,"")</f>
        <v/>
      </c>
      <c r="AT49" t="str">
        <f t="shared" si="17"/>
        <v/>
      </c>
      <c r="AU49" t="str">
        <f t="shared" si="18"/>
        <v/>
      </c>
      <c r="AV49" t="str">
        <f t="shared" si="14"/>
        <v/>
      </c>
      <c r="AW49" t="str">
        <f t="shared" si="15"/>
        <v/>
      </c>
      <c r="AY49" t="str">
        <f>IF($AM49="●",AT49&amp;CHAR(10)&amp;"BOX_ST"&amp;CHAR(10)&amp;";//"&amp;$B$10,"")</f>
        <v/>
      </c>
      <c r="AZ49" t="str">
        <f>IF($AM49="●",IF(LEN(AY49),AY49&amp;CHAR(10),"")&amp;";//エラーNo.を入れる"&amp;CHAR(10)&amp;";"&amp;$B$15&amp;"	:= "&amp;AN49&amp;";","")</f>
        <v/>
      </c>
      <c r="BA49" t="str">
        <f>IF($AM49="●",IF(LEN(AZ49),AZ49&amp;CHAR(10),"")&amp;";//カウントする"&amp;CHAR(10)&amp;";"&amp;$B$16&amp;"	:= "&amp;$B$16&amp;" + 1;","")</f>
        <v/>
      </c>
      <c r="BB49" t="str">
        <f>IF($AM49="●",IF(LEN(BA49),BA49&amp;CHAR(10),"")&amp;IF(LEN(AK49),";//エラーコードを入れる"&amp;CHAR(10)&amp;";"&amp;$B$17&amp;"	:= "&amp;AK49&amp;".udiErr;",""),"")</f>
        <v/>
      </c>
      <c r="BC49" t="str">
        <f>IF($AM49="●",IF(LEN(BB49),BB49&amp;CHAR(10),"")&amp;";//"&amp;$B$11,"")</f>
        <v/>
      </c>
      <c r="BE49">
        <f>INT(D49/$BE$6)</f>
        <v>13</v>
      </c>
      <c r="BF49">
        <f>MOD(D49,$BE$6)</f>
        <v>2</v>
      </c>
      <c r="BG49" t="str">
        <f>IF(LEN(E49),E49&amp;".x"&amp;TEXT(BF49,"0")&amp;CHAR(9)&amp;" := FALSE;","")</f>
        <v>stEx441.x2	 := FALSE;</v>
      </c>
      <c r="BH49" t="str">
        <f t="shared" si="16"/>
        <v xml:space="preserve">stEx441.x2	 := FALSE;
</v>
      </c>
    </row>
    <row r="50" spans="4:60" x14ac:dyDescent="0.55000000000000004">
      <c r="D50">
        <v>42</v>
      </c>
      <c r="E50" t="str">
        <f>IF(LEN(I50),I50,IF(LEN(Q50),Q50,""))</f>
        <v>stEx442</v>
      </c>
      <c r="F50" t="str">
        <f>IF(LEN(J50),J50,IF(LEN(R50),R50,""))</f>
        <v>EXE_DIREC</v>
      </c>
      <c r="G50" t="str">
        <f>IF(LEN(O50),O50,IF(LEN(X50),X50,""))</f>
        <v>△◆巻締 締め有無</v>
      </c>
      <c r="Q50" t="s">
        <v>119</v>
      </c>
      <c r="R50" t="s">
        <v>0</v>
      </c>
      <c r="U50" t="b">
        <v>0</v>
      </c>
      <c r="V50" t="b">
        <v>0</v>
      </c>
      <c r="W50" t="b">
        <v>0</v>
      </c>
      <c r="X50" t="s">
        <v>120</v>
      </c>
      <c r="Z50" t="str">
        <f t="shared" si="5"/>
        <v/>
      </c>
      <c r="AA50" t="str">
        <f t="shared" si="6"/>
        <v/>
      </c>
      <c r="AB50" t="str">
        <f t="shared" si="6"/>
        <v/>
      </c>
      <c r="AC50" t="str">
        <f t="shared" si="6"/>
        <v/>
      </c>
      <c r="AD50" t="str">
        <f t="shared" si="19"/>
        <v/>
      </c>
      <c r="AE50" t="str">
        <f t="shared" si="19"/>
        <v/>
      </c>
      <c r="AF50" t="str">
        <f t="shared" si="8"/>
        <v/>
      </c>
      <c r="AG50" t="str">
        <f t="shared" si="9"/>
        <v/>
      </c>
      <c r="AH50" t="str">
        <f t="shared" si="10"/>
        <v/>
      </c>
      <c r="AI50" t="str">
        <f t="shared" si="11"/>
        <v/>
      </c>
      <c r="AJ50" t="str">
        <f t="shared" si="12"/>
        <v/>
      </c>
      <c r="AK50" t="str">
        <f t="shared" si="13"/>
        <v/>
      </c>
      <c r="AM50" t="str">
        <f>IF(LEN(G50),IF(OR(COUNTIF(G50,"*◆*"),COUNTIF(G50,"*▼*"),COUNTIF(G50,"*■*")),"","●"),"")</f>
        <v/>
      </c>
      <c r="AN50" t="str">
        <f>IF(AM50="●",(AN$4+MOD(INT(MID(E50,5,3)),AN$2))*AN$6,"")</f>
        <v/>
      </c>
      <c r="AO50" t="str">
        <f>IF($AM50="●","LDP "&amp;E50&amp;"."&amp;$B$14,"")</f>
        <v/>
      </c>
      <c r="AP50" t="str">
        <f>IF($AM50="●","AND=.D "&amp;$B$15&amp;" #0","")</f>
        <v/>
      </c>
      <c r="AQ50" t="str">
        <f>IF($AM50="●","MOV.D #"&amp;AN50&amp;" "&amp;$B$15,"")</f>
        <v/>
      </c>
      <c r="AR50" t="str">
        <f>IF(LEN(AK50),"MOV.D "&amp;$AK50&amp;" "&amp;$B$17,"")</f>
        <v/>
      </c>
      <c r="AS50" t="str">
        <f>IF(AND(D50&lt;&gt;0,AM50="●"),CHAR(10),"")&amp;IF(LEN(AO50),AO50,"")</f>
        <v/>
      </c>
      <c r="AT50" t="str">
        <f t="shared" si="17"/>
        <v/>
      </c>
      <c r="AU50" t="str">
        <f t="shared" si="18"/>
        <v/>
      </c>
      <c r="AV50" t="str">
        <f t="shared" si="14"/>
        <v/>
      </c>
      <c r="AW50" t="str">
        <f t="shared" si="15"/>
        <v/>
      </c>
      <c r="AY50" t="str">
        <f>IF($AM50="●",AT50&amp;CHAR(10)&amp;"BOX_ST"&amp;CHAR(10)&amp;";//"&amp;$B$10,"")</f>
        <v/>
      </c>
      <c r="AZ50" t="str">
        <f>IF($AM50="●",IF(LEN(AY50),AY50&amp;CHAR(10),"")&amp;";//エラーNo.を入れる"&amp;CHAR(10)&amp;";"&amp;$B$15&amp;"	:= "&amp;AN50&amp;";","")</f>
        <v/>
      </c>
      <c r="BA50" t="str">
        <f>IF($AM50="●",IF(LEN(AZ50),AZ50&amp;CHAR(10),"")&amp;";//カウントする"&amp;CHAR(10)&amp;";"&amp;$B$16&amp;"	:= "&amp;$B$16&amp;" + 1;","")</f>
        <v/>
      </c>
      <c r="BB50" t="str">
        <f>IF($AM50="●",IF(LEN(BA50),BA50&amp;CHAR(10),"")&amp;IF(LEN(AK50),";//エラーコードを入れる"&amp;CHAR(10)&amp;";"&amp;$B$17&amp;"	:= "&amp;AK50&amp;".udiErr;",""),"")</f>
        <v/>
      </c>
      <c r="BC50" t="str">
        <f>IF($AM50="●",IF(LEN(BB50),BB50&amp;CHAR(10),"")&amp;";//"&amp;$B$11,"")</f>
        <v/>
      </c>
      <c r="BE50">
        <f>INT(D50/$BE$6)</f>
        <v>14</v>
      </c>
      <c r="BF50">
        <f>MOD(D50,$BE$6)</f>
        <v>0</v>
      </c>
      <c r="BG50" t="str">
        <f>IF(LEN(E50),E50&amp;".x"&amp;TEXT(BF50,"0")&amp;CHAR(9)&amp;" := FALSE;","")</f>
        <v>stEx442.x0	 := FALSE;</v>
      </c>
      <c r="BH50" t="str">
        <f t="shared" si="16"/>
        <v xml:space="preserve">stEx442.x0	 := FALSE;
</v>
      </c>
    </row>
    <row r="51" spans="4:60" x14ac:dyDescent="0.55000000000000004">
      <c r="D51">
        <v>43</v>
      </c>
      <c r="E51" t="str">
        <f>IF(LEN(I51),I51,IF(LEN(Q51),Q51,""))</f>
        <v>stEx443</v>
      </c>
      <c r="F51" t="str">
        <f>IF(LEN(J51),J51,IF(LEN(R51),R51,""))</f>
        <v>EXE_DIREC</v>
      </c>
      <c r="G51" t="str">
        <f>IF(LEN(O51),O51,IF(LEN(X51),X51,""))</f>
        <v>●AXK14調台 締め位置</v>
      </c>
      <c r="Q51" t="s">
        <v>121</v>
      </c>
      <c r="R51" t="s">
        <v>0</v>
      </c>
      <c r="U51" t="b">
        <v>0</v>
      </c>
      <c r="V51" t="b">
        <v>0</v>
      </c>
      <c r="W51" t="b">
        <v>0</v>
      </c>
      <c r="X51" t="s">
        <v>122</v>
      </c>
      <c r="Z51">
        <f t="shared" si="5"/>
        <v>14</v>
      </c>
      <c r="AA51" t="str">
        <f t="shared" si="6"/>
        <v/>
      </c>
      <c r="AB51" t="str">
        <f t="shared" si="6"/>
        <v/>
      </c>
      <c r="AC51" t="str">
        <f t="shared" si="6"/>
        <v/>
      </c>
      <c r="AD51" t="str">
        <f t="shared" si="19"/>
        <v/>
      </c>
      <c r="AE51" t="str">
        <f t="shared" si="19"/>
        <v>stDevIn.astAXK[1]</v>
      </c>
      <c r="AF51" t="str">
        <f t="shared" si="8"/>
        <v/>
      </c>
      <c r="AG51" t="str">
        <f t="shared" si="9"/>
        <v/>
      </c>
      <c r="AH51" t="str">
        <f t="shared" si="10"/>
        <v/>
      </c>
      <c r="AI51" t="str">
        <f t="shared" si="11"/>
        <v/>
      </c>
      <c r="AJ51" t="str">
        <f t="shared" si="12"/>
        <v/>
      </c>
      <c r="AK51" t="str">
        <f t="shared" si="13"/>
        <v>stDevIn.astAXK[1]</v>
      </c>
      <c r="AM51" t="str">
        <f>IF(LEN(G51),IF(OR(COUNTIF(G51,"*◆*"),COUNTIF(G51,"*▼*"),COUNTIF(G51,"*■*")),"","●"),"")</f>
        <v>●</v>
      </c>
      <c r="AN51">
        <f>IF(AM51="●",(AN$4+MOD(INT(MID(E51,5,3)),AN$2))*AN$6,"")</f>
        <v>4430</v>
      </c>
      <c r="AO51" t="str">
        <f>IF($AM51="●","LDP "&amp;E51&amp;"."&amp;$B$14,"")</f>
        <v>LDP stEx443.x2</v>
      </c>
      <c r="AP51" t="str">
        <f>IF($AM51="●","AND=.D "&amp;$B$15&amp;" #0","")</f>
        <v>AND=.D stM.udiErrNo #0</v>
      </c>
      <c r="AQ51" t="str">
        <f>IF($AM51="●","MOV.D #"&amp;AN51&amp;" "&amp;$B$15,"")</f>
        <v>MOV.D #4430 stM.udiErrNo</v>
      </c>
      <c r="AR51" t="str">
        <f>IF(LEN(AK51),"MOV.D "&amp;$AK51&amp;" "&amp;$B$17,"")</f>
        <v>MOV.D stDevIn.astAXK[1] stM.udiSubErr</v>
      </c>
      <c r="AS51" t="str">
        <f>IF(AND(D51&lt;&gt;0,AM51="●"),CHAR(10),"")&amp;IF(LEN(AO51),AO51,"")</f>
        <v xml:space="preserve">
LDP stEx443.x2</v>
      </c>
      <c r="AT51" t="str">
        <f t="shared" si="17"/>
        <v xml:space="preserve">
LDP stEx443.x2
AND=.D stM.udiErrNo #0</v>
      </c>
      <c r="AU51" t="str">
        <f t="shared" si="18"/>
        <v xml:space="preserve">
LDP stEx443.x2
AND=.D stM.udiErrNo #0
MOV.D #4430 stM.udiErrNo</v>
      </c>
      <c r="AV51" t="str">
        <f t="shared" si="14"/>
        <v xml:space="preserve">
LDP stEx443.x2
AND=.D stM.udiErrNo #0
MOV.D #4430 stM.udiErrNo
MOV.D stDevIn.astAXK[1] stM.udiSubErr</v>
      </c>
      <c r="AW51" t="str">
        <f t="shared" si="15"/>
        <v xml:space="preserve">
LDP stEx443.x2
AND=.D stM.udiErrNo #0
MOV.D #4430 stM.udiErrNo
MOV.D stDevIn.astAXK[1] stM.udiSubErr</v>
      </c>
      <c r="AY51" t="str">
        <f ca="1">IF($AM51="●",AT51&amp;CHAR(10)&amp;"BOX_ST"&amp;CHAR(10)&amp;";//"&amp;$B$10,"")</f>
        <v xml:space="preserve">
LDP stEx443.x2
AND=.D stM.udiErrNo #0
BOX_ST
;//このスクリプトは C:\tk\prj\hg-0025-0016\git\kv-x520\doc\[kv_script_exe_errno.xlsm]info_script によって生成されました。</v>
      </c>
      <c r="AZ51" t="str">
        <f ca="1">IF($AM51="●",IF(LEN(AY51),AY51&amp;CHAR(10),"")&amp;";//エラーNo.を入れる"&amp;CHAR(10)&amp;";"&amp;$B$15&amp;"	:= "&amp;AN51&amp;";","")</f>
        <v xml:space="preserve">
LDP stEx443.x2
AND=.D stM.udiErrNo #0
BOX_ST
;//このスクリプトは C:\tk\prj\hg-0025-0016\git\kv-x520\doc\[kv_script_exe_errno.xlsm]info_script によって生成されました。
;//エラーNo.を入れる
;stM.udiErrNo	:= 4430;</v>
      </c>
      <c r="BA51" t="str">
        <f ca="1">IF($AM51="●",IF(LEN(AZ51),AZ51&amp;CHAR(10),"")&amp;";//カウントする"&amp;CHAR(10)&amp;";"&amp;$B$16&amp;"	:= "&amp;$B$16&amp;" + 1;","")</f>
        <v xml:space="preserve">
LDP stEx443.x2
AND=.D stM.udiErrNo #0
BOX_ST
;//このスクリプトは C:\tk\prj\hg-0025-0016\git\kv-x520\doc\[kv_script_exe_errno.xlsm]info_script によって生成されました。
;//エラーNo.を入れる
;stM.udiErrNo	:= 4430;
;//カウントする
;stM.uiEDCnt	:= stM.uiEDCnt + 1;</v>
      </c>
      <c r="BB51" t="str">
        <f ca="1">IF($AM51="●",IF(LEN(BA51),BA51&amp;CHAR(10),"")&amp;IF(LEN(AK51),";//エラーコードを入れる"&amp;CHAR(10)&amp;";"&amp;$B$17&amp;"	:= "&amp;AK51&amp;".udiErr;",""),"")</f>
        <v xml:space="preserve">
LDP stEx443.x2
AND=.D stM.udiErrNo #0
BOX_ST
;//このスクリプトは C:\tk\prj\hg-0025-0016\git\kv-x520\doc\[kv_script_exe_errno.xlsm]info_script によって生成されました。
;//エラーNo.を入れる
;stM.udiErrNo	:= 4430;
;//カウントする
;stM.uiEDCnt	:= stM.uiEDCnt + 1;
;//エラーコードを入れる
;stM.udiSubErr	:= stDevIn.astAXK[1].udiErr;</v>
      </c>
      <c r="BC51" t="str">
        <f ca="1">IF($AM51="●",IF(LEN(BB51),BB51&amp;CHAR(10),"")&amp;";//"&amp;$B$11,"")</f>
        <v xml:space="preserve">
LDP stEx443.x2
AND=.D stM.udiErrNo #0
BOX_ST
;//このスクリプトは C:\tk\prj\hg-0025-0016\git\kv-x520\doc\[kv_script_exe_errno.xlsm]info_script によって生成されました。
;//エラーNo.を入れる
;stM.udiErrNo	:= 4430;
;//カウントする
;stM.uiEDCnt	:= stM.uiEDCnt + 1;
;//エラーコードを入れる
;stM.udiSubErr	:= stDevIn.astAXK[1].udiErr;
;//-----ここまで生成script-----</v>
      </c>
      <c r="BE51">
        <f>INT(D51/$BE$6)</f>
        <v>14</v>
      </c>
      <c r="BF51">
        <f>MOD(D51,$BE$6)</f>
        <v>1</v>
      </c>
      <c r="BG51" t="str">
        <f>IF(LEN(E51),E51&amp;".x"&amp;TEXT(BF51,"0")&amp;CHAR(9)&amp;" := FALSE;","")</f>
        <v>stEx443.x1	 := FALSE;</v>
      </c>
      <c r="BH51" t="str">
        <f t="shared" si="16"/>
        <v xml:space="preserve">stEx443.x1	 := FALSE;
</v>
      </c>
    </row>
    <row r="52" spans="4:60" x14ac:dyDescent="0.55000000000000004">
      <c r="D52">
        <v>44</v>
      </c>
      <c r="E52" t="str">
        <f>IF(LEN(I52),I52,IF(LEN(Q52),Q52,""))</f>
        <v>stEx444</v>
      </c>
      <c r="F52" t="str">
        <f>IF(LEN(J52),J52,IF(LEN(R52),R52,""))</f>
        <v>EXE_DIREC</v>
      </c>
      <c r="G52" t="str">
        <f>IF(LEN(O52),O52,IF(LEN(X52),X52,""))</f>
        <v>▼巻締 締め</v>
      </c>
      <c r="Q52" t="s">
        <v>123</v>
      </c>
      <c r="R52" t="s">
        <v>0</v>
      </c>
      <c r="U52" t="b">
        <v>0</v>
      </c>
      <c r="V52" t="b">
        <v>0</v>
      </c>
      <c r="W52" t="b">
        <v>0</v>
      </c>
      <c r="X52" t="s">
        <v>124</v>
      </c>
      <c r="Z52" t="str">
        <f t="shared" si="5"/>
        <v/>
      </c>
      <c r="AA52" t="str">
        <f t="shared" si="6"/>
        <v/>
      </c>
      <c r="AB52" t="str">
        <f t="shared" si="6"/>
        <v/>
      </c>
      <c r="AC52" t="str">
        <f t="shared" si="6"/>
        <v/>
      </c>
      <c r="AD52" t="str">
        <f t="shared" si="19"/>
        <v/>
      </c>
      <c r="AE52" t="str">
        <f t="shared" si="19"/>
        <v/>
      </c>
      <c r="AF52" t="str">
        <f t="shared" si="8"/>
        <v/>
      </c>
      <c r="AG52" t="str">
        <f t="shared" si="9"/>
        <v/>
      </c>
      <c r="AH52" t="str">
        <f t="shared" si="10"/>
        <v/>
      </c>
      <c r="AI52" t="str">
        <f t="shared" si="11"/>
        <v/>
      </c>
      <c r="AJ52" t="str">
        <f t="shared" si="12"/>
        <v/>
      </c>
      <c r="AK52" t="str">
        <f t="shared" si="13"/>
        <v/>
      </c>
      <c r="AM52" t="str">
        <f>IF(LEN(G52),IF(OR(COUNTIF(G52,"*◆*"),COUNTIF(G52,"*▼*"),COUNTIF(G52,"*■*")),"","●"),"")</f>
        <v/>
      </c>
      <c r="AN52" t="str">
        <f>IF(AM52="●",(AN$4+MOD(INT(MID(E52,5,3)),AN$2))*AN$6,"")</f>
        <v/>
      </c>
      <c r="AO52" t="str">
        <f>IF($AM52="●","LDP "&amp;E52&amp;"."&amp;$B$14,"")</f>
        <v/>
      </c>
      <c r="AP52" t="str">
        <f>IF($AM52="●","AND=.D "&amp;$B$15&amp;" #0","")</f>
        <v/>
      </c>
      <c r="AQ52" t="str">
        <f>IF($AM52="●","MOV.D #"&amp;AN52&amp;" "&amp;$B$15,"")</f>
        <v/>
      </c>
      <c r="AR52" t="str">
        <f>IF(LEN(AK52),"MOV.D "&amp;$AK52&amp;" "&amp;$B$17,"")</f>
        <v/>
      </c>
      <c r="AS52" t="str">
        <f>IF(AND(D52&lt;&gt;0,AM52="●"),CHAR(10),"")&amp;IF(LEN(AO52),AO52,"")</f>
        <v/>
      </c>
      <c r="AT52" t="str">
        <f t="shared" si="17"/>
        <v/>
      </c>
      <c r="AU52" t="str">
        <f t="shared" si="18"/>
        <v/>
      </c>
      <c r="AV52" t="str">
        <f t="shared" si="14"/>
        <v/>
      </c>
      <c r="AW52" t="str">
        <f t="shared" si="15"/>
        <v/>
      </c>
      <c r="AY52" t="str">
        <f>IF($AM52="●",AT52&amp;CHAR(10)&amp;"BOX_ST"&amp;CHAR(10)&amp;";//"&amp;$B$10,"")</f>
        <v/>
      </c>
      <c r="AZ52" t="str">
        <f>IF($AM52="●",IF(LEN(AY52),AY52&amp;CHAR(10),"")&amp;";//エラーNo.を入れる"&amp;CHAR(10)&amp;";"&amp;$B$15&amp;"	:= "&amp;AN52&amp;";","")</f>
        <v/>
      </c>
      <c r="BA52" t="str">
        <f>IF($AM52="●",IF(LEN(AZ52),AZ52&amp;CHAR(10),"")&amp;";//カウントする"&amp;CHAR(10)&amp;";"&amp;$B$16&amp;"	:= "&amp;$B$16&amp;" + 1;","")</f>
        <v/>
      </c>
      <c r="BB52" t="str">
        <f>IF($AM52="●",IF(LEN(BA52),BA52&amp;CHAR(10),"")&amp;IF(LEN(AK52),";//エラーコードを入れる"&amp;CHAR(10)&amp;";"&amp;$B$17&amp;"	:= "&amp;AK52&amp;".udiErr;",""),"")</f>
        <v/>
      </c>
      <c r="BC52" t="str">
        <f>IF($AM52="●",IF(LEN(BB52),BB52&amp;CHAR(10),"")&amp;";//"&amp;$B$11,"")</f>
        <v/>
      </c>
      <c r="BE52">
        <f>INT(D52/$BE$6)</f>
        <v>14</v>
      </c>
      <c r="BF52">
        <f>MOD(D52,$BE$6)</f>
        <v>2</v>
      </c>
      <c r="BG52" t="str">
        <f>IF(LEN(E52),E52&amp;".x"&amp;TEXT(BF52,"0")&amp;CHAR(9)&amp;" := FALSE;","")</f>
        <v>stEx444.x2	 := FALSE;</v>
      </c>
      <c r="BH52" t="str">
        <f t="shared" si="16"/>
        <v xml:space="preserve">stEx444.x2	 := FALSE;
</v>
      </c>
    </row>
    <row r="53" spans="4:60" x14ac:dyDescent="0.55000000000000004">
      <c r="D53">
        <v>45</v>
      </c>
      <c r="E53" t="str">
        <f>IF(LEN(I53),I53,IF(LEN(Q53),Q53,""))</f>
        <v>stEx445</v>
      </c>
      <c r="F53" t="str">
        <f>IF(LEN(J53),J53,IF(LEN(R53),R53,""))</f>
        <v>EXE_DIREC</v>
      </c>
      <c r="G53" t="str">
        <f>IF(LEN(O53),O53,IF(LEN(X53),X53,""))</f>
        <v>▽平+波 +溶接+主軸</v>
      </c>
      <c r="Q53" t="s">
        <v>125</v>
      </c>
      <c r="R53" t="s">
        <v>0</v>
      </c>
      <c r="U53" t="b">
        <v>0</v>
      </c>
      <c r="V53" t="b">
        <v>0</v>
      </c>
      <c r="W53" t="b">
        <v>0</v>
      </c>
      <c r="X53" t="s">
        <v>126</v>
      </c>
      <c r="Z53" t="str">
        <f t="shared" si="5"/>
        <v/>
      </c>
      <c r="AA53" t="str">
        <f t="shared" si="6"/>
        <v/>
      </c>
      <c r="AB53" t="str">
        <f t="shared" si="6"/>
        <v/>
      </c>
      <c r="AC53" t="str">
        <f t="shared" si="6"/>
        <v/>
      </c>
      <c r="AD53" t="str">
        <f t="shared" si="19"/>
        <v/>
      </c>
      <c r="AE53" t="str">
        <f t="shared" si="19"/>
        <v/>
      </c>
      <c r="AF53" t="str">
        <f t="shared" si="8"/>
        <v/>
      </c>
      <c r="AG53" t="str">
        <f t="shared" si="9"/>
        <v/>
      </c>
      <c r="AH53" t="str">
        <f t="shared" si="10"/>
        <v/>
      </c>
      <c r="AI53" t="str">
        <f t="shared" si="11"/>
        <v/>
      </c>
      <c r="AJ53" t="str">
        <f t="shared" si="12"/>
        <v/>
      </c>
      <c r="AK53" t="str">
        <f t="shared" si="13"/>
        <v/>
      </c>
      <c r="AM53" t="str">
        <f>IF(LEN(G53),IF(OR(COUNTIF(G53,"*◆*"),COUNTIF(G53,"*▼*"),COUNTIF(G53,"*■*")),"","●"),"")</f>
        <v>●</v>
      </c>
      <c r="AN53">
        <f>IF(AM53="●",(AN$4+MOD(INT(MID(E53,5,3)),AN$2))*AN$6,"")</f>
        <v>4450</v>
      </c>
      <c r="AO53" t="str">
        <f>IF($AM53="●","LDP "&amp;E53&amp;"."&amp;$B$14,"")</f>
        <v>LDP stEx445.x2</v>
      </c>
      <c r="AP53" t="str">
        <f>IF($AM53="●","AND=.D "&amp;$B$15&amp;" #0","")</f>
        <v>AND=.D stM.udiErrNo #0</v>
      </c>
      <c r="AQ53" t="str">
        <f>IF($AM53="●","MOV.D #"&amp;AN53&amp;" "&amp;$B$15,"")</f>
        <v>MOV.D #4450 stM.udiErrNo</v>
      </c>
      <c r="AR53" t="str">
        <f>IF(LEN(AK53),"MOV.D "&amp;$AK53&amp;" "&amp;$B$17,"")</f>
        <v/>
      </c>
      <c r="AS53" t="str">
        <f>IF(AND(D53&lt;&gt;0,AM53="●"),CHAR(10),"")&amp;IF(LEN(AO53),AO53,"")</f>
        <v xml:space="preserve">
LDP stEx445.x2</v>
      </c>
      <c r="AT53" t="str">
        <f t="shared" si="17"/>
        <v xml:space="preserve">
LDP stEx445.x2
AND=.D stM.udiErrNo #0</v>
      </c>
      <c r="AU53" t="str">
        <f t="shared" si="18"/>
        <v xml:space="preserve">
LDP stEx445.x2
AND=.D stM.udiErrNo #0
MOV.D #4450 stM.udiErrNo</v>
      </c>
      <c r="AV53" t="str">
        <f t="shared" si="14"/>
        <v xml:space="preserve">
LDP stEx445.x2
AND=.D stM.udiErrNo #0
MOV.D #4450 stM.udiErrNo
</v>
      </c>
      <c r="AW53" t="str">
        <f t="shared" si="15"/>
        <v xml:space="preserve">
LDP stEx445.x2
AND=.D stM.udiErrNo #0
MOV.D #4450 stM.udiErrNo
</v>
      </c>
      <c r="AY53" t="str">
        <f ca="1">IF($AM53="●",AT53&amp;CHAR(10)&amp;"BOX_ST"&amp;CHAR(10)&amp;";//"&amp;$B$10,"")</f>
        <v xml:space="preserve">
LDP stEx445.x2
AND=.D stM.udiErrNo #0
BOX_ST
;//このスクリプトは C:\tk\prj\hg-0025-0016\git\kv-x520\doc\[kv_script_exe_errno.xlsm]info_script によって生成されました。</v>
      </c>
      <c r="AZ53" t="str">
        <f ca="1">IF($AM53="●",IF(LEN(AY53),AY53&amp;CHAR(10),"")&amp;";//エラーNo.を入れる"&amp;CHAR(10)&amp;";"&amp;$B$15&amp;"	:= "&amp;AN53&amp;";","")</f>
        <v xml:space="preserve">
LDP stEx445.x2
AND=.D stM.udiErrNo #0
BOX_ST
;//このスクリプトは C:\tk\prj\hg-0025-0016\git\kv-x520\doc\[kv_script_exe_errno.xlsm]info_script によって生成されました。
;//エラーNo.を入れる
;stM.udiErrNo	:= 4450;</v>
      </c>
      <c r="BA53" t="str">
        <f ca="1">IF($AM53="●",IF(LEN(AZ53),AZ53&amp;CHAR(10),"")&amp;";//カウントする"&amp;CHAR(10)&amp;";"&amp;$B$16&amp;"	:= "&amp;$B$16&amp;" + 1;","")</f>
        <v xml:space="preserve">
LDP stEx445.x2
AND=.D stM.udiErrNo #0
BOX_ST
;//このスクリプトは C:\tk\prj\hg-0025-0016\git\kv-x520\doc\[kv_script_exe_errno.xlsm]info_script によって生成されました。
;//エラーNo.を入れる
;stM.udiErrNo	:= 4450;
;//カウントする
;stM.uiEDCnt	:= stM.uiEDCnt + 1;</v>
      </c>
      <c r="BB53" t="str">
        <f ca="1">IF($AM53="●",IF(LEN(BA53),BA53&amp;CHAR(10),"")&amp;IF(LEN(AK53),";//エラーコードを入れる"&amp;CHAR(10)&amp;";"&amp;$B$17&amp;"	:= "&amp;AK53&amp;".udiErr;",""),"")</f>
        <v xml:space="preserve">
LDP stEx445.x2
AND=.D stM.udiErrNo #0
BOX_ST
;//このスクリプトは C:\tk\prj\hg-0025-0016\git\kv-x520\doc\[kv_script_exe_errno.xlsm]info_script によって生成されました。
;//エラーNo.を入れる
;stM.udiErrNo	:= 4450;
;//カウントする
;stM.uiEDCnt	:= stM.uiEDCnt + 1;
</v>
      </c>
      <c r="BC53" t="str">
        <f ca="1">IF($AM53="●",IF(LEN(BB53),BB53&amp;CHAR(10),"")&amp;";//"&amp;$B$11,"")</f>
        <v xml:space="preserve">
LDP stEx445.x2
AND=.D stM.udiErrNo #0
BOX_ST
;//このスクリプトは C:\tk\prj\hg-0025-0016\git\kv-x520\doc\[kv_script_exe_errno.xlsm]info_script によって生成されました。
;//エラーNo.を入れる
;stM.udiErrNo	:= 4450;
;//カウントする
;stM.uiEDCnt	:= stM.uiEDCnt + 1;
;//-----ここまで生成script-----</v>
      </c>
      <c r="BE53">
        <f>INT(D53/$BE$6)</f>
        <v>15</v>
      </c>
      <c r="BF53">
        <f>MOD(D53,$BE$6)</f>
        <v>0</v>
      </c>
      <c r="BG53" t="str">
        <f>IF(LEN(E53),E53&amp;".x"&amp;TEXT(BF53,"0")&amp;CHAR(9)&amp;" := FALSE;","")</f>
        <v>stEx445.x0	 := FALSE;</v>
      </c>
      <c r="BH53" t="str">
        <f t="shared" si="16"/>
        <v xml:space="preserve">stEx445.x0	 := FALSE;
</v>
      </c>
    </row>
    <row r="54" spans="4:60" x14ac:dyDescent="0.55000000000000004">
      <c r="D54">
        <v>46</v>
      </c>
      <c r="E54" t="str">
        <f>IF(LEN(I54),I54,IF(LEN(Q54),Q54,""))</f>
        <v>stEx446</v>
      </c>
      <c r="F54" t="str">
        <f>IF(LEN(J54),J54,IF(LEN(R54),R54,""))</f>
        <v>EXE_DIREC</v>
      </c>
      <c r="G54" t="str">
        <f>IF(LEN(O54),O54,IF(LEN(X54),X54,""))</f>
        <v>△●AXI05 波板検索</v>
      </c>
      <c r="Q54" t="s">
        <v>127</v>
      </c>
      <c r="R54" t="s">
        <v>0</v>
      </c>
      <c r="U54" t="b">
        <v>0</v>
      </c>
      <c r="V54" t="b">
        <v>0</v>
      </c>
      <c r="W54" t="b">
        <v>0</v>
      </c>
      <c r="X54" t="s">
        <v>128</v>
      </c>
      <c r="Z54">
        <f t="shared" si="5"/>
        <v>5</v>
      </c>
      <c r="AA54" t="str">
        <f t="shared" si="6"/>
        <v/>
      </c>
      <c r="AB54" t="str">
        <f t="shared" si="6"/>
        <v/>
      </c>
      <c r="AC54" t="str">
        <f t="shared" si="6"/>
        <v/>
      </c>
      <c r="AD54" t="str">
        <f t="shared" si="19"/>
        <v>stDevIn.astAXI[0]</v>
      </c>
      <c r="AE54" t="str">
        <f t="shared" si="19"/>
        <v/>
      </c>
      <c r="AF54" t="str">
        <f t="shared" si="8"/>
        <v/>
      </c>
      <c r="AG54" t="str">
        <f t="shared" si="9"/>
        <v/>
      </c>
      <c r="AH54" t="str">
        <f t="shared" si="10"/>
        <v/>
      </c>
      <c r="AI54" t="str">
        <f t="shared" si="11"/>
        <v/>
      </c>
      <c r="AJ54" t="str">
        <f t="shared" si="12"/>
        <v/>
      </c>
      <c r="AK54" t="str">
        <f t="shared" si="13"/>
        <v>stDevIn.astAXI[0]</v>
      </c>
      <c r="AM54" t="str">
        <f>IF(LEN(G54),IF(OR(COUNTIF(G54,"*◆*"),COUNTIF(G54,"*▼*"),COUNTIF(G54,"*■*")),"","●"),"")</f>
        <v>●</v>
      </c>
      <c r="AN54">
        <f>IF(AM54="●",(AN$4+MOD(INT(MID(E54,5,3)),AN$2))*AN$6,"")</f>
        <v>4460</v>
      </c>
      <c r="AO54" t="str">
        <f>IF($AM54="●","LDP "&amp;E54&amp;"."&amp;$B$14,"")</f>
        <v>LDP stEx446.x2</v>
      </c>
      <c r="AP54" t="str">
        <f>IF($AM54="●","AND=.D "&amp;$B$15&amp;" #0","")</f>
        <v>AND=.D stM.udiErrNo #0</v>
      </c>
      <c r="AQ54" t="str">
        <f>IF($AM54="●","MOV.D #"&amp;AN54&amp;" "&amp;$B$15,"")</f>
        <v>MOV.D #4460 stM.udiErrNo</v>
      </c>
      <c r="AR54" t="str">
        <f>IF(LEN(AK54),"MOV.D "&amp;$AK54&amp;" "&amp;$B$17,"")</f>
        <v>MOV.D stDevIn.astAXI[0] stM.udiSubErr</v>
      </c>
      <c r="AS54" t="str">
        <f>IF(AND(D54&lt;&gt;0,AM54="●"),CHAR(10),"")&amp;IF(LEN(AO54),AO54,"")</f>
        <v xml:space="preserve">
LDP stEx446.x2</v>
      </c>
      <c r="AT54" t="str">
        <f t="shared" si="17"/>
        <v xml:space="preserve">
LDP stEx446.x2
AND=.D stM.udiErrNo #0</v>
      </c>
      <c r="AU54" t="str">
        <f t="shared" si="18"/>
        <v xml:space="preserve">
LDP stEx446.x2
AND=.D stM.udiErrNo #0
MOV.D #4460 stM.udiErrNo</v>
      </c>
      <c r="AV54" t="str">
        <f t="shared" si="14"/>
        <v xml:space="preserve">
LDP stEx446.x2
AND=.D stM.udiErrNo #0
MOV.D #4460 stM.udiErrNo
MOV.D stDevIn.astAXI[0] stM.udiSubErr</v>
      </c>
      <c r="AW54" t="str">
        <f t="shared" si="15"/>
        <v xml:space="preserve">
LDP stEx446.x2
AND=.D stM.udiErrNo #0
MOV.D #4460 stM.udiErrNo
MOV.D stDevIn.astAXI[0] stM.udiSubErr</v>
      </c>
      <c r="AY54" t="str">
        <f ca="1">IF($AM54="●",AT54&amp;CHAR(10)&amp;"BOX_ST"&amp;CHAR(10)&amp;";//"&amp;$B$10,"")</f>
        <v xml:space="preserve">
LDP stEx446.x2
AND=.D stM.udiErrNo #0
BOX_ST
;//このスクリプトは C:\tk\prj\hg-0025-0016\git\kv-x520\doc\[kv_script_exe_errno.xlsm]info_script によって生成されました。</v>
      </c>
      <c r="AZ54" t="str">
        <f ca="1">IF($AM54="●",IF(LEN(AY54),AY54&amp;CHAR(10),"")&amp;";//エラーNo.を入れる"&amp;CHAR(10)&amp;";"&amp;$B$15&amp;"	:= "&amp;AN54&amp;";","")</f>
        <v xml:space="preserve">
LDP stEx446.x2
AND=.D stM.udiErrNo #0
BOX_ST
;//このスクリプトは C:\tk\prj\hg-0025-0016\git\kv-x520\doc\[kv_script_exe_errno.xlsm]info_script によって生成されました。
;//エラーNo.を入れる
;stM.udiErrNo	:= 4460;</v>
      </c>
      <c r="BA54" t="str">
        <f ca="1">IF($AM54="●",IF(LEN(AZ54),AZ54&amp;CHAR(10),"")&amp;";//カウントする"&amp;CHAR(10)&amp;";"&amp;$B$16&amp;"	:= "&amp;$B$16&amp;" + 1;","")</f>
        <v xml:space="preserve">
LDP stEx446.x2
AND=.D stM.udiErrNo #0
BOX_ST
;//このスクリプトは C:\tk\prj\hg-0025-0016\git\kv-x520\doc\[kv_script_exe_errno.xlsm]info_script によって生成されました。
;//エラーNo.を入れる
;stM.udiErrNo	:= 4460;
;//カウントする
;stM.uiEDCnt	:= stM.uiEDCnt + 1;</v>
      </c>
      <c r="BB54" t="str">
        <f ca="1">IF($AM54="●",IF(LEN(BA54),BA54&amp;CHAR(10),"")&amp;IF(LEN(AK54),";//エラーコードを入れる"&amp;CHAR(10)&amp;";"&amp;$B$17&amp;"	:= "&amp;AK54&amp;".udiErr;",""),"")</f>
        <v xml:space="preserve">
LDP stEx446.x2
AND=.D stM.udiErrNo #0
BOX_ST
;//このスクリプトは C:\tk\prj\hg-0025-0016\git\kv-x520\doc\[kv_script_exe_errno.xlsm]info_script によって生成されました。
;//エラーNo.を入れる
;stM.udiErrNo	:= 4460;
;//カウントする
;stM.uiEDCnt	:= stM.uiEDCnt + 1;
;//エラーコードを入れる
;stM.udiSubErr	:= stDevIn.astAXI[0].udiErr;</v>
      </c>
      <c r="BC54" t="str">
        <f ca="1">IF($AM54="●",IF(LEN(BB54),BB54&amp;CHAR(10),"")&amp;";//"&amp;$B$11,"")</f>
        <v xml:space="preserve">
LDP stEx446.x2
AND=.D stM.udiErrNo #0
BOX_ST
;//このスクリプトは C:\tk\prj\hg-0025-0016\git\kv-x520\doc\[kv_script_exe_errno.xlsm]info_script によって生成されました。
;//エラーNo.を入れる
;stM.udiErrNo	:= 4460;
;//カウントする
;stM.uiEDCnt	:= stM.uiEDCnt + 1;
;//エラーコードを入れる
;stM.udiSubErr	:= stDevIn.astAXI[0].udiErr;
;//-----ここまで生成script-----</v>
      </c>
      <c r="BE54">
        <f>INT(D54/$BE$6)</f>
        <v>15</v>
      </c>
      <c r="BF54">
        <f>MOD(D54,$BE$6)</f>
        <v>1</v>
      </c>
      <c r="BG54" t="str">
        <f>IF(LEN(E54),E54&amp;".x"&amp;TEXT(BF54,"0")&amp;CHAR(9)&amp;" := FALSE;","")</f>
        <v>stEx446.x1	 := FALSE;</v>
      </c>
      <c r="BH54" t="str">
        <f t="shared" si="16"/>
        <v xml:space="preserve">stEx446.x1	 := FALSE;
</v>
      </c>
    </row>
    <row r="55" spans="4:60" x14ac:dyDescent="0.55000000000000004">
      <c r="D55">
        <v>47</v>
      </c>
      <c r="E55" t="str">
        <f>IF(LEN(I55),I55,IF(LEN(Q55),Q55,""))</f>
        <v>stEx447</v>
      </c>
      <c r="F55" t="str">
        <f>IF(LEN(J55),J55,IF(LEN(R55),R55,""))</f>
        <v>EXE_DIREC</v>
      </c>
      <c r="G55" t="str">
        <f>IF(LEN(O55),O55,IF(LEN(X55),X55,""))</f>
        <v>△●AXI06 波板検索</v>
      </c>
      <c r="Q55" t="s">
        <v>129</v>
      </c>
      <c r="R55" t="s">
        <v>0</v>
      </c>
      <c r="U55" t="b">
        <v>0</v>
      </c>
      <c r="V55" t="b">
        <v>0</v>
      </c>
      <c r="W55" t="b">
        <v>0</v>
      </c>
      <c r="X55" t="s">
        <v>130</v>
      </c>
      <c r="Z55">
        <f t="shared" si="5"/>
        <v>6</v>
      </c>
      <c r="AA55" t="str">
        <f t="shared" si="6"/>
        <v/>
      </c>
      <c r="AB55" t="str">
        <f t="shared" si="6"/>
        <v/>
      </c>
      <c r="AC55" t="str">
        <f t="shared" si="6"/>
        <v/>
      </c>
      <c r="AD55" t="str">
        <f t="shared" si="19"/>
        <v>stDevIn.astAXI[1]</v>
      </c>
      <c r="AE55" t="str">
        <f t="shared" si="19"/>
        <v/>
      </c>
      <c r="AF55" t="str">
        <f t="shared" si="8"/>
        <v/>
      </c>
      <c r="AG55" t="str">
        <f t="shared" si="9"/>
        <v/>
      </c>
      <c r="AH55" t="str">
        <f t="shared" si="10"/>
        <v/>
      </c>
      <c r="AI55" t="str">
        <f t="shared" si="11"/>
        <v/>
      </c>
      <c r="AJ55" t="str">
        <f t="shared" si="12"/>
        <v/>
      </c>
      <c r="AK55" t="str">
        <f t="shared" si="13"/>
        <v>stDevIn.astAXI[1]</v>
      </c>
      <c r="AM55" t="str">
        <f>IF(LEN(G55),IF(OR(COUNTIF(G55,"*◆*"),COUNTIF(G55,"*▼*"),COUNTIF(G55,"*■*")),"","●"),"")</f>
        <v>●</v>
      </c>
      <c r="AN55">
        <f>IF(AM55="●",(AN$4+MOD(INT(MID(E55,5,3)),AN$2))*AN$6,"")</f>
        <v>4470</v>
      </c>
      <c r="AO55" t="str">
        <f>IF($AM55="●","LDP "&amp;E55&amp;"."&amp;$B$14,"")</f>
        <v>LDP stEx447.x2</v>
      </c>
      <c r="AP55" t="str">
        <f>IF($AM55="●","AND=.D "&amp;$B$15&amp;" #0","")</f>
        <v>AND=.D stM.udiErrNo #0</v>
      </c>
      <c r="AQ55" t="str">
        <f>IF($AM55="●","MOV.D #"&amp;AN55&amp;" "&amp;$B$15,"")</f>
        <v>MOV.D #4470 stM.udiErrNo</v>
      </c>
      <c r="AR55" t="str">
        <f>IF(LEN(AK55),"MOV.D "&amp;$AK55&amp;" "&amp;$B$17,"")</f>
        <v>MOV.D stDevIn.astAXI[1] stM.udiSubErr</v>
      </c>
      <c r="AS55" t="str">
        <f>IF(AND(D55&lt;&gt;0,AM55="●"),CHAR(10),"")&amp;IF(LEN(AO55),AO55,"")</f>
        <v xml:space="preserve">
LDP stEx447.x2</v>
      </c>
      <c r="AT55" t="str">
        <f t="shared" si="17"/>
        <v xml:space="preserve">
LDP stEx447.x2
AND=.D stM.udiErrNo #0</v>
      </c>
      <c r="AU55" t="str">
        <f t="shared" si="18"/>
        <v xml:space="preserve">
LDP stEx447.x2
AND=.D stM.udiErrNo #0
MOV.D #4470 stM.udiErrNo</v>
      </c>
      <c r="AV55" t="str">
        <f t="shared" si="14"/>
        <v xml:space="preserve">
LDP stEx447.x2
AND=.D stM.udiErrNo #0
MOV.D #4470 stM.udiErrNo
MOV.D stDevIn.astAXI[1] stM.udiSubErr</v>
      </c>
      <c r="AW55" t="str">
        <f t="shared" si="15"/>
        <v xml:space="preserve">
LDP stEx447.x2
AND=.D stM.udiErrNo #0
MOV.D #4470 stM.udiErrNo
MOV.D stDevIn.astAXI[1] stM.udiSubErr</v>
      </c>
      <c r="AY55" t="str">
        <f ca="1">IF($AM55="●",AT55&amp;CHAR(10)&amp;"BOX_ST"&amp;CHAR(10)&amp;";//"&amp;$B$10,"")</f>
        <v xml:space="preserve">
LDP stEx447.x2
AND=.D stM.udiErrNo #0
BOX_ST
;//このスクリプトは C:\tk\prj\hg-0025-0016\git\kv-x520\doc\[kv_script_exe_errno.xlsm]info_script によって生成されました。</v>
      </c>
      <c r="AZ55" t="str">
        <f ca="1">IF($AM55="●",IF(LEN(AY55),AY55&amp;CHAR(10),"")&amp;";//エラーNo.を入れる"&amp;CHAR(10)&amp;";"&amp;$B$15&amp;"	:= "&amp;AN55&amp;";","")</f>
        <v xml:space="preserve">
LDP stEx447.x2
AND=.D stM.udiErrNo #0
BOX_ST
;//このスクリプトは C:\tk\prj\hg-0025-0016\git\kv-x520\doc\[kv_script_exe_errno.xlsm]info_script によって生成されました。
;//エラーNo.を入れる
;stM.udiErrNo	:= 4470;</v>
      </c>
      <c r="BA55" t="str">
        <f ca="1">IF($AM55="●",IF(LEN(AZ55),AZ55&amp;CHAR(10),"")&amp;";//カウントする"&amp;CHAR(10)&amp;";"&amp;$B$16&amp;"	:= "&amp;$B$16&amp;" + 1;","")</f>
        <v xml:space="preserve">
LDP stEx447.x2
AND=.D stM.udiErrNo #0
BOX_ST
;//このスクリプトは C:\tk\prj\hg-0025-0016\git\kv-x520\doc\[kv_script_exe_errno.xlsm]info_script によって生成されました。
;//エラーNo.を入れる
;stM.udiErrNo	:= 4470;
;//カウントする
;stM.uiEDCnt	:= stM.uiEDCnt + 1;</v>
      </c>
      <c r="BB55" t="str">
        <f ca="1">IF($AM55="●",IF(LEN(BA55),BA55&amp;CHAR(10),"")&amp;IF(LEN(AK55),";//エラーコードを入れる"&amp;CHAR(10)&amp;";"&amp;$B$17&amp;"	:= "&amp;AK55&amp;".udiErr;",""),"")</f>
        <v xml:space="preserve">
LDP stEx447.x2
AND=.D stM.udiErrNo #0
BOX_ST
;//このスクリプトは C:\tk\prj\hg-0025-0016\git\kv-x520\doc\[kv_script_exe_errno.xlsm]info_script によって生成されました。
;//エラーNo.を入れる
;stM.udiErrNo	:= 4470;
;//カウントする
;stM.uiEDCnt	:= stM.uiEDCnt + 1;
;//エラーコードを入れる
;stM.udiSubErr	:= stDevIn.astAXI[1].udiErr;</v>
      </c>
      <c r="BC55" t="str">
        <f ca="1">IF($AM55="●",IF(LEN(BB55),BB55&amp;CHAR(10),"")&amp;";//"&amp;$B$11,"")</f>
        <v xml:space="preserve">
LDP stEx447.x2
AND=.D stM.udiErrNo #0
BOX_ST
;//このスクリプトは C:\tk\prj\hg-0025-0016\git\kv-x520\doc\[kv_script_exe_errno.xlsm]info_script によって生成されました。
;//エラーNo.を入れる
;stM.udiErrNo	:= 4470;
;//カウントする
;stM.uiEDCnt	:= stM.uiEDCnt + 1;
;//エラーコードを入れる
;stM.udiSubErr	:= stDevIn.astAXI[1].udiErr;
;//-----ここまで生成script-----</v>
      </c>
      <c r="BE55">
        <f>INT(D55/$BE$6)</f>
        <v>15</v>
      </c>
      <c r="BF55">
        <f>MOD(D55,$BE$6)</f>
        <v>2</v>
      </c>
      <c r="BG55" t="str">
        <f>IF(LEN(E55),E55&amp;".x"&amp;TEXT(BF55,"0")&amp;CHAR(9)&amp;" := FALSE;","")</f>
        <v>stEx447.x2	 := FALSE;</v>
      </c>
      <c r="BH55" t="str">
        <f t="shared" si="16"/>
        <v xml:space="preserve">stEx447.x2	 := FALSE;
</v>
      </c>
    </row>
    <row r="56" spans="4:60" x14ac:dyDescent="0.55000000000000004">
      <c r="D56">
        <v>48</v>
      </c>
      <c r="E56" t="str">
        <f>IF(LEN(I56),I56,IF(LEN(Q56),Q56,""))</f>
        <v>stEx448</v>
      </c>
      <c r="F56" t="str">
        <f>IF(LEN(J56),J56,IF(LEN(R56),R56,""))</f>
        <v>EXE_DIREC</v>
      </c>
      <c r="G56" t="str">
        <f>IF(LEN(O56),O56,IF(LEN(X56),X56,""))</f>
        <v>△波板終端 検索</v>
      </c>
      <c r="Q56" t="s">
        <v>131</v>
      </c>
      <c r="R56" t="s">
        <v>0</v>
      </c>
      <c r="U56" t="b">
        <v>0</v>
      </c>
      <c r="V56" t="b">
        <v>0</v>
      </c>
      <c r="W56" t="b">
        <v>0</v>
      </c>
      <c r="X56" t="s">
        <v>132</v>
      </c>
      <c r="Z56" t="str">
        <f t="shared" si="5"/>
        <v/>
      </c>
      <c r="AA56" t="str">
        <f t="shared" si="6"/>
        <v/>
      </c>
      <c r="AB56" t="str">
        <f t="shared" si="6"/>
        <v/>
      </c>
      <c r="AC56" t="str">
        <f t="shared" si="6"/>
        <v/>
      </c>
      <c r="AD56" t="str">
        <f t="shared" si="19"/>
        <v/>
      </c>
      <c r="AE56" t="str">
        <f t="shared" si="19"/>
        <v/>
      </c>
      <c r="AF56" t="str">
        <f t="shared" si="8"/>
        <v/>
      </c>
      <c r="AG56" t="str">
        <f t="shared" si="9"/>
        <v/>
      </c>
      <c r="AH56" t="str">
        <f t="shared" si="10"/>
        <v/>
      </c>
      <c r="AI56" t="str">
        <f t="shared" si="11"/>
        <v/>
      </c>
      <c r="AJ56" t="str">
        <f t="shared" si="12"/>
        <v/>
      </c>
      <c r="AK56" t="str">
        <f t="shared" si="13"/>
        <v/>
      </c>
      <c r="AM56" t="str">
        <f>IF(LEN(G56),IF(OR(COUNTIF(G56,"*◆*"),COUNTIF(G56,"*▼*"),COUNTIF(G56,"*■*")),"","●"),"")</f>
        <v>●</v>
      </c>
      <c r="AN56">
        <f>IF(AM56="●",(AN$4+MOD(INT(MID(E56,5,3)),AN$2))*AN$6,"")</f>
        <v>4480</v>
      </c>
      <c r="AO56" t="str">
        <f>IF($AM56="●","LDP "&amp;E56&amp;"."&amp;$B$14,"")</f>
        <v>LDP stEx448.x2</v>
      </c>
      <c r="AP56" t="str">
        <f>IF($AM56="●","AND=.D "&amp;$B$15&amp;" #0","")</f>
        <v>AND=.D stM.udiErrNo #0</v>
      </c>
      <c r="AQ56" t="str">
        <f>IF($AM56="●","MOV.D #"&amp;AN56&amp;" "&amp;$B$15,"")</f>
        <v>MOV.D #4480 stM.udiErrNo</v>
      </c>
      <c r="AR56" t="str">
        <f>IF(LEN(AK56),"MOV.D "&amp;$AK56&amp;" "&amp;$B$17,"")</f>
        <v/>
      </c>
      <c r="AS56" t="str">
        <f>IF(AND(D56&lt;&gt;0,AM56="●"),CHAR(10),"")&amp;IF(LEN(AO56),AO56,"")</f>
        <v xml:space="preserve">
LDP stEx448.x2</v>
      </c>
      <c r="AT56" t="str">
        <f t="shared" si="17"/>
        <v xml:space="preserve">
LDP stEx448.x2
AND=.D stM.udiErrNo #0</v>
      </c>
      <c r="AU56" t="str">
        <f t="shared" si="18"/>
        <v xml:space="preserve">
LDP stEx448.x2
AND=.D stM.udiErrNo #0
MOV.D #4480 stM.udiErrNo</v>
      </c>
      <c r="AV56" t="str">
        <f t="shared" si="14"/>
        <v xml:space="preserve">
LDP stEx448.x2
AND=.D stM.udiErrNo #0
MOV.D #4480 stM.udiErrNo
</v>
      </c>
      <c r="AW56" t="str">
        <f t="shared" si="15"/>
        <v xml:space="preserve">
LDP stEx448.x2
AND=.D stM.udiErrNo #0
MOV.D #4480 stM.udiErrNo
</v>
      </c>
      <c r="AY56" t="str">
        <f ca="1">IF($AM56="●",AT56&amp;CHAR(10)&amp;"BOX_ST"&amp;CHAR(10)&amp;";//"&amp;$B$10,"")</f>
        <v xml:space="preserve">
LDP stEx448.x2
AND=.D stM.udiErrNo #0
BOX_ST
;//このスクリプトは C:\tk\prj\hg-0025-0016\git\kv-x520\doc\[kv_script_exe_errno.xlsm]info_script によって生成されました。</v>
      </c>
      <c r="AZ56" t="str">
        <f ca="1">IF($AM56="●",IF(LEN(AY56),AY56&amp;CHAR(10),"")&amp;";//エラーNo.を入れる"&amp;CHAR(10)&amp;";"&amp;$B$15&amp;"	:= "&amp;AN56&amp;";","")</f>
        <v xml:space="preserve">
LDP stEx448.x2
AND=.D stM.udiErrNo #0
BOX_ST
;//このスクリプトは C:\tk\prj\hg-0025-0016\git\kv-x520\doc\[kv_script_exe_errno.xlsm]info_script によって生成されました。
;//エラーNo.を入れる
;stM.udiErrNo	:= 4480;</v>
      </c>
      <c r="BA56" t="str">
        <f ca="1">IF($AM56="●",IF(LEN(AZ56),AZ56&amp;CHAR(10),"")&amp;";//カウントする"&amp;CHAR(10)&amp;";"&amp;$B$16&amp;"	:= "&amp;$B$16&amp;" + 1;","")</f>
        <v xml:space="preserve">
LDP stEx448.x2
AND=.D stM.udiErrNo #0
BOX_ST
;//このスクリプトは C:\tk\prj\hg-0025-0016\git\kv-x520\doc\[kv_script_exe_errno.xlsm]info_script によって生成されました。
;//エラーNo.を入れる
;stM.udiErrNo	:= 4480;
;//カウントする
;stM.uiEDCnt	:= stM.uiEDCnt + 1;</v>
      </c>
      <c r="BB56" t="str">
        <f ca="1">IF($AM56="●",IF(LEN(BA56),BA56&amp;CHAR(10),"")&amp;IF(LEN(AK56),";//エラーコードを入れる"&amp;CHAR(10)&amp;";"&amp;$B$17&amp;"	:= "&amp;AK56&amp;".udiErr;",""),"")</f>
        <v xml:space="preserve">
LDP stEx448.x2
AND=.D stM.udiErrNo #0
BOX_ST
;//このスクリプトは C:\tk\prj\hg-0025-0016\git\kv-x520\doc\[kv_script_exe_errno.xlsm]info_script によって生成されました。
;//エラーNo.を入れる
;stM.udiErrNo	:= 4480;
;//カウントする
;stM.uiEDCnt	:= stM.uiEDCnt + 1;
</v>
      </c>
      <c r="BC56" t="str">
        <f ca="1">IF($AM56="●",IF(LEN(BB56),BB56&amp;CHAR(10),"")&amp;";//"&amp;$B$11,"")</f>
        <v xml:space="preserve">
LDP stEx448.x2
AND=.D stM.udiErrNo #0
BOX_ST
;//このスクリプトは C:\tk\prj\hg-0025-0016\git\kv-x520\doc\[kv_script_exe_errno.xlsm]info_script によって生成されました。
;//エラーNo.を入れる
;stM.udiErrNo	:= 4480;
;//カウントする
;stM.uiEDCnt	:= stM.uiEDCnt + 1;
;//-----ここまで生成script-----</v>
      </c>
      <c r="BE56">
        <f>INT(D56/$BE$6)</f>
        <v>16</v>
      </c>
      <c r="BF56">
        <f>MOD(D56,$BE$6)</f>
        <v>0</v>
      </c>
      <c r="BG56" t="str">
        <f>IF(LEN(E56),E56&amp;".x"&amp;TEXT(BF56,"0")&amp;CHAR(9)&amp;" := FALSE;","")</f>
        <v>stEx448.x0	 := FALSE;</v>
      </c>
      <c r="BH56" t="str">
        <f t="shared" si="16"/>
        <v xml:space="preserve">stEx448.x0	 := FALSE;
</v>
      </c>
    </row>
    <row r="57" spans="4:60" x14ac:dyDescent="0.55000000000000004">
      <c r="D57">
        <v>49</v>
      </c>
      <c r="E57" t="str">
        <f>IF(LEN(I57),I57,IF(LEN(Q57),Q57,""))</f>
        <v>stEx449</v>
      </c>
      <c r="F57" t="str">
        <f>IF(LEN(J57),J57,IF(LEN(R57),R57,""))</f>
        <v>EXE_DIREC</v>
      </c>
      <c r="G57" t="str">
        <f>IF(LEN(O57),O57,IF(LEN(X57),X57,""))</f>
        <v>△●AXK13 波板検索</v>
      </c>
      <c r="Q57" t="s">
        <v>133</v>
      </c>
      <c r="R57" t="s">
        <v>0</v>
      </c>
      <c r="U57" t="b">
        <v>0</v>
      </c>
      <c r="V57" t="b">
        <v>0</v>
      </c>
      <c r="W57" t="b">
        <v>0</v>
      </c>
      <c r="X57" t="s">
        <v>134</v>
      </c>
      <c r="Z57">
        <f t="shared" si="5"/>
        <v>13</v>
      </c>
      <c r="AA57" t="str">
        <f t="shared" si="6"/>
        <v/>
      </c>
      <c r="AB57" t="str">
        <f t="shared" si="6"/>
        <v/>
      </c>
      <c r="AC57" t="str">
        <f t="shared" si="6"/>
        <v/>
      </c>
      <c r="AD57" t="str">
        <f t="shared" si="19"/>
        <v/>
      </c>
      <c r="AE57" t="str">
        <f t="shared" si="19"/>
        <v>stDevIn.astAXK[0]</v>
      </c>
      <c r="AF57" t="str">
        <f t="shared" si="8"/>
        <v/>
      </c>
      <c r="AG57" t="str">
        <f t="shared" si="9"/>
        <v/>
      </c>
      <c r="AH57" t="str">
        <f t="shared" si="10"/>
        <v/>
      </c>
      <c r="AI57" t="str">
        <f t="shared" si="11"/>
        <v/>
      </c>
      <c r="AJ57" t="str">
        <f t="shared" si="12"/>
        <v/>
      </c>
      <c r="AK57" t="str">
        <f t="shared" si="13"/>
        <v>stDevIn.astAXK[0]</v>
      </c>
      <c r="AM57" t="str">
        <f>IF(LEN(G57),IF(OR(COUNTIF(G57,"*◆*"),COUNTIF(G57,"*▼*"),COUNTIF(G57,"*■*")),"","●"),"")</f>
        <v>●</v>
      </c>
      <c r="AN57">
        <f>IF(AM57="●",(AN$4+MOD(INT(MID(E57,5,3)),AN$2))*AN$6,"")</f>
        <v>4490</v>
      </c>
      <c r="AO57" t="str">
        <f>IF($AM57="●","LDP "&amp;E57&amp;"."&amp;$B$14,"")</f>
        <v>LDP stEx449.x2</v>
      </c>
      <c r="AP57" t="str">
        <f>IF($AM57="●","AND=.D "&amp;$B$15&amp;" #0","")</f>
        <v>AND=.D stM.udiErrNo #0</v>
      </c>
      <c r="AQ57" t="str">
        <f>IF($AM57="●","MOV.D #"&amp;AN57&amp;" "&amp;$B$15,"")</f>
        <v>MOV.D #4490 stM.udiErrNo</v>
      </c>
      <c r="AR57" t="str">
        <f>IF(LEN(AK57),"MOV.D "&amp;$AK57&amp;" "&amp;$B$17,"")</f>
        <v>MOV.D stDevIn.astAXK[0] stM.udiSubErr</v>
      </c>
      <c r="AS57" t="str">
        <f>IF(AND(D57&lt;&gt;0,AM57="●"),CHAR(10),"")&amp;IF(LEN(AO57),AO57,"")</f>
        <v xml:space="preserve">
LDP stEx449.x2</v>
      </c>
      <c r="AT57" t="str">
        <f t="shared" si="17"/>
        <v xml:space="preserve">
LDP stEx449.x2
AND=.D stM.udiErrNo #0</v>
      </c>
      <c r="AU57" t="str">
        <f t="shared" si="18"/>
        <v xml:space="preserve">
LDP stEx449.x2
AND=.D stM.udiErrNo #0
MOV.D #4490 stM.udiErrNo</v>
      </c>
      <c r="AV57" t="str">
        <f t="shared" si="14"/>
        <v xml:space="preserve">
LDP stEx449.x2
AND=.D stM.udiErrNo #0
MOV.D #4490 stM.udiErrNo
MOV.D stDevIn.astAXK[0] stM.udiSubErr</v>
      </c>
      <c r="AW57" t="str">
        <f t="shared" si="15"/>
        <v xml:space="preserve">
LDP stEx449.x2
AND=.D stM.udiErrNo #0
MOV.D #4490 stM.udiErrNo
MOV.D stDevIn.astAXK[0] stM.udiSubErr</v>
      </c>
      <c r="AY57" t="str">
        <f ca="1">IF($AM57="●",AT57&amp;CHAR(10)&amp;"BOX_ST"&amp;CHAR(10)&amp;";//"&amp;$B$10,"")</f>
        <v xml:space="preserve">
LDP stEx449.x2
AND=.D stM.udiErrNo #0
BOX_ST
;//このスクリプトは C:\tk\prj\hg-0025-0016\git\kv-x520\doc\[kv_script_exe_errno.xlsm]info_script によって生成されました。</v>
      </c>
      <c r="AZ57" t="str">
        <f ca="1">IF($AM57="●",IF(LEN(AY57),AY57&amp;CHAR(10),"")&amp;";//エラーNo.を入れる"&amp;CHAR(10)&amp;";"&amp;$B$15&amp;"	:= "&amp;AN57&amp;";","")</f>
        <v xml:space="preserve">
LDP stEx449.x2
AND=.D stM.udiErrNo #0
BOX_ST
;//このスクリプトは C:\tk\prj\hg-0025-0016\git\kv-x520\doc\[kv_script_exe_errno.xlsm]info_script によって生成されました。
;//エラーNo.を入れる
;stM.udiErrNo	:= 4490;</v>
      </c>
      <c r="BA57" t="str">
        <f ca="1">IF($AM57="●",IF(LEN(AZ57),AZ57&amp;CHAR(10),"")&amp;";//カウントする"&amp;CHAR(10)&amp;";"&amp;$B$16&amp;"	:= "&amp;$B$16&amp;" + 1;","")</f>
        <v xml:space="preserve">
LDP stEx449.x2
AND=.D stM.udiErrNo #0
BOX_ST
;//このスクリプトは C:\tk\prj\hg-0025-0016\git\kv-x520\doc\[kv_script_exe_errno.xlsm]info_script によって生成されました。
;//エラーNo.を入れる
;stM.udiErrNo	:= 4490;
;//カウントする
;stM.uiEDCnt	:= stM.uiEDCnt + 1;</v>
      </c>
      <c r="BB57" t="str">
        <f ca="1">IF($AM57="●",IF(LEN(BA57),BA57&amp;CHAR(10),"")&amp;IF(LEN(AK57),";//エラーコードを入れる"&amp;CHAR(10)&amp;";"&amp;$B$17&amp;"	:= "&amp;AK57&amp;".udiErr;",""),"")</f>
        <v xml:space="preserve">
LDP stEx449.x2
AND=.D stM.udiErrNo #0
BOX_ST
;//このスクリプトは C:\tk\prj\hg-0025-0016\git\kv-x520\doc\[kv_script_exe_errno.xlsm]info_script によって生成されました。
;//エラーNo.を入れる
;stM.udiErrNo	:= 4490;
;//カウントする
;stM.uiEDCnt	:= stM.uiEDCnt + 1;
;//エラーコードを入れる
;stM.udiSubErr	:= stDevIn.astAXK[0].udiErr;</v>
      </c>
      <c r="BC57" t="str">
        <f ca="1">IF($AM57="●",IF(LEN(BB57),BB57&amp;CHAR(10),"")&amp;";//"&amp;$B$11,"")</f>
        <v xml:space="preserve">
LDP stEx449.x2
AND=.D stM.udiErrNo #0
BOX_ST
;//このスクリプトは C:\tk\prj\hg-0025-0016\git\kv-x520\doc\[kv_script_exe_errno.xlsm]info_script によって生成されました。
;//エラーNo.を入れる
;stM.udiErrNo	:= 4490;
;//カウントする
;stM.uiEDCnt	:= stM.uiEDCnt + 1;
;//エラーコードを入れる
;stM.udiSubErr	:= stDevIn.astAXK[0].udiErr;
;//-----ここまで生成script-----</v>
      </c>
      <c r="BE57">
        <f>INT(D57/$BE$6)</f>
        <v>16</v>
      </c>
      <c r="BF57">
        <f>MOD(D57,$BE$6)</f>
        <v>1</v>
      </c>
      <c r="BG57" t="str">
        <f>IF(LEN(E57),E57&amp;".x"&amp;TEXT(BF57,"0")&amp;CHAR(9)&amp;" := FALSE;","")</f>
        <v>stEx449.x1	 := FALSE;</v>
      </c>
      <c r="BH57" t="str">
        <f t="shared" si="16"/>
        <v xml:space="preserve">stEx449.x1	 := FALSE;
</v>
      </c>
    </row>
    <row r="58" spans="4:60" x14ac:dyDescent="0.55000000000000004">
      <c r="D58">
        <v>50</v>
      </c>
      <c r="E58" t="str">
        <f>IF(LEN(I58),I58,IF(LEN(Q58),Q58,""))</f>
        <v>stEx450</v>
      </c>
      <c r="F58" t="str">
        <f>IF(LEN(J58),J58,IF(LEN(R58),R58,""))</f>
        <v>EXE_DIREC</v>
      </c>
      <c r="G58" t="str">
        <f>IF(LEN(O58),O58,IF(LEN(X58),X58,""))</f>
        <v>▽▼波板終端 検索</v>
      </c>
      <c r="Q58" t="s">
        <v>135</v>
      </c>
      <c r="R58" t="s">
        <v>0</v>
      </c>
      <c r="U58" t="b">
        <v>0</v>
      </c>
      <c r="V58" t="b">
        <v>0</v>
      </c>
      <c r="W58" t="b">
        <v>0</v>
      </c>
      <c r="X58" t="s">
        <v>136</v>
      </c>
      <c r="Z58" t="str">
        <f t="shared" si="5"/>
        <v/>
      </c>
      <c r="AA58" t="str">
        <f t="shared" si="6"/>
        <v/>
      </c>
      <c r="AB58" t="str">
        <f t="shared" si="6"/>
        <v/>
      </c>
      <c r="AC58" t="str">
        <f t="shared" si="6"/>
        <v/>
      </c>
      <c r="AD58" t="str">
        <f t="shared" si="19"/>
        <v/>
      </c>
      <c r="AE58" t="str">
        <f t="shared" si="19"/>
        <v/>
      </c>
      <c r="AF58" t="str">
        <f t="shared" si="8"/>
        <v/>
      </c>
      <c r="AG58" t="str">
        <f t="shared" si="9"/>
        <v/>
      </c>
      <c r="AH58" t="str">
        <f t="shared" si="10"/>
        <v/>
      </c>
      <c r="AI58" t="str">
        <f t="shared" si="11"/>
        <v/>
      </c>
      <c r="AJ58" t="str">
        <f t="shared" si="12"/>
        <v/>
      </c>
      <c r="AK58" t="str">
        <f t="shared" si="13"/>
        <v/>
      </c>
      <c r="AM58" t="str">
        <f>IF(LEN(G58),IF(OR(COUNTIF(G58,"*◆*"),COUNTIF(G58,"*▼*"),COUNTIF(G58,"*■*")),"","●"),"")</f>
        <v/>
      </c>
      <c r="AN58" t="str">
        <f>IF(AM58="●",(AN$4+MOD(INT(MID(E58,5,3)),AN$2))*AN$6,"")</f>
        <v/>
      </c>
      <c r="AO58" t="str">
        <f>IF($AM58="●","LDP "&amp;E58&amp;"."&amp;$B$14,"")</f>
        <v/>
      </c>
      <c r="AP58" t="str">
        <f>IF($AM58="●","AND=.D "&amp;$B$15&amp;" #0","")</f>
        <v/>
      </c>
      <c r="AQ58" t="str">
        <f>IF($AM58="●","MOV.D #"&amp;AN58&amp;" "&amp;$B$15,"")</f>
        <v/>
      </c>
      <c r="AR58" t="str">
        <f>IF(LEN(AK58),"MOV.D "&amp;$AK58&amp;" "&amp;$B$17,"")</f>
        <v/>
      </c>
      <c r="AS58" t="str">
        <f>IF(AND(D58&lt;&gt;0,AM58="●"),CHAR(10),"")&amp;IF(LEN(AO58),AO58,"")</f>
        <v/>
      </c>
      <c r="AT58" t="str">
        <f t="shared" si="17"/>
        <v/>
      </c>
      <c r="AU58" t="str">
        <f t="shared" si="18"/>
        <v/>
      </c>
      <c r="AV58" t="str">
        <f t="shared" si="14"/>
        <v/>
      </c>
      <c r="AW58" t="str">
        <f t="shared" si="15"/>
        <v/>
      </c>
      <c r="AY58" t="str">
        <f>IF($AM58="●",AT58&amp;CHAR(10)&amp;"BOX_ST"&amp;CHAR(10)&amp;";//"&amp;$B$10,"")</f>
        <v/>
      </c>
      <c r="AZ58" t="str">
        <f>IF($AM58="●",IF(LEN(AY58),AY58&amp;CHAR(10),"")&amp;";//エラーNo.を入れる"&amp;CHAR(10)&amp;";"&amp;$B$15&amp;"	:= "&amp;AN58&amp;";","")</f>
        <v/>
      </c>
      <c r="BA58" t="str">
        <f>IF($AM58="●",IF(LEN(AZ58),AZ58&amp;CHAR(10),"")&amp;";//カウントする"&amp;CHAR(10)&amp;";"&amp;$B$16&amp;"	:= "&amp;$B$16&amp;" + 1;","")</f>
        <v/>
      </c>
      <c r="BB58" t="str">
        <f>IF($AM58="●",IF(LEN(BA58),BA58&amp;CHAR(10),"")&amp;IF(LEN(AK58),";//エラーコードを入れる"&amp;CHAR(10)&amp;";"&amp;$B$17&amp;"	:= "&amp;AK58&amp;".udiErr;",""),"")</f>
        <v/>
      </c>
      <c r="BC58" t="str">
        <f>IF($AM58="●",IF(LEN(BB58),BB58&amp;CHAR(10),"")&amp;";//"&amp;$B$11,"")</f>
        <v/>
      </c>
      <c r="BE58">
        <f>INT(D58/$BE$6)</f>
        <v>16</v>
      </c>
      <c r="BF58">
        <f>MOD(D58,$BE$6)</f>
        <v>2</v>
      </c>
      <c r="BG58" t="str">
        <f>IF(LEN(E58),E58&amp;".x"&amp;TEXT(BF58,"0")&amp;CHAR(9)&amp;" := FALSE;","")</f>
        <v>stEx450.x2	 := FALSE;</v>
      </c>
      <c r="BH58" t="str">
        <f t="shared" si="16"/>
        <v xml:space="preserve">stEx450.x2	 := FALSE;
</v>
      </c>
    </row>
    <row r="59" spans="4:60" x14ac:dyDescent="0.55000000000000004">
      <c r="D59">
        <v>51</v>
      </c>
      <c r="E59" t="str">
        <f>IF(LEN(I59),I59,IF(LEN(Q59),Q59,""))</f>
        <v>stEx451</v>
      </c>
      <c r="F59" t="str">
        <f>IF(LEN(J59),J59,IF(LEN(R59),R59,""))</f>
        <v>EXE_DIREC</v>
      </c>
      <c r="G59" t="str">
        <f>IF(LEN(O59),O59,IF(LEN(X59),X59,""))</f>
        <v>●AXK13主軸 溶接位置</v>
      </c>
      <c r="Q59" t="s">
        <v>137</v>
      </c>
      <c r="R59" t="s">
        <v>0</v>
      </c>
      <c r="U59" t="b">
        <v>0</v>
      </c>
      <c r="V59" t="b">
        <v>0</v>
      </c>
      <c r="W59" t="b">
        <v>0</v>
      </c>
      <c r="X59" t="s">
        <v>138</v>
      </c>
      <c r="Z59">
        <f t="shared" si="5"/>
        <v>13</v>
      </c>
      <c r="AA59" t="str">
        <f t="shared" si="6"/>
        <v/>
      </c>
      <c r="AB59" t="str">
        <f t="shared" si="6"/>
        <v/>
      </c>
      <c r="AC59" t="str">
        <f t="shared" si="6"/>
        <v/>
      </c>
      <c r="AD59" t="str">
        <f t="shared" si="19"/>
        <v/>
      </c>
      <c r="AE59" t="str">
        <f t="shared" si="19"/>
        <v>stDevIn.astAXK[0]</v>
      </c>
      <c r="AF59" t="str">
        <f t="shared" si="8"/>
        <v/>
      </c>
      <c r="AG59" t="str">
        <f t="shared" si="9"/>
        <v/>
      </c>
      <c r="AH59" t="str">
        <f t="shared" si="10"/>
        <v/>
      </c>
      <c r="AI59" t="str">
        <f t="shared" si="11"/>
        <v/>
      </c>
      <c r="AJ59" t="str">
        <f t="shared" si="12"/>
        <v/>
      </c>
      <c r="AK59" t="str">
        <f t="shared" si="13"/>
        <v>stDevIn.astAXK[0]</v>
      </c>
      <c r="AM59" t="str">
        <f>IF(LEN(G59),IF(OR(COUNTIF(G59,"*◆*"),COUNTIF(G59,"*▼*"),COUNTIF(G59,"*■*")),"","●"),"")</f>
        <v>●</v>
      </c>
      <c r="AN59">
        <f>IF(AM59="●",(AN$4+MOD(INT(MID(E59,5,3)),AN$2))*AN$6,"")</f>
        <v>4510</v>
      </c>
      <c r="AO59" t="str">
        <f>IF($AM59="●","LDP "&amp;E59&amp;"."&amp;$B$14,"")</f>
        <v>LDP stEx451.x2</v>
      </c>
      <c r="AP59" t="str">
        <f>IF($AM59="●","AND=.D "&amp;$B$15&amp;" #0","")</f>
        <v>AND=.D stM.udiErrNo #0</v>
      </c>
      <c r="AQ59" t="str">
        <f>IF($AM59="●","MOV.D #"&amp;AN59&amp;" "&amp;$B$15,"")</f>
        <v>MOV.D #4510 stM.udiErrNo</v>
      </c>
      <c r="AR59" t="str">
        <f>IF(LEN(AK59),"MOV.D "&amp;$AK59&amp;" "&amp;$B$17,"")</f>
        <v>MOV.D stDevIn.astAXK[0] stM.udiSubErr</v>
      </c>
      <c r="AS59" t="str">
        <f>IF(AND(D59&lt;&gt;0,AM59="●"),CHAR(10),"")&amp;IF(LEN(AO59),AO59,"")</f>
        <v xml:space="preserve">
LDP stEx451.x2</v>
      </c>
      <c r="AT59" t="str">
        <f t="shared" si="17"/>
        <v xml:space="preserve">
LDP stEx451.x2
AND=.D stM.udiErrNo #0</v>
      </c>
      <c r="AU59" t="str">
        <f t="shared" si="18"/>
        <v xml:space="preserve">
LDP stEx451.x2
AND=.D stM.udiErrNo #0
MOV.D #4510 stM.udiErrNo</v>
      </c>
      <c r="AV59" t="str">
        <f t="shared" si="14"/>
        <v xml:space="preserve">
LDP stEx451.x2
AND=.D stM.udiErrNo #0
MOV.D #4510 stM.udiErrNo
MOV.D stDevIn.astAXK[0] stM.udiSubErr</v>
      </c>
      <c r="AW59" t="str">
        <f t="shared" si="15"/>
        <v xml:space="preserve">
LDP stEx451.x2
AND=.D stM.udiErrNo #0
MOV.D #4510 stM.udiErrNo
MOV.D stDevIn.astAXK[0] stM.udiSubErr</v>
      </c>
      <c r="AY59" t="str">
        <f ca="1">IF($AM59="●",AT59&amp;CHAR(10)&amp;"BOX_ST"&amp;CHAR(10)&amp;";//"&amp;$B$10,"")</f>
        <v xml:space="preserve">
LDP stEx451.x2
AND=.D stM.udiErrNo #0
BOX_ST
;//このスクリプトは C:\tk\prj\hg-0025-0016\git\kv-x520\doc\[kv_script_exe_errno.xlsm]info_script によって生成されました。</v>
      </c>
      <c r="AZ59" t="str">
        <f ca="1">IF($AM59="●",IF(LEN(AY59),AY59&amp;CHAR(10),"")&amp;";//エラーNo.を入れる"&amp;CHAR(10)&amp;";"&amp;$B$15&amp;"	:= "&amp;AN59&amp;";","")</f>
        <v xml:space="preserve">
LDP stEx451.x2
AND=.D stM.udiErrNo #0
BOX_ST
;//このスクリプトは C:\tk\prj\hg-0025-0016\git\kv-x520\doc\[kv_script_exe_errno.xlsm]info_script によって生成されました。
;//エラーNo.を入れる
;stM.udiErrNo	:= 4510;</v>
      </c>
      <c r="BA59" t="str">
        <f ca="1">IF($AM59="●",IF(LEN(AZ59),AZ59&amp;CHAR(10),"")&amp;";//カウントする"&amp;CHAR(10)&amp;";"&amp;$B$16&amp;"	:= "&amp;$B$16&amp;" + 1;","")</f>
        <v xml:space="preserve">
LDP stEx451.x2
AND=.D stM.udiErrNo #0
BOX_ST
;//このスクリプトは C:\tk\prj\hg-0025-0016\git\kv-x520\doc\[kv_script_exe_errno.xlsm]info_script によって生成されました。
;//エラーNo.を入れる
;stM.udiErrNo	:= 4510;
;//カウントする
;stM.uiEDCnt	:= stM.uiEDCnt + 1;</v>
      </c>
      <c r="BB59" t="str">
        <f ca="1">IF($AM59="●",IF(LEN(BA59),BA59&amp;CHAR(10),"")&amp;IF(LEN(AK59),";//エラーコードを入れる"&amp;CHAR(10)&amp;";"&amp;$B$17&amp;"	:= "&amp;AK59&amp;".udiErr;",""),"")</f>
        <v xml:space="preserve">
LDP stEx451.x2
AND=.D stM.udiErrNo #0
BOX_ST
;//このスクリプトは C:\tk\prj\hg-0025-0016\git\kv-x520\doc\[kv_script_exe_errno.xlsm]info_script によって生成されました。
;//エラーNo.を入れる
;stM.udiErrNo	:= 4510;
;//カウントする
;stM.uiEDCnt	:= stM.uiEDCnt + 1;
;//エラーコードを入れる
;stM.udiSubErr	:= stDevIn.astAXK[0].udiErr;</v>
      </c>
      <c r="BC59" t="str">
        <f ca="1">IF($AM59="●",IF(LEN(BB59),BB59&amp;CHAR(10),"")&amp;";//"&amp;$B$11,"")</f>
        <v xml:space="preserve">
LDP stEx451.x2
AND=.D stM.udiErrNo #0
BOX_ST
;//このスクリプトは C:\tk\prj\hg-0025-0016\git\kv-x520\doc\[kv_script_exe_errno.xlsm]info_script によって生成されました。
;//エラーNo.を入れる
;stM.udiErrNo	:= 4510;
;//カウントする
;stM.uiEDCnt	:= stM.uiEDCnt + 1;
;//エラーコードを入れる
;stM.udiSubErr	:= stDevIn.astAXK[0].udiErr;
;//-----ここまで生成script-----</v>
      </c>
      <c r="BE59">
        <f>INT(D59/$BE$6)</f>
        <v>17</v>
      </c>
      <c r="BF59">
        <f>MOD(D59,$BE$6)</f>
        <v>0</v>
      </c>
      <c r="BG59" t="str">
        <f>IF(LEN(E59),E59&amp;".x"&amp;TEXT(BF59,"0")&amp;CHAR(9)&amp;" := FALSE;","")</f>
        <v>stEx451.x0	 := FALSE;</v>
      </c>
      <c r="BH59" t="str">
        <f t="shared" si="16"/>
        <v xml:space="preserve">stEx451.x0	 := FALSE;
</v>
      </c>
    </row>
    <row r="60" spans="4:60" x14ac:dyDescent="0.55000000000000004">
      <c r="D60">
        <v>52</v>
      </c>
      <c r="E60" t="str">
        <f>IF(LEN(I60),I60,IF(LEN(Q60),Q60,""))</f>
        <v>stEx452</v>
      </c>
      <c r="F60" t="str">
        <f>IF(LEN(J60),J60,IF(LEN(R60),R60,""))</f>
        <v>EXE_DIREC</v>
      </c>
      <c r="G60" t="str">
        <f>IF(LEN(O60),O60,IF(LEN(X60),X60,""))</f>
        <v>△●AXI05 排出</v>
      </c>
      <c r="Q60" t="s">
        <v>139</v>
      </c>
      <c r="R60" t="s">
        <v>0</v>
      </c>
      <c r="U60" t="b">
        <v>0</v>
      </c>
      <c r="V60" t="b">
        <v>0</v>
      </c>
      <c r="W60" t="b">
        <v>0</v>
      </c>
      <c r="X60" t="s">
        <v>140</v>
      </c>
      <c r="Z60">
        <f t="shared" si="5"/>
        <v>5</v>
      </c>
      <c r="AA60" t="str">
        <f t="shared" si="6"/>
        <v/>
      </c>
      <c r="AB60" t="str">
        <f t="shared" si="6"/>
        <v/>
      </c>
      <c r="AC60" t="str">
        <f t="shared" si="6"/>
        <v/>
      </c>
      <c r="AD60" t="str">
        <f t="shared" si="19"/>
        <v>stDevIn.astAXI[0]</v>
      </c>
      <c r="AE60" t="str">
        <f t="shared" si="19"/>
        <v/>
      </c>
      <c r="AF60" t="str">
        <f t="shared" si="8"/>
        <v/>
      </c>
      <c r="AG60" t="str">
        <f t="shared" si="9"/>
        <v/>
      </c>
      <c r="AH60" t="str">
        <f t="shared" si="10"/>
        <v/>
      </c>
      <c r="AI60" t="str">
        <f t="shared" si="11"/>
        <v/>
      </c>
      <c r="AJ60" t="str">
        <f t="shared" si="12"/>
        <v/>
      </c>
      <c r="AK60" t="str">
        <f t="shared" si="13"/>
        <v>stDevIn.astAXI[0]</v>
      </c>
      <c r="AM60" t="str">
        <f>IF(LEN(G60),IF(OR(COUNTIF(G60,"*◆*"),COUNTIF(G60,"*▼*"),COUNTIF(G60,"*■*")),"","●"),"")</f>
        <v>●</v>
      </c>
      <c r="AN60">
        <f>IF(AM60="●",(AN$4+MOD(INT(MID(E60,5,3)),AN$2))*AN$6,"")</f>
        <v>4520</v>
      </c>
      <c r="AO60" t="str">
        <f>IF($AM60="●","LDP "&amp;E60&amp;"."&amp;$B$14,"")</f>
        <v>LDP stEx452.x2</v>
      </c>
      <c r="AP60" t="str">
        <f>IF($AM60="●","AND=.D "&amp;$B$15&amp;" #0","")</f>
        <v>AND=.D stM.udiErrNo #0</v>
      </c>
      <c r="AQ60" t="str">
        <f>IF($AM60="●","MOV.D #"&amp;AN60&amp;" "&amp;$B$15,"")</f>
        <v>MOV.D #4520 stM.udiErrNo</v>
      </c>
      <c r="AR60" t="str">
        <f>IF(LEN(AK60),"MOV.D "&amp;$AK60&amp;" "&amp;$B$17,"")</f>
        <v>MOV.D stDevIn.astAXI[0] stM.udiSubErr</v>
      </c>
      <c r="AS60" t="str">
        <f>IF(AND(D60&lt;&gt;0,AM60="●"),CHAR(10),"")&amp;IF(LEN(AO60),AO60,"")</f>
        <v xml:space="preserve">
LDP stEx452.x2</v>
      </c>
      <c r="AT60" t="str">
        <f t="shared" si="17"/>
        <v xml:space="preserve">
LDP stEx452.x2
AND=.D stM.udiErrNo #0</v>
      </c>
      <c r="AU60" t="str">
        <f t="shared" si="18"/>
        <v xml:space="preserve">
LDP stEx452.x2
AND=.D stM.udiErrNo #0
MOV.D #4520 stM.udiErrNo</v>
      </c>
      <c r="AV60" t="str">
        <f t="shared" si="14"/>
        <v xml:space="preserve">
LDP stEx452.x2
AND=.D stM.udiErrNo #0
MOV.D #4520 stM.udiErrNo
MOV.D stDevIn.astAXI[0] stM.udiSubErr</v>
      </c>
      <c r="AW60" t="str">
        <f t="shared" si="15"/>
        <v xml:space="preserve">
LDP stEx452.x2
AND=.D stM.udiErrNo #0
MOV.D #4520 stM.udiErrNo
MOV.D stDevIn.astAXI[0] stM.udiSubErr</v>
      </c>
      <c r="AY60" t="str">
        <f ca="1">IF($AM60="●",AT60&amp;CHAR(10)&amp;"BOX_ST"&amp;CHAR(10)&amp;";//"&amp;$B$10,"")</f>
        <v xml:space="preserve">
LDP stEx452.x2
AND=.D stM.udiErrNo #0
BOX_ST
;//このスクリプトは C:\tk\prj\hg-0025-0016\git\kv-x520\doc\[kv_script_exe_errno.xlsm]info_script によって生成されました。</v>
      </c>
      <c r="AZ60" t="str">
        <f ca="1">IF($AM60="●",IF(LEN(AY60),AY60&amp;CHAR(10),"")&amp;";//エラーNo.を入れる"&amp;CHAR(10)&amp;";"&amp;$B$15&amp;"	:= "&amp;AN60&amp;";","")</f>
        <v xml:space="preserve">
LDP stEx452.x2
AND=.D stM.udiErrNo #0
BOX_ST
;//このスクリプトは C:\tk\prj\hg-0025-0016\git\kv-x520\doc\[kv_script_exe_errno.xlsm]info_script によって生成されました。
;//エラーNo.を入れる
;stM.udiErrNo	:= 4520;</v>
      </c>
      <c r="BA60" t="str">
        <f ca="1">IF($AM60="●",IF(LEN(AZ60),AZ60&amp;CHAR(10),"")&amp;";//カウントする"&amp;CHAR(10)&amp;";"&amp;$B$16&amp;"	:= "&amp;$B$16&amp;" + 1;","")</f>
        <v xml:space="preserve">
LDP stEx452.x2
AND=.D stM.udiErrNo #0
BOX_ST
;//このスクリプトは C:\tk\prj\hg-0025-0016\git\kv-x520\doc\[kv_script_exe_errno.xlsm]info_script によって生成されました。
;//エラーNo.を入れる
;stM.udiErrNo	:= 4520;
;//カウントする
;stM.uiEDCnt	:= stM.uiEDCnt + 1;</v>
      </c>
      <c r="BB60" t="str">
        <f ca="1">IF($AM60="●",IF(LEN(BA60),BA60&amp;CHAR(10),"")&amp;IF(LEN(AK60),";//エラーコードを入れる"&amp;CHAR(10)&amp;";"&amp;$B$17&amp;"	:= "&amp;AK60&amp;".udiErr;",""),"")</f>
        <v xml:space="preserve">
LDP stEx452.x2
AND=.D stM.udiErrNo #0
BOX_ST
;//このスクリプトは C:\tk\prj\hg-0025-0016\git\kv-x520\doc\[kv_script_exe_errno.xlsm]info_script によって生成されました。
;//エラーNo.を入れる
;stM.udiErrNo	:= 4520;
;//カウントする
;stM.uiEDCnt	:= stM.uiEDCnt + 1;
;//エラーコードを入れる
;stM.udiSubErr	:= stDevIn.astAXI[0].udiErr;</v>
      </c>
      <c r="BC60" t="str">
        <f ca="1">IF($AM60="●",IF(LEN(BB60),BB60&amp;CHAR(10),"")&amp;";//"&amp;$B$11,"")</f>
        <v xml:space="preserve">
LDP stEx452.x2
AND=.D stM.udiErrNo #0
BOX_ST
;//このスクリプトは C:\tk\prj\hg-0025-0016\git\kv-x520\doc\[kv_script_exe_errno.xlsm]info_script によって生成されました。
;//エラーNo.を入れる
;stM.udiErrNo	:= 4520;
;//カウントする
;stM.uiEDCnt	:= stM.uiEDCnt + 1;
;//エラーコードを入れる
;stM.udiSubErr	:= stDevIn.astAXI[0].udiErr;
;//-----ここまで生成script-----</v>
      </c>
      <c r="BE60">
        <f>INT(D60/$BE$6)</f>
        <v>17</v>
      </c>
      <c r="BF60">
        <f>MOD(D60,$BE$6)</f>
        <v>1</v>
      </c>
      <c r="BG60" t="str">
        <f>IF(LEN(E60),E60&amp;".x"&amp;TEXT(BF60,"0")&amp;CHAR(9)&amp;" := FALSE;","")</f>
        <v>stEx452.x1	 := FALSE;</v>
      </c>
      <c r="BH60" t="str">
        <f t="shared" si="16"/>
        <v xml:space="preserve">stEx452.x1	 := FALSE;
</v>
      </c>
    </row>
    <row r="61" spans="4:60" x14ac:dyDescent="0.55000000000000004">
      <c r="D61">
        <v>53</v>
      </c>
      <c r="E61" t="str">
        <f>IF(LEN(I61),I61,IF(LEN(Q61),Q61,""))</f>
        <v>stEx453</v>
      </c>
      <c r="F61" t="str">
        <f>IF(LEN(J61),J61,IF(LEN(R61),R61,""))</f>
        <v>EXE_DIREC</v>
      </c>
      <c r="G61" t="str">
        <f>IF(LEN(O61),O61,IF(LEN(X61),X61,""))</f>
        <v>△●AXI06 待機</v>
      </c>
      <c r="Q61" t="s">
        <v>141</v>
      </c>
      <c r="R61" t="s">
        <v>0</v>
      </c>
      <c r="U61" t="b">
        <v>0</v>
      </c>
      <c r="V61" t="b">
        <v>0</v>
      </c>
      <c r="W61" t="b">
        <v>0</v>
      </c>
      <c r="X61" t="s">
        <v>142</v>
      </c>
      <c r="Z61">
        <f t="shared" si="5"/>
        <v>6</v>
      </c>
      <c r="AA61" t="str">
        <f t="shared" si="6"/>
        <v/>
      </c>
      <c r="AB61" t="str">
        <f t="shared" si="6"/>
        <v/>
      </c>
      <c r="AC61" t="str">
        <f t="shared" si="6"/>
        <v/>
      </c>
      <c r="AD61" t="str">
        <f t="shared" si="19"/>
        <v>stDevIn.astAXI[1]</v>
      </c>
      <c r="AE61" t="str">
        <f t="shared" si="19"/>
        <v/>
      </c>
      <c r="AF61" t="str">
        <f t="shared" si="8"/>
        <v/>
      </c>
      <c r="AG61" t="str">
        <f t="shared" si="9"/>
        <v/>
      </c>
      <c r="AH61" t="str">
        <f t="shared" si="10"/>
        <v/>
      </c>
      <c r="AI61" t="str">
        <f t="shared" si="11"/>
        <v/>
      </c>
      <c r="AJ61" t="str">
        <f t="shared" si="12"/>
        <v/>
      </c>
      <c r="AK61" t="str">
        <f t="shared" si="13"/>
        <v>stDevIn.astAXI[1]</v>
      </c>
      <c r="AM61" t="str">
        <f>IF(LEN(G61),IF(OR(COUNTIF(G61,"*◆*"),COUNTIF(G61,"*▼*"),COUNTIF(G61,"*■*")),"","●"),"")</f>
        <v>●</v>
      </c>
      <c r="AN61">
        <f>IF(AM61="●",(AN$4+MOD(INT(MID(E61,5,3)),AN$2))*AN$6,"")</f>
        <v>4530</v>
      </c>
      <c r="AO61" t="str">
        <f>IF($AM61="●","LDP "&amp;E61&amp;"."&amp;$B$14,"")</f>
        <v>LDP stEx453.x2</v>
      </c>
      <c r="AP61" t="str">
        <f>IF($AM61="●","AND=.D "&amp;$B$15&amp;" #0","")</f>
        <v>AND=.D stM.udiErrNo #0</v>
      </c>
      <c r="AQ61" t="str">
        <f>IF($AM61="●","MOV.D #"&amp;AN61&amp;" "&amp;$B$15,"")</f>
        <v>MOV.D #4530 stM.udiErrNo</v>
      </c>
      <c r="AR61" t="str">
        <f>IF(LEN(AK61),"MOV.D "&amp;$AK61&amp;" "&amp;$B$17,"")</f>
        <v>MOV.D stDevIn.astAXI[1] stM.udiSubErr</v>
      </c>
      <c r="AS61" t="str">
        <f>IF(AND(D61&lt;&gt;0,AM61="●"),CHAR(10),"")&amp;IF(LEN(AO61),AO61,"")</f>
        <v xml:space="preserve">
LDP stEx453.x2</v>
      </c>
      <c r="AT61" t="str">
        <f t="shared" si="17"/>
        <v xml:space="preserve">
LDP stEx453.x2
AND=.D stM.udiErrNo #0</v>
      </c>
      <c r="AU61" t="str">
        <f t="shared" si="18"/>
        <v xml:space="preserve">
LDP stEx453.x2
AND=.D stM.udiErrNo #0
MOV.D #4530 stM.udiErrNo</v>
      </c>
      <c r="AV61" t="str">
        <f t="shared" si="14"/>
        <v xml:space="preserve">
LDP stEx453.x2
AND=.D stM.udiErrNo #0
MOV.D #4530 stM.udiErrNo
MOV.D stDevIn.astAXI[1] stM.udiSubErr</v>
      </c>
      <c r="AW61" t="str">
        <f t="shared" si="15"/>
        <v xml:space="preserve">
LDP stEx453.x2
AND=.D stM.udiErrNo #0
MOV.D #4530 stM.udiErrNo
MOV.D stDevIn.astAXI[1] stM.udiSubErr</v>
      </c>
      <c r="AY61" t="str">
        <f ca="1">IF($AM61="●",AT61&amp;CHAR(10)&amp;"BOX_ST"&amp;CHAR(10)&amp;";//"&amp;$B$10,"")</f>
        <v xml:space="preserve">
LDP stEx453.x2
AND=.D stM.udiErrNo #0
BOX_ST
;//このスクリプトは C:\tk\prj\hg-0025-0016\git\kv-x520\doc\[kv_script_exe_errno.xlsm]info_script によって生成されました。</v>
      </c>
      <c r="AZ61" t="str">
        <f ca="1">IF($AM61="●",IF(LEN(AY61),AY61&amp;CHAR(10),"")&amp;";//エラーNo.を入れる"&amp;CHAR(10)&amp;";"&amp;$B$15&amp;"	:= "&amp;AN61&amp;";","")</f>
        <v xml:space="preserve">
LDP stEx453.x2
AND=.D stM.udiErrNo #0
BOX_ST
;//このスクリプトは C:\tk\prj\hg-0025-0016\git\kv-x520\doc\[kv_script_exe_errno.xlsm]info_script によって生成されました。
;//エラーNo.を入れる
;stM.udiErrNo	:= 4530;</v>
      </c>
      <c r="BA61" t="str">
        <f ca="1">IF($AM61="●",IF(LEN(AZ61),AZ61&amp;CHAR(10),"")&amp;";//カウントする"&amp;CHAR(10)&amp;";"&amp;$B$16&amp;"	:= "&amp;$B$16&amp;" + 1;","")</f>
        <v xml:space="preserve">
LDP stEx453.x2
AND=.D stM.udiErrNo #0
BOX_ST
;//このスクリプトは C:\tk\prj\hg-0025-0016\git\kv-x520\doc\[kv_script_exe_errno.xlsm]info_script によって生成されました。
;//エラーNo.を入れる
;stM.udiErrNo	:= 4530;
;//カウントする
;stM.uiEDCnt	:= stM.uiEDCnt + 1;</v>
      </c>
      <c r="BB61" t="str">
        <f ca="1">IF($AM61="●",IF(LEN(BA61),BA61&amp;CHAR(10),"")&amp;IF(LEN(AK61),";//エラーコードを入れる"&amp;CHAR(10)&amp;";"&amp;$B$17&amp;"	:= "&amp;AK61&amp;".udiErr;",""),"")</f>
        <v xml:space="preserve">
LDP stEx453.x2
AND=.D stM.udiErrNo #0
BOX_ST
;//このスクリプトは C:\tk\prj\hg-0025-0016\git\kv-x520\doc\[kv_script_exe_errno.xlsm]info_script によって生成されました。
;//エラーNo.を入れる
;stM.udiErrNo	:= 4530;
;//カウントする
;stM.uiEDCnt	:= stM.uiEDCnt + 1;
;//エラーコードを入れる
;stM.udiSubErr	:= stDevIn.astAXI[1].udiErr;</v>
      </c>
      <c r="BC61" t="str">
        <f ca="1">IF($AM61="●",IF(LEN(BB61),BB61&amp;CHAR(10),"")&amp;";//"&amp;$B$11,"")</f>
        <v xml:space="preserve">
LDP stEx453.x2
AND=.D stM.udiErrNo #0
BOX_ST
;//このスクリプトは C:\tk\prj\hg-0025-0016\git\kv-x520\doc\[kv_script_exe_errno.xlsm]info_script によって生成されました。
;//エラーNo.を入れる
;stM.udiErrNo	:= 4530;
;//カウントする
;stM.uiEDCnt	:= stM.uiEDCnt + 1;
;//エラーコードを入れる
;stM.udiSubErr	:= stDevIn.astAXI[1].udiErr;
;//-----ここまで生成script-----</v>
      </c>
      <c r="BE61">
        <f>INT(D61/$BE$6)</f>
        <v>17</v>
      </c>
      <c r="BF61">
        <f>MOD(D61,$BE$6)</f>
        <v>2</v>
      </c>
      <c r="BG61" t="str">
        <f>IF(LEN(E61),E61&amp;".x"&amp;TEXT(BF61,"0")&amp;CHAR(9)&amp;" := FALSE;","")</f>
        <v>stEx453.x2	 := FALSE;</v>
      </c>
      <c r="BH61" t="str">
        <f t="shared" si="16"/>
        <v xml:space="preserve">stEx453.x2	 := FALSE;
</v>
      </c>
    </row>
    <row r="62" spans="4:60" x14ac:dyDescent="0.55000000000000004">
      <c r="D62">
        <v>54</v>
      </c>
      <c r="E62" t="str">
        <f>IF(LEN(I62),I62,IF(LEN(Q62),Q62,""))</f>
        <v>stEx454</v>
      </c>
      <c r="F62" t="str">
        <f>IF(LEN(J62),J62,IF(LEN(R62),R62,""))</f>
        <v>EXE_DIREC</v>
      </c>
      <c r="G62" t="str">
        <f>IF(LEN(O62),O62,IF(LEN(X62),X62,""))</f>
        <v>▽AXI05+AXI06</v>
      </c>
      <c r="Q62" t="s">
        <v>143</v>
      </c>
      <c r="R62" t="s">
        <v>0</v>
      </c>
      <c r="U62" t="b">
        <v>0</v>
      </c>
      <c r="V62" t="b">
        <v>0</v>
      </c>
      <c r="W62" t="b">
        <v>0</v>
      </c>
      <c r="X62" t="s">
        <v>144</v>
      </c>
      <c r="Z62">
        <f t="shared" si="5"/>
        <v>5</v>
      </c>
      <c r="AA62" t="str">
        <f t="shared" si="6"/>
        <v/>
      </c>
      <c r="AB62" t="str">
        <f t="shared" si="6"/>
        <v/>
      </c>
      <c r="AC62" t="str">
        <f t="shared" si="6"/>
        <v/>
      </c>
      <c r="AD62" t="str">
        <f t="shared" si="19"/>
        <v>stDevIn.astAXI[0]</v>
      </c>
      <c r="AE62" t="str">
        <f t="shared" si="19"/>
        <v/>
      </c>
      <c r="AF62" t="str">
        <f t="shared" si="8"/>
        <v/>
      </c>
      <c r="AG62" t="str">
        <f t="shared" si="9"/>
        <v/>
      </c>
      <c r="AH62" t="str">
        <f t="shared" si="10"/>
        <v/>
      </c>
      <c r="AI62" t="str">
        <f t="shared" si="11"/>
        <v/>
      </c>
      <c r="AJ62" t="str">
        <f t="shared" si="12"/>
        <v/>
      </c>
      <c r="AK62" t="str">
        <f t="shared" si="13"/>
        <v>stDevIn.astAXI[0]</v>
      </c>
      <c r="AM62" t="str">
        <f>IF(LEN(G62),IF(OR(COUNTIF(G62,"*◆*"),COUNTIF(G62,"*▼*"),COUNTIF(G62,"*■*")),"","●"),"")</f>
        <v>●</v>
      </c>
      <c r="AN62">
        <f>IF(AM62="●",(AN$4+MOD(INT(MID(E62,5,3)),AN$2))*AN$6,"")</f>
        <v>4540</v>
      </c>
      <c r="AO62" t="str">
        <f>IF($AM62="●","LDP "&amp;E62&amp;"."&amp;$B$14,"")</f>
        <v>LDP stEx454.x2</v>
      </c>
      <c r="AP62" t="str">
        <f>IF($AM62="●","AND=.D "&amp;$B$15&amp;" #0","")</f>
        <v>AND=.D stM.udiErrNo #0</v>
      </c>
      <c r="AQ62" t="str">
        <f>IF($AM62="●","MOV.D #"&amp;AN62&amp;" "&amp;$B$15,"")</f>
        <v>MOV.D #4540 stM.udiErrNo</v>
      </c>
      <c r="AR62" t="str">
        <f>IF(LEN(AK62),"MOV.D "&amp;$AK62&amp;" "&amp;$B$17,"")</f>
        <v>MOV.D stDevIn.astAXI[0] stM.udiSubErr</v>
      </c>
      <c r="AS62" t="str">
        <f>IF(AND(D62&lt;&gt;0,AM62="●"),CHAR(10),"")&amp;IF(LEN(AO62),AO62,"")</f>
        <v xml:space="preserve">
LDP stEx454.x2</v>
      </c>
      <c r="AT62" t="str">
        <f t="shared" si="17"/>
        <v xml:space="preserve">
LDP stEx454.x2
AND=.D stM.udiErrNo #0</v>
      </c>
      <c r="AU62" t="str">
        <f t="shared" si="18"/>
        <v xml:space="preserve">
LDP stEx454.x2
AND=.D stM.udiErrNo #0
MOV.D #4540 stM.udiErrNo</v>
      </c>
      <c r="AV62" t="str">
        <f t="shared" si="14"/>
        <v xml:space="preserve">
LDP stEx454.x2
AND=.D stM.udiErrNo #0
MOV.D #4540 stM.udiErrNo
MOV.D stDevIn.astAXI[0] stM.udiSubErr</v>
      </c>
      <c r="AW62" t="str">
        <f t="shared" si="15"/>
        <v xml:space="preserve">
LDP stEx454.x2
AND=.D stM.udiErrNo #0
MOV.D #4540 stM.udiErrNo
MOV.D stDevIn.astAXI[0] stM.udiSubErr</v>
      </c>
      <c r="AY62" t="str">
        <f ca="1">IF($AM62="●",AT62&amp;CHAR(10)&amp;"BOX_ST"&amp;CHAR(10)&amp;";//"&amp;$B$10,"")</f>
        <v xml:space="preserve">
LDP stEx454.x2
AND=.D stM.udiErrNo #0
BOX_ST
;//このスクリプトは C:\tk\prj\hg-0025-0016\git\kv-x520\doc\[kv_script_exe_errno.xlsm]info_script によって生成されました。</v>
      </c>
      <c r="AZ62" t="str">
        <f ca="1">IF($AM62="●",IF(LEN(AY62),AY62&amp;CHAR(10),"")&amp;";//エラーNo.を入れる"&amp;CHAR(10)&amp;";"&amp;$B$15&amp;"	:= "&amp;AN62&amp;";","")</f>
        <v xml:space="preserve">
LDP stEx454.x2
AND=.D stM.udiErrNo #0
BOX_ST
;//このスクリプトは C:\tk\prj\hg-0025-0016\git\kv-x520\doc\[kv_script_exe_errno.xlsm]info_script によって生成されました。
;//エラーNo.を入れる
;stM.udiErrNo	:= 4540;</v>
      </c>
      <c r="BA62" t="str">
        <f ca="1">IF($AM62="●",IF(LEN(AZ62),AZ62&amp;CHAR(10),"")&amp;";//カウントする"&amp;CHAR(10)&amp;";"&amp;$B$16&amp;"	:= "&amp;$B$16&amp;" + 1;","")</f>
        <v xml:space="preserve">
LDP stEx454.x2
AND=.D stM.udiErrNo #0
BOX_ST
;//このスクリプトは C:\tk\prj\hg-0025-0016\git\kv-x520\doc\[kv_script_exe_errno.xlsm]info_script によって生成されました。
;//エラーNo.を入れる
;stM.udiErrNo	:= 4540;
;//カウントする
;stM.uiEDCnt	:= stM.uiEDCnt + 1;</v>
      </c>
      <c r="BB62" t="str">
        <f ca="1">IF($AM62="●",IF(LEN(BA62),BA62&amp;CHAR(10),"")&amp;IF(LEN(AK62),";//エラーコードを入れる"&amp;CHAR(10)&amp;";"&amp;$B$17&amp;"	:= "&amp;AK62&amp;".udiErr;",""),"")</f>
        <v xml:space="preserve">
LDP stEx454.x2
AND=.D stM.udiErrNo #0
BOX_ST
;//このスクリプトは C:\tk\prj\hg-0025-0016\git\kv-x520\doc\[kv_script_exe_errno.xlsm]info_script によって生成されました。
;//エラーNo.を入れる
;stM.udiErrNo	:= 4540;
;//カウントする
;stM.uiEDCnt	:= stM.uiEDCnt + 1;
;//エラーコードを入れる
;stM.udiSubErr	:= stDevIn.astAXI[0].udiErr;</v>
      </c>
      <c r="BC62" t="str">
        <f ca="1">IF($AM62="●",IF(LEN(BB62),BB62&amp;CHAR(10),"")&amp;";//"&amp;$B$11,"")</f>
        <v xml:space="preserve">
LDP stEx454.x2
AND=.D stM.udiErrNo #0
BOX_ST
;//このスクリプトは C:\tk\prj\hg-0025-0016\git\kv-x520\doc\[kv_script_exe_errno.xlsm]info_script によって生成されました。
;//エラーNo.を入れる
;stM.udiErrNo	:= 4540;
;//カウントする
;stM.uiEDCnt	:= stM.uiEDCnt + 1;
;//エラーコードを入れる
;stM.udiSubErr	:= stDevIn.astAXI[0].udiErr;
;//-----ここまで生成script-----</v>
      </c>
      <c r="BE62">
        <f>INT(D62/$BE$6)</f>
        <v>18</v>
      </c>
      <c r="BF62">
        <f>MOD(D62,$BE$6)</f>
        <v>0</v>
      </c>
      <c r="BG62" t="str">
        <f>IF(LEN(E62),E62&amp;".x"&amp;TEXT(BF62,"0")&amp;CHAR(9)&amp;" := FALSE;","")</f>
        <v>stEx454.x0	 := FALSE;</v>
      </c>
      <c r="BH62" t="str">
        <f t="shared" si="16"/>
        <v xml:space="preserve">stEx454.x0	 := FALSE;
</v>
      </c>
    </row>
    <row r="63" spans="4:60" x14ac:dyDescent="0.55000000000000004">
      <c r="D63">
        <v>55</v>
      </c>
      <c r="E63" t="str">
        <f>IF(LEN(I63),I63,IF(LEN(Q63),Q63,""))</f>
        <v/>
      </c>
      <c r="F63" t="str">
        <f>IF(LEN(J63),J63,IF(LEN(R63),R63,""))</f>
        <v/>
      </c>
      <c r="G63" t="str">
        <f>IF(LEN(O63),O63,IF(LEN(X63),X63,""))</f>
        <v/>
      </c>
      <c r="Z63" t="str">
        <f t="shared" si="5"/>
        <v/>
      </c>
      <c r="AA63" t="str">
        <f t="shared" si="6"/>
        <v/>
      </c>
      <c r="AB63" t="str">
        <f t="shared" si="6"/>
        <v/>
      </c>
      <c r="AC63" t="str">
        <f t="shared" si="6"/>
        <v/>
      </c>
      <c r="AD63" t="str">
        <f t="shared" si="19"/>
        <v/>
      </c>
      <c r="AE63" t="str">
        <f t="shared" si="19"/>
        <v/>
      </c>
      <c r="AF63" t="str">
        <f t="shared" si="8"/>
        <v/>
      </c>
      <c r="AG63" t="str">
        <f t="shared" si="9"/>
        <v/>
      </c>
      <c r="AH63" t="str">
        <f t="shared" si="10"/>
        <v/>
      </c>
      <c r="AI63" t="str">
        <f t="shared" si="11"/>
        <v/>
      </c>
      <c r="AJ63" t="str">
        <f t="shared" si="12"/>
        <v/>
      </c>
      <c r="AK63" t="str">
        <f t="shared" si="13"/>
        <v/>
      </c>
      <c r="AM63" t="str">
        <f>IF(LEN(G63),IF(OR(COUNTIF(G63,"*◆*"),COUNTIF(G63,"*▼*"),COUNTIF(G63,"*■*")),"","●"),"")</f>
        <v/>
      </c>
      <c r="AN63" t="str">
        <f>IF(AM63="●",(AN$4+MOD(INT(MID(E63,5,3)),AN$2))*AN$6,"")</f>
        <v/>
      </c>
      <c r="AO63" t="str">
        <f>IF($AM63="●","LDP "&amp;E63&amp;"."&amp;$B$14,"")</f>
        <v/>
      </c>
      <c r="AP63" t="str">
        <f>IF($AM63="●","AND=.D "&amp;$B$15&amp;" #0","")</f>
        <v/>
      </c>
      <c r="AQ63" t="str">
        <f>IF($AM63="●","MOV.D #"&amp;AN63&amp;" "&amp;$B$15,"")</f>
        <v/>
      </c>
      <c r="AR63" t="str">
        <f>IF(LEN(AK63),"MOV.D "&amp;$AK63&amp;" "&amp;$B$17,"")</f>
        <v/>
      </c>
      <c r="AS63" t="str">
        <f>IF(AND(D63&lt;&gt;0,AM63="●"),CHAR(10),"")&amp;IF(LEN(AO63),AO63,"")</f>
        <v/>
      </c>
      <c r="AT63" t="str">
        <f t="shared" si="17"/>
        <v/>
      </c>
      <c r="AU63" t="str">
        <f t="shared" si="18"/>
        <v/>
      </c>
      <c r="AV63" t="str">
        <f t="shared" si="14"/>
        <v/>
      </c>
      <c r="AW63" t="str">
        <f t="shared" si="15"/>
        <v/>
      </c>
      <c r="AY63" t="str">
        <f>IF($AM63="●",AT63&amp;CHAR(10)&amp;"BOX_ST"&amp;CHAR(10)&amp;";//"&amp;$B$10,"")</f>
        <v/>
      </c>
      <c r="AZ63" t="str">
        <f>IF($AM63="●",IF(LEN(AY63),AY63&amp;CHAR(10),"")&amp;";//エラーNo.を入れる"&amp;CHAR(10)&amp;";"&amp;$B$15&amp;"	:= "&amp;AN63&amp;";","")</f>
        <v/>
      </c>
      <c r="BA63" t="str">
        <f>IF($AM63="●",IF(LEN(AZ63),AZ63&amp;CHAR(10),"")&amp;";//カウントする"&amp;CHAR(10)&amp;";"&amp;$B$16&amp;"	:= "&amp;$B$16&amp;" + 1;","")</f>
        <v/>
      </c>
      <c r="BB63" t="str">
        <f>IF($AM63="●",IF(LEN(BA63),BA63&amp;CHAR(10),"")&amp;IF(LEN(AK63),";//エラーコードを入れる"&amp;CHAR(10)&amp;";"&amp;$B$17&amp;"	:= "&amp;AK63&amp;".udiErr;",""),"")</f>
        <v/>
      </c>
      <c r="BC63" t="str">
        <f>IF($AM63="●",IF(LEN(BB63),BB63&amp;CHAR(10),"")&amp;";//"&amp;$B$11,"")</f>
        <v/>
      </c>
      <c r="BE63">
        <f>INT(D63/$BE$6)</f>
        <v>18</v>
      </c>
      <c r="BF63">
        <f>MOD(D63,$BE$6)</f>
        <v>1</v>
      </c>
      <c r="BG63" t="str">
        <f>IF(LEN(E63),E63&amp;".x"&amp;TEXT(BF63,"0")&amp;CHAR(9)&amp;" := FALSE;","")</f>
        <v/>
      </c>
      <c r="BH63" t="str">
        <f t="shared" si="16"/>
        <v/>
      </c>
    </row>
    <row r="64" spans="4:60" x14ac:dyDescent="0.55000000000000004">
      <c r="D64">
        <v>56</v>
      </c>
      <c r="E64" t="str">
        <f>IF(LEN(I64),I64,IF(LEN(Q64),Q64,""))</f>
        <v/>
      </c>
      <c r="F64" t="str">
        <f>IF(LEN(J64),J64,IF(LEN(R64),R64,""))</f>
        <v/>
      </c>
      <c r="G64" t="str">
        <f>IF(LEN(O64),O64,IF(LEN(X64),X64,""))</f>
        <v/>
      </c>
      <c r="Z64" t="str">
        <f t="shared" si="5"/>
        <v/>
      </c>
      <c r="AA64" t="str">
        <f t="shared" si="6"/>
        <v/>
      </c>
      <c r="AB64" t="str">
        <f t="shared" si="6"/>
        <v/>
      </c>
      <c r="AC64" t="str">
        <f t="shared" si="6"/>
        <v/>
      </c>
      <c r="AD64" t="str">
        <f t="shared" si="19"/>
        <v/>
      </c>
      <c r="AE64" t="str">
        <f t="shared" si="19"/>
        <v/>
      </c>
      <c r="AF64" t="str">
        <f t="shared" si="8"/>
        <v/>
      </c>
      <c r="AG64" t="str">
        <f t="shared" si="9"/>
        <v/>
      </c>
      <c r="AH64" t="str">
        <f t="shared" si="10"/>
        <v/>
      </c>
      <c r="AI64" t="str">
        <f t="shared" si="11"/>
        <v/>
      </c>
      <c r="AJ64" t="str">
        <f t="shared" si="12"/>
        <v/>
      </c>
      <c r="AK64" t="str">
        <f t="shared" si="13"/>
        <v/>
      </c>
      <c r="AM64" t="str">
        <f>IF(LEN(G64),IF(OR(COUNTIF(G64,"*◆*"),COUNTIF(G64,"*▼*"),COUNTIF(G64,"*■*")),"","●"),"")</f>
        <v/>
      </c>
      <c r="AN64" t="str">
        <f>IF(AM64="●",(AN$4+MOD(INT(MID(E64,5,3)),AN$2))*AN$6,"")</f>
        <v/>
      </c>
      <c r="AO64" t="str">
        <f>IF($AM64="●","LDP "&amp;E64&amp;"."&amp;$B$14,"")</f>
        <v/>
      </c>
      <c r="AP64" t="str">
        <f>IF($AM64="●","AND=.D "&amp;$B$15&amp;" #0","")</f>
        <v/>
      </c>
      <c r="AQ64" t="str">
        <f>IF($AM64="●","MOV.D #"&amp;AN64&amp;" "&amp;$B$15,"")</f>
        <v/>
      </c>
      <c r="AR64" t="str">
        <f>IF(LEN(AK64),"MOV.D "&amp;$AK64&amp;" "&amp;$B$17,"")</f>
        <v/>
      </c>
      <c r="AS64" t="str">
        <f>IF(AND(D64&lt;&gt;0,AM64="●"),CHAR(10),"")&amp;IF(LEN(AO64),AO64,"")</f>
        <v/>
      </c>
      <c r="AT64" t="str">
        <f t="shared" si="17"/>
        <v/>
      </c>
      <c r="AU64" t="str">
        <f t="shared" si="18"/>
        <v/>
      </c>
      <c r="AV64" t="str">
        <f t="shared" si="14"/>
        <v/>
      </c>
      <c r="AW64" t="str">
        <f t="shared" si="15"/>
        <v/>
      </c>
      <c r="AY64" t="str">
        <f>IF($AM64="●",AT64&amp;CHAR(10)&amp;"BOX_ST"&amp;CHAR(10)&amp;";//"&amp;$B$10,"")</f>
        <v/>
      </c>
      <c r="AZ64" t="str">
        <f>IF($AM64="●",IF(LEN(AY64),AY64&amp;CHAR(10),"")&amp;";//エラーNo.を入れる"&amp;CHAR(10)&amp;";"&amp;$B$15&amp;"	:= "&amp;AN64&amp;";","")</f>
        <v/>
      </c>
      <c r="BA64" t="str">
        <f>IF($AM64="●",IF(LEN(AZ64),AZ64&amp;CHAR(10),"")&amp;";//カウントする"&amp;CHAR(10)&amp;";"&amp;$B$16&amp;"	:= "&amp;$B$16&amp;" + 1;","")</f>
        <v/>
      </c>
      <c r="BB64" t="str">
        <f>IF($AM64="●",IF(LEN(BA64),BA64&amp;CHAR(10),"")&amp;IF(LEN(AK64),";//エラーコードを入れる"&amp;CHAR(10)&amp;";"&amp;$B$17&amp;"	:= "&amp;AK64&amp;".udiErr;",""),"")</f>
        <v/>
      </c>
      <c r="BC64" t="str">
        <f>IF($AM64="●",IF(LEN(BB64),BB64&amp;CHAR(10),"")&amp;";//"&amp;$B$11,"")</f>
        <v/>
      </c>
      <c r="BE64">
        <f>INT(D64/$BE$6)</f>
        <v>18</v>
      </c>
      <c r="BF64">
        <f>MOD(D64,$BE$6)</f>
        <v>2</v>
      </c>
      <c r="BG64" t="str">
        <f>IF(LEN(E64),E64&amp;".x"&amp;TEXT(BF64,"0")&amp;CHAR(9)&amp;" := FALSE;","")</f>
        <v/>
      </c>
      <c r="BH64" t="str">
        <f t="shared" si="16"/>
        <v/>
      </c>
    </row>
    <row r="65" spans="4:60" x14ac:dyDescent="0.55000000000000004">
      <c r="D65">
        <v>57</v>
      </c>
      <c r="E65" t="str">
        <f>IF(LEN(I65),I65,IF(LEN(Q65),Q65,""))</f>
        <v/>
      </c>
      <c r="F65" t="str">
        <f>IF(LEN(J65),J65,IF(LEN(R65),R65,""))</f>
        <v/>
      </c>
      <c r="G65" t="str">
        <f>IF(LEN(O65),O65,IF(LEN(X65),X65,""))</f>
        <v/>
      </c>
      <c r="Z65" t="str">
        <f t="shared" si="5"/>
        <v/>
      </c>
      <c r="AA65" t="str">
        <f t="shared" si="6"/>
        <v/>
      </c>
      <c r="AB65" t="str">
        <f t="shared" si="6"/>
        <v/>
      </c>
      <c r="AC65" t="str">
        <f t="shared" si="6"/>
        <v/>
      </c>
      <c r="AD65" t="str">
        <f t="shared" si="19"/>
        <v/>
      </c>
      <c r="AE65" t="str">
        <f t="shared" si="19"/>
        <v/>
      </c>
      <c r="AF65" t="str">
        <f t="shared" si="8"/>
        <v/>
      </c>
      <c r="AG65" t="str">
        <f t="shared" si="9"/>
        <v/>
      </c>
      <c r="AH65" t="str">
        <f t="shared" si="10"/>
        <v/>
      </c>
      <c r="AI65" t="str">
        <f t="shared" si="11"/>
        <v/>
      </c>
      <c r="AJ65" t="str">
        <f t="shared" si="12"/>
        <v/>
      </c>
      <c r="AK65" t="str">
        <f t="shared" si="13"/>
        <v/>
      </c>
      <c r="AM65" t="str">
        <f>IF(LEN(G65),IF(OR(COUNTIF(G65,"*◆*"),COUNTIF(G65,"*▼*"),COUNTIF(G65,"*■*")),"","●"),"")</f>
        <v/>
      </c>
      <c r="AN65" t="str">
        <f>IF(AM65="●",(AN$4+MOD(INT(MID(E65,5,3)),AN$2))*AN$6,"")</f>
        <v/>
      </c>
      <c r="AO65" t="str">
        <f>IF($AM65="●","LDP "&amp;E65&amp;"."&amp;$B$14,"")</f>
        <v/>
      </c>
      <c r="AP65" t="str">
        <f>IF($AM65="●","AND=.D "&amp;$B$15&amp;" #0","")</f>
        <v/>
      </c>
      <c r="AQ65" t="str">
        <f>IF($AM65="●","MOV.D #"&amp;AN65&amp;" "&amp;$B$15,"")</f>
        <v/>
      </c>
      <c r="AR65" t="str">
        <f>IF(LEN(AK65),"MOV.D "&amp;$AK65&amp;" "&amp;$B$17,"")</f>
        <v/>
      </c>
      <c r="AS65" t="str">
        <f>IF(AND(D65&lt;&gt;0,AM65="●"),CHAR(10),"")&amp;IF(LEN(AO65),AO65,"")</f>
        <v/>
      </c>
      <c r="AT65" t="str">
        <f t="shared" si="17"/>
        <v/>
      </c>
      <c r="AU65" t="str">
        <f t="shared" si="18"/>
        <v/>
      </c>
      <c r="AV65" t="str">
        <f t="shared" si="14"/>
        <v/>
      </c>
      <c r="AW65" t="str">
        <f t="shared" si="15"/>
        <v/>
      </c>
      <c r="AY65" t="str">
        <f>IF($AM65="●",AT65&amp;CHAR(10)&amp;"BOX_ST"&amp;CHAR(10)&amp;";//"&amp;$B$10,"")</f>
        <v/>
      </c>
      <c r="AZ65" t="str">
        <f>IF($AM65="●",IF(LEN(AY65),AY65&amp;CHAR(10),"")&amp;";//エラーNo.を入れる"&amp;CHAR(10)&amp;";"&amp;$B$15&amp;"	:= "&amp;AN65&amp;";","")</f>
        <v/>
      </c>
      <c r="BA65" t="str">
        <f>IF($AM65="●",IF(LEN(AZ65),AZ65&amp;CHAR(10),"")&amp;";//カウントする"&amp;CHAR(10)&amp;";"&amp;$B$16&amp;"	:= "&amp;$B$16&amp;" + 1;","")</f>
        <v/>
      </c>
      <c r="BB65" t="str">
        <f>IF($AM65="●",IF(LEN(BA65),BA65&amp;CHAR(10),"")&amp;IF(LEN(AK65),";//エラーコードを入れる"&amp;CHAR(10)&amp;";"&amp;$B$17&amp;"	:= "&amp;AK65&amp;".udiErr;",""),"")</f>
        <v/>
      </c>
      <c r="BC65" t="str">
        <f>IF($AM65="●",IF(LEN(BB65),BB65&amp;CHAR(10),"")&amp;";//"&amp;$B$11,"")</f>
        <v/>
      </c>
      <c r="BE65">
        <f>INT(D65/$BE$6)</f>
        <v>19</v>
      </c>
      <c r="BF65">
        <f>MOD(D65,$BE$6)</f>
        <v>0</v>
      </c>
      <c r="BG65" t="str">
        <f>IF(LEN(E65),E65&amp;".x"&amp;TEXT(BF65,"0")&amp;CHAR(9)&amp;" := FALSE;","")</f>
        <v/>
      </c>
      <c r="BH65" t="str">
        <f t="shared" si="16"/>
        <v/>
      </c>
    </row>
    <row r="66" spans="4:60" x14ac:dyDescent="0.55000000000000004">
      <c r="D66">
        <v>58</v>
      </c>
      <c r="E66" t="str">
        <f>IF(LEN(I66),I66,IF(LEN(Q66),Q66,""))</f>
        <v/>
      </c>
      <c r="F66" t="str">
        <f>IF(LEN(J66),J66,IF(LEN(R66),R66,""))</f>
        <v/>
      </c>
      <c r="G66" t="str">
        <f>IF(LEN(O66),O66,IF(LEN(X66),X66,""))</f>
        <v/>
      </c>
      <c r="Z66" t="str">
        <f t="shared" si="5"/>
        <v/>
      </c>
      <c r="AA66" t="str">
        <f t="shared" si="6"/>
        <v/>
      </c>
      <c r="AB66" t="str">
        <f t="shared" si="6"/>
        <v/>
      </c>
      <c r="AC66" t="str">
        <f t="shared" si="6"/>
        <v/>
      </c>
      <c r="AD66" t="str">
        <f t="shared" si="19"/>
        <v/>
      </c>
      <c r="AE66" t="str">
        <f t="shared" si="19"/>
        <v/>
      </c>
      <c r="AF66" t="str">
        <f t="shared" si="8"/>
        <v/>
      </c>
      <c r="AG66" t="str">
        <f t="shared" si="9"/>
        <v/>
      </c>
      <c r="AH66" t="str">
        <f t="shared" si="10"/>
        <v/>
      </c>
      <c r="AI66" t="str">
        <f t="shared" si="11"/>
        <v/>
      </c>
      <c r="AJ66" t="str">
        <f t="shared" si="12"/>
        <v/>
      </c>
      <c r="AK66" t="str">
        <f t="shared" si="13"/>
        <v/>
      </c>
      <c r="AM66" t="str">
        <f>IF(LEN(G66),IF(OR(COUNTIF(G66,"*◆*"),COUNTIF(G66,"*▼*"),COUNTIF(G66,"*■*")),"","●"),"")</f>
        <v/>
      </c>
      <c r="AN66" t="str">
        <f>IF(AM66="●",(AN$4+MOD(INT(MID(E66,5,3)),AN$2))*AN$6,"")</f>
        <v/>
      </c>
      <c r="AO66" t="str">
        <f>IF($AM66="●","LDP "&amp;E66&amp;"."&amp;$B$14,"")</f>
        <v/>
      </c>
      <c r="AP66" t="str">
        <f>IF($AM66="●","AND=.D "&amp;$B$15&amp;" #0","")</f>
        <v/>
      </c>
      <c r="AQ66" t="str">
        <f>IF($AM66="●","MOV.D #"&amp;AN66&amp;" "&amp;$B$15,"")</f>
        <v/>
      </c>
      <c r="AR66" t="str">
        <f>IF(LEN(AK66),"MOV.D "&amp;$AK66&amp;" "&amp;$B$17,"")</f>
        <v/>
      </c>
      <c r="AS66" t="str">
        <f>IF(AND(D66&lt;&gt;0,AM66="●"),CHAR(10),"")&amp;IF(LEN(AO66),AO66,"")</f>
        <v/>
      </c>
      <c r="AT66" t="str">
        <f t="shared" si="17"/>
        <v/>
      </c>
      <c r="AU66" t="str">
        <f t="shared" si="18"/>
        <v/>
      </c>
      <c r="AV66" t="str">
        <f t="shared" si="14"/>
        <v/>
      </c>
      <c r="AW66" t="str">
        <f t="shared" si="15"/>
        <v/>
      </c>
      <c r="AY66" t="str">
        <f>IF($AM66="●",AT66&amp;CHAR(10)&amp;"BOX_ST"&amp;CHAR(10)&amp;";//"&amp;$B$10,"")</f>
        <v/>
      </c>
      <c r="AZ66" t="str">
        <f>IF($AM66="●",IF(LEN(AY66),AY66&amp;CHAR(10),"")&amp;";//エラーNo.を入れる"&amp;CHAR(10)&amp;";"&amp;$B$15&amp;"	:= "&amp;AN66&amp;";","")</f>
        <v/>
      </c>
      <c r="BA66" t="str">
        <f>IF($AM66="●",IF(LEN(AZ66),AZ66&amp;CHAR(10),"")&amp;";//カウントする"&amp;CHAR(10)&amp;";"&amp;$B$16&amp;"	:= "&amp;$B$16&amp;" + 1;","")</f>
        <v/>
      </c>
      <c r="BB66" t="str">
        <f>IF($AM66="●",IF(LEN(BA66),BA66&amp;CHAR(10),"")&amp;IF(LEN(AK66),";//エラーコードを入れる"&amp;CHAR(10)&amp;";"&amp;$B$17&amp;"	:= "&amp;AK66&amp;".udiErr;",""),"")</f>
        <v/>
      </c>
      <c r="BC66" t="str">
        <f>IF($AM66="●",IF(LEN(BB66),BB66&amp;CHAR(10),"")&amp;";//"&amp;$B$11,"")</f>
        <v/>
      </c>
      <c r="BE66">
        <f>INT(D66/$BE$6)</f>
        <v>19</v>
      </c>
      <c r="BF66">
        <f>MOD(D66,$BE$6)</f>
        <v>1</v>
      </c>
      <c r="BG66" t="str">
        <f>IF(LEN(E66),E66&amp;".x"&amp;TEXT(BF66,"0")&amp;CHAR(9)&amp;" := FALSE;","")</f>
        <v/>
      </c>
      <c r="BH66" t="str">
        <f t="shared" si="16"/>
        <v/>
      </c>
    </row>
    <row r="67" spans="4:60" x14ac:dyDescent="0.55000000000000004">
      <c r="D67">
        <v>59</v>
      </c>
      <c r="E67" t="str">
        <f>IF(LEN(I67),I67,IF(LEN(Q67),Q67,""))</f>
        <v/>
      </c>
      <c r="F67" t="str">
        <f>IF(LEN(J67),J67,IF(LEN(R67),R67,""))</f>
        <v/>
      </c>
      <c r="G67" t="str">
        <f>IF(LEN(O67),O67,IF(LEN(X67),X67,""))</f>
        <v/>
      </c>
      <c r="Z67" t="str">
        <f t="shared" si="5"/>
        <v/>
      </c>
      <c r="AA67" t="str">
        <f t="shared" si="6"/>
        <v/>
      </c>
      <c r="AB67" t="str">
        <f t="shared" si="6"/>
        <v/>
      </c>
      <c r="AC67" t="str">
        <f t="shared" si="6"/>
        <v/>
      </c>
      <c r="AD67" t="str">
        <f t="shared" si="19"/>
        <v/>
      </c>
      <c r="AE67" t="str">
        <f t="shared" si="19"/>
        <v/>
      </c>
      <c r="AF67" t="str">
        <f t="shared" si="8"/>
        <v/>
      </c>
      <c r="AG67" t="str">
        <f t="shared" si="9"/>
        <v/>
      </c>
      <c r="AH67" t="str">
        <f t="shared" si="10"/>
        <v/>
      </c>
      <c r="AI67" t="str">
        <f t="shared" si="11"/>
        <v/>
      </c>
      <c r="AJ67" t="str">
        <f t="shared" si="12"/>
        <v/>
      </c>
      <c r="AK67" t="str">
        <f t="shared" si="13"/>
        <v/>
      </c>
      <c r="AM67" t="str">
        <f>IF(LEN(G67),IF(OR(COUNTIF(G67,"*◆*"),COUNTIF(G67,"*▼*"),COUNTIF(G67,"*■*")),"","●"),"")</f>
        <v/>
      </c>
      <c r="AN67" t="str">
        <f>IF(AM67="●",(AN$4+MOD(INT(MID(E67,5,3)),AN$2))*AN$6,"")</f>
        <v/>
      </c>
      <c r="AO67" t="str">
        <f>IF($AM67="●","LDP "&amp;E67&amp;"."&amp;$B$14,"")</f>
        <v/>
      </c>
      <c r="AP67" t="str">
        <f>IF($AM67="●","AND=.D "&amp;$B$15&amp;" #0","")</f>
        <v/>
      </c>
      <c r="AQ67" t="str">
        <f>IF($AM67="●","MOV.D #"&amp;AN67&amp;" "&amp;$B$15,"")</f>
        <v/>
      </c>
      <c r="AR67" t="str">
        <f>IF(LEN(AK67),"MOV.D "&amp;$AK67&amp;" "&amp;$B$17,"")</f>
        <v/>
      </c>
      <c r="AS67" t="str">
        <f>IF(AND(D67&lt;&gt;0,AM67="●"),CHAR(10),"")&amp;IF(LEN(AO67),AO67,"")</f>
        <v/>
      </c>
      <c r="AT67" t="str">
        <f t="shared" si="17"/>
        <v/>
      </c>
      <c r="AU67" t="str">
        <f t="shared" si="18"/>
        <v/>
      </c>
      <c r="AV67" t="str">
        <f t="shared" si="14"/>
        <v/>
      </c>
      <c r="AW67" t="str">
        <f t="shared" si="15"/>
        <v/>
      </c>
      <c r="AY67" t="str">
        <f>IF($AM67="●",AT67&amp;CHAR(10)&amp;"BOX_ST"&amp;CHAR(10)&amp;";//"&amp;$B$10,"")</f>
        <v/>
      </c>
      <c r="AZ67" t="str">
        <f>IF($AM67="●",IF(LEN(AY67),AY67&amp;CHAR(10),"")&amp;";//エラーNo.を入れる"&amp;CHAR(10)&amp;";"&amp;$B$15&amp;"	:= "&amp;AN67&amp;";","")</f>
        <v/>
      </c>
      <c r="BA67" t="str">
        <f>IF($AM67="●",IF(LEN(AZ67),AZ67&amp;CHAR(10),"")&amp;";//カウントする"&amp;CHAR(10)&amp;";"&amp;$B$16&amp;"	:= "&amp;$B$16&amp;" + 1;","")</f>
        <v/>
      </c>
      <c r="BB67" t="str">
        <f>IF($AM67="●",IF(LEN(BA67),BA67&amp;CHAR(10),"")&amp;IF(LEN(AK67),";//エラーコードを入れる"&amp;CHAR(10)&amp;";"&amp;$B$17&amp;"	:= "&amp;AK67&amp;".udiErr;",""),"")</f>
        <v/>
      </c>
      <c r="BC67" t="str">
        <f>IF($AM67="●",IF(LEN(BB67),BB67&amp;CHAR(10),"")&amp;";//"&amp;$B$11,"")</f>
        <v/>
      </c>
      <c r="BE67">
        <f>INT(D67/$BE$6)</f>
        <v>19</v>
      </c>
      <c r="BF67">
        <f>MOD(D67,$BE$6)</f>
        <v>2</v>
      </c>
      <c r="BG67" t="str">
        <f>IF(LEN(E67),E67&amp;".x"&amp;TEXT(BF67,"0")&amp;CHAR(9)&amp;" := FALSE;","")</f>
        <v/>
      </c>
      <c r="BH67" t="str">
        <f t="shared" si="16"/>
        <v/>
      </c>
    </row>
    <row r="68" spans="4:60" x14ac:dyDescent="0.55000000000000004">
      <c r="D68">
        <v>60</v>
      </c>
      <c r="E68" t="str">
        <f>IF(LEN(I68),I68,IF(LEN(Q68),Q68,""))</f>
        <v/>
      </c>
      <c r="F68" t="str">
        <f>IF(LEN(J68),J68,IF(LEN(R68),R68,""))</f>
        <v/>
      </c>
      <c r="G68" t="str">
        <f>IF(LEN(O68),O68,IF(LEN(X68),X68,""))</f>
        <v/>
      </c>
      <c r="Z68" t="str">
        <f t="shared" si="5"/>
        <v/>
      </c>
      <c r="AA68" t="str">
        <f t="shared" si="6"/>
        <v/>
      </c>
      <c r="AB68" t="str">
        <f t="shared" si="6"/>
        <v/>
      </c>
      <c r="AC68" t="str">
        <f t="shared" si="6"/>
        <v/>
      </c>
      <c r="AD68" t="str">
        <f t="shared" si="19"/>
        <v/>
      </c>
      <c r="AE68" t="str">
        <f t="shared" si="19"/>
        <v/>
      </c>
      <c r="AF68" t="str">
        <f t="shared" si="8"/>
        <v/>
      </c>
      <c r="AG68" t="str">
        <f t="shared" si="9"/>
        <v/>
      </c>
      <c r="AH68" t="str">
        <f t="shared" si="10"/>
        <v/>
      </c>
      <c r="AI68" t="str">
        <f t="shared" si="11"/>
        <v/>
      </c>
      <c r="AJ68" t="str">
        <f t="shared" si="12"/>
        <v/>
      </c>
      <c r="AK68" t="str">
        <f t="shared" si="13"/>
        <v/>
      </c>
      <c r="AM68" t="str">
        <f>IF(LEN(G68),IF(OR(COUNTIF(G68,"*◆*"),COUNTIF(G68,"*▼*"),COUNTIF(G68,"*■*")),"","●"),"")</f>
        <v/>
      </c>
      <c r="AN68" t="str">
        <f>IF(AM68="●",(AN$4+MOD(INT(MID(E68,5,3)),AN$2))*AN$6,"")</f>
        <v/>
      </c>
      <c r="AO68" t="str">
        <f>IF($AM68="●","LDP "&amp;E68&amp;"."&amp;$B$14,"")</f>
        <v/>
      </c>
      <c r="AP68" t="str">
        <f>IF($AM68="●","AND=.D "&amp;$B$15&amp;" #0","")</f>
        <v/>
      </c>
      <c r="AQ68" t="str">
        <f>IF($AM68="●","MOV.D #"&amp;AN68&amp;" "&amp;$B$15,"")</f>
        <v/>
      </c>
      <c r="AR68" t="str">
        <f>IF(LEN(AK68),"MOV.D "&amp;$AK68&amp;" "&amp;$B$17,"")</f>
        <v/>
      </c>
      <c r="AS68" t="str">
        <f>IF(AND(D68&lt;&gt;0,AM68="●"),CHAR(10),"")&amp;IF(LEN(AO68),AO68,"")</f>
        <v/>
      </c>
      <c r="AT68" t="str">
        <f t="shared" si="17"/>
        <v/>
      </c>
      <c r="AU68" t="str">
        <f t="shared" si="18"/>
        <v/>
      </c>
      <c r="AV68" t="str">
        <f t="shared" si="14"/>
        <v/>
      </c>
      <c r="AW68" t="str">
        <f t="shared" si="15"/>
        <v/>
      </c>
      <c r="AY68" t="str">
        <f>IF($AM68="●",AT68&amp;CHAR(10)&amp;"BOX_ST"&amp;CHAR(10)&amp;";//"&amp;$B$10,"")</f>
        <v/>
      </c>
      <c r="AZ68" t="str">
        <f>IF($AM68="●",IF(LEN(AY68),AY68&amp;CHAR(10),"")&amp;";//エラーNo.を入れる"&amp;CHAR(10)&amp;";"&amp;$B$15&amp;"	:= "&amp;AN68&amp;";","")</f>
        <v/>
      </c>
      <c r="BA68" t="str">
        <f>IF($AM68="●",IF(LEN(AZ68),AZ68&amp;CHAR(10),"")&amp;";//カウントする"&amp;CHAR(10)&amp;";"&amp;$B$16&amp;"	:= "&amp;$B$16&amp;" + 1;","")</f>
        <v/>
      </c>
      <c r="BB68" t="str">
        <f>IF($AM68="●",IF(LEN(BA68),BA68&amp;CHAR(10),"")&amp;IF(LEN(AK68),";//エラーコードを入れる"&amp;CHAR(10)&amp;";"&amp;$B$17&amp;"	:= "&amp;AK68&amp;".udiErr;",""),"")</f>
        <v/>
      </c>
      <c r="BC68" t="str">
        <f>IF($AM68="●",IF(LEN(BB68),BB68&amp;CHAR(10),"")&amp;";//"&amp;$B$11,"")</f>
        <v/>
      </c>
      <c r="BE68">
        <f>INT(D68/$BE$6)</f>
        <v>20</v>
      </c>
      <c r="BF68">
        <f>MOD(D68,$BE$6)</f>
        <v>0</v>
      </c>
      <c r="BG68" t="str">
        <f>IF(LEN(E68),E68&amp;".x"&amp;TEXT(BF68,"0")&amp;CHAR(9)&amp;" := FALSE;","")</f>
        <v/>
      </c>
      <c r="BH68" t="str">
        <f t="shared" si="16"/>
        <v/>
      </c>
    </row>
    <row r="69" spans="4:60" x14ac:dyDescent="0.55000000000000004">
      <c r="D69">
        <v>61</v>
      </c>
      <c r="E69" t="str">
        <f>IF(LEN(I69),I69,IF(LEN(Q69),Q69,""))</f>
        <v/>
      </c>
      <c r="F69" t="str">
        <f>IF(LEN(J69),J69,IF(LEN(R69),R69,""))</f>
        <v/>
      </c>
      <c r="G69" t="str">
        <f>IF(LEN(O69),O69,IF(LEN(X69),X69,""))</f>
        <v/>
      </c>
      <c r="Z69" t="str">
        <f t="shared" si="5"/>
        <v/>
      </c>
      <c r="AA69" t="str">
        <f t="shared" si="6"/>
        <v/>
      </c>
      <c r="AB69" t="str">
        <f t="shared" si="6"/>
        <v/>
      </c>
      <c r="AC69" t="str">
        <f t="shared" si="6"/>
        <v/>
      </c>
      <c r="AD69" t="str">
        <f t="shared" si="19"/>
        <v/>
      </c>
      <c r="AE69" t="str">
        <f t="shared" si="19"/>
        <v/>
      </c>
      <c r="AF69" t="str">
        <f t="shared" si="8"/>
        <v/>
      </c>
      <c r="AG69" t="str">
        <f t="shared" si="9"/>
        <v/>
      </c>
      <c r="AH69" t="str">
        <f t="shared" si="10"/>
        <v/>
      </c>
      <c r="AI69" t="str">
        <f t="shared" si="11"/>
        <v/>
      </c>
      <c r="AJ69" t="str">
        <f t="shared" si="12"/>
        <v/>
      </c>
      <c r="AK69" t="str">
        <f t="shared" si="13"/>
        <v/>
      </c>
      <c r="AM69" t="str">
        <f>IF(LEN(G69),IF(OR(COUNTIF(G69,"*◆*"),COUNTIF(G69,"*▼*"),COUNTIF(G69,"*■*")),"","●"),"")</f>
        <v/>
      </c>
      <c r="AN69" t="str">
        <f>IF(AM69="●",(AN$4+MOD(INT(MID(E69,5,3)),AN$2))*AN$6,"")</f>
        <v/>
      </c>
      <c r="AO69" t="str">
        <f>IF($AM69="●","LDP "&amp;E69&amp;"."&amp;$B$14,"")</f>
        <v/>
      </c>
      <c r="AP69" t="str">
        <f>IF($AM69="●","AND=.D "&amp;$B$15&amp;" #0","")</f>
        <v/>
      </c>
      <c r="AQ69" t="str">
        <f>IF($AM69="●","MOV.D #"&amp;AN69&amp;" "&amp;$B$15,"")</f>
        <v/>
      </c>
      <c r="AR69" t="str">
        <f>IF(LEN(AK69),"MOV.D "&amp;$AK69&amp;" "&amp;$B$17,"")</f>
        <v/>
      </c>
      <c r="AS69" t="str">
        <f>IF(AND(D69&lt;&gt;0,AM69="●"),CHAR(10),"")&amp;IF(LEN(AO69),AO69,"")</f>
        <v/>
      </c>
      <c r="AT69" t="str">
        <f t="shared" si="17"/>
        <v/>
      </c>
      <c r="AU69" t="str">
        <f t="shared" si="18"/>
        <v/>
      </c>
      <c r="AV69" t="str">
        <f t="shared" si="14"/>
        <v/>
      </c>
      <c r="AW69" t="str">
        <f t="shared" si="15"/>
        <v/>
      </c>
      <c r="AY69" t="str">
        <f>IF($AM69="●",AT69&amp;CHAR(10)&amp;"BOX_ST"&amp;CHAR(10)&amp;";//"&amp;$B$10,"")</f>
        <v/>
      </c>
      <c r="AZ69" t="str">
        <f>IF($AM69="●",IF(LEN(AY69),AY69&amp;CHAR(10),"")&amp;";//エラーNo.を入れる"&amp;CHAR(10)&amp;";"&amp;$B$15&amp;"	:= "&amp;AN69&amp;";","")</f>
        <v/>
      </c>
      <c r="BA69" t="str">
        <f>IF($AM69="●",IF(LEN(AZ69),AZ69&amp;CHAR(10),"")&amp;";//カウントする"&amp;CHAR(10)&amp;";"&amp;$B$16&amp;"	:= "&amp;$B$16&amp;" + 1;","")</f>
        <v/>
      </c>
      <c r="BB69" t="str">
        <f>IF($AM69="●",IF(LEN(BA69),BA69&amp;CHAR(10),"")&amp;IF(LEN(AK69),";//エラーコードを入れる"&amp;CHAR(10)&amp;";"&amp;$B$17&amp;"	:= "&amp;AK69&amp;".udiErr;",""),"")</f>
        <v/>
      </c>
      <c r="BC69" t="str">
        <f>IF($AM69="●",IF(LEN(BB69),BB69&amp;CHAR(10),"")&amp;";//"&amp;$B$11,"")</f>
        <v/>
      </c>
      <c r="BE69">
        <f>INT(D69/$BE$6)</f>
        <v>20</v>
      </c>
      <c r="BF69">
        <f>MOD(D69,$BE$6)</f>
        <v>1</v>
      </c>
      <c r="BG69" t="str">
        <f>IF(LEN(E69),E69&amp;".x"&amp;TEXT(BF69,"0")&amp;CHAR(9)&amp;" := FALSE;","")</f>
        <v/>
      </c>
      <c r="BH69" t="str">
        <f t="shared" si="16"/>
        <v/>
      </c>
    </row>
    <row r="70" spans="4:60" x14ac:dyDescent="0.55000000000000004">
      <c r="D70">
        <v>62</v>
      </c>
      <c r="E70" t="str">
        <f>IF(LEN(I70),I70,IF(LEN(Q70),Q70,""))</f>
        <v/>
      </c>
      <c r="F70" t="str">
        <f>IF(LEN(J70),J70,IF(LEN(R70),R70,""))</f>
        <v/>
      </c>
      <c r="G70" t="str">
        <f>IF(LEN(O70),O70,IF(LEN(X70),X70,""))</f>
        <v/>
      </c>
      <c r="Z70" t="str">
        <f t="shared" si="5"/>
        <v/>
      </c>
      <c r="AA70" t="str">
        <f t="shared" si="6"/>
        <v/>
      </c>
      <c r="AB70" t="str">
        <f t="shared" si="6"/>
        <v/>
      </c>
      <c r="AC70" t="str">
        <f t="shared" si="6"/>
        <v/>
      </c>
      <c r="AD70" t="str">
        <f t="shared" si="19"/>
        <v/>
      </c>
      <c r="AE70" t="str">
        <f t="shared" si="19"/>
        <v/>
      </c>
      <c r="AF70" t="str">
        <f t="shared" si="8"/>
        <v/>
      </c>
      <c r="AG70" t="str">
        <f t="shared" si="9"/>
        <v/>
      </c>
      <c r="AH70" t="str">
        <f t="shared" si="10"/>
        <v/>
      </c>
      <c r="AI70" t="str">
        <f t="shared" si="11"/>
        <v/>
      </c>
      <c r="AJ70" t="str">
        <f t="shared" si="12"/>
        <v/>
      </c>
      <c r="AK70" t="str">
        <f t="shared" si="13"/>
        <v/>
      </c>
      <c r="AM70" t="str">
        <f>IF(LEN(G70),IF(OR(COUNTIF(G70,"*◆*"),COUNTIF(G70,"*▼*"),COUNTIF(G70,"*■*")),"","●"),"")</f>
        <v/>
      </c>
      <c r="AN70" t="str">
        <f>IF(AM70="●",(AN$4+MOD(INT(MID(E70,5,3)),AN$2))*AN$6,"")</f>
        <v/>
      </c>
      <c r="AO70" t="str">
        <f>IF($AM70="●","LDP "&amp;E70&amp;"."&amp;$B$14,"")</f>
        <v/>
      </c>
      <c r="AP70" t="str">
        <f>IF($AM70="●","AND=.D "&amp;$B$15&amp;" #0","")</f>
        <v/>
      </c>
      <c r="AQ70" t="str">
        <f>IF($AM70="●","MOV.D #"&amp;AN70&amp;" "&amp;$B$15,"")</f>
        <v/>
      </c>
      <c r="AR70" t="str">
        <f>IF(LEN(AK70),"MOV.D "&amp;$AK70&amp;" "&amp;$B$17,"")</f>
        <v/>
      </c>
      <c r="AS70" t="str">
        <f>IF(AND(D70&lt;&gt;0,AM70="●"),CHAR(10),"")&amp;IF(LEN(AO70),AO70,"")</f>
        <v/>
      </c>
      <c r="AT70" t="str">
        <f t="shared" si="17"/>
        <v/>
      </c>
      <c r="AU70" t="str">
        <f t="shared" si="18"/>
        <v/>
      </c>
      <c r="AV70" t="str">
        <f t="shared" si="14"/>
        <v/>
      </c>
      <c r="AW70" t="str">
        <f t="shared" si="15"/>
        <v/>
      </c>
      <c r="AY70" t="str">
        <f>IF($AM70="●",AT70&amp;CHAR(10)&amp;"BOX_ST"&amp;CHAR(10)&amp;";//"&amp;$B$10,"")</f>
        <v/>
      </c>
      <c r="AZ70" t="str">
        <f>IF($AM70="●",IF(LEN(AY70),AY70&amp;CHAR(10),"")&amp;";//エラーNo.を入れる"&amp;CHAR(10)&amp;";"&amp;$B$15&amp;"	:= "&amp;AN70&amp;";","")</f>
        <v/>
      </c>
      <c r="BA70" t="str">
        <f>IF($AM70="●",IF(LEN(AZ70),AZ70&amp;CHAR(10),"")&amp;";//カウントする"&amp;CHAR(10)&amp;";"&amp;$B$16&amp;"	:= "&amp;$B$16&amp;" + 1;","")</f>
        <v/>
      </c>
      <c r="BB70" t="str">
        <f>IF($AM70="●",IF(LEN(BA70),BA70&amp;CHAR(10),"")&amp;IF(LEN(AK70),";//エラーコードを入れる"&amp;CHAR(10)&amp;";"&amp;$B$17&amp;"	:= "&amp;AK70&amp;".udiErr;",""),"")</f>
        <v/>
      </c>
      <c r="BC70" t="str">
        <f>IF($AM70="●",IF(LEN(BB70),BB70&amp;CHAR(10),"")&amp;";//"&amp;$B$11,"")</f>
        <v/>
      </c>
      <c r="BE70">
        <f>INT(D70/$BE$6)</f>
        <v>20</v>
      </c>
      <c r="BF70">
        <f>MOD(D70,$BE$6)</f>
        <v>2</v>
      </c>
      <c r="BG70" t="str">
        <f>IF(LEN(E70),E70&amp;".x"&amp;TEXT(BF70,"0")&amp;CHAR(9)&amp;" := FALSE;","")</f>
        <v/>
      </c>
      <c r="BH70" t="str">
        <f t="shared" si="16"/>
        <v/>
      </c>
    </row>
    <row r="71" spans="4:60" x14ac:dyDescent="0.55000000000000004">
      <c r="D71">
        <v>63</v>
      </c>
      <c r="E71" t="str">
        <f>IF(LEN(I71),I71,IF(LEN(Q71),Q71,""))</f>
        <v/>
      </c>
      <c r="F71" t="str">
        <f>IF(LEN(J71),J71,IF(LEN(R71),R71,""))</f>
        <v/>
      </c>
      <c r="G71" t="str">
        <f>IF(LEN(O71),O71,IF(LEN(X71),X71,""))</f>
        <v/>
      </c>
      <c r="Z71" t="str">
        <f t="shared" si="5"/>
        <v/>
      </c>
      <c r="AA71" t="str">
        <f t="shared" si="6"/>
        <v/>
      </c>
      <c r="AB71" t="str">
        <f t="shared" si="6"/>
        <v/>
      </c>
      <c r="AC71" t="str">
        <f t="shared" si="6"/>
        <v/>
      </c>
      <c r="AD71" t="str">
        <f t="shared" si="19"/>
        <v/>
      </c>
      <c r="AE71" t="str">
        <f t="shared" si="19"/>
        <v/>
      </c>
      <c r="AF71" t="str">
        <f t="shared" si="8"/>
        <v/>
      </c>
      <c r="AG71" t="str">
        <f t="shared" si="9"/>
        <v/>
      </c>
      <c r="AH71" t="str">
        <f t="shared" si="10"/>
        <v/>
      </c>
      <c r="AI71" t="str">
        <f t="shared" si="11"/>
        <v/>
      </c>
      <c r="AJ71" t="str">
        <f t="shared" si="12"/>
        <v/>
      </c>
      <c r="AK71" t="str">
        <f t="shared" si="13"/>
        <v/>
      </c>
      <c r="AM71" t="str">
        <f>IF(LEN(G71),IF(OR(COUNTIF(G71,"*◆*"),COUNTIF(G71,"*▼*"),COUNTIF(G71,"*■*")),"","●"),"")</f>
        <v/>
      </c>
      <c r="AN71" t="str">
        <f>IF(AM71="●",(AN$4+MOD(INT(MID(E71,5,3)),AN$2))*AN$6,"")</f>
        <v/>
      </c>
      <c r="AO71" t="str">
        <f>IF($AM71="●","LDP "&amp;E71&amp;"."&amp;$B$14,"")</f>
        <v/>
      </c>
      <c r="AP71" t="str">
        <f>IF($AM71="●","AND=.D "&amp;$B$15&amp;" #0","")</f>
        <v/>
      </c>
      <c r="AQ71" t="str">
        <f>IF($AM71="●","MOV.D #"&amp;AN71&amp;" "&amp;$B$15,"")</f>
        <v/>
      </c>
      <c r="AR71" t="str">
        <f>IF(LEN(AK71),"MOV.D "&amp;$AK71&amp;" "&amp;$B$17,"")</f>
        <v/>
      </c>
      <c r="AS71" t="str">
        <f>IF(AND(D71&lt;&gt;0,AM71="●"),CHAR(10),"")&amp;IF(LEN(AO71),AO71,"")</f>
        <v/>
      </c>
      <c r="AT71" t="str">
        <f t="shared" si="17"/>
        <v/>
      </c>
      <c r="AU71" t="str">
        <f t="shared" si="18"/>
        <v/>
      </c>
      <c r="AV71" t="str">
        <f t="shared" si="14"/>
        <v/>
      </c>
      <c r="AW71" t="str">
        <f t="shared" si="15"/>
        <v/>
      </c>
      <c r="AY71" t="str">
        <f>IF($AM71="●",AT71&amp;CHAR(10)&amp;"BOX_ST"&amp;CHAR(10)&amp;";//"&amp;$B$10,"")</f>
        <v/>
      </c>
      <c r="AZ71" t="str">
        <f>IF($AM71="●",IF(LEN(AY71),AY71&amp;CHAR(10),"")&amp;";//エラーNo.を入れる"&amp;CHAR(10)&amp;";"&amp;$B$15&amp;"	:= "&amp;AN71&amp;";","")</f>
        <v/>
      </c>
      <c r="BA71" t="str">
        <f>IF($AM71="●",IF(LEN(AZ71),AZ71&amp;CHAR(10),"")&amp;";//カウントする"&amp;CHAR(10)&amp;";"&amp;$B$16&amp;"	:= "&amp;$B$16&amp;" + 1;","")</f>
        <v/>
      </c>
      <c r="BB71" t="str">
        <f>IF($AM71="●",IF(LEN(BA71),BA71&amp;CHAR(10),"")&amp;IF(LEN(AK71),";//エラーコードを入れる"&amp;CHAR(10)&amp;";"&amp;$B$17&amp;"	:= "&amp;AK71&amp;".udiErr;",""),"")</f>
        <v/>
      </c>
      <c r="BC71" t="str">
        <f>IF($AM71="●",IF(LEN(BB71),BB71&amp;CHAR(10),"")&amp;";//"&amp;$B$11,"")</f>
        <v/>
      </c>
      <c r="BE71">
        <f>INT(D71/$BE$6)</f>
        <v>21</v>
      </c>
      <c r="BF71">
        <f>MOD(D71,$BE$6)</f>
        <v>0</v>
      </c>
      <c r="BG71" t="str">
        <f>IF(LEN(E71),E71&amp;".x"&amp;TEXT(BF71,"0")&amp;CHAR(9)&amp;" := FALSE;","")</f>
        <v/>
      </c>
      <c r="BH71" t="str">
        <f t="shared" si="16"/>
        <v/>
      </c>
    </row>
    <row r="72" spans="4:60" x14ac:dyDescent="0.55000000000000004">
      <c r="D72">
        <v>64</v>
      </c>
      <c r="E72" t="str">
        <f>IF(LEN(I72),I72,IF(LEN(Q72),Q72,""))</f>
        <v/>
      </c>
      <c r="F72" t="str">
        <f>IF(LEN(J72),J72,IF(LEN(R72),R72,""))</f>
        <v/>
      </c>
      <c r="G72" t="str">
        <f>IF(LEN(O72),O72,IF(LEN(X72),X72,""))</f>
        <v/>
      </c>
      <c r="Z72" t="str">
        <f t="shared" si="5"/>
        <v/>
      </c>
      <c r="AA72" t="str">
        <f t="shared" si="6"/>
        <v/>
      </c>
      <c r="AB72" t="str">
        <f t="shared" si="6"/>
        <v/>
      </c>
      <c r="AC72" t="str">
        <f t="shared" si="6"/>
        <v/>
      </c>
      <c r="AD72" t="str">
        <f t="shared" si="19"/>
        <v/>
      </c>
      <c r="AE72" t="str">
        <f t="shared" si="19"/>
        <v/>
      </c>
      <c r="AF72" t="str">
        <f t="shared" si="8"/>
        <v/>
      </c>
      <c r="AG72" t="str">
        <f t="shared" si="9"/>
        <v/>
      </c>
      <c r="AH72" t="str">
        <f t="shared" si="10"/>
        <v/>
      </c>
      <c r="AI72" t="str">
        <f t="shared" si="11"/>
        <v/>
      </c>
      <c r="AJ72" t="str">
        <f t="shared" si="12"/>
        <v/>
      </c>
      <c r="AK72" t="str">
        <f t="shared" si="13"/>
        <v/>
      </c>
      <c r="AM72" t="str">
        <f>IF(LEN(G72),IF(OR(COUNTIF(G72,"*◆*"),COUNTIF(G72,"*▼*"),COUNTIF(G72,"*■*")),"","●"),"")</f>
        <v/>
      </c>
      <c r="AN72" t="str">
        <f>IF(AM72="●",(AN$4+MOD(INT(MID(E72,5,3)),AN$2))*AN$6,"")</f>
        <v/>
      </c>
      <c r="AO72" t="str">
        <f>IF($AM72="●","LDP "&amp;E72&amp;"."&amp;$B$14,"")</f>
        <v/>
      </c>
      <c r="AP72" t="str">
        <f>IF($AM72="●","AND=.D "&amp;$B$15&amp;" #0","")</f>
        <v/>
      </c>
      <c r="AQ72" t="str">
        <f>IF($AM72="●","MOV.D #"&amp;AN72&amp;" "&amp;$B$15,"")</f>
        <v/>
      </c>
      <c r="AR72" t="str">
        <f>IF(LEN(AK72),"MOV.D "&amp;$AK72&amp;" "&amp;$B$17,"")</f>
        <v/>
      </c>
      <c r="AS72" t="str">
        <f>IF(AND(D72&lt;&gt;0,AM72="●"),CHAR(10),"")&amp;IF(LEN(AO72),AO72,"")</f>
        <v/>
      </c>
      <c r="AT72" t="str">
        <f t="shared" ref="AT72:AT103" si="20">IF(LEN(AS72),AS72&amp;CHAR(10),"")&amp;IF(LEN(AP72),AP72,"")</f>
        <v/>
      </c>
      <c r="AU72" t="str">
        <f t="shared" ref="AU72:AU103" si="21">IF(LEN(AT72),AT72&amp;CHAR(10),"")&amp;IF(LEN(AQ72),AQ72,"")</f>
        <v/>
      </c>
      <c r="AV72" t="str">
        <f t="shared" si="14"/>
        <v/>
      </c>
      <c r="AW72" t="str">
        <f t="shared" si="15"/>
        <v/>
      </c>
      <c r="AY72" t="str">
        <f>IF($AM72="●",AT72&amp;CHAR(10)&amp;"BOX_ST"&amp;CHAR(10)&amp;";//"&amp;$B$10,"")</f>
        <v/>
      </c>
      <c r="AZ72" t="str">
        <f>IF($AM72="●",IF(LEN(AY72),AY72&amp;CHAR(10),"")&amp;";//エラーNo.を入れる"&amp;CHAR(10)&amp;";"&amp;$B$15&amp;"	:= "&amp;AN72&amp;";","")</f>
        <v/>
      </c>
      <c r="BA72" t="str">
        <f>IF($AM72="●",IF(LEN(AZ72),AZ72&amp;CHAR(10),"")&amp;";//カウントする"&amp;CHAR(10)&amp;";"&amp;$B$16&amp;"	:= "&amp;$B$16&amp;" + 1;","")</f>
        <v/>
      </c>
      <c r="BB72" t="str">
        <f>IF($AM72="●",IF(LEN(BA72),BA72&amp;CHAR(10),"")&amp;IF(LEN(AK72),";//エラーコードを入れる"&amp;CHAR(10)&amp;";"&amp;$B$17&amp;"	:= "&amp;AK72&amp;".udiErr;",""),"")</f>
        <v/>
      </c>
      <c r="BC72" t="str">
        <f>IF($AM72="●",IF(LEN(BB72),BB72&amp;CHAR(10),"")&amp;";//"&amp;$B$11,"")</f>
        <v/>
      </c>
      <c r="BE72">
        <f>INT(D72/$BE$6)</f>
        <v>21</v>
      </c>
      <c r="BF72">
        <f>MOD(D72,$BE$6)</f>
        <v>1</v>
      </c>
      <c r="BG72" t="str">
        <f>IF(LEN(E72),E72&amp;".x"&amp;TEXT(BF72,"0")&amp;CHAR(9)&amp;" := FALSE;","")</f>
        <v/>
      </c>
      <c r="BH72" t="str">
        <f t="shared" si="16"/>
        <v/>
      </c>
    </row>
    <row r="73" spans="4:60" x14ac:dyDescent="0.55000000000000004">
      <c r="D73">
        <v>65</v>
      </c>
      <c r="E73" t="str">
        <f>IF(LEN(I73),I73,IF(LEN(Q73),Q73,""))</f>
        <v/>
      </c>
      <c r="F73" t="str">
        <f>IF(LEN(J73),J73,IF(LEN(R73),R73,""))</f>
        <v/>
      </c>
      <c r="G73" t="str">
        <f>IF(LEN(O73),O73,IF(LEN(X73),X73,""))</f>
        <v/>
      </c>
      <c r="Z73" t="str">
        <f t="shared" ref="Z73:Z107" si="22">IF(COUNTIF($G73,"*"&amp;Z$7&amp;"*"),INT(MID($G73,FIND(Z$7,$G73)+LEN(Z$7)+1,2)),"")</f>
        <v/>
      </c>
      <c r="AA73" t="str">
        <f t="shared" ref="AA73:AC107" si="23">IF(COUNTIF($G73,"*"&amp;AA$7&amp;"*"),INT(MID($G73,FIND(AA$7,$G73)+LEN(AA$7),2)),"")</f>
        <v/>
      </c>
      <c r="AB73" t="str">
        <f t="shared" si="23"/>
        <v/>
      </c>
      <c r="AC73" t="str">
        <f t="shared" si="23"/>
        <v/>
      </c>
      <c r="AD73" t="str">
        <f t="shared" ref="AD73:AF107" si="24">IF(AND(LEN($Z73),AD$2&lt;=$Z73,$Z73&lt;=AD$3),AD$7&amp;"["&amp;$Z73-AD$2&amp;"]","")</f>
        <v/>
      </c>
      <c r="AE73" t="str">
        <f t="shared" si="24"/>
        <v/>
      </c>
      <c r="AF73" t="str">
        <f t="shared" ref="AF73:AF107" si="25">IF(AND(LEN($Z73),AF$2&lt;=$Z73,$Z73&lt;=AF$3),AF$7&amp;"["&amp;$Z73-AF$2&amp;"]",IF(AND(LEN($Z73),AF$4&lt;=$Z73,$Z73&lt;=AF$5),AF$7&amp;"["&amp;AF$3+$Z73-AF$4-AF$2+1&amp;"]",""))</f>
        <v/>
      </c>
      <c r="AG73" t="str">
        <f t="shared" ref="AF73:AG107" si="26">IF(AND(LEN($Z73),AG$2&lt;=$Z73,$Z73&lt;=AG$3),AG$7&amp;"["&amp;$Z73-AG$2&amp;"]",IF(AND(LEN($Z73),AG$4&lt;=$Z73,$Z73&lt;=AG$5),AG$7&amp;"["&amp;AG$3+$Z73-AG$4&amp;"]",""))</f>
        <v/>
      </c>
      <c r="AH73" t="str">
        <f t="shared" ref="AH73:AH107" si="27">IF(AND(LEN($AA73),AH$2&lt;=$AA73,$AA73&lt;=AH$3),AH$7&amp;"["&amp;$AA73-AH$2&amp;"]","")</f>
        <v/>
      </c>
      <c r="AI73" t="str">
        <f t="shared" ref="AI73:AJ107" si="28">IF(AND(LEN($AB73),AI$2&lt;=$AB73,$AB73&lt;=AI$3),AI$7&amp;"["&amp;$AB73-AI$2&amp;"]","")</f>
        <v/>
      </c>
      <c r="AJ73" t="str">
        <f t="shared" ref="AJ73:AJ107" si="29">IF(AND(LEN($AC73),AJ$2&lt;=$AC73,$AC73&lt;=AJ$3),AJ$7&amp;$AC73-AJ$2&amp;"Out","")</f>
        <v/>
      </c>
      <c r="AK73" t="str">
        <f t="shared" ref="AK73:AK107" si="30">IF(LEN(_xlfn.CONCAT(AD73:AJ73)),_xlfn.CONCAT(AD73:AJ73),"")</f>
        <v/>
      </c>
      <c r="AM73" t="str">
        <f>IF(LEN(G73),IF(OR(COUNTIF(G73,"*◆*"),COUNTIF(G73,"*▼*"),COUNTIF(G73,"*■*")),"","●"),"")</f>
        <v/>
      </c>
      <c r="AN73" t="str">
        <f>IF(AM73="●",(AN$4+MOD(INT(MID(E73,5,3)),AN$2))*AN$6,"")</f>
        <v/>
      </c>
      <c r="AO73" t="str">
        <f>IF($AM73="●","LDP "&amp;E73&amp;"."&amp;$B$14,"")</f>
        <v/>
      </c>
      <c r="AP73" t="str">
        <f>IF($AM73="●","AND=.D "&amp;$B$15&amp;" #0","")</f>
        <v/>
      </c>
      <c r="AQ73" t="str">
        <f>IF($AM73="●","MOV.D #"&amp;AN73&amp;" "&amp;$B$15,"")</f>
        <v/>
      </c>
      <c r="AR73" t="str">
        <f>IF(LEN(AK73),"MOV.D "&amp;$AK73&amp;" "&amp;$B$17,"")</f>
        <v/>
      </c>
      <c r="AS73" t="str">
        <f>IF(AND(D73&lt;&gt;0,AM73="●"),CHAR(10),"")&amp;IF(LEN(AO73),AO73,"")</f>
        <v/>
      </c>
      <c r="AT73" t="str">
        <f t="shared" si="20"/>
        <v/>
      </c>
      <c r="AU73" t="str">
        <f t="shared" si="21"/>
        <v/>
      </c>
      <c r="AV73" t="str">
        <f t="shared" ref="AV73:AV107" si="31">IF(LEN(AU73),AU73&amp;CHAR(10),"")&amp;IF(LEN(AR73),AR73,"")</f>
        <v/>
      </c>
      <c r="AW73" t="str">
        <f t="shared" ref="AW73:AW107" si="32">AV73</f>
        <v/>
      </c>
      <c r="AY73" t="str">
        <f>IF($AM73="●",AT73&amp;CHAR(10)&amp;"BOX_ST"&amp;CHAR(10)&amp;";//"&amp;$B$10,"")</f>
        <v/>
      </c>
      <c r="AZ73" t="str">
        <f>IF($AM73="●",IF(LEN(AY73),AY73&amp;CHAR(10),"")&amp;";//エラーNo.を入れる"&amp;CHAR(10)&amp;";"&amp;$B$15&amp;"	:= "&amp;AN73&amp;";","")</f>
        <v/>
      </c>
      <c r="BA73" t="str">
        <f>IF($AM73="●",IF(LEN(AZ73),AZ73&amp;CHAR(10),"")&amp;";//カウントする"&amp;CHAR(10)&amp;";"&amp;$B$16&amp;"	:= "&amp;$B$16&amp;" + 1;","")</f>
        <v/>
      </c>
      <c r="BB73" t="str">
        <f>IF($AM73="●",IF(LEN(BA73),BA73&amp;CHAR(10),"")&amp;IF(LEN(AK73),";//エラーコードを入れる"&amp;CHAR(10)&amp;";"&amp;$B$17&amp;"	:= "&amp;AK73&amp;".udiErr;",""),"")</f>
        <v/>
      </c>
      <c r="BC73" t="str">
        <f>IF($AM73="●",IF(LEN(BB73),BB73&amp;CHAR(10),"")&amp;";//"&amp;$B$11,"")</f>
        <v/>
      </c>
      <c r="BE73">
        <f>INT(D73/$BE$6)</f>
        <v>21</v>
      </c>
      <c r="BF73">
        <f>MOD(D73,$BE$6)</f>
        <v>2</v>
      </c>
      <c r="BG73" t="str">
        <f>IF(LEN(E73),E73&amp;".x"&amp;TEXT(BF73,"0")&amp;CHAR(9)&amp;" := FALSE;","")</f>
        <v/>
      </c>
      <c r="BH73" t="str">
        <f t="shared" ref="BH73:BH107" si="33">IF(LEN(BG73),BG73&amp;CHAR(10),"")</f>
        <v/>
      </c>
    </row>
    <row r="74" spans="4:60" x14ac:dyDescent="0.55000000000000004">
      <c r="D74">
        <v>66</v>
      </c>
      <c r="E74" t="str">
        <f>IF(LEN(I74),I74,IF(LEN(Q74),Q74,""))</f>
        <v/>
      </c>
      <c r="F74" t="str">
        <f>IF(LEN(J74),J74,IF(LEN(R74),R74,""))</f>
        <v/>
      </c>
      <c r="G74" t="str">
        <f>IF(LEN(O74),O74,IF(LEN(X74),X74,""))</f>
        <v/>
      </c>
      <c r="Z74" t="str">
        <f t="shared" si="22"/>
        <v/>
      </c>
      <c r="AA74" t="str">
        <f t="shared" si="23"/>
        <v/>
      </c>
      <c r="AB74" t="str">
        <f t="shared" si="23"/>
        <v/>
      </c>
      <c r="AC74" t="str">
        <f t="shared" si="23"/>
        <v/>
      </c>
      <c r="AD74" t="str">
        <f t="shared" si="24"/>
        <v/>
      </c>
      <c r="AE74" t="str">
        <f t="shared" si="24"/>
        <v/>
      </c>
      <c r="AF74" t="str">
        <f t="shared" si="25"/>
        <v/>
      </c>
      <c r="AG74" t="str">
        <f t="shared" si="26"/>
        <v/>
      </c>
      <c r="AH74" t="str">
        <f t="shared" si="27"/>
        <v/>
      </c>
      <c r="AI74" t="str">
        <f t="shared" si="28"/>
        <v/>
      </c>
      <c r="AJ74" t="str">
        <f t="shared" si="29"/>
        <v/>
      </c>
      <c r="AK74" t="str">
        <f t="shared" si="30"/>
        <v/>
      </c>
      <c r="AM74" t="str">
        <f>IF(LEN(G74),IF(OR(COUNTIF(G74,"*◆*"),COUNTIF(G74,"*▼*"),COUNTIF(G74,"*■*")),"","●"),"")</f>
        <v/>
      </c>
      <c r="AN74" t="str">
        <f>IF(AM74="●",(AN$4+MOD(INT(MID(E74,5,3)),AN$2))*AN$6,"")</f>
        <v/>
      </c>
      <c r="AO74" t="str">
        <f>IF($AM74="●","LDP "&amp;E74&amp;"."&amp;$B$14,"")</f>
        <v/>
      </c>
      <c r="AP74" t="str">
        <f>IF($AM74="●","AND=.D "&amp;$B$15&amp;" #0","")</f>
        <v/>
      </c>
      <c r="AQ74" t="str">
        <f>IF($AM74="●","MOV.D #"&amp;AN74&amp;" "&amp;$B$15,"")</f>
        <v/>
      </c>
      <c r="AR74" t="str">
        <f>IF(LEN(AK74),"MOV.D "&amp;$AK74&amp;" "&amp;$B$17,"")</f>
        <v/>
      </c>
      <c r="AS74" t="str">
        <f>IF(AND(D74&lt;&gt;0,AM74="●"),CHAR(10),"")&amp;IF(LEN(AO74),AO74,"")</f>
        <v/>
      </c>
      <c r="AT74" t="str">
        <f t="shared" si="20"/>
        <v/>
      </c>
      <c r="AU74" t="str">
        <f t="shared" si="21"/>
        <v/>
      </c>
      <c r="AV74" t="str">
        <f t="shared" si="31"/>
        <v/>
      </c>
      <c r="AW74" t="str">
        <f t="shared" si="32"/>
        <v/>
      </c>
      <c r="AY74" t="str">
        <f>IF($AM74="●",AT74&amp;CHAR(10)&amp;"BOX_ST"&amp;CHAR(10)&amp;";//"&amp;$B$10,"")</f>
        <v/>
      </c>
      <c r="AZ74" t="str">
        <f>IF($AM74="●",IF(LEN(AY74),AY74&amp;CHAR(10),"")&amp;";//エラーNo.を入れる"&amp;CHAR(10)&amp;";"&amp;$B$15&amp;"	:= "&amp;AN74&amp;";","")</f>
        <v/>
      </c>
      <c r="BA74" t="str">
        <f>IF($AM74="●",IF(LEN(AZ74),AZ74&amp;CHAR(10),"")&amp;";//カウントする"&amp;CHAR(10)&amp;";"&amp;$B$16&amp;"	:= "&amp;$B$16&amp;" + 1;","")</f>
        <v/>
      </c>
      <c r="BB74" t="str">
        <f>IF($AM74="●",IF(LEN(BA74),BA74&amp;CHAR(10),"")&amp;IF(LEN(AK74),";//エラーコードを入れる"&amp;CHAR(10)&amp;";"&amp;$B$17&amp;"	:= "&amp;AK74&amp;".udiErr;",""),"")</f>
        <v/>
      </c>
      <c r="BC74" t="str">
        <f>IF($AM74="●",IF(LEN(BB74),BB74&amp;CHAR(10),"")&amp;";//"&amp;$B$11,"")</f>
        <v/>
      </c>
      <c r="BE74">
        <f>INT(D74/$BE$6)</f>
        <v>22</v>
      </c>
      <c r="BF74">
        <f>MOD(D74,$BE$6)</f>
        <v>0</v>
      </c>
      <c r="BG74" t="str">
        <f>IF(LEN(E74),E74&amp;".x"&amp;TEXT(BF74,"0")&amp;CHAR(9)&amp;" := FALSE;","")</f>
        <v/>
      </c>
      <c r="BH74" t="str">
        <f t="shared" si="33"/>
        <v/>
      </c>
    </row>
    <row r="75" spans="4:60" x14ac:dyDescent="0.55000000000000004">
      <c r="D75">
        <v>67</v>
      </c>
      <c r="E75" t="str">
        <f>IF(LEN(I75),I75,IF(LEN(Q75),Q75,""))</f>
        <v/>
      </c>
      <c r="F75" t="str">
        <f>IF(LEN(J75),J75,IF(LEN(R75),R75,""))</f>
        <v/>
      </c>
      <c r="G75" t="str">
        <f>IF(LEN(O75),O75,IF(LEN(X75),X75,""))</f>
        <v/>
      </c>
      <c r="Z75" t="str">
        <f t="shared" si="22"/>
        <v/>
      </c>
      <c r="AA75" t="str">
        <f t="shared" si="23"/>
        <v/>
      </c>
      <c r="AB75" t="str">
        <f t="shared" si="23"/>
        <v/>
      </c>
      <c r="AC75" t="str">
        <f t="shared" si="23"/>
        <v/>
      </c>
      <c r="AD75" t="str">
        <f t="shared" si="24"/>
        <v/>
      </c>
      <c r="AE75" t="str">
        <f t="shared" si="24"/>
        <v/>
      </c>
      <c r="AF75" t="str">
        <f t="shared" si="25"/>
        <v/>
      </c>
      <c r="AG75" t="str">
        <f t="shared" si="26"/>
        <v/>
      </c>
      <c r="AH75" t="str">
        <f t="shared" si="27"/>
        <v/>
      </c>
      <c r="AI75" t="str">
        <f t="shared" si="28"/>
        <v/>
      </c>
      <c r="AJ75" t="str">
        <f t="shared" si="29"/>
        <v/>
      </c>
      <c r="AK75" t="str">
        <f t="shared" si="30"/>
        <v/>
      </c>
      <c r="AM75" t="str">
        <f>IF(LEN(G75),IF(OR(COUNTIF(G75,"*◆*"),COUNTIF(G75,"*▼*"),COUNTIF(G75,"*■*")),"","●"),"")</f>
        <v/>
      </c>
      <c r="AN75" t="str">
        <f>IF(AM75="●",(AN$4+MOD(INT(MID(E75,5,3)),AN$2))*AN$6,"")</f>
        <v/>
      </c>
      <c r="AO75" t="str">
        <f>IF($AM75="●","LDP "&amp;E75&amp;"."&amp;$B$14,"")</f>
        <v/>
      </c>
      <c r="AP75" t="str">
        <f>IF($AM75="●","AND=.D "&amp;$B$15&amp;" #0","")</f>
        <v/>
      </c>
      <c r="AQ75" t="str">
        <f>IF($AM75="●","MOV.D #"&amp;AN75&amp;" "&amp;$B$15,"")</f>
        <v/>
      </c>
      <c r="AR75" t="str">
        <f>IF(LEN(AK75),"MOV.D "&amp;$AK75&amp;" "&amp;$B$17,"")</f>
        <v/>
      </c>
      <c r="AS75" t="str">
        <f>IF(AND(D75&lt;&gt;0,AM75="●"),CHAR(10),"")&amp;IF(LEN(AO75),AO75,"")</f>
        <v/>
      </c>
      <c r="AT75" t="str">
        <f t="shared" si="20"/>
        <v/>
      </c>
      <c r="AU75" t="str">
        <f t="shared" si="21"/>
        <v/>
      </c>
      <c r="AV75" t="str">
        <f t="shared" si="31"/>
        <v/>
      </c>
      <c r="AW75" t="str">
        <f t="shared" si="32"/>
        <v/>
      </c>
      <c r="AY75" t="str">
        <f>IF($AM75="●",AT75&amp;CHAR(10)&amp;"BOX_ST"&amp;CHAR(10)&amp;";//"&amp;$B$10,"")</f>
        <v/>
      </c>
      <c r="AZ75" t="str">
        <f>IF($AM75="●",IF(LEN(AY75),AY75&amp;CHAR(10),"")&amp;";//エラーNo.を入れる"&amp;CHAR(10)&amp;";"&amp;$B$15&amp;"	:= "&amp;AN75&amp;";","")</f>
        <v/>
      </c>
      <c r="BA75" t="str">
        <f>IF($AM75="●",IF(LEN(AZ75),AZ75&amp;CHAR(10),"")&amp;";//カウントする"&amp;CHAR(10)&amp;";"&amp;$B$16&amp;"	:= "&amp;$B$16&amp;" + 1;","")</f>
        <v/>
      </c>
      <c r="BB75" t="str">
        <f>IF($AM75="●",IF(LEN(BA75),BA75&amp;CHAR(10),"")&amp;IF(LEN(AK75),";//エラーコードを入れる"&amp;CHAR(10)&amp;";"&amp;$B$17&amp;"	:= "&amp;AK75&amp;".udiErr;",""),"")</f>
        <v/>
      </c>
      <c r="BC75" t="str">
        <f>IF($AM75="●",IF(LEN(BB75),BB75&amp;CHAR(10),"")&amp;";//"&amp;$B$11,"")</f>
        <v/>
      </c>
      <c r="BE75">
        <f>INT(D75/$BE$6)</f>
        <v>22</v>
      </c>
      <c r="BF75">
        <f>MOD(D75,$BE$6)</f>
        <v>1</v>
      </c>
      <c r="BG75" t="str">
        <f>IF(LEN(E75),E75&amp;".x"&amp;TEXT(BF75,"0")&amp;CHAR(9)&amp;" := FALSE;","")</f>
        <v/>
      </c>
      <c r="BH75" t="str">
        <f t="shared" si="33"/>
        <v/>
      </c>
    </row>
    <row r="76" spans="4:60" x14ac:dyDescent="0.55000000000000004">
      <c r="D76">
        <v>68</v>
      </c>
      <c r="E76" t="str">
        <f>IF(LEN(I76),I76,IF(LEN(Q76),Q76,""))</f>
        <v/>
      </c>
      <c r="F76" t="str">
        <f>IF(LEN(J76),J76,IF(LEN(R76),R76,""))</f>
        <v/>
      </c>
      <c r="G76" t="str">
        <f>IF(LEN(O76),O76,IF(LEN(X76),X76,""))</f>
        <v/>
      </c>
      <c r="Z76" t="str">
        <f t="shared" si="22"/>
        <v/>
      </c>
      <c r="AA76" t="str">
        <f t="shared" si="23"/>
        <v/>
      </c>
      <c r="AB76" t="str">
        <f t="shared" si="23"/>
        <v/>
      </c>
      <c r="AC76" t="str">
        <f t="shared" si="23"/>
        <v/>
      </c>
      <c r="AD76" t="str">
        <f t="shared" si="24"/>
        <v/>
      </c>
      <c r="AE76" t="str">
        <f t="shared" si="24"/>
        <v/>
      </c>
      <c r="AF76" t="str">
        <f t="shared" si="25"/>
        <v/>
      </c>
      <c r="AG76" t="str">
        <f t="shared" si="26"/>
        <v/>
      </c>
      <c r="AH76" t="str">
        <f t="shared" si="27"/>
        <v/>
      </c>
      <c r="AI76" t="str">
        <f t="shared" si="28"/>
        <v/>
      </c>
      <c r="AJ76" t="str">
        <f t="shared" si="29"/>
        <v/>
      </c>
      <c r="AK76" t="str">
        <f t="shared" si="30"/>
        <v/>
      </c>
      <c r="AM76" t="str">
        <f>IF(LEN(G76),IF(OR(COUNTIF(G76,"*◆*"),COUNTIF(G76,"*▼*"),COUNTIF(G76,"*■*")),"","●"),"")</f>
        <v/>
      </c>
      <c r="AN76" t="str">
        <f>IF(AM76="●",(AN$4+MOD(INT(MID(E76,5,3)),AN$2))*AN$6,"")</f>
        <v/>
      </c>
      <c r="AO76" t="str">
        <f>IF($AM76="●","LDP "&amp;E76&amp;"."&amp;$B$14,"")</f>
        <v/>
      </c>
      <c r="AP76" t="str">
        <f>IF($AM76="●","AND=.D "&amp;$B$15&amp;" #0","")</f>
        <v/>
      </c>
      <c r="AQ76" t="str">
        <f>IF($AM76="●","MOV.D #"&amp;AN76&amp;" "&amp;$B$15,"")</f>
        <v/>
      </c>
      <c r="AR76" t="str">
        <f>IF(LEN(AK76),"MOV.D "&amp;$AK76&amp;" "&amp;$B$17,"")</f>
        <v/>
      </c>
      <c r="AS76" t="str">
        <f>IF(AND(D76&lt;&gt;0,AM76="●"),CHAR(10),"")&amp;IF(LEN(AO76),AO76,"")</f>
        <v/>
      </c>
      <c r="AT76" t="str">
        <f t="shared" si="20"/>
        <v/>
      </c>
      <c r="AU76" t="str">
        <f t="shared" si="21"/>
        <v/>
      </c>
      <c r="AV76" t="str">
        <f t="shared" si="31"/>
        <v/>
      </c>
      <c r="AW76" t="str">
        <f t="shared" si="32"/>
        <v/>
      </c>
      <c r="AY76" t="str">
        <f>IF($AM76="●",AT76&amp;CHAR(10)&amp;"BOX_ST"&amp;CHAR(10)&amp;";//"&amp;$B$10,"")</f>
        <v/>
      </c>
      <c r="AZ76" t="str">
        <f>IF($AM76="●",IF(LEN(AY76),AY76&amp;CHAR(10),"")&amp;";//エラーNo.を入れる"&amp;CHAR(10)&amp;";"&amp;$B$15&amp;"	:= "&amp;AN76&amp;";","")</f>
        <v/>
      </c>
      <c r="BA76" t="str">
        <f>IF($AM76="●",IF(LEN(AZ76),AZ76&amp;CHAR(10),"")&amp;";//カウントする"&amp;CHAR(10)&amp;";"&amp;$B$16&amp;"	:= "&amp;$B$16&amp;" + 1;","")</f>
        <v/>
      </c>
      <c r="BB76" t="str">
        <f>IF($AM76="●",IF(LEN(BA76),BA76&amp;CHAR(10),"")&amp;IF(LEN(AK76),";//エラーコードを入れる"&amp;CHAR(10)&amp;";"&amp;$B$17&amp;"	:= "&amp;AK76&amp;".udiErr;",""),"")</f>
        <v/>
      </c>
      <c r="BC76" t="str">
        <f>IF($AM76="●",IF(LEN(BB76),BB76&amp;CHAR(10),"")&amp;";//"&amp;$B$11,"")</f>
        <v/>
      </c>
      <c r="BE76">
        <f>INT(D76/$BE$6)</f>
        <v>22</v>
      </c>
      <c r="BF76">
        <f>MOD(D76,$BE$6)</f>
        <v>2</v>
      </c>
      <c r="BG76" t="str">
        <f>IF(LEN(E76),E76&amp;".x"&amp;TEXT(BF76,"0")&amp;CHAR(9)&amp;" := FALSE;","")</f>
        <v/>
      </c>
      <c r="BH76" t="str">
        <f t="shared" si="33"/>
        <v/>
      </c>
    </row>
    <row r="77" spans="4:60" x14ac:dyDescent="0.55000000000000004">
      <c r="D77">
        <v>69</v>
      </c>
      <c r="E77" t="str">
        <f>IF(LEN(I77),I77,IF(LEN(Q77),Q77,""))</f>
        <v/>
      </c>
      <c r="F77" t="str">
        <f>IF(LEN(J77),J77,IF(LEN(R77),R77,""))</f>
        <v/>
      </c>
      <c r="G77" t="str">
        <f>IF(LEN(O77),O77,IF(LEN(X77),X77,""))</f>
        <v/>
      </c>
      <c r="Z77" t="str">
        <f t="shared" si="22"/>
        <v/>
      </c>
      <c r="AA77" t="str">
        <f t="shared" si="23"/>
        <v/>
      </c>
      <c r="AB77" t="str">
        <f t="shared" si="23"/>
        <v/>
      </c>
      <c r="AC77" t="str">
        <f t="shared" si="23"/>
        <v/>
      </c>
      <c r="AD77" t="str">
        <f t="shared" si="24"/>
        <v/>
      </c>
      <c r="AE77" t="str">
        <f t="shared" si="24"/>
        <v/>
      </c>
      <c r="AF77" t="str">
        <f t="shared" si="25"/>
        <v/>
      </c>
      <c r="AG77" t="str">
        <f t="shared" si="26"/>
        <v/>
      </c>
      <c r="AH77" t="str">
        <f t="shared" si="27"/>
        <v/>
      </c>
      <c r="AI77" t="str">
        <f t="shared" si="28"/>
        <v/>
      </c>
      <c r="AJ77" t="str">
        <f t="shared" si="29"/>
        <v/>
      </c>
      <c r="AK77" t="str">
        <f t="shared" si="30"/>
        <v/>
      </c>
      <c r="AM77" t="str">
        <f>IF(LEN(G77),IF(OR(COUNTIF(G77,"*◆*"),COUNTIF(G77,"*▼*"),COUNTIF(G77,"*■*")),"","●"),"")</f>
        <v/>
      </c>
      <c r="AN77" t="str">
        <f>IF(AM77="●",(AN$4+MOD(INT(MID(E77,5,3)),AN$2))*AN$6,"")</f>
        <v/>
      </c>
      <c r="AO77" t="str">
        <f>IF($AM77="●","LDP "&amp;E77&amp;"."&amp;$B$14,"")</f>
        <v/>
      </c>
      <c r="AP77" t="str">
        <f>IF($AM77="●","AND=.D "&amp;$B$15&amp;" #0","")</f>
        <v/>
      </c>
      <c r="AQ77" t="str">
        <f>IF($AM77="●","MOV.D #"&amp;AN77&amp;" "&amp;$B$15,"")</f>
        <v/>
      </c>
      <c r="AR77" t="str">
        <f>IF(LEN(AK77),"MOV.D "&amp;$AK77&amp;" "&amp;$B$17,"")</f>
        <v/>
      </c>
      <c r="AS77" t="str">
        <f>IF(AND(D77&lt;&gt;0,AM77="●"),CHAR(10),"")&amp;IF(LEN(AO77),AO77,"")</f>
        <v/>
      </c>
      <c r="AT77" t="str">
        <f t="shared" si="20"/>
        <v/>
      </c>
      <c r="AU77" t="str">
        <f t="shared" si="21"/>
        <v/>
      </c>
      <c r="AV77" t="str">
        <f t="shared" si="31"/>
        <v/>
      </c>
      <c r="AW77" t="str">
        <f t="shared" si="32"/>
        <v/>
      </c>
      <c r="AY77" t="str">
        <f>IF($AM77="●",AT77&amp;CHAR(10)&amp;"BOX_ST"&amp;CHAR(10)&amp;";//"&amp;$B$10,"")</f>
        <v/>
      </c>
      <c r="AZ77" t="str">
        <f>IF($AM77="●",IF(LEN(AY77),AY77&amp;CHAR(10),"")&amp;";//エラーNo.を入れる"&amp;CHAR(10)&amp;";"&amp;$B$15&amp;"	:= "&amp;AN77&amp;";","")</f>
        <v/>
      </c>
      <c r="BA77" t="str">
        <f>IF($AM77="●",IF(LEN(AZ77),AZ77&amp;CHAR(10),"")&amp;";//カウントする"&amp;CHAR(10)&amp;";"&amp;$B$16&amp;"	:= "&amp;$B$16&amp;" + 1;","")</f>
        <v/>
      </c>
      <c r="BB77" t="str">
        <f>IF($AM77="●",IF(LEN(BA77),BA77&amp;CHAR(10),"")&amp;IF(LEN(AK77),";//エラーコードを入れる"&amp;CHAR(10)&amp;";"&amp;$B$17&amp;"	:= "&amp;AK77&amp;".udiErr;",""),"")</f>
        <v/>
      </c>
      <c r="BC77" t="str">
        <f>IF($AM77="●",IF(LEN(BB77),BB77&amp;CHAR(10),"")&amp;";//"&amp;$B$11,"")</f>
        <v/>
      </c>
      <c r="BE77">
        <f>INT(D77/$BE$6)</f>
        <v>23</v>
      </c>
      <c r="BF77">
        <f>MOD(D77,$BE$6)</f>
        <v>0</v>
      </c>
      <c r="BG77" t="str">
        <f>IF(LEN(E77),E77&amp;".x"&amp;TEXT(BF77,"0")&amp;CHAR(9)&amp;" := FALSE;","")</f>
        <v/>
      </c>
      <c r="BH77" t="str">
        <f t="shared" si="33"/>
        <v/>
      </c>
    </row>
    <row r="78" spans="4:60" x14ac:dyDescent="0.55000000000000004">
      <c r="D78">
        <v>70</v>
      </c>
      <c r="E78" t="str">
        <f>IF(LEN(I78),I78,IF(LEN(Q78),Q78,""))</f>
        <v/>
      </c>
      <c r="F78" t="str">
        <f>IF(LEN(J78),J78,IF(LEN(R78),R78,""))</f>
        <v/>
      </c>
      <c r="G78" t="str">
        <f>IF(LEN(O78),O78,IF(LEN(X78),X78,""))</f>
        <v/>
      </c>
      <c r="Z78" t="str">
        <f t="shared" si="22"/>
        <v/>
      </c>
      <c r="AA78" t="str">
        <f t="shared" si="23"/>
        <v/>
      </c>
      <c r="AB78" t="str">
        <f t="shared" si="23"/>
        <v/>
      </c>
      <c r="AC78" t="str">
        <f t="shared" si="23"/>
        <v/>
      </c>
      <c r="AD78" t="str">
        <f t="shared" si="24"/>
        <v/>
      </c>
      <c r="AE78" t="str">
        <f t="shared" si="24"/>
        <v/>
      </c>
      <c r="AF78" t="str">
        <f t="shared" si="25"/>
        <v/>
      </c>
      <c r="AG78" t="str">
        <f t="shared" si="26"/>
        <v/>
      </c>
      <c r="AH78" t="str">
        <f t="shared" si="27"/>
        <v/>
      </c>
      <c r="AI78" t="str">
        <f t="shared" si="28"/>
        <v/>
      </c>
      <c r="AJ78" t="str">
        <f t="shared" si="29"/>
        <v/>
      </c>
      <c r="AK78" t="str">
        <f t="shared" si="30"/>
        <v/>
      </c>
      <c r="AM78" t="str">
        <f>IF(LEN(G78),IF(OR(COUNTIF(G78,"*◆*"),COUNTIF(G78,"*▼*"),COUNTIF(G78,"*■*")),"","●"),"")</f>
        <v/>
      </c>
      <c r="AN78" t="str">
        <f>IF(AM78="●",(AN$4+MOD(INT(MID(E78,5,3)),AN$2))*AN$6,"")</f>
        <v/>
      </c>
      <c r="AO78" t="str">
        <f>IF($AM78="●","LDP "&amp;E78&amp;"."&amp;$B$14,"")</f>
        <v/>
      </c>
      <c r="AP78" t="str">
        <f>IF($AM78="●","AND=.D "&amp;$B$15&amp;" #0","")</f>
        <v/>
      </c>
      <c r="AQ78" t="str">
        <f>IF($AM78="●","MOV.D #"&amp;AN78&amp;" "&amp;$B$15,"")</f>
        <v/>
      </c>
      <c r="AR78" t="str">
        <f>IF(LEN(AK78),"MOV.D "&amp;$AK78&amp;" "&amp;$B$17,"")</f>
        <v/>
      </c>
      <c r="AS78" t="str">
        <f>IF(AND(D78&lt;&gt;0,AM78="●"),CHAR(10),"")&amp;IF(LEN(AO78),AO78,"")</f>
        <v/>
      </c>
      <c r="AT78" t="str">
        <f t="shared" si="20"/>
        <v/>
      </c>
      <c r="AU78" t="str">
        <f t="shared" si="21"/>
        <v/>
      </c>
      <c r="AV78" t="str">
        <f t="shared" si="31"/>
        <v/>
      </c>
      <c r="AW78" t="str">
        <f t="shared" si="32"/>
        <v/>
      </c>
      <c r="AY78" t="str">
        <f>IF($AM78="●",AT78&amp;CHAR(10)&amp;"BOX_ST"&amp;CHAR(10)&amp;";//"&amp;$B$10,"")</f>
        <v/>
      </c>
      <c r="AZ78" t="str">
        <f>IF($AM78="●",IF(LEN(AY78),AY78&amp;CHAR(10),"")&amp;";//エラーNo.を入れる"&amp;CHAR(10)&amp;";"&amp;$B$15&amp;"	:= "&amp;AN78&amp;";","")</f>
        <v/>
      </c>
      <c r="BA78" t="str">
        <f>IF($AM78="●",IF(LEN(AZ78),AZ78&amp;CHAR(10),"")&amp;";//カウントする"&amp;CHAR(10)&amp;";"&amp;$B$16&amp;"	:= "&amp;$B$16&amp;" + 1;","")</f>
        <v/>
      </c>
      <c r="BB78" t="str">
        <f>IF($AM78="●",IF(LEN(BA78),BA78&amp;CHAR(10),"")&amp;IF(LEN(AK78),";//エラーコードを入れる"&amp;CHAR(10)&amp;";"&amp;$B$17&amp;"	:= "&amp;AK78&amp;".udiErr;",""),"")</f>
        <v/>
      </c>
      <c r="BC78" t="str">
        <f>IF($AM78="●",IF(LEN(BB78),BB78&amp;CHAR(10),"")&amp;";//"&amp;$B$11,"")</f>
        <v/>
      </c>
      <c r="BE78">
        <f>INT(D78/$BE$6)</f>
        <v>23</v>
      </c>
      <c r="BF78">
        <f>MOD(D78,$BE$6)</f>
        <v>1</v>
      </c>
      <c r="BG78" t="str">
        <f>IF(LEN(E78),E78&amp;".x"&amp;TEXT(BF78,"0")&amp;CHAR(9)&amp;" := FALSE;","")</f>
        <v/>
      </c>
      <c r="BH78" t="str">
        <f t="shared" si="33"/>
        <v/>
      </c>
    </row>
    <row r="79" spans="4:60" x14ac:dyDescent="0.55000000000000004">
      <c r="D79">
        <v>71</v>
      </c>
      <c r="E79" t="str">
        <f>IF(LEN(I79),I79,IF(LEN(Q79),Q79,""))</f>
        <v/>
      </c>
      <c r="F79" t="str">
        <f>IF(LEN(J79),J79,IF(LEN(R79),R79,""))</f>
        <v/>
      </c>
      <c r="G79" t="str">
        <f>IF(LEN(O79),O79,IF(LEN(X79),X79,""))</f>
        <v/>
      </c>
      <c r="Z79" t="str">
        <f t="shared" si="22"/>
        <v/>
      </c>
      <c r="AA79" t="str">
        <f t="shared" si="23"/>
        <v/>
      </c>
      <c r="AB79" t="str">
        <f t="shared" si="23"/>
        <v/>
      </c>
      <c r="AC79" t="str">
        <f t="shared" si="23"/>
        <v/>
      </c>
      <c r="AD79" t="str">
        <f t="shared" si="24"/>
        <v/>
      </c>
      <c r="AE79" t="str">
        <f t="shared" si="24"/>
        <v/>
      </c>
      <c r="AF79" t="str">
        <f t="shared" si="25"/>
        <v/>
      </c>
      <c r="AG79" t="str">
        <f t="shared" si="26"/>
        <v/>
      </c>
      <c r="AH79" t="str">
        <f t="shared" si="27"/>
        <v/>
      </c>
      <c r="AI79" t="str">
        <f t="shared" si="28"/>
        <v/>
      </c>
      <c r="AJ79" t="str">
        <f t="shared" si="29"/>
        <v/>
      </c>
      <c r="AK79" t="str">
        <f t="shared" si="30"/>
        <v/>
      </c>
      <c r="AM79" t="str">
        <f>IF(LEN(G79),IF(OR(COUNTIF(G79,"*◆*"),COUNTIF(G79,"*▼*"),COUNTIF(G79,"*■*")),"","●"),"")</f>
        <v/>
      </c>
      <c r="AN79" t="str">
        <f>IF(AM79="●",(AN$4+MOD(INT(MID(E79,5,3)),AN$2))*AN$6,"")</f>
        <v/>
      </c>
      <c r="AO79" t="str">
        <f>IF($AM79="●","LDP "&amp;E79&amp;"."&amp;$B$14,"")</f>
        <v/>
      </c>
      <c r="AP79" t="str">
        <f>IF($AM79="●","AND=.D "&amp;$B$15&amp;" #0","")</f>
        <v/>
      </c>
      <c r="AQ79" t="str">
        <f>IF($AM79="●","MOV.D #"&amp;AN79&amp;" "&amp;$B$15,"")</f>
        <v/>
      </c>
      <c r="AR79" t="str">
        <f>IF(LEN(AK79),"MOV.D "&amp;$AK79&amp;" "&amp;$B$17,"")</f>
        <v/>
      </c>
      <c r="AS79" t="str">
        <f>IF(AND(D79&lt;&gt;0,AM79="●"),CHAR(10),"")&amp;IF(LEN(AO79),AO79,"")</f>
        <v/>
      </c>
      <c r="AT79" t="str">
        <f t="shared" si="20"/>
        <v/>
      </c>
      <c r="AU79" t="str">
        <f t="shared" si="21"/>
        <v/>
      </c>
      <c r="AV79" t="str">
        <f t="shared" si="31"/>
        <v/>
      </c>
      <c r="AW79" t="str">
        <f t="shared" si="32"/>
        <v/>
      </c>
      <c r="AY79" t="str">
        <f>IF($AM79="●",AT79&amp;CHAR(10)&amp;"BOX_ST"&amp;CHAR(10)&amp;";//"&amp;$B$10,"")</f>
        <v/>
      </c>
      <c r="AZ79" t="str">
        <f>IF($AM79="●",IF(LEN(AY79),AY79&amp;CHAR(10),"")&amp;";//エラーNo.を入れる"&amp;CHAR(10)&amp;";"&amp;$B$15&amp;"	:= "&amp;AN79&amp;";","")</f>
        <v/>
      </c>
      <c r="BA79" t="str">
        <f>IF($AM79="●",IF(LEN(AZ79),AZ79&amp;CHAR(10),"")&amp;";//カウントする"&amp;CHAR(10)&amp;";"&amp;$B$16&amp;"	:= "&amp;$B$16&amp;" + 1;","")</f>
        <v/>
      </c>
      <c r="BB79" t="str">
        <f>IF($AM79="●",IF(LEN(BA79),BA79&amp;CHAR(10),"")&amp;IF(LEN(AK79),";//エラーコードを入れる"&amp;CHAR(10)&amp;";"&amp;$B$17&amp;"	:= "&amp;AK79&amp;".udiErr;",""),"")</f>
        <v/>
      </c>
      <c r="BC79" t="str">
        <f>IF($AM79="●",IF(LEN(BB79),BB79&amp;CHAR(10),"")&amp;";//"&amp;$B$11,"")</f>
        <v/>
      </c>
      <c r="BE79">
        <f>INT(D79/$BE$6)</f>
        <v>23</v>
      </c>
      <c r="BF79">
        <f>MOD(D79,$BE$6)</f>
        <v>2</v>
      </c>
      <c r="BG79" t="str">
        <f>IF(LEN(E79),E79&amp;".x"&amp;TEXT(BF79,"0")&amp;CHAR(9)&amp;" := FALSE;","")</f>
        <v/>
      </c>
      <c r="BH79" t="str">
        <f t="shared" si="33"/>
        <v/>
      </c>
    </row>
    <row r="80" spans="4:60" x14ac:dyDescent="0.55000000000000004">
      <c r="D80">
        <v>72</v>
      </c>
      <c r="E80" t="str">
        <f>IF(LEN(I80),I80,IF(LEN(Q80),Q80,""))</f>
        <v/>
      </c>
      <c r="F80" t="str">
        <f>IF(LEN(J80),J80,IF(LEN(R80),R80,""))</f>
        <v/>
      </c>
      <c r="G80" t="str">
        <f>IF(LEN(O80),O80,IF(LEN(X80),X80,""))</f>
        <v/>
      </c>
      <c r="Z80" t="str">
        <f t="shared" si="22"/>
        <v/>
      </c>
      <c r="AA80" t="str">
        <f t="shared" si="23"/>
        <v/>
      </c>
      <c r="AB80" t="str">
        <f t="shared" si="23"/>
        <v/>
      </c>
      <c r="AC80" t="str">
        <f t="shared" si="23"/>
        <v/>
      </c>
      <c r="AD80" t="str">
        <f t="shared" si="24"/>
        <v/>
      </c>
      <c r="AE80" t="str">
        <f t="shared" si="24"/>
        <v/>
      </c>
      <c r="AF80" t="str">
        <f t="shared" si="25"/>
        <v/>
      </c>
      <c r="AG80" t="str">
        <f t="shared" si="26"/>
        <v/>
      </c>
      <c r="AH80" t="str">
        <f t="shared" si="27"/>
        <v/>
      </c>
      <c r="AI80" t="str">
        <f t="shared" si="28"/>
        <v/>
      </c>
      <c r="AJ80" t="str">
        <f t="shared" si="29"/>
        <v/>
      </c>
      <c r="AK80" t="str">
        <f t="shared" si="30"/>
        <v/>
      </c>
      <c r="AM80" t="str">
        <f>IF(LEN(G80),IF(OR(COUNTIF(G80,"*◆*"),COUNTIF(G80,"*▼*"),COUNTIF(G80,"*■*")),"","●"),"")</f>
        <v/>
      </c>
      <c r="AN80" t="str">
        <f>IF(AM80="●",(AN$4+MOD(INT(MID(E80,5,3)),AN$2))*AN$6,"")</f>
        <v/>
      </c>
      <c r="AO80" t="str">
        <f>IF($AM80="●","LDP "&amp;E80&amp;"."&amp;$B$14,"")</f>
        <v/>
      </c>
      <c r="AP80" t="str">
        <f>IF($AM80="●","AND=.D "&amp;$B$15&amp;" #0","")</f>
        <v/>
      </c>
      <c r="AQ80" t="str">
        <f>IF($AM80="●","MOV.D #"&amp;AN80&amp;" "&amp;$B$15,"")</f>
        <v/>
      </c>
      <c r="AR80" t="str">
        <f>IF(LEN(AK80),"MOV.D "&amp;$AK80&amp;" "&amp;$B$17,"")</f>
        <v/>
      </c>
      <c r="AS80" t="str">
        <f>IF(AND(D80&lt;&gt;0,AM80="●"),CHAR(10),"")&amp;IF(LEN(AO80),AO80,"")</f>
        <v/>
      </c>
      <c r="AT80" t="str">
        <f t="shared" si="20"/>
        <v/>
      </c>
      <c r="AU80" t="str">
        <f t="shared" si="21"/>
        <v/>
      </c>
      <c r="AV80" t="str">
        <f t="shared" si="31"/>
        <v/>
      </c>
      <c r="AW80" t="str">
        <f t="shared" si="32"/>
        <v/>
      </c>
      <c r="AY80" t="str">
        <f>IF($AM80="●",AT80&amp;CHAR(10)&amp;"BOX_ST"&amp;CHAR(10)&amp;";//"&amp;$B$10,"")</f>
        <v/>
      </c>
      <c r="AZ80" t="str">
        <f>IF($AM80="●",IF(LEN(AY80),AY80&amp;CHAR(10),"")&amp;";//エラーNo.を入れる"&amp;CHAR(10)&amp;";"&amp;$B$15&amp;"	:= "&amp;AN80&amp;";","")</f>
        <v/>
      </c>
      <c r="BA80" t="str">
        <f>IF($AM80="●",IF(LEN(AZ80),AZ80&amp;CHAR(10),"")&amp;";//カウントする"&amp;CHAR(10)&amp;";"&amp;$B$16&amp;"	:= "&amp;$B$16&amp;" + 1;","")</f>
        <v/>
      </c>
      <c r="BB80" t="str">
        <f>IF($AM80="●",IF(LEN(BA80),BA80&amp;CHAR(10),"")&amp;IF(LEN(AK80),";//エラーコードを入れる"&amp;CHAR(10)&amp;";"&amp;$B$17&amp;"	:= "&amp;AK80&amp;".udiErr;",""),"")</f>
        <v/>
      </c>
      <c r="BC80" t="str">
        <f>IF($AM80="●",IF(LEN(BB80),BB80&amp;CHAR(10),"")&amp;";//"&amp;$B$11,"")</f>
        <v/>
      </c>
      <c r="BE80">
        <f>INT(D80/$BE$6)</f>
        <v>24</v>
      </c>
      <c r="BF80">
        <f>MOD(D80,$BE$6)</f>
        <v>0</v>
      </c>
      <c r="BG80" t="str">
        <f>IF(LEN(E80),E80&amp;".x"&amp;TEXT(BF80,"0")&amp;CHAR(9)&amp;" := FALSE;","")</f>
        <v/>
      </c>
      <c r="BH80" t="str">
        <f t="shared" si="33"/>
        <v/>
      </c>
    </row>
    <row r="81" spans="4:60" x14ac:dyDescent="0.55000000000000004">
      <c r="D81">
        <v>73</v>
      </c>
      <c r="E81" t="str">
        <f>IF(LEN(I81),I81,IF(LEN(Q81),Q81,""))</f>
        <v/>
      </c>
      <c r="F81" t="str">
        <f>IF(LEN(J81),J81,IF(LEN(R81),R81,""))</f>
        <v/>
      </c>
      <c r="G81" t="str">
        <f>IF(LEN(O81),O81,IF(LEN(X81),X81,""))</f>
        <v/>
      </c>
      <c r="Z81" t="str">
        <f t="shared" si="22"/>
        <v/>
      </c>
      <c r="AA81" t="str">
        <f t="shared" si="23"/>
        <v/>
      </c>
      <c r="AB81" t="str">
        <f t="shared" si="23"/>
        <v/>
      </c>
      <c r="AC81" t="str">
        <f t="shared" si="23"/>
        <v/>
      </c>
      <c r="AD81" t="str">
        <f t="shared" si="24"/>
        <v/>
      </c>
      <c r="AE81" t="str">
        <f t="shared" si="24"/>
        <v/>
      </c>
      <c r="AF81" t="str">
        <f t="shared" si="25"/>
        <v/>
      </c>
      <c r="AG81" t="str">
        <f t="shared" si="26"/>
        <v/>
      </c>
      <c r="AH81" t="str">
        <f t="shared" si="27"/>
        <v/>
      </c>
      <c r="AI81" t="str">
        <f t="shared" si="28"/>
        <v/>
      </c>
      <c r="AJ81" t="str">
        <f t="shared" si="29"/>
        <v/>
      </c>
      <c r="AK81" t="str">
        <f t="shared" si="30"/>
        <v/>
      </c>
      <c r="AM81" t="str">
        <f>IF(LEN(G81),IF(OR(COUNTIF(G81,"*◆*"),COUNTIF(G81,"*▼*"),COUNTIF(G81,"*■*")),"","●"),"")</f>
        <v/>
      </c>
      <c r="AN81" t="str">
        <f>IF(AM81="●",(AN$4+MOD(INT(MID(E81,5,3)),AN$2))*AN$6,"")</f>
        <v/>
      </c>
      <c r="AO81" t="str">
        <f>IF($AM81="●","LDP "&amp;E81&amp;"."&amp;$B$14,"")</f>
        <v/>
      </c>
      <c r="AP81" t="str">
        <f>IF($AM81="●","AND=.D "&amp;$B$15&amp;" #0","")</f>
        <v/>
      </c>
      <c r="AQ81" t="str">
        <f>IF($AM81="●","MOV.D #"&amp;AN81&amp;" "&amp;$B$15,"")</f>
        <v/>
      </c>
      <c r="AR81" t="str">
        <f>IF(LEN(AK81),"MOV.D "&amp;$AK81&amp;" "&amp;$B$17,"")</f>
        <v/>
      </c>
      <c r="AS81" t="str">
        <f>IF(AND(D81&lt;&gt;0,AM81="●"),CHAR(10),"")&amp;IF(LEN(AO81),AO81,"")</f>
        <v/>
      </c>
      <c r="AT81" t="str">
        <f t="shared" si="20"/>
        <v/>
      </c>
      <c r="AU81" t="str">
        <f t="shared" si="21"/>
        <v/>
      </c>
      <c r="AV81" t="str">
        <f t="shared" si="31"/>
        <v/>
      </c>
      <c r="AW81" t="str">
        <f t="shared" si="32"/>
        <v/>
      </c>
      <c r="AY81" t="str">
        <f>IF($AM81="●",AT81&amp;CHAR(10)&amp;"BOX_ST"&amp;CHAR(10)&amp;";//"&amp;$B$10,"")</f>
        <v/>
      </c>
      <c r="AZ81" t="str">
        <f>IF($AM81="●",IF(LEN(AY81),AY81&amp;CHAR(10),"")&amp;";//エラーNo.を入れる"&amp;CHAR(10)&amp;";"&amp;$B$15&amp;"	:= "&amp;AN81&amp;";","")</f>
        <v/>
      </c>
      <c r="BA81" t="str">
        <f>IF($AM81="●",IF(LEN(AZ81),AZ81&amp;CHAR(10),"")&amp;";//カウントする"&amp;CHAR(10)&amp;";"&amp;$B$16&amp;"	:= "&amp;$B$16&amp;" + 1;","")</f>
        <v/>
      </c>
      <c r="BB81" t="str">
        <f>IF($AM81="●",IF(LEN(BA81),BA81&amp;CHAR(10),"")&amp;IF(LEN(AK81),";//エラーコードを入れる"&amp;CHAR(10)&amp;";"&amp;$B$17&amp;"	:= "&amp;AK81&amp;".udiErr;",""),"")</f>
        <v/>
      </c>
      <c r="BC81" t="str">
        <f>IF($AM81="●",IF(LEN(BB81),BB81&amp;CHAR(10),"")&amp;";//"&amp;$B$11,"")</f>
        <v/>
      </c>
      <c r="BE81">
        <f>INT(D81/$BE$6)</f>
        <v>24</v>
      </c>
      <c r="BF81">
        <f>MOD(D81,$BE$6)</f>
        <v>1</v>
      </c>
      <c r="BG81" t="str">
        <f>IF(LEN(E81),E81&amp;".x"&amp;TEXT(BF81,"0")&amp;CHAR(9)&amp;" := FALSE;","")</f>
        <v/>
      </c>
      <c r="BH81" t="str">
        <f t="shared" si="33"/>
        <v/>
      </c>
    </row>
    <row r="82" spans="4:60" x14ac:dyDescent="0.55000000000000004">
      <c r="D82">
        <v>74</v>
      </c>
      <c r="E82" t="str">
        <f>IF(LEN(I82),I82,IF(LEN(Q82),Q82,""))</f>
        <v/>
      </c>
      <c r="F82" t="str">
        <f>IF(LEN(J82),J82,IF(LEN(R82),R82,""))</f>
        <v/>
      </c>
      <c r="G82" t="str">
        <f>IF(LEN(O82),O82,IF(LEN(X82),X82,""))</f>
        <v/>
      </c>
      <c r="Z82" t="str">
        <f t="shared" si="22"/>
        <v/>
      </c>
      <c r="AA82" t="str">
        <f t="shared" si="23"/>
        <v/>
      </c>
      <c r="AB82" t="str">
        <f t="shared" si="23"/>
        <v/>
      </c>
      <c r="AC82" t="str">
        <f t="shared" si="23"/>
        <v/>
      </c>
      <c r="AD82" t="str">
        <f t="shared" si="24"/>
        <v/>
      </c>
      <c r="AE82" t="str">
        <f t="shared" si="24"/>
        <v/>
      </c>
      <c r="AF82" t="str">
        <f t="shared" si="25"/>
        <v/>
      </c>
      <c r="AG82" t="str">
        <f t="shared" si="26"/>
        <v/>
      </c>
      <c r="AH82" t="str">
        <f t="shared" si="27"/>
        <v/>
      </c>
      <c r="AI82" t="str">
        <f t="shared" si="28"/>
        <v/>
      </c>
      <c r="AJ82" t="str">
        <f t="shared" si="29"/>
        <v/>
      </c>
      <c r="AK82" t="str">
        <f t="shared" si="30"/>
        <v/>
      </c>
      <c r="AM82" t="str">
        <f>IF(LEN(G82),IF(OR(COUNTIF(G82,"*◆*"),COUNTIF(G82,"*▼*"),COUNTIF(G82,"*■*")),"","●"),"")</f>
        <v/>
      </c>
      <c r="AN82" t="str">
        <f>IF(AM82="●",(AN$4+MOD(INT(MID(E82,5,3)),AN$2))*AN$6,"")</f>
        <v/>
      </c>
      <c r="AO82" t="str">
        <f>IF($AM82="●","LDP "&amp;E82&amp;"."&amp;$B$14,"")</f>
        <v/>
      </c>
      <c r="AP82" t="str">
        <f>IF($AM82="●","AND=.D "&amp;$B$15&amp;" #0","")</f>
        <v/>
      </c>
      <c r="AQ82" t="str">
        <f>IF($AM82="●","MOV.D #"&amp;AN82&amp;" "&amp;$B$15,"")</f>
        <v/>
      </c>
      <c r="AR82" t="str">
        <f>IF(LEN(AK82),"MOV.D "&amp;$AK82&amp;" "&amp;$B$17,"")</f>
        <v/>
      </c>
      <c r="AS82" t="str">
        <f>IF(AND(D82&lt;&gt;0,AM82="●"),CHAR(10),"")&amp;IF(LEN(AO82),AO82,"")</f>
        <v/>
      </c>
      <c r="AT82" t="str">
        <f t="shared" si="20"/>
        <v/>
      </c>
      <c r="AU82" t="str">
        <f t="shared" si="21"/>
        <v/>
      </c>
      <c r="AV82" t="str">
        <f t="shared" si="31"/>
        <v/>
      </c>
      <c r="AW82" t="str">
        <f t="shared" si="32"/>
        <v/>
      </c>
      <c r="AY82" t="str">
        <f>IF($AM82="●",AT82&amp;CHAR(10)&amp;"BOX_ST"&amp;CHAR(10)&amp;";//"&amp;$B$10,"")</f>
        <v/>
      </c>
      <c r="AZ82" t="str">
        <f>IF($AM82="●",IF(LEN(AY82),AY82&amp;CHAR(10),"")&amp;";//エラーNo.を入れる"&amp;CHAR(10)&amp;";"&amp;$B$15&amp;"	:= "&amp;AN82&amp;";","")</f>
        <v/>
      </c>
      <c r="BA82" t="str">
        <f>IF($AM82="●",IF(LEN(AZ82),AZ82&amp;CHAR(10),"")&amp;";//カウントする"&amp;CHAR(10)&amp;";"&amp;$B$16&amp;"	:= "&amp;$B$16&amp;" + 1;","")</f>
        <v/>
      </c>
      <c r="BB82" t="str">
        <f>IF($AM82="●",IF(LEN(BA82),BA82&amp;CHAR(10),"")&amp;IF(LEN(AK82),";//エラーコードを入れる"&amp;CHAR(10)&amp;";"&amp;$B$17&amp;"	:= "&amp;AK82&amp;".udiErr;",""),"")</f>
        <v/>
      </c>
      <c r="BC82" t="str">
        <f>IF($AM82="●",IF(LEN(BB82),BB82&amp;CHAR(10),"")&amp;";//"&amp;$B$11,"")</f>
        <v/>
      </c>
      <c r="BE82">
        <f>INT(D82/$BE$6)</f>
        <v>24</v>
      </c>
      <c r="BF82">
        <f>MOD(D82,$BE$6)</f>
        <v>2</v>
      </c>
      <c r="BG82" t="str">
        <f>IF(LEN(E82),E82&amp;".x"&amp;TEXT(BF82,"0")&amp;CHAR(9)&amp;" := FALSE;","")</f>
        <v/>
      </c>
      <c r="BH82" t="str">
        <f t="shared" si="33"/>
        <v/>
      </c>
    </row>
    <row r="83" spans="4:60" x14ac:dyDescent="0.55000000000000004">
      <c r="D83">
        <v>75</v>
      </c>
      <c r="E83" t="str">
        <f>IF(LEN(I83),I83,IF(LEN(Q83),Q83,""))</f>
        <v/>
      </c>
      <c r="F83" t="str">
        <f>IF(LEN(J83),J83,IF(LEN(R83),R83,""))</f>
        <v/>
      </c>
      <c r="G83" t="str">
        <f>IF(LEN(O83),O83,IF(LEN(X83),X83,""))</f>
        <v/>
      </c>
      <c r="Z83" t="str">
        <f t="shared" si="22"/>
        <v/>
      </c>
      <c r="AA83" t="str">
        <f t="shared" si="23"/>
        <v/>
      </c>
      <c r="AB83" t="str">
        <f t="shared" si="23"/>
        <v/>
      </c>
      <c r="AC83" t="str">
        <f t="shared" si="23"/>
        <v/>
      </c>
      <c r="AD83" t="str">
        <f t="shared" si="24"/>
        <v/>
      </c>
      <c r="AE83" t="str">
        <f t="shared" si="24"/>
        <v/>
      </c>
      <c r="AF83" t="str">
        <f t="shared" si="25"/>
        <v/>
      </c>
      <c r="AG83" t="str">
        <f t="shared" si="26"/>
        <v/>
      </c>
      <c r="AH83" t="str">
        <f t="shared" si="27"/>
        <v/>
      </c>
      <c r="AI83" t="str">
        <f t="shared" si="28"/>
        <v/>
      </c>
      <c r="AJ83" t="str">
        <f t="shared" si="29"/>
        <v/>
      </c>
      <c r="AK83" t="str">
        <f t="shared" si="30"/>
        <v/>
      </c>
      <c r="AM83" t="str">
        <f>IF(LEN(G83),IF(OR(COUNTIF(G83,"*◆*"),COUNTIF(G83,"*▼*"),COUNTIF(G83,"*■*")),"","●"),"")</f>
        <v/>
      </c>
      <c r="AN83" t="str">
        <f>IF(AM83="●",(AN$4+MOD(INT(MID(E83,5,3)),AN$2))*AN$6,"")</f>
        <v/>
      </c>
      <c r="AO83" t="str">
        <f>IF($AM83="●","LDP "&amp;E83&amp;"."&amp;$B$14,"")</f>
        <v/>
      </c>
      <c r="AP83" t="str">
        <f>IF($AM83="●","AND=.D "&amp;$B$15&amp;" #0","")</f>
        <v/>
      </c>
      <c r="AQ83" t="str">
        <f>IF($AM83="●","MOV.D #"&amp;AN83&amp;" "&amp;$B$15,"")</f>
        <v/>
      </c>
      <c r="AR83" t="str">
        <f>IF(LEN(AK83),"MOV.D "&amp;$AK83&amp;" "&amp;$B$17,"")</f>
        <v/>
      </c>
      <c r="AS83" t="str">
        <f>IF(AND(D83&lt;&gt;0,AM83="●"),CHAR(10),"")&amp;IF(LEN(AO83),AO83,"")</f>
        <v/>
      </c>
      <c r="AT83" t="str">
        <f t="shared" si="20"/>
        <v/>
      </c>
      <c r="AU83" t="str">
        <f t="shared" si="21"/>
        <v/>
      </c>
      <c r="AV83" t="str">
        <f t="shared" si="31"/>
        <v/>
      </c>
      <c r="AW83" t="str">
        <f t="shared" si="32"/>
        <v/>
      </c>
      <c r="AY83" t="str">
        <f>IF($AM83="●",AT83&amp;CHAR(10)&amp;"BOX_ST"&amp;CHAR(10)&amp;";//"&amp;$B$10,"")</f>
        <v/>
      </c>
      <c r="AZ83" t="str">
        <f>IF($AM83="●",IF(LEN(AY83),AY83&amp;CHAR(10),"")&amp;";//エラーNo.を入れる"&amp;CHAR(10)&amp;";"&amp;$B$15&amp;"	:= "&amp;AN83&amp;";","")</f>
        <v/>
      </c>
      <c r="BA83" t="str">
        <f>IF($AM83="●",IF(LEN(AZ83),AZ83&amp;CHAR(10),"")&amp;";//カウントする"&amp;CHAR(10)&amp;";"&amp;$B$16&amp;"	:= "&amp;$B$16&amp;" + 1;","")</f>
        <v/>
      </c>
      <c r="BB83" t="str">
        <f>IF($AM83="●",IF(LEN(BA83),BA83&amp;CHAR(10),"")&amp;IF(LEN(AK83),";//エラーコードを入れる"&amp;CHAR(10)&amp;";"&amp;$B$17&amp;"	:= "&amp;AK83&amp;".udiErr;",""),"")</f>
        <v/>
      </c>
      <c r="BC83" t="str">
        <f>IF($AM83="●",IF(LEN(BB83),BB83&amp;CHAR(10),"")&amp;";//"&amp;$B$11,"")</f>
        <v/>
      </c>
      <c r="BE83">
        <f>INT(D83/$BE$6)</f>
        <v>25</v>
      </c>
      <c r="BF83">
        <f>MOD(D83,$BE$6)</f>
        <v>0</v>
      </c>
      <c r="BG83" t="str">
        <f>IF(LEN(E83),E83&amp;".x"&amp;TEXT(BF83,"0")&amp;CHAR(9)&amp;" := FALSE;","")</f>
        <v/>
      </c>
      <c r="BH83" t="str">
        <f t="shared" si="33"/>
        <v/>
      </c>
    </row>
    <row r="84" spans="4:60" x14ac:dyDescent="0.55000000000000004">
      <c r="D84">
        <v>76</v>
      </c>
      <c r="E84" t="str">
        <f>IF(LEN(I84),I84,IF(LEN(Q84),Q84,""))</f>
        <v/>
      </c>
      <c r="F84" t="str">
        <f>IF(LEN(J84),J84,IF(LEN(R84),R84,""))</f>
        <v/>
      </c>
      <c r="G84" t="str">
        <f>IF(LEN(O84),O84,IF(LEN(X84),X84,""))</f>
        <v/>
      </c>
      <c r="Z84" t="str">
        <f t="shared" si="22"/>
        <v/>
      </c>
      <c r="AA84" t="str">
        <f t="shared" si="23"/>
        <v/>
      </c>
      <c r="AB84" t="str">
        <f t="shared" si="23"/>
        <v/>
      </c>
      <c r="AC84" t="str">
        <f t="shared" si="23"/>
        <v/>
      </c>
      <c r="AD84" t="str">
        <f t="shared" si="24"/>
        <v/>
      </c>
      <c r="AE84" t="str">
        <f t="shared" si="24"/>
        <v/>
      </c>
      <c r="AF84" t="str">
        <f t="shared" si="25"/>
        <v/>
      </c>
      <c r="AG84" t="str">
        <f t="shared" si="26"/>
        <v/>
      </c>
      <c r="AH84" t="str">
        <f t="shared" si="27"/>
        <v/>
      </c>
      <c r="AI84" t="str">
        <f t="shared" si="28"/>
        <v/>
      </c>
      <c r="AJ84" t="str">
        <f t="shared" si="29"/>
        <v/>
      </c>
      <c r="AK84" t="str">
        <f t="shared" si="30"/>
        <v/>
      </c>
      <c r="AM84" t="str">
        <f>IF(LEN(G84),IF(OR(COUNTIF(G84,"*◆*"),COUNTIF(G84,"*▼*"),COUNTIF(G84,"*■*")),"","●"),"")</f>
        <v/>
      </c>
      <c r="AN84" t="str">
        <f>IF(AM84="●",(AN$4+MOD(INT(MID(E84,5,3)),AN$2))*AN$6,"")</f>
        <v/>
      </c>
      <c r="AO84" t="str">
        <f>IF($AM84="●","LDP "&amp;E84&amp;"."&amp;$B$14,"")</f>
        <v/>
      </c>
      <c r="AP84" t="str">
        <f>IF($AM84="●","AND=.D "&amp;$B$15&amp;" #0","")</f>
        <v/>
      </c>
      <c r="AQ84" t="str">
        <f>IF($AM84="●","MOV.D #"&amp;AN84&amp;" "&amp;$B$15,"")</f>
        <v/>
      </c>
      <c r="AR84" t="str">
        <f>IF(LEN(AK84),"MOV.D "&amp;$AK84&amp;" "&amp;$B$17,"")</f>
        <v/>
      </c>
      <c r="AS84" t="str">
        <f>IF(AND(D84&lt;&gt;0,AM84="●"),CHAR(10),"")&amp;IF(LEN(AO84),AO84,"")</f>
        <v/>
      </c>
      <c r="AT84" t="str">
        <f t="shared" si="20"/>
        <v/>
      </c>
      <c r="AU84" t="str">
        <f t="shared" si="21"/>
        <v/>
      </c>
      <c r="AV84" t="str">
        <f t="shared" si="31"/>
        <v/>
      </c>
      <c r="AW84" t="str">
        <f t="shared" si="32"/>
        <v/>
      </c>
      <c r="AY84" t="str">
        <f>IF($AM84="●",AT84&amp;CHAR(10)&amp;"BOX_ST"&amp;CHAR(10)&amp;";//"&amp;$B$10,"")</f>
        <v/>
      </c>
      <c r="AZ84" t="str">
        <f>IF($AM84="●",IF(LEN(AY84),AY84&amp;CHAR(10),"")&amp;";//エラーNo.を入れる"&amp;CHAR(10)&amp;";"&amp;$B$15&amp;"	:= "&amp;AN84&amp;";","")</f>
        <v/>
      </c>
      <c r="BA84" t="str">
        <f>IF($AM84="●",IF(LEN(AZ84),AZ84&amp;CHAR(10),"")&amp;";//カウントする"&amp;CHAR(10)&amp;";"&amp;$B$16&amp;"	:= "&amp;$B$16&amp;" + 1;","")</f>
        <v/>
      </c>
      <c r="BB84" t="str">
        <f>IF($AM84="●",IF(LEN(BA84),BA84&amp;CHAR(10),"")&amp;IF(LEN(AK84),";//エラーコードを入れる"&amp;CHAR(10)&amp;";"&amp;$B$17&amp;"	:= "&amp;AK84&amp;".udiErr;",""),"")</f>
        <v/>
      </c>
      <c r="BC84" t="str">
        <f>IF($AM84="●",IF(LEN(BB84),BB84&amp;CHAR(10),"")&amp;";//"&amp;$B$11,"")</f>
        <v/>
      </c>
      <c r="BE84">
        <f>INT(D84/$BE$6)</f>
        <v>25</v>
      </c>
      <c r="BF84">
        <f>MOD(D84,$BE$6)</f>
        <v>1</v>
      </c>
      <c r="BG84" t="str">
        <f>IF(LEN(E84),E84&amp;".x"&amp;TEXT(BF84,"0")&amp;CHAR(9)&amp;" := FALSE;","")</f>
        <v/>
      </c>
      <c r="BH84" t="str">
        <f t="shared" si="33"/>
        <v/>
      </c>
    </row>
    <row r="85" spans="4:60" x14ac:dyDescent="0.55000000000000004">
      <c r="D85">
        <v>77</v>
      </c>
      <c r="E85" t="str">
        <f>IF(LEN(I85),I85,IF(LEN(Q85),Q85,""))</f>
        <v/>
      </c>
      <c r="F85" t="str">
        <f>IF(LEN(J85),J85,IF(LEN(R85),R85,""))</f>
        <v/>
      </c>
      <c r="G85" t="str">
        <f>IF(LEN(O85),O85,IF(LEN(X85),X85,""))</f>
        <v/>
      </c>
      <c r="Z85" t="str">
        <f t="shared" si="22"/>
        <v/>
      </c>
      <c r="AA85" t="str">
        <f t="shared" si="23"/>
        <v/>
      </c>
      <c r="AB85" t="str">
        <f t="shared" si="23"/>
        <v/>
      </c>
      <c r="AC85" t="str">
        <f t="shared" si="23"/>
        <v/>
      </c>
      <c r="AD85" t="str">
        <f t="shared" si="24"/>
        <v/>
      </c>
      <c r="AE85" t="str">
        <f t="shared" si="24"/>
        <v/>
      </c>
      <c r="AF85" t="str">
        <f t="shared" si="25"/>
        <v/>
      </c>
      <c r="AG85" t="str">
        <f t="shared" si="26"/>
        <v/>
      </c>
      <c r="AH85" t="str">
        <f t="shared" si="27"/>
        <v/>
      </c>
      <c r="AI85" t="str">
        <f t="shared" si="28"/>
        <v/>
      </c>
      <c r="AJ85" t="str">
        <f t="shared" si="29"/>
        <v/>
      </c>
      <c r="AK85" t="str">
        <f t="shared" si="30"/>
        <v/>
      </c>
      <c r="AM85" t="str">
        <f>IF(LEN(G85),IF(OR(COUNTIF(G85,"*◆*"),COUNTIF(G85,"*▼*"),COUNTIF(G85,"*■*")),"","●"),"")</f>
        <v/>
      </c>
      <c r="AN85" t="str">
        <f>IF(AM85="●",(AN$4+MOD(INT(MID(E85,5,3)),AN$2))*AN$6,"")</f>
        <v/>
      </c>
      <c r="AO85" t="str">
        <f>IF($AM85="●","LDP "&amp;E85&amp;"."&amp;$B$14,"")</f>
        <v/>
      </c>
      <c r="AP85" t="str">
        <f>IF($AM85="●","AND=.D "&amp;$B$15&amp;" #0","")</f>
        <v/>
      </c>
      <c r="AQ85" t="str">
        <f>IF($AM85="●","MOV.D #"&amp;AN85&amp;" "&amp;$B$15,"")</f>
        <v/>
      </c>
      <c r="AR85" t="str">
        <f>IF(LEN(AK85),"MOV.D "&amp;$AK85&amp;" "&amp;$B$17,"")</f>
        <v/>
      </c>
      <c r="AS85" t="str">
        <f>IF(AND(D85&lt;&gt;0,AM85="●"),CHAR(10),"")&amp;IF(LEN(AO85),AO85,"")</f>
        <v/>
      </c>
      <c r="AT85" t="str">
        <f t="shared" si="20"/>
        <v/>
      </c>
      <c r="AU85" t="str">
        <f t="shared" si="21"/>
        <v/>
      </c>
      <c r="AV85" t="str">
        <f t="shared" si="31"/>
        <v/>
      </c>
      <c r="AW85" t="str">
        <f t="shared" si="32"/>
        <v/>
      </c>
      <c r="AY85" t="str">
        <f>IF($AM85="●",AT85&amp;CHAR(10)&amp;"BOX_ST"&amp;CHAR(10)&amp;";//"&amp;$B$10,"")</f>
        <v/>
      </c>
      <c r="AZ85" t="str">
        <f>IF($AM85="●",IF(LEN(AY85),AY85&amp;CHAR(10),"")&amp;";//エラーNo.を入れる"&amp;CHAR(10)&amp;";"&amp;$B$15&amp;"	:= "&amp;AN85&amp;";","")</f>
        <v/>
      </c>
      <c r="BA85" t="str">
        <f>IF($AM85="●",IF(LEN(AZ85),AZ85&amp;CHAR(10),"")&amp;";//カウントする"&amp;CHAR(10)&amp;";"&amp;$B$16&amp;"	:= "&amp;$B$16&amp;" + 1;","")</f>
        <v/>
      </c>
      <c r="BB85" t="str">
        <f>IF($AM85="●",IF(LEN(BA85),BA85&amp;CHAR(10),"")&amp;IF(LEN(AK85),";//エラーコードを入れる"&amp;CHAR(10)&amp;";"&amp;$B$17&amp;"	:= "&amp;AK85&amp;".udiErr;",""),"")</f>
        <v/>
      </c>
      <c r="BC85" t="str">
        <f>IF($AM85="●",IF(LEN(BB85),BB85&amp;CHAR(10),"")&amp;";//"&amp;$B$11,"")</f>
        <v/>
      </c>
      <c r="BE85">
        <f>INT(D85/$BE$6)</f>
        <v>25</v>
      </c>
      <c r="BF85">
        <f>MOD(D85,$BE$6)</f>
        <v>2</v>
      </c>
      <c r="BG85" t="str">
        <f>IF(LEN(E85),E85&amp;".x"&amp;TEXT(BF85,"0")&amp;CHAR(9)&amp;" := FALSE;","")</f>
        <v/>
      </c>
      <c r="BH85" t="str">
        <f t="shared" si="33"/>
        <v/>
      </c>
    </row>
    <row r="86" spans="4:60" x14ac:dyDescent="0.55000000000000004">
      <c r="D86">
        <v>78</v>
      </c>
      <c r="E86" t="str">
        <f>IF(LEN(I86),I86,IF(LEN(Q86),Q86,""))</f>
        <v/>
      </c>
      <c r="F86" t="str">
        <f>IF(LEN(J86),J86,IF(LEN(R86),R86,""))</f>
        <v/>
      </c>
      <c r="G86" t="str">
        <f>IF(LEN(O86),O86,IF(LEN(X86),X86,""))</f>
        <v/>
      </c>
      <c r="Z86" t="str">
        <f t="shared" si="22"/>
        <v/>
      </c>
      <c r="AA86" t="str">
        <f t="shared" si="23"/>
        <v/>
      </c>
      <c r="AB86" t="str">
        <f t="shared" si="23"/>
        <v/>
      </c>
      <c r="AC86" t="str">
        <f t="shared" si="23"/>
        <v/>
      </c>
      <c r="AD86" t="str">
        <f t="shared" si="24"/>
        <v/>
      </c>
      <c r="AE86" t="str">
        <f t="shared" si="24"/>
        <v/>
      </c>
      <c r="AF86" t="str">
        <f t="shared" si="25"/>
        <v/>
      </c>
      <c r="AG86" t="str">
        <f t="shared" si="26"/>
        <v/>
      </c>
      <c r="AH86" t="str">
        <f t="shared" si="27"/>
        <v/>
      </c>
      <c r="AI86" t="str">
        <f t="shared" si="28"/>
        <v/>
      </c>
      <c r="AJ86" t="str">
        <f t="shared" si="29"/>
        <v/>
      </c>
      <c r="AK86" t="str">
        <f t="shared" si="30"/>
        <v/>
      </c>
      <c r="AM86" t="str">
        <f>IF(LEN(G86),IF(OR(COUNTIF(G86,"*◆*"),COUNTIF(G86,"*▼*"),COUNTIF(G86,"*■*")),"","●"),"")</f>
        <v/>
      </c>
      <c r="AN86" t="str">
        <f>IF(AM86="●",(AN$4+MOD(INT(MID(E86,5,3)),AN$2))*AN$6,"")</f>
        <v/>
      </c>
      <c r="AO86" t="str">
        <f>IF($AM86="●","LDP "&amp;E86&amp;"."&amp;$B$14,"")</f>
        <v/>
      </c>
      <c r="AP86" t="str">
        <f>IF($AM86="●","AND=.D "&amp;$B$15&amp;" #0","")</f>
        <v/>
      </c>
      <c r="AQ86" t="str">
        <f>IF($AM86="●","MOV.D #"&amp;AN86&amp;" "&amp;$B$15,"")</f>
        <v/>
      </c>
      <c r="AR86" t="str">
        <f>IF(LEN(AK86),"MOV.D "&amp;$AK86&amp;" "&amp;$B$17,"")</f>
        <v/>
      </c>
      <c r="AS86" t="str">
        <f>IF(AND(D86&lt;&gt;0,AM86="●"),CHAR(10),"")&amp;IF(LEN(AO86),AO86,"")</f>
        <v/>
      </c>
      <c r="AT86" t="str">
        <f t="shared" si="20"/>
        <v/>
      </c>
      <c r="AU86" t="str">
        <f t="shared" si="21"/>
        <v/>
      </c>
      <c r="AV86" t="str">
        <f t="shared" si="31"/>
        <v/>
      </c>
      <c r="AW86" t="str">
        <f t="shared" si="32"/>
        <v/>
      </c>
      <c r="AY86" t="str">
        <f>IF($AM86="●",AT86&amp;CHAR(10)&amp;"BOX_ST"&amp;CHAR(10)&amp;";//"&amp;$B$10,"")</f>
        <v/>
      </c>
      <c r="AZ86" t="str">
        <f>IF($AM86="●",IF(LEN(AY86),AY86&amp;CHAR(10),"")&amp;";//エラーNo.を入れる"&amp;CHAR(10)&amp;";"&amp;$B$15&amp;"	:= "&amp;AN86&amp;";","")</f>
        <v/>
      </c>
      <c r="BA86" t="str">
        <f>IF($AM86="●",IF(LEN(AZ86),AZ86&amp;CHAR(10),"")&amp;";//カウントする"&amp;CHAR(10)&amp;";"&amp;$B$16&amp;"	:= "&amp;$B$16&amp;" + 1;","")</f>
        <v/>
      </c>
      <c r="BB86" t="str">
        <f>IF($AM86="●",IF(LEN(BA86),BA86&amp;CHAR(10),"")&amp;IF(LEN(AK86),";//エラーコードを入れる"&amp;CHAR(10)&amp;";"&amp;$B$17&amp;"	:= "&amp;AK86&amp;".udiErr;",""),"")</f>
        <v/>
      </c>
      <c r="BC86" t="str">
        <f>IF($AM86="●",IF(LEN(BB86),BB86&amp;CHAR(10),"")&amp;";//"&amp;$B$11,"")</f>
        <v/>
      </c>
      <c r="BE86">
        <f>INT(D86/$BE$6)</f>
        <v>26</v>
      </c>
      <c r="BF86">
        <f>MOD(D86,$BE$6)</f>
        <v>0</v>
      </c>
      <c r="BG86" t="str">
        <f>IF(LEN(E86),E86&amp;".x"&amp;TEXT(BF86,"0")&amp;CHAR(9)&amp;" := FALSE;","")</f>
        <v/>
      </c>
      <c r="BH86" t="str">
        <f t="shared" si="33"/>
        <v/>
      </c>
    </row>
    <row r="87" spans="4:60" x14ac:dyDescent="0.55000000000000004">
      <c r="D87">
        <v>79</v>
      </c>
      <c r="E87" t="str">
        <f>IF(LEN(I87),I87,IF(LEN(Q87),Q87,""))</f>
        <v/>
      </c>
      <c r="F87" t="str">
        <f>IF(LEN(J87),J87,IF(LEN(R87),R87,""))</f>
        <v/>
      </c>
      <c r="G87" t="str">
        <f>IF(LEN(O87),O87,IF(LEN(X87),X87,""))</f>
        <v/>
      </c>
      <c r="Z87" t="str">
        <f t="shared" si="22"/>
        <v/>
      </c>
      <c r="AA87" t="str">
        <f t="shared" si="23"/>
        <v/>
      </c>
      <c r="AB87" t="str">
        <f t="shared" si="23"/>
        <v/>
      </c>
      <c r="AC87" t="str">
        <f t="shared" si="23"/>
        <v/>
      </c>
      <c r="AD87" t="str">
        <f t="shared" si="24"/>
        <v/>
      </c>
      <c r="AE87" t="str">
        <f t="shared" si="24"/>
        <v/>
      </c>
      <c r="AF87" t="str">
        <f t="shared" si="25"/>
        <v/>
      </c>
      <c r="AG87" t="str">
        <f t="shared" si="26"/>
        <v/>
      </c>
      <c r="AH87" t="str">
        <f t="shared" si="27"/>
        <v/>
      </c>
      <c r="AI87" t="str">
        <f t="shared" si="28"/>
        <v/>
      </c>
      <c r="AJ87" t="str">
        <f t="shared" si="29"/>
        <v/>
      </c>
      <c r="AK87" t="str">
        <f t="shared" si="30"/>
        <v/>
      </c>
      <c r="AM87" t="str">
        <f>IF(LEN(G87),IF(OR(COUNTIF(G87,"*◆*"),COUNTIF(G87,"*▼*"),COUNTIF(G87,"*■*")),"","●"),"")</f>
        <v/>
      </c>
      <c r="AN87" t="str">
        <f>IF(AM87="●",(AN$4+MOD(INT(MID(E87,5,3)),AN$2))*AN$6,"")</f>
        <v/>
      </c>
      <c r="AO87" t="str">
        <f>IF($AM87="●","LDP "&amp;E87&amp;"."&amp;$B$14,"")</f>
        <v/>
      </c>
      <c r="AP87" t="str">
        <f>IF($AM87="●","AND=.D "&amp;$B$15&amp;" #0","")</f>
        <v/>
      </c>
      <c r="AQ87" t="str">
        <f>IF($AM87="●","MOV.D #"&amp;AN87&amp;" "&amp;$B$15,"")</f>
        <v/>
      </c>
      <c r="AR87" t="str">
        <f>IF(LEN(AK87),"MOV.D "&amp;$AK87&amp;" "&amp;$B$17,"")</f>
        <v/>
      </c>
      <c r="AS87" t="str">
        <f>IF(AND(D87&lt;&gt;0,AM87="●"),CHAR(10),"")&amp;IF(LEN(AO87),AO87,"")</f>
        <v/>
      </c>
      <c r="AT87" t="str">
        <f t="shared" si="20"/>
        <v/>
      </c>
      <c r="AU87" t="str">
        <f t="shared" si="21"/>
        <v/>
      </c>
      <c r="AV87" t="str">
        <f t="shared" si="31"/>
        <v/>
      </c>
      <c r="AW87" t="str">
        <f t="shared" si="32"/>
        <v/>
      </c>
      <c r="AY87" t="str">
        <f>IF($AM87="●",AT87&amp;CHAR(10)&amp;"BOX_ST"&amp;CHAR(10)&amp;";//"&amp;$B$10,"")</f>
        <v/>
      </c>
      <c r="AZ87" t="str">
        <f>IF($AM87="●",IF(LEN(AY87),AY87&amp;CHAR(10),"")&amp;";//エラーNo.を入れる"&amp;CHAR(10)&amp;";"&amp;$B$15&amp;"	:= "&amp;AN87&amp;";","")</f>
        <v/>
      </c>
      <c r="BA87" t="str">
        <f>IF($AM87="●",IF(LEN(AZ87),AZ87&amp;CHAR(10),"")&amp;";//カウントする"&amp;CHAR(10)&amp;";"&amp;$B$16&amp;"	:= "&amp;$B$16&amp;" + 1;","")</f>
        <v/>
      </c>
      <c r="BB87" t="str">
        <f>IF($AM87="●",IF(LEN(BA87),BA87&amp;CHAR(10),"")&amp;IF(LEN(AK87),";//エラーコードを入れる"&amp;CHAR(10)&amp;";"&amp;$B$17&amp;"	:= "&amp;AK87&amp;".udiErr;",""),"")</f>
        <v/>
      </c>
      <c r="BC87" t="str">
        <f>IF($AM87="●",IF(LEN(BB87),BB87&amp;CHAR(10),"")&amp;";//"&amp;$B$11,"")</f>
        <v/>
      </c>
      <c r="BE87">
        <f>INT(D87/$BE$6)</f>
        <v>26</v>
      </c>
      <c r="BF87">
        <f>MOD(D87,$BE$6)</f>
        <v>1</v>
      </c>
      <c r="BG87" t="str">
        <f>IF(LEN(E87),E87&amp;".x"&amp;TEXT(BF87,"0")&amp;CHAR(9)&amp;" := FALSE;","")</f>
        <v/>
      </c>
      <c r="BH87" t="str">
        <f t="shared" si="33"/>
        <v/>
      </c>
    </row>
    <row r="88" spans="4:60" x14ac:dyDescent="0.55000000000000004">
      <c r="D88">
        <v>80</v>
      </c>
      <c r="E88" t="str">
        <f>IF(LEN(I88),I88,IF(LEN(Q88),Q88,""))</f>
        <v/>
      </c>
      <c r="F88" t="str">
        <f>IF(LEN(J88),J88,IF(LEN(R88),R88,""))</f>
        <v/>
      </c>
      <c r="G88" t="str">
        <f>IF(LEN(O88),O88,IF(LEN(X88),X88,""))</f>
        <v/>
      </c>
      <c r="Z88" t="str">
        <f t="shared" si="22"/>
        <v/>
      </c>
      <c r="AA88" t="str">
        <f t="shared" si="23"/>
        <v/>
      </c>
      <c r="AB88" t="str">
        <f t="shared" si="23"/>
        <v/>
      </c>
      <c r="AC88" t="str">
        <f t="shared" si="23"/>
        <v/>
      </c>
      <c r="AD88" t="str">
        <f t="shared" si="24"/>
        <v/>
      </c>
      <c r="AE88" t="str">
        <f t="shared" si="24"/>
        <v/>
      </c>
      <c r="AF88" t="str">
        <f t="shared" si="25"/>
        <v/>
      </c>
      <c r="AG88" t="str">
        <f t="shared" si="26"/>
        <v/>
      </c>
      <c r="AH88" t="str">
        <f t="shared" si="27"/>
        <v/>
      </c>
      <c r="AI88" t="str">
        <f t="shared" si="28"/>
        <v/>
      </c>
      <c r="AJ88" t="str">
        <f t="shared" si="29"/>
        <v/>
      </c>
      <c r="AK88" t="str">
        <f t="shared" si="30"/>
        <v/>
      </c>
      <c r="AM88" t="str">
        <f>IF(LEN(G88),IF(OR(COUNTIF(G88,"*◆*"),COUNTIF(G88,"*▼*"),COUNTIF(G88,"*■*")),"","●"),"")</f>
        <v/>
      </c>
      <c r="AN88" t="str">
        <f>IF(AM88="●",(AN$4+MOD(INT(MID(E88,5,3)),AN$2))*AN$6,"")</f>
        <v/>
      </c>
      <c r="AO88" t="str">
        <f>IF($AM88="●","LDP "&amp;E88&amp;"."&amp;$B$14,"")</f>
        <v/>
      </c>
      <c r="AP88" t="str">
        <f>IF($AM88="●","AND=.D "&amp;$B$15&amp;" #0","")</f>
        <v/>
      </c>
      <c r="AQ88" t="str">
        <f>IF($AM88="●","MOV.D #"&amp;AN88&amp;" "&amp;$B$15,"")</f>
        <v/>
      </c>
      <c r="AR88" t="str">
        <f>IF(LEN(AK88),"MOV.D "&amp;$AK88&amp;" "&amp;$B$17,"")</f>
        <v/>
      </c>
      <c r="AS88" t="str">
        <f>IF(AND(D88&lt;&gt;0,AM88="●"),CHAR(10),"")&amp;IF(LEN(AO88),AO88,"")</f>
        <v/>
      </c>
      <c r="AT88" t="str">
        <f t="shared" si="20"/>
        <v/>
      </c>
      <c r="AU88" t="str">
        <f t="shared" si="21"/>
        <v/>
      </c>
      <c r="AV88" t="str">
        <f t="shared" si="31"/>
        <v/>
      </c>
      <c r="AW88" t="str">
        <f t="shared" si="32"/>
        <v/>
      </c>
      <c r="AY88" t="str">
        <f>IF($AM88="●",AT88&amp;CHAR(10)&amp;"BOX_ST"&amp;CHAR(10)&amp;";//"&amp;$B$10,"")</f>
        <v/>
      </c>
      <c r="AZ88" t="str">
        <f>IF($AM88="●",IF(LEN(AY88),AY88&amp;CHAR(10),"")&amp;";//エラーNo.を入れる"&amp;CHAR(10)&amp;";"&amp;$B$15&amp;"	:= "&amp;AN88&amp;";","")</f>
        <v/>
      </c>
      <c r="BA88" t="str">
        <f>IF($AM88="●",IF(LEN(AZ88),AZ88&amp;CHAR(10),"")&amp;";//カウントする"&amp;CHAR(10)&amp;";"&amp;$B$16&amp;"	:= "&amp;$B$16&amp;" + 1;","")</f>
        <v/>
      </c>
      <c r="BB88" t="str">
        <f>IF($AM88="●",IF(LEN(BA88),BA88&amp;CHAR(10),"")&amp;IF(LEN(AK88),";//エラーコードを入れる"&amp;CHAR(10)&amp;";"&amp;$B$17&amp;"	:= "&amp;AK88&amp;".udiErr;",""),"")</f>
        <v/>
      </c>
      <c r="BC88" t="str">
        <f>IF($AM88="●",IF(LEN(BB88),BB88&amp;CHAR(10),"")&amp;";//"&amp;$B$11,"")</f>
        <v/>
      </c>
      <c r="BE88">
        <f>INT(D88/$BE$6)</f>
        <v>26</v>
      </c>
      <c r="BF88">
        <f>MOD(D88,$BE$6)</f>
        <v>2</v>
      </c>
      <c r="BG88" t="str">
        <f>IF(LEN(E88),E88&amp;".x"&amp;TEXT(BF88,"0")&amp;CHAR(9)&amp;" := FALSE;","")</f>
        <v/>
      </c>
      <c r="BH88" t="str">
        <f t="shared" si="33"/>
        <v/>
      </c>
    </row>
    <row r="89" spans="4:60" x14ac:dyDescent="0.55000000000000004">
      <c r="D89">
        <v>81</v>
      </c>
      <c r="E89" t="str">
        <f>IF(LEN(I89),I89,IF(LEN(Q89),Q89,""))</f>
        <v/>
      </c>
      <c r="F89" t="str">
        <f>IF(LEN(J89),J89,IF(LEN(R89),R89,""))</f>
        <v/>
      </c>
      <c r="G89" t="str">
        <f>IF(LEN(O89),O89,IF(LEN(X89),X89,""))</f>
        <v/>
      </c>
      <c r="Z89" t="str">
        <f t="shared" si="22"/>
        <v/>
      </c>
      <c r="AA89" t="str">
        <f t="shared" si="23"/>
        <v/>
      </c>
      <c r="AB89" t="str">
        <f t="shared" si="23"/>
        <v/>
      </c>
      <c r="AC89" t="str">
        <f t="shared" si="23"/>
        <v/>
      </c>
      <c r="AD89" t="str">
        <f t="shared" si="24"/>
        <v/>
      </c>
      <c r="AE89" t="str">
        <f t="shared" si="24"/>
        <v/>
      </c>
      <c r="AF89" t="str">
        <f t="shared" si="25"/>
        <v/>
      </c>
      <c r="AG89" t="str">
        <f t="shared" si="26"/>
        <v/>
      </c>
      <c r="AH89" t="str">
        <f t="shared" si="27"/>
        <v/>
      </c>
      <c r="AI89" t="str">
        <f t="shared" si="28"/>
        <v/>
      </c>
      <c r="AJ89" t="str">
        <f t="shared" si="29"/>
        <v/>
      </c>
      <c r="AK89" t="str">
        <f t="shared" si="30"/>
        <v/>
      </c>
      <c r="AM89" t="str">
        <f>IF(LEN(G89),IF(OR(COUNTIF(G89,"*◆*"),COUNTIF(G89,"*▼*"),COUNTIF(G89,"*■*")),"","●"),"")</f>
        <v/>
      </c>
      <c r="AN89" t="str">
        <f>IF(AM89="●",(AN$4+MOD(INT(MID(E89,5,3)),AN$2))*AN$6,"")</f>
        <v/>
      </c>
      <c r="AO89" t="str">
        <f>IF($AM89="●","LDP "&amp;E89&amp;"."&amp;$B$14,"")</f>
        <v/>
      </c>
      <c r="AP89" t="str">
        <f>IF($AM89="●","AND=.D "&amp;$B$15&amp;" #0","")</f>
        <v/>
      </c>
      <c r="AQ89" t="str">
        <f>IF($AM89="●","MOV.D #"&amp;AN89&amp;" "&amp;$B$15,"")</f>
        <v/>
      </c>
      <c r="AR89" t="str">
        <f>IF(LEN(AK89),"MOV.D "&amp;$AK89&amp;" "&amp;$B$17,"")</f>
        <v/>
      </c>
      <c r="AS89" t="str">
        <f>IF(AND(D89&lt;&gt;0,AM89="●"),CHAR(10),"")&amp;IF(LEN(AO89),AO89,"")</f>
        <v/>
      </c>
      <c r="AT89" t="str">
        <f t="shared" si="20"/>
        <v/>
      </c>
      <c r="AU89" t="str">
        <f t="shared" si="21"/>
        <v/>
      </c>
      <c r="AV89" t="str">
        <f t="shared" si="31"/>
        <v/>
      </c>
      <c r="AW89" t="str">
        <f t="shared" si="32"/>
        <v/>
      </c>
      <c r="AY89" t="str">
        <f>IF($AM89="●",AT89&amp;CHAR(10)&amp;"BOX_ST"&amp;CHAR(10)&amp;";//"&amp;$B$10,"")</f>
        <v/>
      </c>
      <c r="AZ89" t="str">
        <f>IF($AM89="●",IF(LEN(AY89),AY89&amp;CHAR(10),"")&amp;";//エラーNo.を入れる"&amp;CHAR(10)&amp;";"&amp;$B$15&amp;"	:= "&amp;AN89&amp;";","")</f>
        <v/>
      </c>
      <c r="BA89" t="str">
        <f>IF($AM89="●",IF(LEN(AZ89),AZ89&amp;CHAR(10),"")&amp;";//カウントする"&amp;CHAR(10)&amp;";"&amp;$B$16&amp;"	:= "&amp;$B$16&amp;" + 1;","")</f>
        <v/>
      </c>
      <c r="BB89" t="str">
        <f>IF($AM89="●",IF(LEN(BA89),BA89&amp;CHAR(10),"")&amp;IF(LEN(AK89),";//エラーコードを入れる"&amp;CHAR(10)&amp;";"&amp;$B$17&amp;"	:= "&amp;AK89&amp;".udiErr;",""),"")</f>
        <v/>
      </c>
      <c r="BC89" t="str">
        <f>IF($AM89="●",IF(LEN(BB89),BB89&amp;CHAR(10),"")&amp;";//"&amp;$B$11,"")</f>
        <v/>
      </c>
      <c r="BE89">
        <f>INT(D89/$BE$6)</f>
        <v>27</v>
      </c>
      <c r="BF89">
        <f>MOD(D89,$BE$6)</f>
        <v>0</v>
      </c>
      <c r="BG89" t="str">
        <f>IF(LEN(E89),E89&amp;".x"&amp;TEXT(BF89,"0")&amp;CHAR(9)&amp;" := FALSE;","")</f>
        <v/>
      </c>
      <c r="BH89" t="str">
        <f t="shared" si="33"/>
        <v/>
      </c>
    </row>
    <row r="90" spans="4:60" x14ac:dyDescent="0.55000000000000004">
      <c r="D90">
        <v>82</v>
      </c>
      <c r="E90" t="str">
        <f>IF(LEN(I90),I90,IF(LEN(Q90),Q90,""))</f>
        <v/>
      </c>
      <c r="F90" t="str">
        <f>IF(LEN(J90),J90,IF(LEN(R90),R90,""))</f>
        <v/>
      </c>
      <c r="G90" t="str">
        <f>IF(LEN(O90),O90,IF(LEN(X90),X90,""))</f>
        <v/>
      </c>
      <c r="Z90" t="str">
        <f t="shared" si="22"/>
        <v/>
      </c>
      <c r="AA90" t="str">
        <f t="shared" si="23"/>
        <v/>
      </c>
      <c r="AB90" t="str">
        <f t="shared" si="23"/>
        <v/>
      </c>
      <c r="AC90" t="str">
        <f t="shared" si="23"/>
        <v/>
      </c>
      <c r="AD90" t="str">
        <f t="shared" si="24"/>
        <v/>
      </c>
      <c r="AE90" t="str">
        <f t="shared" si="24"/>
        <v/>
      </c>
      <c r="AF90" t="str">
        <f t="shared" si="25"/>
        <v/>
      </c>
      <c r="AG90" t="str">
        <f t="shared" si="26"/>
        <v/>
      </c>
      <c r="AH90" t="str">
        <f t="shared" si="27"/>
        <v/>
      </c>
      <c r="AI90" t="str">
        <f t="shared" si="28"/>
        <v/>
      </c>
      <c r="AJ90" t="str">
        <f t="shared" si="29"/>
        <v/>
      </c>
      <c r="AK90" t="str">
        <f t="shared" si="30"/>
        <v/>
      </c>
      <c r="AM90" t="str">
        <f>IF(LEN(G90),IF(OR(COUNTIF(G90,"*◆*"),COUNTIF(G90,"*▼*"),COUNTIF(G90,"*■*")),"","●"),"")</f>
        <v/>
      </c>
      <c r="AN90" t="str">
        <f>IF(AM90="●",(AN$4+MOD(INT(MID(E90,5,3)),AN$2))*AN$6,"")</f>
        <v/>
      </c>
      <c r="AO90" t="str">
        <f>IF($AM90="●","LDP "&amp;E90&amp;"."&amp;$B$14,"")</f>
        <v/>
      </c>
      <c r="AP90" t="str">
        <f>IF($AM90="●","AND=.D "&amp;$B$15&amp;" #0","")</f>
        <v/>
      </c>
      <c r="AQ90" t="str">
        <f>IF($AM90="●","MOV.D #"&amp;AN90&amp;" "&amp;$B$15,"")</f>
        <v/>
      </c>
      <c r="AR90" t="str">
        <f>IF(LEN(AK90),"MOV.D "&amp;$AK90&amp;" "&amp;$B$17,"")</f>
        <v/>
      </c>
      <c r="AS90" t="str">
        <f>IF(AND(D90&lt;&gt;0,AM90="●"),CHAR(10),"")&amp;IF(LEN(AO90),AO90,"")</f>
        <v/>
      </c>
      <c r="AT90" t="str">
        <f t="shared" si="20"/>
        <v/>
      </c>
      <c r="AU90" t="str">
        <f t="shared" si="21"/>
        <v/>
      </c>
      <c r="AV90" t="str">
        <f t="shared" si="31"/>
        <v/>
      </c>
      <c r="AW90" t="str">
        <f t="shared" si="32"/>
        <v/>
      </c>
      <c r="AY90" t="str">
        <f>IF($AM90="●",AT90&amp;CHAR(10)&amp;"BOX_ST"&amp;CHAR(10)&amp;";//"&amp;$B$10,"")</f>
        <v/>
      </c>
      <c r="AZ90" t="str">
        <f>IF($AM90="●",IF(LEN(AY90),AY90&amp;CHAR(10),"")&amp;";//エラーNo.を入れる"&amp;CHAR(10)&amp;";"&amp;$B$15&amp;"	:= "&amp;AN90&amp;";","")</f>
        <v/>
      </c>
      <c r="BA90" t="str">
        <f>IF($AM90="●",IF(LEN(AZ90),AZ90&amp;CHAR(10),"")&amp;";//カウントする"&amp;CHAR(10)&amp;";"&amp;$B$16&amp;"	:= "&amp;$B$16&amp;" + 1;","")</f>
        <v/>
      </c>
      <c r="BB90" t="str">
        <f>IF($AM90="●",IF(LEN(BA90),BA90&amp;CHAR(10),"")&amp;IF(LEN(AK90),";//エラーコードを入れる"&amp;CHAR(10)&amp;";"&amp;$B$17&amp;"	:= "&amp;AK90&amp;".udiErr;",""),"")</f>
        <v/>
      </c>
      <c r="BC90" t="str">
        <f>IF($AM90="●",IF(LEN(BB90),BB90&amp;CHAR(10),"")&amp;";//"&amp;$B$11,"")</f>
        <v/>
      </c>
      <c r="BE90">
        <f>INT(D90/$BE$6)</f>
        <v>27</v>
      </c>
      <c r="BF90">
        <f>MOD(D90,$BE$6)</f>
        <v>1</v>
      </c>
      <c r="BG90" t="str">
        <f>IF(LEN(E90),E90&amp;".x"&amp;TEXT(BF90,"0")&amp;CHAR(9)&amp;" := FALSE;","")</f>
        <v/>
      </c>
      <c r="BH90" t="str">
        <f t="shared" si="33"/>
        <v/>
      </c>
    </row>
    <row r="91" spans="4:60" x14ac:dyDescent="0.55000000000000004">
      <c r="D91">
        <v>83</v>
      </c>
      <c r="E91" t="str">
        <f>IF(LEN(I91),I91,IF(LEN(Q91),Q91,""))</f>
        <v/>
      </c>
      <c r="F91" t="str">
        <f>IF(LEN(J91),J91,IF(LEN(R91),R91,""))</f>
        <v/>
      </c>
      <c r="G91" t="str">
        <f>IF(LEN(O91),O91,IF(LEN(X91),X91,""))</f>
        <v/>
      </c>
      <c r="Z91" t="str">
        <f t="shared" si="22"/>
        <v/>
      </c>
      <c r="AA91" t="str">
        <f t="shared" si="23"/>
        <v/>
      </c>
      <c r="AB91" t="str">
        <f t="shared" si="23"/>
        <v/>
      </c>
      <c r="AC91" t="str">
        <f t="shared" si="23"/>
        <v/>
      </c>
      <c r="AD91" t="str">
        <f t="shared" si="24"/>
        <v/>
      </c>
      <c r="AE91" t="str">
        <f t="shared" si="24"/>
        <v/>
      </c>
      <c r="AF91" t="str">
        <f t="shared" si="25"/>
        <v/>
      </c>
      <c r="AG91" t="str">
        <f t="shared" si="26"/>
        <v/>
      </c>
      <c r="AH91" t="str">
        <f t="shared" si="27"/>
        <v/>
      </c>
      <c r="AI91" t="str">
        <f t="shared" si="28"/>
        <v/>
      </c>
      <c r="AJ91" t="str">
        <f t="shared" si="29"/>
        <v/>
      </c>
      <c r="AK91" t="str">
        <f t="shared" si="30"/>
        <v/>
      </c>
      <c r="AM91" t="str">
        <f>IF(LEN(G91),IF(OR(COUNTIF(G91,"*◆*"),COUNTIF(G91,"*▼*"),COUNTIF(G91,"*■*")),"","●"),"")</f>
        <v/>
      </c>
      <c r="AN91" t="str">
        <f>IF(AM91="●",(AN$4+MOD(INT(MID(E91,5,3)),AN$2))*AN$6,"")</f>
        <v/>
      </c>
      <c r="AO91" t="str">
        <f>IF($AM91="●","LDP "&amp;E91&amp;"."&amp;$B$14,"")</f>
        <v/>
      </c>
      <c r="AP91" t="str">
        <f>IF($AM91="●","AND=.D "&amp;$B$15&amp;" #0","")</f>
        <v/>
      </c>
      <c r="AQ91" t="str">
        <f>IF($AM91="●","MOV.D #"&amp;AN91&amp;" "&amp;$B$15,"")</f>
        <v/>
      </c>
      <c r="AR91" t="str">
        <f>IF(LEN(AK91),"MOV.D "&amp;$AK91&amp;" "&amp;$B$17,"")</f>
        <v/>
      </c>
      <c r="AS91" t="str">
        <f>IF(AND(D91&lt;&gt;0,AM91="●"),CHAR(10),"")&amp;IF(LEN(AO91),AO91,"")</f>
        <v/>
      </c>
      <c r="AT91" t="str">
        <f t="shared" si="20"/>
        <v/>
      </c>
      <c r="AU91" t="str">
        <f t="shared" si="21"/>
        <v/>
      </c>
      <c r="AV91" t="str">
        <f t="shared" si="31"/>
        <v/>
      </c>
      <c r="AW91" t="str">
        <f t="shared" si="32"/>
        <v/>
      </c>
      <c r="AY91" t="str">
        <f>IF($AM91="●",AT91&amp;CHAR(10)&amp;"BOX_ST"&amp;CHAR(10)&amp;";//"&amp;$B$10,"")</f>
        <v/>
      </c>
      <c r="AZ91" t="str">
        <f>IF($AM91="●",IF(LEN(AY91),AY91&amp;CHAR(10),"")&amp;";//エラーNo.を入れる"&amp;CHAR(10)&amp;";"&amp;$B$15&amp;"	:= "&amp;AN91&amp;";","")</f>
        <v/>
      </c>
      <c r="BA91" t="str">
        <f>IF($AM91="●",IF(LEN(AZ91),AZ91&amp;CHAR(10),"")&amp;";//カウントする"&amp;CHAR(10)&amp;";"&amp;$B$16&amp;"	:= "&amp;$B$16&amp;" + 1;","")</f>
        <v/>
      </c>
      <c r="BB91" t="str">
        <f>IF($AM91="●",IF(LEN(BA91),BA91&amp;CHAR(10),"")&amp;IF(LEN(AK91),";//エラーコードを入れる"&amp;CHAR(10)&amp;";"&amp;$B$17&amp;"	:= "&amp;AK91&amp;".udiErr;",""),"")</f>
        <v/>
      </c>
      <c r="BC91" t="str">
        <f>IF($AM91="●",IF(LEN(BB91),BB91&amp;CHAR(10),"")&amp;";//"&amp;$B$11,"")</f>
        <v/>
      </c>
      <c r="BE91">
        <f>INT(D91/$BE$6)</f>
        <v>27</v>
      </c>
      <c r="BF91">
        <f>MOD(D91,$BE$6)</f>
        <v>2</v>
      </c>
      <c r="BG91" t="str">
        <f>IF(LEN(E91),E91&amp;".x"&amp;TEXT(BF91,"0")&amp;CHAR(9)&amp;" := FALSE;","")</f>
        <v/>
      </c>
      <c r="BH91" t="str">
        <f t="shared" si="33"/>
        <v/>
      </c>
    </row>
    <row r="92" spans="4:60" x14ac:dyDescent="0.55000000000000004">
      <c r="D92">
        <v>84</v>
      </c>
      <c r="E92" t="str">
        <f>IF(LEN(I92),I92,IF(LEN(Q92),Q92,""))</f>
        <v/>
      </c>
      <c r="F92" t="str">
        <f>IF(LEN(J92),J92,IF(LEN(R92),R92,""))</f>
        <v/>
      </c>
      <c r="G92" t="str">
        <f>IF(LEN(O92),O92,IF(LEN(X92),X92,""))</f>
        <v/>
      </c>
      <c r="Z92" t="str">
        <f t="shared" si="22"/>
        <v/>
      </c>
      <c r="AA92" t="str">
        <f t="shared" si="23"/>
        <v/>
      </c>
      <c r="AB92" t="str">
        <f t="shared" si="23"/>
        <v/>
      </c>
      <c r="AC92" t="str">
        <f t="shared" si="23"/>
        <v/>
      </c>
      <c r="AD92" t="str">
        <f t="shared" si="24"/>
        <v/>
      </c>
      <c r="AE92" t="str">
        <f t="shared" si="24"/>
        <v/>
      </c>
      <c r="AF92" t="str">
        <f t="shared" si="25"/>
        <v/>
      </c>
      <c r="AG92" t="str">
        <f t="shared" si="26"/>
        <v/>
      </c>
      <c r="AH92" t="str">
        <f t="shared" si="27"/>
        <v/>
      </c>
      <c r="AI92" t="str">
        <f t="shared" si="28"/>
        <v/>
      </c>
      <c r="AJ92" t="str">
        <f t="shared" si="29"/>
        <v/>
      </c>
      <c r="AK92" t="str">
        <f t="shared" si="30"/>
        <v/>
      </c>
      <c r="AM92" t="str">
        <f>IF(LEN(G92),IF(OR(COUNTIF(G92,"*◆*"),COUNTIF(G92,"*▼*"),COUNTIF(G92,"*■*")),"","●"),"")</f>
        <v/>
      </c>
      <c r="AN92" t="str">
        <f>IF(AM92="●",(AN$4+MOD(INT(MID(E92,5,3)),AN$2))*AN$6,"")</f>
        <v/>
      </c>
      <c r="AO92" t="str">
        <f>IF($AM92="●","LDP "&amp;E92&amp;"."&amp;$B$14,"")</f>
        <v/>
      </c>
      <c r="AP92" t="str">
        <f>IF($AM92="●","AND=.D "&amp;$B$15&amp;" #0","")</f>
        <v/>
      </c>
      <c r="AQ92" t="str">
        <f>IF($AM92="●","MOV.D #"&amp;AN92&amp;" "&amp;$B$15,"")</f>
        <v/>
      </c>
      <c r="AR92" t="str">
        <f>IF(LEN(AK92),"MOV.D "&amp;$AK92&amp;" "&amp;$B$17,"")</f>
        <v/>
      </c>
      <c r="AS92" t="str">
        <f>IF(AND(D92&lt;&gt;0,AM92="●"),CHAR(10),"")&amp;IF(LEN(AO92),AO92,"")</f>
        <v/>
      </c>
      <c r="AT92" t="str">
        <f t="shared" si="20"/>
        <v/>
      </c>
      <c r="AU92" t="str">
        <f t="shared" si="21"/>
        <v/>
      </c>
      <c r="AV92" t="str">
        <f t="shared" si="31"/>
        <v/>
      </c>
      <c r="AW92" t="str">
        <f t="shared" si="32"/>
        <v/>
      </c>
      <c r="AY92" t="str">
        <f>IF($AM92="●",AT92&amp;CHAR(10)&amp;"BOX_ST"&amp;CHAR(10)&amp;";//"&amp;$B$10,"")</f>
        <v/>
      </c>
      <c r="AZ92" t="str">
        <f>IF($AM92="●",IF(LEN(AY92),AY92&amp;CHAR(10),"")&amp;";//エラーNo.を入れる"&amp;CHAR(10)&amp;";"&amp;$B$15&amp;"	:= "&amp;AN92&amp;";","")</f>
        <v/>
      </c>
      <c r="BA92" t="str">
        <f>IF($AM92="●",IF(LEN(AZ92),AZ92&amp;CHAR(10),"")&amp;";//カウントする"&amp;CHAR(10)&amp;";"&amp;$B$16&amp;"	:= "&amp;$B$16&amp;" + 1;","")</f>
        <v/>
      </c>
      <c r="BB92" t="str">
        <f>IF($AM92="●",IF(LEN(BA92),BA92&amp;CHAR(10),"")&amp;IF(LEN(AK92),";//エラーコードを入れる"&amp;CHAR(10)&amp;";"&amp;$B$17&amp;"	:= "&amp;AK92&amp;".udiErr;",""),"")</f>
        <v/>
      </c>
      <c r="BC92" t="str">
        <f>IF($AM92="●",IF(LEN(BB92),BB92&amp;CHAR(10),"")&amp;";//"&amp;$B$11,"")</f>
        <v/>
      </c>
      <c r="BE92">
        <f>INT(D92/$BE$6)</f>
        <v>28</v>
      </c>
      <c r="BF92">
        <f>MOD(D92,$BE$6)</f>
        <v>0</v>
      </c>
      <c r="BG92" t="str">
        <f>IF(LEN(E92),E92&amp;".x"&amp;TEXT(BF92,"0")&amp;CHAR(9)&amp;" := FALSE;","")</f>
        <v/>
      </c>
      <c r="BH92" t="str">
        <f t="shared" si="33"/>
        <v/>
      </c>
    </row>
    <row r="93" spans="4:60" x14ac:dyDescent="0.55000000000000004">
      <c r="D93">
        <v>85</v>
      </c>
      <c r="E93" t="str">
        <f>IF(LEN(I93),I93,IF(LEN(Q93),Q93,""))</f>
        <v/>
      </c>
      <c r="F93" t="str">
        <f>IF(LEN(J93),J93,IF(LEN(R93),R93,""))</f>
        <v/>
      </c>
      <c r="G93" t="str">
        <f>IF(LEN(O93),O93,IF(LEN(X93),X93,""))</f>
        <v/>
      </c>
      <c r="Z93" t="str">
        <f t="shared" si="22"/>
        <v/>
      </c>
      <c r="AA93" t="str">
        <f t="shared" si="23"/>
        <v/>
      </c>
      <c r="AB93" t="str">
        <f t="shared" si="23"/>
        <v/>
      </c>
      <c r="AC93" t="str">
        <f t="shared" si="23"/>
        <v/>
      </c>
      <c r="AD93" t="str">
        <f t="shared" si="24"/>
        <v/>
      </c>
      <c r="AE93" t="str">
        <f t="shared" si="24"/>
        <v/>
      </c>
      <c r="AF93" t="str">
        <f t="shared" si="25"/>
        <v/>
      </c>
      <c r="AG93" t="str">
        <f t="shared" si="26"/>
        <v/>
      </c>
      <c r="AH93" t="str">
        <f t="shared" si="27"/>
        <v/>
      </c>
      <c r="AI93" t="str">
        <f t="shared" si="28"/>
        <v/>
      </c>
      <c r="AJ93" t="str">
        <f t="shared" si="29"/>
        <v/>
      </c>
      <c r="AK93" t="str">
        <f t="shared" si="30"/>
        <v/>
      </c>
      <c r="AM93" t="str">
        <f>IF(LEN(G93),IF(OR(COUNTIF(G93,"*◆*"),COUNTIF(G93,"*▼*"),COUNTIF(G93,"*■*")),"","●"),"")</f>
        <v/>
      </c>
      <c r="AN93" t="str">
        <f>IF(AM93="●",(AN$4+MOD(INT(MID(E93,5,3)),AN$2))*AN$6,"")</f>
        <v/>
      </c>
      <c r="AO93" t="str">
        <f>IF($AM93="●","LDP "&amp;E93&amp;"."&amp;$B$14,"")</f>
        <v/>
      </c>
      <c r="AP93" t="str">
        <f>IF($AM93="●","AND=.D "&amp;$B$15&amp;" #0","")</f>
        <v/>
      </c>
      <c r="AQ93" t="str">
        <f>IF($AM93="●","MOV.D #"&amp;AN93&amp;" "&amp;$B$15,"")</f>
        <v/>
      </c>
      <c r="AR93" t="str">
        <f>IF(LEN(AK93),"MOV.D "&amp;$AK93&amp;" "&amp;$B$17,"")</f>
        <v/>
      </c>
      <c r="AS93" t="str">
        <f>IF(AND(D93&lt;&gt;0,AM93="●"),CHAR(10),"")&amp;IF(LEN(AO93),AO93,"")</f>
        <v/>
      </c>
      <c r="AT93" t="str">
        <f t="shared" si="20"/>
        <v/>
      </c>
      <c r="AU93" t="str">
        <f t="shared" si="21"/>
        <v/>
      </c>
      <c r="AV93" t="str">
        <f t="shared" si="31"/>
        <v/>
      </c>
      <c r="AW93" t="str">
        <f t="shared" si="32"/>
        <v/>
      </c>
      <c r="AY93" t="str">
        <f>IF($AM93="●",AT93&amp;CHAR(10)&amp;"BOX_ST"&amp;CHAR(10)&amp;";//"&amp;$B$10,"")</f>
        <v/>
      </c>
      <c r="AZ93" t="str">
        <f>IF($AM93="●",IF(LEN(AY93),AY93&amp;CHAR(10),"")&amp;";//エラーNo.を入れる"&amp;CHAR(10)&amp;";"&amp;$B$15&amp;"	:= "&amp;AN93&amp;";","")</f>
        <v/>
      </c>
      <c r="BA93" t="str">
        <f>IF($AM93="●",IF(LEN(AZ93),AZ93&amp;CHAR(10),"")&amp;";//カウントする"&amp;CHAR(10)&amp;";"&amp;$B$16&amp;"	:= "&amp;$B$16&amp;" + 1;","")</f>
        <v/>
      </c>
      <c r="BB93" t="str">
        <f>IF($AM93="●",IF(LEN(BA93),BA93&amp;CHAR(10),"")&amp;IF(LEN(AK93),";//エラーコードを入れる"&amp;CHAR(10)&amp;";"&amp;$B$17&amp;"	:= "&amp;AK93&amp;".udiErr;",""),"")</f>
        <v/>
      </c>
      <c r="BC93" t="str">
        <f>IF($AM93="●",IF(LEN(BB93),BB93&amp;CHAR(10),"")&amp;";//"&amp;$B$11,"")</f>
        <v/>
      </c>
      <c r="BE93">
        <f>INT(D93/$BE$6)</f>
        <v>28</v>
      </c>
      <c r="BF93">
        <f>MOD(D93,$BE$6)</f>
        <v>1</v>
      </c>
      <c r="BG93" t="str">
        <f>IF(LEN(E93),E93&amp;".x"&amp;TEXT(BF93,"0")&amp;CHAR(9)&amp;" := FALSE;","")</f>
        <v/>
      </c>
      <c r="BH93" t="str">
        <f t="shared" si="33"/>
        <v/>
      </c>
    </row>
    <row r="94" spans="4:60" x14ac:dyDescent="0.55000000000000004">
      <c r="D94">
        <v>86</v>
      </c>
      <c r="E94" t="str">
        <f>IF(LEN(I94),I94,IF(LEN(Q94),Q94,""))</f>
        <v/>
      </c>
      <c r="F94" t="str">
        <f>IF(LEN(J94),J94,IF(LEN(R94),R94,""))</f>
        <v/>
      </c>
      <c r="G94" t="str">
        <f>IF(LEN(O94),O94,IF(LEN(X94),X94,""))</f>
        <v/>
      </c>
      <c r="Z94" t="str">
        <f t="shared" si="22"/>
        <v/>
      </c>
      <c r="AA94" t="str">
        <f t="shared" si="23"/>
        <v/>
      </c>
      <c r="AB94" t="str">
        <f t="shared" si="23"/>
        <v/>
      </c>
      <c r="AC94" t="str">
        <f t="shared" si="23"/>
        <v/>
      </c>
      <c r="AD94" t="str">
        <f t="shared" si="24"/>
        <v/>
      </c>
      <c r="AE94" t="str">
        <f t="shared" si="24"/>
        <v/>
      </c>
      <c r="AF94" t="str">
        <f t="shared" si="25"/>
        <v/>
      </c>
      <c r="AG94" t="str">
        <f t="shared" si="26"/>
        <v/>
      </c>
      <c r="AH94" t="str">
        <f t="shared" si="27"/>
        <v/>
      </c>
      <c r="AI94" t="str">
        <f t="shared" si="28"/>
        <v/>
      </c>
      <c r="AJ94" t="str">
        <f t="shared" si="29"/>
        <v/>
      </c>
      <c r="AK94" t="str">
        <f t="shared" si="30"/>
        <v/>
      </c>
      <c r="AM94" t="str">
        <f>IF(LEN(G94),IF(OR(COUNTIF(G94,"*◆*"),COUNTIF(G94,"*▼*"),COUNTIF(G94,"*■*")),"","●"),"")</f>
        <v/>
      </c>
      <c r="AN94" t="str">
        <f>IF(AM94="●",(AN$4+MOD(INT(MID(E94,5,3)),AN$2))*AN$6,"")</f>
        <v/>
      </c>
      <c r="AO94" t="str">
        <f>IF($AM94="●","LDP "&amp;E94&amp;"."&amp;$B$14,"")</f>
        <v/>
      </c>
      <c r="AP94" t="str">
        <f>IF($AM94="●","AND=.D "&amp;$B$15&amp;" #0","")</f>
        <v/>
      </c>
      <c r="AQ94" t="str">
        <f>IF($AM94="●","MOV.D #"&amp;AN94&amp;" "&amp;$B$15,"")</f>
        <v/>
      </c>
      <c r="AR94" t="str">
        <f>IF(LEN(AK94),"MOV.D "&amp;$AK94&amp;" "&amp;$B$17,"")</f>
        <v/>
      </c>
      <c r="AS94" t="str">
        <f>IF(AND(D94&lt;&gt;0,AM94="●"),CHAR(10),"")&amp;IF(LEN(AO94),AO94,"")</f>
        <v/>
      </c>
      <c r="AT94" t="str">
        <f t="shared" si="20"/>
        <v/>
      </c>
      <c r="AU94" t="str">
        <f t="shared" si="21"/>
        <v/>
      </c>
      <c r="AV94" t="str">
        <f t="shared" si="31"/>
        <v/>
      </c>
      <c r="AW94" t="str">
        <f t="shared" si="32"/>
        <v/>
      </c>
      <c r="AY94" t="str">
        <f>IF($AM94="●",AT94&amp;CHAR(10)&amp;"BOX_ST"&amp;CHAR(10)&amp;";//"&amp;$B$10,"")</f>
        <v/>
      </c>
      <c r="AZ94" t="str">
        <f>IF($AM94="●",IF(LEN(AY94),AY94&amp;CHAR(10),"")&amp;";//エラーNo.を入れる"&amp;CHAR(10)&amp;";"&amp;$B$15&amp;"	:= "&amp;AN94&amp;";","")</f>
        <v/>
      </c>
      <c r="BA94" t="str">
        <f>IF($AM94="●",IF(LEN(AZ94),AZ94&amp;CHAR(10),"")&amp;";//カウントする"&amp;CHAR(10)&amp;";"&amp;$B$16&amp;"	:= "&amp;$B$16&amp;" + 1;","")</f>
        <v/>
      </c>
      <c r="BB94" t="str">
        <f>IF($AM94="●",IF(LEN(BA94),BA94&amp;CHAR(10),"")&amp;IF(LEN(AK94),";//エラーコードを入れる"&amp;CHAR(10)&amp;";"&amp;$B$17&amp;"	:= "&amp;AK94&amp;".udiErr;",""),"")</f>
        <v/>
      </c>
      <c r="BC94" t="str">
        <f>IF($AM94="●",IF(LEN(BB94),BB94&amp;CHAR(10),"")&amp;";//"&amp;$B$11,"")</f>
        <v/>
      </c>
      <c r="BE94">
        <f>INT(D94/$BE$6)</f>
        <v>28</v>
      </c>
      <c r="BF94">
        <f>MOD(D94,$BE$6)</f>
        <v>2</v>
      </c>
      <c r="BG94" t="str">
        <f>IF(LEN(E94),E94&amp;".x"&amp;TEXT(BF94,"0")&amp;CHAR(9)&amp;" := FALSE;","")</f>
        <v/>
      </c>
      <c r="BH94" t="str">
        <f t="shared" si="33"/>
        <v/>
      </c>
    </row>
    <row r="95" spans="4:60" x14ac:dyDescent="0.55000000000000004">
      <c r="D95">
        <v>87</v>
      </c>
      <c r="E95" t="str">
        <f>IF(LEN(I95),I95,IF(LEN(Q95),Q95,""))</f>
        <v/>
      </c>
      <c r="F95" t="str">
        <f>IF(LEN(J95),J95,IF(LEN(R95),R95,""))</f>
        <v/>
      </c>
      <c r="G95" t="str">
        <f>IF(LEN(O95),O95,IF(LEN(X95),X95,""))</f>
        <v/>
      </c>
      <c r="Z95" t="str">
        <f t="shared" si="22"/>
        <v/>
      </c>
      <c r="AA95" t="str">
        <f t="shared" si="23"/>
        <v/>
      </c>
      <c r="AB95" t="str">
        <f t="shared" si="23"/>
        <v/>
      </c>
      <c r="AC95" t="str">
        <f t="shared" si="23"/>
        <v/>
      </c>
      <c r="AD95" t="str">
        <f t="shared" si="24"/>
        <v/>
      </c>
      <c r="AE95" t="str">
        <f t="shared" si="24"/>
        <v/>
      </c>
      <c r="AF95" t="str">
        <f t="shared" si="25"/>
        <v/>
      </c>
      <c r="AG95" t="str">
        <f t="shared" si="26"/>
        <v/>
      </c>
      <c r="AH95" t="str">
        <f t="shared" si="27"/>
        <v/>
      </c>
      <c r="AI95" t="str">
        <f t="shared" si="28"/>
        <v/>
      </c>
      <c r="AJ95" t="str">
        <f t="shared" si="29"/>
        <v/>
      </c>
      <c r="AK95" t="str">
        <f t="shared" si="30"/>
        <v/>
      </c>
      <c r="AM95" t="str">
        <f>IF(LEN(G95),IF(OR(COUNTIF(G95,"*◆*"),COUNTIF(G95,"*▼*"),COUNTIF(G95,"*■*")),"","●"),"")</f>
        <v/>
      </c>
      <c r="AN95" t="str">
        <f>IF(AM95="●",(AN$4+MOD(INT(MID(E95,5,3)),AN$2))*AN$6,"")</f>
        <v/>
      </c>
      <c r="AO95" t="str">
        <f>IF($AM95="●","LDP "&amp;E95&amp;"."&amp;$B$14,"")</f>
        <v/>
      </c>
      <c r="AP95" t="str">
        <f>IF($AM95="●","AND=.D "&amp;$B$15&amp;" #0","")</f>
        <v/>
      </c>
      <c r="AQ95" t="str">
        <f>IF($AM95="●","MOV.D #"&amp;AN95&amp;" "&amp;$B$15,"")</f>
        <v/>
      </c>
      <c r="AR95" t="str">
        <f>IF(LEN(AK95),"MOV.D "&amp;$AK95&amp;" "&amp;$B$17,"")</f>
        <v/>
      </c>
      <c r="AS95" t="str">
        <f>IF(AND(D95&lt;&gt;0,AM95="●"),CHAR(10),"")&amp;IF(LEN(AO95),AO95,"")</f>
        <v/>
      </c>
      <c r="AT95" t="str">
        <f t="shared" si="20"/>
        <v/>
      </c>
      <c r="AU95" t="str">
        <f t="shared" si="21"/>
        <v/>
      </c>
      <c r="AV95" t="str">
        <f t="shared" si="31"/>
        <v/>
      </c>
      <c r="AW95" t="str">
        <f t="shared" si="32"/>
        <v/>
      </c>
      <c r="AY95" t="str">
        <f>IF($AM95="●",AT95&amp;CHAR(10)&amp;"BOX_ST"&amp;CHAR(10)&amp;";//"&amp;$B$10,"")</f>
        <v/>
      </c>
      <c r="AZ95" t="str">
        <f>IF($AM95="●",IF(LEN(AY95),AY95&amp;CHAR(10),"")&amp;";//エラーNo.を入れる"&amp;CHAR(10)&amp;";"&amp;$B$15&amp;"	:= "&amp;AN95&amp;";","")</f>
        <v/>
      </c>
      <c r="BA95" t="str">
        <f>IF($AM95="●",IF(LEN(AZ95),AZ95&amp;CHAR(10),"")&amp;";//カウントする"&amp;CHAR(10)&amp;";"&amp;$B$16&amp;"	:= "&amp;$B$16&amp;" + 1;","")</f>
        <v/>
      </c>
      <c r="BB95" t="str">
        <f>IF($AM95="●",IF(LEN(BA95),BA95&amp;CHAR(10),"")&amp;IF(LEN(AK95),";//エラーコードを入れる"&amp;CHAR(10)&amp;";"&amp;$B$17&amp;"	:= "&amp;AK95&amp;".udiErr;",""),"")</f>
        <v/>
      </c>
      <c r="BC95" t="str">
        <f>IF($AM95="●",IF(LEN(BB95),BB95&amp;CHAR(10),"")&amp;";//"&amp;$B$11,"")</f>
        <v/>
      </c>
      <c r="BE95">
        <f>INT(D95/$BE$6)</f>
        <v>29</v>
      </c>
      <c r="BF95">
        <f>MOD(D95,$BE$6)</f>
        <v>0</v>
      </c>
      <c r="BG95" t="str">
        <f>IF(LEN(E95),E95&amp;".x"&amp;TEXT(BF95,"0")&amp;CHAR(9)&amp;" := FALSE;","")</f>
        <v/>
      </c>
      <c r="BH95" t="str">
        <f t="shared" si="33"/>
        <v/>
      </c>
    </row>
    <row r="96" spans="4:60" x14ac:dyDescent="0.55000000000000004">
      <c r="D96">
        <v>88</v>
      </c>
      <c r="E96" t="str">
        <f>IF(LEN(I96),I96,IF(LEN(Q96),Q96,""))</f>
        <v/>
      </c>
      <c r="F96" t="str">
        <f>IF(LEN(J96),J96,IF(LEN(R96),R96,""))</f>
        <v/>
      </c>
      <c r="G96" t="str">
        <f>IF(LEN(O96),O96,IF(LEN(X96),X96,""))</f>
        <v/>
      </c>
      <c r="Z96" t="str">
        <f t="shared" si="22"/>
        <v/>
      </c>
      <c r="AA96" t="str">
        <f t="shared" si="23"/>
        <v/>
      </c>
      <c r="AB96" t="str">
        <f t="shared" si="23"/>
        <v/>
      </c>
      <c r="AC96" t="str">
        <f t="shared" si="23"/>
        <v/>
      </c>
      <c r="AD96" t="str">
        <f t="shared" si="24"/>
        <v/>
      </c>
      <c r="AE96" t="str">
        <f t="shared" si="24"/>
        <v/>
      </c>
      <c r="AF96" t="str">
        <f t="shared" si="25"/>
        <v/>
      </c>
      <c r="AG96" t="str">
        <f t="shared" si="26"/>
        <v/>
      </c>
      <c r="AH96" t="str">
        <f t="shared" si="27"/>
        <v/>
      </c>
      <c r="AI96" t="str">
        <f t="shared" si="28"/>
        <v/>
      </c>
      <c r="AJ96" t="str">
        <f t="shared" si="29"/>
        <v/>
      </c>
      <c r="AK96" t="str">
        <f t="shared" si="30"/>
        <v/>
      </c>
      <c r="AM96" t="str">
        <f>IF(LEN(G96),IF(OR(COUNTIF(G96,"*◆*"),COUNTIF(G96,"*▼*"),COUNTIF(G96,"*■*")),"","●"),"")</f>
        <v/>
      </c>
      <c r="AN96" t="str">
        <f>IF(AM96="●",(AN$4+MOD(INT(MID(E96,5,3)),AN$2))*AN$6,"")</f>
        <v/>
      </c>
      <c r="AO96" t="str">
        <f>IF($AM96="●","LDP "&amp;E96&amp;"."&amp;$B$14,"")</f>
        <v/>
      </c>
      <c r="AP96" t="str">
        <f>IF($AM96="●","AND=.D "&amp;$B$15&amp;" #0","")</f>
        <v/>
      </c>
      <c r="AQ96" t="str">
        <f>IF($AM96="●","MOV.D #"&amp;AN96&amp;" "&amp;$B$15,"")</f>
        <v/>
      </c>
      <c r="AR96" t="str">
        <f>IF(LEN(AK96),"MOV.D "&amp;$AK96&amp;" "&amp;$B$17,"")</f>
        <v/>
      </c>
      <c r="AS96" t="str">
        <f>IF(AND(D96&lt;&gt;0,AM96="●"),CHAR(10),"")&amp;IF(LEN(AO96),AO96,"")</f>
        <v/>
      </c>
      <c r="AT96" t="str">
        <f t="shared" si="20"/>
        <v/>
      </c>
      <c r="AU96" t="str">
        <f t="shared" si="21"/>
        <v/>
      </c>
      <c r="AV96" t="str">
        <f t="shared" si="31"/>
        <v/>
      </c>
      <c r="AW96" t="str">
        <f t="shared" si="32"/>
        <v/>
      </c>
      <c r="AY96" t="str">
        <f>IF($AM96="●",AT96&amp;CHAR(10)&amp;"BOX_ST"&amp;CHAR(10)&amp;";//"&amp;$B$10,"")</f>
        <v/>
      </c>
      <c r="AZ96" t="str">
        <f>IF($AM96="●",IF(LEN(AY96),AY96&amp;CHAR(10),"")&amp;";//エラーNo.を入れる"&amp;CHAR(10)&amp;";"&amp;$B$15&amp;"	:= "&amp;AN96&amp;";","")</f>
        <v/>
      </c>
      <c r="BA96" t="str">
        <f>IF($AM96="●",IF(LEN(AZ96),AZ96&amp;CHAR(10),"")&amp;";//カウントする"&amp;CHAR(10)&amp;";"&amp;$B$16&amp;"	:= "&amp;$B$16&amp;" + 1;","")</f>
        <v/>
      </c>
      <c r="BB96" t="str">
        <f>IF($AM96="●",IF(LEN(BA96),BA96&amp;CHAR(10),"")&amp;IF(LEN(AK96),";//エラーコードを入れる"&amp;CHAR(10)&amp;";"&amp;$B$17&amp;"	:= "&amp;AK96&amp;".udiErr;",""),"")</f>
        <v/>
      </c>
      <c r="BC96" t="str">
        <f>IF($AM96="●",IF(LEN(BB96),BB96&amp;CHAR(10),"")&amp;";//"&amp;$B$11,"")</f>
        <v/>
      </c>
      <c r="BE96">
        <f>INT(D96/$BE$6)</f>
        <v>29</v>
      </c>
      <c r="BF96">
        <f>MOD(D96,$BE$6)</f>
        <v>1</v>
      </c>
      <c r="BG96" t="str">
        <f>IF(LEN(E96),E96&amp;".x"&amp;TEXT(BF96,"0")&amp;CHAR(9)&amp;" := FALSE;","")</f>
        <v/>
      </c>
      <c r="BH96" t="str">
        <f t="shared" si="33"/>
        <v/>
      </c>
    </row>
    <row r="97" spans="4:60" x14ac:dyDescent="0.55000000000000004">
      <c r="D97">
        <v>89</v>
      </c>
      <c r="E97" t="str">
        <f>IF(LEN(I97),I97,IF(LEN(Q97),Q97,""))</f>
        <v/>
      </c>
      <c r="F97" t="str">
        <f>IF(LEN(J97),J97,IF(LEN(R97),R97,""))</f>
        <v/>
      </c>
      <c r="G97" t="str">
        <f>IF(LEN(O97),O97,IF(LEN(X97),X97,""))</f>
        <v/>
      </c>
      <c r="Z97" t="str">
        <f t="shared" si="22"/>
        <v/>
      </c>
      <c r="AA97" t="str">
        <f t="shared" si="23"/>
        <v/>
      </c>
      <c r="AB97" t="str">
        <f t="shared" si="23"/>
        <v/>
      </c>
      <c r="AC97" t="str">
        <f t="shared" si="23"/>
        <v/>
      </c>
      <c r="AD97" t="str">
        <f t="shared" si="24"/>
        <v/>
      </c>
      <c r="AE97" t="str">
        <f t="shared" si="24"/>
        <v/>
      </c>
      <c r="AF97" t="str">
        <f t="shared" si="25"/>
        <v/>
      </c>
      <c r="AG97" t="str">
        <f t="shared" si="26"/>
        <v/>
      </c>
      <c r="AH97" t="str">
        <f t="shared" si="27"/>
        <v/>
      </c>
      <c r="AI97" t="str">
        <f t="shared" si="28"/>
        <v/>
      </c>
      <c r="AJ97" t="str">
        <f t="shared" si="29"/>
        <v/>
      </c>
      <c r="AK97" t="str">
        <f t="shared" si="30"/>
        <v/>
      </c>
      <c r="AM97" t="str">
        <f>IF(LEN(G97),IF(OR(COUNTIF(G97,"*◆*"),COUNTIF(G97,"*▼*"),COUNTIF(G97,"*■*")),"","●"),"")</f>
        <v/>
      </c>
      <c r="AN97" t="str">
        <f>IF(AM97="●",(AN$4+MOD(INT(MID(E97,5,3)),AN$2))*AN$6,"")</f>
        <v/>
      </c>
      <c r="AO97" t="str">
        <f>IF($AM97="●","LDP "&amp;E97&amp;"."&amp;$B$14,"")</f>
        <v/>
      </c>
      <c r="AP97" t="str">
        <f>IF($AM97="●","AND=.D "&amp;$B$15&amp;" #0","")</f>
        <v/>
      </c>
      <c r="AQ97" t="str">
        <f>IF($AM97="●","MOV.D #"&amp;AN97&amp;" "&amp;$B$15,"")</f>
        <v/>
      </c>
      <c r="AR97" t="str">
        <f>IF(LEN(AK97),"MOV.D "&amp;$AK97&amp;" "&amp;$B$17,"")</f>
        <v/>
      </c>
      <c r="AS97" t="str">
        <f>IF(AND(D97&lt;&gt;0,AM97="●"),CHAR(10),"")&amp;IF(LEN(AO97),AO97,"")</f>
        <v/>
      </c>
      <c r="AT97" t="str">
        <f t="shared" si="20"/>
        <v/>
      </c>
      <c r="AU97" t="str">
        <f t="shared" si="21"/>
        <v/>
      </c>
      <c r="AV97" t="str">
        <f t="shared" si="31"/>
        <v/>
      </c>
      <c r="AW97" t="str">
        <f t="shared" si="32"/>
        <v/>
      </c>
      <c r="AY97" t="str">
        <f>IF($AM97="●",AT97&amp;CHAR(10)&amp;"BOX_ST"&amp;CHAR(10)&amp;";//"&amp;$B$10,"")</f>
        <v/>
      </c>
      <c r="AZ97" t="str">
        <f>IF($AM97="●",IF(LEN(AY97),AY97&amp;CHAR(10),"")&amp;";//エラーNo.を入れる"&amp;CHAR(10)&amp;";"&amp;$B$15&amp;"	:= "&amp;AN97&amp;";","")</f>
        <v/>
      </c>
      <c r="BA97" t="str">
        <f>IF($AM97="●",IF(LEN(AZ97),AZ97&amp;CHAR(10),"")&amp;";//カウントする"&amp;CHAR(10)&amp;";"&amp;$B$16&amp;"	:= "&amp;$B$16&amp;" + 1;","")</f>
        <v/>
      </c>
      <c r="BB97" t="str">
        <f>IF($AM97="●",IF(LEN(BA97),BA97&amp;CHAR(10),"")&amp;IF(LEN(AK97),";//エラーコードを入れる"&amp;CHAR(10)&amp;";"&amp;$B$17&amp;"	:= "&amp;AK97&amp;".udiErr;",""),"")</f>
        <v/>
      </c>
      <c r="BC97" t="str">
        <f>IF($AM97="●",IF(LEN(BB97),BB97&amp;CHAR(10),"")&amp;";//"&amp;$B$11,"")</f>
        <v/>
      </c>
      <c r="BE97">
        <f>INT(D97/$BE$6)</f>
        <v>29</v>
      </c>
      <c r="BF97">
        <f>MOD(D97,$BE$6)</f>
        <v>2</v>
      </c>
      <c r="BG97" t="str">
        <f>IF(LEN(E97),E97&amp;".x"&amp;TEXT(BF97,"0")&amp;CHAR(9)&amp;" := FALSE;","")</f>
        <v/>
      </c>
      <c r="BH97" t="str">
        <f t="shared" si="33"/>
        <v/>
      </c>
    </row>
    <row r="98" spans="4:60" x14ac:dyDescent="0.55000000000000004">
      <c r="D98">
        <v>90</v>
      </c>
      <c r="E98" t="str">
        <f>IF(LEN(I98),I98,IF(LEN(Q98),Q98,""))</f>
        <v/>
      </c>
      <c r="F98" t="str">
        <f>IF(LEN(J98),J98,IF(LEN(R98),R98,""))</f>
        <v/>
      </c>
      <c r="G98" t="str">
        <f>IF(LEN(O98),O98,IF(LEN(X98),X98,""))</f>
        <v/>
      </c>
      <c r="Z98" t="str">
        <f t="shared" si="22"/>
        <v/>
      </c>
      <c r="AA98" t="str">
        <f t="shared" si="23"/>
        <v/>
      </c>
      <c r="AB98" t="str">
        <f t="shared" si="23"/>
        <v/>
      </c>
      <c r="AC98" t="str">
        <f t="shared" si="23"/>
        <v/>
      </c>
      <c r="AD98" t="str">
        <f t="shared" si="24"/>
        <v/>
      </c>
      <c r="AE98" t="str">
        <f t="shared" si="24"/>
        <v/>
      </c>
      <c r="AF98" t="str">
        <f t="shared" si="25"/>
        <v/>
      </c>
      <c r="AG98" t="str">
        <f t="shared" si="26"/>
        <v/>
      </c>
      <c r="AH98" t="str">
        <f t="shared" si="27"/>
        <v/>
      </c>
      <c r="AI98" t="str">
        <f t="shared" si="28"/>
        <v/>
      </c>
      <c r="AJ98" t="str">
        <f t="shared" si="29"/>
        <v/>
      </c>
      <c r="AK98" t="str">
        <f t="shared" si="30"/>
        <v/>
      </c>
      <c r="AM98" t="str">
        <f>IF(LEN(G98),IF(OR(COUNTIF(G98,"*◆*"),COUNTIF(G98,"*▼*"),COUNTIF(G98,"*■*")),"","●"),"")</f>
        <v/>
      </c>
      <c r="AN98" t="str">
        <f>IF(AM98="●",(AN$4+MOD(INT(MID(E98,5,3)),AN$2))*AN$6,"")</f>
        <v/>
      </c>
      <c r="AO98" t="str">
        <f>IF($AM98="●","LDP "&amp;E98&amp;"."&amp;$B$14,"")</f>
        <v/>
      </c>
      <c r="AP98" t="str">
        <f>IF($AM98="●","AND=.D "&amp;$B$15&amp;" #0","")</f>
        <v/>
      </c>
      <c r="AQ98" t="str">
        <f>IF($AM98="●","MOV.D #"&amp;AN98&amp;" "&amp;$B$15,"")</f>
        <v/>
      </c>
      <c r="AR98" t="str">
        <f>IF(LEN(AK98),"MOV.D "&amp;$AK98&amp;" "&amp;$B$17,"")</f>
        <v/>
      </c>
      <c r="AS98" t="str">
        <f>IF(AND(D98&lt;&gt;0,AM98="●"),CHAR(10),"")&amp;IF(LEN(AO98),AO98,"")</f>
        <v/>
      </c>
      <c r="AT98" t="str">
        <f t="shared" si="20"/>
        <v/>
      </c>
      <c r="AU98" t="str">
        <f t="shared" si="21"/>
        <v/>
      </c>
      <c r="AV98" t="str">
        <f t="shared" si="31"/>
        <v/>
      </c>
      <c r="AW98" t="str">
        <f t="shared" si="32"/>
        <v/>
      </c>
      <c r="AY98" t="str">
        <f>IF($AM98="●",AT98&amp;CHAR(10)&amp;"BOX_ST"&amp;CHAR(10)&amp;";//"&amp;$B$10,"")</f>
        <v/>
      </c>
      <c r="AZ98" t="str">
        <f>IF($AM98="●",IF(LEN(AY98),AY98&amp;CHAR(10),"")&amp;";//エラーNo.を入れる"&amp;CHAR(10)&amp;";"&amp;$B$15&amp;"	:= "&amp;AN98&amp;";","")</f>
        <v/>
      </c>
      <c r="BA98" t="str">
        <f>IF($AM98="●",IF(LEN(AZ98),AZ98&amp;CHAR(10),"")&amp;";//カウントする"&amp;CHAR(10)&amp;";"&amp;$B$16&amp;"	:= "&amp;$B$16&amp;" + 1;","")</f>
        <v/>
      </c>
      <c r="BB98" t="str">
        <f>IF($AM98="●",IF(LEN(BA98),BA98&amp;CHAR(10),"")&amp;IF(LEN(AK98),";//エラーコードを入れる"&amp;CHAR(10)&amp;";"&amp;$B$17&amp;"	:= "&amp;AK98&amp;".udiErr;",""),"")</f>
        <v/>
      </c>
      <c r="BC98" t="str">
        <f>IF($AM98="●",IF(LEN(BB98),BB98&amp;CHAR(10),"")&amp;";//"&amp;$B$11,"")</f>
        <v/>
      </c>
      <c r="BE98">
        <f>INT(D98/$BE$6)</f>
        <v>30</v>
      </c>
      <c r="BF98">
        <f>MOD(D98,$BE$6)</f>
        <v>0</v>
      </c>
      <c r="BG98" t="str">
        <f>IF(LEN(E98),E98&amp;".x"&amp;TEXT(BF98,"0")&amp;CHAR(9)&amp;" := FALSE;","")</f>
        <v/>
      </c>
      <c r="BH98" t="str">
        <f t="shared" si="33"/>
        <v/>
      </c>
    </row>
    <row r="99" spans="4:60" x14ac:dyDescent="0.55000000000000004">
      <c r="D99">
        <v>91</v>
      </c>
      <c r="E99" t="str">
        <f>IF(LEN(I99),I99,IF(LEN(Q99),Q99,""))</f>
        <v/>
      </c>
      <c r="F99" t="str">
        <f>IF(LEN(J99),J99,IF(LEN(R99),R99,""))</f>
        <v/>
      </c>
      <c r="G99" t="str">
        <f>IF(LEN(O99),O99,IF(LEN(X99),X99,""))</f>
        <v/>
      </c>
      <c r="Z99" t="str">
        <f t="shared" si="22"/>
        <v/>
      </c>
      <c r="AA99" t="str">
        <f t="shared" si="23"/>
        <v/>
      </c>
      <c r="AB99" t="str">
        <f t="shared" si="23"/>
        <v/>
      </c>
      <c r="AC99" t="str">
        <f t="shared" si="23"/>
        <v/>
      </c>
      <c r="AD99" t="str">
        <f t="shared" si="24"/>
        <v/>
      </c>
      <c r="AE99" t="str">
        <f t="shared" si="24"/>
        <v/>
      </c>
      <c r="AF99" t="str">
        <f t="shared" si="25"/>
        <v/>
      </c>
      <c r="AG99" t="str">
        <f t="shared" si="26"/>
        <v/>
      </c>
      <c r="AH99" t="str">
        <f t="shared" si="27"/>
        <v/>
      </c>
      <c r="AI99" t="str">
        <f t="shared" si="28"/>
        <v/>
      </c>
      <c r="AJ99" t="str">
        <f t="shared" si="29"/>
        <v/>
      </c>
      <c r="AK99" t="str">
        <f t="shared" si="30"/>
        <v/>
      </c>
      <c r="AM99" t="str">
        <f>IF(LEN(G99),IF(OR(COUNTIF(G99,"*◆*"),COUNTIF(G99,"*▼*"),COUNTIF(G99,"*■*")),"","●"),"")</f>
        <v/>
      </c>
      <c r="AN99" t="str">
        <f>IF(AM99="●",(AN$4+MOD(INT(MID(E99,5,3)),AN$2))*AN$6,"")</f>
        <v/>
      </c>
      <c r="AO99" t="str">
        <f>IF($AM99="●","LDP "&amp;E99&amp;"."&amp;$B$14,"")</f>
        <v/>
      </c>
      <c r="AP99" t="str">
        <f>IF($AM99="●","AND=.D "&amp;$B$15&amp;" #0","")</f>
        <v/>
      </c>
      <c r="AQ99" t="str">
        <f>IF($AM99="●","MOV.D #"&amp;AN99&amp;" "&amp;$B$15,"")</f>
        <v/>
      </c>
      <c r="AR99" t="str">
        <f>IF(LEN(AK99),"MOV.D "&amp;$AK99&amp;" "&amp;$B$17,"")</f>
        <v/>
      </c>
      <c r="AS99" t="str">
        <f>IF(AND(D99&lt;&gt;0,AM99="●"),CHAR(10),"")&amp;IF(LEN(AO99),AO99,"")</f>
        <v/>
      </c>
      <c r="AT99" t="str">
        <f t="shared" si="20"/>
        <v/>
      </c>
      <c r="AU99" t="str">
        <f t="shared" si="21"/>
        <v/>
      </c>
      <c r="AV99" t="str">
        <f t="shared" si="31"/>
        <v/>
      </c>
      <c r="AW99" t="str">
        <f t="shared" si="32"/>
        <v/>
      </c>
      <c r="AY99" t="str">
        <f>IF($AM99="●",AT99&amp;CHAR(10)&amp;"BOX_ST"&amp;CHAR(10)&amp;";//"&amp;$B$10,"")</f>
        <v/>
      </c>
      <c r="AZ99" t="str">
        <f>IF($AM99="●",IF(LEN(AY99),AY99&amp;CHAR(10),"")&amp;";//エラーNo.を入れる"&amp;CHAR(10)&amp;";"&amp;$B$15&amp;"	:= "&amp;AN99&amp;";","")</f>
        <v/>
      </c>
      <c r="BA99" t="str">
        <f>IF($AM99="●",IF(LEN(AZ99),AZ99&amp;CHAR(10),"")&amp;";//カウントする"&amp;CHAR(10)&amp;";"&amp;$B$16&amp;"	:= "&amp;$B$16&amp;" + 1;","")</f>
        <v/>
      </c>
      <c r="BB99" t="str">
        <f>IF($AM99="●",IF(LEN(BA99),BA99&amp;CHAR(10),"")&amp;IF(LEN(AK99),";//エラーコードを入れる"&amp;CHAR(10)&amp;";"&amp;$B$17&amp;"	:= "&amp;AK99&amp;".udiErr;",""),"")</f>
        <v/>
      </c>
      <c r="BC99" t="str">
        <f>IF($AM99="●",IF(LEN(BB99),BB99&amp;CHAR(10),"")&amp;";//"&amp;$B$11,"")</f>
        <v/>
      </c>
      <c r="BE99">
        <f>INT(D99/$BE$6)</f>
        <v>30</v>
      </c>
      <c r="BF99">
        <f>MOD(D99,$BE$6)</f>
        <v>1</v>
      </c>
      <c r="BG99" t="str">
        <f>IF(LEN(E99),E99&amp;".x"&amp;TEXT(BF99,"0")&amp;CHAR(9)&amp;" := FALSE;","")</f>
        <v/>
      </c>
      <c r="BH99" t="str">
        <f t="shared" si="33"/>
        <v/>
      </c>
    </row>
    <row r="100" spans="4:60" x14ac:dyDescent="0.55000000000000004">
      <c r="D100">
        <v>92</v>
      </c>
      <c r="E100" t="str">
        <f>IF(LEN(I100),I100,IF(LEN(Q100),Q100,""))</f>
        <v/>
      </c>
      <c r="F100" t="str">
        <f>IF(LEN(J100),J100,IF(LEN(R100),R100,""))</f>
        <v/>
      </c>
      <c r="G100" t="str">
        <f>IF(LEN(O100),O100,IF(LEN(X100),X100,""))</f>
        <v/>
      </c>
      <c r="Z100" t="str">
        <f t="shared" si="22"/>
        <v/>
      </c>
      <c r="AA100" t="str">
        <f t="shared" si="23"/>
        <v/>
      </c>
      <c r="AB100" t="str">
        <f t="shared" si="23"/>
        <v/>
      </c>
      <c r="AC100" t="str">
        <f t="shared" si="23"/>
        <v/>
      </c>
      <c r="AD100" t="str">
        <f t="shared" si="24"/>
        <v/>
      </c>
      <c r="AE100" t="str">
        <f t="shared" si="24"/>
        <v/>
      </c>
      <c r="AF100" t="str">
        <f t="shared" si="25"/>
        <v/>
      </c>
      <c r="AG100" t="str">
        <f t="shared" si="26"/>
        <v/>
      </c>
      <c r="AH100" t="str">
        <f t="shared" si="27"/>
        <v/>
      </c>
      <c r="AI100" t="str">
        <f t="shared" si="28"/>
        <v/>
      </c>
      <c r="AJ100" t="str">
        <f t="shared" si="29"/>
        <v/>
      </c>
      <c r="AK100" t="str">
        <f t="shared" si="30"/>
        <v/>
      </c>
      <c r="AM100" t="str">
        <f>IF(LEN(G100),IF(OR(COUNTIF(G100,"*◆*"),COUNTIF(G100,"*▼*"),COUNTIF(G100,"*■*")),"","●"),"")</f>
        <v/>
      </c>
      <c r="AN100" t="str">
        <f>IF(AM100="●",(AN$4+MOD(INT(MID(E100,5,3)),AN$2))*AN$6,"")</f>
        <v/>
      </c>
      <c r="AO100" t="str">
        <f>IF($AM100="●","LDP "&amp;E100&amp;"."&amp;$B$14,"")</f>
        <v/>
      </c>
      <c r="AP100" t="str">
        <f>IF($AM100="●","AND=.D "&amp;$B$15&amp;" #0","")</f>
        <v/>
      </c>
      <c r="AQ100" t="str">
        <f>IF($AM100="●","MOV.D #"&amp;AN100&amp;" "&amp;$B$15,"")</f>
        <v/>
      </c>
      <c r="AR100" t="str">
        <f>IF(LEN(AK100),"MOV.D "&amp;$AK100&amp;" "&amp;$B$17,"")</f>
        <v/>
      </c>
      <c r="AS100" t="str">
        <f>IF(AND(D100&lt;&gt;0,AM100="●"),CHAR(10),"")&amp;IF(LEN(AO100),AO100,"")</f>
        <v/>
      </c>
      <c r="AT100" t="str">
        <f t="shared" si="20"/>
        <v/>
      </c>
      <c r="AU100" t="str">
        <f t="shared" si="21"/>
        <v/>
      </c>
      <c r="AV100" t="str">
        <f t="shared" si="31"/>
        <v/>
      </c>
      <c r="AW100" t="str">
        <f t="shared" si="32"/>
        <v/>
      </c>
      <c r="AY100" t="str">
        <f>IF($AM100="●",AT100&amp;CHAR(10)&amp;"BOX_ST"&amp;CHAR(10)&amp;";//"&amp;$B$10,"")</f>
        <v/>
      </c>
      <c r="AZ100" t="str">
        <f>IF($AM100="●",IF(LEN(AY100),AY100&amp;CHAR(10),"")&amp;";//エラーNo.を入れる"&amp;CHAR(10)&amp;";"&amp;$B$15&amp;"	:= "&amp;AN100&amp;";","")</f>
        <v/>
      </c>
      <c r="BA100" t="str">
        <f>IF($AM100="●",IF(LEN(AZ100),AZ100&amp;CHAR(10),"")&amp;";//カウントする"&amp;CHAR(10)&amp;";"&amp;$B$16&amp;"	:= "&amp;$B$16&amp;" + 1;","")</f>
        <v/>
      </c>
      <c r="BB100" t="str">
        <f>IF($AM100="●",IF(LEN(BA100),BA100&amp;CHAR(10),"")&amp;IF(LEN(AK100),";//エラーコードを入れる"&amp;CHAR(10)&amp;";"&amp;$B$17&amp;"	:= "&amp;AK100&amp;".udiErr;",""),"")</f>
        <v/>
      </c>
      <c r="BC100" t="str">
        <f>IF($AM100="●",IF(LEN(BB100),BB100&amp;CHAR(10),"")&amp;";//"&amp;$B$11,"")</f>
        <v/>
      </c>
      <c r="BE100">
        <f>INT(D100/$BE$6)</f>
        <v>30</v>
      </c>
      <c r="BF100">
        <f>MOD(D100,$BE$6)</f>
        <v>2</v>
      </c>
      <c r="BG100" t="str">
        <f>IF(LEN(E100),E100&amp;".x"&amp;TEXT(BF100,"0")&amp;CHAR(9)&amp;" := FALSE;","")</f>
        <v/>
      </c>
      <c r="BH100" t="str">
        <f t="shared" si="33"/>
        <v/>
      </c>
    </row>
    <row r="101" spans="4:60" x14ac:dyDescent="0.55000000000000004">
      <c r="D101">
        <v>93</v>
      </c>
      <c r="E101" t="str">
        <f>IF(LEN(I101),I101,IF(LEN(Q101),Q101,""))</f>
        <v/>
      </c>
      <c r="F101" t="str">
        <f>IF(LEN(J101),J101,IF(LEN(R101),R101,""))</f>
        <v/>
      </c>
      <c r="G101" t="str">
        <f>IF(LEN(O101),O101,IF(LEN(X101),X101,""))</f>
        <v/>
      </c>
      <c r="Z101" t="str">
        <f t="shared" si="22"/>
        <v/>
      </c>
      <c r="AA101" t="str">
        <f t="shared" si="23"/>
        <v/>
      </c>
      <c r="AB101" t="str">
        <f t="shared" si="23"/>
        <v/>
      </c>
      <c r="AC101" t="str">
        <f t="shared" si="23"/>
        <v/>
      </c>
      <c r="AD101" t="str">
        <f t="shared" si="24"/>
        <v/>
      </c>
      <c r="AE101" t="str">
        <f t="shared" si="24"/>
        <v/>
      </c>
      <c r="AF101" t="str">
        <f t="shared" si="25"/>
        <v/>
      </c>
      <c r="AG101" t="str">
        <f t="shared" si="26"/>
        <v/>
      </c>
      <c r="AH101" t="str">
        <f t="shared" si="27"/>
        <v/>
      </c>
      <c r="AI101" t="str">
        <f t="shared" si="28"/>
        <v/>
      </c>
      <c r="AJ101" t="str">
        <f t="shared" si="29"/>
        <v/>
      </c>
      <c r="AK101" t="str">
        <f t="shared" si="30"/>
        <v/>
      </c>
      <c r="AM101" t="str">
        <f>IF(LEN(G101),IF(OR(COUNTIF(G101,"*◆*"),COUNTIF(G101,"*▼*"),COUNTIF(G101,"*■*")),"","●"),"")</f>
        <v/>
      </c>
      <c r="AN101" t="str">
        <f>IF(AM101="●",(AN$4+MOD(INT(MID(E101,5,3)),AN$2))*AN$6,"")</f>
        <v/>
      </c>
      <c r="AO101" t="str">
        <f>IF($AM101="●","LDP "&amp;E101&amp;"."&amp;$B$14,"")</f>
        <v/>
      </c>
      <c r="AP101" t="str">
        <f>IF($AM101="●","AND=.D "&amp;$B$15&amp;" #0","")</f>
        <v/>
      </c>
      <c r="AQ101" t="str">
        <f>IF($AM101="●","MOV.D #"&amp;AN101&amp;" "&amp;$B$15,"")</f>
        <v/>
      </c>
      <c r="AR101" t="str">
        <f>IF(LEN(AK101),"MOV.D "&amp;$AK101&amp;" "&amp;$B$17,"")</f>
        <v/>
      </c>
      <c r="AS101" t="str">
        <f>IF(AND(D101&lt;&gt;0,AM101="●"),CHAR(10),"")&amp;IF(LEN(AO101),AO101,"")</f>
        <v/>
      </c>
      <c r="AT101" t="str">
        <f t="shared" si="20"/>
        <v/>
      </c>
      <c r="AU101" t="str">
        <f t="shared" si="21"/>
        <v/>
      </c>
      <c r="AV101" t="str">
        <f t="shared" si="31"/>
        <v/>
      </c>
      <c r="AW101" t="str">
        <f t="shared" si="32"/>
        <v/>
      </c>
      <c r="AY101" t="str">
        <f>IF($AM101="●",AT101&amp;CHAR(10)&amp;"BOX_ST"&amp;CHAR(10)&amp;";//"&amp;$B$10,"")</f>
        <v/>
      </c>
      <c r="AZ101" t="str">
        <f>IF($AM101="●",IF(LEN(AY101),AY101&amp;CHAR(10),"")&amp;";//エラーNo.を入れる"&amp;CHAR(10)&amp;";"&amp;$B$15&amp;"	:= "&amp;AN101&amp;";","")</f>
        <v/>
      </c>
      <c r="BA101" t="str">
        <f>IF($AM101="●",IF(LEN(AZ101),AZ101&amp;CHAR(10),"")&amp;";//カウントする"&amp;CHAR(10)&amp;";"&amp;$B$16&amp;"	:= "&amp;$B$16&amp;" + 1;","")</f>
        <v/>
      </c>
      <c r="BB101" t="str">
        <f>IF($AM101="●",IF(LEN(BA101),BA101&amp;CHAR(10),"")&amp;IF(LEN(AK101),";//エラーコードを入れる"&amp;CHAR(10)&amp;";"&amp;$B$17&amp;"	:= "&amp;AK101&amp;".udiErr;",""),"")</f>
        <v/>
      </c>
      <c r="BC101" t="str">
        <f>IF($AM101="●",IF(LEN(BB101),BB101&amp;CHAR(10),"")&amp;";//"&amp;$B$11,"")</f>
        <v/>
      </c>
      <c r="BE101">
        <f>INT(D101/$BE$6)</f>
        <v>31</v>
      </c>
      <c r="BF101">
        <f>MOD(D101,$BE$6)</f>
        <v>0</v>
      </c>
      <c r="BG101" t="str">
        <f>IF(LEN(E101),E101&amp;".x"&amp;TEXT(BF101,"0")&amp;CHAR(9)&amp;" := FALSE;","")</f>
        <v/>
      </c>
      <c r="BH101" t="str">
        <f t="shared" si="33"/>
        <v/>
      </c>
    </row>
    <row r="102" spans="4:60" x14ac:dyDescent="0.55000000000000004">
      <c r="D102">
        <v>94</v>
      </c>
      <c r="E102" t="str">
        <f>IF(LEN(I102),I102,IF(LEN(Q102),Q102,""))</f>
        <v/>
      </c>
      <c r="F102" t="str">
        <f>IF(LEN(J102),J102,IF(LEN(R102),R102,""))</f>
        <v/>
      </c>
      <c r="G102" t="str">
        <f>IF(LEN(O102),O102,IF(LEN(X102),X102,""))</f>
        <v/>
      </c>
      <c r="Z102" t="str">
        <f t="shared" si="22"/>
        <v/>
      </c>
      <c r="AA102" t="str">
        <f t="shared" si="23"/>
        <v/>
      </c>
      <c r="AB102" t="str">
        <f t="shared" si="23"/>
        <v/>
      </c>
      <c r="AC102" t="str">
        <f t="shared" si="23"/>
        <v/>
      </c>
      <c r="AD102" t="str">
        <f t="shared" si="24"/>
        <v/>
      </c>
      <c r="AE102" t="str">
        <f t="shared" si="24"/>
        <v/>
      </c>
      <c r="AF102" t="str">
        <f t="shared" si="25"/>
        <v/>
      </c>
      <c r="AG102" t="str">
        <f t="shared" si="26"/>
        <v/>
      </c>
      <c r="AH102" t="str">
        <f t="shared" si="27"/>
        <v/>
      </c>
      <c r="AI102" t="str">
        <f t="shared" si="28"/>
        <v/>
      </c>
      <c r="AJ102" t="str">
        <f t="shared" si="29"/>
        <v/>
      </c>
      <c r="AK102" t="str">
        <f t="shared" si="30"/>
        <v/>
      </c>
      <c r="AM102" t="str">
        <f>IF(LEN(G102),IF(OR(COUNTIF(G102,"*◆*"),COUNTIF(G102,"*▼*"),COUNTIF(G102,"*■*")),"","●"),"")</f>
        <v/>
      </c>
      <c r="AN102" t="str">
        <f>IF(AM102="●",(AN$4+MOD(INT(MID(E102,5,3)),AN$2))*AN$6,"")</f>
        <v/>
      </c>
      <c r="AO102" t="str">
        <f>IF($AM102="●","LDP "&amp;E102&amp;"."&amp;$B$14,"")</f>
        <v/>
      </c>
      <c r="AP102" t="str">
        <f>IF($AM102="●","AND=.D "&amp;$B$15&amp;" #0","")</f>
        <v/>
      </c>
      <c r="AQ102" t="str">
        <f>IF($AM102="●","MOV.D #"&amp;AN102&amp;" "&amp;$B$15,"")</f>
        <v/>
      </c>
      <c r="AR102" t="str">
        <f>IF(LEN(AK102),"MOV.D "&amp;$AK102&amp;" "&amp;$B$17,"")</f>
        <v/>
      </c>
      <c r="AS102" t="str">
        <f>IF(AND(D102&lt;&gt;0,AM102="●"),CHAR(10),"")&amp;IF(LEN(AO102),AO102,"")</f>
        <v/>
      </c>
      <c r="AT102" t="str">
        <f t="shared" si="20"/>
        <v/>
      </c>
      <c r="AU102" t="str">
        <f t="shared" si="21"/>
        <v/>
      </c>
      <c r="AV102" t="str">
        <f t="shared" si="31"/>
        <v/>
      </c>
      <c r="AW102" t="str">
        <f t="shared" si="32"/>
        <v/>
      </c>
      <c r="AY102" t="str">
        <f>IF($AM102="●",AT102&amp;CHAR(10)&amp;"BOX_ST"&amp;CHAR(10)&amp;";//"&amp;$B$10,"")</f>
        <v/>
      </c>
      <c r="AZ102" t="str">
        <f>IF($AM102="●",IF(LEN(AY102),AY102&amp;CHAR(10),"")&amp;";//エラーNo.を入れる"&amp;CHAR(10)&amp;";"&amp;$B$15&amp;"	:= "&amp;AN102&amp;";","")</f>
        <v/>
      </c>
      <c r="BA102" t="str">
        <f>IF($AM102="●",IF(LEN(AZ102),AZ102&amp;CHAR(10),"")&amp;";//カウントする"&amp;CHAR(10)&amp;";"&amp;$B$16&amp;"	:= "&amp;$B$16&amp;" + 1;","")</f>
        <v/>
      </c>
      <c r="BB102" t="str">
        <f>IF($AM102="●",IF(LEN(BA102),BA102&amp;CHAR(10),"")&amp;IF(LEN(AK102),";//エラーコードを入れる"&amp;CHAR(10)&amp;";"&amp;$B$17&amp;"	:= "&amp;AK102&amp;".udiErr;",""),"")</f>
        <v/>
      </c>
      <c r="BC102" t="str">
        <f>IF($AM102="●",IF(LEN(BB102),BB102&amp;CHAR(10),"")&amp;";//"&amp;$B$11,"")</f>
        <v/>
      </c>
      <c r="BE102">
        <f>INT(D102/$BE$6)</f>
        <v>31</v>
      </c>
      <c r="BF102">
        <f>MOD(D102,$BE$6)</f>
        <v>1</v>
      </c>
      <c r="BG102" t="str">
        <f>IF(LEN(E102),E102&amp;".x"&amp;TEXT(BF102,"0")&amp;CHAR(9)&amp;" := FALSE;","")</f>
        <v/>
      </c>
      <c r="BH102" t="str">
        <f t="shared" si="33"/>
        <v/>
      </c>
    </row>
    <row r="103" spans="4:60" x14ac:dyDescent="0.55000000000000004">
      <c r="D103">
        <v>95</v>
      </c>
      <c r="E103" t="str">
        <f>IF(LEN(I103),I103,IF(LEN(Q103),Q103,""))</f>
        <v/>
      </c>
      <c r="F103" t="str">
        <f>IF(LEN(J103),J103,IF(LEN(R103),R103,""))</f>
        <v/>
      </c>
      <c r="G103" t="str">
        <f>IF(LEN(O103),O103,IF(LEN(X103),X103,""))</f>
        <v/>
      </c>
      <c r="Z103" t="str">
        <f t="shared" si="22"/>
        <v/>
      </c>
      <c r="AA103" t="str">
        <f t="shared" si="23"/>
        <v/>
      </c>
      <c r="AB103" t="str">
        <f t="shared" si="23"/>
        <v/>
      </c>
      <c r="AC103" t="str">
        <f t="shared" si="23"/>
        <v/>
      </c>
      <c r="AD103" t="str">
        <f t="shared" si="24"/>
        <v/>
      </c>
      <c r="AE103" t="str">
        <f t="shared" si="24"/>
        <v/>
      </c>
      <c r="AF103" t="str">
        <f t="shared" si="25"/>
        <v/>
      </c>
      <c r="AG103" t="str">
        <f t="shared" si="26"/>
        <v/>
      </c>
      <c r="AH103" t="str">
        <f t="shared" si="27"/>
        <v/>
      </c>
      <c r="AI103" t="str">
        <f t="shared" si="28"/>
        <v/>
      </c>
      <c r="AJ103" t="str">
        <f t="shared" si="29"/>
        <v/>
      </c>
      <c r="AK103" t="str">
        <f t="shared" si="30"/>
        <v/>
      </c>
      <c r="AM103" t="str">
        <f>IF(LEN(G103),IF(OR(COUNTIF(G103,"*◆*"),COUNTIF(G103,"*▼*"),COUNTIF(G103,"*■*")),"","●"),"")</f>
        <v/>
      </c>
      <c r="AN103" t="str">
        <f>IF(AM103="●",(AN$4+MOD(INT(MID(E103,5,3)),AN$2))*AN$6,"")</f>
        <v/>
      </c>
      <c r="AO103" t="str">
        <f>IF($AM103="●","LDP "&amp;E103&amp;"."&amp;$B$14,"")</f>
        <v/>
      </c>
      <c r="AP103" t="str">
        <f>IF($AM103="●","AND=.D "&amp;$B$15&amp;" #0","")</f>
        <v/>
      </c>
      <c r="AQ103" t="str">
        <f>IF($AM103="●","MOV.D #"&amp;AN103&amp;" "&amp;$B$15,"")</f>
        <v/>
      </c>
      <c r="AR103" t="str">
        <f>IF(LEN(AK103),"MOV.D "&amp;$AK103&amp;" "&amp;$B$17,"")</f>
        <v/>
      </c>
      <c r="AS103" t="str">
        <f>IF(AND(D103&lt;&gt;0,AM103="●"),CHAR(10),"")&amp;IF(LEN(AO103),AO103,"")</f>
        <v/>
      </c>
      <c r="AT103" t="str">
        <f t="shared" si="20"/>
        <v/>
      </c>
      <c r="AU103" t="str">
        <f t="shared" si="21"/>
        <v/>
      </c>
      <c r="AV103" t="str">
        <f t="shared" si="31"/>
        <v/>
      </c>
      <c r="AW103" t="str">
        <f t="shared" si="32"/>
        <v/>
      </c>
      <c r="AY103" t="str">
        <f>IF($AM103="●",AT103&amp;CHAR(10)&amp;"BOX_ST"&amp;CHAR(10)&amp;";//"&amp;$B$10,"")</f>
        <v/>
      </c>
      <c r="AZ103" t="str">
        <f>IF($AM103="●",IF(LEN(AY103),AY103&amp;CHAR(10),"")&amp;";//エラーNo.を入れる"&amp;CHAR(10)&amp;";"&amp;$B$15&amp;"	:= "&amp;AN103&amp;";","")</f>
        <v/>
      </c>
      <c r="BA103" t="str">
        <f>IF($AM103="●",IF(LEN(AZ103),AZ103&amp;CHAR(10),"")&amp;";//カウントする"&amp;CHAR(10)&amp;";"&amp;$B$16&amp;"	:= "&amp;$B$16&amp;" + 1;","")</f>
        <v/>
      </c>
      <c r="BB103" t="str">
        <f>IF($AM103="●",IF(LEN(BA103),BA103&amp;CHAR(10),"")&amp;IF(LEN(AK103),";//エラーコードを入れる"&amp;CHAR(10)&amp;";"&amp;$B$17&amp;"	:= "&amp;AK103&amp;".udiErr;",""),"")</f>
        <v/>
      </c>
      <c r="BC103" t="str">
        <f>IF($AM103="●",IF(LEN(BB103),BB103&amp;CHAR(10),"")&amp;";//"&amp;$B$11,"")</f>
        <v/>
      </c>
      <c r="BE103">
        <f>INT(D103/$BE$6)</f>
        <v>31</v>
      </c>
      <c r="BF103">
        <f>MOD(D103,$BE$6)</f>
        <v>2</v>
      </c>
      <c r="BG103" t="str">
        <f>IF(LEN(E103),E103&amp;".x"&amp;TEXT(BF103,"0")&amp;CHAR(9)&amp;" := FALSE;","")</f>
        <v/>
      </c>
      <c r="BH103" t="str">
        <f t="shared" si="33"/>
        <v/>
      </c>
    </row>
    <row r="104" spans="4:60" x14ac:dyDescent="0.55000000000000004">
      <c r="D104">
        <v>96</v>
      </c>
      <c r="E104" t="str">
        <f>IF(LEN(I104),I104,IF(LEN(Q104),Q104,""))</f>
        <v/>
      </c>
      <c r="F104" t="str">
        <f>IF(LEN(J104),J104,IF(LEN(R104),R104,""))</f>
        <v/>
      </c>
      <c r="G104" t="str">
        <f>IF(LEN(O104),O104,IF(LEN(X104),X104,""))</f>
        <v/>
      </c>
      <c r="Z104" t="str">
        <f t="shared" si="22"/>
        <v/>
      </c>
      <c r="AA104" t="str">
        <f t="shared" si="23"/>
        <v/>
      </c>
      <c r="AB104" t="str">
        <f t="shared" si="23"/>
        <v/>
      </c>
      <c r="AC104" t="str">
        <f t="shared" si="23"/>
        <v/>
      </c>
      <c r="AD104" t="str">
        <f t="shared" si="24"/>
        <v/>
      </c>
      <c r="AE104" t="str">
        <f t="shared" si="24"/>
        <v/>
      </c>
      <c r="AF104" t="str">
        <f t="shared" si="25"/>
        <v/>
      </c>
      <c r="AG104" t="str">
        <f t="shared" si="26"/>
        <v/>
      </c>
      <c r="AH104" t="str">
        <f t="shared" si="27"/>
        <v/>
      </c>
      <c r="AI104" t="str">
        <f t="shared" si="28"/>
        <v/>
      </c>
      <c r="AJ104" t="str">
        <f t="shared" si="29"/>
        <v/>
      </c>
      <c r="AK104" t="str">
        <f t="shared" si="30"/>
        <v/>
      </c>
      <c r="AM104" t="str">
        <f>IF(LEN(G104),IF(OR(COUNTIF(G104,"*◆*"),COUNTIF(G104,"*▼*"),COUNTIF(G104,"*■*")),"","●"),"")</f>
        <v/>
      </c>
      <c r="AN104" t="str">
        <f>IF(AM104="●",(AN$4+MOD(INT(MID(E104,5,3)),AN$2))*AN$6,"")</f>
        <v/>
      </c>
      <c r="AO104" t="str">
        <f>IF($AM104="●","LDP "&amp;E104&amp;"."&amp;$B$14,"")</f>
        <v/>
      </c>
      <c r="AP104" t="str">
        <f>IF($AM104="●","AND=.D "&amp;$B$15&amp;" #0","")</f>
        <v/>
      </c>
      <c r="AQ104" t="str">
        <f>IF($AM104="●","MOV.D #"&amp;AN104&amp;" "&amp;$B$15,"")</f>
        <v/>
      </c>
      <c r="AR104" t="str">
        <f>IF(LEN(AK104),"MOV.D "&amp;$AK104&amp;" "&amp;$B$17,"")</f>
        <v/>
      </c>
      <c r="AS104" t="str">
        <f>IF(AND(D104&lt;&gt;0,AM104="●"),CHAR(10),"")&amp;IF(LEN(AO104),AO104,"")</f>
        <v/>
      </c>
      <c r="AT104" t="str">
        <f t="shared" ref="AT104:AT107" si="34">IF(LEN(AS104),AS104&amp;CHAR(10),"")&amp;IF(LEN(AP104),AP104,"")</f>
        <v/>
      </c>
      <c r="AU104" t="str">
        <f t="shared" ref="AU104:AU107" si="35">IF(LEN(AT104),AT104&amp;CHAR(10),"")&amp;IF(LEN(AQ104),AQ104,"")</f>
        <v/>
      </c>
      <c r="AV104" t="str">
        <f t="shared" si="31"/>
        <v/>
      </c>
      <c r="AW104" t="str">
        <f t="shared" si="32"/>
        <v/>
      </c>
      <c r="AY104" t="str">
        <f>IF($AM104="●",AT104&amp;CHAR(10)&amp;"BOX_ST"&amp;CHAR(10)&amp;";//"&amp;$B$10,"")</f>
        <v/>
      </c>
      <c r="AZ104" t="str">
        <f>IF($AM104="●",IF(LEN(AY104),AY104&amp;CHAR(10),"")&amp;";//エラーNo.を入れる"&amp;CHAR(10)&amp;";"&amp;$B$15&amp;"	:= "&amp;AN104&amp;";","")</f>
        <v/>
      </c>
      <c r="BA104" t="str">
        <f>IF($AM104="●",IF(LEN(AZ104),AZ104&amp;CHAR(10),"")&amp;";//カウントする"&amp;CHAR(10)&amp;";"&amp;$B$16&amp;"	:= "&amp;$B$16&amp;" + 1;","")</f>
        <v/>
      </c>
      <c r="BB104" t="str">
        <f>IF($AM104="●",IF(LEN(BA104),BA104&amp;CHAR(10),"")&amp;IF(LEN(AK104),";//エラーコードを入れる"&amp;CHAR(10)&amp;";"&amp;$B$17&amp;"	:= "&amp;AK104&amp;".udiErr;",""),"")</f>
        <v/>
      </c>
      <c r="BC104" t="str">
        <f>IF($AM104="●",IF(LEN(BB104),BB104&amp;CHAR(10),"")&amp;";//"&amp;$B$11,"")</f>
        <v/>
      </c>
      <c r="BE104">
        <f>INT(D104/$BE$6)</f>
        <v>32</v>
      </c>
      <c r="BF104">
        <f>MOD(D104,$BE$6)</f>
        <v>0</v>
      </c>
      <c r="BG104" t="str">
        <f>IF(LEN(E104),E104&amp;".x"&amp;TEXT(BF104,"0")&amp;CHAR(9)&amp;" := FALSE;","")</f>
        <v/>
      </c>
      <c r="BH104" t="str">
        <f t="shared" si="33"/>
        <v/>
      </c>
    </row>
    <row r="105" spans="4:60" x14ac:dyDescent="0.55000000000000004">
      <c r="D105">
        <v>97</v>
      </c>
      <c r="E105" t="str">
        <f>IF(LEN(I105),I105,IF(LEN(Q105),Q105,""))</f>
        <v/>
      </c>
      <c r="F105" t="str">
        <f>IF(LEN(J105),J105,IF(LEN(R105),R105,""))</f>
        <v/>
      </c>
      <c r="G105" t="str">
        <f>IF(LEN(O105),O105,IF(LEN(X105),X105,""))</f>
        <v/>
      </c>
      <c r="Z105" t="str">
        <f t="shared" si="22"/>
        <v/>
      </c>
      <c r="AA105" t="str">
        <f t="shared" si="23"/>
        <v/>
      </c>
      <c r="AB105" t="str">
        <f t="shared" si="23"/>
        <v/>
      </c>
      <c r="AC105" t="str">
        <f t="shared" si="23"/>
        <v/>
      </c>
      <c r="AD105" t="str">
        <f t="shared" si="24"/>
        <v/>
      </c>
      <c r="AE105" t="str">
        <f t="shared" si="24"/>
        <v/>
      </c>
      <c r="AF105" t="str">
        <f t="shared" si="25"/>
        <v/>
      </c>
      <c r="AG105" t="str">
        <f t="shared" si="26"/>
        <v/>
      </c>
      <c r="AH105" t="str">
        <f t="shared" si="27"/>
        <v/>
      </c>
      <c r="AI105" t="str">
        <f t="shared" si="28"/>
        <v/>
      </c>
      <c r="AJ105" t="str">
        <f t="shared" si="29"/>
        <v/>
      </c>
      <c r="AK105" t="str">
        <f t="shared" si="30"/>
        <v/>
      </c>
      <c r="AM105" t="str">
        <f>IF(LEN(G105),IF(OR(COUNTIF(G105,"*◆*"),COUNTIF(G105,"*▼*"),COUNTIF(G105,"*■*")),"","●"),"")</f>
        <v/>
      </c>
      <c r="AN105" t="str">
        <f>IF(AM105="●",(AN$4+MOD(INT(MID(E105,5,3)),AN$2))*AN$6,"")</f>
        <v/>
      </c>
      <c r="AO105" t="str">
        <f>IF($AM105="●","LDP "&amp;E105&amp;"."&amp;$B$14,"")</f>
        <v/>
      </c>
      <c r="AP105" t="str">
        <f>IF($AM105="●","AND=.D "&amp;$B$15&amp;" #0","")</f>
        <v/>
      </c>
      <c r="AQ105" t="str">
        <f>IF($AM105="●","MOV.D #"&amp;AN105&amp;" "&amp;$B$15,"")</f>
        <v/>
      </c>
      <c r="AR105" t="str">
        <f>IF(LEN(AK105),"MOV.D "&amp;$AK105&amp;" "&amp;$B$17,"")</f>
        <v/>
      </c>
      <c r="AS105" t="str">
        <f>IF(AND(D105&lt;&gt;0,AM105="●"),CHAR(10),"")&amp;IF(LEN(AO105),AO105,"")</f>
        <v/>
      </c>
      <c r="AT105" t="str">
        <f t="shared" si="34"/>
        <v/>
      </c>
      <c r="AU105" t="str">
        <f t="shared" si="35"/>
        <v/>
      </c>
      <c r="AV105" t="str">
        <f t="shared" si="31"/>
        <v/>
      </c>
      <c r="AW105" t="str">
        <f t="shared" si="32"/>
        <v/>
      </c>
      <c r="AY105" t="str">
        <f>IF($AM105="●",AT105&amp;CHAR(10)&amp;"BOX_ST"&amp;CHAR(10)&amp;";//"&amp;$B$10,"")</f>
        <v/>
      </c>
      <c r="AZ105" t="str">
        <f>IF($AM105="●",IF(LEN(AY105),AY105&amp;CHAR(10),"")&amp;";//エラーNo.を入れる"&amp;CHAR(10)&amp;";"&amp;$B$15&amp;"	:= "&amp;AN105&amp;";","")</f>
        <v/>
      </c>
      <c r="BA105" t="str">
        <f>IF($AM105="●",IF(LEN(AZ105),AZ105&amp;CHAR(10),"")&amp;";//カウントする"&amp;CHAR(10)&amp;";"&amp;$B$16&amp;"	:= "&amp;$B$16&amp;" + 1;","")</f>
        <v/>
      </c>
      <c r="BB105" t="str">
        <f>IF($AM105="●",IF(LEN(BA105),BA105&amp;CHAR(10),"")&amp;IF(LEN(AK105),";//エラーコードを入れる"&amp;CHAR(10)&amp;";"&amp;$B$17&amp;"	:= "&amp;AK105&amp;".udiErr;",""),"")</f>
        <v/>
      </c>
      <c r="BC105" t="str">
        <f>IF($AM105="●",IF(LEN(BB105),BB105&amp;CHAR(10),"")&amp;";//"&amp;$B$11,"")</f>
        <v/>
      </c>
      <c r="BE105">
        <f>INT(D105/$BE$6)</f>
        <v>32</v>
      </c>
      <c r="BF105">
        <f>MOD(D105,$BE$6)</f>
        <v>1</v>
      </c>
      <c r="BG105" t="str">
        <f>IF(LEN(E105),E105&amp;".x"&amp;TEXT(BF105,"0")&amp;CHAR(9)&amp;" := FALSE;","")</f>
        <v/>
      </c>
      <c r="BH105" t="str">
        <f t="shared" si="33"/>
        <v/>
      </c>
    </row>
    <row r="106" spans="4:60" x14ac:dyDescent="0.55000000000000004">
      <c r="D106">
        <v>98</v>
      </c>
      <c r="E106" t="str">
        <f>IF(LEN(I106),I106,IF(LEN(Q106),Q106,""))</f>
        <v/>
      </c>
      <c r="F106" t="str">
        <f>IF(LEN(J106),J106,IF(LEN(R106),R106,""))</f>
        <v/>
      </c>
      <c r="G106" t="str">
        <f>IF(LEN(O106),O106,IF(LEN(X106),X106,""))</f>
        <v/>
      </c>
      <c r="Z106" t="str">
        <f t="shared" si="22"/>
        <v/>
      </c>
      <c r="AA106" t="str">
        <f t="shared" si="23"/>
        <v/>
      </c>
      <c r="AB106" t="str">
        <f t="shared" si="23"/>
        <v/>
      </c>
      <c r="AC106" t="str">
        <f t="shared" si="23"/>
        <v/>
      </c>
      <c r="AD106" t="str">
        <f t="shared" si="24"/>
        <v/>
      </c>
      <c r="AE106" t="str">
        <f t="shared" si="24"/>
        <v/>
      </c>
      <c r="AF106" t="str">
        <f t="shared" si="25"/>
        <v/>
      </c>
      <c r="AG106" t="str">
        <f t="shared" si="26"/>
        <v/>
      </c>
      <c r="AH106" t="str">
        <f t="shared" si="27"/>
        <v/>
      </c>
      <c r="AI106" t="str">
        <f t="shared" si="28"/>
        <v/>
      </c>
      <c r="AJ106" t="str">
        <f t="shared" si="29"/>
        <v/>
      </c>
      <c r="AK106" t="str">
        <f t="shared" si="30"/>
        <v/>
      </c>
      <c r="AM106" t="str">
        <f>IF(LEN(G106),IF(OR(COUNTIF(G106,"*◆*"),COUNTIF(G106,"*▼*"),COUNTIF(G106,"*■*")),"","●"),"")</f>
        <v/>
      </c>
      <c r="AN106" t="str">
        <f>IF(AM106="●",(AN$4+MOD(INT(MID(E106,5,3)),AN$2))*AN$6,"")</f>
        <v/>
      </c>
      <c r="AO106" t="str">
        <f>IF($AM106="●","LDP "&amp;E106&amp;"."&amp;$B$14,"")</f>
        <v/>
      </c>
      <c r="AP106" t="str">
        <f>IF($AM106="●","AND=.D "&amp;$B$15&amp;" #0","")</f>
        <v/>
      </c>
      <c r="AQ106" t="str">
        <f>IF($AM106="●","MOV.D #"&amp;AN106&amp;" "&amp;$B$15,"")</f>
        <v/>
      </c>
      <c r="AR106" t="str">
        <f>IF(LEN(AK106),"MOV.D "&amp;$AK106&amp;" "&amp;$B$17,"")</f>
        <v/>
      </c>
      <c r="AS106" t="str">
        <f>IF(AND(D106&lt;&gt;0,AM106="●"),CHAR(10),"")&amp;IF(LEN(AO106),AO106,"")</f>
        <v/>
      </c>
      <c r="AT106" t="str">
        <f t="shared" si="34"/>
        <v/>
      </c>
      <c r="AU106" t="str">
        <f t="shared" si="35"/>
        <v/>
      </c>
      <c r="AV106" t="str">
        <f t="shared" si="31"/>
        <v/>
      </c>
      <c r="AW106" t="str">
        <f t="shared" si="32"/>
        <v/>
      </c>
      <c r="AY106" t="str">
        <f>IF($AM106="●",AT106&amp;CHAR(10)&amp;"BOX_ST"&amp;CHAR(10)&amp;";//"&amp;$B$10,"")</f>
        <v/>
      </c>
      <c r="AZ106" t="str">
        <f>IF($AM106="●",IF(LEN(AY106),AY106&amp;CHAR(10),"")&amp;";//エラーNo.を入れる"&amp;CHAR(10)&amp;";"&amp;$B$15&amp;"	:= "&amp;AN106&amp;";","")</f>
        <v/>
      </c>
      <c r="BA106" t="str">
        <f>IF($AM106="●",IF(LEN(AZ106),AZ106&amp;CHAR(10),"")&amp;";//カウントする"&amp;CHAR(10)&amp;";"&amp;$B$16&amp;"	:= "&amp;$B$16&amp;" + 1;","")</f>
        <v/>
      </c>
      <c r="BB106" t="str">
        <f>IF($AM106="●",IF(LEN(BA106),BA106&amp;CHAR(10),"")&amp;IF(LEN(AK106),";//エラーコードを入れる"&amp;CHAR(10)&amp;";"&amp;$B$17&amp;"	:= "&amp;AK106&amp;".udiErr;",""),"")</f>
        <v/>
      </c>
      <c r="BC106" t="str">
        <f>IF($AM106="●",IF(LEN(BB106),BB106&amp;CHAR(10),"")&amp;";//"&amp;$B$11,"")</f>
        <v/>
      </c>
      <c r="BE106">
        <f>INT(D106/$BE$6)</f>
        <v>32</v>
      </c>
      <c r="BF106">
        <f>MOD(D106,$BE$6)</f>
        <v>2</v>
      </c>
      <c r="BG106" t="str">
        <f>IF(LEN(E106),E106&amp;".x"&amp;TEXT(BF106,"0")&amp;CHAR(9)&amp;" := FALSE;","")</f>
        <v/>
      </c>
      <c r="BH106" t="str">
        <f t="shared" si="33"/>
        <v/>
      </c>
    </row>
    <row r="107" spans="4:60" x14ac:dyDescent="0.55000000000000004">
      <c r="D107">
        <v>99</v>
      </c>
      <c r="E107" t="str">
        <f>IF(LEN(I107),I107,IF(LEN(Q107),Q107,""))</f>
        <v/>
      </c>
      <c r="F107" t="str">
        <f>IF(LEN(J107),J107,IF(LEN(R107),R107,""))</f>
        <v/>
      </c>
      <c r="G107" t="str">
        <f>IF(LEN(O107),O107,IF(LEN(X107),X107,""))</f>
        <v/>
      </c>
      <c r="Z107" t="str">
        <f t="shared" si="22"/>
        <v/>
      </c>
      <c r="AA107" t="str">
        <f t="shared" si="23"/>
        <v/>
      </c>
      <c r="AB107" t="str">
        <f t="shared" si="23"/>
        <v/>
      </c>
      <c r="AC107" t="str">
        <f t="shared" si="23"/>
        <v/>
      </c>
      <c r="AD107" t="str">
        <f t="shared" si="24"/>
        <v/>
      </c>
      <c r="AE107" t="str">
        <f t="shared" si="24"/>
        <v/>
      </c>
      <c r="AF107" t="str">
        <f t="shared" si="25"/>
        <v/>
      </c>
      <c r="AG107" t="str">
        <f t="shared" si="26"/>
        <v/>
      </c>
      <c r="AH107" t="str">
        <f t="shared" si="27"/>
        <v/>
      </c>
      <c r="AI107" t="str">
        <f t="shared" si="28"/>
        <v/>
      </c>
      <c r="AJ107" t="str">
        <f t="shared" si="29"/>
        <v/>
      </c>
      <c r="AK107" t="str">
        <f t="shared" si="30"/>
        <v/>
      </c>
      <c r="AM107" t="str">
        <f>IF(LEN(G107),IF(OR(COUNTIF(G107,"*◆*"),COUNTIF(G107,"*▼*"),COUNTIF(G107,"*■*")),"","●"),"")</f>
        <v/>
      </c>
      <c r="AN107" t="str">
        <f>IF(AM107="●",(AN$4+MOD(INT(MID(E107,5,3)),AN$2))*AN$6,"")</f>
        <v/>
      </c>
      <c r="AO107" t="str">
        <f>IF($AM107="●","LDP "&amp;E107&amp;"."&amp;$B$14,"")</f>
        <v/>
      </c>
      <c r="AP107" t="str">
        <f>IF($AM107="●","AND=.D "&amp;$B$15&amp;" #0","")</f>
        <v/>
      </c>
      <c r="AQ107" t="str">
        <f>IF($AM107="●","MOV.D #"&amp;AN107&amp;" "&amp;$B$15,"")</f>
        <v/>
      </c>
      <c r="AR107" t="str">
        <f>IF(LEN(AK107),"MOV.D "&amp;$AK107&amp;" "&amp;$B$17,"")</f>
        <v/>
      </c>
      <c r="AS107" t="str">
        <f>IF(AND(D107&lt;&gt;0,AM107="●"),CHAR(10),"")&amp;IF(LEN(AO107),AO107,"")</f>
        <v/>
      </c>
      <c r="AT107" t="str">
        <f t="shared" si="34"/>
        <v/>
      </c>
      <c r="AU107" t="str">
        <f t="shared" si="35"/>
        <v/>
      </c>
      <c r="AV107" t="str">
        <f t="shared" si="31"/>
        <v/>
      </c>
      <c r="AW107" t="str">
        <f t="shared" si="32"/>
        <v/>
      </c>
      <c r="AY107" t="str">
        <f>IF($AM107="●",AT107&amp;CHAR(10)&amp;"BOX_ST"&amp;CHAR(10)&amp;";//"&amp;$B$10,"")</f>
        <v/>
      </c>
      <c r="AZ107" t="str">
        <f>IF($AM107="●",IF(LEN(AY107),AY107&amp;CHAR(10),"")&amp;";//エラーNo.を入れる"&amp;CHAR(10)&amp;";"&amp;$B$15&amp;"	:= "&amp;AN107&amp;";","")</f>
        <v/>
      </c>
      <c r="BA107" t="str">
        <f>IF($AM107="●",IF(LEN(AZ107),AZ107&amp;CHAR(10),"")&amp;";//カウントする"&amp;CHAR(10)&amp;";"&amp;$B$16&amp;"	:= "&amp;$B$16&amp;" + 1;","")</f>
        <v/>
      </c>
      <c r="BB107" t="str">
        <f>IF($AM107="●",IF(LEN(BA107),BA107&amp;CHAR(10),"")&amp;IF(LEN(AK107),";//エラーコードを入れる"&amp;CHAR(10)&amp;";"&amp;$B$17&amp;"	:= "&amp;AK107&amp;".udiErr;",""),"")</f>
        <v/>
      </c>
      <c r="BC107" t="str">
        <f>IF($AM107="●",IF(LEN(BB107),BB107&amp;CHAR(10),"")&amp;";//"&amp;$B$11,"")</f>
        <v/>
      </c>
      <c r="BE107">
        <f>INT(D107/$BE$6)</f>
        <v>33</v>
      </c>
      <c r="BF107">
        <f>MOD(D107,$BE$6)</f>
        <v>0</v>
      </c>
      <c r="BG107" t="str">
        <f>IF(LEN(E107),E107&amp;".x"&amp;TEXT(BF107,"0")&amp;CHAR(9)&amp;" := FALSE;","")</f>
        <v/>
      </c>
      <c r="BH107" t="str">
        <f t="shared" si="33"/>
        <v/>
      </c>
    </row>
    <row r="109" spans="4:60" x14ac:dyDescent="0.55000000000000004">
      <c r="AW109" t="str">
        <f>_xlfn.CONCAT(AW8:AW107)</f>
        <v>LDP stEx400.x2
AND=.D stM.udiErrNo #0
MOV.D #4000 stM.udiErrNo
LDP stEx401.x2
AND=.D stM.udiErrNo #0
MOV.D #4010 stM.udiErrNo
LDP stEx402.x2
AND=.D stM.udiErrNo #0
MOV.D #4020 stM.udiErrNo
LDP stEx404.x2
AND=.D stM.udiErrNo #0
MOV.D #4040 stM.udiErrNo
MOV.D stDevIn.astCYL[6] stM.udiSubErr
LDP stEx405.x2
AND=.D stM.udiErrNo #0
MOV.D #4050 stM.udiErrNo
LDP stEx408.x2
AND=.D stM.udiErrNo #0
MOV.D #4080 stM.udiErrNo
MOV.D stDevIn.astAXK[0] stM.udiSubErr
LDP stEx412.x2
AND=.D stM.udiErrNo #0
MOV.D #4120 stM.udiErrNo
MOV.D stDevIn.astAXK[1] stM.udiSubErr
LDP stEx413.x2
AND=.D stM.udiErrNo #0
MOV.D #4130 stM.udiErrNo
MOV.D stDevIn.astAXK[1] stM.udiSubErr
LDP stEx416.x2
AND=.D stM.udiErrNo #0
MOV.D #4160 stM.udiErrNo
LDP stEx420.x2
AND=.D stM.udiErrNo #0
MOV.D #4200 stM.udiErrNo
MOV.D stDevIn.astAXO[3] stM.udiSubErr
LDP stEx421.x2
AND=.D stM.udiErrNo #0
MOV.D #4210 stM.udiErrNo
MOV.D stDevIn.astCYL[1] stM.udiSubErr
LDP stEx422.x2
AND=.D stM.udiErrNo #0
MOV.D #4220 stM.udiErrNo
MOV.D stDevIn.astCYL[2] stM.udiSubErr
LDP stEx424.x2
AND=.D stM.udiErrNo #0
MOV.D #4240 stM.udiErrNo
MOV.D stDevIn.astCYL[1] stM.udiSubErr
LDP stEx425.x2
AND=.D stM.udiErrNo #0
MOV.D #4250 stM.udiErrNo
MOV.D stDevIn.astCYL[2] stM.udiSubErr
LDP stEx426.x2
AND=.D stM.udiErrNo #0
MOV.D #4260 stM.udiErrNo
MOV.D stDevIn.astAXO[3] stM.udiSubErr
LDP stEx430.x2
AND=.D stM.udiErrNo #0
MOV.D #4300 stM.udiErrNo
MOV.D stDevIn.astAXI[0] stM.udiSubErr
LDP stEx431.x2
AND=.D stM.udiErrNo #0
MOV.D #4310 stM.udiErrNo
MOV.D stDevIn.astAXI[0] stM.udiSubErr
LDP stEx432.x2
AND=.D stM.udiErrNo #0
MOV.D #4320 stM.udiErrNo
MOV.D stDevIn.astCYL[6] stM.udiSubErr
LDP stEx433.x2
AND=.D stM.udiErrNo #0
MOV.D #4330 stM.udiErrNo
LDP stEx434.x2
AND=.D stM.udiErrNo #0
MOV.D #4340 stM.udiErrNo
LDP stEx435.x2
AND=.D stM.udiErrNo #0
MOV.D #4350 stM.udiErrNo
MOV.D stDevIn.astAXI[0] stM.udiSubErr
LDP stEx438.x2
AND=.D stM.udiErrNo #0
MOV.D #4380 stM.udiErrNo
LDP stEx443.x2
AND=.D stM.udiErrNo #0
MOV.D #4430 stM.udiErrNo
MOV.D stDevIn.astAXK[1] stM.udiSubErr
LDP stEx445.x2
AND=.D stM.udiErrNo #0
MOV.D #4450 stM.udiErrNo
LDP stEx446.x2
AND=.D stM.udiErrNo #0
MOV.D #4460 stM.udiErrNo
MOV.D stDevIn.astAXI[0] stM.udiSubErr
LDP stEx447.x2
AND=.D stM.udiErrNo #0
MOV.D #4470 stM.udiErrNo
MOV.D stDevIn.astAXI[1] stM.udiSubErr
LDP stEx448.x2
AND=.D stM.udiErrNo #0
MOV.D #4480 stM.udiErrNo
LDP stEx449.x2
AND=.D stM.udiErrNo #0
MOV.D #4490 stM.udiErrNo
MOV.D stDevIn.astAXK[0] stM.udiSubErr
LDP stEx451.x2
AND=.D stM.udiErrNo #0
MOV.D #4510 stM.udiErrNo
MOV.D stDevIn.astAXK[0] stM.udiSubErr
LDP stEx452.x2
AND=.D stM.udiErrNo #0
MOV.D #4520 stM.udiErrNo
MOV.D stDevIn.astAXI[0] stM.udiSubErr
LDP stEx453.x2
AND=.D stM.udiErrNo #0
MOV.D #4530 stM.udiErrNo
MOV.D stDevIn.astAXI[1] stM.udiSubErr
LDP stEx454.x2
AND=.D stM.udiErrNo #0
MOV.D #4540 stM.udiErrNo
MOV.D stDevIn.astAXI[0] stM.udiSubErr</v>
      </c>
      <c r="BC109" t="str">
        <f ca="1">_xlfn.CONCAT(BC8:BC107)</f>
        <v>LDP stEx400.x2
AND=.D stM.udiErrNo #0
BOX_ST
;//このスクリプトは C:\tk\prj\hg-0025-0016\git\kv-x520\doc\[kv_script_exe_errno.xlsm]info_script によって生成されました。
;//エラーNo.を入れる
;stM.udiErrNo	:= 4000;
;//カウントする
;stM.uiEDCnt	:= stM.uiEDCnt + 1;
;//-----ここまで生成script-----
LDP stEx401.x2
AND=.D stM.udiErrNo #0
BOX_ST
;//このスクリプトは C:\tk\prj\hg-0025-0016\git\kv-x520\doc\[kv_script_exe_errno.xlsm]info_script によって生成されました。
;//エラーNo.を入れる
;stM.udiErrNo	:= 4010;
;//カウントする
;stM.uiEDCnt	:= stM.uiEDCnt + 1;
;//-----ここまで生成script-----
LDP stEx402.x2
AND=.D stM.udiErrNo #0
BOX_ST
;//このスクリプトは C:\tk\prj\hg-0025-0016\git\kv-x520\doc\[kv_script_exe_errno.xlsm]info_script によって生成されました。
;//エラーNo.を入れる
;stM.udiErrNo	:= 4020;
;//カウントする
;stM.uiEDCnt	:= stM.uiEDCnt + 1;
;//-----ここまで生成script-----
LDP stEx404.x2
AND=.D stM.udiErrNo #0
BOX_ST
;//このスクリプトは C:\tk\prj\hg-0025-0016\git\kv-x520\doc\[kv_script_exe_errno.xlsm]info_script によって生成されました。
;//エラーNo.を入れる
;stM.udiErrNo	:= 4040;
;//カウントする
;stM.uiEDCnt	:= stM.uiEDCnt + 1;
;//エラーコードを入れる
;stM.udiSubErr	:= stDevIn.astCYL[6].udiErr;
;//-----ここまで生成script-----
LDP stEx405.x2
AND=.D stM.udiErrNo #0
BOX_ST
;//このスクリプトは C:\tk\prj\hg-0025-0016\git\kv-x520\doc\[kv_script_exe_errno.xlsm]info_script によって生成されました。
;//エラーNo.を入れる
;stM.udiErrNo	:= 4050;
;//カウントする
;stM.uiEDCnt	:= stM.uiEDCnt + 1;
;//-----ここまで生成script-----
LDP stEx408.x2
AND=.D stM.udiErrNo #0
BOX_ST
;//このスクリプトは C:\tk\prj\hg-0025-0016\git\kv-x520\doc\[kv_script_exe_errno.xlsm]info_script によって生成されました。
;//エラーNo.を入れる
;stM.udiErrNo	:= 4080;
;//カウントする
;stM.uiEDCnt	:= stM.uiEDCnt + 1;
;//エラーコードを入れる
;stM.udiSubErr	:= stDevIn.astAXK[0].udiErr;
;//-----ここまで生成script-----
LDP stEx412.x2
AND=.D stM.udiErrNo #0
BOX_ST
;//このスクリプトは C:\tk\prj\hg-0025-0016\git\kv-x520\doc\[kv_script_exe_errno.xlsm]info_script によって生成されました。
;//エラーNo.を入れる
;stM.udiErrNo	:= 4120;
;//カウントする
;stM.uiEDCnt	:= stM.uiEDCnt + 1;
;//エラーコードを入れる
;stM.udiSubErr	:= stDevIn.astAXK[1].udiErr;
;//-----ここまで生成script-----
LDP stEx413.x2
AND=.D stM.udiErrNo #0
BOX_ST
;//このスクリプトは C:\tk\prj\hg-0025-0016\git\kv-x520\doc\[kv_script_exe_errno.xlsm]info_script によって生成されました。
;//エラーNo.を入れる
;stM.udiErrNo	:= 4130;
;//カウントする
;stM.uiEDCnt	:= stM.uiEDCnt + 1;
;//エラーコードを入れる
;stM.udiSubErr	:= stDevIn.astAXK[1].udiErr;
;//-----ここまで生成script-----
LDP stEx416.x2
AND=.D stM.udiErrNo #0
BOX_ST
;//このスクリプトは C:\tk\prj\hg-0025-0016\git\kv-x520\doc\[kv_script_exe_errno.xlsm]info_script によって生成されました。
;//エラーNo.を入れる
;stM.udiErrNo	:= 4160;
;//カウントする
;stM.uiEDCnt	:= stM.uiEDCnt + 1;
;//-----ここまで生成script-----
LDP stEx420.x2
AND=.D stM.udiErrNo #0
BOX_ST
;//このスクリプトは C:\tk\prj\hg-0025-0016\git\kv-x520\doc\[kv_script_exe_errno.xlsm]info_script によって生成されました。
;//エラーNo.を入れる
;stM.udiErrNo	:= 4200;
;//カウントする
;stM.uiEDCnt	:= stM.uiEDCnt + 1;
;//エラーコードを入れる
;stM.udiSubErr	:= stDevIn.astAXO[3].udiErr;
;//-----ここまで生成script-----
LDP stEx421.x2
AND=.D stM.udiErrNo #0
BOX_ST
;//このスクリプトは C:\tk\prj\hg-0025-0016\git\kv-x520\doc\[kv_script_exe_errno.xlsm]info_script によって生成されました。
;//エラーNo.を入れる
;stM.udiErrNo	:= 4210;
;//カウントする
;stM.uiEDCnt	:= stM.uiEDCnt + 1;
;//エラーコードを入れる
;stM.udiSubErr	:= stDevIn.astCYL[1].udiErr;
;//-----ここまで生成script-----
LDP stEx422.x2
AND=.D stM.udiErrNo #0
BOX_ST
;//このスクリプトは C:\tk\prj\hg-0025-0016\git\kv-x520\doc\[kv_script_exe_errno.xlsm]info_script によって生成されました。
;//エラーNo.を入れる
;stM.udiErrNo	:= 4220;
;//カウントする
;stM.uiEDCnt	:= stM.uiEDCnt + 1;
;//エラーコードを入れる
;stM.udiSubErr	:= stDevIn.astCYL[2].udiErr;
;//-----ここまで生成script-----
LDP stEx424.x2
AND=.D stM.udiErrNo #0
BOX_ST
;//このスクリプトは C:\tk\prj\hg-0025-0016\git\kv-x520\doc\[kv_script_exe_errno.xlsm]info_script によって生成されました。
;//エラーNo.を入れる
;stM.udiErrNo	:= 4240;
;//カウントする
;stM.uiEDCnt	:= stM.uiEDCnt + 1;
;//エラーコードを入れる
;stM.udiSubErr	:= stDevIn.astCYL[1].udiErr;
;//-----ここまで生成script-----
LDP stEx425.x2
AND=.D stM.udiErrNo #0
BOX_ST
;//このスクリプトは C:\tk\prj\hg-0025-0016\git\kv-x520\doc\[kv_script_exe_errno.xlsm]info_script によって生成されました。
;//エラーNo.を入れる
;stM.udiErrNo	:= 4250;
;//カウントする
;stM.uiEDCnt	:= stM.uiEDCnt + 1;
;//エラーコードを入れる
;stM.udiSubErr	:= stDevIn.astCYL[2].udiErr;
;//-----ここまで生成script-----
LDP stEx426.x2
AND=.D stM.udiErrNo #0
BOX_ST
;//このスクリプトは C:\tk\prj\hg-0025-0016\git\kv-x520\doc\[kv_script_exe_errno.xlsm]info_script によって生成されました。
;//エラーNo.を入れる
;stM.udiErrNo	:= 4260;
;//カウントする
;stM.uiEDCnt	:= stM.uiEDCnt + 1;
;//エラーコードを入れる
;stM.udiSubErr	:= stDevIn.astAXO[3].udiErr;
;//-----ここまで生成script-----
LDP stEx430.x2
AND=.D stM.udiErrNo #0
BOX_ST
;//このスクリプトは C:\tk\prj\hg-0025-0016\git\kv-x520\doc\[kv_script_exe_errno.xlsm]info_script によって生成されました。
;//エラーNo.を入れる
;stM.udiErrNo	:= 4300;
;//カウントする
;stM.uiEDCnt	:= stM.uiEDCnt + 1;
;//エラーコードを入れる
;stM.udiSubErr	:= stDevIn.astAXI[0].udiErr;
;//-----ここまで生成script-----
LDP stEx431.x2
AND=.D stM.udiErrNo #0
BOX_ST
;//このスクリプトは C:\tk\prj\hg-0025-0016\git\kv-x520\doc\[kv_script_exe_errno.xlsm]info_script によって生成されました。
;//エラーNo.を入れる
;stM.udiErrNo	:= 4310;
;//カウントする
;stM.uiEDCnt	:= stM.uiEDCnt + 1;
;//エラーコードを入れる
;stM.udiSubErr	:= stDevIn.astAXI[0].udiErr;
;//-----ここまで生成script-----
LDP stEx432.x2
AND=.D stM.udiErrNo #0
BOX_ST
;//このスクリプトは C:\tk\prj\hg-0025-0016\git\kv-x520\doc\[kv_script_exe_errno.xlsm]info_script によって生成されました。
;//エラーNo.を入れる
;stM.udiErrNo	:= 4320;
;//カウントする
;stM.uiEDCnt	:= stM.uiEDCnt + 1;
;//エラーコードを入れる
;stM.udiSubErr	:= stDevIn.astCYL[6].udiErr;
;//-----ここまで生成script-----
LDP stEx433.x2
AND=.D stM.udiErrNo #0
BOX_ST
;//このスクリプトは C:\tk\prj\hg-0025-0016\git\kv-x520\doc\[kv_script_exe_errno.xlsm]info_script によって生成されました。
;//エラーNo.を入れる
;stM.udiErrNo	:= 4330;
;//カウントする
;stM.uiEDCnt	:= stM.uiEDCnt + 1;
;//-----ここまで生成script-----
LDP stEx434.x2
AND=.D stM.udiErrNo #0
BOX_ST
;//このスクリプトは C:\tk\prj\hg-0025-0016\git\kv-x520\doc\[kv_script_exe_errno.xlsm]info_script によって生成されました。
;//エラーNo.を入れる
;stM.udiErrNo	:= 4340;
;//カウントする
;stM.uiEDCnt	:= stM.uiEDCnt + 1;
;//-----ここまで生成script-----
LDP stEx435.x2
AND=.D stM.udiErrNo #0
BOX_ST
;//このスクリプトは C:\tk\prj\hg-0025-0016\git\kv-x520\doc\[kv_script_exe_errno.xlsm]info_script によって生成されました。
;//エラーNo.を入れる
;stM.udiErrNo	:= 4350;
;//カウントする
;stM.uiEDCnt	:= stM.uiEDCnt + 1;
;//エラーコードを入れる
;stM.udiSubErr	:= stDevIn.astAXI[0].udiErr;
;//-----ここまで生成script-----
LDP stEx438.x2
AND=.D stM.udiErrNo #0
BOX_ST
;//このスクリプトは C:\tk\prj\hg-0025-0016\git\kv-x520\doc\[kv_script_exe_errno.xlsm]info_script によって生成されました。
;//エラーNo.を入れる
;stM.udiErrNo	:= 4380;
;//カウントする
;stM.uiEDCnt	:= stM.uiEDCnt + 1;
;//-----ここまで生成script-----
LDP stEx443.x2
AND=.D stM.udiErrNo #0
BOX_ST
;//このスクリプトは C:\tk\prj\hg-0025-0016\git\kv-x520\doc\[kv_script_exe_errno.xlsm]info_script によって生成されました。
;//エラーNo.を入れる
;stM.udiErrNo	:= 4430;
;//カウントする
;stM.uiEDCnt	:= stM.uiEDCnt + 1;
;//エラーコードを入れる
;stM.udiSubErr	:= stDevIn.astAXK[1].udiErr;
;//-----ここまで生成script-----
LDP stEx445.x2
AND=.D stM.udiErrNo #0
BOX_ST
;//このスクリプトは C:\tk\prj\hg-0025-0016\git\kv-x520\doc\[kv_script_exe_errno.xlsm]info_script によって生成されました。
;//エラーNo.を入れる
;stM.udiErrNo	:= 4450;
;//カウントする
;stM.uiEDCnt	:= stM.uiEDCnt + 1;
;//-----ここまで生成script-----
LDP stEx446.x2
AND=.D stM.udiErrNo #0
BOX_ST
;//このスクリプトは C:\tk\prj\hg-0025-0016\git\kv-x520\doc\[kv_script_exe_errno.xlsm]info_script によって生成されました。
;//エラーNo.を入れる
;stM.udiErrNo	:= 4460;
;//カウントする
;stM.uiEDCnt	:= stM.uiEDCnt + 1;
;//エラーコードを入れる
;stM.udiSubErr	:= stDevIn.astAXI[0].udiErr;
;//-----ここまで生成script-----
LDP stEx447.x2
AND=.D stM.udiErrNo #0
BOX_ST
;//このスクリプトは C:\tk\prj\hg-0025-0016\git\kv-x520\doc\[kv_script_exe_errno.xlsm]info_script によって生成されました。
;//エラーNo.を入れる
;stM.udiErrNo	:= 4470;
;//カウントする
;stM.uiEDCnt	:= stM.uiEDCnt + 1;
;//エラーコードを入れる
;stM.udiSubErr	:= stDevIn.astAXI[1].udiErr;
;//-----ここまで生成script-----
LDP stEx448.x2
AND=.D stM.udiErrNo #0
BOX_ST
;//このスクリプトは C:\tk\prj\hg-0025-0016\git\kv-x520\doc\[kv_script_exe_errno.xlsm]info_script によって生成されました。
;//エラーNo.を入れる
;stM.udiErrNo	:= 4480;
;//カウントする
;stM.uiEDCnt	:= stM.uiEDCnt + 1;
;//-----ここまで生成script-----
LDP stEx449.x2
AND=.D stM.udiErrNo #0
BOX_ST
;//このスクリプトは C:\tk\prj\hg-0025-0016\git\kv-x520\doc\[kv_script_exe_errno.xlsm]info_script によって生成されました。
;//エラーNo.を入れる
;stM.udiErrNo	:= 4490;
;//カウントする
;stM.uiEDCnt	:= stM.uiEDCnt + 1;
;//エラーコードを入れる
;stM.udiSubErr	:= stDevIn.astAXK[0].udiErr;
;//-----ここまで生成script-----
LDP stEx451.x2
AND=.D stM.udiErrNo #0
BOX_ST
;//このスクリプトは C:\tk\prj\hg-0025-0016\git\kv-x520\doc\[kv_script_exe_errno.xlsm]info_script によって生成されました。
;//エラーNo.を入れる
;stM.udiErrNo	:= 4510;
;//カウントする
;stM.uiEDCnt	:= stM.uiEDCnt + 1;
;//エラーコードを入れる
;stM.udiSubErr	:= stDevIn.astAXK[0].udiErr;
;//-----ここまで生成script-----
LDP stEx452.x2
AND=.D stM.udiErrNo #0
BOX_ST
;//このスクリプトは C:\tk\prj\hg-0025-0016\git\kv-x520\doc\[kv_script_exe_errno.xlsm]info_script によって生成されました。
;//エラーNo.を入れる
;stM.udiErrNo	:= 4520;
;//カウントする
;stM.uiEDCnt	:= stM.uiEDCnt + 1;
;//エラーコードを入れる
;stM.udiSubErr	:= stDevIn.astAXI[0].udiErr;
;//-----ここまで生成script-----
LDP stEx453.x2
AND=.D stM.udiErrNo #0
BOX_ST
;//このスクリプトは C:\tk\prj\hg-0025-0016\git\kv-x520\doc\[kv_script_exe_errno.xlsm]info_script によって生成されました。
;//エラーNo.を入れる
;stM.udiErrNo	:= 4530;
;//カウントする
;stM.uiEDCnt	:= stM.uiEDCnt + 1;
;//エラーコードを入れる
;stM.udiSubErr	:= stDevIn.astAXI[1].udiErr;
;//-----ここまで生成script-----
LDP stEx454.x2
AND=.D stM.udiErrNo #0
BOX_ST
;//このスクリプトは C:\tk\prj\hg-0025-0016\git\kv-x520\doc\[kv_script_exe_errno.xlsm]info_script によって生成されました。
;//エラーNo.を入れる
;stM.udiErrNo	:= 4540;
;//カウントする
;stM.uiEDCnt	:= stM.uiEDCnt + 1;
;//エラーコードを入れる
;stM.udiSubErr	:= stDevIn.astAXI[0].udiErr;
;//-----ここまで生成script-----</v>
      </c>
      <c r="BH109" t="str">
        <f>_xlfn.CONCAT(BH$8:BH$107)</f>
        <v xml:space="preserve">stEx400.x0	 := FALSE;
stEx401.x1	 := FALSE;
stEx402.x2	 := FALSE;
stEx403.x0	 := FALSE;
stEx404.x1	 := FALSE;
stEx405.x2	 := FALSE;
stEx406.x0	 := FALSE;
stEx407.x1	 := FALSE;
stEx408.x2	 := FALSE;
stEx409.x0	 := FALSE;
stEx410.x1	 := FALSE;
stEx411.x2	 := FALSE;
stEx412.x0	 := FALSE;
stEx413.x1	 := FALSE;
stEx414.x2	 := FALSE;
stEx415.x0	 := FALSE;
stEx416.x1	 := FALSE;
stEx417.x2	 := FALSE;
stEx418.x0	 := FALSE;
stEx419.x1	 := FALSE;
stEx420.x2	 := FALSE;
stEx421.x0	 := FALSE;
stEx422.x1	 := FALSE;
stEx423.x2	 := FALSE;
stEx424.x0	 := FALSE;
stEx425.x1	 := FALSE;
stEx426.x2	 := FALSE;
stEx427.x0	 := FALSE;
stEx428.x1	 := FALSE;
stEx429.x2	 := FALSE;
stEx430.x0	 := FALSE;
stEx431.x1	 := FALSE;
stEx432.x2	 := FALSE;
stEx433.x0	 := FALSE;
stEx434.x1	 := FALSE;
stEx435.x2	 := FALSE;
stEx436.x0	 := FALSE;
stEx437.x1	 := FALSE;
stEx438.x2	 := FALSE;
stEx439.x0	 := FALSE;
stEx440.x1	 := FALSE;
stEx441.x2	 := FALSE;
stEx442.x0	 := FALSE;
stEx443.x1	 := FALSE;
stEx444.x2	 := FALSE;
stEx445.x0	 := FALSE;
stEx446.x1	 := FALSE;
stEx447.x2	 := FALSE;
stEx448.x0	 := FALSE;
stEx449.x1	 := FALSE;
stEx450.x2	 := FALSE;
stEx451.x0	 := FALSE;
stEx452.x1	 := FALSE;
stEx453.x2	 := FALSE;
stEx454.x0	 := FALSE;
</v>
      </c>
    </row>
  </sheetData>
  <autoFilter ref="AW1:AW109" xr:uid="{072FD0F4-3707-4FCC-9D10-2DD76A7D546A}"/>
  <phoneticPr fontId="1"/>
  <conditionalFormatting sqref="A16:B17 A19:B20 I1:O7 C16:D20 I9:O1048576 A21:D1048576 A1:D15 J8:O8 E1:H1048576 P1:X1048576 AN1:AN2 Y7:XFD1048576 Y1:AM6 AO1:XFD6 AN4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2026-02-20T03:10:21Z</dcterms:modified>
</cp:coreProperties>
</file>