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unit01\kv-x520\doc\"/>
    </mc:Choice>
  </mc:AlternateContent>
  <xr:revisionPtr revIDLastSave="0" documentId="13_ncr:1_{91EA4E4A-8AD3-49FF-B62A-BE12C064C19D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info_script!$AW$1:$AW$211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F209" i="1" l="1"/>
  <c r="BE209" i="1"/>
  <c r="G209" i="1"/>
  <c r="F209" i="1"/>
  <c r="E209" i="1"/>
  <c r="BG209" i="1" s="1"/>
  <c r="BH209" i="1" s="1"/>
  <c r="BF208" i="1"/>
  <c r="BE208" i="1"/>
  <c r="G208" i="1"/>
  <c r="F208" i="1"/>
  <c r="E208" i="1"/>
  <c r="BG208" i="1" s="1"/>
  <c r="BH208" i="1" s="1"/>
  <c r="BF207" i="1"/>
  <c r="BE207" i="1"/>
  <c r="G207" i="1"/>
  <c r="F207" i="1"/>
  <c r="E207" i="1"/>
  <c r="BG207" i="1" s="1"/>
  <c r="BH207" i="1" s="1"/>
  <c r="BF206" i="1"/>
  <c r="BE206" i="1"/>
  <c r="G206" i="1"/>
  <c r="F206" i="1"/>
  <c r="E206" i="1"/>
  <c r="BG206" i="1" s="1"/>
  <c r="BH206" i="1" s="1"/>
  <c r="BF205" i="1"/>
  <c r="BE205" i="1"/>
  <c r="G205" i="1"/>
  <c r="AM205" i="1" s="1"/>
  <c r="BC205" i="1" s="1"/>
  <c r="F205" i="1"/>
  <c r="E205" i="1"/>
  <c r="BG205" i="1" s="1"/>
  <c r="BH205" i="1" s="1"/>
  <c r="BF204" i="1"/>
  <c r="BE204" i="1"/>
  <c r="G204" i="1"/>
  <c r="F204" i="1"/>
  <c r="E204" i="1"/>
  <c r="BG204" i="1" s="1"/>
  <c r="BH204" i="1" s="1"/>
  <c r="BF203" i="1"/>
  <c r="BE203" i="1"/>
  <c r="G203" i="1"/>
  <c r="F203" i="1"/>
  <c r="E203" i="1"/>
  <c r="BG203" i="1" s="1"/>
  <c r="BH203" i="1" s="1"/>
  <c r="BF202" i="1"/>
  <c r="BE202" i="1"/>
  <c r="G202" i="1"/>
  <c r="F202" i="1"/>
  <c r="E202" i="1"/>
  <c r="BG202" i="1" s="1"/>
  <c r="BH202" i="1" s="1"/>
  <c r="BF201" i="1"/>
  <c r="BE201" i="1"/>
  <c r="G201" i="1"/>
  <c r="F201" i="1"/>
  <c r="E201" i="1"/>
  <c r="BG201" i="1" s="1"/>
  <c r="BH201" i="1" s="1"/>
  <c r="BF200" i="1"/>
  <c r="BE200" i="1"/>
  <c r="G200" i="1"/>
  <c r="F200" i="1"/>
  <c r="E200" i="1"/>
  <c r="BG200" i="1" s="1"/>
  <c r="BH200" i="1" s="1"/>
  <c r="BF199" i="1"/>
  <c r="BE199" i="1"/>
  <c r="G199" i="1"/>
  <c r="F199" i="1"/>
  <c r="E199" i="1"/>
  <c r="BG199" i="1" s="1"/>
  <c r="BH199" i="1" s="1"/>
  <c r="BF198" i="1"/>
  <c r="BE198" i="1"/>
  <c r="G198" i="1"/>
  <c r="F198" i="1"/>
  <c r="E198" i="1"/>
  <c r="BG198" i="1" s="1"/>
  <c r="BH198" i="1" s="1"/>
  <c r="BF197" i="1"/>
  <c r="BE197" i="1"/>
  <c r="G197" i="1"/>
  <c r="F197" i="1"/>
  <c r="E197" i="1"/>
  <c r="BG197" i="1" s="1"/>
  <c r="BH197" i="1" s="1"/>
  <c r="BF196" i="1"/>
  <c r="BE196" i="1"/>
  <c r="G196" i="1"/>
  <c r="F196" i="1"/>
  <c r="E196" i="1"/>
  <c r="BG196" i="1" s="1"/>
  <c r="BH196" i="1" s="1"/>
  <c r="BF195" i="1"/>
  <c r="BE195" i="1"/>
  <c r="G195" i="1"/>
  <c r="F195" i="1"/>
  <c r="E195" i="1"/>
  <c r="BG195" i="1" s="1"/>
  <c r="BH195" i="1" s="1"/>
  <c r="BF194" i="1"/>
  <c r="BE194" i="1"/>
  <c r="G194" i="1"/>
  <c r="F194" i="1"/>
  <c r="E194" i="1"/>
  <c r="BG194" i="1" s="1"/>
  <c r="BH194" i="1" s="1"/>
  <c r="BF193" i="1"/>
  <c r="BE193" i="1"/>
  <c r="G193" i="1"/>
  <c r="F193" i="1"/>
  <c r="E193" i="1"/>
  <c r="BG193" i="1" s="1"/>
  <c r="BH193" i="1" s="1"/>
  <c r="BF192" i="1"/>
  <c r="BE192" i="1"/>
  <c r="G192" i="1"/>
  <c r="F192" i="1"/>
  <c r="E192" i="1"/>
  <c r="BG192" i="1" s="1"/>
  <c r="BH192" i="1" s="1"/>
  <c r="BF191" i="1"/>
  <c r="BE191" i="1"/>
  <c r="G191" i="1"/>
  <c r="F191" i="1"/>
  <c r="E191" i="1"/>
  <c r="BG191" i="1" s="1"/>
  <c r="BH191" i="1" s="1"/>
  <c r="BF190" i="1"/>
  <c r="BE190" i="1"/>
  <c r="G190" i="1"/>
  <c r="F190" i="1"/>
  <c r="E190" i="1"/>
  <c r="BG190" i="1" s="1"/>
  <c r="BH190" i="1" s="1"/>
  <c r="BF189" i="1"/>
  <c r="BE189" i="1"/>
  <c r="G189" i="1"/>
  <c r="F189" i="1"/>
  <c r="E189" i="1"/>
  <c r="BG189" i="1" s="1"/>
  <c r="BH189" i="1" s="1"/>
  <c r="BF188" i="1"/>
  <c r="BE188" i="1"/>
  <c r="G188" i="1"/>
  <c r="F188" i="1"/>
  <c r="E188" i="1"/>
  <c r="BG188" i="1" s="1"/>
  <c r="BH188" i="1" s="1"/>
  <c r="BF187" i="1"/>
  <c r="BE187" i="1"/>
  <c r="G187" i="1"/>
  <c r="F187" i="1"/>
  <c r="E187" i="1"/>
  <c r="BG187" i="1" s="1"/>
  <c r="BH187" i="1" s="1"/>
  <c r="BF186" i="1"/>
  <c r="BE186" i="1"/>
  <c r="G186" i="1"/>
  <c r="F186" i="1"/>
  <c r="E186" i="1"/>
  <c r="BG186" i="1" s="1"/>
  <c r="BH186" i="1" s="1"/>
  <c r="BF185" i="1"/>
  <c r="BE185" i="1"/>
  <c r="G185" i="1"/>
  <c r="F185" i="1"/>
  <c r="E185" i="1"/>
  <c r="BG185" i="1" s="1"/>
  <c r="BH185" i="1" s="1"/>
  <c r="BF184" i="1"/>
  <c r="BE184" i="1"/>
  <c r="G184" i="1"/>
  <c r="F184" i="1"/>
  <c r="E184" i="1"/>
  <c r="BG184" i="1" s="1"/>
  <c r="BH184" i="1" s="1"/>
  <c r="BF183" i="1"/>
  <c r="BE183" i="1"/>
  <c r="G183" i="1"/>
  <c r="F183" i="1"/>
  <c r="E183" i="1"/>
  <c r="BG183" i="1" s="1"/>
  <c r="BH183" i="1" s="1"/>
  <c r="BF182" i="1"/>
  <c r="BE182" i="1"/>
  <c r="G182" i="1"/>
  <c r="F182" i="1"/>
  <c r="E182" i="1"/>
  <c r="BG182" i="1" s="1"/>
  <c r="BH182" i="1" s="1"/>
  <c r="BF181" i="1"/>
  <c r="BE181" i="1"/>
  <c r="G181" i="1"/>
  <c r="F181" i="1"/>
  <c r="E181" i="1"/>
  <c r="BG181" i="1" s="1"/>
  <c r="BH181" i="1" s="1"/>
  <c r="BF180" i="1"/>
  <c r="BE180" i="1"/>
  <c r="G180" i="1"/>
  <c r="F180" i="1"/>
  <c r="E180" i="1"/>
  <c r="BG180" i="1" s="1"/>
  <c r="BH180" i="1" s="1"/>
  <c r="BF179" i="1"/>
  <c r="BE179" i="1"/>
  <c r="G179" i="1"/>
  <c r="AM179" i="1" s="1"/>
  <c r="BC179" i="1" s="1"/>
  <c r="F179" i="1"/>
  <c r="E179" i="1"/>
  <c r="BG179" i="1" s="1"/>
  <c r="BH179" i="1" s="1"/>
  <c r="BF178" i="1"/>
  <c r="BE178" i="1"/>
  <c r="G178" i="1"/>
  <c r="F178" i="1"/>
  <c r="E178" i="1"/>
  <c r="BG178" i="1" s="1"/>
  <c r="BH178" i="1" s="1"/>
  <c r="BF177" i="1"/>
  <c r="BE177" i="1"/>
  <c r="G177" i="1"/>
  <c r="F177" i="1"/>
  <c r="E177" i="1"/>
  <c r="BG177" i="1" s="1"/>
  <c r="BH177" i="1" s="1"/>
  <c r="BF176" i="1"/>
  <c r="BE176" i="1"/>
  <c r="G176" i="1"/>
  <c r="F176" i="1"/>
  <c r="E176" i="1"/>
  <c r="BG176" i="1" s="1"/>
  <c r="BH176" i="1" s="1"/>
  <c r="BF175" i="1"/>
  <c r="BE175" i="1"/>
  <c r="G175" i="1"/>
  <c r="F175" i="1"/>
  <c r="E175" i="1"/>
  <c r="BG175" i="1" s="1"/>
  <c r="BH175" i="1" s="1"/>
  <c r="BF174" i="1"/>
  <c r="BE174" i="1"/>
  <c r="G174" i="1"/>
  <c r="F174" i="1"/>
  <c r="E174" i="1"/>
  <c r="BG174" i="1" s="1"/>
  <c r="BH174" i="1" s="1"/>
  <c r="BF173" i="1"/>
  <c r="BE173" i="1"/>
  <c r="G173" i="1"/>
  <c r="F173" i="1"/>
  <c r="E173" i="1"/>
  <c r="BG173" i="1" s="1"/>
  <c r="BH173" i="1" s="1"/>
  <c r="BF172" i="1"/>
  <c r="BE172" i="1"/>
  <c r="G172" i="1"/>
  <c r="F172" i="1"/>
  <c r="E172" i="1"/>
  <c r="BG172" i="1" s="1"/>
  <c r="BH172" i="1" s="1"/>
  <c r="BF171" i="1"/>
  <c r="BE171" i="1"/>
  <c r="G171" i="1"/>
  <c r="F171" i="1"/>
  <c r="E171" i="1"/>
  <c r="BG171" i="1" s="1"/>
  <c r="BH171" i="1" s="1"/>
  <c r="BF170" i="1"/>
  <c r="BE170" i="1"/>
  <c r="G170" i="1"/>
  <c r="F170" i="1"/>
  <c r="E170" i="1"/>
  <c r="BG170" i="1" s="1"/>
  <c r="BH170" i="1" s="1"/>
  <c r="BF169" i="1"/>
  <c r="BE169" i="1"/>
  <c r="G169" i="1"/>
  <c r="F169" i="1"/>
  <c r="E169" i="1"/>
  <c r="BG169" i="1" s="1"/>
  <c r="BH169" i="1" s="1"/>
  <c r="BF168" i="1"/>
  <c r="BE168" i="1"/>
  <c r="G168" i="1"/>
  <c r="F168" i="1"/>
  <c r="E168" i="1"/>
  <c r="BG168" i="1" s="1"/>
  <c r="BH168" i="1" s="1"/>
  <c r="BF167" i="1"/>
  <c r="BE167" i="1"/>
  <c r="G167" i="1"/>
  <c r="F167" i="1"/>
  <c r="E167" i="1"/>
  <c r="BG167" i="1" s="1"/>
  <c r="BH167" i="1" s="1"/>
  <c r="BF166" i="1"/>
  <c r="BE166" i="1"/>
  <c r="G166" i="1"/>
  <c r="F166" i="1"/>
  <c r="E166" i="1"/>
  <c r="BG166" i="1" s="1"/>
  <c r="BH166" i="1" s="1"/>
  <c r="BF165" i="1"/>
  <c r="BE165" i="1"/>
  <c r="G165" i="1"/>
  <c r="F165" i="1"/>
  <c r="E165" i="1"/>
  <c r="BG165" i="1" s="1"/>
  <c r="BH165" i="1" s="1"/>
  <c r="BF164" i="1"/>
  <c r="BE164" i="1"/>
  <c r="G164" i="1"/>
  <c r="F164" i="1"/>
  <c r="E164" i="1"/>
  <c r="BG164" i="1" s="1"/>
  <c r="BH164" i="1" s="1"/>
  <c r="BF163" i="1"/>
  <c r="BE163" i="1"/>
  <c r="G163" i="1"/>
  <c r="F163" i="1"/>
  <c r="E163" i="1"/>
  <c r="BG163" i="1" s="1"/>
  <c r="BH163" i="1" s="1"/>
  <c r="BF162" i="1"/>
  <c r="BE162" i="1"/>
  <c r="G162" i="1"/>
  <c r="F162" i="1"/>
  <c r="E162" i="1"/>
  <c r="BG162" i="1" s="1"/>
  <c r="BH162" i="1" s="1"/>
  <c r="BF161" i="1"/>
  <c r="BE161" i="1"/>
  <c r="G161" i="1"/>
  <c r="F161" i="1"/>
  <c r="E161" i="1"/>
  <c r="BG161" i="1" s="1"/>
  <c r="BH161" i="1" s="1"/>
  <c r="BF160" i="1"/>
  <c r="BE160" i="1"/>
  <c r="G160" i="1"/>
  <c r="F160" i="1"/>
  <c r="E160" i="1"/>
  <c r="BG160" i="1" s="1"/>
  <c r="BH160" i="1" s="1"/>
  <c r="BF159" i="1"/>
  <c r="BE159" i="1"/>
  <c r="G159" i="1"/>
  <c r="F159" i="1"/>
  <c r="E159" i="1"/>
  <c r="BG159" i="1" s="1"/>
  <c r="BH159" i="1" s="1"/>
  <c r="BF158" i="1"/>
  <c r="BE158" i="1"/>
  <c r="G158" i="1"/>
  <c r="F158" i="1"/>
  <c r="E158" i="1"/>
  <c r="BG158" i="1" s="1"/>
  <c r="BH158" i="1" s="1"/>
  <c r="BF157" i="1"/>
  <c r="BE157" i="1"/>
  <c r="G157" i="1"/>
  <c r="AM157" i="1" s="1"/>
  <c r="F157" i="1"/>
  <c r="E157" i="1"/>
  <c r="BG157" i="1" s="1"/>
  <c r="BH157" i="1" s="1"/>
  <c r="BF156" i="1"/>
  <c r="BE156" i="1"/>
  <c r="G156" i="1"/>
  <c r="F156" i="1"/>
  <c r="E156" i="1"/>
  <c r="BG156" i="1" s="1"/>
  <c r="BH156" i="1" s="1"/>
  <c r="BF155" i="1"/>
  <c r="BE155" i="1"/>
  <c r="G155" i="1"/>
  <c r="F155" i="1"/>
  <c r="E155" i="1"/>
  <c r="BG155" i="1" s="1"/>
  <c r="BH155" i="1" s="1"/>
  <c r="BF154" i="1"/>
  <c r="BE154" i="1"/>
  <c r="G154" i="1"/>
  <c r="F154" i="1"/>
  <c r="E154" i="1"/>
  <c r="BG154" i="1" s="1"/>
  <c r="BH154" i="1" s="1"/>
  <c r="BF153" i="1"/>
  <c r="BE153" i="1"/>
  <c r="G153" i="1"/>
  <c r="AM153" i="1" s="1"/>
  <c r="F153" i="1"/>
  <c r="E153" i="1"/>
  <c r="BG153" i="1" s="1"/>
  <c r="BH153" i="1" s="1"/>
  <c r="BF152" i="1"/>
  <c r="BE152" i="1"/>
  <c r="G152" i="1"/>
  <c r="F152" i="1"/>
  <c r="E152" i="1"/>
  <c r="BG152" i="1" s="1"/>
  <c r="BH152" i="1" s="1"/>
  <c r="BF151" i="1"/>
  <c r="BE151" i="1"/>
  <c r="G151" i="1"/>
  <c r="F151" i="1"/>
  <c r="E151" i="1"/>
  <c r="BG151" i="1" s="1"/>
  <c r="BH151" i="1" s="1"/>
  <c r="BF150" i="1"/>
  <c r="BE150" i="1"/>
  <c r="G150" i="1"/>
  <c r="F150" i="1"/>
  <c r="E150" i="1"/>
  <c r="BG150" i="1" s="1"/>
  <c r="BH150" i="1" s="1"/>
  <c r="BF149" i="1"/>
  <c r="BE149" i="1"/>
  <c r="G149" i="1"/>
  <c r="F149" i="1"/>
  <c r="E149" i="1"/>
  <c r="BG149" i="1" s="1"/>
  <c r="BH149" i="1" s="1"/>
  <c r="BF148" i="1"/>
  <c r="BE148" i="1"/>
  <c r="G148" i="1"/>
  <c r="F148" i="1"/>
  <c r="E148" i="1"/>
  <c r="BG148" i="1" s="1"/>
  <c r="BH148" i="1" s="1"/>
  <c r="BF147" i="1"/>
  <c r="BE147" i="1"/>
  <c r="G147" i="1"/>
  <c r="F147" i="1"/>
  <c r="E147" i="1"/>
  <c r="BG147" i="1" s="1"/>
  <c r="BH147" i="1" s="1"/>
  <c r="BF146" i="1"/>
  <c r="BE146" i="1"/>
  <c r="G146" i="1"/>
  <c r="F146" i="1"/>
  <c r="E146" i="1"/>
  <c r="BG146" i="1" s="1"/>
  <c r="BH146" i="1" s="1"/>
  <c r="BF145" i="1"/>
  <c r="BE145" i="1"/>
  <c r="G145" i="1"/>
  <c r="F145" i="1"/>
  <c r="E145" i="1"/>
  <c r="BG145" i="1" s="1"/>
  <c r="BH145" i="1" s="1"/>
  <c r="BF144" i="1"/>
  <c r="BE144" i="1"/>
  <c r="G144" i="1"/>
  <c r="F144" i="1"/>
  <c r="E144" i="1"/>
  <c r="BG144" i="1" s="1"/>
  <c r="BH144" i="1" s="1"/>
  <c r="BF143" i="1"/>
  <c r="BE143" i="1"/>
  <c r="G143" i="1"/>
  <c r="F143" i="1"/>
  <c r="E143" i="1"/>
  <c r="BG143" i="1" s="1"/>
  <c r="BH143" i="1" s="1"/>
  <c r="BF142" i="1"/>
  <c r="BE142" i="1"/>
  <c r="G142" i="1"/>
  <c r="F142" i="1"/>
  <c r="E142" i="1"/>
  <c r="BG142" i="1" s="1"/>
  <c r="BH142" i="1" s="1"/>
  <c r="BF141" i="1"/>
  <c r="BE141" i="1"/>
  <c r="G141" i="1"/>
  <c r="F141" i="1"/>
  <c r="E141" i="1"/>
  <c r="BG141" i="1" s="1"/>
  <c r="BH141" i="1" s="1"/>
  <c r="BF140" i="1"/>
  <c r="BE140" i="1"/>
  <c r="G140" i="1"/>
  <c r="F140" i="1"/>
  <c r="E140" i="1"/>
  <c r="BG140" i="1" s="1"/>
  <c r="BH140" i="1" s="1"/>
  <c r="BF139" i="1"/>
  <c r="BE139" i="1"/>
  <c r="G139" i="1"/>
  <c r="F139" i="1"/>
  <c r="E139" i="1"/>
  <c r="BG139" i="1" s="1"/>
  <c r="BH139" i="1" s="1"/>
  <c r="BF138" i="1"/>
  <c r="BE138" i="1"/>
  <c r="G138" i="1"/>
  <c r="F138" i="1"/>
  <c r="E138" i="1"/>
  <c r="BG138" i="1" s="1"/>
  <c r="BH138" i="1" s="1"/>
  <c r="BF137" i="1"/>
  <c r="BE137" i="1"/>
  <c r="G137" i="1"/>
  <c r="F137" i="1"/>
  <c r="E137" i="1"/>
  <c r="BG137" i="1" s="1"/>
  <c r="BH137" i="1" s="1"/>
  <c r="BF136" i="1"/>
  <c r="BE136" i="1"/>
  <c r="G136" i="1"/>
  <c r="F136" i="1"/>
  <c r="E136" i="1"/>
  <c r="BG136" i="1" s="1"/>
  <c r="BH136" i="1" s="1"/>
  <c r="BF135" i="1"/>
  <c r="BE135" i="1"/>
  <c r="G135" i="1"/>
  <c r="F135" i="1"/>
  <c r="E135" i="1"/>
  <c r="BG135" i="1" s="1"/>
  <c r="BH135" i="1" s="1"/>
  <c r="BF134" i="1"/>
  <c r="BE134" i="1"/>
  <c r="G134" i="1"/>
  <c r="F134" i="1"/>
  <c r="E134" i="1"/>
  <c r="BG134" i="1" s="1"/>
  <c r="BH134" i="1" s="1"/>
  <c r="BF133" i="1"/>
  <c r="BE133" i="1"/>
  <c r="G133" i="1"/>
  <c r="F133" i="1"/>
  <c r="E133" i="1"/>
  <c r="BG133" i="1" s="1"/>
  <c r="BH133" i="1" s="1"/>
  <c r="BF132" i="1"/>
  <c r="BE132" i="1"/>
  <c r="G132" i="1"/>
  <c r="F132" i="1"/>
  <c r="E132" i="1"/>
  <c r="BG132" i="1" s="1"/>
  <c r="BH132" i="1" s="1"/>
  <c r="BF131" i="1"/>
  <c r="BE131" i="1"/>
  <c r="G131" i="1"/>
  <c r="F131" i="1"/>
  <c r="E131" i="1"/>
  <c r="BG131" i="1" s="1"/>
  <c r="BH131" i="1" s="1"/>
  <c r="BF130" i="1"/>
  <c r="BE130" i="1"/>
  <c r="G130" i="1"/>
  <c r="F130" i="1"/>
  <c r="E130" i="1"/>
  <c r="BG130" i="1" s="1"/>
  <c r="BH130" i="1" s="1"/>
  <c r="BF129" i="1"/>
  <c r="BE129" i="1"/>
  <c r="G129" i="1"/>
  <c r="F129" i="1"/>
  <c r="E129" i="1"/>
  <c r="BG129" i="1" s="1"/>
  <c r="BH129" i="1" s="1"/>
  <c r="BF128" i="1"/>
  <c r="BE128" i="1"/>
  <c r="G128" i="1"/>
  <c r="F128" i="1"/>
  <c r="E128" i="1"/>
  <c r="BG128" i="1" s="1"/>
  <c r="BH128" i="1" s="1"/>
  <c r="BF127" i="1"/>
  <c r="BE127" i="1"/>
  <c r="G127" i="1"/>
  <c r="F127" i="1"/>
  <c r="E127" i="1"/>
  <c r="BG127" i="1" s="1"/>
  <c r="BH127" i="1" s="1"/>
  <c r="BF126" i="1"/>
  <c r="BE126" i="1"/>
  <c r="G126" i="1"/>
  <c r="F126" i="1"/>
  <c r="E126" i="1"/>
  <c r="BG126" i="1" s="1"/>
  <c r="BH126" i="1" s="1"/>
  <c r="BF125" i="1"/>
  <c r="BE125" i="1"/>
  <c r="G125" i="1"/>
  <c r="F125" i="1"/>
  <c r="E125" i="1"/>
  <c r="BG125" i="1" s="1"/>
  <c r="BH125" i="1" s="1"/>
  <c r="BF124" i="1"/>
  <c r="BE124" i="1"/>
  <c r="G124" i="1"/>
  <c r="F124" i="1"/>
  <c r="E124" i="1"/>
  <c r="BG124" i="1" s="1"/>
  <c r="BH124" i="1" s="1"/>
  <c r="BF123" i="1"/>
  <c r="BE123" i="1"/>
  <c r="G123" i="1"/>
  <c r="F123" i="1"/>
  <c r="E123" i="1"/>
  <c r="BG123" i="1" s="1"/>
  <c r="BH123" i="1" s="1"/>
  <c r="BF122" i="1"/>
  <c r="BE122" i="1"/>
  <c r="G122" i="1"/>
  <c r="F122" i="1"/>
  <c r="E122" i="1"/>
  <c r="BF121" i="1"/>
  <c r="BE121" i="1"/>
  <c r="G121" i="1"/>
  <c r="F121" i="1"/>
  <c r="E121" i="1"/>
  <c r="BF120" i="1"/>
  <c r="BE120" i="1"/>
  <c r="G120" i="1"/>
  <c r="F120" i="1"/>
  <c r="E120" i="1"/>
  <c r="BG120" i="1" s="1"/>
  <c r="BH120" i="1" s="1"/>
  <c r="BF119" i="1"/>
  <c r="BE119" i="1"/>
  <c r="G119" i="1"/>
  <c r="F119" i="1"/>
  <c r="E119" i="1"/>
  <c r="BG119" i="1" s="1"/>
  <c r="BH119" i="1" s="1"/>
  <c r="BF118" i="1"/>
  <c r="BE118" i="1"/>
  <c r="G118" i="1"/>
  <c r="F118" i="1"/>
  <c r="E118" i="1"/>
  <c r="BF117" i="1"/>
  <c r="BE117" i="1"/>
  <c r="G117" i="1"/>
  <c r="F117" i="1"/>
  <c r="E117" i="1"/>
  <c r="BF116" i="1"/>
  <c r="BE116" i="1"/>
  <c r="G116" i="1"/>
  <c r="F116" i="1"/>
  <c r="E116" i="1"/>
  <c r="BF115" i="1"/>
  <c r="BE115" i="1"/>
  <c r="G115" i="1"/>
  <c r="F115" i="1"/>
  <c r="E115" i="1"/>
  <c r="BG115" i="1" s="1"/>
  <c r="BH115" i="1" s="1"/>
  <c r="BF114" i="1"/>
  <c r="BE114" i="1"/>
  <c r="G114" i="1"/>
  <c r="F114" i="1"/>
  <c r="E114" i="1"/>
  <c r="BG114" i="1" s="1"/>
  <c r="BH114" i="1" s="1"/>
  <c r="BF113" i="1"/>
  <c r="BE113" i="1"/>
  <c r="G113" i="1"/>
  <c r="F113" i="1"/>
  <c r="E113" i="1"/>
  <c r="BF112" i="1"/>
  <c r="BE112" i="1"/>
  <c r="G112" i="1"/>
  <c r="F112" i="1"/>
  <c r="E112" i="1"/>
  <c r="BG112" i="1" s="1"/>
  <c r="BH112" i="1" s="1"/>
  <c r="BF111" i="1"/>
  <c r="BE111" i="1"/>
  <c r="G111" i="1"/>
  <c r="F111" i="1"/>
  <c r="E111" i="1"/>
  <c r="BF110" i="1"/>
  <c r="BE110" i="1"/>
  <c r="G110" i="1"/>
  <c r="F110" i="1"/>
  <c r="E110" i="1"/>
  <c r="BF109" i="1"/>
  <c r="BE109" i="1"/>
  <c r="G109" i="1"/>
  <c r="F109" i="1"/>
  <c r="E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B41" i="1"/>
  <c r="E10" i="1"/>
  <c r="F10" i="1"/>
  <c r="G10" i="1"/>
  <c r="E11" i="1"/>
  <c r="G11" i="1"/>
  <c r="E12" i="1"/>
  <c r="G12" i="1"/>
  <c r="AC12" i="1" s="1"/>
  <c r="E13" i="1"/>
  <c r="G13" i="1"/>
  <c r="AB13" i="1" s="1"/>
  <c r="AI13" i="1" s="1"/>
  <c r="E14" i="1"/>
  <c r="G14" i="1"/>
  <c r="E15" i="1"/>
  <c r="G15" i="1"/>
  <c r="E16" i="1"/>
  <c r="G16" i="1"/>
  <c r="E17" i="1"/>
  <c r="G17" i="1"/>
  <c r="E18" i="1"/>
  <c r="G18" i="1"/>
  <c r="AC18" i="1" s="1"/>
  <c r="E19" i="1"/>
  <c r="G19" i="1"/>
  <c r="E20" i="1"/>
  <c r="G20" i="1"/>
  <c r="E21" i="1"/>
  <c r="G21" i="1"/>
  <c r="AA21" i="1" s="1"/>
  <c r="AH21" i="1" s="1"/>
  <c r="E22" i="1"/>
  <c r="G22" i="1"/>
  <c r="E23" i="1"/>
  <c r="G23" i="1"/>
  <c r="E24" i="1"/>
  <c r="G24" i="1"/>
  <c r="E25" i="1"/>
  <c r="G25" i="1"/>
  <c r="E26" i="1"/>
  <c r="G26" i="1"/>
  <c r="E27" i="1"/>
  <c r="G27" i="1"/>
  <c r="B26" i="2" a="1"/>
  <c r="B6" i="2" a="1"/>
  <c r="B21" i="2" a="1"/>
  <c r="B23" i="2" a="1"/>
  <c r="B7" i="2" a="1"/>
  <c r="B5" i="2" a="1"/>
  <c r="B25" i="2" a="1"/>
  <c r="B8" i="2" a="1"/>
  <c r="B4" i="2" a="1"/>
  <c r="B24" i="2" a="1"/>
  <c r="B22" i="2" a="1"/>
  <c r="B2" i="2" a="1"/>
  <c r="B31" i="2" a="1"/>
  <c r="AM24" i="1" l="1"/>
  <c r="AN24" i="1" s="1"/>
  <c r="Z24" i="1"/>
  <c r="AG24" i="1" s="1"/>
  <c r="AB24" i="1"/>
  <c r="AI24" i="1" s="1"/>
  <c r="AC24" i="1"/>
  <c r="AC165" i="1"/>
  <c r="AJ165" i="1" s="1"/>
  <c r="AB165" i="1"/>
  <c r="AI165" i="1" s="1"/>
  <c r="AA165" i="1"/>
  <c r="AH165" i="1" s="1"/>
  <c r="Z165" i="1"/>
  <c r="AC168" i="1"/>
  <c r="AB168" i="1"/>
  <c r="AI168" i="1" s="1"/>
  <c r="Z168" i="1"/>
  <c r="AG168" i="1" s="1"/>
  <c r="AA168" i="1"/>
  <c r="AH168" i="1" s="1"/>
  <c r="AC188" i="1"/>
  <c r="AJ188" i="1" s="1"/>
  <c r="AB188" i="1"/>
  <c r="AI188" i="1" s="1"/>
  <c r="Z188" i="1"/>
  <c r="AG188" i="1" s="1"/>
  <c r="AA188" i="1"/>
  <c r="AH188" i="1" s="1"/>
  <c r="AM23" i="1"/>
  <c r="AN23" i="1" s="1"/>
  <c r="AC23" i="1"/>
  <c r="AB23" i="1"/>
  <c r="AI23" i="1" s="1"/>
  <c r="Z23" i="1"/>
  <c r="AM19" i="1"/>
  <c r="AN19" i="1" s="1"/>
  <c r="AC19" i="1"/>
  <c r="Z19" i="1"/>
  <c r="AB19" i="1"/>
  <c r="AI19" i="1" s="1"/>
  <c r="AA19" i="1"/>
  <c r="AH19" i="1" s="1"/>
  <c r="AM15" i="1"/>
  <c r="AC15" i="1"/>
  <c r="AB15" i="1"/>
  <c r="AI15" i="1" s="1"/>
  <c r="Z15" i="1"/>
  <c r="AM11" i="1"/>
  <c r="AC11" i="1"/>
  <c r="AB11" i="1"/>
  <c r="AI11" i="1" s="1"/>
  <c r="AA11" i="1"/>
  <c r="AH11" i="1" s="1"/>
  <c r="AC115" i="1"/>
  <c r="AB115" i="1"/>
  <c r="AI115" i="1" s="1"/>
  <c r="AA115" i="1"/>
  <c r="AH115" i="1" s="1"/>
  <c r="Z115" i="1"/>
  <c r="AC123" i="1"/>
  <c r="AJ123" i="1" s="1"/>
  <c r="AB123" i="1"/>
  <c r="AI123" i="1" s="1"/>
  <c r="AA123" i="1"/>
  <c r="AH123" i="1" s="1"/>
  <c r="Z123" i="1"/>
  <c r="AC131" i="1"/>
  <c r="AB131" i="1"/>
  <c r="AI131" i="1" s="1"/>
  <c r="AA131" i="1"/>
  <c r="AH131" i="1" s="1"/>
  <c r="Z131" i="1"/>
  <c r="AC145" i="1"/>
  <c r="AJ145" i="1" s="1"/>
  <c r="AB145" i="1"/>
  <c r="AI145" i="1" s="1"/>
  <c r="AA145" i="1"/>
  <c r="AH145" i="1" s="1"/>
  <c r="Z145" i="1"/>
  <c r="AC162" i="1"/>
  <c r="AB162" i="1"/>
  <c r="AI162" i="1" s="1"/>
  <c r="Z162" i="1"/>
  <c r="AA162" i="1"/>
  <c r="AH162" i="1" s="1"/>
  <c r="AC176" i="1"/>
  <c r="AJ176" i="1" s="1"/>
  <c r="AB176" i="1"/>
  <c r="AI176" i="1" s="1"/>
  <c r="Z176" i="1"/>
  <c r="AG176" i="1" s="1"/>
  <c r="AA176" i="1"/>
  <c r="AH176" i="1" s="1"/>
  <c r="AC179" i="1"/>
  <c r="AJ179" i="1" s="1"/>
  <c r="AB179" i="1"/>
  <c r="AI179" i="1" s="1"/>
  <c r="AA179" i="1"/>
  <c r="AH179" i="1" s="1"/>
  <c r="Z179" i="1"/>
  <c r="AM185" i="1"/>
  <c r="AO185" i="1" s="1"/>
  <c r="AS185" i="1" s="1"/>
  <c r="AC185" i="1"/>
  <c r="AB185" i="1"/>
  <c r="AI185" i="1" s="1"/>
  <c r="AA185" i="1"/>
  <c r="AH185" i="1" s="1"/>
  <c r="Z185" i="1"/>
  <c r="AC193" i="1"/>
  <c r="AB193" i="1"/>
  <c r="AI193" i="1" s="1"/>
  <c r="AA193" i="1"/>
  <c r="AH193" i="1" s="1"/>
  <c r="Z193" i="1"/>
  <c r="AA12" i="1"/>
  <c r="AH12" i="1" s="1"/>
  <c r="AA18" i="1"/>
  <c r="AH18" i="1" s="1"/>
  <c r="AM20" i="1"/>
  <c r="AN20" i="1" s="1"/>
  <c r="Z20" i="1"/>
  <c r="AG20" i="1" s="1"/>
  <c r="AB20" i="1"/>
  <c r="AI20" i="1" s="1"/>
  <c r="AA20" i="1"/>
  <c r="AH20" i="1" s="1"/>
  <c r="AM110" i="1"/>
  <c r="AC110" i="1"/>
  <c r="AJ110" i="1" s="1"/>
  <c r="AB110" i="1"/>
  <c r="AI110" i="1" s="1"/>
  <c r="Z110" i="1"/>
  <c r="AA110" i="1"/>
  <c r="AH110" i="1" s="1"/>
  <c r="AC126" i="1"/>
  <c r="AB126" i="1"/>
  <c r="AI126" i="1" s="1"/>
  <c r="Z126" i="1"/>
  <c r="AA126" i="1"/>
  <c r="AH126" i="1" s="1"/>
  <c r="AM134" i="1"/>
  <c r="AN134" i="1" s="1"/>
  <c r="AC134" i="1"/>
  <c r="AB134" i="1"/>
  <c r="AI134" i="1" s="1"/>
  <c r="Z134" i="1"/>
  <c r="AA134" i="1"/>
  <c r="AH134" i="1" s="1"/>
  <c r="AM137" i="1"/>
  <c r="AN137" i="1" s="1"/>
  <c r="AC137" i="1"/>
  <c r="AB137" i="1"/>
  <c r="AI137" i="1" s="1"/>
  <c r="AA137" i="1"/>
  <c r="AH137" i="1" s="1"/>
  <c r="Z137" i="1"/>
  <c r="AC148" i="1"/>
  <c r="AB148" i="1"/>
  <c r="AI148" i="1" s="1"/>
  <c r="Z148" i="1"/>
  <c r="AG148" i="1" s="1"/>
  <c r="AA148" i="1"/>
  <c r="AH148" i="1" s="1"/>
  <c r="AC151" i="1"/>
  <c r="AB151" i="1"/>
  <c r="AI151" i="1" s="1"/>
  <c r="AA151" i="1"/>
  <c r="AH151" i="1" s="1"/>
  <c r="Z151" i="1"/>
  <c r="AC171" i="1"/>
  <c r="AB171" i="1"/>
  <c r="AI171" i="1" s="1"/>
  <c r="AA171" i="1"/>
  <c r="AH171" i="1" s="1"/>
  <c r="Z171" i="1"/>
  <c r="AM27" i="1"/>
  <c r="AN27" i="1" s="1"/>
  <c r="AB27" i="1"/>
  <c r="AI27" i="1" s="1"/>
  <c r="Z27" i="1"/>
  <c r="AC27" i="1"/>
  <c r="AA27" i="1"/>
  <c r="AH27" i="1" s="1"/>
  <c r="AC112" i="1"/>
  <c r="AB112" i="1"/>
  <c r="AI112" i="1" s="1"/>
  <c r="Z112" i="1"/>
  <c r="AG112" i="1" s="1"/>
  <c r="AA112" i="1"/>
  <c r="AH112" i="1" s="1"/>
  <c r="AC120" i="1"/>
  <c r="AB120" i="1"/>
  <c r="AI120" i="1" s="1"/>
  <c r="Z120" i="1"/>
  <c r="AG120" i="1" s="1"/>
  <c r="AA120" i="1"/>
  <c r="AH120" i="1" s="1"/>
  <c r="AC128" i="1"/>
  <c r="AB128" i="1"/>
  <c r="AI128" i="1" s="1"/>
  <c r="Z128" i="1"/>
  <c r="AG128" i="1" s="1"/>
  <c r="AA128" i="1"/>
  <c r="AH128" i="1" s="1"/>
  <c r="AM142" i="1"/>
  <c r="AO142" i="1" s="1"/>
  <c r="AC142" i="1"/>
  <c r="AJ142" i="1" s="1"/>
  <c r="AB142" i="1"/>
  <c r="AI142" i="1" s="1"/>
  <c r="Z142" i="1"/>
  <c r="AA142" i="1"/>
  <c r="AH142" i="1" s="1"/>
  <c r="AC150" i="1"/>
  <c r="AJ150" i="1" s="1"/>
  <c r="AB150" i="1"/>
  <c r="AI150" i="1" s="1"/>
  <c r="Z150" i="1"/>
  <c r="AA150" i="1"/>
  <c r="AH150" i="1" s="1"/>
  <c r="AJ153" i="1"/>
  <c r="AC153" i="1"/>
  <c r="AB153" i="1"/>
  <c r="AI153" i="1" s="1"/>
  <c r="AA153" i="1"/>
  <c r="AH153" i="1" s="1"/>
  <c r="Z153" i="1"/>
  <c r="AC156" i="1"/>
  <c r="AB156" i="1"/>
  <c r="AI156" i="1" s="1"/>
  <c r="Z156" i="1"/>
  <c r="AG156" i="1" s="1"/>
  <c r="AA156" i="1"/>
  <c r="AH156" i="1" s="1"/>
  <c r="AM159" i="1"/>
  <c r="AO159" i="1" s="1"/>
  <c r="AC159" i="1"/>
  <c r="AB159" i="1"/>
  <c r="AI159" i="1" s="1"/>
  <c r="AA159" i="1"/>
  <c r="AH159" i="1" s="1"/>
  <c r="Z159" i="1"/>
  <c r="AM167" i="1"/>
  <c r="AC167" i="1"/>
  <c r="AJ167" i="1" s="1"/>
  <c r="AB167" i="1"/>
  <c r="AI167" i="1" s="1"/>
  <c r="AA167" i="1"/>
  <c r="AH167" i="1" s="1"/>
  <c r="Z167" i="1"/>
  <c r="AC173" i="1"/>
  <c r="AB173" i="1"/>
  <c r="AI173" i="1" s="1"/>
  <c r="AA173" i="1"/>
  <c r="AH173" i="1" s="1"/>
  <c r="Z173" i="1"/>
  <c r="AM182" i="1"/>
  <c r="AC182" i="1"/>
  <c r="AB182" i="1"/>
  <c r="AI182" i="1" s="1"/>
  <c r="Z182" i="1"/>
  <c r="AA182" i="1"/>
  <c r="AH182" i="1" s="1"/>
  <c r="AC190" i="1"/>
  <c r="AB190" i="1"/>
  <c r="AI190" i="1" s="1"/>
  <c r="Z190" i="1"/>
  <c r="AA190" i="1"/>
  <c r="AH190" i="1" s="1"/>
  <c r="AC198" i="1"/>
  <c r="AJ198" i="1" s="1"/>
  <c r="AB198" i="1"/>
  <c r="AI198" i="1" s="1"/>
  <c r="Z198" i="1"/>
  <c r="AA198" i="1"/>
  <c r="AH198" i="1" s="1"/>
  <c r="AC201" i="1"/>
  <c r="AB201" i="1"/>
  <c r="AI201" i="1" s="1"/>
  <c r="AA201" i="1"/>
  <c r="AH201" i="1" s="1"/>
  <c r="Z201" i="1"/>
  <c r="AM18" i="1"/>
  <c r="AN18" i="1" s="1"/>
  <c r="Z18" i="1"/>
  <c r="AB18" i="1"/>
  <c r="AI18" i="1" s="1"/>
  <c r="AC170" i="1"/>
  <c r="AB170" i="1"/>
  <c r="AI170" i="1" s="1"/>
  <c r="Z170" i="1"/>
  <c r="AA170" i="1"/>
  <c r="AH170" i="1" s="1"/>
  <c r="AC195" i="1"/>
  <c r="AB195" i="1"/>
  <c r="AI195" i="1" s="1"/>
  <c r="AA195" i="1"/>
  <c r="AH195" i="1" s="1"/>
  <c r="Z195" i="1"/>
  <c r="AC204" i="1"/>
  <c r="AJ204" i="1" s="1"/>
  <c r="AB204" i="1"/>
  <c r="AI204" i="1" s="1"/>
  <c r="Z204" i="1"/>
  <c r="AG204" i="1" s="1"/>
  <c r="AA204" i="1"/>
  <c r="AH204" i="1" s="1"/>
  <c r="AM207" i="1"/>
  <c r="AC207" i="1"/>
  <c r="AJ207" i="1" s="1"/>
  <c r="AB207" i="1"/>
  <c r="AI207" i="1" s="1"/>
  <c r="AA207" i="1"/>
  <c r="AH207" i="1" s="1"/>
  <c r="Z207" i="1"/>
  <c r="AA13" i="1"/>
  <c r="AH13" i="1" s="1"/>
  <c r="AC20" i="1"/>
  <c r="AM26" i="1"/>
  <c r="AN26" i="1" s="1"/>
  <c r="AC26" i="1"/>
  <c r="AB26" i="1"/>
  <c r="AI26" i="1" s="1"/>
  <c r="Z26" i="1"/>
  <c r="AM14" i="1"/>
  <c r="Z14" i="1"/>
  <c r="AB14" i="1"/>
  <c r="AI14" i="1" s="1"/>
  <c r="AA14" i="1"/>
  <c r="AH14" i="1" s="1"/>
  <c r="AC117" i="1"/>
  <c r="AB117" i="1"/>
  <c r="AI117" i="1" s="1"/>
  <c r="AA117" i="1"/>
  <c r="AH117" i="1" s="1"/>
  <c r="Z117" i="1"/>
  <c r="AC139" i="1"/>
  <c r="AB139" i="1"/>
  <c r="AI139" i="1" s="1"/>
  <c r="AA139" i="1"/>
  <c r="AH139" i="1" s="1"/>
  <c r="Z139" i="1"/>
  <c r="AC164" i="1"/>
  <c r="AB164" i="1"/>
  <c r="AI164" i="1" s="1"/>
  <c r="Z164" i="1"/>
  <c r="AG164" i="1" s="1"/>
  <c r="AA164" i="1"/>
  <c r="AH164" i="1" s="1"/>
  <c r="AC187" i="1"/>
  <c r="AB187" i="1"/>
  <c r="AI187" i="1" s="1"/>
  <c r="AA187" i="1"/>
  <c r="AH187" i="1" s="1"/>
  <c r="Z187" i="1"/>
  <c r="AC114" i="1"/>
  <c r="AB114" i="1"/>
  <c r="AI114" i="1" s="1"/>
  <c r="Z114" i="1"/>
  <c r="AE114" i="1" s="1"/>
  <c r="AA114" i="1"/>
  <c r="AH114" i="1" s="1"/>
  <c r="AC122" i="1"/>
  <c r="AB122" i="1"/>
  <c r="AI122" i="1" s="1"/>
  <c r="Z122" i="1"/>
  <c r="AA122" i="1"/>
  <c r="AH122" i="1" s="1"/>
  <c r="AC130" i="1"/>
  <c r="AB130" i="1"/>
  <c r="AI130" i="1" s="1"/>
  <c r="Z130" i="1"/>
  <c r="AE130" i="1" s="1"/>
  <c r="AA130" i="1"/>
  <c r="AH130" i="1" s="1"/>
  <c r="AC144" i="1"/>
  <c r="AB144" i="1"/>
  <c r="AI144" i="1" s="1"/>
  <c r="Z144" i="1"/>
  <c r="AG144" i="1" s="1"/>
  <c r="AA144" i="1"/>
  <c r="AH144" i="1" s="1"/>
  <c r="AM161" i="1"/>
  <c r="AQ161" i="1" s="1"/>
  <c r="AC161" i="1"/>
  <c r="AB161" i="1"/>
  <c r="AI161" i="1" s="1"/>
  <c r="AA161" i="1"/>
  <c r="AH161" i="1" s="1"/>
  <c r="Z161" i="1"/>
  <c r="AM175" i="1"/>
  <c r="AC175" i="1"/>
  <c r="AB175" i="1"/>
  <c r="AI175" i="1" s="1"/>
  <c r="AA175" i="1"/>
  <c r="AH175" i="1" s="1"/>
  <c r="Z175" i="1"/>
  <c r="AC178" i="1"/>
  <c r="AJ178" i="1" s="1"/>
  <c r="AB178" i="1"/>
  <c r="AI178" i="1" s="1"/>
  <c r="Z178" i="1"/>
  <c r="AA178" i="1"/>
  <c r="AH178" i="1" s="1"/>
  <c r="AC184" i="1"/>
  <c r="AB184" i="1"/>
  <c r="AI184" i="1" s="1"/>
  <c r="Z184" i="1"/>
  <c r="AG184" i="1" s="1"/>
  <c r="AA184" i="1"/>
  <c r="AH184" i="1" s="1"/>
  <c r="AC192" i="1"/>
  <c r="AJ192" i="1" s="1"/>
  <c r="AB192" i="1"/>
  <c r="AI192" i="1" s="1"/>
  <c r="Z192" i="1"/>
  <c r="AG192" i="1" s="1"/>
  <c r="AA192" i="1"/>
  <c r="AH192" i="1" s="1"/>
  <c r="AM22" i="1"/>
  <c r="Z22" i="1"/>
  <c r="AC22" i="1"/>
  <c r="AB22" i="1"/>
  <c r="AI22" i="1" s="1"/>
  <c r="AA22" i="1"/>
  <c r="AH22" i="1" s="1"/>
  <c r="Z10" i="1"/>
  <c r="AB10" i="1"/>
  <c r="AI10" i="1" s="1"/>
  <c r="AC109" i="1"/>
  <c r="AJ109" i="1" s="1"/>
  <c r="AB109" i="1"/>
  <c r="AI109" i="1" s="1"/>
  <c r="AA109" i="1"/>
  <c r="AH109" i="1" s="1"/>
  <c r="Z109" i="1"/>
  <c r="AC125" i="1"/>
  <c r="AB125" i="1"/>
  <c r="AI125" i="1" s="1"/>
  <c r="AA125" i="1"/>
  <c r="AH125" i="1" s="1"/>
  <c r="Z125" i="1"/>
  <c r="AC133" i="1"/>
  <c r="AJ133" i="1" s="1"/>
  <c r="AB133" i="1"/>
  <c r="AI133" i="1" s="1"/>
  <c r="AA133" i="1"/>
  <c r="AH133" i="1" s="1"/>
  <c r="Z133" i="1"/>
  <c r="AC136" i="1"/>
  <c r="AJ136" i="1" s="1"/>
  <c r="AB136" i="1"/>
  <c r="AI136" i="1" s="1"/>
  <c r="Z136" i="1"/>
  <c r="AG136" i="1" s="1"/>
  <c r="AA136" i="1"/>
  <c r="AH136" i="1" s="1"/>
  <c r="AC147" i="1"/>
  <c r="AB147" i="1"/>
  <c r="AI147" i="1" s="1"/>
  <c r="AA147" i="1"/>
  <c r="AH147" i="1" s="1"/>
  <c r="Z147" i="1"/>
  <c r="AM25" i="1"/>
  <c r="AN25" i="1" s="1"/>
  <c r="AC25" i="1"/>
  <c r="AB25" i="1"/>
  <c r="AI25" i="1" s="1"/>
  <c r="AA25" i="1"/>
  <c r="AH25" i="1" s="1"/>
  <c r="Z25" i="1"/>
  <c r="AM21" i="1"/>
  <c r="AN21" i="1" s="1"/>
  <c r="AC21" i="1"/>
  <c r="AB21" i="1"/>
  <c r="AI21" i="1" s="1"/>
  <c r="Z21" i="1"/>
  <c r="AM17" i="1"/>
  <c r="AN17" i="1" s="1"/>
  <c r="AC17" i="1"/>
  <c r="AB17" i="1"/>
  <c r="AI17" i="1" s="1"/>
  <c r="AA17" i="1"/>
  <c r="AH17" i="1" s="1"/>
  <c r="Z17" i="1"/>
  <c r="AM13" i="1"/>
  <c r="AN13" i="1" s="1"/>
  <c r="AC13" i="1"/>
  <c r="Z13" i="1"/>
  <c r="AC111" i="1"/>
  <c r="AJ111" i="1" s="1"/>
  <c r="AB111" i="1"/>
  <c r="AI111" i="1" s="1"/>
  <c r="AA111" i="1"/>
  <c r="AH111" i="1" s="1"/>
  <c r="Z111" i="1"/>
  <c r="AC119" i="1"/>
  <c r="AB119" i="1"/>
  <c r="AI119" i="1" s="1"/>
  <c r="AA119" i="1"/>
  <c r="AH119" i="1" s="1"/>
  <c r="Z119" i="1"/>
  <c r="AC127" i="1"/>
  <c r="AB127" i="1"/>
  <c r="AI127" i="1" s="1"/>
  <c r="AA127" i="1"/>
  <c r="AH127" i="1" s="1"/>
  <c r="Z127" i="1"/>
  <c r="AM138" i="1"/>
  <c r="AC138" i="1"/>
  <c r="AB138" i="1"/>
  <c r="AI138" i="1" s="1"/>
  <c r="Z138" i="1"/>
  <c r="AE138" i="1" s="1"/>
  <c r="AA138" i="1"/>
  <c r="AH138" i="1" s="1"/>
  <c r="AM141" i="1"/>
  <c r="AC141" i="1"/>
  <c r="AB141" i="1"/>
  <c r="AI141" i="1" s="1"/>
  <c r="AA141" i="1"/>
  <c r="AH141" i="1" s="1"/>
  <c r="Z141" i="1"/>
  <c r="AM149" i="1"/>
  <c r="AQ149" i="1" s="1"/>
  <c r="AC149" i="1"/>
  <c r="AJ149" i="1" s="1"/>
  <c r="AB149" i="1"/>
  <c r="AI149" i="1" s="1"/>
  <c r="AA149" i="1"/>
  <c r="AH149" i="1" s="1"/>
  <c r="Z149" i="1"/>
  <c r="AC152" i="1"/>
  <c r="AB152" i="1"/>
  <c r="AI152" i="1" s="1"/>
  <c r="Z152" i="1"/>
  <c r="AG152" i="1" s="1"/>
  <c r="AA152" i="1"/>
  <c r="AH152" i="1" s="1"/>
  <c r="AM155" i="1"/>
  <c r="AO155" i="1" s="1"/>
  <c r="AC155" i="1"/>
  <c r="AB155" i="1"/>
  <c r="AI155" i="1" s="1"/>
  <c r="AA155" i="1"/>
  <c r="AH155" i="1" s="1"/>
  <c r="Z155" i="1"/>
  <c r="AM158" i="1"/>
  <c r="BA158" i="1" s="1"/>
  <c r="AC158" i="1"/>
  <c r="AB158" i="1"/>
  <c r="AI158" i="1" s="1"/>
  <c r="Z158" i="1"/>
  <c r="AE158" i="1" s="1"/>
  <c r="AA158" i="1"/>
  <c r="AH158" i="1" s="1"/>
  <c r="AC166" i="1"/>
  <c r="AJ166" i="1" s="1"/>
  <c r="AB166" i="1"/>
  <c r="AI166" i="1" s="1"/>
  <c r="Z166" i="1"/>
  <c r="AA166" i="1"/>
  <c r="AH166" i="1" s="1"/>
  <c r="AC169" i="1"/>
  <c r="AJ169" i="1" s="1"/>
  <c r="AB169" i="1"/>
  <c r="AI169" i="1" s="1"/>
  <c r="AA169" i="1"/>
  <c r="AH169" i="1" s="1"/>
  <c r="Z169" i="1"/>
  <c r="AM172" i="1"/>
  <c r="AC172" i="1"/>
  <c r="AJ172" i="1" s="1"/>
  <c r="AB172" i="1"/>
  <c r="AI172" i="1" s="1"/>
  <c r="Z172" i="1"/>
  <c r="AG172" i="1" s="1"/>
  <c r="AA172" i="1"/>
  <c r="AH172" i="1" s="1"/>
  <c r="AC181" i="1"/>
  <c r="AB181" i="1"/>
  <c r="AI181" i="1" s="1"/>
  <c r="AA181" i="1"/>
  <c r="AH181" i="1" s="1"/>
  <c r="Z181" i="1"/>
  <c r="AC189" i="1"/>
  <c r="AB189" i="1"/>
  <c r="AI189" i="1" s="1"/>
  <c r="AA189" i="1"/>
  <c r="AH189" i="1" s="1"/>
  <c r="Z189" i="1"/>
  <c r="AC197" i="1"/>
  <c r="AJ197" i="1" s="1"/>
  <c r="AB197" i="1"/>
  <c r="AI197" i="1" s="1"/>
  <c r="AA197" i="1"/>
  <c r="AH197" i="1" s="1"/>
  <c r="Z197" i="1"/>
  <c r="AC200" i="1"/>
  <c r="AB200" i="1"/>
  <c r="AI200" i="1" s="1"/>
  <c r="Z200" i="1"/>
  <c r="AG200" i="1" s="1"/>
  <c r="AA200" i="1"/>
  <c r="AH200" i="1" s="1"/>
  <c r="AM209" i="1"/>
  <c r="BB209" i="1" s="1"/>
  <c r="AC209" i="1"/>
  <c r="AB209" i="1"/>
  <c r="AI209" i="1" s="1"/>
  <c r="AA209" i="1"/>
  <c r="AH209" i="1" s="1"/>
  <c r="Z209" i="1"/>
  <c r="AC14" i="1"/>
  <c r="AA23" i="1"/>
  <c r="AH23" i="1" s="1"/>
  <c r="AC116" i="1"/>
  <c r="AB116" i="1"/>
  <c r="AI116" i="1" s="1"/>
  <c r="Z116" i="1"/>
  <c r="AG116" i="1" s="1"/>
  <c r="AA116" i="1"/>
  <c r="AH116" i="1" s="1"/>
  <c r="AC124" i="1"/>
  <c r="AB124" i="1"/>
  <c r="AI124" i="1" s="1"/>
  <c r="Z124" i="1"/>
  <c r="AG124" i="1" s="1"/>
  <c r="AA124" i="1"/>
  <c r="AH124" i="1" s="1"/>
  <c r="AC132" i="1"/>
  <c r="AB132" i="1"/>
  <c r="AI132" i="1" s="1"/>
  <c r="Z132" i="1"/>
  <c r="AG132" i="1" s="1"/>
  <c r="AA132" i="1"/>
  <c r="AH132" i="1" s="1"/>
  <c r="AC135" i="1"/>
  <c r="AB135" i="1"/>
  <c r="AI135" i="1" s="1"/>
  <c r="AA135" i="1"/>
  <c r="AH135" i="1" s="1"/>
  <c r="Z135" i="1"/>
  <c r="AM146" i="1"/>
  <c r="AC146" i="1"/>
  <c r="AJ146" i="1" s="1"/>
  <c r="AB146" i="1"/>
  <c r="AI146" i="1" s="1"/>
  <c r="Z146" i="1"/>
  <c r="AA146" i="1"/>
  <c r="AH146" i="1" s="1"/>
  <c r="AC163" i="1"/>
  <c r="AB163" i="1"/>
  <c r="AI163" i="1" s="1"/>
  <c r="AA163" i="1"/>
  <c r="AH163" i="1" s="1"/>
  <c r="Z163" i="1"/>
  <c r="AM177" i="1"/>
  <c r="BB177" i="1" s="1"/>
  <c r="AC177" i="1"/>
  <c r="AJ177" i="1" s="1"/>
  <c r="AB177" i="1"/>
  <c r="AI177" i="1" s="1"/>
  <c r="AA177" i="1"/>
  <c r="AH177" i="1" s="1"/>
  <c r="Z177" i="1"/>
  <c r="AC186" i="1"/>
  <c r="AB186" i="1"/>
  <c r="AI186" i="1" s="1"/>
  <c r="Z186" i="1"/>
  <c r="AA186" i="1"/>
  <c r="AH186" i="1" s="1"/>
  <c r="AM194" i="1"/>
  <c r="BC194" i="1" s="1"/>
  <c r="AC194" i="1"/>
  <c r="AB194" i="1"/>
  <c r="AI194" i="1" s="1"/>
  <c r="Z194" i="1"/>
  <c r="AA194" i="1"/>
  <c r="AH194" i="1" s="1"/>
  <c r="AC203" i="1"/>
  <c r="AB203" i="1"/>
  <c r="AI203" i="1" s="1"/>
  <c r="AA203" i="1"/>
  <c r="AH203" i="1" s="1"/>
  <c r="Z203" i="1"/>
  <c r="AM206" i="1"/>
  <c r="AZ206" i="1" s="1"/>
  <c r="AC206" i="1"/>
  <c r="AB206" i="1"/>
  <c r="AI206" i="1" s="1"/>
  <c r="Z206" i="1"/>
  <c r="AE206" i="1" s="1"/>
  <c r="AA206" i="1"/>
  <c r="AH206" i="1" s="1"/>
  <c r="AA10" i="1"/>
  <c r="AH10" i="1" s="1"/>
  <c r="AA15" i="1"/>
  <c r="AH15" i="1" s="1"/>
  <c r="AA24" i="1"/>
  <c r="AH24" i="1" s="1"/>
  <c r="AM16" i="1"/>
  <c r="AN16" i="1" s="1"/>
  <c r="Z16" i="1"/>
  <c r="AG16" i="1" s="1"/>
  <c r="AC16" i="1"/>
  <c r="AM12" i="1"/>
  <c r="AN12" i="1" s="1"/>
  <c r="Z12" i="1"/>
  <c r="AG12" i="1" s="1"/>
  <c r="AB12" i="1"/>
  <c r="AI12" i="1" s="1"/>
  <c r="AM113" i="1"/>
  <c r="BB113" i="1" s="1"/>
  <c r="AC113" i="1"/>
  <c r="AB113" i="1"/>
  <c r="AI113" i="1" s="1"/>
  <c r="AA113" i="1"/>
  <c r="AH113" i="1" s="1"/>
  <c r="Z113" i="1"/>
  <c r="AC121" i="1"/>
  <c r="AJ121" i="1" s="1"/>
  <c r="AB121" i="1"/>
  <c r="AI121" i="1" s="1"/>
  <c r="AA121" i="1"/>
  <c r="AH121" i="1" s="1"/>
  <c r="Z121" i="1"/>
  <c r="AC129" i="1"/>
  <c r="AB129" i="1"/>
  <c r="AI129" i="1" s="1"/>
  <c r="AA129" i="1"/>
  <c r="AH129" i="1" s="1"/>
  <c r="Z129" i="1"/>
  <c r="AC143" i="1"/>
  <c r="AB143" i="1"/>
  <c r="AI143" i="1" s="1"/>
  <c r="AA143" i="1"/>
  <c r="AH143" i="1" s="1"/>
  <c r="Z143" i="1"/>
  <c r="AC157" i="1"/>
  <c r="AJ157" i="1" s="1"/>
  <c r="AB157" i="1"/>
  <c r="AI157" i="1" s="1"/>
  <c r="AA157" i="1"/>
  <c r="AH157" i="1" s="1"/>
  <c r="Z157" i="1"/>
  <c r="AM160" i="1"/>
  <c r="BC160" i="1" s="1"/>
  <c r="AC160" i="1"/>
  <c r="AB160" i="1"/>
  <c r="AI160" i="1" s="1"/>
  <c r="Z160" i="1"/>
  <c r="AG160" i="1" s="1"/>
  <c r="AA160" i="1"/>
  <c r="AH160" i="1" s="1"/>
  <c r="AC174" i="1"/>
  <c r="AB174" i="1"/>
  <c r="AI174" i="1" s="1"/>
  <c r="Z174" i="1"/>
  <c r="AA174" i="1"/>
  <c r="AH174" i="1" s="1"/>
  <c r="AC183" i="1"/>
  <c r="AB183" i="1"/>
  <c r="AI183" i="1" s="1"/>
  <c r="AA183" i="1"/>
  <c r="AH183" i="1" s="1"/>
  <c r="Z183" i="1"/>
  <c r="AC191" i="1"/>
  <c r="AB191" i="1"/>
  <c r="AI191" i="1" s="1"/>
  <c r="AA191" i="1"/>
  <c r="AH191" i="1" s="1"/>
  <c r="Z191" i="1"/>
  <c r="AM199" i="1"/>
  <c r="AC199" i="1"/>
  <c r="AJ199" i="1" s="1"/>
  <c r="AB199" i="1"/>
  <c r="AI199" i="1" s="1"/>
  <c r="AA199" i="1"/>
  <c r="AH199" i="1" s="1"/>
  <c r="Z199" i="1"/>
  <c r="AM202" i="1"/>
  <c r="BC202" i="1" s="1"/>
  <c r="AC202" i="1"/>
  <c r="AJ202" i="1" s="1"/>
  <c r="AB202" i="1"/>
  <c r="AI202" i="1" s="1"/>
  <c r="Z202" i="1"/>
  <c r="AA202" i="1"/>
  <c r="AH202" i="1" s="1"/>
  <c r="AC10" i="1"/>
  <c r="AA16" i="1"/>
  <c r="AH16" i="1" s="1"/>
  <c r="AA26" i="1"/>
  <c r="AH26" i="1" s="1"/>
  <c r="AJ118" i="1"/>
  <c r="AC118" i="1"/>
  <c r="AB118" i="1"/>
  <c r="AI118" i="1" s="1"/>
  <c r="Z118" i="1"/>
  <c r="AA118" i="1"/>
  <c r="AH118" i="1" s="1"/>
  <c r="AC140" i="1"/>
  <c r="AB140" i="1"/>
  <c r="AI140" i="1" s="1"/>
  <c r="Z140" i="1"/>
  <c r="AG140" i="1" s="1"/>
  <c r="AA140" i="1"/>
  <c r="AH140" i="1" s="1"/>
  <c r="AC154" i="1"/>
  <c r="AB154" i="1"/>
  <c r="AI154" i="1" s="1"/>
  <c r="Z154" i="1"/>
  <c r="AA154" i="1"/>
  <c r="AH154" i="1" s="1"/>
  <c r="AM180" i="1"/>
  <c r="AC180" i="1"/>
  <c r="AJ180" i="1" s="1"/>
  <c r="AB180" i="1"/>
  <c r="AI180" i="1" s="1"/>
  <c r="Z180" i="1"/>
  <c r="AG180" i="1" s="1"/>
  <c r="AA180" i="1"/>
  <c r="AH180" i="1" s="1"/>
  <c r="AJ196" i="1"/>
  <c r="AC196" i="1"/>
  <c r="AB196" i="1"/>
  <c r="AI196" i="1" s="1"/>
  <c r="Z196" i="1"/>
  <c r="AG196" i="1" s="1"/>
  <c r="AA196" i="1"/>
  <c r="AH196" i="1" s="1"/>
  <c r="AC205" i="1"/>
  <c r="AJ205" i="1" s="1"/>
  <c r="AB205" i="1"/>
  <c r="AI205" i="1" s="1"/>
  <c r="AA205" i="1"/>
  <c r="AH205" i="1" s="1"/>
  <c r="Z205" i="1"/>
  <c r="AJ208" i="1"/>
  <c r="AC208" i="1"/>
  <c r="AB208" i="1"/>
  <c r="AI208" i="1" s="1"/>
  <c r="Z208" i="1"/>
  <c r="AG208" i="1" s="1"/>
  <c r="AA208" i="1"/>
  <c r="AH208" i="1" s="1"/>
  <c r="Z11" i="1"/>
  <c r="AB16" i="1"/>
  <c r="AI16" i="1" s="1"/>
  <c r="AJ162" i="1"/>
  <c r="AJ174" i="1"/>
  <c r="AE14" i="1"/>
  <c r="AE18" i="1"/>
  <c r="AE22" i="1"/>
  <c r="AE26" i="1"/>
  <c r="AE110" i="1"/>
  <c r="AE118" i="1"/>
  <c r="AE122" i="1"/>
  <c r="AE126" i="1"/>
  <c r="AE134" i="1"/>
  <c r="AE142" i="1"/>
  <c r="AE146" i="1"/>
  <c r="AE150" i="1"/>
  <c r="AE154" i="1"/>
  <c r="AE162" i="1"/>
  <c r="AE166" i="1"/>
  <c r="AE170" i="1"/>
  <c r="AE174" i="1"/>
  <c r="AE178" i="1"/>
  <c r="AE182" i="1"/>
  <c r="AE186" i="1"/>
  <c r="AE190" i="1"/>
  <c r="AE194" i="1"/>
  <c r="AE198" i="1"/>
  <c r="AE202" i="1"/>
  <c r="AJ120" i="1"/>
  <c r="AJ128" i="1"/>
  <c r="AF14" i="1"/>
  <c r="AF18" i="1"/>
  <c r="AF22" i="1"/>
  <c r="AF26" i="1"/>
  <c r="AD12" i="1"/>
  <c r="AD16" i="1"/>
  <c r="AD20" i="1"/>
  <c r="AD24" i="1"/>
  <c r="AD112" i="1"/>
  <c r="AD116" i="1"/>
  <c r="AD120" i="1"/>
  <c r="AD124" i="1"/>
  <c r="AD128" i="1"/>
  <c r="AD136" i="1"/>
  <c r="AD140" i="1"/>
  <c r="AD144" i="1"/>
  <c r="AD148" i="1"/>
  <c r="AD152" i="1"/>
  <c r="AD156" i="1"/>
  <c r="AD160" i="1"/>
  <c r="AD168" i="1"/>
  <c r="AD172" i="1"/>
  <c r="AD176" i="1"/>
  <c r="AD184" i="1"/>
  <c r="AD188" i="1"/>
  <c r="AD192" i="1"/>
  <c r="AD196" i="1"/>
  <c r="AD200" i="1"/>
  <c r="AD204" i="1"/>
  <c r="AE12" i="1"/>
  <c r="AE16" i="1"/>
  <c r="AE20" i="1"/>
  <c r="AE24" i="1"/>
  <c r="AE112" i="1"/>
  <c r="AE116" i="1"/>
  <c r="AE120" i="1"/>
  <c r="AE124" i="1"/>
  <c r="AE128" i="1"/>
  <c r="AE132" i="1"/>
  <c r="AE136" i="1"/>
  <c r="AE144" i="1"/>
  <c r="AE148" i="1"/>
  <c r="AE152" i="1"/>
  <c r="AE156" i="1"/>
  <c r="AE160" i="1"/>
  <c r="AE168" i="1"/>
  <c r="AE172" i="1"/>
  <c r="AE176" i="1"/>
  <c r="AE180" i="1"/>
  <c r="AE184" i="1"/>
  <c r="AE192" i="1"/>
  <c r="AE196" i="1"/>
  <c r="AE200" i="1"/>
  <c r="AE204" i="1"/>
  <c r="AE208" i="1"/>
  <c r="AF112" i="1"/>
  <c r="AF116" i="1"/>
  <c r="AF120" i="1"/>
  <c r="AF124" i="1"/>
  <c r="AF128" i="1"/>
  <c r="AF132" i="1"/>
  <c r="AF136" i="1"/>
  <c r="AF140" i="1"/>
  <c r="AF144" i="1"/>
  <c r="AF148" i="1"/>
  <c r="AF152" i="1"/>
  <c r="AF156" i="1"/>
  <c r="AF160" i="1"/>
  <c r="AF168" i="1"/>
  <c r="AF172" i="1"/>
  <c r="AF176" i="1"/>
  <c r="AF180" i="1"/>
  <c r="AF184" i="1"/>
  <c r="AF192" i="1"/>
  <c r="AF196" i="1"/>
  <c r="AF200" i="1"/>
  <c r="AF204" i="1"/>
  <c r="AF208" i="1"/>
  <c r="AJ116" i="1"/>
  <c r="AJ124" i="1"/>
  <c r="AJ132" i="1"/>
  <c r="AF12" i="1"/>
  <c r="AF16" i="1"/>
  <c r="AF20" i="1"/>
  <c r="AF24" i="1"/>
  <c r="AJ184" i="1"/>
  <c r="AF10" i="1"/>
  <c r="AM125" i="1"/>
  <c r="AO125" i="1" s="1"/>
  <c r="AS125" i="1" s="1"/>
  <c r="AM133" i="1"/>
  <c r="AZ146" i="1"/>
  <c r="AO146" i="1"/>
  <c r="BB146" i="1"/>
  <c r="AM204" i="1"/>
  <c r="AO204" i="1" s="1"/>
  <c r="AJ193" i="1"/>
  <c r="AJ131" i="1"/>
  <c r="AJ185" i="1"/>
  <c r="AM193" i="1"/>
  <c r="AY193" i="1" s="1"/>
  <c r="AJ158" i="1"/>
  <c r="AZ161" i="1"/>
  <c r="AM166" i="1"/>
  <c r="AQ166" i="1" s="1"/>
  <c r="AJ159" i="1"/>
  <c r="AJ119" i="1"/>
  <c r="AJ171" i="1"/>
  <c r="AJ129" i="1"/>
  <c r="AM140" i="1"/>
  <c r="BC140" i="1" s="1"/>
  <c r="AJ148" i="1"/>
  <c r="AZ193" i="1"/>
  <c r="AJ141" i="1"/>
  <c r="AM148" i="1"/>
  <c r="BB148" i="1" s="1"/>
  <c r="AJ137" i="1"/>
  <c r="AM176" i="1"/>
  <c r="BC176" i="1" s="1"/>
  <c r="AJ191" i="1"/>
  <c r="AM203" i="1"/>
  <c r="AZ203" i="1" s="1"/>
  <c r="BA175" i="1"/>
  <c r="AZ175" i="1"/>
  <c r="AY175" i="1"/>
  <c r="AY141" i="1"/>
  <c r="BA141" i="1"/>
  <c r="AZ141" i="1"/>
  <c r="AQ141" i="1"/>
  <c r="AN141" i="1"/>
  <c r="BC182" i="1"/>
  <c r="BB182" i="1"/>
  <c r="AY182" i="1"/>
  <c r="BC180" i="1"/>
  <c r="AZ180" i="1"/>
  <c r="AQ180" i="1"/>
  <c r="AN180" i="1"/>
  <c r="BB180" i="1"/>
  <c r="BA180" i="1"/>
  <c r="AZ138" i="1"/>
  <c r="AO138" i="1"/>
  <c r="BB138" i="1"/>
  <c r="AS138" i="1"/>
  <c r="BA138" i="1"/>
  <c r="AM109" i="1"/>
  <c r="BC109" i="1" s="1"/>
  <c r="AN133" i="1"/>
  <c r="AQ133" i="1" s="1"/>
  <c r="AM165" i="1"/>
  <c r="AQ165" i="1" s="1"/>
  <c r="AJ115" i="1"/>
  <c r="BG118" i="1"/>
  <c r="BH118" i="1" s="1"/>
  <c r="BG122" i="1"/>
  <c r="BH122" i="1" s="1"/>
  <c r="AJ127" i="1"/>
  <c r="AM131" i="1"/>
  <c r="AJ140" i="1"/>
  <c r="AM145" i="1"/>
  <c r="BB145" i="1" s="1"/>
  <c r="AM150" i="1"/>
  <c r="AM162" i="1"/>
  <c r="AQ162" i="1" s="1"/>
  <c r="BC193" i="1"/>
  <c r="AJ194" i="1"/>
  <c r="AM195" i="1"/>
  <c r="AJ200" i="1"/>
  <c r="AJ201" i="1"/>
  <c r="AO205" i="1"/>
  <c r="AM208" i="1"/>
  <c r="AZ208" i="1" s="1"/>
  <c r="AM154" i="1"/>
  <c r="AP154" i="1" s="1"/>
  <c r="AM163" i="1"/>
  <c r="BC163" i="1" s="1"/>
  <c r="AM191" i="1"/>
  <c r="AZ191" i="1" s="1"/>
  <c r="AM201" i="1"/>
  <c r="AQ201" i="1" s="1"/>
  <c r="BG110" i="1"/>
  <c r="BH110" i="1" s="1"/>
  <c r="BG111" i="1"/>
  <c r="BH111" i="1" s="1"/>
  <c r="AJ138" i="1"/>
  <c r="AM184" i="1"/>
  <c r="AP184" i="1" s="1"/>
  <c r="AJ206" i="1"/>
  <c r="AJ209" i="1"/>
  <c r="BG109" i="1"/>
  <c r="BH109" i="1" s="1"/>
  <c r="BG117" i="1"/>
  <c r="BH117" i="1" s="1"/>
  <c r="BG121" i="1"/>
  <c r="BH121" i="1" s="1"/>
  <c r="AM123" i="1"/>
  <c r="AO123" i="1" s="1"/>
  <c r="AS123" i="1" s="1"/>
  <c r="AJ134" i="1"/>
  <c r="AJ143" i="1"/>
  <c r="AJ160" i="1"/>
  <c r="AM196" i="1"/>
  <c r="AQ196" i="1" s="1"/>
  <c r="BG113" i="1"/>
  <c r="BH113" i="1" s="1"/>
  <c r="BG116" i="1"/>
  <c r="BH116" i="1" s="1"/>
  <c r="AJ135" i="1"/>
  <c r="AS146" i="1"/>
  <c r="AJ168" i="1"/>
  <c r="AQ179" i="1"/>
  <c r="AO193" i="1"/>
  <c r="AS193" i="1" s="1"/>
  <c r="AJ130" i="1"/>
  <c r="BA146" i="1"/>
  <c r="AJ151" i="1"/>
  <c r="AM168" i="1"/>
  <c r="AP168" i="1" s="1"/>
  <c r="AZ179" i="1"/>
  <c r="AO110" i="1"/>
  <c r="AS110" i="1" s="1"/>
  <c r="AM121" i="1"/>
  <c r="AN121" i="1" s="1"/>
  <c r="AJ122" i="1"/>
  <c r="AJ112" i="1"/>
  <c r="AM115" i="1"/>
  <c r="BB115" i="1" s="1"/>
  <c r="AM119" i="1"/>
  <c r="AP119" i="1" s="1"/>
  <c r="AM112" i="1"/>
  <c r="AN112" i="1" s="1"/>
  <c r="AM117" i="1"/>
  <c r="AM127" i="1"/>
  <c r="AP127" i="1" s="1"/>
  <c r="AM129" i="1"/>
  <c r="AN129" i="1" s="1"/>
  <c r="AN22" i="1"/>
  <c r="AN14" i="1"/>
  <c r="AJ113" i="1"/>
  <c r="AM10" i="1"/>
  <c r="AJ10" i="1"/>
  <c r="BC113" i="1"/>
  <c r="AP125" i="1"/>
  <c r="AM120" i="1"/>
  <c r="AY109" i="1"/>
  <c r="AN110" i="1"/>
  <c r="AP112" i="1"/>
  <c r="AM114" i="1"/>
  <c r="AM124" i="1"/>
  <c r="AM126" i="1"/>
  <c r="AJ126" i="1"/>
  <c r="AZ112" i="1"/>
  <c r="AP110" i="1"/>
  <c r="AM111" i="1"/>
  <c r="AJ114" i="1"/>
  <c r="AM116" i="1"/>
  <c r="AM118" i="1"/>
  <c r="AM132" i="1"/>
  <c r="AQ110" i="1"/>
  <c r="AM128" i="1"/>
  <c r="AS155" i="1"/>
  <c r="AN209" i="1"/>
  <c r="AJ117" i="1"/>
  <c r="AM122" i="1"/>
  <c r="AJ125" i="1"/>
  <c r="AM130" i="1"/>
  <c r="BC137" i="1"/>
  <c r="BB137" i="1"/>
  <c r="BA137" i="1"/>
  <c r="AZ137" i="1"/>
  <c r="AQ137" i="1"/>
  <c r="AY137" i="1"/>
  <c r="AP137" i="1"/>
  <c r="AO137" i="1"/>
  <c r="AS137" i="1" s="1"/>
  <c r="BB140" i="1"/>
  <c r="BA140" i="1"/>
  <c r="AZ140" i="1"/>
  <c r="AQ140" i="1"/>
  <c r="AY140" i="1"/>
  <c r="AP140" i="1"/>
  <c r="AO140" i="1"/>
  <c r="AS140" i="1" s="1"/>
  <c r="AN140" i="1"/>
  <c r="AM144" i="1"/>
  <c r="AJ144" i="1"/>
  <c r="AM156" i="1"/>
  <c r="AJ156" i="1"/>
  <c r="BC142" i="1"/>
  <c r="BB142" i="1"/>
  <c r="AS142" i="1"/>
  <c r="BA142" i="1"/>
  <c r="AZ142" i="1"/>
  <c r="AQ142" i="1"/>
  <c r="AY142" i="1"/>
  <c r="AP142" i="1"/>
  <c r="AN142" i="1"/>
  <c r="AY149" i="1"/>
  <c r="AP149" i="1"/>
  <c r="AO149" i="1"/>
  <c r="AS149" i="1" s="1"/>
  <c r="AN149" i="1"/>
  <c r="BC149" i="1"/>
  <c r="BB149" i="1"/>
  <c r="BA149" i="1"/>
  <c r="AZ149" i="1"/>
  <c r="BC153" i="1"/>
  <c r="BB153" i="1"/>
  <c r="BA153" i="1"/>
  <c r="AZ153" i="1"/>
  <c r="AQ153" i="1"/>
  <c r="AY153" i="1"/>
  <c r="AP153" i="1"/>
  <c r="AO153" i="1"/>
  <c r="AS153" i="1" s="1"/>
  <c r="AN153" i="1"/>
  <c r="AM136" i="1"/>
  <c r="AM139" i="1"/>
  <c r="AJ139" i="1"/>
  <c r="BA165" i="1"/>
  <c r="AN131" i="1"/>
  <c r="AM147" i="1"/>
  <c r="AJ147" i="1"/>
  <c r="AP131" i="1"/>
  <c r="AP134" i="1"/>
  <c r="AM152" i="1"/>
  <c r="AJ152" i="1"/>
  <c r="AZ158" i="1"/>
  <c r="AQ158" i="1"/>
  <c r="AY158" i="1"/>
  <c r="AP158" i="1"/>
  <c r="AO158" i="1"/>
  <c r="AS158" i="1" s="1"/>
  <c r="AN158" i="1"/>
  <c r="BC158" i="1"/>
  <c r="BB158" i="1"/>
  <c r="AM135" i="1"/>
  <c r="BC138" i="1"/>
  <c r="BB141" i="1"/>
  <c r="AM143" i="1"/>
  <c r="BC146" i="1"/>
  <c r="AN148" i="1"/>
  <c r="AP150" i="1"/>
  <c r="AY150" i="1"/>
  <c r="AM151" i="1"/>
  <c r="AJ154" i="1"/>
  <c r="AN167" i="1"/>
  <c r="BC167" i="1"/>
  <c r="BB167" i="1"/>
  <c r="BA167" i="1"/>
  <c r="AZ167" i="1"/>
  <c r="AQ167" i="1"/>
  <c r="AY167" i="1"/>
  <c r="AP167" i="1"/>
  <c r="BC141" i="1"/>
  <c r="BC157" i="1"/>
  <c r="BB157" i="1"/>
  <c r="BA157" i="1"/>
  <c r="AZ157" i="1"/>
  <c r="AQ157" i="1"/>
  <c r="AY157" i="1"/>
  <c r="AP157" i="1"/>
  <c r="AO157" i="1"/>
  <c r="AS157" i="1" s="1"/>
  <c r="AN157" i="1"/>
  <c r="BB160" i="1"/>
  <c r="BA160" i="1"/>
  <c r="AZ160" i="1"/>
  <c r="AQ160" i="1"/>
  <c r="AY160" i="1"/>
  <c r="AP160" i="1"/>
  <c r="AO160" i="1"/>
  <c r="AS160" i="1" s="1"/>
  <c r="AN160" i="1"/>
  <c r="AN138" i="1"/>
  <c r="AN146" i="1"/>
  <c r="AP148" i="1"/>
  <c r="AY148" i="1"/>
  <c r="AJ183" i="1"/>
  <c r="AM183" i="1"/>
  <c r="AZ148" i="1"/>
  <c r="AJ155" i="1"/>
  <c r="AN159" i="1"/>
  <c r="BC159" i="1"/>
  <c r="BB159" i="1"/>
  <c r="AS159" i="1"/>
  <c r="BA159" i="1"/>
  <c r="AZ159" i="1"/>
  <c r="AQ159" i="1"/>
  <c r="AY159" i="1"/>
  <c r="AP159" i="1"/>
  <c r="AM164" i="1"/>
  <c r="AJ164" i="1"/>
  <c r="AJ170" i="1"/>
  <c r="AM170" i="1"/>
  <c r="AO133" i="1"/>
  <c r="AS133" i="1" s="1"/>
  <c r="AP138" i="1"/>
  <c r="AY138" i="1"/>
  <c r="AO141" i="1"/>
  <c r="AS141" i="1" s="1"/>
  <c r="AP146" i="1"/>
  <c r="AY146" i="1"/>
  <c r="BA148" i="1"/>
  <c r="AP133" i="1"/>
  <c r="AQ138" i="1"/>
  <c r="AP141" i="1"/>
  <c r="AQ146" i="1"/>
  <c r="AY161" i="1"/>
  <c r="AP161" i="1"/>
  <c r="AO161" i="1"/>
  <c r="AN161" i="1"/>
  <c r="BC161" i="1"/>
  <c r="BB161" i="1"/>
  <c r="AS161" i="1"/>
  <c r="BA161" i="1"/>
  <c r="AO167" i="1"/>
  <c r="AS167" i="1" s="1"/>
  <c r="AT167" i="1" s="1"/>
  <c r="AJ163" i="1"/>
  <c r="AO176" i="1"/>
  <c r="AM178" i="1"/>
  <c r="BC185" i="1"/>
  <c r="BC172" i="1"/>
  <c r="AY172" i="1"/>
  <c r="AP172" i="1"/>
  <c r="BC175" i="1"/>
  <c r="BB175" i="1"/>
  <c r="AO175" i="1"/>
  <c r="AS175" i="1" s="1"/>
  <c r="AN175" i="1"/>
  <c r="AO182" i="1"/>
  <c r="AS182" i="1" s="1"/>
  <c r="AN182" i="1"/>
  <c r="BA182" i="1"/>
  <c r="AZ182" i="1"/>
  <c r="AQ182" i="1"/>
  <c r="AJ161" i="1"/>
  <c r="AZ162" i="1"/>
  <c r="AZ168" i="1"/>
  <c r="AN172" i="1"/>
  <c r="AZ172" i="1"/>
  <c r="AM173" i="1"/>
  <c r="AJ173" i="1"/>
  <c r="AM174" i="1"/>
  <c r="AJ175" i="1"/>
  <c r="AP175" i="1"/>
  <c r="AP182" i="1"/>
  <c r="AM186" i="1"/>
  <c r="AO163" i="1"/>
  <c r="AS163" i="1" s="1"/>
  <c r="AQ168" i="1"/>
  <c r="BA168" i="1"/>
  <c r="AM169" i="1"/>
  <c r="AO172" i="1"/>
  <c r="AS172" i="1" s="1"/>
  <c r="BA172" i="1"/>
  <c r="AQ175" i="1"/>
  <c r="AQ184" i="1"/>
  <c r="AY184" i="1"/>
  <c r="BC184" i="1"/>
  <c r="BB184" i="1"/>
  <c r="AJ186" i="1"/>
  <c r="AJ189" i="1"/>
  <c r="AY163" i="1"/>
  <c r="AQ172" i="1"/>
  <c r="BB172" i="1"/>
  <c r="AY179" i="1"/>
  <c r="AP179" i="1"/>
  <c r="AO179" i="1"/>
  <c r="AS179" i="1" s="1"/>
  <c r="BB179" i="1"/>
  <c r="BA179" i="1"/>
  <c r="AJ182" i="1"/>
  <c r="AQ163" i="1"/>
  <c r="AP166" i="1"/>
  <c r="BC168" i="1"/>
  <c r="AM171" i="1"/>
  <c r="AN179" i="1"/>
  <c r="AM188" i="1"/>
  <c r="AM189" i="1"/>
  <c r="AZ176" i="1"/>
  <c r="AQ176" i="1"/>
  <c r="AY176" i="1"/>
  <c r="AP176" i="1"/>
  <c r="AS176" i="1"/>
  <c r="AM181" i="1"/>
  <c r="AJ181" i="1"/>
  <c r="AJ190" i="1"/>
  <c r="AM190" i="1"/>
  <c r="AO180" i="1"/>
  <c r="AS180" i="1" s="1"/>
  <c r="AM198" i="1"/>
  <c r="AP180" i="1"/>
  <c r="AY180" i="1"/>
  <c r="AN199" i="1"/>
  <c r="BC199" i="1"/>
  <c r="BB199" i="1"/>
  <c r="BA199" i="1"/>
  <c r="AZ199" i="1"/>
  <c r="AQ199" i="1"/>
  <c r="AY199" i="1"/>
  <c r="AP199" i="1"/>
  <c r="AO199" i="1"/>
  <c r="AS199" i="1" s="1"/>
  <c r="AN207" i="1"/>
  <c r="BC207" i="1"/>
  <c r="BB207" i="1"/>
  <c r="BA207" i="1"/>
  <c r="AZ207" i="1"/>
  <c r="AQ207" i="1"/>
  <c r="AY207" i="1"/>
  <c r="AP207" i="1"/>
  <c r="AO207" i="1"/>
  <c r="AS207" i="1" s="1"/>
  <c r="AJ187" i="1"/>
  <c r="BB191" i="1"/>
  <c r="AM187" i="1"/>
  <c r="AO191" i="1"/>
  <c r="AS191" i="1" s="1"/>
  <c r="BB194" i="1"/>
  <c r="BA194" i="1"/>
  <c r="AZ194" i="1"/>
  <c r="AQ194" i="1"/>
  <c r="AY194" i="1"/>
  <c r="AP194" i="1"/>
  <c r="AO194" i="1"/>
  <c r="AS194" i="1" s="1"/>
  <c r="AN194" i="1"/>
  <c r="BB202" i="1"/>
  <c r="BA202" i="1"/>
  <c r="AZ202" i="1"/>
  <c r="AQ202" i="1"/>
  <c r="AY202" i="1"/>
  <c r="AP202" i="1"/>
  <c r="AO202" i="1"/>
  <c r="AS202" i="1" s="1"/>
  <c r="AN202" i="1"/>
  <c r="BB195" i="1"/>
  <c r="AP196" i="1"/>
  <c r="AY196" i="1"/>
  <c r="AM197" i="1"/>
  <c r="AZ201" i="1"/>
  <c r="BA206" i="1"/>
  <c r="AM192" i="1"/>
  <c r="BA193" i="1"/>
  <c r="AJ195" i="1"/>
  <c r="BC195" i="1"/>
  <c r="AZ196" i="1"/>
  <c r="AM200" i="1"/>
  <c r="BA201" i="1"/>
  <c r="AJ203" i="1"/>
  <c r="AN205" i="1"/>
  <c r="BB206" i="1"/>
  <c r="BC206" i="1"/>
  <c r="BB196" i="1"/>
  <c r="AP205" i="1"/>
  <c r="AY205" i="1"/>
  <c r="AO195" i="1"/>
  <c r="AS195" i="1" s="1"/>
  <c r="BC196" i="1"/>
  <c r="AQ205" i="1"/>
  <c r="AZ205" i="1"/>
  <c r="AN206" i="1"/>
  <c r="AP195" i="1"/>
  <c r="AY195" i="1"/>
  <c r="AP203" i="1"/>
  <c r="BA205" i="1"/>
  <c r="AO206" i="1"/>
  <c r="AS206" i="1" s="1"/>
  <c r="AS205" i="1"/>
  <c r="BB205" i="1"/>
  <c r="AP206" i="1"/>
  <c r="AY206" i="1"/>
  <c r="AP193" i="1"/>
  <c r="AT193" i="1" s="1"/>
  <c r="AQ206" i="1"/>
  <c r="AN11" i="1"/>
  <c r="AN15" i="1"/>
  <c r="B25" i="2"/>
  <c r="B26" i="2"/>
  <c r="B24" i="2"/>
  <c r="B23" i="2"/>
  <c r="B22" i="2"/>
  <c r="B21" i="2"/>
  <c r="B31" i="2"/>
  <c r="B2" i="2"/>
  <c r="B6" i="2"/>
  <c r="B7" i="2"/>
  <c r="B5" i="2"/>
  <c r="B4" i="2"/>
  <c r="B8" i="2"/>
  <c r="AQ177" i="1" l="1"/>
  <c r="BA209" i="1"/>
  <c r="BA155" i="1"/>
  <c r="AZ113" i="1"/>
  <c r="BA177" i="1"/>
  <c r="BB185" i="1"/>
  <c r="AN177" i="1"/>
  <c r="AO134" i="1"/>
  <c r="AS134" i="1" s="1"/>
  <c r="BC209" i="1"/>
  <c r="BB155" i="1"/>
  <c r="BC145" i="1"/>
  <c r="AQ113" i="1"/>
  <c r="AT205" i="1"/>
  <c r="BB176" i="1"/>
  <c r="AO184" i="1"/>
  <c r="AS184" i="1" s="1"/>
  <c r="AP163" i="1"/>
  <c r="AZ184" i="1"/>
  <c r="AO168" i="1"/>
  <c r="AS168" i="1" s="1"/>
  <c r="AP185" i="1"/>
  <c r="AT185" i="1" s="1"/>
  <c r="AQ148" i="1"/>
  <c r="AO148" i="1"/>
  <c r="AS148" i="1" s="1"/>
  <c r="AY134" i="1"/>
  <c r="AO209" i="1"/>
  <c r="AS209" i="1" s="1"/>
  <c r="AT209" i="1" s="1"/>
  <c r="AU209" i="1" s="1"/>
  <c r="AN155" i="1"/>
  <c r="AQ112" i="1"/>
  <c r="AO113" i="1"/>
  <c r="AS113" i="1" s="1"/>
  <c r="AF164" i="1"/>
  <c r="AO177" i="1"/>
  <c r="AS177" i="1" s="1"/>
  <c r="AN163" i="1"/>
  <c r="AY185" i="1"/>
  <c r="AY154" i="1"/>
  <c r="AQ134" i="1"/>
  <c r="AP209" i="1"/>
  <c r="BC155" i="1"/>
  <c r="AN125" i="1"/>
  <c r="AQ125" i="1" s="1"/>
  <c r="AP113" i="1"/>
  <c r="AE164" i="1"/>
  <c r="AP177" i="1"/>
  <c r="AQ185" i="1"/>
  <c r="AU185" i="1" s="1"/>
  <c r="AZ134" i="1"/>
  <c r="AZ165" i="1"/>
  <c r="AQ209" i="1"/>
  <c r="AY209" i="1"/>
  <c r="AY155" i="1"/>
  <c r="BA112" i="1"/>
  <c r="AY113" i="1"/>
  <c r="BC177" i="1"/>
  <c r="AF188" i="1"/>
  <c r="AD208" i="1"/>
  <c r="BA185" i="1"/>
  <c r="AY177" i="1"/>
  <c r="AZ185" i="1"/>
  <c r="BA134" i="1"/>
  <c r="AZ209" i="1"/>
  <c r="AP155" i="1"/>
  <c r="AZ155" i="1"/>
  <c r="BA113" i="1"/>
  <c r="AE188" i="1"/>
  <c r="AD164" i="1"/>
  <c r="BB134" i="1"/>
  <c r="AN113" i="1"/>
  <c r="AZ177" i="1"/>
  <c r="AN185" i="1"/>
  <c r="AT141" i="1"/>
  <c r="AU141" i="1" s="1"/>
  <c r="BC134" i="1"/>
  <c r="AQ155" i="1"/>
  <c r="AO145" i="1"/>
  <c r="BA204" i="1"/>
  <c r="BA196" i="1"/>
  <c r="AY204" i="1"/>
  <c r="AN166" i="1"/>
  <c r="AQ154" i="1"/>
  <c r="AT157" i="1"/>
  <c r="AP123" i="1"/>
  <c r="BB109" i="1"/>
  <c r="AO109" i="1"/>
  <c r="AS109" i="1" s="1"/>
  <c r="BB166" i="1"/>
  <c r="AD132" i="1"/>
  <c r="AF146" i="1"/>
  <c r="AD146" i="1"/>
  <c r="AG146" i="1"/>
  <c r="AG181" i="1"/>
  <c r="AF181" i="1"/>
  <c r="AD181" i="1"/>
  <c r="AE181" i="1"/>
  <c r="AF122" i="1"/>
  <c r="AD122" i="1"/>
  <c r="AG122" i="1"/>
  <c r="AF170" i="1"/>
  <c r="AD170" i="1"/>
  <c r="AG170" i="1"/>
  <c r="AF159" i="1"/>
  <c r="AE159" i="1"/>
  <c r="AK159" i="1" s="1"/>
  <c r="AR159" i="1" s="1"/>
  <c r="AD159" i="1"/>
  <c r="AG159" i="1"/>
  <c r="AD171" i="1"/>
  <c r="AF171" i="1"/>
  <c r="AE171" i="1"/>
  <c r="AG171" i="1"/>
  <c r="AF162" i="1"/>
  <c r="AD162" i="1"/>
  <c r="AG162" i="1"/>
  <c r="AG131" i="1"/>
  <c r="AK131" i="1" s="1"/>
  <c r="AR131" i="1" s="1"/>
  <c r="AF131" i="1"/>
  <c r="AD131" i="1"/>
  <c r="AE131" i="1"/>
  <c r="AP204" i="1"/>
  <c r="AN154" i="1"/>
  <c r="BA115" i="1"/>
  <c r="AN204" i="1"/>
  <c r="AF143" i="1"/>
  <c r="AD143" i="1"/>
  <c r="AG143" i="1"/>
  <c r="AE143" i="1"/>
  <c r="AF121" i="1"/>
  <c r="AE121" i="1"/>
  <c r="AG121" i="1"/>
  <c r="AD121" i="1"/>
  <c r="AD203" i="1"/>
  <c r="AK203" i="1" s="1"/>
  <c r="AR203" i="1" s="1"/>
  <c r="AF203" i="1"/>
  <c r="AG203" i="1"/>
  <c r="AE203" i="1"/>
  <c r="AF169" i="1"/>
  <c r="AE169" i="1"/>
  <c r="AD169" i="1"/>
  <c r="AG169" i="1"/>
  <c r="AD125" i="1"/>
  <c r="AF125" i="1"/>
  <c r="AG125" i="1"/>
  <c r="AE125" i="1"/>
  <c r="AG14" i="1"/>
  <c r="AD14" i="1"/>
  <c r="AF207" i="1"/>
  <c r="AD207" i="1"/>
  <c r="AG207" i="1"/>
  <c r="AE207" i="1"/>
  <c r="AF153" i="1"/>
  <c r="AE153" i="1"/>
  <c r="AD153" i="1"/>
  <c r="AG153" i="1"/>
  <c r="AF185" i="1"/>
  <c r="AE185" i="1"/>
  <c r="AG185" i="1"/>
  <c r="AD185" i="1"/>
  <c r="AG115" i="1"/>
  <c r="AF115" i="1"/>
  <c r="AD115" i="1"/>
  <c r="AE115" i="1"/>
  <c r="AG15" i="1"/>
  <c r="AF15" i="1"/>
  <c r="AE15" i="1"/>
  <c r="AD15" i="1"/>
  <c r="BB204" i="1"/>
  <c r="BB203" i="1"/>
  <c r="BC154" i="1"/>
  <c r="AP109" i="1"/>
  <c r="AN193" i="1"/>
  <c r="BB193" i="1"/>
  <c r="AQ193" i="1"/>
  <c r="AU193" i="1" s="1"/>
  <c r="AD205" i="1"/>
  <c r="AF205" i="1"/>
  <c r="AG205" i="1"/>
  <c r="AE205" i="1"/>
  <c r="AF154" i="1"/>
  <c r="AG154" i="1"/>
  <c r="AD154" i="1"/>
  <c r="AF118" i="1"/>
  <c r="AD118" i="1"/>
  <c r="AG118" i="1"/>
  <c r="AF202" i="1"/>
  <c r="AD202" i="1"/>
  <c r="AG202" i="1"/>
  <c r="AF158" i="1"/>
  <c r="AG158" i="1"/>
  <c r="AD158" i="1"/>
  <c r="AK158" i="1" s="1"/>
  <c r="AR158" i="1" s="1"/>
  <c r="AF138" i="1"/>
  <c r="AD138" i="1"/>
  <c r="AG138" i="1"/>
  <c r="AF119" i="1"/>
  <c r="AE119" i="1"/>
  <c r="AD119" i="1"/>
  <c r="AG119" i="1"/>
  <c r="AF178" i="1"/>
  <c r="AK178" i="1" s="1"/>
  <c r="AR178" i="1" s="1"/>
  <c r="AD178" i="1"/>
  <c r="AG178" i="1"/>
  <c r="AD161" i="1"/>
  <c r="AG161" i="1"/>
  <c r="AF161" i="1"/>
  <c r="AE161" i="1"/>
  <c r="AF134" i="1"/>
  <c r="AD134" i="1"/>
  <c r="AG134" i="1"/>
  <c r="AF23" i="1"/>
  <c r="AE23" i="1"/>
  <c r="AD23" i="1"/>
  <c r="AG23" i="1"/>
  <c r="AZ204" i="1"/>
  <c r="BA109" i="1"/>
  <c r="AN109" i="1"/>
  <c r="BA166" i="1"/>
  <c r="AF191" i="1"/>
  <c r="AK191" i="1" s="1"/>
  <c r="AR191" i="1" s="1"/>
  <c r="AD191" i="1"/>
  <c r="AG191" i="1"/>
  <c r="AE191" i="1"/>
  <c r="AF186" i="1"/>
  <c r="AD186" i="1"/>
  <c r="AG186" i="1"/>
  <c r="AG163" i="1"/>
  <c r="AD163" i="1"/>
  <c r="AF163" i="1"/>
  <c r="AE163" i="1"/>
  <c r="AG13" i="1"/>
  <c r="AF13" i="1"/>
  <c r="AE13" i="1"/>
  <c r="AD13" i="1"/>
  <c r="AG21" i="1"/>
  <c r="AF21" i="1"/>
  <c r="AE21" i="1"/>
  <c r="AD21" i="1"/>
  <c r="AG10" i="1"/>
  <c r="AD10" i="1"/>
  <c r="AK10" i="1" s="1"/>
  <c r="AR10" i="1" s="1"/>
  <c r="AE10" i="1"/>
  <c r="AG117" i="1"/>
  <c r="AF117" i="1"/>
  <c r="AD117" i="1"/>
  <c r="AE117" i="1"/>
  <c r="AG26" i="1"/>
  <c r="AD26" i="1"/>
  <c r="AG195" i="1"/>
  <c r="AF195" i="1"/>
  <c r="AD195" i="1"/>
  <c r="AK195" i="1" s="1"/>
  <c r="AR195" i="1" s="1"/>
  <c r="AE195" i="1"/>
  <c r="AF198" i="1"/>
  <c r="AD198" i="1"/>
  <c r="AG198" i="1"/>
  <c r="AF182" i="1"/>
  <c r="AD182" i="1"/>
  <c r="AG182" i="1"/>
  <c r="AF167" i="1"/>
  <c r="AE167" i="1"/>
  <c r="AD167" i="1"/>
  <c r="AK167" i="1" s="1"/>
  <c r="AR167" i="1" s="1"/>
  <c r="AV167" i="1" s="1"/>
  <c r="AW167" i="1" s="1"/>
  <c r="AG167" i="1"/>
  <c r="AF142" i="1"/>
  <c r="AG142" i="1"/>
  <c r="AD142" i="1"/>
  <c r="AK142" i="1" s="1"/>
  <c r="AR142" i="1" s="1"/>
  <c r="AV142" i="1" s="1"/>
  <c r="AW142" i="1" s="1"/>
  <c r="AF110" i="1"/>
  <c r="AG110" i="1"/>
  <c r="AD110" i="1"/>
  <c r="AF145" i="1"/>
  <c r="AE145" i="1"/>
  <c r="AD145" i="1"/>
  <c r="AG145" i="1"/>
  <c r="AS204" i="1"/>
  <c r="AP201" i="1"/>
  <c r="BC204" i="1"/>
  <c r="AN203" i="1"/>
  <c r="AQ204" i="1"/>
  <c r="AN123" i="1"/>
  <c r="AZ109" i="1"/>
  <c r="AO166" i="1"/>
  <c r="AS166" i="1" s="1"/>
  <c r="AT166" i="1" s="1"/>
  <c r="AU166" i="1" s="1"/>
  <c r="AE140" i="1"/>
  <c r="AD180" i="1"/>
  <c r="AK180" i="1" s="1"/>
  <c r="AR180" i="1" s="1"/>
  <c r="AG11" i="1"/>
  <c r="AF11" i="1"/>
  <c r="AE11" i="1"/>
  <c r="AD11" i="1"/>
  <c r="AF174" i="1"/>
  <c r="AG174" i="1"/>
  <c r="AD174" i="1"/>
  <c r="AD157" i="1"/>
  <c r="AK157" i="1" s="1"/>
  <c r="AR157" i="1" s="1"/>
  <c r="AV157" i="1" s="1"/>
  <c r="AW157" i="1" s="1"/>
  <c r="AF157" i="1"/>
  <c r="AE157" i="1"/>
  <c r="AG157" i="1"/>
  <c r="AF135" i="1"/>
  <c r="AE135" i="1"/>
  <c r="AG135" i="1"/>
  <c r="AD135" i="1"/>
  <c r="AD189" i="1"/>
  <c r="AF189" i="1"/>
  <c r="AG189" i="1"/>
  <c r="AE189" i="1"/>
  <c r="AD141" i="1"/>
  <c r="AF141" i="1"/>
  <c r="AG141" i="1"/>
  <c r="AE141" i="1"/>
  <c r="AG147" i="1"/>
  <c r="AF147" i="1"/>
  <c r="AE147" i="1"/>
  <c r="AD147" i="1"/>
  <c r="AG133" i="1"/>
  <c r="AF133" i="1"/>
  <c r="AE133" i="1"/>
  <c r="AD133" i="1"/>
  <c r="AF130" i="1"/>
  <c r="AD130" i="1"/>
  <c r="AG130" i="1"/>
  <c r="AF114" i="1"/>
  <c r="AD114" i="1"/>
  <c r="AG114" i="1"/>
  <c r="AG18" i="1"/>
  <c r="AD18" i="1"/>
  <c r="AF151" i="1"/>
  <c r="AE151" i="1"/>
  <c r="AD151" i="1"/>
  <c r="AG151" i="1"/>
  <c r="AF137" i="1"/>
  <c r="AE137" i="1"/>
  <c r="AD137" i="1"/>
  <c r="AK137" i="1" s="1"/>
  <c r="AR137" i="1" s="1"/>
  <c r="AG137" i="1"/>
  <c r="AD123" i="1"/>
  <c r="AG123" i="1"/>
  <c r="AF123" i="1"/>
  <c r="AE123" i="1"/>
  <c r="AY203" i="1"/>
  <c r="AO203" i="1"/>
  <c r="AS203" i="1" s="1"/>
  <c r="BC203" i="1"/>
  <c r="AT138" i="1"/>
  <c r="AQ109" i="1"/>
  <c r="AF129" i="1"/>
  <c r="AD129" i="1"/>
  <c r="AG129" i="1"/>
  <c r="AE129" i="1"/>
  <c r="AF206" i="1"/>
  <c r="AG206" i="1"/>
  <c r="AD206" i="1"/>
  <c r="AD109" i="1"/>
  <c r="AG109" i="1"/>
  <c r="AF109" i="1"/>
  <c r="AE109" i="1"/>
  <c r="AD175" i="1"/>
  <c r="AG175" i="1"/>
  <c r="AF175" i="1"/>
  <c r="AE175" i="1"/>
  <c r="AE27" i="1"/>
  <c r="AD27" i="1"/>
  <c r="AG27" i="1"/>
  <c r="AF27" i="1"/>
  <c r="AF193" i="1"/>
  <c r="AK193" i="1" s="1"/>
  <c r="AR193" i="1" s="1"/>
  <c r="AD193" i="1"/>
  <c r="AG193" i="1"/>
  <c r="AE193" i="1"/>
  <c r="AF199" i="1"/>
  <c r="AK199" i="1" s="1"/>
  <c r="AR199" i="1" s="1"/>
  <c r="AV199" i="1" s="1"/>
  <c r="AW199" i="1" s="1"/>
  <c r="AE199" i="1"/>
  <c r="AG199" i="1"/>
  <c r="AD199" i="1"/>
  <c r="AF113" i="1"/>
  <c r="AD113" i="1"/>
  <c r="AG113" i="1"/>
  <c r="AE113" i="1"/>
  <c r="AK113" i="1" s="1"/>
  <c r="AR113" i="1" s="1"/>
  <c r="AF194" i="1"/>
  <c r="AD194" i="1"/>
  <c r="AG194" i="1"/>
  <c r="AF177" i="1"/>
  <c r="AD177" i="1"/>
  <c r="AG177" i="1"/>
  <c r="AE177" i="1"/>
  <c r="AF209" i="1"/>
  <c r="AE209" i="1"/>
  <c r="AK209" i="1" s="1"/>
  <c r="AR209" i="1" s="1"/>
  <c r="AG209" i="1"/>
  <c r="AD209" i="1"/>
  <c r="AF166" i="1"/>
  <c r="AG166" i="1"/>
  <c r="AK166" i="1" s="1"/>
  <c r="AR166" i="1" s="1"/>
  <c r="AD166" i="1"/>
  <c r="AD155" i="1"/>
  <c r="AF155" i="1"/>
  <c r="AG155" i="1"/>
  <c r="AE155" i="1"/>
  <c r="AF127" i="1"/>
  <c r="AD127" i="1"/>
  <c r="AG127" i="1"/>
  <c r="AE127" i="1"/>
  <c r="AD111" i="1"/>
  <c r="AG111" i="1"/>
  <c r="AF111" i="1"/>
  <c r="AE111" i="1"/>
  <c r="AG17" i="1"/>
  <c r="AF17" i="1"/>
  <c r="AE17" i="1"/>
  <c r="AD17" i="1"/>
  <c r="AF201" i="1"/>
  <c r="AE201" i="1"/>
  <c r="AD201" i="1"/>
  <c r="AG201" i="1"/>
  <c r="AG179" i="1"/>
  <c r="AF179" i="1"/>
  <c r="AD179" i="1"/>
  <c r="AE179" i="1"/>
  <c r="AF183" i="1"/>
  <c r="AE183" i="1"/>
  <c r="AD183" i="1"/>
  <c r="AG183" i="1"/>
  <c r="AG197" i="1"/>
  <c r="AF197" i="1"/>
  <c r="AE197" i="1"/>
  <c r="AD197" i="1"/>
  <c r="AG149" i="1"/>
  <c r="AD149" i="1"/>
  <c r="AF149" i="1"/>
  <c r="AE149" i="1"/>
  <c r="AF25" i="1"/>
  <c r="AE25" i="1"/>
  <c r="AD25" i="1"/>
  <c r="AG25" i="1"/>
  <c r="AG22" i="1"/>
  <c r="AD22" i="1"/>
  <c r="AD187" i="1"/>
  <c r="AG187" i="1"/>
  <c r="AF187" i="1"/>
  <c r="AE187" i="1"/>
  <c r="AD139" i="1"/>
  <c r="AF139" i="1"/>
  <c r="AG139" i="1"/>
  <c r="AE139" i="1"/>
  <c r="AF190" i="1"/>
  <c r="AG190" i="1"/>
  <c r="AD190" i="1"/>
  <c r="AD173" i="1"/>
  <c r="AG173" i="1"/>
  <c r="AF173" i="1"/>
  <c r="AE173" i="1"/>
  <c r="AF150" i="1"/>
  <c r="AD150" i="1"/>
  <c r="AK150" i="1" s="1"/>
  <c r="AR150" i="1" s="1"/>
  <c r="AG150" i="1"/>
  <c r="AF126" i="1"/>
  <c r="AG126" i="1"/>
  <c r="AD126" i="1"/>
  <c r="AG19" i="1"/>
  <c r="AF19" i="1"/>
  <c r="AE19" i="1"/>
  <c r="AD19" i="1"/>
  <c r="AG165" i="1"/>
  <c r="AF165" i="1"/>
  <c r="AD165" i="1"/>
  <c r="AE165" i="1"/>
  <c r="AY208" i="1"/>
  <c r="AO208" i="1"/>
  <c r="AS208" i="1" s="1"/>
  <c r="AZ115" i="1"/>
  <c r="AO112" i="1"/>
  <c r="AS112" i="1" s="1"/>
  <c r="AT112" i="1" s="1"/>
  <c r="AU112" i="1" s="1"/>
  <c r="AP208" i="1"/>
  <c r="AT133" i="1"/>
  <c r="AU133" i="1" s="1"/>
  <c r="AK184" i="1"/>
  <c r="AR184" i="1" s="1"/>
  <c r="AT204" i="1"/>
  <c r="AU204" i="1" s="1"/>
  <c r="AU167" i="1"/>
  <c r="AT149" i="1"/>
  <c r="AU149" i="1" s="1"/>
  <c r="AY115" i="1"/>
  <c r="AT140" i="1"/>
  <c r="AU140" i="1" s="1"/>
  <c r="AT110" i="1"/>
  <c r="AK168" i="1"/>
  <c r="AR168" i="1" s="1"/>
  <c r="AT179" i="1"/>
  <c r="AU179" i="1" s="1"/>
  <c r="AK134" i="1"/>
  <c r="AR134" i="1" s="1"/>
  <c r="BA203" i="1"/>
  <c r="AQ203" i="1"/>
  <c r="AN117" i="1"/>
  <c r="AK148" i="1"/>
  <c r="AR148" i="1" s="1"/>
  <c r="AY166" i="1"/>
  <c r="AZ166" i="1"/>
  <c r="BC166" i="1"/>
  <c r="AT148" i="1"/>
  <c r="AU148" i="1" s="1"/>
  <c r="AU138" i="1"/>
  <c r="AT199" i="1"/>
  <c r="AU199" i="1" s="1"/>
  <c r="AT137" i="1"/>
  <c r="AU137" i="1" s="1"/>
  <c r="BC148" i="1"/>
  <c r="BA176" i="1"/>
  <c r="AN176" i="1"/>
  <c r="BB165" i="1"/>
  <c r="AN127" i="1"/>
  <c r="AQ127" i="1" s="1"/>
  <c r="AY145" i="1"/>
  <c r="BC115" i="1"/>
  <c r="AO196" i="1"/>
  <c r="AS196" i="1" s="1"/>
  <c r="AT196" i="1" s="1"/>
  <c r="AU196" i="1" s="1"/>
  <c r="AN196" i="1"/>
  <c r="BA184" i="1"/>
  <c r="AN184" i="1"/>
  <c r="AZ163" i="1"/>
  <c r="BB163" i="1"/>
  <c r="BA163" i="1"/>
  <c r="AT161" i="1"/>
  <c r="AU161" i="1" s="1"/>
  <c r="BC165" i="1"/>
  <c r="AQ145" i="1"/>
  <c r="AQ123" i="1"/>
  <c r="AZ154" i="1"/>
  <c r="BB154" i="1"/>
  <c r="BA154" i="1"/>
  <c r="AO154" i="1"/>
  <c r="AS154" i="1" s="1"/>
  <c r="AT154" i="1" s="1"/>
  <c r="AU154" i="1" s="1"/>
  <c r="AN191" i="1"/>
  <c r="AP145" i="1"/>
  <c r="BC162" i="1"/>
  <c r="AN162" i="1"/>
  <c r="AN208" i="1"/>
  <c r="AQ191" i="1"/>
  <c r="AN165" i="1"/>
  <c r="BA208" i="1"/>
  <c r="AQ208" i="1"/>
  <c r="AT207" i="1"/>
  <c r="AU207" i="1" s="1"/>
  <c r="AO162" i="1"/>
  <c r="AS162" i="1" s="1"/>
  <c r="AO165" i="1"/>
  <c r="AS165" i="1" s="1"/>
  <c r="AZ145" i="1"/>
  <c r="AQ115" i="1"/>
  <c r="AT194" i="1"/>
  <c r="AU194" i="1" s="1"/>
  <c r="AP165" i="1"/>
  <c r="BA145" i="1"/>
  <c r="AN168" i="1"/>
  <c r="BB168" i="1"/>
  <c r="BA150" i="1"/>
  <c r="BB150" i="1"/>
  <c r="AZ150" i="1"/>
  <c r="AQ150" i="1"/>
  <c r="AO150" i="1"/>
  <c r="AS150" i="1" s="1"/>
  <c r="AT150" i="1" s="1"/>
  <c r="AN150" i="1"/>
  <c r="BC150" i="1"/>
  <c r="BA191" i="1"/>
  <c r="AP162" i="1"/>
  <c r="AT146" i="1"/>
  <c r="AU146" i="1" s="1"/>
  <c r="AY165" i="1"/>
  <c r="AT142" i="1"/>
  <c r="AU142" i="1" s="1"/>
  <c r="AS145" i="1"/>
  <c r="AT145" i="1" s="1"/>
  <c r="AU145" i="1" s="1"/>
  <c r="AQ131" i="1"/>
  <c r="AO131" i="1"/>
  <c r="AS131" i="1" s="1"/>
  <c r="AT131" i="1" s="1"/>
  <c r="BB208" i="1"/>
  <c r="BC208" i="1"/>
  <c r="AY162" i="1"/>
  <c r="AP191" i="1"/>
  <c r="AT191" i="1" s="1"/>
  <c r="BA162" i="1"/>
  <c r="AT175" i="1"/>
  <c r="AU175" i="1" s="1"/>
  <c r="AU157" i="1"/>
  <c r="BC191" i="1"/>
  <c r="AY191" i="1"/>
  <c r="BB162" i="1"/>
  <c r="AY168" i="1"/>
  <c r="AT153" i="1"/>
  <c r="AU153" i="1" s="1"/>
  <c r="AT125" i="1"/>
  <c r="AU125" i="1" s="1"/>
  <c r="AN145" i="1"/>
  <c r="AK176" i="1"/>
  <c r="AR176" i="1" s="1"/>
  <c r="AY201" i="1"/>
  <c r="BC201" i="1"/>
  <c r="BB201" i="1"/>
  <c r="AO201" i="1"/>
  <c r="AS201" i="1" s="1"/>
  <c r="AT201" i="1" s="1"/>
  <c r="AU201" i="1" s="1"/>
  <c r="AN201" i="1"/>
  <c r="BA195" i="1"/>
  <c r="AZ195" i="1"/>
  <c r="AQ195" i="1"/>
  <c r="AN195" i="1"/>
  <c r="AT195" i="1"/>
  <c r="AO119" i="1"/>
  <c r="AS119" i="1" s="1"/>
  <c r="AT119" i="1" s="1"/>
  <c r="AP117" i="1"/>
  <c r="AT206" i="1"/>
  <c r="AU206" i="1" s="1"/>
  <c r="AK140" i="1"/>
  <c r="AR140" i="1" s="1"/>
  <c r="AQ121" i="1"/>
  <c r="AO117" i="1"/>
  <c r="AS117" i="1" s="1"/>
  <c r="BB112" i="1"/>
  <c r="BC112" i="1"/>
  <c r="AT168" i="1"/>
  <c r="AU168" i="1" s="1"/>
  <c r="AT158" i="1"/>
  <c r="AU158" i="1" s="1"/>
  <c r="AT134" i="1"/>
  <c r="AU134" i="1" s="1"/>
  <c r="AK154" i="1"/>
  <c r="AR154" i="1" s="1"/>
  <c r="AO115" i="1"/>
  <c r="AS115" i="1" s="1"/>
  <c r="AT184" i="1"/>
  <c r="AU184" i="1" s="1"/>
  <c r="AQ117" i="1"/>
  <c r="AK171" i="1"/>
  <c r="AR171" i="1" s="1"/>
  <c r="AQ129" i="1"/>
  <c r="AO121" i="1"/>
  <c r="AS121" i="1" s="1"/>
  <c r="AP121" i="1"/>
  <c r="AO129" i="1"/>
  <c r="AS129" i="1" s="1"/>
  <c r="AO127" i="1"/>
  <c r="AS127" i="1" s="1"/>
  <c r="AT127" i="1" s="1"/>
  <c r="AT109" i="1"/>
  <c r="AU109" i="1" s="1"/>
  <c r="AP129" i="1"/>
  <c r="AN115" i="1"/>
  <c r="AT123" i="1"/>
  <c r="AY112" i="1"/>
  <c r="AN119" i="1"/>
  <c r="AQ119" i="1" s="1"/>
  <c r="AP115" i="1"/>
  <c r="AN10" i="1"/>
  <c r="AQ10" i="1" s="1"/>
  <c r="AO10" i="1"/>
  <c r="AS10" i="1" s="1"/>
  <c r="AP10" i="1"/>
  <c r="AK144" i="1"/>
  <c r="AR144" i="1" s="1"/>
  <c r="BC197" i="1"/>
  <c r="BA197" i="1"/>
  <c r="AZ197" i="1"/>
  <c r="AQ197" i="1"/>
  <c r="AY197" i="1"/>
  <c r="AP197" i="1"/>
  <c r="AO197" i="1"/>
  <c r="AS197" i="1" s="1"/>
  <c r="AN197" i="1"/>
  <c r="BB197" i="1"/>
  <c r="AT202" i="1"/>
  <c r="AU202" i="1" s="1"/>
  <c r="AK192" i="1"/>
  <c r="AR192" i="1" s="1"/>
  <c r="AZ198" i="1"/>
  <c r="AQ198" i="1"/>
  <c r="AO198" i="1"/>
  <c r="AS198" i="1" s="1"/>
  <c r="AN198" i="1"/>
  <c r="BC198" i="1"/>
  <c r="BB198" i="1"/>
  <c r="BA198" i="1"/>
  <c r="AY198" i="1"/>
  <c r="AP198" i="1"/>
  <c r="AN174" i="1"/>
  <c r="BA174" i="1"/>
  <c r="AZ174" i="1"/>
  <c r="AQ174" i="1"/>
  <c r="AP174" i="1"/>
  <c r="BC174" i="1"/>
  <c r="AO174" i="1"/>
  <c r="AS174" i="1" s="1"/>
  <c r="BB174" i="1"/>
  <c r="AY174" i="1"/>
  <c r="BA170" i="1"/>
  <c r="AN170" i="1"/>
  <c r="BC170" i="1"/>
  <c r="AQ170" i="1"/>
  <c r="BB170" i="1"/>
  <c r="AP170" i="1"/>
  <c r="AZ170" i="1"/>
  <c r="AO170" i="1"/>
  <c r="AS170" i="1" s="1"/>
  <c r="AY170" i="1"/>
  <c r="AN156" i="1"/>
  <c r="BC156" i="1"/>
  <c r="BB156" i="1"/>
  <c r="AS156" i="1"/>
  <c r="BA156" i="1"/>
  <c r="AZ156" i="1"/>
  <c r="AQ156" i="1"/>
  <c r="AY156" i="1"/>
  <c r="AP156" i="1"/>
  <c r="AO156" i="1"/>
  <c r="AU205" i="1"/>
  <c r="BA135" i="1"/>
  <c r="AZ135" i="1"/>
  <c r="AQ135" i="1"/>
  <c r="AY135" i="1"/>
  <c r="AP135" i="1"/>
  <c r="AO135" i="1"/>
  <c r="AS135" i="1" s="1"/>
  <c r="AN135" i="1"/>
  <c r="BC135" i="1"/>
  <c r="BB135" i="1"/>
  <c r="AK163" i="1"/>
  <c r="AR163" i="1" s="1"/>
  <c r="AO118" i="1"/>
  <c r="AS118" i="1" s="1"/>
  <c r="AP118" i="1"/>
  <c r="AN118" i="1"/>
  <c r="AQ118" i="1" s="1"/>
  <c r="AO114" i="1"/>
  <c r="AS114" i="1" s="1"/>
  <c r="AP114" i="1"/>
  <c r="AN114" i="1"/>
  <c r="AQ114" i="1" s="1"/>
  <c r="BA181" i="1"/>
  <c r="AZ181" i="1"/>
  <c r="AQ181" i="1"/>
  <c r="BC181" i="1"/>
  <c r="AP181" i="1"/>
  <c r="AO181" i="1"/>
  <c r="AS181" i="1" s="1"/>
  <c r="AN181" i="1"/>
  <c r="BB181" i="1"/>
  <c r="AY181" i="1"/>
  <c r="BB178" i="1"/>
  <c r="BA178" i="1"/>
  <c r="AN178" i="1"/>
  <c r="BC178" i="1"/>
  <c r="AZ178" i="1"/>
  <c r="AY178" i="1"/>
  <c r="AQ178" i="1"/>
  <c r="AP178" i="1"/>
  <c r="AO178" i="1"/>
  <c r="AS178" i="1" s="1"/>
  <c r="AO164" i="1"/>
  <c r="AS164" i="1" s="1"/>
  <c r="AN164" i="1"/>
  <c r="BC164" i="1"/>
  <c r="BB164" i="1"/>
  <c r="BA164" i="1"/>
  <c r="AZ164" i="1"/>
  <c r="AQ164" i="1"/>
  <c r="AP164" i="1"/>
  <c r="AY164" i="1"/>
  <c r="AT172" i="1"/>
  <c r="AU172" i="1" s="1"/>
  <c r="AO144" i="1"/>
  <c r="AS144" i="1" s="1"/>
  <c r="AN144" i="1"/>
  <c r="BC144" i="1"/>
  <c r="BB144" i="1"/>
  <c r="BA144" i="1"/>
  <c r="AY144" i="1"/>
  <c r="AQ144" i="1"/>
  <c r="AP144" i="1"/>
  <c r="AZ144" i="1"/>
  <c r="AT203" i="1"/>
  <c r="BC189" i="1"/>
  <c r="AZ189" i="1"/>
  <c r="AQ189" i="1"/>
  <c r="AN189" i="1"/>
  <c r="AP189" i="1"/>
  <c r="BB189" i="1"/>
  <c r="AO189" i="1"/>
  <c r="AS189" i="1" s="1"/>
  <c r="AY189" i="1"/>
  <c r="BA189" i="1"/>
  <c r="AT177" i="1"/>
  <c r="AU177" i="1" s="1"/>
  <c r="AT182" i="1"/>
  <c r="AU182" i="1" s="1"/>
  <c r="AZ169" i="1"/>
  <c r="AQ169" i="1"/>
  <c r="BA169" i="1"/>
  <c r="AO169" i="1"/>
  <c r="AS169" i="1" s="1"/>
  <c r="AY169" i="1"/>
  <c r="AN169" i="1"/>
  <c r="BC169" i="1"/>
  <c r="AP169" i="1"/>
  <c r="BB169" i="1"/>
  <c r="BA143" i="1"/>
  <c r="AZ143" i="1"/>
  <c r="AQ143" i="1"/>
  <c r="AY143" i="1"/>
  <c r="AP143" i="1"/>
  <c r="AO143" i="1"/>
  <c r="AS143" i="1" s="1"/>
  <c r="AN143" i="1"/>
  <c r="BC143" i="1"/>
  <c r="BB143" i="1"/>
  <c r="AO152" i="1"/>
  <c r="AS152" i="1" s="1"/>
  <c r="AN152" i="1"/>
  <c r="BC152" i="1"/>
  <c r="BB152" i="1"/>
  <c r="BA152" i="1"/>
  <c r="AZ152" i="1"/>
  <c r="AQ152" i="1"/>
  <c r="AP152" i="1"/>
  <c r="AY152" i="1"/>
  <c r="AO136" i="1"/>
  <c r="AS136" i="1" s="1"/>
  <c r="AN136" i="1"/>
  <c r="BC136" i="1"/>
  <c r="BB136" i="1"/>
  <c r="BA136" i="1"/>
  <c r="AZ136" i="1"/>
  <c r="AQ136" i="1"/>
  <c r="AP136" i="1"/>
  <c r="AY136" i="1"/>
  <c r="AP122" i="1"/>
  <c r="AO122" i="1"/>
  <c r="AS122" i="1" s="1"/>
  <c r="AN122" i="1"/>
  <c r="AQ122" i="1" s="1"/>
  <c r="AT155" i="1"/>
  <c r="AU155" i="1" s="1"/>
  <c r="BB132" i="1"/>
  <c r="BC132" i="1"/>
  <c r="BA132" i="1"/>
  <c r="AQ132" i="1"/>
  <c r="AY132" i="1"/>
  <c r="AO132" i="1"/>
  <c r="AS132" i="1" s="1"/>
  <c r="AN132" i="1"/>
  <c r="AZ132" i="1"/>
  <c r="AP132" i="1"/>
  <c r="AN111" i="1"/>
  <c r="AQ111" i="1" s="1"/>
  <c r="AO111" i="1"/>
  <c r="AS111" i="1" s="1"/>
  <c r="AP111" i="1"/>
  <c r="AT113" i="1"/>
  <c r="AU113" i="1" s="1"/>
  <c r="BB200" i="1"/>
  <c r="AZ200" i="1"/>
  <c r="AQ200" i="1"/>
  <c r="AY200" i="1"/>
  <c r="AP200" i="1"/>
  <c r="AO200" i="1"/>
  <c r="AS200" i="1" s="1"/>
  <c r="AN200" i="1"/>
  <c r="BC200" i="1"/>
  <c r="BA200" i="1"/>
  <c r="AT176" i="1"/>
  <c r="AU176" i="1" s="1"/>
  <c r="AO171" i="1"/>
  <c r="AS171" i="1" s="1"/>
  <c r="BB171" i="1"/>
  <c r="AZ171" i="1"/>
  <c r="AN171" i="1"/>
  <c r="AY171" i="1"/>
  <c r="BC171" i="1"/>
  <c r="AQ171" i="1"/>
  <c r="BA171" i="1"/>
  <c r="AP171" i="1"/>
  <c r="AZ173" i="1"/>
  <c r="AQ173" i="1"/>
  <c r="BC173" i="1"/>
  <c r="AP173" i="1"/>
  <c r="BB173" i="1"/>
  <c r="AO173" i="1"/>
  <c r="AS173" i="1" s="1"/>
  <c r="BA173" i="1"/>
  <c r="AN173" i="1"/>
  <c r="AY173" i="1"/>
  <c r="AK160" i="1"/>
  <c r="AR160" i="1" s="1"/>
  <c r="AT160" i="1"/>
  <c r="AU160" i="1" s="1"/>
  <c r="BA151" i="1"/>
  <c r="AZ151" i="1"/>
  <c r="AQ151" i="1"/>
  <c r="AY151" i="1"/>
  <c r="AP151" i="1"/>
  <c r="AO151" i="1"/>
  <c r="AS151" i="1" s="1"/>
  <c r="AN151" i="1"/>
  <c r="BC151" i="1"/>
  <c r="BB151" i="1"/>
  <c r="AK141" i="1"/>
  <c r="AR141" i="1" s="1"/>
  <c r="AV141" i="1" s="1"/>
  <c r="AW141" i="1" s="1"/>
  <c r="AO126" i="1"/>
  <c r="AS126" i="1" s="1"/>
  <c r="AP126" i="1"/>
  <c r="AN126" i="1"/>
  <c r="AQ126" i="1" s="1"/>
  <c r="AZ190" i="1"/>
  <c r="AQ190" i="1"/>
  <c r="AN190" i="1"/>
  <c r="BB190" i="1"/>
  <c r="AP190" i="1"/>
  <c r="BC190" i="1"/>
  <c r="AO190" i="1"/>
  <c r="AS190" i="1" s="1"/>
  <c r="BA190" i="1"/>
  <c r="AY190" i="1"/>
  <c r="AT163" i="1"/>
  <c r="AU163" i="1" s="1"/>
  <c r="AV140" i="1"/>
  <c r="AW140" i="1" s="1"/>
  <c r="AO120" i="1"/>
  <c r="AS120" i="1" s="1"/>
  <c r="AN120" i="1"/>
  <c r="AQ120" i="1" s="1"/>
  <c r="AP120" i="1"/>
  <c r="AK200" i="1"/>
  <c r="AR200" i="1" s="1"/>
  <c r="BA187" i="1"/>
  <c r="BC187" i="1"/>
  <c r="AY187" i="1"/>
  <c r="AN187" i="1"/>
  <c r="AQ187" i="1"/>
  <c r="BB187" i="1"/>
  <c r="AP187" i="1"/>
  <c r="AO187" i="1"/>
  <c r="AS187" i="1" s="1"/>
  <c r="AZ187" i="1"/>
  <c r="BC186" i="1"/>
  <c r="BB186" i="1"/>
  <c r="BA186" i="1"/>
  <c r="AQ186" i="1"/>
  <c r="AN186" i="1"/>
  <c r="AZ186" i="1"/>
  <c r="AY186" i="1"/>
  <c r="AP186" i="1"/>
  <c r="AO186" i="1"/>
  <c r="AS186" i="1" s="1"/>
  <c r="AT159" i="1"/>
  <c r="AU159" i="1" s="1"/>
  <c r="AN147" i="1"/>
  <c r="BC147" i="1"/>
  <c r="BB147" i="1"/>
  <c r="BA147" i="1"/>
  <c r="AZ147" i="1"/>
  <c r="AQ147" i="1"/>
  <c r="AY147" i="1"/>
  <c r="AO147" i="1"/>
  <c r="AS147" i="1" s="1"/>
  <c r="AP147" i="1"/>
  <c r="AO128" i="1"/>
  <c r="AS128" i="1" s="1"/>
  <c r="AN128" i="1"/>
  <c r="AQ128" i="1" s="1"/>
  <c r="AP128" i="1"/>
  <c r="AK161" i="1"/>
  <c r="AR161" i="1" s="1"/>
  <c r="AV161" i="1" s="1"/>
  <c r="AW161" i="1" s="1"/>
  <c r="BB192" i="1"/>
  <c r="AZ192" i="1"/>
  <c r="AQ192" i="1"/>
  <c r="AY192" i="1"/>
  <c r="AP192" i="1"/>
  <c r="BC192" i="1"/>
  <c r="AO192" i="1"/>
  <c r="AS192" i="1" s="1"/>
  <c r="AN192" i="1"/>
  <c r="BA192" i="1"/>
  <c r="AK194" i="1"/>
  <c r="AR194" i="1" s="1"/>
  <c r="AT180" i="1"/>
  <c r="AU180" i="1" s="1"/>
  <c r="AO188" i="1"/>
  <c r="AS188" i="1" s="1"/>
  <c r="AZ188" i="1"/>
  <c r="AQ188" i="1"/>
  <c r="BC188" i="1"/>
  <c r="AY188" i="1"/>
  <c r="BB188" i="1"/>
  <c r="BA188" i="1"/>
  <c r="AP188" i="1"/>
  <c r="AN188" i="1"/>
  <c r="AK179" i="1"/>
  <c r="AR179" i="1" s="1"/>
  <c r="AV179" i="1" s="1"/>
  <c r="AW179" i="1" s="1"/>
  <c r="BC183" i="1"/>
  <c r="BB183" i="1"/>
  <c r="AO183" i="1"/>
  <c r="AS183" i="1" s="1"/>
  <c r="AN183" i="1"/>
  <c r="BA183" i="1"/>
  <c r="AZ183" i="1"/>
  <c r="AY183" i="1"/>
  <c r="AQ183" i="1"/>
  <c r="AP183" i="1"/>
  <c r="AK172" i="1"/>
  <c r="AR172" i="1" s="1"/>
  <c r="AN139" i="1"/>
  <c r="BC139" i="1"/>
  <c r="BB139" i="1"/>
  <c r="BA139" i="1"/>
  <c r="AZ139" i="1"/>
  <c r="AQ139" i="1"/>
  <c r="AO139" i="1"/>
  <c r="AS139" i="1" s="1"/>
  <c r="AP139" i="1"/>
  <c r="AY139" i="1"/>
  <c r="AP130" i="1"/>
  <c r="AO130" i="1"/>
  <c r="AS130" i="1" s="1"/>
  <c r="AN130" i="1"/>
  <c r="AQ130" i="1" s="1"/>
  <c r="BB116" i="1"/>
  <c r="AZ116" i="1"/>
  <c r="AQ116" i="1"/>
  <c r="AO116" i="1"/>
  <c r="AS116" i="1" s="1"/>
  <c r="AP116" i="1"/>
  <c r="AN116" i="1"/>
  <c r="BC116" i="1"/>
  <c r="BA116" i="1"/>
  <c r="AY116" i="1"/>
  <c r="AO124" i="1"/>
  <c r="AS124" i="1" s="1"/>
  <c r="AP124" i="1"/>
  <c r="AN124" i="1"/>
  <c r="AQ124" i="1" s="1"/>
  <c r="AI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AG9" i="1"/>
  <c r="AV137" i="1" l="1"/>
  <c r="AW137" i="1" s="1"/>
  <c r="AV166" i="1"/>
  <c r="AW166" i="1" s="1"/>
  <c r="AV193" i="1"/>
  <c r="AW193" i="1" s="1"/>
  <c r="AU150" i="1"/>
  <c r="AK149" i="1"/>
  <c r="AR149" i="1" s="1"/>
  <c r="AV149" i="1" s="1"/>
  <c r="AW149" i="1" s="1"/>
  <c r="AV148" i="1"/>
  <c r="AW148" i="1" s="1"/>
  <c r="AK201" i="1"/>
  <c r="AR201" i="1" s="1"/>
  <c r="AC49" i="1"/>
  <c r="AB49" i="1"/>
  <c r="AI49" i="1" s="1"/>
  <c r="AA49" i="1"/>
  <c r="AH49" i="1" s="1"/>
  <c r="Z49" i="1"/>
  <c r="AM42" i="1"/>
  <c r="AC42" i="1"/>
  <c r="AJ42" i="1" s="1"/>
  <c r="AB42" i="1"/>
  <c r="AI42" i="1" s="1"/>
  <c r="Z42" i="1"/>
  <c r="AA42" i="1"/>
  <c r="AH42" i="1" s="1"/>
  <c r="AC58" i="1"/>
  <c r="AB58" i="1"/>
  <c r="AI58" i="1" s="1"/>
  <c r="Z58" i="1"/>
  <c r="AA58" i="1"/>
  <c r="AH58" i="1" s="1"/>
  <c r="AC74" i="1"/>
  <c r="AB74" i="1"/>
  <c r="AI74" i="1" s="1"/>
  <c r="Z74" i="1"/>
  <c r="AA74" i="1"/>
  <c r="AH74" i="1" s="1"/>
  <c r="AC90" i="1"/>
  <c r="AB90" i="1"/>
  <c r="AI90" i="1" s="1"/>
  <c r="Z90" i="1"/>
  <c r="AA90" i="1"/>
  <c r="AH90" i="1" s="1"/>
  <c r="AC106" i="1"/>
  <c r="AJ106" i="1" s="1"/>
  <c r="AB106" i="1"/>
  <c r="AI106" i="1" s="1"/>
  <c r="Z106" i="1"/>
  <c r="AA106" i="1"/>
  <c r="AH106" i="1" s="1"/>
  <c r="AM35" i="1"/>
  <c r="AB35" i="1"/>
  <c r="AI35" i="1" s="1"/>
  <c r="Z35" i="1"/>
  <c r="AC35" i="1"/>
  <c r="AA35" i="1"/>
  <c r="AH35" i="1" s="1"/>
  <c r="AM43" i="1"/>
  <c r="AC43" i="1"/>
  <c r="AJ43" i="1" s="1"/>
  <c r="AB43" i="1"/>
  <c r="AI43" i="1" s="1"/>
  <c r="Z43" i="1"/>
  <c r="AA43" i="1"/>
  <c r="AH43" i="1" s="1"/>
  <c r="AC51" i="1"/>
  <c r="AB51" i="1"/>
  <c r="AI51" i="1" s="1"/>
  <c r="AA51" i="1"/>
  <c r="AH51" i="1" s="1"/>
  <c r="Z51" i="1"/>
  <c r="AM59" i="1"/>
  <c r="AN59" i="1" s="1"/>
  <c r="AC59" i="1"/>
  <c r="AB59" i="1"/>
  <c r="AI59" i="1" s="1"/>
  <c r="AA59" i="1"/>
  <c r="AH59" i="1" s="1"/>
  <c r="Z59" i="1"/>
  <c r="AC67" i="1"/>
  <c r="AB67" i="1"/>
  <c r="AI67" i="1" s="1"/>
  <c r="AA67" i="1"/>
  <c r="AH67" i="1" s="1"/>
  <c r="Z67" i="1"/>
  <c r="AC75" i="1"/>
  <c r="AB75" i="1"/>
  <c r="AI75" i="1" s="1"/>
  <c r="AA75" i="1"/>
  <c r="AH75" i="1" s="1"/>
  <c r="Z75" i="1"/>
  <c r="AC83" i="1"/>
  <c r="AB83" i="1"/>
  <c r="AI83" i="1" s="1"/>
  <c r="AA83" i="1"/>
  <c r="AH83" i="1" s="1"/>
  <c r="Z83" i="1"/>
  <c r="AC91" i="1"/>
  <c r="AB91" i="1"/>
  <c r="AI91" i="1" s="1"/>
  <c r="AA91" i="1"/>
  <c r="AH91" i="1" s="1"/>
  <c r="Z91" i="1"/>
  <c r="AC99" i="1"/>
  <c r="AB99" i="1"/>
  <c r="AI99" i="1" s="1"/>
  <c r="AA99" i="1"/>
  <c r="AH99" i="1" s="1"/>
  <c r="Z99" i="1"/>
  <c r="AC107" i="1"/>
  <c r="AB107" i="1"/>
  <c r="AI107" i="1" s="1"/>
  <c r="AA107" i="1"/>
  <c r="AH107" i="1" s="1"/>
  <c r="Z107" i="1"/>
  <c r="AU191" i="1"/>
  <c r="AM36" i="1"/>
  <c r="AN36" i="1" s="1"/>
  <c r="AC36" i="1"/>
  <c r="AJ36" i="1" s="1"/>
  <c r="AB36" i="1"/>
  <c r="AI36" i="1" s="1"/>
  <c r="Z36" i="1"/>
  <c r="AA36" i="1"/>
  <c r="AH36" i="1" s="1"/>
  <c r="AC76" i="1"/>
  <c r="AB76" i="1"/>
  <c r="AI76" i="1" s="1"/>
  <c r="Z76" i="1"/>
  <c r="AA76" i="1"/>
  <c r="AH76" i="1" s="1"/>
  <c r="AC52" i="1"/>
  <c r="AJ52" i="1" s="1"/>
  <c r="AB52" i="1"/>
  <c r="AI52" i="1" s="1"/>
  <c r="Z52" i="1"/>
  <c r="AA52" i="1"/>
  <c r="AH52" i="1" s="1"/>
  <c r="AC92" i="1"/>
  <c r="AB92" i="1"/>
  <c r="AI92" i="1" s="1"/>
  <c r="Z92" i="1"/>
  <c r="AA92" i="1"/>
  <c r="AH92" i="1" s="1"/>
  <c r="AM29" i="1"/>
  <c r="AN29" i="1" s="1"/>
  <c r="AB29" i="1"/>
  <c r="AI29" i="1" s="1"/>
  <c r="Z29" i="1"/>
  <c r="AC29" i="1"/>
  <c r="AA29" i="1"/>
  <c r="AH29" i="1" s="1"/>
  <c r="AC69" i="1"/>
  <c r="AB69" i="1"/>
  <c r="AI69" i="1" s="1"/>
  <c r="AA69" i="1"/>
  <c r="AH69" i="1" s="1"/>
  <c r="Z69" i="1"/>
  <c r="AC101" i="1"/>
  <c r="AJ101" i="1" s="1"/>
  <c r="AB101" i="1"/>
  <c r="AI101" i="1" s="1"/>
  <c r="AA101" i="1"/>
  <c r="AH101" i="1" s="1"/>
  <c r="Z101" i="1"/>
  <c r="AC41" i="1"/>
  <c r="AB41" i="1"/>
  <c r="AI41" i="1" s="1"/>
  <c r="Z41" i="1"/>
  <c r="AA41" i="1"/>
  <c r="AH41" i="1" s="1"/>
  <c r="AC60" i="1"/>
  <c r="AJ60" i="1" s="1"/>
  <c r="AB60" i="1"/>
  <c r="AI60" i="1" s="1"/>
  <c r="Z60" i="1"/>
  <c r="AA60" i="1"/>
  <c r="AH60" i="1" s="1"/>
  <c r="AC100" i="1"/>
  <c r="AB100" i="1"/>
  <c r="AI100" i="1" s="1"/>
  <c r="Z100" i="1"/>
  <c r="AA100" i="1"/>
  <c r="AH100" i="1" s="1"/>
  <c r="AM53" i="1"/>
  <c r="AC53" i="1"/>
  <c r="AB53" i="1"/>
  <c r="AI53" i="1" s="1"/>
  <c r="AA53" i="1"/>
  <c r="AH53" i="1" s="1"/>
  <c r="Z53" i="1"/>
  <c r="AC85" i="1"/>
  <c r="AB85" i="1"/>
  <c r="AI85" i="1" s="1"/>
  <c r="AA85" i="1"/>
  <c r="AH85" i="1" s="1"/>
  <c r="Z85" i="1"/>
  <c r="AC46" i="1"/>
  <c r="AB46" i="1"/>
  <c r="AI46" i="1" s="1"/>
  <c r="Z46" i="1"/>
  <c r="AA46" i="1"/>
  <c r="AH46" i="1" s="1"/>
  <c r="AC70" i="1"/>
  <c r="AB70" i="1"/>
  <c r="AI70" i="1" s="1"/>
  <c r="Z70" i="1"/>
  <c r="AA70" i="1"/>
  <c r="AH70" i="1" s="1"/>
  <c r="AC94" i="1"/>
  <c r="AB94" i="1"/>
  <c r="AI94" i="1" s="1"/>
  <c r="Z94" i="1"/>
  <c r="AA94" i="1"/>
  <c r="AH94" i="1" s="1"/>
  <c r="AK146" i="1"/>
  <c r="AR146" i="1" s="1"/>
  <c r="AV146" i="1" s="1"/>
  <c r="AW146" i="1" s="1"/>
  <c r="AC28" i="1"/>
  <c r="AJ28" i="1" s="1"/>
  <c r="AB28" i="1"/>
  <c r="AI28" i="1" s="1"/>
  <c r="Z28" i="1"/>
  <c r="AA28" i="1"/>
  <c r="AH28" i="1" s="1"/>
  <c r="AC68" i="1"/>
  <c r="AB68" i="1"/>
  <c r="AI68" i="1" s="1"/>
  <c r="Z68" i="1"/>
  <c r="AA68" i="1"/>
  <c r="AH68" i="1" s="1"/>
  <c r="AC108" i="1"/>
  <c r="AJ108" i="1" s="1"/>
  <c r="AB108" i="1"/>
  <c r="AI108" i="1" s="1"/>
  <c r="Z108" i="1"/>
  <c r="AA108" i="1"/>
  <c r="AH108" i="1" s="1"/>
  <c r="AB37" i="1"/>
  <c r="AI37" i="1" s="1"/>
  <c r="Z37" i="1"/>
  <c r="AC37" i="1"/>
  <c r="AA37" i="1"/>
  <c r="AH37" i="1" s="1"/>
  <c r="AM61" i="1"/>
  <c r="AN61" i="1" s="1"/>
  <c r="AC61" i="1"/>
  <c r="AJ61" i="1" s="1"/>
  <c r="AB61" i="1"/>
  <c r="AI61" i="1" s="1"/>
  <c r="AA61" i="1"/>
  <c r="AH61" i="1" s="1"/>
  <c r="Z61" i="1"/>
  <c r="AC93" i="1"/>
  <c r="AB93" i="1"/>
  <c r="AI93" i="1" s="1"/>
  <c r="AA93" i="1"/>
  <c r="AH93" i="1" s="1"/>
  <c r="Z93" i="1"/>
  <c r="AC38" i="1"/>
  <c r="AJ38" i="1" s="1"/>
  <c r="AB38" i="1"/>
  <c r="AI38" i="1" s="1"/>
  <c r="AA38" i="1"/>
  <c r="AH38" i="1" s="1"/>
  <c r="Z38" i="1"/>
  <c r="AC62" i="1"/>
  <c r="AB62" i="1"/>
  <c r="AI62" i="1" s="1"/>
  <c r="Z62" i="1"/>
  <c r="AA62" i="1"/>
  <c r="AH62" i="1" s="1"/>
  <c r="AC86" i="1"/>
  <c r="AJ86" i="1" s="1"/>
  <c r="AB86" i="1"/>
  <c r="AI86" i="1" s="1"/>
  <c r="Z86" i="1"/>
  <c r="AA86" i="1"/>
  <c r="AH86" i="1" s="1"/>
  <c r="AC102" i="1"/>
  <c r="AB102" i="1"/>
  <c r="AI102" i="1" s="1"/>
  <c r="Z102" i="1"/>
  <c r="AA102" i="1"/>
  <c r="AH102" i="1" s="1"/>
  <c r="AM39" i="1"/>
  <c r="AB39" i="1"/>
  <c r="AI39" i="1" s="1"/>
  <c r="AA39" i="1"/>
  <c r="AH39" i="1" s="1"/>
  <c r="Z39" i="1"/>
  <c r="AC39" i="1"/>
  <c r="AM55" i="1"/>
  <c r="AN55" i="1" s="1"/>
  <c r="AC55" i="1"/>
  <c r="AB55" i="1"/>
  <c r="AI55" i="1" s="1"/>
  <c r="AA55" i="1"/>
  <c r="AH55" i="1" s="1"/>
  <c r="Z55" i="1"/>
  <c r="AC79" i="1"/>
  <c r="AB79" i="1"/>
  <c r="AI79" i="1" s="1"/>
  <c r="AA79" i="1"/>
  <c r="AH79" i="1" s="1"/>
  <c r="Z79" i="1"/>
  <c r="AC95" i="1"/>
  <c r="AB95" i="1"/>
  <c r="AI95" i="1" s="1"/>
  <c r="AA95" i="1"/>
  <c r="AH95" i="1" s="1"/>
  <c r="Z95" i="1"/>
  <c r="AV168" i="1"/>
  <c r="AW168" i="1" s="1"/>
  <c r="AM44" i="1"/>
  <c r="AN44" i="1" s="1"/>
  <c r="AC44" i="1"/>
  <c r="AB44" i="1"/>
  <c r="AI44" i="1" s="1"/>
  <c r="Z44" i="1"/>
  <c r="AA44" i="1"/>
  <c r="AH44" i="1" s="1"/>
  <c r="AC84" i="1"/>
  <c r="AJ84" i="1" s="1"/>
  <c r="AB84" i="1"/>
  <c r="AI84" i="1" s="1"/>
  <c r="Z84" i="1"/>
  <c r="AA84" i="1"/>
  <c r="AH84" i="1" s="1"/>
  <c r="AM45" i="1"/>
  <c r="AC45" i="1"/>
  <c r="AB45" i="1"/>
  <c r="AI45" i="1" s="1"/>
  <c r="AA45" i="1"/>
  <c r="AH45" i="1" s="1"/>
  <c r="Z45" i="1"/>
  <c r="AC77" i="1"/>
  <c r="AB77" i="1"/>
  <c r="AI77" i="1" s="1"/>
  <c r="AA77" i="1"/>
  <c r="AH77" i="1" s="1"/>
  <c r="Z77" i="1"/>
  <c r="AM30" i="1"/>
  <c r="AN30" i="1" s="1"/>
  <c r="AC30" i="1"/>
  <c r="AB30" i="1"/>
  <c r="AI30" i="1" s="1"/>
  <c r="Z30" i="1"/>
  <c r="AA30" i="1"/>
  <c r="AH30" i="1" s="1"/>
  <c r="AC54" i="1"/>
  <c r="AB54" i="1"/>
  <c r="AI54" i="1" s="1"/>
  <c r="Z54" i="1"/>
  <c r="AA54" i="1"/>
  <c r="AH54" i="1" s="1"/>
  <c r="AC78" i="1"/>
  <c r="AB78" i="1"/>
  <c r="AI78" i="1" s="1"/>
  <c r="Z78" i="1"/>
  <c r="AA78" i="1"/>
  <c r="AH78" i="1" s="1"/>
  <c r="AM31" i="1"/>
  <c r="AN31" i="1" s="1"/>
  <c r="AB31" i="1"/>
  <c r="AI31" i="1" s="1"/>
  <c r="Z31" i="1"/>
  <c r="AC31" i="1"/>
  <c r="AA31" i="1"/>
  <c r="AH31" i="1" s="1"/>
  <c r="AC47" i="1"/>
  <c r="AJ47" i="1" s="1"/>
  <c r="AB47" i="1"/>
  <c r="AI47" i="1" s="1"/>
  <c r="AA47" i="1"/>
  <c r="AH47" i="1" s="1"/>
  <c r="Z47" i="1"/>
  <c r="AM63" i="1"/>
  <c r="AC63" i="1"/>
  <c r="AB63" i="1"/>
  <c r="AI63" i="1" s="1"/>
  <c r="AA63" i="1"/>
  <c r="AH63" i="1" s="1"/>
  <c r="Z63" i="1"/>
  <c r="AC71" i="1"/>
  <c r="AJ71" i="1" s="1"/>
  <c r="AB71" i="1"/>
  <c r="AI71" i="1" s="1"/>
  <c r="AA71" i="1"/>
  <c r="AH71" i="1" s="1"/>
  <c r="Z71" i="1"/>
  <c r="AC87" i="1"/>
  <c r="AJ87" i="1" s="1"/>
  <c r="AB87" i="1"/>
  <c r="AI87" i="1" s="1"/>
  <c r="AA87" i="1"/>
  <c r="AH87" i="1" s="1"/>
  <c r="Z87" i="1"/>
  <c r="AC103" i="1"/>
  <c r="AJ103" i="1" s="1"/>
  <c r="AB103" i="1"/>
  <c r="AI103" i="1" s="1"/>
  <c r="AA103" i="1"/>
  <c r="AH103" i="1" s="1"/>
  <c r="Z103" i="1"/>
  <c r="AC32" i="1"/>
  <c r="AB32" i="1"/>
  <c r="AI32" i="1" s="1"/>
  <c r="Z32" i="1"/>
  <c r="AA32" i="1"/>
  <c r="AH32" i="1" s="1"/>
  <c r="AC40" i="1"/>
  <c r="AB40" i="1"/>
  <c r="AI40" i="1" s="1"/>
  <c r="Z40" i="1"/>
  <c r="AA40" i="1"/>
  <c r="AH40" i="1" s="1"/>
  <c r="AC48" i="1"/>
  <c r="AB48" i="1"/>
  <c r="AI48" i="1" s="1"/>
  <c r="Z48" i="1"/>
  <c r="AA48" i="1"/>
  <c r="AH48" i="1" s="1"/>
  <c r="AC56" i="1"/>
  <c r="AJ56" i="1" s="1"/>
  <c r="AB56" i="1"/>
  <c r="AI56" i="1" s="1"/>
  <c r="Z56" i="1"/>
  <c r="AA56" i="1"/>
  <c r="AH56" i="1" s="1"/>
  <c r="AC64" i="1"/>
  <c r="AB64" i="1"/>
  <c r="AI64" i="1" s="1"/>
  <c r="Z64" i="1"/>
  <c r="AA64" i="1"/>
  <c r="AH64" i="1" s="1"/>
  <c r="AC72" i="1"/>
  <c r="AJ72" i="1" s="1"/>
  <c r="AB72" i="1"/>
  <c r="AI72" i="1" s="1"/>
  <c r="Z72" i="1"/>
  <c r="AA72" i="1"/>
  <c r="AH72" i="1" s="1"/>
  <c r="AC80" i="1"/>
  <c r="AJ80" i="1" s="1"/>
  <c r="AB80" i="1"/>
  <c r="AI80" i="1" s="1"/>
  <c r="Z80" i="1"/>
  <c r="AA80" i="1"/>
  <c r="AH80" i="1" s="1"/>
  <c r="AC88" i="1"/>
  <c r="AJ88" i="1" s="1"/>
  <c r="AB88" i="1"/>
  <c r="AI88" i="1" s="1"/>
  <c r="Z88" i="1"/>
  <c r="AA88" i="1"/>
  <c r="AH88" i="1" s="1"/>
  <c r="AC96" i="1"/>
  <c r="AB96" i="1"/>
  <c r="AI96" i="1" s="1"/>
  <c r="Z96" i="1"/>
  <c r="AA96" i="1"/>
  <c r="AH96" i="1" s="1"/>
  <c r="AC104" i="1"/>
  <c r="AB104" i="1"/>
  <c r="AI104" i="1" s="1"/>
  <c r="Z104" i="1"/>
  <c r="AA104" i="1"/>
  <c r="AH104" i="1" s="1"/>
  <c r="AC57" i="1"/>
  <c r="AJ57" i="1" s="1"/>
  <c r="AB57" i="1"/>
  <c r="AI57" i="1" s="1"/>
  <c r="AA57" i="1"/>
  <c r="AH57" i="1" s="1"/>
  <c r="Z57" i="1"/>
  <c r="AC65" i="1"/>
  <c r="AJ65" i="1" s="1"/>
  <c r="AB65" i="1"/>
  <c r="AI65" i="1" s="1"/>
  <c r="AA65" i="1"/>
  <c r="AH65" i="1" s="1"/>
  <c r="Z65" i="1"/>
  <c r="AC73" i="1"/>
  <c r="AJ73" i="1" s="1"/>
  <c r="AB73" i="1"/>
  <c r="AI73" i="1" s="1"/>
  <c r="AA73" i="1"/>
  <c r="AH73" i="1" s="1"/>
  <c r="Z73" i="1"/>
  <c r="AC81" i="1"/>
  <c r="AB81" i="1"/>
  <c r="AI81" i="1" s="1"/>
  <c r="AA81" i="1"/>
  <c r="AH81" i="1" s="1"/>
  <c r="Z81" i="1"/>
  <c r="AC89" i="1"/>
  <c r="AJ89" i="1" s="1"/>
  <c r="AB89" i="1"/>
  <c r="AI89" i="1" s="1"/>
  <c r="AA89" i="1"/>
  <c r="AH89" i="1" s="1"/>
  <c r="Z89" i="1"/>
  <c r="AC97" i="1"/>
  <c r="AJ97" i="1" s="1"/>
  <c r="AB97" i="1"/>
  <c r="AI97" i="1" s="1"/>
  <c r="AA97" i="1"/>
  <c r="AH97" i="1" s="1"/>
  <c r="Z97" i="1"/>
  <c r="AC105" i="1"/>
  <c r="AJ105" i="1" s="1"/>
  <c r="AB105" i="1"/>
  <c r="AI105" i="1" s="1"/>
  <c r="AA105" i="1"/>
  <c r="AH105" i="1" s="1"/>
  <c r="Z105" i="1"/>
  <c r="AT122" i="1"/>
  <c r="AU122" i="1" s="1"/>
  <c r="AB33" i="1"/>
  <c r="AI33" i="1" s="1"/>
  <c r="Z33" i="1"/>
  <c r="AC33" i="1"/>
  <c r="AJ33" i="1" s="1"/>
  <c r="AA33" i="1"/>
  <c r="AH33" i="1" s="1"/>
  <c r="AM34" i="1"/>
  <c r="AC34" i="1"/>
  <c r="AB34" i="1"/>
  <c r="AI34" i="1" s="1"/>
  <c r="Z34" i="1"/>
  <c r="AA34" i="1"/>
  <c r="AH34" i="1" s="1"/>
  <c r="AC50" i="1"/>
  <c r="AB50" i="1"/>
  <c r="AI50" i="1" s="1"/>
  <c r="Z50" i="1"/>
  <c r="AA50" i="1"/>
  <c r="AH50" i="1" s="1"/>
  <c r="AC66" i="1"/>
  <c r="AB66" i="1"/>
  <c r="AI66" i="1" s="1"/>
  <c r="Z66" i="1"/>
  <c r="AA66" i="1"/>
  <c r="AH66" i="1" s="1"/>
  <c r="AM82" i="1"/>
  <c r="AN82" i="1" s="1"/>
  <c r="AC82" i="1"/>
  <c r="AB82" i="1"/>
  <c r="AI82" i="1" s="1"/>
  <c r="Z82" i="1"/>
  <c r="AA82" i="1"/>
  <c r="AH82" i="1" s="1"/>
  <c r="AC98" i="1"/>
  <c r="AJ98" i="1" s="1"/>
  <c r="AB98" i="1"/>
  <c r="AI98" i="1" s="1"/>
  <c r="Z98" i="1"/>
  <c r="AA98" i="1"/>
  <c r="AH98" i="1" s="1"/>
  <c r="AV154" i="1"/>
  <c r="AW154" i="1" s="1"/>
  <c r="AN45" i="1"/>
  <c r="AU110" i="1"/>
  <c r="AK133" i="1"/>
  <c r="AR133" i="1" s="1"/>
  <c r="AV133" i="1" s="1"/>
  <c r="AW133" i="1" s="1"/>
  <c r="AT143" i="1"/>
  <c r="AU143" i="1" s="1"/>
  <c r="AU203" i="1"/>
  <c r="AV184" i="1"/>
  <c r="AW184" i="1" s="1"/>
  <c r="AU131" i="1"/>
  <c r="AV131" i="1" s="1"/>
  <c r="AW131" i="1" s="1"/>
  <c r="AK138" i="1"/>
  <c r="AR138" i="1" s="1"/>
  <c r="AV138" i="1" s="1"/>
  <c r="AW138" i="1" s="1"/>
  <c r="AT124" i="1"/>
  <c r="AK206" i="1"/>
  <c r="AR206" i="1" s="1"/>
  <c r="AV206" i="1" s="1"/>
  <c r="AW206" i="1" s="1"/>
  <c r="AV191" i="1"/>
  <c r="AW191" i="1" s="1"/>
  <c r="AT165" i="1"/>
  <c r="AU165" i="1" s="1"/>
  <c r="AK116" i="1"/>
  <c r="AR116" i="1" s="1"/>
  <c r="AT152" i="1"/>
  <c r="AU152" i="1" s="1"/>
  <c r="AT170" i="1"/>
  <c r="AU170" i="1" s="1"/>
  <c r="AT208" i="1"/>
  <c r="AU208" i="1" s="1"/>
  <c r="AK208" i="1"/>
  <c r="AR208" i="1" s="1"/>
  <c r="AV150" i="1"/>
  <c r="AW150" i="1" s="1"/>
  <c r="AV159" i="1"/>
  <c r="AW159" i="1" s="1"/>
  <c r="AT129" i="1"/>
  <c r="AT173" i="1"/>
  <c r="AU173" i="1" s="1"/>
  <c r="AK164" i="1"/>
  <c r="AR164" i="1" s="1"/>
  <c r="AV134" i="1"/>
  <c r="AW134" i="1" s="1"/>
  <c r="AT151" i="1"/>
  <c r="AU151" i="1" s="1"/>
  <c r="AT164" i="1"/>
  <c r="AU164" i="1" s="1"/>
  <c r="AT197" i="1"/>
  <c r="AU197" i="1" s="1"/>
  <c r="AT178" i="1"/>
  <c r="AU178" i="1" s="1"/>
  <c r="AV178" i="1" s="1"/>
  <c r="AW178" i="1" s="1"/>
  <c r="AT114" i="1"/>
  <c r="AU114" i="1" s="1"/>
  <c r="AT198" i="1"/>
  <c r="AU198" i="1" s="1"/>
  <c r="AT162" i="1"/>
  <c r="AU162" i="1" s="1"/>
  <c r="AT126" i="1"/>
  <c r="AU126" i="1" s="1"/>
  <c r="AT200" i="1"/>
  <c r="AU200" i="1" s="1"/>
  <c r="AU195" i="1"/>
  <c r="AV195" i="1" s="1"/>
  <c r="AW195" i="1" s="1"/>
  <c r="AV176" i="1"/>
  <c r="AW176" i="1" s="1"/>
  <c r="AV194" i="1"/>
  <c r="AW194" i="1" s="1"/>
  <c r="AN53" i="1"/>
  <c r="AT147" i="1"/>
  <c r="AU147" i="1" s="1"/>
  <c r="AK115" i="1"/>
  <c r="AR115" i="1" s="1"/>
  <c r="AT121" i="1"/>
  <c r="AU121" i="1" s="1"/>
  <c r="AK123" i="1"/>
  <c r="AR123" i="1" s="1"/>
  <c r="AK117" i="1"/>
  <c r="AR117" i="1" s="1"/>
  <c r="AV201" i="1"/>
  <c r="AW201" i="1" s="1"/>
  <c r="AK110" i="1"/>
  <c r="AR110" i="1" s="1"/>
  <c r="AV110" i="1" s="1"/>
  <c r="AW110" i="1" s="1"/>
  <c r="AV209" i="1"/>
  <c r="AW209" i="1" s="1"/>
  <c r="AT128" i="1"/>
  <c r="AU128" i="1" s="1"/>
  <c r="AK165" i="1"/>
  <c r="AR165" i="1" s="1"/>
  <c r="AU123" i="1"/>
  <c r="AN35" i="1"/>
  <c r="AN43" i="1"/>
  <c r="AT186" i="1"/>
  <c r="AU186" i="1" s="1"/>
  <c r="AK118" i="1"/>
  <c r="AR118" i="1" s="1"/>
  <c r="AK112" i="1"/>
  <c r="AR112" i="1" s="1"/>
  <c r="AV112" i="1" s="1"/>
  <c r="AW112" i="1" s="1"/>
  <c r="AU127" i="1"/>
  <c r="AK202" i="1"/>
  <c r="AR202" i="1" s="1"/>
  <c r="AV202" i="1" s="1"/>
  <c r="AW202" i="1" s="1"/>
  <c r="AT116" i="1"/>
  <c r="AU116" i="1" s="1"/>
  <c r="AV180" i="1"/>
  <c r="AW180" i="1" s="1"/>
  <c r="AT192" i="1"/>
  <c r="AU192" i="1" s="1"/>
  <c r="AV192" i="1" s="1"/>
  <c r="AW192" i="1" s="1"/>
  <c r="AK190" i="1"/>
  <c r="AR190" i="1" s="1"/>
  <c r="AK207" i="1"/>
  <c r="AR207" i="1" s="1"/>
  <c r="AV207" i="1" s="1"/>
  <c r="AW207" i="1" s="1"/>
  <c r="AV163" i="1"/>
  <c r="AW163" i="1" s="1"/>
  <c r="AT136" i="1"/>
  <c r="AU136" i="1" s="1"/>
  <c r="AT144" i="1"/>
  <c r="AU144" i="1" s="1"/>
  <c r="AV144" i="1" s="1"/>
  <c r="AW144" i="1" s="1"/>
  <c r="AK145" i="1"/>
  <c r="AR145" i="1" s="1"/>
  <c r="AV145" i="1" s="1"/>
  <c r="AW145" i="1" s="1"/>
  <c r="AK188" i="1"/>
  <c r="AR188" i="1" s="1"/>
  <c r="AK152" i="1"/>
  <c r="AR152" i="1" s="1"/>
  <c r="AK121" i="1"/>
  <c r="AR121" i="1" s="1"/>
  <c r="AT183" i="1"/>
  <c r="AU183" i="1" s="1"/>
  <c r="AK173" i="1"/>
  <c r="AR173" i="1" s="1"/>
  <c r="AT171" i="1"/>
  <c r="AU171" i="1" s="1"/>
  <c r="AV171" i="1" s="1"/>
  <c r="AW171" i="1" s="1"/>
  <c r="AK151" i="1"/>
  <c r="AR151" i="1" s="1"/>
  <c r="AT118" i="1"/>
  <c r="AV200" i="1"/>
  <c r="AW200" i="1" s="1"/>
  <c r="AT169" i="1"/>
  <c r="AU169" i="1" s="1"/>
  <c r="AV172" i="1"/>
  <c r="AW172" i="1" s="1"/>
  <c r="AT130" i="1"/>
  <c r="AT139" i="1"/>
  <c r="AU139" i="1" s="1"/>
  <c r="AT111" i="1"/>
  <c r="AT132" i="1"/>
  <c r="AU132" i="1" s="1"/>
  <c r="AT189" i="1"/>
  <c r="AU189" i="1" s="1"/>
  <c r="AK132" i="1"/>
  <c r="AR132" i="1" s="1"/>
  <c r="AT10" i="1"/>
  <c r="AV158" i="1"/>
  <c r="AW158" i="1" s="1"/>
  <c r="AT120" i="1"/>
  <c r="AT181" i="1"/>
  <c r="AU181" i="1" s="1"/>
  <c r="AT115" i="1"/>
  <c r="AU115" i="1" s="1"/>
  <c r="AN34" i="1"/>
  <c r="AT187" i="1"/>
  <c r="AU187" i="1" s="1"/>
  <c r="AK177" i="1"/>
  <c r="AR177" i="1" s="1"/>
  <c r="AV177" i="1" s="1"/>
  <c r="AW177" i="1" s="1"/>
  <c r="AK196" i="1"/>
  <c r="AR196" i="1" s="1"/>
  <c r="AV196" i="1" s="1"/>
  <c r="AW196" i="1" s="1"/>
  <c r="AK205" i="1"/>
  <c r="AR205" i="1" s="1"/>
  <c r="AV205" i="1" s="1"/>
  <c r="AW205" i="1" s="1"/>
  <c r="AU119" i="1"/>
  <c r="AT117" i="1"/>
  <c r="AK170" i="1"/>
  <c r="AR170" i="1" s="1"/>
  <c r="AK186" i="1"/>
  <c r="AR186" i="1" s="1"/>
  <c r="AT188" i="1"/>
  <c r="AU188" i="1" s="1"/>
  <c r="AV160" i="1"/>
  <c r="AW160" i="1" s="1"/>
  <c r="AT174" i="1"/>
  <c r="AU174" i="1" s="1"/>
  <c r="AK136" i="1"/>
  <c r="AR136" i="1" s="1"/>
  <c r="AK197" i="1"/>
  <c r="AR197" i="1" s="1"/>
  <c r="AK153" i="1"/>
  <c r="AR153" i="1" s="1"/>
  <c r="AV153" i="1" s="1"/>
  <c r="AW153" i="1" s="1"/>
  <c r="AK135" i="1"/>
  <c r="AR135" i="1" s="1"/>
  <c r="AK155" i="1"/>
  <c r="AR155" i="1" s="1"/>
  <c r="AV155" i="1" s="1"/>
  <c r="AW155" i="1" s="1"/>
  <c r="AK198" i="1"/>
  <c r="AR198" i="1" s="1"/>
  <c r="AK175" i="1"/>
  <c r="AR175" i="1" s="1"/>
  <c r="AV175" i="1" s="1"/>
  <c r="AW175" i="1" s="1"/>
  <c r="AK156" i="1"/>
  <c r="AR156" i="1" s="1"/>
  <c r="AV203" i="1"/>
  <c r="AW203" i="1" s="1"/>
  <c r="AK143" i="1"/>
  <c r="AR143" i="1" s="1"/>
  <c r="AK162" i="1"/>
  <c r="AR162" i="1" s="1"/>
  <c r="AV113" i="1"/>
  <c r="AW113" i="1" s="1"/>
  <c r="AK124" i="1"/>
  <c r="AR124" i="1" s="1"/>
  <c r="AK139" i="1"/>
  <c r="AR139" i="1" s="1"/>
  <c r="AT135" i="1"/>
  <c r="AU135" i="1" s="1"/>
  <c r="AK169" i="1"/>
  <c r="AR169" i="1" s="1"/>
  <c r="AK182" i="1"/>
  <c r="AR182" i="1" s="1"/>
  <c r="AV182" i="1" s="1"/>
  <c r="AW182" i="1" s="1"/>
  <c r="AT156" i="1"/>
  <c r="AU156" i="1" s="1"/>
  <c r="AK181" i="1"/>
  <c r="AR181" i="1" s="1"/>
  <c r="AV181" i="1" s="1"/>
  <c r="AW181" i="1" s="1"/>
  <c r="AK187" i="1"/>
  <c r="AR187" i="1" s="1"/>
  <c r="AK185" i="1"/>
  <c r="AR185" i="1" s="1"/>
  <c r="AV185" i="1" s="1"/>
  <c r="AW185" i="1" s="1"/>
  <c r="AK183" i="1"/>
  <c r="AR183" i="1" s="1"/>
  <c r="AK174" i="1"/>
  <c r="AR174" i="1" s="1"/>
  <c r="AK204" i="1"/>
  <c r="AR204" i="1" s="1"/>
  <c r="AV204" i="1" s="1"/>
  <c r="AW204" i="1" s="1"/>
  <c r="AK109" i="1"/>
  <c r="AR109" i="1" s="1"/>
  <c r="AV109" i="1" s="1"/>
  <c r="AW109" i="1" s="1"/>
  <c r="AK147" i="1"/>
  <c r="AR147" i="1" s="1"/>
  <c r="AT190" i="1"/>
  <c r="AU190" i="1" s="1"/>
  <c r="AK114" i="1"/>
  <c r="AR114" i="1" s="1"/>
  <c r="AK130" i="1"/>
  <c r="AR130" i="1" s="1"/>
  <c r="AK189" i="1"/>
  <c r="AR189" i="1" s="1"/>
  <c r="AN39" i="1"/>
  <c r="AN63" i="1"/>
  <c r="AN42" i="1"/>
  <c r="AJ41" i="1"/>
  <c r="AM41" i="1"/>
  <c r="AN41" i="1" s="1"/>
  <c r="AM89" i="1"/>
  <c r="AN89" i="1" s="1"/>
  <c r="AM50" i="1"/>
  <c r="AN50" i="1" s="1"/>
  <c r="AJ58" i="1"/>
  <c r="AM58" i="1"/>
  <c r="AN58" i="1" s="1"/>
  <c r="AJ66" i="1"/>
  <c r="AM66" i="1"/>
  <c r="AN66" i="1" s="1"/>
  <c r="AJ74" i="1"/>
  <c r="AM74" i="1"/>
  <c r="AN74" i="1" s="1"/>
  <c r="AJ90" i="1"/>
  <c r="AM90" i="1"/>
  <c r="AM98" i="1"/>
  <c r="AM106" i="1"/>
  <c r="AN106" i="1" s="1"/>
  <c r="AM57" i="1"/>
  <c r="AN57" i="1" s="1"/>
  <c r="AM97" i="1"/>
  <c r="AN97" i="1" s="1"/>
  <c r="AM51" i="1"/>
  <c r="AN51" i="1" s="1"/>
  <c r="AJ67" i="1"/>
  <c r="AM67" i="1"/>
  <c r="AN67" i="1" s="1"/>
  <c r="AJ75" i="1"/>
  <c r="AM75" i="1"/>
  <c r="AN75" i="1" s="1"/>
  <c r="AJ83" i="1"/>
  <c r="AM83" i="1"/>
  <c r="AN83" i="1" s="1"/>
  <c r="AJ91" i="1"/>
  <c r="AM91" i="1"/>
  <c r="AN91" i="1" s="1"/>
  <c r="AJ99" i="1"/>
  <c r="AM99" i="1"/>
  <c r="AN99" i="1" s="1"/>
  <c r="AJ107" i="1"/>
  <c r="AM107" i="1"/>
  <c r="AN107" i="1" s="1"/>
  <c r="AM33" i="1"/>
  <c r="AN33" i="1" s="1"/>
  <c r="AM73" i="1"/>
  <c r="AN73" i="1" s="1"/>
  <c r="AM52" i="1"/>
  <c r="AN52" i="1" s="1"/>
  <c r="AM60" i="1"/>
  <c r="AN60" i="1" s="1"/>
  <c r="AM68" i="1"/>
  <c r="AN68" i="1" s="1"/>
  <c r="AM76" i="1"/>
  <c r="AN76" i="1" s="1"/>
  <c r="AM84" i="1"/>
  <c r="AN84" i="1" s="1"/>
  <c r="AJ92" i="1"/>
  <c r="AM92" i="1"/>
  <c r="AN92" i="1" s="1"/>
  <c r="AM100" i="1"/>
  <c r="AN100" i="1" s="1"/>
  <c r="AM108" i="1"/>
  <c r="AN108" i="1" s="1"/>
  <c r="AJ49" i="1"/>
  <c r="AM49" i="1"/>
  <c r="AN49" i="1" s="1"/>
  <c r="AM105" i="1"/>
  <c r="AN105" i="1" s="1"/>
  <c r="AM37" i="1"/>
  <c r="AN37" i="1" s="1"/>
  <c r="AM69" i="1"/>
  <c r="AN69" i="1" s="1"/>
  <c r="AM77" i="1"/>
  <c r="AN77" i="1" s="1"/>
  <c r="AM85" i="1"/>
  <c r="AN85" i="1" s="1"/>
  <c r="AM93" i="1"/>
  <c r="AN93" i="1" s="1"/>
  <c r="AM101" i="1"/>
  <c r="AN101" i="1" s="1"/>
  <c r="AM65" i="1"/>
  <c r="AN65" i="1" s="1"/>
  <c r="AM38" i="1"/>
  <c r="AN38" i="1" s="1"/>
  <c r="AM46" i="1"/>
  <c r="AN46" i="1" s="1"/>
  <c r="AM54" i="1"/>
  <c r="AN54" i="1" s="1"/>
  <c r="AM62" i="1"/>
  <c r="AN62" i="1" s="1"/>
  <c r="AM70" i="1"/>
  <c r="AN70" i="1" s="1"/>
  <c r="AM78" i="1"/>
  <c r="AN78" i="1" s="1"/>
  <c r="AM86" i="1"/>
  <c r="AN86" i="1" s="1"/>
  <c r="AM94" i="1"/>
  <c r="AN94" i="1" s="1"/>
  <c r="AM102" i="1"/>
  <c r="AN102" i="1" s="1"/>
  <c r="AJ81" i="1"/>
  <c r="AM81" i="1"/>
  <c r="AN81" i="1" s="1"/>
  <c r="AM28" i="1"/>
  <c r="AN28" i="1" s="1"/>
  <c r="AM47" i="1"/>
  <c r="AN47" i="1" s="1"/>
  <c r="AM71" i="1"/>
  <c r="AN71" i="1" s="1"/>
  <c r="AM79" i="1"/>
  <c r="AN79" i="1" s="1"/>
  <c r="AM87" i="1"/>
  <c r="AN87" i="1" s="1"/>
  <c r="AM95" i="1"/>
  <c r="AN95" i="1" s="1"/>
  <c r="AM103" i="1"/>
  <c r="AN103" i="1" s="1"/>
  <c r="AM32" i="1"/>
  <c r="AN32" i="1" s="1"/>
  <c r="AM40" i="1"/>
  <c r="AN40" i="1" s="1"/>
  <c r="AM48" i="1"/>
  <c r="AN48" i="1" s="1"/>
  <c r="AM56" i="1"/>
  <c r="AN56" i="1" s="1"/>
  <c r="AM64" i="1"/>
  <c r="AN64" i="1" s="1"/>
  <c r="AM72" i="1"/>
  <c r="AN72" i="1" s="1"/>
  <c r="AM80" i="1"/>
  <c r="AN80" i="1" s="1"/>
  <c r="AM88" i="1"/>
  <c r="AN88" i="1" s="1"/>
  <c r="AM96" i="1"/>
  <c r="AN96" i="1" s="1"/>
  <c r="AM104" i="1"/>
  <c r="AN104" i="1" s="1"/>
  <c r="AJ51" i="1"/>
  <c r="AJ54" i="1"/>
  <c r="AJ62" i="1"/>
  <c r="AJ70" i="1"/>
  <c r="AJ35" i="1"/>
  <c r="AJ78" i="1"/>
  <c r="AJ94" i="1"/>
  <c r="AJ46" i="1"/>
  <c r="AJ102" i="1"/>
  <c r="AJ24" i="1"/>
  <c r="AJ39" i="1"/>
  <c r="AJ55" i="1"/>
  <c r="AJ63" i="1"/>
  <c r="AJ79" i="1"/>
  <c r="AJ95" i="1"/>
  <c r="AJ32" i="1"/>
  <c r="AJ40" i="1"/>
  <c r="AJ48" i="1"/>
  <c r="AJ64" i="1"/>
  <c r="AJ96" i="1"/>
  <c r="AJ104" i="1"/>
  <c r="AJ34" i="1"/>
  <c r="AJ50" i="1"/>
  <c r="AJ82" i="1"/>
  <c r="AJ59" i="1"/>
  <c r="AJ44" i="1"/>
  <c r="AJ68" i="1"/>
  <c r="AJ76" i="1"/>
  <c r="AJ100" i="1"/>
  <c r="AJ37" i="1"/>
  <c r="AJ45" i="1"/>
  <c r="AJ53" i="1"/>
  <c r="AJ69" i="1"/>
  <c r="AJ77" i="1"/>
  <c r="AJ85" i="1"/>
  <c r="AJ93" i="1"/>
  <c r="AJ30" i="1"/>
  <c r="AJ14" i="1"/>
  <c r="AJ16" i="1"/>
  <c r="AJ22" i="1"/>
  <c r="AJ15" i="1"/>
  <c r="AJ23" i="1"/>
  <c r="AJ31" i="1"/>
  <c r="AJ17" i="1"/>
  <c r="AJ25" i="1"/>
  <c r="AJ18" i="1"/>
  <c r="AJ26" i="1"/>
  <c r="AJ11" i="1"/>
  <c r="AJ19" i="1"/>
  <c r="AJ27" i="1"/>
  <c r="AJ12" i="1"/>
  <c r="AJ20" i="1"/>
  <c r="AJ13" i="1"/>
  <c r="AJ21" i="1"/>
  <c r="AJ29" i="1"/>
  <c r="BG108" i="1"/>
  <c r="BH108" i="1" s="1"/>
  <c r="BG107" i="1"/>
  <c r="BH107" i="1" s="1"/>
  <c r="BG100" i="1"/>
  <c r="BH100" i="1" s="1"/>
  <c r="BG99" i="1"/>
  <c r="BH99" i="1" s="1"/>
  <c r="BG92" i="1"/>
  <c r="BH92" i="1" s="1"/>
  <c r="BG91" i="1"/>
  <c r="BH91" i="1" s="1"/>
  <c r="BG84" i="1"/>
  <c r="BH84" i="1" s="1"/>
  <c r="BG83" i="1"/>
  <c r="BH83" i="1" s="1"/>
  <c r="BG76" i="1"/>
  <c r="BH76" i="1" s="1"/>
  <c r="BG75" i="1"/>
  <c r="BH75" i="1" s="1"/>
  <c r="BG68" i="1"/>
  <c r="BH68" i="1" s="1"/>
  <c r="BG67" i="1"/>
  <c r="BH67" i="1" s="1"/>
  <c r="BF108" i="1"/>
  <c r="BE108" i="1"/>
  <c r="BF107" i="1"/>
  <c r="BE107" i="1"/>
  <c r="BF106" i="1"/>
  <c r="BG106" i="1" s="1"/>
  <c r="BH106" i="1" s="1"/>
  <c r="BE106" i="1"/>
  <c r="BF105" i="1"/>
  <c r="BG105" i="1" s="1"/>
  <c r="BH105" i="1" s="1"/>
  <c r="BE105" i="1"/>
  <c r="BF104" i="1"/>
  <c r="BG104" i="1" s="1"/>
  <c r="BH104" i="1" s="1"/>
  <c r="BE104" i="1"/>
  <c r="BF103" i="1"/>
  <c r="BG103" i="1" s="1"/>
  <c r="BH103" i="1" s="1"/>
  <c r="BE103" i="1"/>
  <c r="BF102" i="1"/>
  <c r="BG102" i="1" s="1"/>
  <c r="BH102" i="1" s="1"/>
  <c r="BE102" i="1"/>
  <c r="BF101" i="1"/>
  <c r="BG101" i="1" s="1"/>
  <c r="BH101" i="1" s="1"/>
  <c r="BE101" i="1"/>
  <c r="BF100" i="1"/>
  <c r="BE100" i="1"/>
  <c r="BF99" i="1"/>
  <c r="BE99" i="1"/>
  <c r="BF98" i="1"/>
  <c r="BG98" i="1" s="1"/>
  <c r="BH98" i="1" s="1"/>
  <c r="BE98" i="1"/>
  <c r="BF97" i="1"/>
  <c r="BG97" i="1" s="1"/>
  <c r="BH97" i="1" s="1"/>
  <c r="BE97" i="1"/>
  <c r="BF96" i="1"/>
  <c r="BG96" i="1" s="1"/>
  <c r="BH96" i="1" s="1"/>
  <c r="BE96" i="1"/>
  <c r="BF95" i="1"/>
  <c r="BG95" i="1" s="1"/>
  <c r="BH95" i="1" s="1"/>
  <c r="BE95" i="1"/>
  <c r="BF94" i="1"/>
  <c r="BG94" i="1" s="1"/>
  <c r="BH94" i="1" s="1"/>
  <c r="BE94" i="1"/>
  <c r="BF93" i="1"/>
  <c r="BG93" i="1" s="1"/>
  <c r="BH93" i="1" s="1"/>
  <c r="BE93" i="1"/>
  <c r="BF92" i="1"/>
  <c r="BE92" i="1"/>
  <c r="BF91" i="1"/>
  <c r="BE91" i="1"/>
  <c r="BF90" i="1"/>
  <c r="BG90" i="1" s="1"/>
  <c r="BH90" i="1" s="1"/>
  <c r="BE90" i="1"/>
  <c r="BF89" i="1"/>
  <c r="BG89" i="1" s="1"/>
  <c r="BH89" i="1" s="1"/>
  <c r="BE89" i="1"/>
  <c r="BF88" i="1"/>
  <c r="BG88" i="1" s="1"/>
  <c r="BH88" i="1" s="1"/>
  <c r="BE88" i="1"/>
  <c r="BF87" i="1"/>
  <c r="BG87" i="1" s="1"/>
  <c r="BH87" i="1" s="1"/>
  <c r="BE87" i="1"/>
  <c r="BF86" i="1"/>
  <c r="BG86" i="1" s="1"/>
  <c r="BH86" i="1" s="1"/>
  <c r="BE86" i="1"/>
  <c r="BF85" i="1"/>
  <c r="BG85" i="1" s="1"/>
  <c r="BH85" i="1" s="1"/>
  <c r="BE85" i="1"/>
  <c r="BF84" i="1"/>
  <c r="BE84" i="1"/>
  <c r="BF83" i="1"/>
  <c r="BE83" i="1"/>
  <c r="BF82" i="1"/>
  <c r="BG82" i="1" s="1"/>
  <c r="BH82" i="1" s="1"/>
  <c r="BE82" i="1"/>
  <c r="BF81" i="1"/>
  <c r="BG81" i="1" s="1"/>
  <c r="BH81" i="1" s="1"/>
  <c r="BE81" i="1"/>
  <c r="BF80" i="1"/>
  <c r="BG80" i="1" s="1"/>
  <c r="BH80" i="1" s="1"/>
  <c r="BE80" i="1"/>
  <c r="BF79" i="1"/>
  <c r="BG79" i="1" s="1"/>
  <c r="BH79" i="1" s="1"/>
  <c r="BE79" i="1"/>
  <c r="BF78" i="1"/>
  <c r="BG78" i="1" s="1"/>
  <c r="BH78" i="1" s="1"/>
  <c r="BE78" i="1"/>
  <c r="BF77" i="1"/>
  <c r="BG77" i="1" s="1"/>
  <c r="BH77" i="1" s="1"/>
  <c r="BE77" i="1"/>
  <c r="BF76" i="1"/>
  <c r="BE76" i="1"/>
  <c r="BF75" i="1"/>
  <c r="BE75" i="1"/>
  <c r="BF74" i="1"/>
  <c r="BG74" i="1" s="1"/>
  <c r="BH74" i="1" s="1"/>
  <c r="BE74" i="1"/>
  <c r="BF73" i="1"/>
  <c r="BG73" i="1" s="1"/>
  <c r="BH73" i="1" s="1"/>
  <c r="BE73" i="1"/>
  <c r="BF72" i="1"/>
  <c r="BG72" i="1" s="1"/>
  <c r="BH72" i="1" s="1"/>
  <c r="BE72" i="1"/>
  <c r="BF71" i="1"/>
  <c r="BG71" i="1" s="1"/>
  <c r="BH71" i="1" s="1"/>
  <c r="BE71" i="1"/>
  <c r="BF70" i="1"/>
  <c r="BG70" i="1" s="1"/>
  <c r="BH70" i="1" s="1"/>
  <c r="BE70" i="1"/>
  <c r="BF69" i="1"/>
  <c r="BG69" i="1" s="1"/>
  <c r="BH69" i="1" s="1"/>
  <c r="BE69" i="1"/>
  <c r="BF68" i="1"/>
  <c r="BE68" i="1"/>
  <c r="BF67" i="1"/>
  <c r="BE67" i="1"/>
  <c r="BF66" i="1"/>
  <c r="BG66" i="1" s="1"/>
  <c r="BH66" i="1" s="1"/>
  <c r="BE66" i="1"/>
  <c r="BF65" i="1"/>
  <c r="BG65" i="1" s="1"/>
  <c r="BH65" i="1" s="1"/>
  <c r="BE65" i="1"/>
  <c r="BF64" i="1"/>
  <c r="BG64" i="1" s="1"/>
  <c r="BH64" i="1" s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E10" i="1"/>
  <c r="BF10" i="1"/>
  <c r="BG10" i="1" s="1"/>
  <c r="BH10" i="1" s="1"/>
  <c r="AD9" i="1"/>
  <c r="AE9" i="1"/>
  <c r="AF9" i="1"/>
  <c r="AH9" i="1"/>
  <c r="AK128" i="1" s="1"/>
  <c r="AR128" i="1" s="1"/>
  <c r="B10" i="1" a="1"/>
  <c r="B10" i="1" s="1"/>
  <c r="B40" i="1" s="1"/>
  <c r="AV143" i="1" l="1"/>
  <c r="AW143" i="1" s="1"/>
  <c r="AV165" i="1"/>
  <c r="AW165" i="1" s="1"/>
  <c r="AF63" i="1"/>
  <c r="AE63" i="1"/>
  <c r="AD63" i="1"/>
  <c r="AG63" i="1"/>
  <c r="AG100" i="1"/>
  <c r="AE100" i="1"/>
  <c r="AF100" i="1"/>
  <c r="AD100" i="1"/>
  <c r="AV183" i="1"/>
  <c r="AW183" i="1" s="1"/>
  <c r="AV198" i="1"/>
  <c r="AW198" i="1" s="1"/>
  <c r="AG66" i="1"/>
  <c r="AD66" i="1"/>
  <c r="AE66" i="1"/>
  <c r="AF66" i="1"/>
  <c r="AG34" i="1"/>
  <c r="AD34" i="1"/>
  <c r="AE34" i="1"/>
  <c r="AF34" i="1"/>
  <c r="AF78" i="1"/>
  <c r="AD78" i="1"/>
  <c r="AG78" i="1"/>
  <c r="AE78" i="1"/>
  <c r="AG30" i="1"/>
  <c r="AD30" i="1"/>
  <c r="AE30" i="1"/>
  <c r="AF30" i="1"/>
  <c r="AG45" i="1"/>
  <c r="AE45" i="1"/>
  <c r="AF45" i="1"/>
  <c r="AD45" i="1"/>
  <c r="AF70" i="1"/>
  <c r="AG70" i="1"/>
  <c r="AD70" i="1"/>
  <c r="AE70" i="1"/>
  <c r="AG69" i="1"/>
  <c r="AE69" i="1"/>
  <c r="AD69" i="1"/>
  <c r="AF69" i="1"/>
  <c r="AE51" i="1"/>
  <c r="AG51" i="1"/>
  <c r="AF51" i="1"/>
  <c r="AD51" i="1"/>
  <c r="AF93" i="1"/>
  <c r="AD93" i="1"/>
  <c r="AG93" i="1"/>
  <c r="AE93" i="1"/>
  <c r="AV170" i="1"/>
  <c r="AW170" i="1" s="1"/>
  <c r="AG96" i="1"/>
  <c r="AF96" i="1"/>
  <c r="AD96" i="1"/>
  <c r="AE96" i="1"/>
  <c r="AG80" i="1"/>
  <c r="AD80" i="1"/>
  <c r="AE80" i="1"/>
  <c r="AF80" i="1"/>
  <c r="AG64" i="1"/>
  <c r="AE64" i="1"/>
  <c r="AF64" i="1"/>
  <c r="AD64" i="1"/>
  <c r="AG48" i="1"/>
  <c r="AD48" i="1"/>
  <c r="AE48" i="1"/>
  <c r="AF48" i="1"/>
  <c r="AG32" i="1"/>
  <c r="AE32" i="1"/>
  <c r="AD32" i="1"/>
  <c r="AF32" i="1"/>
  <c r="AG44" i="1"/>
  <c r="AF44" i="1"/>
  <c r="AD44" i="1"/>
  <c r="AE44" i="1"/>
  <c r="AF102" i="1"/>
  <c r="AD102" i="1"/>
  <c r="AG102" i="1"/>
  <c r="AE102" i="1"/>
  <c r="AG62" i="1"/>
  <c r="AD62" i="1"/>
  <c r="AE62" i="1"/>
  <c r="AF62" i="1"/>
  <c r="AG92" i="1"/>
  <c r="AD92" i="1"/>
  <c r="AE92" i="1"/>
  <c r="AF92" i="1"/>
  <c r="AG76" i="1"/>
  <c r="AD76" i="1"/>
  <c r="AE76" i="1"/>
  <c r="AF76" i="1"/>
  <c r="AD57" i="1"/>
  <c r="AG57" i="1"/>
  <c r="AF57" i="1"/>
  <c r="AE57" i="1"/>
  <c r="AV173" i="1"/>
  <c r="AW173" i="1" s="1"/>
  <c r="AF82" i="1"/>
  <c r="AD82" i="1"/>
  <c r="AG82" i="1"/>
  <c r="AE82" i="1"/>
  <c r="AD79" i="1"/>
  <c r="AG79" i="1"/>
  <c r="AF79" i="1"/>
  <c r="AE79" i="1"/>
  <c r="AG68" i="1"/>
  <c r="AE68" i="1"/>
  <c r="AF68" i="1"/>
  <c r="AD68" i="1"/>
  <c r="AE53" i="1"/>
  <c r="AG53" i="1"/>
  <c r="AF53" i="1"/>
  <c r="AD53" i="1"/>
  <c r="AD107" i="1"/>
  <c r="AF107" i="1"/>
  <c r="AE107" i="1"/>
  <c r="AG107" i="1"/>
  <c r="AF91" i="1"/>
  <c r="AD91" i="1"/>
  <c r="AG91" i="1"/>
  <c r="AE91" i="1"/>
  <c r="AF75" i="1"/>
  <c r="AD75" i="1"/>
  <c r="AG75" i="1"/>
  <c r="AE75" i="1"/>
  <c r="AG59" i="1"/>
  <c r="AF59" i="1"/>
  <c r="AE59" i="1"/>
  <c r="AD59" i="1"/>
  <c r="AG35" i="1"/>
  <c r="AD35" i="1"/>
  <c r="AF35" i="1"/>
  <c r="AE35" i="1"/>
  <c r="AF90" i="1"/>
  <c r="AG90" i="1"/>
  <c r="AD90" i="1"/>
  <c r="AE90" i="1"/>
  <c r="AG58" i="1"/>
  <c r="AD58" i="1"/>
  <c r="AE58" i="1"/>
  <c r="AF58" i="1"/>
  <c r="AF49" i="1"/>
  <c r="AD49" i="1"/>
  <c r="AG49" i="1"/>
  <c r="AE49" i="1"/>
  <c r="AF105" i="1"/>
  <c r="AE105" i="1"/>
  <c r="AD105" i="1"/>
  <c r="AG105" i="1"/>
  <c r="AV197" i="1"/>
  <c r="AW197" i="1" s="1"/>
  <c r="AG50" i="1"/>
  <c r="AD50" i="1"/>
  <c r="AE50" i="1"/>
  <c r="AF50" i="1"/>
  <c r="AE31" i="1"/>
  <c r="AG31" i="1"/>
  <c r="AF31" i="1"/>
  <c r="AD31" i="1"/>
  <c r="AG54" i="1"/>
  <c r="AD54" i="1"/>
  <c r="AE54" i="1"/>
  <c r="AF54" i="1"/>
  <c r="AF77" i="1"/>
  <c r="AD77" i="1"/>
  <c r="AG77" i="1"/>
  <c r="AE77" i="1"/>
  <c r="AG37" i="1"/>
  <c r="AD37" i="1"/>
  <c r="AF37" i="1"/>
  <c r="AE37" i="1"/>
  <c r="AF94" i="1"/>
  <c r="AD94" i="1"/>
  <c r="AG94" i="1"/>
  <c r="AE94" i="1"/>
  <c r="AG46" i="1"/>
  <c r="AD46" i="1"/>
  <c r="AF46" i="1"/>
  <c r="AE46" i="1"/>
  <c r="AF101" i="1"/>
  <c r="AE101" i="1"/>
  <c r="AG101" i="1"/>
  <c r="AD101" i="1"/>
  <c r="AF89" i="1"/>
  <c r="AD89" i="1"/>
  <c r="AG89" i="1"/>
  <c r="AE89" i="1"/>
  <c r="AD97" i="1"/>
  <c r="AG97" i="1"/>
  <c r="AF97" i="1"/>
  <c r="AE97" i="1"/>
  <c r="AD81" i="1"/>
  <c r="AG81" i="1"/>
  <c r="AF81" i="1"/>
  <c r="AE81" i="1"/>
  <c r="AF65" i="1"/>
  <c r="AE65" i="1"/>
  <c r="AG65" i="1"/>
  <c r="AD65" i="1"/>
  <c r="AF103" i="1"/>
  <c r="AD103" i="1"/>
  <c r="AG103" i="1"/>
  <c r="AE103" i="1"/>
  <c r="AG71" i="1"/>
  <c r="AE71" i="1"/>
  <c r="AF71" i="1"/>
  <c r="AD71" i="1"/>
  <c r="AF39" i="1"/>
  <c r="AE39" i="1"/>
  <c r="AD39" i="1"/>
  <c r="AG39" i="1"/>
  <c r="AG38" i="1"/>
  <c r="AD38" i="1"/>
  <c r="AE38" i="1"/>
  <c r="AF38" i="1"/>
  <c r="AG61" i="1"/>
  <c r="AF61" i="1"/>
  <c r="AE61" i="1"/>
  <c r="AD61" i="1"/>
  <c r="AG60" i="1"/>
  <c r="AD60" i="1"/>
  <c r="AE60" i="1"/>
  <c r="AF60" i="1"/>
  <c r="AE43" i="1"/>
  <c r="AG43" i="1"/>
  <c r="AF43" i="1"/>
  <c r="AD43" i="1"/>
  <c r="AG73" i="1"/>
  <c r="AE73" i="1"/>
  <c r="AF73" i="1"/>
  <c r="AD73" i="1"/>
  <c r="AF87" i="1"/>
  <c r="AD87" i="1"/>
  <c r="AG87" i="1"/>
  <c r="AE87" i="1"/>
  <c r="AE33" i="1"/>
  <c r="AG33" i="1"/>
  <c r="AF33" i="1"/>
  <c r="AD33" i="1"/>
  <c r="AG104" i="1"/>
  <c r="AE104" i="1"/>
  <c r="AF104" i="1"/>
  <c r="AD104" i="1"/>
  <c r="AG88" i="1"/>
  <c r="AD88" i="1"/>
  <c r="AE88" i="1"/>
  <c r="AF88" i="1"/>
  <c r="AG72" i="1"/>
  <c r="AE72" i="1"/>
  <c r="AF72" i="1"/>
  <c r="AD72" i="1"/>
  <c r="AG56" i="1"/>
  <c r="AD56" i="1"/>
  <c r="AE56" i="1"/>
  <c r="AF56" i="1"/>
  <c r="AG40" i="1"/>
  <c r="AD40" i="1"/>
  <c r="AF40" i="1"/>
  <c r="AE40" i="1"/>
  <c r="AF47" i="1"/>
  <c r="AD47" i="1"/>
  <c r="AG47" i="1"/>
  <c r="AE47" i="1"/>
  <c r="AG84" i="1"/>
  <c r="AD84" i="1"/>
  <c r="AE84" i="1"/>
  <c r="AF84" i="1"/>
  <c r="AF86" i="1"/>
  <c r="AD86" i="1"/>
  <c r="AG86" i="1"/>
  <c r="AE86" i="1"/>
  <c r="AF29" i="1"/>
  <c r="AE29" i="1"/>
  <c r="AD29" i="1"/>
  <c r="AG29" i="1"/>
  <c r="AG52" i="1"/>
  <c r="AD52" i="1"/>
  <c r="AE52" i="1"/>
  <c r="AF52" i="1"/>
  <c r="AG36" i="1"/>
  <c r="AE36" i="1"/>
  <c r="AD36" i="1"/>
  <c r="AF36" i="1"/>
  <c r="AF41" i="1"/>
  <c r="AG41" i="1"/>
  <c r="AE41" i="1"/>
  <c r="AD41" i="1"/>
  <c r="AF98" i="1"/>
  <c r="AD98" i="1"/>
  <c r="AG98" i="1"/>
  <c r="AE98" i="1"/>
  <c r="AD95" i="1"/>
  <c r="AG95" i="1"/>
  <c r="AF95" i="1"/>
  <c r="AE95" i="1"/>
  <c r="AD55" i="1"/>
  <c r="AG55" i="1"/>
  <c r="AF55" i="1"/>
  <c r="AE55" i="1"/>
  <c r="AG108" i="1"/>
  <c r="AD108" i="1"/>
  <c r="AE108" i="1"/>
  <c r="AF108" i="1"/>
  <c r="AG28" i="1"/>
  <c r="AD28" i="1"/>
  <c r="AF28" i="1"/>
  <c r="AE28" i="1"/>
  <c r="AF85" i="1"/>
  <c r="AE85" i="1"/>
  <c r="AD85" i="1"/>
  <c r="AG85" i="1"/>
  <c r="AF99" i="1"/>
  <c r="AE99" i="1"/>
  <c r="AD99" i="1"/>
  <c r="AG99" i="1"/>
  <c r="AF83" i="1"/>
  <c r="AE83" i="1"/>
  <c r="AG83" i="1"/>
  <c r="AD83" i="1"/>
  <c r="AG67" i="1"/>
  <c r="AE67" i="1"/>
  <c r="AD67" i="1"/>
  <c r="AF67" i="1"/>
  <c r="AF106" i="1"/>
  <c r="AD106" i="1"/>
  <c r="AG106" i="1"/>
  <c r="AE106" i="1"/>
  <c r="AG74" i="1"/>
  <c r="AD74" i="1"/>
  <c r="AE74" i="1"/>
  <c r="AF74" i="1"/>
  <c r="AG42" i="1"/>
  <c r="AD42" i="1"/>
  <c r="AF42" i="1"/>
  <c r="AE42" i="1"/>
  <c r="AV116" i="1"/>
  <c r="AW116" i="1" s="1"/>
  <c r="AV164" i="1"/>
  <c r="AW164" i="1" s="1"/>
  <c r="AV208" i="1"/>
  <c r="AW208" i="1" s="1"/>
  <c r="AU129" i="1"/>
  <c r="AU117" i="1"/>
  <c r="AV117" i="1" s="1"/>
  <c r="AW117" i="1" s="1"/>
  <c r="AU124" i="1"/>
  <c r="AV124" i="1" s="1"/>
  <c r="AW124" i="1" s="1"/>
  <c r="AV115" i="1"/>
  <c r="AW115" i="1" s="1"/>
  <c r="AV151" i="1"/>
  <c r="AW151" i="1" s="1"/>
  <c r="AV128" i="1"/>
  <c r="AW128" i="1" s="1"/>
  <c r="AV189" i="1"/>
  <c r="AW189" i="1" s="1"/>
  <c r="AV147" i="1"/>
  <c r="AW147" i="1" s="1"/>
  <c r="AV162" i="1"/>
  <c r="AW162" i="1" s="1"/>
  <c r="AV152" i="1"/>
  <c r="AW152" i="1" s="1"/>
  <c r="AV136" i="1"/>
  <c r="AW136" i="1" s="1"/>
  <c r="AK125" i="1"/>
  <c r="AR125" i="1" s="1"/>
  <c r="AV125" i="1" s="1"/>
  <c r="AW125" i="1" s="1"/>
  <c r="AK122" i="1"/>
  <c r="AR122" i="1" s="1"/>
  <c r="AV122" i="1" s="1"/>
  <c r="AW122" i="1" s="1"/>
  <c r="AK111" i="1"/>
  <c r="AR111" i="1" s="1"/>
  <c r="AV114" i="1"/>
  <c r="AW114" i="1" s="1"/>
  <c r="AV186" i="1"/>
  <c r="AW186" i="1" s="1"/>
  <c r="AK129" i="1"/>
  <c r="AR129" i="1" s="1"/>
  <c r="AV129" i="1" s="1"/>
  <c r="AW129" i="1" s="1"/>
  <c r="AK119" i="1"/>
  <c r="AR119" i="1" s="1"/>
  <c r="AV119" i="1" s="1"/>
  <c r="AW119" i="1" s="1"/>
  <c r="AK127" i="1"/>
  <c r="AR127" i="1" s="1"/>
  <c r="AV127" i="1" s="1"/>
  <c r="AW127" i="1" s="1"/>
  <c r="AK126" i="1"/>
  <c r="AR126" i="1" s="1"/>
  <c r="AV126" i="1" s="1"/>
  <c r="AW126" i="1" s="1"/>
  <c r="AK120" i="1"/>
  <c r="AR120" i="1" s="1"/>
  <c r="AV123" i="1"/>
  <c r="AW123" i="1" s="1"/>
  <c r="AV135" i="1"/>
  <c r="AW135" i="1" s="1"/>
  <c r="AV139" i="1"/>
  <c r="AW139" i="1" s="1"/>
  <c r="AV156" i="1"/>
  <c r="AW156" i="1" s="1"/>
  <c r="AV188" i="1"/>
  <c r="AW188" i="1" s="1"/>
  <c r="AU118" i="1"/>
  <c r="AV118" i="1" s="1"/>
  <c r="AW118" i="1" s="1"/>
  <c r="AU10" i="1"/>
  <c r="AV10" i="1" s="1"/>
  <c r="AW10" i="1" s="1"/>
  <c r="AU120" i="1"/>
  <c r="AV132" i="1"/>
  <c r="AW132" i="1" s="1"/>
  <c r="AV121" i="1"/>
  <c r="AW121" i="1" s="1"/>
  <c r="AV190" i="1"/>
  <c r="AW190" i="1" s="1"/>
  <c r="AV169" i="1"/>
  <c r="AW169" i="1" s="1"/>
  <c r="AU111" i="1"/>
  <c r="AU130" i="1"/>
  <c r="AV130" i="1" s="1"/>
  <c r="AW130" i="1" s="1"/>
  <c r="AV174" i="1"/>
  <c r="AW174" i="1" s="1"/>
  <c r="AV187" i="1"/>
  <c r="AW187" i="1" s="1"/>
  <c r="AN98" i="1"/>
  <c r="AN90" i="1"/>
  <c r="B30" i="1"/>
  <c r="AY129" i="1" s="1"/>
  <c r="AZ129" i="1" s="1"/>
  <c r="BA129" i="1" s="1"/>
  <c r="BB129" i="1" s="1"/>
  <c r="BC129" i="1" s="1"/>
  <c r="BH211" i="1"/>
  <c r="AY124" i="1" l="1"/>
  <c r="AZ124" i="1" s="1"/>
  <c r="BA124" i="1" s="1"/>
  <c r="BB124" i="1" s="1"/>
  <c r="BC124" i="1" s="1"/>
  <c r="AY117" i="1"/>
  <c r="AZ117" i="1" s="1"/>
  <c r="BA117" i="1" s="1"/>
  <c r="BB117" i="1" s="1"/>
  <c r="BC117" i="1" s="1"/>
  <c r="AY130" i="1"/>
  <c r="AZ130" i="1" s="1"/>
  <c r="BA130" i="1" s="1"/>
  <c r="BB130" i="1" s="1"/>
  <c r="BC130" i="1" s="1"/>
  <c r="AY133" i="1"/>
  <c r="AZ133" i="1" s="1"/>
  <c r="BA133" i="1" s="1"/>
  <c r="BB133" i="1" s="1"/>
  <c r="BC133" i="1" s="1"/>
  <c r="AY123" i="1"/>
  <c r="AZ123" i="1" s="1"/>
  <c r="BA123" i="1" s="1"/>
  <c r="BB123" i="1" s="1"/>
  <c r="BC123" i="1" s="1"/>
  <c r="AY131" i="1"/>
  <c r="AZ131" i="1" s="1"/>
  <c r="BA131" i="1" s="1"/>
  <c r="BB131" i="1" s="1"/>
  <c r="BC131" i="1" s="1"/>
  <c r="AY110" i="1"/>
  <c r="AZ110" i="1" s="1"/>
  <c r="BA110" i="1" s="1"/>
  <c r="BB110" i="1" s="1"/>
  <c r="BC110" i="1" s="1"/>
  <c r="AV120" i="1"/>
  <c r="AW120" i="1" s="1"/>
  <c r="AV111" i="1"/>
  <c r="AW111" i="1" s="1"/>
  <c r="AY10" i="1"/>
  <c r="AZ10" i="1" s="1"/>
  <c r="BA10" i="1" s="1"/>
  <c r="BB10" i="1" s="1"/>
  <c r="BC10" i="1" s="1"/>
  <c r="AY111" i="1"/>
  <c r="AZ111" i="1" s="1"/>
  <c r="BA111" i="1" s="1"/>
  <c r="BB111" i="1" s="1"/>
  <c r="BC111" i="1" s="1"/>
  <c r="AY118" i="1"/>
  <c r="AZ118" i="1" s="1"/>
  <c r="BA118" i="1" s="1"/>
  <c r="BB118" i="1" s="1"/>
  <c r="BC118" i="1" s="1"/>
  <c r="AY125" i="1"/>
  <c r="AZ125" i="1" s="1"/>
  <c r="BA125" i="1" s="1"/>
  <c r="BB125" i="1" s="1"/>
  <c r="BC125" i="1" s="1"/>
  <c r="AY119" i="1"/>
  <c r="AZ119" i="1" s="1"/>
  <c r="BA119" i="1" s="1"/>
  <c r="BB119" i="1" s="1"/>
  <c r="BC119" i="1" s="1"/>
  <c r="AY114" i="1"/>
  <c r="AZ114" i="1" s="1"/>
  <c r="BA114" i="1" s="1"/>
  <c r="BB114" i="1" s="1"/>
  <c r="BC114" i="1" s="1"/>
  <c r="AY128" i="1"/>
  <c r="AZ128" i="1" s="1"/>
  <c r="BA128" i="1" s="1"/>
  <c r="BB128" i="1" s="1"/>
  <c r="BC128" i="1" s="1"/>
  <c r="AY121" i="1"/>
  <c r="AZ121" i="1" s="1"/>
  <c r="BA121" i="1" s="1"/>
  <c r="BB121" i="1" s="1"/>
  <c r="BC121" i="1" s="1"/>
  <c r="AY122" i="1"/>
  <c r="AZ122" i="1" s="1"/>
  <c r="BA122" i="1" s="1"/>
  <c r="BB122" i="1" s="1"/>
  <c r="BC122" i="1" s="1"/>
  <c r="AY126" i="1"/>
  <c r="AZ126" i="1" s="1"/>
  <c r="BA126" i="1" s="1"/>
  <c r="BB126" i="1" s="1"/>
  <c r="BC126" i="1" s="1"/>
  <c r="AY127" i="1"/>
  <c r="AZ127" i="1" s="1"/>
  <c r="BA127" i="1" s="1"/>
  <c r="BB127" i="1" s="1"/>
  <c r="BC127" i="1" s="1"/>
  <c r="AY120" i="1"/>
  <c r="AZ120" i="1" s="1"/>
  <c r="BA120" i="1" s="1"/>
  <c r="BB120" i="1" s="1"/>
  <c r="BC120" i="1" s="1"/>
  <c r="AK104" i="1"/>
  <c r="AR104" i="1" s="1"/>
  <c r="AK108" i="1"/>
  <c r="AR108" i="1" s="1"/>
  <c r="AK76" i="1"/>
  <c r="AR76" i="1" s="1"/>
  <c r="AK98" i="1"/>
  <c r="AR98" i="1" s="1"/>
  <c r="AK105" i="1"/>
  <c r="AR105" i="1" s="1"/>
  <c r="AK79" i="1"/>
  <c r="AR79" i="1" s="1"/>
  <c r="AK100" i="1"/>
  <c r="AR100" i="1" s="1"/>
  <c r="AK99" i="1"/>
  <c r="AR99" i="1" s="1"/>
  <c r="AK102" i="1"/>
  <c r="AR102" i="1" s="1"/>
  <c r="AK83" i="1"/>
  <c r="AR83" i="1" s="1"/>
  <c r="AK84" i="1"/>
  <c r="AR84" i="1" s="1"/>
  <c r="AK74" i="1"/>
  <c r="AR74" i="1" s="1"/>
  <c r="AK87" i="1"/>
  <c r="AR87" i="1" s="1"/>
  <c r="AK77" i="1"/>
  <c r="AR77" i="1" s="1"/>
  <c r="AK97" i="1"/>
  <c r="AR97" i="1" s="1"/>
  <c r="AK88" i="1"/>
  <c r="AR88" i="1" s="1"/>
  <c r="AK85" i="1"/>
  <c r="AR85" i="1" s="1"/>
  <c r="AK94" i="1"/>
  <c r="AR94" i="1" s="1"/>
  <c r="AK106" i="1"/>
  <c r="AR106" i="1" s="1"/>
  <c r="AK107" i="1"/>
  <c r="AR107" i="1" s="1"/>
  <c r="AK80" i="1"/>
  <c r="AR80" i="1" s="1"/>
  <c r="AK81" i="1"/>
  <c r="AR81" i="1" s="1"/>
  <c r="AK72" i="1"/>
  <c r="AR72" i="1" s="1"/>
  <c r="AK95" i="1"/>
  <c r="AR95" i="1" s="1"/>
  <c r="AK86" i="1"/>
  <c r="AR86" i="1" s="1"/>
  <c r="AK90" i="1"/>
  <c r="AR90" i="1" s="1"/>
  <c r="AK75" i="1"/>
  <c r="AR75" i="1" s="1"/>
  <c r="AK78" i="1"/>
  <c r="AR78" i="1" s="1"/>
  <c r="AK65" i="1"/>
  <c r="AR65" i="1" s="1"/>
  <c r="AK103" i="1"/>
  <c r="AR103" i="1" s="1"/>
  <c r="AK93" i="1"/>
  <c r="AR93" i="1" s="1"/>
  <c r="AK82" i="1"/>
  <c r="AR82" i="1" s="1"/>
  <c r="AK89" i="1"/>
  <c r="AR89" i="1" s="1"/>
  <c r="AK92" i="1"/>
  <c r="AR92" i="1" s="1"/>
  <c r="AK91" i="1"/>
  <c r="AR91" i="1" s="1"/>
  <c r="AK73" i="1"/>
  <c r="AR73" i="1" s="1"/>
  <c r="AK96" i="1"/>
  <c r="AR96" i="1" s="1"/>
  <c r="AK101" i="1"/>
  <c r="AR101" i="1" s="1"/>
  <c r="AK70" i="1"/>
  <c r="AR70" i="1" s="1"/>
  <c r="AK71" i="1"/>
  <c r="AR71" i="1" s="1"/>
  <c r="AK66" i="1"/>
  <c r="AR66" i="1" s="1"/>
  <c r="AK69" i="1"/>
  <c r="AR69" i="1" s="1"/>
  <c r="AK61" i="1"/>
  <c r="AR61" i="1" s="1"/>
  <c r="AK28" i="1"/>
  <c r="AR28" i="1" s="1"/>
  <c r="AK68" i="1"/>
  <c r="AR68" i="1" s="1"/>
  <c r="AK67" i="1"/>
  <c r="AR67" i="1" s="1"/>
  <c r="AK36" i="1"/>
  <c r="AR36" i="1" s="1"/>
  <c r="AK19" i="1"/>
  <c r="AR19" i="1" s="1"/>
  <c r="AK39" i="1"/>
  <c r="AR39" i="1" s="1"/>
  <c r="AK51" i="1"/>
  <c r="AR51" i="1" s="1"/>
  <c r="AK38" i="1"/>
  <c r="AR38" i="1" s="1"/>
  <c r="AK48" i="1"/>
  <c r="AR48" i="1" s="1"/>
  <c r="AK50" i="1"/>
  <c r="AR50" i="1" s="1"/>
  <c r="AK56" i="1"/>
  <c r="AR56" i="1" s="1"/>
  <c r="AK53" i="1"/>
  <c r="AR53" i="1" s="1"/>
  <c r="AK63" i="1"/>
  <c r="AR63" i="1" s="1"/>
  <c r="AK33" i="1"/>
  <c r="AR33" i="1" s="1"/>
  <c r="AK60" i="1"/>
  <c r="AR60" i="1" s="1"/>
  <c r="AK45" i="1"/>
  <c r="AR45" i="1" s="1"/>
  <c r="AK59" i="1"/>
  <c r="AR59" i="1" s="1"/>
  <c r="AK42" i="1"/>
  <c r="AR42" i="1" s="1"/>
  <c r="AK62" i="1"/>
  <c r="AR62" i="1" s="1"/>
  <c r="AK40" i="1"/>
  <c r="AR40" i="1" s="1"/>
  <c r="AK47" i="1"/>
  <c r="AR47" i="1" s="1"/>
  <c r="AK35" i="1"/>
  <c r="AR35" i="1" s="1"/>
  <c r="AK54" i="1"/>
  <c r="AR54" i="1" s="1"/>
  <c r="AK55" i="1"/>
  <c r="AR55" i="1" s="1"/>
  <c r="AK52" i="1"/>
  <c r="AR52" i="1" s="1"/>
  <c r="AK49" i="1"/>
  <c r="AR49" i="1" s="1"/>
  <c r="AK41" i="1"/>
  <c r="AR41" i="1" s="1"/>
  <c r="AK57" i="1"/>
  <c r="AR57" i="1" s="1"/>
  <c r="AK58" i="1"/>
  <c r="AR58" i="1" s="1"/>
  <c r="AK44" i="1"/>
  <c r="AR44" i="1" s="1"/>
  <c r="AK37" i="1"/>
  <c r="AR37" i="1" s="1"/>
  <c r="AK43" i="1"/>
  <c r="AR43" i="1" s="1"/>
  <c r="AK34" i="1"/>
  <c r="AR34" i="1" s="1"/>
  <c r="AK64" i="1"/>
  <c r="AR64" i="1" s="1"/>
  <c r="AK32" i="1"/>
  <c r="AR32" i="1" s="1"/>
  <c r="AK46" i="1"/>
  <c r="AR46" i="1" s="1"/>
  <c r="AK31" i="1"/>
  <c r="AR31" i="1" s="1"/>
  <c r="AK12" i="1"/>
  <c r="AR12" i="1" s="1"/>
  <c r="AK17" i="1"/>
  <c r="AR17" i="1" s="1"/>
  <c r="AK11" i="1"/>
  <c r="AR11" i="1" s="1"/>
  <c r="AK13" i="1"/>
  <c r="AR13" i="1" s="1"/>
  <c r="AK26" i="1"/>
  <c r="AR26" i="1" s="1"/>
  <c r="AK14" i="1"/>
  <c r="AR14" i="1" s="1"/>
  <c r="AK27" i="1"/>
  <c r="AR27" i="1" s="1"/>
  <c r="AK30" i="1"/>
  <c r="AR30" i="1" s="1"/>
  <c r="AK20" i="1"/>
  <c r="AR20" i="1" s="1"/>
  <c r="AK29" i="1"/>
  <c r="AR29" i="1" s="1"/>
  <c r="AK23" i="1"/>
  <c r="AR23" i="1" s="1"/>
  <c r="AK15" i="1"/>
  <c r="AR15" i="1" s="1"/>
  <c r="AK21" i="1"/>
  <c r="AR21" i="1" s="1"/>
  <c r="AK22" i="1"/>
  <c r="AR22" i="1" s="1"/>
  <c r="AK18" i="1"/>
  <c r="AR18" i="1" s="1"/>
  <c r="AK16" i="1"/>
  <c r="AR16" i="1" s="1"/>
  <c r="AK25" i="1"/>
  <c r="AR25" i="1" s="1"/>
  <c r="AK24" i="1"/>
  <c r="AR24" i="1" s="1"/>
  <c r="AQ64" i="1"/>
  <c r="AQ56" i="1"/>
  <c r="AQ48" i="1"/>
  <c r="AQ62" i="1"/>
  <c r="AQ61" i="1"/>
  <c r="AQ53" i="1"/>
  <c r="AQ45" i="1"/>
  <c r="AQ63" i="1"/>
  <c r="AQ55" i="1"/>
  <c r="AQ46" i="1"/>
  <c r="AQ52" i="1"/>
  <c r="AQ44" i="1"/>
  <c r="AQ59" i="1"/>
  <c r="AQ51" i="1"/>
  <c r="AQ43" i="1"/>
  <c r="AQ58" i="1"/>
  <c r="AQ50" i="1"/>
  <c r="AQ65" i="1"/>
  <c r="AQ57" i="1"/>
  <c r="AQ35" i="1"/>
  <c r="AQ27" i="1"/>
  <c r="AQ19" i="1"/>
  <c r="AQ28" i="1"/>
  <c r="AQ25" i="1"/>
  <c r="AQ40" i="1"/>
  <c r="AQ32" i="1"/>
  <c r="AQ24" i="1"/>
  <c r="AQ20" i="1"/>
  <c r="AQ41" i="1"/>
  <c r="AQ39" i="1"/>
  <c r="AQ31" i="1"/>
  <c r="AQ23" i="1"/>
  <c r="AQ17" i="1"/>
  <c r="AQ38" i="1"/>
  <c r="AQ30" i="1"/>
  <c r="AQ22" i="1"/>
  <c r="AQ42" i="1"/>
  <c r="AQ33" i="1"/>
  <c r="AQ29" i="1"/>
  <c r="AQ21" i="1"/>
  <c r="AQ16" i="1"/>
  <c r="AP15" i="1"/>
  <c r="AQ12" i="1"/>
  <c r="AP11" i="1"/>
  <c r="AQ11" i="1"/>
  <c r="AP19" i="1"/>
  <c r="AQ70" i="1"/>
  <c r="AP22" i="1"/>
  <c r="AP93" i="1"/>
  <c r="AQ98" i="1"/>
  <c r="AQ74" i="1"/>
  <c r="AQ66" i="1"/>
  <c r="AP34" i="1"/>
  <c r="AQ94" i="1"/>
  <c r="AQ78" i="1"/>
  <c r="AP99" i="1"/>
  <c r="AP89" i="1"/>
  <c r="AO83" i="1"/>
  <c r="AS83" i="1" s="1"/>
  <c r="AO99" i="1"/>
  <c r="AS99" i="1" s="1"/>
  <c r="AQ82" i="1"/>
  <c r="AQ99" i="1"/>
  <c r="AQ91" i="1"/>
  <c r="AQ106" i="1"/>
  <c r="AQ87" i="1"/>
  <c r="AQ79" i="1"/>
  <c r="AP105" i="1"/>
  <c r="AO87" i="1"/>
  <c r="AS87" i="1" s="1"/>
  <c r="AP79" i="1"/>
  <c r="AP87" i="1"/>
  <c r="AP101" i="1"/>
  <c r="AO79" i="1"/>
  <c r="AS79" i="1" s="1"/>
  <c r="AO85" i="1"/>
  <c r="AS85" i="1" s="1"/>
  <c r="AO40" i="1"/>
  <c r="AS40" i="1" s="1"/>
  <c r="AO28" i="1"/>
  <c r="AS28" i="1" s="1"/>
  <c r="AO24" i="1"/>
  <c r="AS24" i="1" s="1"/>
  <c r="AQ103" i="1"/>
  <c r="AP91" i="1"/>
  <c r="AO82" i="1"/>
  <c r="AS82" i="1" s="1"/>
  <c r="AQ75" i="1"/>
  <c r="AQ71" i="1"/>
  <c r="AQ67" i="1"/>
  <c r="AO56" i="1"/>
  <c r="AS56" i="1" s="1"/>
  <c r="AO52" i="1"/>
  <c r="AS52" i="1" s="1"/>
  <c r="AO48" i="1"/>
  <c r="AS48" i="1" s="1"/>
  <c r="AO44" i="1"/>
  <c r="AS44" i="1" s="1"/>
  <c r="AP103" i="1"/>
  <c r="AO94" i="1"/>
  <c r="AS94" i="1" s="1"/>
  <c r="AO91" i="1"/>
  <c r="AS91" i="1" s="1"/>
  <c r="AO89" i="1"/>
  <c r="AS89" i="1" s="1"/>
  <c r="AQ86" i="1"/>
  <c r="AQ83" i="1"/>
  <c r="AP81" i="1"/>
  <c r="AO75" i="1"/>
  <c r="AS75" i="1" s="1"/>
  <c r="AO71" i="1"/>
  <c r="AS71" i="1" s="1"/>
  <c r="AO67" i="1"/>
  <c r="AS67" i="1" s="1"/>
  <c r="AO63" i="1"/>
  <c r="AS63" i="1" s="1"/>
  <c r="AO59" i="1"/>
  <c r="AS59" i="1" s="1"/>
  <c r="AQ47" i="1"/>
  <c r="AO35" i="1"/>
  <c r="AS35" i="1" s="1"/>
  <c r="AO31" i="1"/>
  <c r="AS31" i="1" s="1"/>
  <c r="AO102" i="1"/>
  <c r="AS102" i="1" s="1"/>
  <c r="AO97" i="1"/>
  <c r="AS97" i="1" s="1"/>
  <c r="AO32" i="1"/>
  <c r="AS32" i="1" s="1"/>
  <c r="AO36" i="1"/>
  <c r="AS36" i="1" s="1"/>
  <c r="AO106" i="1"/>
  <c r="AS106" i="1" s="1"/>
  <c r="AO103" i="1"/>
  <c r="AS103" i="1" s="1"/>
  <c r="AO101" i="1"/>
  <c r="AS101" i="1" s="1"/>
  <c r="AQ95" i="1"/>
  <c r="AP83" i="1"/>
  <c r="AO55" i="1"/>
  <c r="AS55" i="1" s="1"/>
  <c r="AO51" i="1"/>
  <c r="AS51" i="1" s="1"/>
  <c r="AO47" i="1"/>
  <c r="AS47" i="1" s="1"/>
  <c r="AO43" i="1"/>
  <c r="AS43" i="1" s="1"/>
  <c r="AO39" i="1"/>
  <c r="AS39" i="1" s="1"/>
  <c r="AO27" i="1"/>
  <c r="AS27" i="1" s="1"/>
  <c r="AO23" i="1"/>
  <c r="AS23" i="1" s="1"/>
  <c r="AP20" i="1"/>
  <c r="AO90" i="1"/>
  <c r="AS90" i="1" s="1"/>
  <c r="AP95" i="1"/>
  <c r="AO86" i="1"/>
  <c r="AS86" i="1" s="1"/>
  <c r="AO81" i="1"/>
  <c r="AS81" i="1" s="1"/>
  <c r="AP107" i="1"/>
  <c r="AO98" i="1"/>
  <c r="AS98" i="1" s="1"/>
  <c r="AO95" i="1"/>
  <c r="AS95" i="1" s="1"/>
  <c r="AQ107" i="1"/>
  <c r="AO93" i="1"/>
  <c r="AS93" i="1" s="1"/>
  <c r="AQ90" i="1"/>
  <c r="AP85" i="1"/>
  <c r="AO107" i="1"/>
  <c r="AS107" i="1" s="1"/>
  <c r="AO105" i="1"/>
  <c r="AS105" i="1" s="1"/>
  <c r="AQ102" i="1"/>
  <c r="AP97" i="1"/>
  <c r="AO78" i="1"/>
  <c r="AS78" i="1" s="1"/>
  <c r="AP58" i="1"/>
  <c r="AQ54" i="1"/>
  <c r="AP30" i="1"/>
  <c r="AP26" i="1"/>
  <c r="AO13" i="1"/>
  <c r="AS13" i="1" s="1"/>
  <c r="AO17" i="1"/>
  <c r="AS17" i="1" s="1"/>
  <c r="AO16" i="1"/>
  <c r="AS16" i="1" s="1"/>
  <c r="AO12" i="1"/>
  <c r="AS12" i="1" s="1"/>
  <c r="AP108" i="1"/>
  <c r="AO72" i="1"/>
  <c r="AS72" i="1" s="1"/>
  <c r="AP72" i="1"/>
  <c r="AQ72" i="1"/>
  <c r="AO80" i="1"/>
  <c r="AS80" i="1" s="1"/>
  <c r="AP80" i="1"/>
  <c r="AQ80" i="1"/>
  <c r="AO64" i="1"/>
  <c r="AS64" i="1" s="1"/>
  <c r="AP64" i="1"/>
  <c r="AO76" i="1"/>
  <c r="AS76" i="1" s="1"/>
  <c r="AP76" i="1"/>
  <c r="AQ76" i="1"/>
  <c r="AO108" i="1"/>
  <c r="AS108" i="1" s="1"/>
  <c r="AQ108" i="1"/>
  <c r="AO104" i="1"/>
  <c r="AS104" i="1" s="1"/>
  <c r="AP104" i="1"/>
  <c r="AQ104" i="1"/>
  <c r="AO100" i="1"/>
  <c r="AS100" i="1" s="1"/>
  <c r="AP100" i="1"/>
  <c r="AQ100" i="1"/>
  <c r="AO96" i="1"/>
  <c r="AS96" i="1" s="1"/>
  <c r="AP96" i="1"/>
  <c r="AQ96" i="1"/>
  <c r="AO92" i="1"/>
  <c r="AS92" i="1" s="1"/>
  <c r="AP92" i="1"/>
  <c r="AQ92" i="1"/>
  <c r="AO88" i="1"/>
  <c r="AS88" i="1" s="1"/>
  <c r="AP88" i="1"/>
  <c r="AQ88" i="1"/>
  <c r="AO84" i="1"/>
  <c r="AS84" i="1" s="1"/>
  <c r="AP84" i="1"/>
  <c r="AQ84" i="1"/>
  <c r="AO68" i="1"/>
  <c r="AS68" i="1" s="1"/>
  <c r="AP68" i="1"/>
  <c r="AQ68" i="1"/>
  <c r="AO60" i="1"/>
  <c r="AS60" i="1" s="1"/>
  <c r="AP60" i="1"/>
  <c r="AQ60" i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O20" i="1"/>
  <c r="AS20" i="1" s="1"/>
  <c r="AP16" i="1"/>
  <c r="AP12" i="1"/>
  <c r="AP106" i="1"/>
  <c r="AP102" i="1"/>
  <c r="AP98" i="1"/>
  <c r="AP94" i="1"/>
  <c r="AP90" i="1"/>
  <c r="AP86" i="1"/>
  <c r="AP82" i="1"/>
  <c r="AP78" i="1"/>
  <c r="AP74" i="1"/>
  <c r="AP70" i="1"/>
  <c r="AP66" i="1"/>
  <c r="AP62" i="1"/>
  <c r="AP54" i="1"/>
  <c r="AP50" i="1"/>
  <c r="AP46" i="1"/>
  <c r="AP42" i="1"/>
  <c r="AP38" i="1"/>
  <c r="AQ105" i="1"/>
  <c r="AQ101" i="1"/>
  <c r="AQ97" i="1"/>
  <c r="AQ93" i="1"/>
  <c r="AQ89" i="1"/>
  <c r="AQ85" i="1"/>
  <c r="AQ81" i="1"/>
  <c r="AQ77" i="1"/>
  <c r="AO74" i="1"/>
  <c r="AS74" i="1" s="1"/>
  <c r="AQ73" i="1"/>
  <c r="AO70" i="1"/>
  <c r="AS70" i="1" s="1"/>
  <c r="AQ69" i="1"/>
  <c r="AO66" i="1"/>
  <c r="AS66" i="1" s="1"/>
  <c r="AO62" i="1"/>
  <c r="AS62" i="1" s="1"/>
  <c r="AO58" i="1"/>
  <c r="AS58" i="1" s="1"/>
  <c r="AO54" i="1"/>
  <c r="AS54" i="1" s="1"/>
  <c r="AO50" i="1"/>
  <c r="AS50" i="1" s="1"/>
  <c r="AQ49" i="1"/>
  <c r="AO46" i="1"/>
  <c r="AS46" i="1" s="1"/>
  <c r="AO42" i="1"/>
  <c r="AS42" i="1" s="1"/>
  <c r="AO38" i="1"/>
  <c r="AS38" i="1" s="1"/>
  <c r="AO34" i="1"/>
  <c r="AS34" i="1" s="1"/>
  <c r="AO30" i="1"/>
  <c r="AS30" i="1" s="1"/>
  <c r="AO26" i="1"/>
  <c r="AS26" i="1" s="1"/>
  <c r="AO22" i="1"/>
  <c r="AS22" i="1" s="1"/>
  <c r="AO19" i="1"/>
  <c r="AS19" i="1" s="1"/>
  <c r="AQ18" i="1"/>
  <c r="AO15" i="1"/>
  <c r="AS15" i="1" s="1"/>
  <c r="AO11" i="1"/>
  <c r="AS11" i="1" s="1"/>
  <c r="AP77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P18" i="1"/>
  <c r="AP14" i="1"/>
  <c r="AO77" i="1"/>
  <c r="AS77" i="1" s="1"/>
  <c r="AO73" i="1"/>
  <c r="AS73" i="1" s="1"/>
  <c r="AO69" i="1"/>
  <c r="AS69" i="1" s="1"/>
  <c r="AO65" i="1"/>
  <c r="AS65" i="1" s="1"/>
  <c r="AO61" i="1"/>
  <c r="AS61" i="1" s="1"/>
  <c r="AO57" i="1"/>
  <c r="AS57" i="1" s="1"/>
  <c r="AO53" i="1"/>
  <c r="AS53" i="1" s="1"/>
  <c r="AO49" i="1"/>
  <c r="AS49" i="1" s="1"/>
  <c r="AO45" i="1"/>
  <c r="AS45" i="1" s="1"/>
  <c r="AO41" i="1"/>
  <c r="AS41" i="1" s="1"/>
  <c r="AO37" i="1"/>
  <c r="AS37" i="1" s="1"/>
  <c r="AO33" i="1"/>
  <c r="AS33" i="1" s="1"/>
  <c r="AO29" i="1"/>
  <c r="AS29" i="1" s="1"/>
  <c r="AO25" i="1"/>
  <c r="AS25" i="1" s="1"/>
  <c r="AO21" i="1"/>
  <c r="AS21" i="1" s="1"/>
  <c r="AO18" i="1"/>
  <c r="AS18" i="1" s="1"/>
  <c r="AO14" i="1"/>
  <c r="AS14" i="1" s="1"/>
  <c r="AP56" i="1"/>
  <c r="AP52" i="1"/>
  <c r="AP48" i="1"/>
  <c r="AP44" i="1"/>
  <c r="AP40" i="1"/>
  <c r="AP36" i="1"/>
  <c r="AP32" i="1"/>
  <c r="AP28" i="1"/>
  <c r="AP24" i="1"/>
  <c r="AP17" i="1"/>
  <c r="AP13" i="1"/>
  <c r="AT19" i="1" l="1"/>
  <c r="AY19" i="1" s="1"/>
  <c r="AZ19" i="1" s="1"/>
  <c r="BA19" i="1" s="1"/>
  <c r="BB19" i="1" s="1"/>
  <c r="AT15" i="1"/>
  <c r="AY15" i="1" s="1"/>
  <c r="AZ15" i="1" s="1"/>
  <c r="BA15" i="1" s="1"/>
  <c r="BB15" i="1" s="1"/>
  <c r="AT11" i="1"/>
  <c r="AY11" i="1" s="1"/>
  <c r="AZ11" i="1" s="1"/>
  <c r="BA11" i="1" s="1"/>
  <c r="BB11" i="1" s="1"/>
  <c r="AT22" i="1"/>
  <c r="AT34" i="1"/>
  <c r="AY34" i="1" s="1"/>
  <c r="AZ34" i="1" s="1"/>
  <c r="AT93" i="1"/>
  <c r="AT99" i="1"/>
  <c r="AY99" i="1" s="1"/>
  <c r="AZ99" i="1" s="1"/>
  <c r="BA99" i="1" s="1"/>
  <c r="BB99" i="1" s="1"/>
  <c r="BC99" i="1" s="1"/>
  <c r="AT82" i="1"/>
  <c r="AY82" i="1" s="1"/>
  <c r="AZ82" i="1" s="1"/>
  <c r="BA82" i="1" s="1"/>
  <c r="BB82" i="1" s="1"/>
  <c r="AT20" i="1"/>
  <c r="AT83" i="1"/>
  <c r="AT95" i="1"/>
  <c r="AY95" i="1" s="1"/>
  <c r="AZ95" i="1" s="1"/>
  <c r="BA95" i="1" s="1"/>
  <c r="BB95" i="1" s="1"/>
  <c r="BC95" i="1" s="1"/>
  <c r="AT46" i="1"/>
  <c r="AT105" i="1"/>
  <c r="AY105" i="1" s="1"/>
  <c r="AZ105" i="1" s="1"/>
  <c r="BA105" i="1" s="1"/>
  <c r="BB105" i="1" s="1"/>
  <c r="BC105" i="1" s="1"/>
  <c r="AT101" i="1"/>
  <c r="AY101" i="1" s="1"/>
  <c r="AZ101" i="1" s="1"/>
  <c r="BA101" i="1" s="1"/>
  <c r="BB101" i="1" s="1"/>
  <c r="BC101" i="1" s="1"/>
  <c r="AT90" i="1"/>
  <c r="AY90" i="1" s="1"/>
  <c r="AZ90" i="1" s="1"/>
  <c r="BA90" i="1" s="1"/>
  <c r="AT94" i="1"/>
  <c r="AT97" i="1"/>
  <c r="AT87" i="1"/>
  <c r="AY87" i="1" s="1"/>
  <c r="AZ87" i="1" s="1"/>
  <c r="BA87" i="1" s="1"/>
  <c r="BB87" i="1" s="1"/>
  <c r="AT102" i="1"/>
  <c r="AT98" i="1"/>
  <c r="AT89" i="1"/>
  <c r="AY89" i="1" s="1"/>
  <c r="AZ89" i="1" s="1"/>
  <c r="BA89" i="1" s="1"/>
  <c r="AT107" i="1"/>
  <c r="AT91" i="1"/>
  <c r="AY91" i="1" s="1"/>
  <c r="AZ91" i="1" s="1"/>
  <c r="BA91" i="1" s="1"/>
  <c r="AT72" i="1"/>
  <c r="AT45" i="1"/>
  <c r="AY45" i="1" s="1"/>
  <c r="AZ45" i="1" s="1"/>
  <c r="AT65" i="1"/>
  <c r="AT58" i="1"/>
  <c r="AT55" i="1"/>
  <c r="AY55" i="1" s="1"/>
  <c r="AZ55" i="1" s="1"/>
  <c r="AT79" i="1"/>
  <c r="AT30" i="1"/>
  <c r="AY30" i="1" s="1"/>
  <c r="AZ30" i="1" s="1"/>
  <c r="AT31" i="1"/>
  <c r="AQ15" i="1"/>
  <c r="AT47" i="1"/>
  <c r="AT108" i="1"/>
  <c r="AY108" i="1" s="1"/>
  <c r="AZ108" i="1" s="1"/>
  <c r="BA108" i="1" s="1"/>
  <c r="BB108" i="1" s="1"/>
  <c r="BC108" i="1" s="1"/>
  <c r="AT67" i="1"/>
  <c r="AT66" i="1"/>
  <c r="AY66" i="1" s="1"/>
  <c r="AZ66" i="1" s="1"/>
  <c r="BA66" i="1" s="1"/>
  <c r="BB66" i="1" s="1"/>
  <c r="AT35" i="1"/>
  <c r="AY35" i="1" s="1"/>
  <c r="AZ35" i="1" s="1"/>
  <c r="AT49" i="1"/>
  <c r="AY49" i="1" s="1"/>
  <c r="AZ49" i="1" s="1"/>
  <c r="AT73" i="1"/>
  <c r="AT33" i="1"/>
  <c r="AY33" i="1" s="1"/>
  <c r="AZ33" i="1" s="1"/>
  <c r="AT77" i="1"/>
  <c r="AY77" i="1" s="1"/>
  <c r="AZ77" i="1" s="1"/>
  <c r="BA77" i="1" s="1"/>
  <c r="AQ34" i="1"/>
  <c r="AT63" i="1"/>
  <c r="AT51" i="1"/>
  <c r="AT18" i="1"/>
  <c r="AT37" i="1"/>
  <c r="AY37" i="1" s="1"/>
  <c r="AZ37" i="1" s="1"/>
  <c r="AT53" i="1"/>
  <c r="AT86" i="1"/>
  <c r="AT81" i="1"/>
  <c r="AT103" i="1"/>
  <c r="AY103" i="1" s="1"/>
  <c r="AZ103" i="1" s="1"/>
  <c r="BA103" i="1" s="1"/>
  <c r="BB103" i="1" s="1"/>
  <c r="BC103" i="1" s="1"/>
  <c r="AQ37" i="1"/>
  <c r="AT78" i="1"/>
  <c r="AT23" i="1"/>
  <c r="AT39" i="1"/>
  <c r="AT57" i="1"/>
  <c r="AY57" i="1" s="1"/>
  <c r="AZ57" i="1" s="1"/>
  <c r="AT42" i="1"/>
  <c r="AT74" i="1"/>
  <c r="AT41" i="1"/>
  <c r="AT38" i="1"/>
  <c r="AY38" i="1" s="1"/>
  <c r="AZ38" i="1" s="1"/>
  <c r="AT85" i="1"/>
  <c r="AY85" i="1" s="1"/>
  <c r="AZ85" i="1" s="1"/>
  <c r="BA85" i="1" s="1"/>
  <c r="AT26" i="1"/>
  <c r="AY26" i="1" s="1"/>
  <c r="AZ26" i="1" s="1"/>
  <c r="AT29" i="1"/>
  <c r="AY29" i="1" s="1"/>
  <c r="AZ29" i="1" s="1"/>
  <c r="AT69" i="1"/>
  <c r="AY69" i="1" s="1"/>
  <c r="AZ69" i="1" s="1"/>
  <c r="BA69" i="1" s="1"/>
  <c r="AT106" i="1"/>
  <c r="AT27" i="1"/>
  <c r="AT43" i="1"/>
  <c r="AQ26" i="1"/>
  <c r="AQ13" i="1"/>
  <c r="AQ14" i="1"/>
  <c r="AT16" i="1"/>
  <c r="AT12" i="1"/>
  <c r="AT80" i="1"/>
  <c r="AY80" i="1" s="1"/>
  <c r="AZ80" i="1" s="1"/>
  <c r="BA80" i="1" s="1"/>
  <c r="BB80" i="1" s="1"/>
  <c r="AT92" i="1"/>
  <c r="AY92" i="1" s="1"/>
  <c r="AZ92" i="1" s="1"/>
  <c r="BA92" i="1" s="1"/>
  <c r="BB92" i="1" s="1"/>
  <c r="BC92" i="1" s="1"/>
  <c r="AT25" i="1"/>
  <c r="AY25" i="1" s="1"/>
  <c r="AZ25" i="1" s="1"/>
  <c r="AT50" i="1"/>
  <c r="AT24" i="1"/>
  <c r="AY24" i="1" s="1"/>
  <c r="AZ24" i="1" s="1"/>
  <c r="AT40" i="1"/>
  <c r="AT56" i="1"/>
  <c r="AT64" i="1"/>
  <c r="AT54" i="1"/>
  <c r="AT68" i="1"/>
  <c r="AY68" i="1" s="1"/>
  <c r="AZ68" i="1" s="1"/>
  <c r="BA68" i="1" s="1"/>
  <c r="AT100" i="1"/>
  <c r="AY100" i="1" s="1"/>
  <c r="AZ100" i="1" s="1"/>
  <c r="BA100" i="1" s="1"/>
  <c r="BB100" i="1" s="1"/>
  <c r="BC100" i="1" s="1"/>
  <c r="AT60" i="1"/>
  <c r="AY60" i="1" s="1"/>
  <c r="AZ60" i="1" s="1"/>
  <c r="AT21" i="1"/>
  <c r="AY21" i="1" s="1"/>
  <c r="AZ21" i="1" s="1"/>
  <c r="AT32" i="1"/>
  <c r="AT48" i="1"/>
  <c r="AT104" i="1"/>
  <c r="AT61" i="1"/>
  <c r="AT17" i="1"/>
  <c r="AT62" i="1"/>
  <c r="AT84" i="1"/>
  <c r="AT28" i="1"/>
  <c r="AY28" i="1" s="1"/>
  <c r="AZ28" i="1" s="1"/>
  <c r="AT44" i="1"/>
  <c r="AY44" i="1" s="1"/>
  <c r="AZ44" i="1" s="1"/>
  <c r="AT70" i="1"/>
  <c r="AY70" i="1" s="1"/>
  <c r="AZ70" i="1" s="1"/>
  <c r="BA70" i="1" s="1"/>
  <c r="BB70" i="1" s="1"/>
  <c r="AT13" i="1"/>
  <c r="AY13" i="1" s="1"/>
  <c r="AZ13" i="1" s="1"/>
  <c r="AT71" i="1"/>
  <c r="AY71" i="1" s="1"/>
  <c r="AZ71" i="1" s="1"/>
  <c r="BA71" i="1" s="1"/>
  <c r="BB71" i="1" s="1"/>
  <c r="AT59" i="1"/>
  <c r="AY59" i="1" s="1"/>
  <c r="AZ59" i="1" s="1"/>
  <c r="AT14" i="1"/>
  <c r="AY14" i="1" s="1"/>
  <c r="AZ14" i="1" s="1"/>
  <c r="AT36" i="1"/>
  <c r="AY36" i="1" s="1"/>
  <c r="AZ36" i="1" s="1"/>
  <c r="AT52" i="1"/>
  <c r="AY52" i="1" s="1"/>
  <c r="AZ52" i="1" s="1"/>
  <c r="AT76" i="1"/>
  <c r="AY76" i="1" s="1"/>
  <c r="AZ76" i="1" s="1"/>
  <c r="BA76" i="1" s="1"/>
  <c r="AT96" i="1"/>
  <c r="AY96" i="1" s="1"/>
  <c r="AZ96" i="1" s="1"/>
  <c r="BA96" i="1" s="1"/>
  <c r="BB96" i="1" s="1"/>
  <c r="BC96" i="1" s="1"/>
  <c r="AT75" i="1"/>
  <c r="AY75" i="1" s="1"/>
  <c r="AZ75" i="1" s="1"/>
  <c r="BA75" i="1" s="1"/>
  <c r="BB75" i="1" s="1"/>
  <c r="AQ36" i="1"/>
  <c r="AT88" i="1"/>
  <c r="AY88" i="1" s="1"/>
  <c r="AZ88" i="1" s="1"/>
  <c r="BA88" i="1" s="1"/>
  <c r="BB88" i="1" s="1"/>
  <c r="BB90" i="1" l="1"/>
  <c r="BC90" i="1" s="1"/>
  <c r="AU98" i="1"/>
  <c r="AV98" i="1" s="1"/>
  <c r="AW98" i="1" s="1"/>
  <c r="AY98" i="1"/>
  <c r="AZ98" i="1" s="1"/>
  <c r="BA98" i="1" s="1"/>
  <c r="BB98" i="1" s="1"/>
  <c r="BC98" i="1" s="1"/>
  <c r="BB69" i="1"/>
  <c r="BC69" i="1" s="1"/>
  <c r="BB76" i="1"/>
  <c r="BC76" i="1" s="1"/>
  <c r="BB91" i="1"/>
  <c r="BC91" i="1" s="1"/>
  <c r="AU106" i="1"/>
  <c r="AV106" i="1" s="1"/>
  <c r="AW106" i="1" s="1"/>
  <c r="AY106" i="1"/>
  <c r="AZ106" i="1" s="1"/>
  <c r="BA106" i="1" s="1"/>
  <c r="BB106" i="1" s="1"/>
  <c r="BC106" i="1" s="1"/>
  <c r="AU107" i="1"/>
  <c r="AV107" i="1" s="1"/>
  <c r="AW107" i="1" s="1"/>
  <c r="AY107" i="1"/>
  <c r="AZ107" i="1" s="1"/>
  <c r="BA107" i="1" s="1"/>
  <c r="BB107" i="1" s="1"/>
  <c r="BC107" i="1" s="1"/>
  <c r="AU104" i="1"/>
  <c r="AV104" i="1" s="1"/>
  <c r="AW104" i="1" s="1"/>
  <c r="AY104" i="1"/>
  <c r="AZ104" i="1" s="1"/>
  <c r="BA104" i="1" s="1"/>
  <c r="BB104" i="1" s="1"/>
  <c r="BC104" i="1" s="1"/>
  <c r="BB85" i="1"/>
  <c r="BC85" i="1" s="1"/>
  <c r="AU78" i="1"/>
  <c r="AV78" i="1" s="1"/>
  <c r="AW78" i="1" s="1"/>
  <c r="AY78" i="1"/>
  <c r="AZ78" i="1" s="1"/>
  <c r="BA78" i="1" s="1"/>
  <c r="BB78" i="1" s="1"/>
  <c r="BC78" i="1" s="1"/>
  <c r="BB89" i="1"/>
  <c r="BC89" i="1" s="1"/>
  <c r="AU93" i="1"/>
  <c r="AV93" i="1" s="1"/>
  <c r="AW93" i="1" s="1"/>
  <c r="AY93" i="1"/>
  <c r="AZ93" i="1" s="1"/>
  <c r="BA93" i="1" s="1"/>
  <c r="BB93" i="1" s="1"/>
  <c r="BC93" i="1" s="1"/>
  <c r="AU94" i="1"/>
  <c r="AV94" i="1" s="1"/>
  <c r="AW94" i="1" s="1"/>
  <c r="AY94" i="1"/>
  <c r="AZ94" i="1" s="1"/>
  <c r="BA94" i="1" s="1"/>
  <c r="BB94" i="1" s="1"/>
  <c r="BC94" i="1" s="1"/>
  <c r="BB68" i="1"/>
  <c r="BC68" i="1" s="1"/>
  <c r="AU102" i="1"/>
  <c r="AV102" i="1" s="1"/>
  <c r="AW102" i="1" s="1"/>
  <c r="AY102" i="1"/>
  <c r="AZ102" i="1" s="1"/>
  <c r="BA102" i="1" s="1"/>
  <c r="BB102" i="1" s="1"/>
  <c r="BC102" i="1" s="1"/>
  <c r="BB77" i="1"/>
  <c r="BC77" i="1" s="1"/>
  <c r="AU97" i="1"/>
  <c r="AV97" i="1" s="1"/>
  <c r="AW97" i="1" s="1"/>
  <c r="AY97" i="1"/>
  <c r="AZ97" i="1" s="1"/>
  <c r="BA97" i="1" s="1"/>
  <c r="BB97" i="1" s="1"/>
  <c r="BC97" i="1" s="1"/>
  <c r="BC75" i="1"/>
  <c r="BC80" i="1"/>
  <c r="BC87" i="1"/>
  <c r="BC82" i="1"/>
  <c r="BC88" i="1"/>
  <c r="BC66" i="1"/>
  <c r="BC71" i="1"/>
  <c r="AU74" i="1"/>
  <c r="AV74" i="1" s="1"/>
  <c r="AW74" i="1" s="1"/>
  <c r="AY74" i="1"/>
  <c r="AZ74" i="1" s="1"/>
  <c r="BA74" i="1" s="1"/>
  <c r="BB74" i="1" s="1"/>
  <c r="BC70" i="1"/>
  <c r="AU86" i="1"/>
  <c r="AV86" i="1" s="1"/>
  <c r="AW86" i="1" s="1"/>
  <c r="AY86" i="1"/>
  <c r="AZ86" i="1" s="1"/>
  <c r="BA86" i="1" s="1"/>
  <c r="BB86" i="1" s="1"/>
  <c r="BC19" i="1"/>
  <c r="AU72" i="1"/>
  <c r="AV72" i="1" s="1"/>
  <c r="AW72" i="1" s="1"/>
  <c r="AY72" i="1"/>
  <c r="AZ72" i="1" s="1"/>
  <c r="BA72" i="1" s="1"/>
  <c r="AU73" i="1"/>
  <c r="AV73" i="1" s="1"/>
  <c r="AW73" i="1" s="1"/>
  <c r="AY73" i="1"/>
  <c r="AZ73" i="1" s="1"/>
  <c r="BA73" i="1" s="1"/>
  <c r="AU79" i="1"/>
  <c r="AV79" i="1" s="1"/>
  <c r="AW79" i="1" s="1"/>
  <c r="AY79" i="1"/>
  <c r="AZ79" i="1" s="1"/>
  <c r="BA79" i="1" s="1"/>
  <c r="BB79" i="1" s="1"/>
  <c r="AU84" i="1"/>
  <c r="AV84" i="1" s="1"/>
  <c r="AW84" i="1" s="1"/>
  <c r="AY84" i="1"/>
  <c r="AZ84" i="1" s="1"/>
  <c r="BA84" i="1" s="1"/>
  <c r="AU81" i="1"/>
  <c r="AV81" i="1" s="1"/>
  <c r="AW81" i="1" s="1"/>
  <c r="AY81" i="1"/>
  <c r="AZ81" i="1" s="1"/>
  <c r="BA81" i="1" s="1"/>
  <c r="BB81" i="1" s="1"/>
  <c r="AU83" i="1"/>
  <c r="AV83" i="1" s="1"/>
  <c r="AW83" i="1" s="1"/>
  <c r="AY83" i="1"/>
  <c r="AZ83" i="1" s="1"/>
  <c r="BA83" i="1" s="1"/>
  <c r="BB83" i="1" s="1"/>
  <c r="AU67" i="1"/>
  <c r="AV67" i="1" s="1"/>
  <c r="AW67" i="1" s="1"/>
  <c r="AY67" i="1"/>
  <c r="AZ67" i="1" s="1"/>
  <c r="BA67" i="1" s="1"/>
  <c r="AU15" i="1"/>
  <c r="AV15" i="1" s="1"/>
  <c r="AW15" i="1" s="1"/>
  <c r="BA52" i="1"/>
  <c r="BA60" i="1"/>
  <c r="BB60" i="1" s="1"/>
  <c r="BA49" i="1"/>
  <c r="BA59" i="1"/>
  <c r="BB59" i="1" s="1"/>
  <c r="AU63" i="1"/>
  <c r="AV63" i="1" s="1"/>
  <c r="AW63" i="1" s="1"/>
  <c r="AY63" i="1"/>
  <c r="AZ63" i="1" s="1"/>
  <c r="BA63" i="1" s="1"/>
  <c r="BB63" i="1" s="1"/>
  <c r="BA55" i="1"/>
  <c r="AU65" i="1"/>
  <c r="AV65" i="1" s="1"/>
  <c r="AW65" i="1" s="1"/>
  <c r="AY65" i="1"/>
  <c r="AZ65" i="1" s="1"/>
  <c r="BA65" i="1" s="1"/>
  <c r="BB65" i="1" s="1"/>
  <c r="BA45" i="1"/>
  <c r="BB45" i="1" s="1"/>
  <c r="AU64" i="1"/>
  <c r="AV64" i="1" s="1"/>
  <c r="AW64" i="1" s="1"/>
  <c r="AY64" i="1"/>
  <c r="AZ64" i="1" s="1"/>
  <c r="BA64" i="1" s="1"/>
  <c r="BB64" i="1" s="1"/>
  <c r="BA44" i="1"/>
  <c r="BB44" i="1" s="1"/>
  <c r="BA57" i="1"/>
  <c r="AU19" i="1"/>
  <c r="AV19" i="1" s="1"/>
  <c r="AW19" i="1" s="1"/>
  <c r="BA24" i="1"/>
  <c r="BA37" i="1"/>
  <c r="BA21" i="1"/>
  <c r="BB21" i="1" s="1"/>
  <c r="BA26" i="1"/>
  <c r="BB26" i="1" s="1"/>
  <c r="BA35" i="1"/>
  <c r="BA29" i="1"/>
  <c r="BA25" i="1"/>
  <c r="BB25" i="1" s="1"/>
  <c r="BA13" i="1"/>
  <c r="BB13" i="1" s="1"/>
  <c r="BA30" i="1"/>
  <c r="BB30" i="1" s="1"/>
  <c r="BA38" i="1"/>
  <c r="BA36" i="1"/>
  <c r="BA33" i="1"/>
  <c r="BA34" i="1"/>
  <c r="BB34" i="1" s="1"/>
  <c r="BA28" i="1"/>
  <c r="BA14" i="1"/>
  <c r="BB14" i="1" s="1"/>
  <c r="AU11" i="1"/>
  <c r="AV11" i="1" s="1"/>
  <c r="AW11" i="1" s="1"/>
  <c r="AU34" i="1"/>
  <c r="AV34" i="1" s="1"/>
  <c r="AW34" i="1" s="1"/>
  <c r="AU31" i="1"/>
  <c r="AV31" i="1" s="1"/>
  <c r="AW31" i="1" s="1"/>
  <c r="AY31" i="1"/>
  <c r="AZ31" i="1" s="1"/>
  <c r="AU32" i="1"/>
  <c r="AV32" i="1" s="1"/>
  <c r="AW32" i="1" s="1"/>
  <c r="AY32" i="1"/>
  <c r="AZ32" i="1" s="1"/>
  <c r="AU58" i="1"/>
  <c r="AV58" i="1" s="1"/>
  <c r="AW58" i="1" s="1"/>
  <c r="AY58" i="1"/>
  <c r="AZ58" i="1" s="1"/>
  <c r="AU50" i="1"/>
  <c r="AV50" i="1" s="1"/>
  <c r="AW50" i="1" s="1"/>
  <c r="AY50" i="1"/>
  <c r="AZ50" i="1" s="1"/>
  <c r="AU27" i="1"/>
  <c r="AV27" i="1" s="1"/>
  <c r="AW27" i="1" s="1"/>
  <c r="AY27" i="1"/>
  <c r="AZ27" i="1" s="1"/>
  <c r="AU47" i="1"/>
  <c r="AV47" i="1" s="1"/>
  <c r="AW47" i="1" s="1"/>
  <c r="AY47" i="1"/>
  <c r="AZ47" i="1" s="1"/>
  <c r="AU22" i="1"/>
  <c r="AV22" i="1" s="1"/>
  <c r="AW22" i="1" s="1"/>
  <c r="AY22" i="1"/>
  <c r="AZ22" i="1" s="1"/>
  <c r="AU48" i="1"/>
  <c r="AV48" i="1" s="1"/>
  <c r="AW48" i="1" s="1"/>
  <c r="AY48" i="1"/>
  <c r="AZ48" i="1" s="1"/>
  <c r="AU20" i="1"/>
  <c r="AV20" i="1" s="1"/>
  <c r="AW20" i="1" s="1"/>
  <c r="AY20" i="1"/>
  <c r="AZ20" i="1" s="1"/>
  <c r="AU56" i="1"/>
  <c r="AV56" i="1" s="1"/>
  <c r="AW56" i="1" s="1"/>
  <c r="AY56" i="1"/>
  <c r="AZ56" i="1" s="1"/>
  <c r="AU53" i="1"/>
  <c r="AV53" i="1" s="1"/>
  <c r="AW53" i="1" s="1"/>
  <c r="AY53" i="1"/>
  <c r="AZ53" i="1" s="1"/>
  <c r="AU51" i="1"/>
  <c r="AV51" i="1" s="1"/>
  <c r="AW51" i="1" s="1"/>
  <c r="AY51" i="1"/>
  <c r="AZ51" i="1" s="1"/>
  <c r="AU39" i="1"/>
  <c r="AV39" i="1" s="1"/>
  <c r="AW39" i="1" s="1"/>
  <c r="AY39" i="1"/>
  <c r="AZ39" i="1" s="1"/>
  <c r="AU23" i="1"/>
  <c r="AV23" i="1" s="1"/>
  <c r="AW23" i="1" s="1"/>
  <c r="AY23" i="1"/>
  <c r="AZ23" i="1" s="1"/>
  <c r="AU46" i="1"/>
  <c r="AV46" i="1" s="1"/>
  <c r="AW46" i="1" s="1"/>
  <c r="AY46" i="1"/>
  <c r="AZ46" i="1" s="1"/>
  <c r="AU42" i="1"/>
  <c r="AV42" i="1" s="1"/>
  <c r="AW42" i="1" s="1"/>
  <c r="AY42" i="1"/>
  <c r="AZ42" i="1" s="1"/>
  <c r="AU18" i="1"/>
  <c r="AV18" i="1" s="1"/>
  <c r="AW18" i="1" s="1"/>
  <c r="AY18" i="1"/>
  <c r="AZ18" i="1" s="1"/>
  <c r="AU62" i="1"/>
  <c r="AV62" i="1" s="1"/>
  <c r="AW62" i="1" s="1"/>
  <c r="AY62" i="1"/>
  <c r="AZ62" i="1" s="1"/>
  <c r="AU43" i="1"/>
  <c r="AV43" i="1" s="1"/>
  <c r="AW43" i="1" s="1"/>
  <c r="AY43" i="1"/>
  <c r="AZ43" i="1" s="1"/>
  <c r="AU41" i="1"/>
  <c r="AV41" i="1" s="1"/>
  <c r="AW41" i="1" s="1"/>
  <c r="AY41" i="1"/>
  <c r="AZ41" i="1" s="1"/>
  <c r="AU40" i="1"/>
  <c r="AV40" i="1" s="1"/>
  <c r="AW40" i="1" s="1"/>
  <c r="AY40" i="1"/>
  <c r="AZ40" i="1" s="1"/>
  <c r="AU61" i="1"/>
  <c r="AV61" i="1" s="1"/>
  <c r="AW61" i="1" s="1"/>
  <c r="AY61" i="1"/>
  <c r="AZ61" i="1" s="1"/>
  <c r="AU54" i="1"/>
  <c r="AV54" i="1" s="1"/>
  <c r="AW54" i="1" s="1"/>
  <c r="AY54" i="1"/>
  <c r="AZ54" i="1" s="1"/>
  <c r="AU17" i="1"/>
  <c r="AV17" i="1" s="1"/>
  <c r="AW17" i="1" s="1"/>
  <c r="AY17" i="1"/>
  <c r="AZ17" i="1" s="1"/>
  <c r="AU12" i="1"/>
  <c r="AV12" i="1" s="1"/>
  <c r="AW12" i="1" s="1"/>
  <c r="AY12" i="1"/>
  <c r="AZ12" i="1" s="1"/>
  <c r="AU16" i="1"/>
  <c r="AV16" i="1" s="1"/>
  <c r="AW16" i="1" s="1"/>
  <c r="AY16" i="1"/>
  <c r="AZ16" i="1" s="1"/>
  <c r="BC15" i="1"/>
  <c r="BC11" i="1"/>
  <c r="AU99" i="1"/>
  <c r="AV99" i="1" s="1"/>
  <c r="AW99" i="1" s="1"/>
  <c r="AU105" i="1"/>
  <c r="AV105" i="1" s="1"/>
  <c r="AW105" i="1" s="1"/>
  <c r="AU101" i="1"/>
  <c r="AV101" i="1" s="1"/>
  <c r="AW101" i="1" s="1"/>
  <c r="AU82" i="1"/>
  <c r="AV82" i="1" s="1"/>
  <c r="AW82" i="1" s="1"/>
  <c r="AU55" i="1"/>
  <c r="AV55" i="1" s="1"/>
  <c r="AW55" i="1" s="1"/>
  <c r="AU90" i="1"/>
  <c r="AV90" i="1" s="1"/>
  <c r="AW90" i="1" s="1"/>
  <c r="AU100" i="1"/>
  <c r="AV100" i="1" s="1"/>
  <c r="AW100" i="1" s="1"/>
  <c r="AU95" i="1"/>
  <c r="AV95" i="1" s="1"/>
  <c r="AW95" i="1" s="1"/>
  <c r="AU49" i="1"/>
  <c r="AV49" i="1" s="1"/>
  <c r="AW49" i="1" s="1"/>
  <c r="AU33" i="1"/>
  <c r="AV33" i="1" s="1"/>
  <c r="AW33" i="1" s="1"/>
  <c r="AU37" i="1"/>
  <c r="AV37" i="1" s="1"/>
  <c r="AW37" i="1" s="1"/>
  <c r="AU92" i="1"/>
  <c r="AV92" i="1" s="1"/>
  <c r="AW92" i="1" s="1"/>
  <c r="AU45" i="1"/>
  <c r="AV45" i="1" s="1"/>
  <c r="AW45" i="1" s="1"/>
  <c r="AU89" i="1"/>
  <c r="AV89" i="1" s="1"/>
  <c r="AW89" i="1" s="1"/>
  <c r="AU80" i="1"/>
  <c r="AV80" i="1" s="1"/>
  <c r="AW80" i="1" s="1"/>
  <c r="AU26" i="1"/>
  <c r="AV26" i="1" s="1"/>
  <c r="AW26" i="1" s="1"/>
  <c r="AU68" i="1"/>
  <c r="AV68" i="1" s="1"/>
  <c r="AW68" i="1" s="1"/>
  <c r="AU30" i="1"/>
  <c r="AV30" i="1" s="1"/>
  <c r="AW30" i="1" s="1"/>
  <c r="AU87" i="1"/>
  <c r="AV87" i="1" s="1"/>
  <c r="AW87" i="1" s="1"/>
  <c r="AU91" i="1"/>
  <c r="AV91" i="1" s="1"/>
  <c r="AW91" i="1" s="1"/>
  <c r="AU66" i="1"/>
  <c r="AV66" i="1" s="1"/>
  <c r="AW66" i="1" s="1"/>
  <c r="AU35" i="1"/>
  <c r="AV35" i="1" s="1"/>
  <c r="AW35" i="1" s="1"/>
  <c r="AU69" i="1"/>
  <c r="AV69" i="1" s="1"/>
  <c r="AW69" i="1" s="1"/>
  <c r="AU108" i="1"/>
  <c r="AV108" i="1" s="1"/>
  <c r="AW108" i="1" s="1"/>
  <c r="AU77" i="1"/>
  <c r="AV77" i="1" s="1"/>
  <c r="AW77" i="1" s="1"/>
  <c r="AU29" i="1"/>
  <c r="AV29" i="1" s="1"/>
  <c r="AW29" i="1" s="1"/>
  <c r="AU38" i="1"/>
  <c r="AV38" i="1" s="1"/>
  <c r="AW38" i="1" s="1"/>
  <c r="AU25" i="1"/>
  <c r="AV25" i="1" s="1"/>
  <c r="AW25" i="1" s="1"/>
  <c r="AU57" i="1"/>
  <c r="AV57" i="1" s="1"/>
  <c r="AW57" i="1" s="1"/>
  <c r="AU85" i="1"/>
  <c r="AV85" i="1" s="1"/>
  <c r="AW85" i="1" s="1"/>
  <c r="AU103" i="1"/>
  <c r="AV103" i="1" s="1"/>
  <c r="AW103" i="1" s="1"/>
  <c r="AU24" i="1"/>
  <c r="AV24" i="1" s="1"/>
  <c r="AW24" i="1" s="1"/>
  <c r="AU21" i="1"/>
  <c r="AV21" i="1" s="1"/>
  <c r="AW21" i="1" s="1"/>
  <c r="AU60" i="1"/>
  <c r="AV60" i="1" s="1"/>
  <c r="AW60" i="1" s="1"/>
  <c r="AU13" i="1"/>
  <c r="AV13" i="1" s="1"/>
  <c r="AW13" i="1" s="1"/>
  <c r="AU14" i="1"/>
  <c r="AV14" i="1" s="1"/>
  <c r="AW14" i="1" s="1"/>
  <c r="AU71" i="1"/>
  <c r="AV71" i="1" s="1"/>
  <c r="AW71" i="1" s="1"/>
  <c r="AU75" i="1"/>
  <c r="AV75" i="1" s="1"/>
  <c r="AW75" i="1" s="1"/>
  <c r="AU76" i="1"/>
  <c r="AV76" i="1" s="1"/>
  <c r="AW76" i="1" s="1"/>
  <c r="AU59" i="1"/>
  <c r="AV59" i="1" s="1"/>
  <c r="AW59" i="1" s="1"/>
  <c r="AU96" i="1"/>
  <c r="AV96" i="1" s="1"/>
  <c r="AW96" i="1" s="1"/>
  <c r="AU52" i="1"/>
  <c r="AV52" i="1" s="1"/>
  <c r="AW52" i="1" s="1"/>
  <c r="AU70" i="1"/>
  <c r="AV70" i="1" s="1"/>
  <c r="AW70" i="1" s="1"/>
  <c r="AU88" i="1"/>
  <c r="AV88" i="1" s="1"/>
  <c r="AW88" i="1" s="1"/>
  <c r="AU36" i="1"/>
  <c r="AV36" i="1" s="1"/>
  <c r="AW36" i="1" s="1"/>
  <c r="AU44" i="1"/>
  <c r="AV44" i="1" s="1"/>
  <c r="AW44" i="1" s="1"/>
  <c r="AU28" i="1"/>
  <c r="AV28" i="1" s="1"/>
  <c r="AW28" i="1" s="1"/>
  <c r="BB84" i="1" l="1"/>
  <c r="BC84" i="1" s="1"/>
  <c r="BB52" i="1"/>
  <c r="BC52" i="1" s="1"/>
  <c r="BB67" i="1"/>
  <c r="BC67" i="1" s="1"/>
  <c r="BB57" i="1"/>
  <c r="BC57" i="1" s="1"/>
  <c r="BB73" i="1"/>
  <c r="BC73" i="1" s="1"/>
  <c r="BB72" i="1"/>
  <c r="BC72" i="1" s="1"/>
  <c r="BB49" i="1"/>
  <c r="BC49" i="1" s="1"/>
  <c r="BB55" i="1"/>
  <c r="BC55" i="1" s="1"/>
  <c r="BB38" i="1"/>
  <c r="BC38" i="1" s="1"/>
  <c r="BB37" i="1"/>
  <c r="BC37" i="1" s="1"/>
  <c r="BB35" i="1"/>
  <c r="BC35" i="1" s="1"/>
  <c r="BB36" i="1"/>
  <c r="BC36" i="1" s="1"/>
  <c r="BB29" i="1"/>
  <c r="BC29" i="1" s="1"/>
  <c r="BB33" i="1"/>
  <c r="BC33" i="1" s="1"/>
  <c r="BB24" i="1"/>
  <c r="BC24" i="1" s="1"/>
  <c r="BB28" i="1"/>
  <c r="BC28" i="1" s="1"/>
  <c r="BC86" i="1"/>
  <c r="BC74" i="1"/>
  <c r="BC45" i="1"/>
  <c r="BC60" i="1"/>
  <c r="BC65" i="1"/>
  <c r="BC79" i="1"/>
  <c r="BC63" i="1"/>
  <c r="BC30" i="1"/>
  <c r="BC44" i="1"/>
  <c r="BC83" i="1"/>
  <c r="BC34" i="1"/>
  <c r="BC64" i="1"/>
  <c r="BC59" i="1"/>
  <c r="BC26" i="1"/>
  <c r="BC81" i="1"/>
  <c r="BC25" i="1"/>
  <c r="BC21" i="1"/>
  <c r="BC14" i="1"/>
  <c r="BC13" i="1"/>
  <c r="BA20" i="1"/>
  <c r="BB20" i="1" s="1"/>
  <c r="BA51" i="1"/>
  <c r="BA50" i="1"/>
  <c r="BB50" i="1" s="1"/>
  <c r="BA47" i="1"/>
  <c r="BA46" i="1"/>
  <c r="BB46" i="1" s="1"/>
  <c r="BA54" i="1"/>
  <c r="BB54" i="1" s="1"/>
  <c r="BA61" i="1"/>
  <c r="BB61" i="1" s="1"/>
  <c r="BA62" i="1"/>
  <c r="BA56" i="1"/>
  <c r="BA41" i="1"/>
  <c r="BB41" i="1" s="1"/>
  <c r="BA48" i="1"/>
  <c r="BA43" i="1"/>
  <c r="BA53" i="1"/>
  <c r="BB53" i="1" s="1"/>
  <c r="BA58" i="1"/>
  <c r="BB58" i="1" s="1"/>
  <c r="BA16" i="1"/>
  <c r="BB16" i="1" s="1"/>
  <c r="BA17" i="1"/>
  <c r="BB17" i="1" s="1"/>
  <c r="BA31" i="1"/>
  <c r="BB31" i="1" s="1"/>
  <c r="BA23" i="1"/>
  <c r="BB23" i="1" s="1"/>
  <c r="BA32" i="1"/>
  <c r="BA40" i="1"/>
  <c r="BB40" i="1" s="1"/>
  <c r="BA42" i="1"/>
  <c r="BB42" i="1" s="1"/>
  <c r="BA39" i="1"/>
  <c r="BB39" i="1" s="1"/>
  <c r="BA27" i="1"/>
  <c r="BB27" i="1" s="1"/>
  <c r="BA22" i="1"/>
  <c r="BB22" i="1" s="1"/>
  <c r="BA12" i="1"/>
  <c r="BB12" i="1" s="1"/>
  <c r="BA18" i="1"/>
  <c r="BB18" i="1" s="1"/>
  <c r="AW211" i="1"/>
  <c r="B32" i="1" s="1"/>
  <c r="BB43" i="1" l="1"/>
  <c r="BC43" i="1" s="1"/>
  <c r="BB62" i="1"/>
  <c r="BC62" i="1" s="1"/>
  <c r="BB47" i="1"/>
  <c r="BC47" i="1" s="1"/>
  <c r="BB51" i="1"/>
  <c r="BC51" i="1" s="1"/>
  <c r="BB56" i="1"/>
  <c r="BC56" i="1" s="1"/>
  <c r="BB48" i="1"/>
  <c r="BC48" i="1" s="1"/>
  <c r="BB32" i="1"/>
  <c r="BC32" i="1" s="1"/>
  <c r="BC20" i="1"/>
  <c r="BC54" i="1"/>
  <c r="BC23" i="1"/>
  <c r="BC41" i="1"/>
  <c r="BC61" i="1"/>
  <c r="BC58" i="1"/>
  <c r="BC42" i="1"/>
  <c r="BC53" i="1"/>
  <c r="BC46" i="1"/>
  <c r="BC31" i="1"/>
  <c r="BC39" i="1"/>
  <c r="BC40" i="1"/>
  <c r="BC50" i="1"/>
  <c r="BC12" i="1"/>
  <c r="BC27" i="1"/>
  <c r="BC16" i="1"/>
  <c r="BC22" i="1"/>
  <c r="BC18" i="1"/>
  <c r="BC17" i="1"/>
  <c r="B32" i="2" l="1"/>
  <c r="BC211" i="1"/>
  <c r="B4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<sst xmlns="http://schemas.openxmlformats.org/spreadsheetml/2006/main" count="57" uniqueCount="52">
  <si>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</si>
  <si>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</si>
  <si>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</si>
  <si>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</si>
  <si>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</si>
  <si>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</si>
  <si>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</si>
  <si>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</si>
  <si>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</si>
  <si>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</si>
  <si>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</si>
  <si>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</si>
  <si>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</si>
  <si>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</si>
  <si>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</si>
  <si>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</si>
  <si>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</si>
  <si>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</si>
  <si>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</si>
  <si>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</si>
  <si>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</si>
  <si>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</si>
  <si>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</si>
  <si>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</si>
  <si>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</si>
  <si>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</si>
  <si>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</si>
  <si>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</si>
  <si>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</si>
  <si>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</si>
  <si>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</si>
  <si>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</si>
  <si>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</si>
  <si>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</si>
  <si>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</si>
  <si>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</si>
  <si>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</si>
  <si>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</si>
  <si>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</si>
  <si>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</si>
  <si>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</si>
  <si>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</si>
  <si>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</si>
  <si>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</si>
  <si>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</si>
  <si>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</si>
  <si>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</si>
  <si>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</si>
  <si>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</si>
  <si>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</si>
  <si>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</si>
  <si>
    <t>astAXP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</si>
</sst>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41</xdr:row>
          <xdr:rowOff>0</xdr:rowOff>
        </xdr:from>
        <xdr:to>
          <xdr:col>3</xdr:col>
          <xdr:colOff>0</xdr:colOff>
          <xdr:row>42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30" sqref="B30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MID(CELL("address",info_script!B8),FIND("!",CELL("address",info_script!B8))+1,LEN(CELL("address",info_script!B8)))</f>
        <v>$B$8</v>
      </c>
    </row>
    <row r="6" spans="1:2" x14ac:dyDescent="0.55000000000000004">
      <c r="A6" t="s">
        <v>39</v>
      </c>
      <c r="B6" t="str" cm="1">
        <f t="array" aca="1" ref="B6" ca="1">MID(CELL("address",info_script!B9),FIND("!",CELL("address",info_script!B9))+1,LEN(CELL("address",info_script!B9)))</f>
        <v>$B$9</v>
      </c>
    </row>
    <row r="7" spans="1:2" x14ac:dyDescent="0.55000000000000004">
      <c r="A7" t="s">
        <v>40</v>
      </c>
      <c r="B7" t="str" cm="1">
        <f t="array" aca="1" ref="B7" ca="1">MID(CELL("address",info_script!B10),FIND("!",CELL("address",info_script!B10))+1,LEN(CELL("address",info_script!B10)))</f>
        <v>$B$10</v>
      </c>
    </row>
    <row r="8" spans="1:2" x14ac:dyDescent="0.55000000000000004">
      <c r="A8" t="s">
        <v>41</v>
      </c>
      <c r="B8" t="str" cm="1">
        <f t="array" aca="1" ref="B8" ca="1">MID(CELL("address",info_script!B11),FIND("!",CELL("address",info_script!B11))+1,LEN(CELL("address",info_script!B11)))</f>
        <v>$B$11</v>
      </c>
    </row>
    <row r="21" spans="1:2" x14ac:dyDescent="0.55000000000000004">
      <c r="A21" t="s">
        <v>42</v>
      </c>
      <c r="B21" t="str" cm="1">
        <f t="array" aca="1" ref="B21" ca="1">MID(CELL("address",info_script!B40),FIND("!",CELL("address",info_script!B40))+1,LEN(CELL("address",info_script!B40)))</f>
        <v>$B$40</v>
      </c>
    </row>
    <row r="22" spans="1:2" x14ac:dyDescent="0.55000000000000004">
      <c r="A22" t="s">
        <v>43</v>
      </c>
      <c r="B22" t="str" cm="1">
        <f t="array" aca="1" ref="B22" ca="1">MID(CELL("address",info_script!B41),FIND("!",CELL("address",info_script!B41))+1,LEN(CELL("address",info_script!B41)))</f>
        <v>$B$41</v>
      </c>
    </row>
    <row r="23" spans="1:2" x14ac:dyDescent="0.55000000000000004">
      <c r="A23" t="s">
        <v>46</v>
      </c>
      <c r="B23" t="str" cm="1">
        <f t="array" aca="1" ref="B23" ca="1">MID(CELL("address",info_script!I10),FIND("!",CELL("address",info_script!I10))+1,LEN(CELL("address",info_script!I10)))</f>
        <v>$I$10</v>
      </c>
    </row>
    <row r="24" spans="1:2" x14ac:dyDescent="0.55000000000000004">
      <c r="A24" t="s">
        <v>47</v>
      </c>
      <c r="B24" t="str" cm="1">
        <f t="array" aca="1" ref="B24" ca="1">MID(CELL("address",info_script!O209),FIND("!",CELL("address",info_script!O209))+1,LEN(CELL("address",info_script!O209)))</f>
        <v>$O$209</v>
      </c>
    </row>
    <row r="25" spans="1:2" x14ac:dyDescent="0.55000000000000004">
      <c r="A25" t="s">
        <v>48</v>
      </c>
      <c r="B25" t="str" cm="1">
        <f t="array" aca="1" ref="B25" ca="1">MID(CELL("address",info_script!Q10),FIND("!",CELL("address",info_script!Q10))+1,LEN(CELL("address",info_script!Q10)))</f>
        <v>$Q$10</v>
      </c>
    </row>
    <row r="26" spans="1:2" x14ac:dyDescent="0.55000000000000004">
      <c r="A26" t="s">
        <v>49</v>
      </c>
      <c r="B26" t="str" cm="1">
        <f t="array" aca="1" ref="B26" ca="1">MID(CELL("address",info_script!X209),FIND("!",CELL("address",info_script!X209))+1,LEN(CELL("address",info_script!X209)))</f>
        <v>$X$209</v>
      </c>
    </row>
    <row r="31" spans="1:2" x14ac:dyDescent="0.55000000000000004">
      <c r="A31" t="s">
        <v>44</v>
      </c>
      <c r="B31" t="str" cm="1">
        <f t="array" aca="1" ref="B31" ca="1">MID(CELL("address",info_script!BC10),FIND("!",CELL("address",info_script!BC10))+1,LEN(CELL("address",info_script!BC10)))</f>
        <v>$BC$10</v>
      </c>
    </row>
    <row r="32" spans="1:2" x14ac:dyDescent="0.55000000000000004">
      <c r="A32" t="s">
        <v>45</v>
      </c>
      <c r="B32">
        <f>COUNTA(info_script!$BC$10:$BC$209)</f>
        <v>200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211"/>
  <sheetViews>
    <sheetView tabSelected="1" workbookViewId="0">
      <pane xSplit="5" ySplit="9" topLeftCell="F10" activePane="bottomRight" state="frozen"/>
      <selection pane="topRight" activeCell="F1" sqref="F1"/>
      <selection pane="bottomLeft" activeCell="A4" sqref="A4"/>
      <selection pane="bottomRight" activeCell="I10" sqref="I10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G2">
        <v>17</v>
      </c>
      <c r="AH2">
        <v>1</v>
      </c>
      <c r="AI2">
        <v>1</v>
      </c>
      <c r="AJ2">
        <v>0</v>
      </c>
      <c r="AN2">
        <v>10000</v>
      </c>
    </row>
    <row r="3" spans="1:60" x14ac:dyDescent="0.55000000000000004">
      <c r="AD3">
        <v>9</v>
      </c>
      <c r="AE3">
        <v>14</v>
      </c>
      <c r="AF3">
        <v>4</v>
      </c>
      <c r="AG3">
        <v>18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E4">
        <v>16</v>
      </c>
      <c r="AF4">
        <v>15</v>
      </c>
      <c r="AN4">
        <v>0</v>
      </c>
    </row>
    <row r="5" spans="1:60" x14ac:dyDescent="0.55000000000000004">
      <c r="AE5">
        <v>16</v>
      </c>
      <c r="AF5">
        <v>15</v>
      </c>
      <c r="AN5" t="s">
        <v>35</v>
      </c>
    </row>
    <row r="6" spans="1:60" x14ac:dyDescent="0.55000000000000004">
      <c r="AE6">
        <v>19</v>
      </c>
    </row>
    <row r="7" spans="1:60" x14ac:dyDescent="0.55000000000000004">
      <c r="AE7">
        <v>19</v>
      </c>
    </row>
    <row r="8" spans="1:60" x14ac:dyDescent="0.55000000000000004">
      <c r="AD8" t="s">
        <v>36</v>
      </c>
      <c r="AE8" t="s">
        <v>13</v>
      </c>
      <c r="AF8" t="s">
        <v>14</v>
      </c>
      <c r="AG8" t="s">
        <v>51</v>
      </c>
      <c r="AH8" t="s">
        <v>12</v>
      </c>
      <c r="AI8" t="s">
        <v>15</v>
      </c>
      <c r="AN8">
        <v>1</v>
      </c>
      <c r="BE8">
        <v>3</v>
      </c>
    </row>
    <row r="9" spans="1:60" x14ac:dyDescent="0.55000000000000004">
      <c r="A9" t="s">
        <v>5</v>
      </c>
      <c r="E9" s="1"/>
      <c r="F9" s="1"/>
      <c r="G9" s="1"/>
      <c r="I9" s="2" t="s">
        <v>33</v>
      </c>
      <c r="J9" s="2"/>
      <c r="K9" s="2"/>
      <c r="L9" s="2"/>
      <c r="M9" s="2"/>
      <c r="N9" s="2"/>
      <c r="O9" s="2"/>
      <c r="P9" s="1"/>
      <c r="Q9" s="4" t="s">
        <v>34</v>
      </c>
      <c r="R9" s="4"/>
      <c r="S9" s="4"/>
      <c r="T9" s="4"/>
      <c r="U9" s="4"/>
      <c r="V9" s="4"/>
      <c r="W9" s="4"/>
      <c r="X9" s="4"/>
      <c r="Z9" t="s">
        <v>10</v>
      </c>
      <c r="AA9" t="s">
        <v>11</v>
      </c>
      <c r="AB9" t="s">
        <v>18</v>
      </c>
      <c r="AC9" t="s">
        <v>37</v>
      </c>
      <c r="AD9" t="str">
        <f t="shared" ref="AD9:AF9" si="0">$Z$1&amp;"."&amp;AD8</f>
        <v>stDevOut.astAXI</v>
      </c>
      <c r="AE9" t="str">
        <f t="shared" si="0"/>
        <v>stDevOut.astAXK</v>
      </c>
      <c r="AF9" t="str">
        <f t="shared" si="0"/>
        <v>stDevOut.astAXO</v>
      </c>
      <c r="AG9" t="str">
        <f t="shared" ref="AG9" si="1">$Z$1&amp;"."&amp;AG8</f>
        <v>stDevOut.astAXP</v>
      </c>
      <c r="AH9" t="str">
        <f>$Z$1&amp;"."&amp;AH8</f>
        <v>stDevOut.astCYL</v>
      </c>
      <c r="AI9" t="str">
        <f>$Z$1&amp;"."&amp;AI8</f>
        <v>stDevOut.astEC</v>
      </c>
      <c r="AJ9" t="s">
        <v>38</v>
      </c>
      <c r="AK9" t="s">
        <v>16</v>
      </c>
      <c r="AM9" t="s">
        <v>4</v>
      </c>
      <c r="AN9" t="s">
        <v>3</v>
      </c>
      <c r="AS9" t="s">
        <v>28</v>
      </c>
      <c r="AW9" t="s">
        <v>31</v>
      </c>
      <c r="AY9" t="s">
        <v>29</v>
      </c>
      <c r="BC9" t="s">
        <v>30</v>
      </c>
      <c r="BE9" t="s">
        <v>25</v>
      </c>
      <c r="BH9" t="s">
        <v>26</v>
      </c>
    </row>
    <row r="10" spans="1:60" x14ac:dyDescent="0.55000000000000004">
      <c r="A10" t="s">
        <v>6</v>
      </c>
      <c r="B10" t="str" cm="1">
        <f t="array" aca="1" ref="B10" ca="1">CELL("filename")</f>
        <v>C:\tk\prj\hg-0025-0016\git\unit01\kv-x520\doc\[kv_script_exe_errno.xlsm]info_script</v>
      </c>
      <c r="D10">
        <v>0</v>
      </c>
      <c r="E10" t="str">
        <f t="shared" ref="E10:E41" si="2">IF(LEN(I10),I10,IF(LEN(Q10),Q10,""))</f>
        <v/>
      </c>
      <c r="F10" t="str">
        <f>IF(LEN(J10),J10,IF(LEN(Q10),Q10,""))</f>
        <v/>
      </c>
      <c r="G10" t="str">
        <f t="shared" ref="G10:G41" si="3">IF(LEN(O10),O10,IF(LEN(X10),X10,""))</f>
        <v/>
      </c>
      <c r="Z10" t="str">
        <f>IFERROR(IF(COUNTIF($G10,"*"&amp;Z$9&amp;"*"),INT(MID($G10,FIND(Z$9,$G10)+LEN(Z$9)+1,2)),""),"")</f>
        <v/>
      </c>
      <c r="AA10" t="str">
        <f>IFERROR(IF(COUNTIF($G10,"*"&amp;AA$9&amp;"*"),INT(MID($G10,FIND(AA$9,$G10)+LEN(AA$9),2)),""),"")</f>
        <v/>
      </c>
      <c r="AB10" t="str">
        <f>IFERROR(IF(COUNTIF($G10,"*"&amp;AB$9&amp;"*"),INT(MID($G10,FIND(AB$9,$G10)+LEN(AB$9),2)),""),"")</f>
        <v/>
      </c>
      <c r="AC10" t="str">
        <f>IFERROR(IF(COUNTIF($G10,"*"&amp;AC$9&amp;"*"),INT(MID($G10,FIND(AC$9,$G10)+LEN(AC$9),2)),""),"")</f>
        <v/>
      </c>
      <c r="AD10" t="str">
        <f>IFERROR(IF(AND(LEN($Z10),AD$2&lt;=$Z10,$Z10&lt;=AD$3),AD$9&amp;"["&amp;$Z10-AD$2&amp;"]",""),"")</f>
        <v/>
      </c>
      <c r="AE10" t="str">
        <f>IFERROR(IF(AND(LEN($Z10),AE$2&lt;=$Z10,$Z10&lt;=AE$3),AE$9&amp;"["&amp;$Z10-AE$2&amp;"]",IF(AND(LEN($Z10),AE$4&lt;=$Z10,$Z10&lt;=AE$5),AE$9&amp;"["&amp;AE$3+$Z10-AE$4-AE$2+1&amp;"]",IF(AND(LEN($Z10),AE$6&lt;=$Z10,$Z10&lt;=AE$7),AE$9&amp;"["&amp;AE$5+$Z10-AE$6-AE$4+1&amp;"]",""))),"")</f>
        <v/>
      </c>
      <c r="AF10" t="str">
        <f>IFERROR(IF(AND(LEN($Z10),AF$2&lt;=$Z10,$Z10&lt;=AF$3),AF$9&amp;"["&amp;$Z10-AF$2&amp;"]",IF(AND(LEN($Z10),AF$4&lt;=$Z10,$Z10&lt;=AF$5),AF$9&amp;"["&amp;AF$3+$Z10-AF$4-AF$2+1&amp;"]","")),"")</f>
        <v/>
      </c>
      <c r="AG10" t="str">
        <f>IFERROR(IF(AND(LEN($Z10),AG$2&lt;=$Z10,$Z10&lt;=AG$3),AG$9&amp;"["&amp;$Z10-AG$2&amp;"]",IF(AND(LEN($Z10),AG$4&lt;=$Z10,$Z10&lt;=AG$5),AG$9&amp;"["&amp;AG$3+$Z10-AG$4&amp;"]","")),"")</f>
        <v/>
      </c>
      <c r="AH10" t="str">
        <f>IFERROR(IF(AND(LEN($AA10),AH$2&lt;=$AA10,$AA10&lt;=AH$3),AH$9&amp;"["&amp;$AA10-AH$2&amp;"]",""),"")</f>
        <v/>
      </c>
      <c r="AI10" t="str">
        <f>IFERROR(IF(AND(LEN($AB10),AI$2&lt;=$AB10,$AB10&lt;=AI$3),AI$9&amp;"["&amp;$AB10-AI$2&amp;"]",""),"")</f>
        <v/>
      </c>
      <c r="AJ10" t="str">
        <f>IF(AND(LEN($AC10),AJ$2&lt;=$AC10,$AC10&lt;=AJ$3),AJ$9&amp;$AC10-AJ$2&amp;"Out","")</f>
        <v/>
      </c>
      <c r="AK10" t="str">
        <f>IF(LEN(_xlfn.CONCAT(AD10:AJ10)),_xlfn.CONCAT(AD10:AJ10),"")</f>
        <v/>
      </c>
      <c r="AM10" t="str">
        <f>IF(LEN(G10),IF(OR(COUNTIF(G10,"*◆*"),COUNTIF(G10,"*▼*"),COUNTIF(G10,"*▽*"),COUNTIF(G10,"*■*")),"","●"),"")</f>
        <v/>
      </c>
      <c r="AN10" t="str">
        <f>IF(AM10="●",(AN$4+MOD(INT(MID(E10,5,LEN(E10)-4)),AN$2))*AN$8,"")</f>
        <v/>
      </c>
      <c r="AO10" t="str">
        <f t="shared" ref="AO10:AO41" si="4">IF($AM10="●","LDP "&amp;E10&amp;"."&amp;$B$16,"")</f>
        <v/>
      </c>
      <c r="AP10" t="str">
        <f t="shared" ref="AP10:AP41" si="5">IF($AM10="●","AND=.D "&amp;$B$17&amp;" #0","")</f>
        <v/>
      </c>
      <c r="AQ10" t="str">
        <f t="shared" ref="AQ10:AQ41" si="6">IF($AM10="●","MOV.D #"&amp;AN10&amp;" "&amp;$B$17,"")</f>
        <v/>
      </c>
      <c r="AR10" t="str">
        <f t="shared" ref="AR10:AR41" si="7">IF(LEN(AK10),"MOV.D "&amp;$AK10&amp;" "&amp;$B$19,"")</f>
        <v/>
      </c>
      <c r="AS10" t="str">
        <f t="shared" ref="AS10:AS41" si="8">IF(AND(D10&lt;&gt;0,AM10="●"),CHAR(10),"")&amp;IF(LEN(AO10),AO10,"")</f>
        <v/>
      </c>
      <c r="AT10" t="str">
        <f t="shared" ref="AT10:AT41" si="9">IF(LEN(AS10),AS10&amp;CHAR(10),"")&amp;IF(LEN(AP10),AP10,"")</f>
        <v/>
      </c>
      <c r="AU10" t="str">
        <f t="shared" ref="AU10:AU41" si="10">IF(LEN(AT10),AT10&amp;CHAR(10),"")&amp;IF(LEN(AQ10),AQ10,"")</f>
        <v/>
      </c>
      <c r="AV10" t="str">
        <f>IF(LEN(AU10),AU10&amp;CHAR(10),"")&amp;IF(LEN(AR10),AR10,"")</f>
        <v/>
      </c>
      <c r="AW10" t="str">
        <f>AV10</f>
        <v/>
      </c>
      <c r="AY10" t="str">
        <f t="shared" ref="AY10:AY41" si="11">IF($AM10="●",AT10&amp;CHAR(10)&amp;"BOX_ST"&amp;CHAR(10)&amp;";//"&amp;$B$30,"")</f>
        <v/>
      </c>
      <c r="AZ10" t="str">
        <f t="shared" ref="AZ10:AZ41" si="12">IF($AM10="●",IF(LEN(AY10),AY10&amp;CHAR(10),"")&amp;";//エラーNo.を入れる"&amp;CHAR(10)&amp;";"&amp;$B$17&amp;"	:= "&amp;AN10&amp;";","")</f>
        <v/>
      </c>
      <c r="BA10" t="str">
        <f t="shared" ref="BA10:BA41" si="13">IF($AM10="●",IF(LEN(AZ10),AZ10&amp;CHAR(10),"")&amp;";//カウントする"&amp;CHAR(10)&amp;";"&amp;$B$18&amp;"	:= "&amp;$B$18&amp;" + 1;","")</f>
        <v/>
      </c>
      <c r="BB10" t="str">
        <f>IF($AM10="●",IF(LEN(BA10),BA10&amp;CHAR(10),"")&amp;IF(LEN(AK10),";//エラーコードを入れる"&amp;CHAR(10)&amp;";"&amp;$B$19&amp;"	:= "&amp;AK10&amp;".udiErrNo;",""),"")</f>
        <v/>
      </c>
      <c r="BC10" t="str">
        <f t="shared" ref="BC10:BC41" si="14">IF($AM10="●",IF(LEN(BB10),BB10&amp;CHAR(10),"")&amp;";//"&amp;$B$31,"")</f>
        <v/>
      </c>
      <c r="BE10">
        <f t="shared" ref="BE10:BE41" si="15">INT(D10/$BE$8)</f>
        <v>0</v>
      </c>
      <c r="BF10">
        <f t="shared" ref="BF10:BF41" si="16">MOD(D10,$BE$8)</f>
        <v>0</v>
      </c>
      <c r="BG10" t="str">
        <f t="shared" ref="BG10:BG41" si="17">IF(LEN(E10),E10&amp;".x"&amp;TEXT(BF10,"0")&amp;CHAR(9)&amp;" := FALSE;","")</f>
        <v/>
      </c>
      <c r="BH10" t="str">
        <f>IF(LEN(BG10),BG10&amp;CHAR(10),"")</f>
        <v/>
      </c>
    </row>
    <row r="11" spans="1:60" x14ac:dyDescent="0.55000000000000004">
      <c r="D11">
        <v>1</v>
      </c>
      <c r="E11" t="str">
        <f t="shared" si="2"/>
        <v/>
      </c>
      <c r="F11" t="str">
        <f t="shared" ref="F11:F74" si="18">IF(LEN(J11),J11,IF(LEN(Q11),Q11,""))</f>
        <v/>
      </c>
      <c r="G11" t="str">
        <f t="shared" si="3"/>
        <v/>
      </c>
      <c r="I11" s="3"/>
      <c r="Z11" t="str">
        <f t="shared" ref="Z11:Z74" si="19">IFERROR(IF(COUNTIF($G11,"*"&amp;Z$9&amp;"*"),INT(MID($G11,FIND(Z$9,$G11)+LEN(Z$9)+1,2)),""),"")</f>
        <v/>
      </c>
      <c r="AA11" t="str">
        <f t="shared" ref="AA11:AC42" si="20">IFERROR(IF(COUNTIF($G11,"*"&amp;AA$9&amp;"*"),INT(MID($G11,FIND(AA$9,$G11)+LEN(AA$9),2)),""),"")</f>
        <v/>
      </c>
      <c r="AB11" t="str">
        <f t="shared" si="20"/>
        <v/>
      </c>
      <c r="AC11" t="str">
        <f t="shared" si="20"/>
        <v/>
      </c>
      <c r="AD11" t="str">
        <f t="shared" ref="AD11:AD74" si="21">IFERROR(IF(AND(LEN($Z11),AD$2&lt;=$Z11,$Z11&lt;=AD$3),AD$9&amp;"["&amp;$Z11-AD$2&amp;"]",""),"")</f>
        <v/>
      </c>
      <c r="AE11" t="str">
        <f t="shared" ref="AE11:AE74" si="22">IFERROR(IF(AND(LEN($Z11),AE$2&lt;=$Z11,$Z11&lt;=AE$3),AE$9&amp;"["&amp;$Z11-AE$2&amp;"]",IF(AND(LEN($Z11),AE$4&lt;=$Z11,$Z11&lt;=AE$5),AE$9&amp;"["&amp;AE$3+$Z11-AE$4-AE$2+1&amp;"]",IF(AND(LEN($Z11),AE$6&lt;=$Z11,$Z11&lt;=AE$7),AE$9&amp;"["&amp;AE$5+$Z11-AE$6-AE$4+1&amp;"]",""))),"")</f>
        <v/>
      </c>
      <c r="AF11" t="str">
        <f t="shared" ref="AF11:AF74" si="23">IFERROR(IF(AND(LEN($Z11),AF$2&lt;=$Z11,$Z11&lt;=AF$3),AF$9&amp;"["&amp;$Z11-AF$2&amp;"]",IF(AND(LEN($Z11),AF$4&lt;=$Z11,$Z11&lt;=AF$5),AF$9&amp;"["&amp;AF$3+$Z11-AF$4-AF$2+1&amp;"]","")),"")</f>
        <v/>
      </c>
      <c r="AG11" t="str">
        <f t="shared" ref="AG11:AG74" si="24">IFERROR(IF(AND(LEN($Z11),AG$2&lt;=$Z11,$Z11&lt;=AG$3),AG$9&amp;"["&amp;$Z11-AG$2&amp;"]",IF(AND(LEN($Z11),AG$4&lt;=$Z11,$Z11&lt;=AG$5),AG$9&amp;"["&amp;AG$3+$Z11-AG$4&amp;"]","")),"")</f>
        <v/>
      </c>
      <c r="AH11" t="str">
        <f t="shared" ref="AH11:AH74" si="25">IFERROR(IF(AND(LEN($AA11),AH$2&lt;=$AA11,$AA11&lt;=AH$3),AH$9&amp;"["&amp;$AA11-AH$2&amp;"]",""),"")</f>
        <v/>
      </c>
      <c r="AI11" t="str">
        <f t="shared" ref="AI11:AI74" si="26">IFERROR(IF(AND(LEN($AB11),AI$2&lt;=$AB11,$AB11&lt;=AI$3),AI$9&amp;"["&amp;$AB11-AI$2&amp;"]",""),"")</f>
        <v/>
      </c>
      <c r="AJ11" t="str">
        <f t="shared" ref="AJ11:AJ74" si="27">IF(AND(LEN($AC11),AJ$2&lt;=$AC11,$AC11&lt;=AJ$3),AJ$9&amp;$AC11-AJ$2&amp;"Out","")</f>
        <v/>
      </c>
      <c r="AK11" t="str">
        <f t="shared" ref="AK11:AK74" si="28">IF(LEN(_xlfn.CONCAT(AD11:AJ11)),_xlfn.CONCAT(AD11:AJ11),"")</f>
        <v/>
      </c>
      <c r="AM11" t="str">
        <f t="shared" ref="AM11:AM74" si="29">IF(LEN(G11),IF(OR(COUNTIF(G11,"*◆*"),COUNTIF(G11,"*▼*"),COUNTIF(G11,"*▽*"),COUNTIF(G11,"*■*")),"","●"),"")</f>
        <v/>
      </c>
      <c r="AN11" t="str">
        <f t="shared" ref="AN11:AN74" si="30">IF(AM11="●",(AN$4+MOD(INT(MID(E11,5,LEN(E11)-4)),AN$2))*AN$8,"")</f>
        <v/>
      </c>
      <c r="AO11" t="str">
        <f t="shared" si="4"/>
        <v/>
      </c>
      <c r="AP11" t="str">
        <f t="shared" si="5"/>
        <v/>
      </c>
      <c r="AQ11" t="str">
        <f t="shared" si="6"/>
        <v/>
      </c>
      <c r="AR11" t="str">
        <f t="shared" si="7"/>
        <v/>
      </c>
      <c r="AS11" t="str">
        <f t="shared" si="8"/>
        <v/>
      </c>
      <c r="AT11" t="str">
        <f t="shared" si="9"/>
        <v/>
      </c>
      <c r="AU11" t="str">
        <f t="shared" si="10"/>
        <v/>
      </c>
      <c r="AV11" t="str">
        <f t="shared" ref="AV11:AV74" si="31">IF(LEN(AU11),AU11&amp;CHAR(10),"")&amp;IF(LEN(AR11),AR11,"")</f>
        <v/>
      </c>
      <c r="AW11" t="str">
        <f t="shared" ref="AW11:AW74" si="32">AV11</f>
        <v/>
      </c>
      <c r="AY11" t="str">
        <f t="shared" si="11"/>
        <v/>
      </c>
      <c r="AZ11" t="str">
        <f t="shared" si="12"/>
        <v/>
      </c>
      <c r="BA11" t="str">
        <f t="shared" si="13"/>
        <v/>
      </c>
      <c r="BB11" t="str">
        <f t="shared" ref="BB11:BB74" si="33">IF($AM11="●",IF(LEN(BA11),BA11&amp;CHAR(10),"")&amp;IF(LEN(AK11),";//エラーコードを入れる"&amp;CHAR(10)&amp;";"&amp;$B$19&amp;"	:= "&amp;AK11&amp;".udiErrNo;",""),"")</f>
        <v/>
      </c>
      <c r="BC11" t="str">
        <f t="shared" si="14"/>
        <v/>
      </c>
      <c r="BE11">
        <f t="shared" si="15"/>
        <v>0</v>
      </c>
      <c r="BF11">
        <f t="shared" si="16"/>
        <v>1</v>
      </c>
      <c r="BG11" t="str">
        <f t="shared" si="17"/>
        <v/>
      </c>
      <c r="BH11" t="str">
        <f t="shared" ref="BH11:BH74" si="34">IF(LEN(BG11),BG11&amp;CHAR(10),"")</f>
        <v/>
      </c>
    </row>
    <row r="12" spans="1:60" x14ac:dyDescent="0.55000000000000004">
      <c r="D12">
        <v>2</v>
      </c>
      <c r="E12" t="str">
        <f t="shared" si="2"/>
        <v/>
      </c>
      <c r="F12" t="str">
        <f t="shared" si="18"/>
        <v/>
      </c>
      <c r="G12" t="str">
        <f t="shared" si="3"/>
        <v/>
      </c>
      <c r="Z12" t="str">
        <f t="shared" si="19"/>
        <v/>
      </c>
      <c r="AA12" t="str">
        <f t="shared" si="20"/>
        <v/>
      </c>
      <c r="AB12" t="str">
        <f t="shared" si="20"/>
        <v/>
      </c>
      <c r="AC12" t="str">
        <f t="shared" si="20"/>
        <v/>
      </c>
      <c r="AD12" t="str">
        <f t="shared" si="21"/>
        <v/>
      </c>
      <c r="AE12" t="str">
        <f t="shared" si="22"/>
        <v/>
      </c>
      <c r="AF12" t="str">
        <f t="shared" si="23"/>
        <v/>
      </c>
      <c r="AG12" t="str">
        <f t="shared" si="24"/>
        <v/>
      </c>
      <c r="AH12" t="str">
        <f t="shared" si="25"/>
        <v/>
      </c>
      <c r="AI12" t="str">
        <f t="shared" si="26"/>
        <v/>
      </c>
      <c r="AJ12" t="str">
        <f t="shared" si="27"/>
        <v/>
      </c>
      <c r="AK12" t="str">
        <f t="shared" si="28"/>
        <v/>
      </c>
      <c r="AM12" t="str">
        <f t="shared" si="29"/>
        <v/>
      </c>
      <c r="AN12" t="str">
        <f t="shared" si="30"/>
        <v/>
      </c>
      <c r="AO12" t="str">
        <f t="shared" si="4"/>
        <v/>
      </c>
      <c r="AP12" t="str">
        <f t="shared" si="5"/>
        <v/>
      </c>
      <c r="AQ12" t="str">
        <f t="shared" si="6"/>
        <v/>
      </c>
      <c r="AR12" t="str">
        <f t="shared" si="7"/>
        <v/>
      </c>
      <c r="AS12" t="str">
        <f t="shared" si="8"/>
        <v/>
      </c>
      <c r="AT12" t="str">
        <f t="shared" si="9"/>
        <v/>
      </c>
      <c r="AU12" t="str">
        <f t="shared" si="10"/>
        <v/>
      </c>
      <c r="AV12" t="str">
        <f t="shared" si="31"/>
        <v/>
      </c>
      <c r="AW12" t="str">
        <f t="shared" si="32"/>
        <v/>
      </c>
      <c r="AY12" t="str">
        <f t="shared" si="11"/>
        <v/>
      </c>
      <c r="AZ12" t="str">
        <f t="shared" si="12"/>
        <v/>
      </c>
      <c r="BA12" t="str">
        <f t="shared" si="13"/>
        <v/>
      </c>
      <c r="BB12" t="str">
        <f t="shared" si="33"/>
        <v/>
      </c>
      <c r="BC12" t="str">
        <f t="shared" si="14"/>
        <v/>
      </c>
      <c r="BE12">
        <f t="shared" si="15"/>
        <v>0</v>
      </c>
      <c r="BF12">
        <f t="shared" si="16"/>
        <v>2</v>
      </c>
      <c r="BG12" t="str">
        <f t="shared" si="17"/>
        <v/>
      </c>
      <c r="BH12" t="str">
        <f t="shared" si="34"/>
        <v/>
      </c>
    </row>
    <row r="13" spans="1:60" x14ac:dyDescent="0.55000000000000004">
      <c r="D13">
        <v>3</v>
      </c>
      <c r="E13" t="str">
        <f t="shared" si="2"/>
        <v/>
      </c>
      <c r="F13" t="str">
        <f t="shared" si="18"/>
        <v/>
      </c>
      <c r="G13" t="str">
        <f t="shared" si="3"/>
        <v/>
      </c>
      <c r="Z13" t="str">
        <f t="shared" si="19"/>
        <v/>
      </c>
      <c r="AA13" t="str">
        <f t="shared" si="20"/>
        <v/>
      </c>
      <c r="AB13" t="str">
        <f t="shared" si="20"/>
        <v/>
      </c>
      <c r="AC13" t="str">
        <f t="shared" si="20"/>
        <v/>
      </c>
      <c r="AD13" t="str">
        <f t="shared" si="21"/>
        <v/>
      </c>
      <c r="AE13" t="str">
        <f t="shared" si="22"/>
        <v/>
      </c>
      <c r="AF13" t="str">
        <f t="shared" si="23"/>
        <v/>
      </c>
      <c r="AG13" t="str">
        <f t="shared" si="24"/>
        <v/>
      </c>
      <c r="AH13" t="str">
        <f t="shared" si="25"/>
        <v/>
      </c>
      <c r="AI13" t="str">
        <f t="shared" si="26"/>
        <v/>
      </c>
      <c r="AJ13" t="str">
        <f t="shared" si="27"/>
        <v/>
      </c>
      <c r="AK13" t="str">
        <f t="shared" si="28"/>
        <v/>
      </c>
      <c r="AM13" t="str">
        <f t="shared" si="29"/>
        <v/>
      </c>
      <c r="AN13" t="str">
        <f t="shared" si="30"/>
        <v/>
      </c>
      <c r="AO13" t="str">
        <f t="shared" si="4"/>
        <v/>
      </c>
      <c r="AP13" t="str">
        <f t="shared" si="5"/>
        <v/>
      </c>
      <c r="AQ13" t="str">
        <f t="shared" si="6"/>
        <v/>
      </c>
      <c r="AR13" t="str">
        <f t="shared" si="7"/>
        <v/>
      </c>
      <c r="AS13" t="str">
        <f t="shared" si="8"/>
        <v/>
      </c>
      <c r="AT13" t="str">
        <f t="shared" si="9"/>
        <v/>
      </c>
      <c r="AU13" t="str">
        <f t="shared" si="10"/>
        <v/>
      </c>
      <c r="AV13" t="str">
        <f t="shared" si="31"/>
        <v/>
      </c>
      <c r="AW13" t="str">
        <f t="shared" si="32"/>
        <v/>
      </c>
      <c r="AY13" t="str">
        <f t="shared" si="11"/>
        <v/>
      </c>
      <c r="AZ13" t="str">
        <f t="shared" si="12"/>
        <v/>
      </c>
      <c r="BA13" t="str">
        <f t="shared" si="13"/>
        <v/>
      </c>
      <c r="BB13" t="str">
        <f t="shared" si="33"/>
        <v/>
      </c>
      <c r="BC13" t="str">
        <f t="shared" si="14"/>
        <v/>
      </c>
      <c r="BE13">
        <f t="shared" si="15"/>
        <v>1</v>
      </c>
      <c r="BF13">
        <f t="shared" si="16"/>
        <v>0</v>
      </c>
      <c r="BG13" t="str">
        <f t="shared" si="17"/>
        <v/>
      </c>
      <c r="BH13" t="str">
        <f t="shared" si="34"/>
        <v/>
      </c>
    </row>
    <row r="14" spans="1:60" x14ac:dyDescent="0.55000000000000004">
      <c r="D14">
        <v>4</v>
      </c>
      <c r="E14" t="str">
        <f t="shared" si="2"/>
        <v/>
      </c>
      <c r="F14" t="str">
        <f t="shared" si="18"/>
        <v/>
      </c>
      <c r="G14" t="str">
        <f t="shared" si="3"/>
        <v/>
      </c>
      <c r="Z14" t="str">
        <f t="shared" si="19"/>
        <v/>
      </c>
      <c r="AA14" t="str">
        <f t="shared" si="20"/>
        <v/>
      </c>
      <c r="AB14" t="str">
        <f t="shared" si="20"/>
        <v/>
      </c>
      <c r="AC14" t="str">
        <f t="shared" si="20"/>
        <v/>
      </c>
      <c r="AD14" t="str">
        <f t="shared" si="21"/>
        <v/>
      </c>
      <c r="AE14" t="str">
        <f t="shared" si="22"/>
        <v/>
      </c>
      <c r="AF14" t="str">
        <f t="shared" si="23"/>
        <v/>
      </c>
      <c r="AG14" t="str">
        <f t="shared" si="24"/>
        <v/>
      </c>
      <c r="AH14" t="str">
        <f t="shared" si="25"/>
        <v/>
      </c>
      <c r="AI14" t="str">
        <f t="shared" si="26"/>
        <v/>
      </c>
      <c r="AJ14" t="str">
        <f t="shared" si="27"/>
        <v/>
      </c>
      <c r="AK14" t="str">
        <f t="shared" si="28"/>
        <v/>
      </c>
      <c r="AM14" t="str">
        <f t="shared" si="29"/>
        <v/>
      </c>
      <c r="AN14" t="str">
        <f t="shared" si="30"/>
        <v/>
      </c>
      <c r="AO14" t="str">
        <f t="shared" si="4"/>
        <v/>
      </c>
      <c r="AP14" t="str">
        <f t="shared" si="5"/>
        <v/>
      </c>
      <c r="AQ14" t="str">
        <f t="shared" si="6"/>
        <v/>
      </c>
      <c r="AR14" t="str">
        <f t="shared" si="7"/>
        <v/>
      </c>
      <c r="AS14" t="str">
        <f t="shared" si="8"/>
        <v/>
      </c>
      <c r="AT14" t="str">
        <f t="shared" si="9"/>
        <v/>
      </c>
      <c r="AU14" t="str">
        <f t="shared" si="10"/>
        <v/>
      </c>
      <c r="AV14" t="str">
        <f t="shared" si="31"/>
        <v/>
      </c>
      <c r="AW14" t="str">
        <f t="shared" si="32"/>
        <v/>
      </c>
      <c r="AY14" t="str">
        <f t="shared" si="11"/>
        <v/>
      </c>
      <c r="AZ14" t="str">
        <f t="shared" si="12"/>
        <v/>
      </c>
      <c r="BA14" t="str">
        <f t="shared" si="13"/>
        <v/>
      </c>
      <c r="BB14" t="str">
        <f t="shared" si="33"/>
        <v/>
      </c>
      <c r="BC14" t="str">
        <f t="shared" si="14"/>
        <v/>
      </c>
      <c r="BE14">
        <f t="shared" si="15"/>
        <v>1</v>
      </c>
      <c r="BF14">
        <f t="shared" si="16"/>
        <v>1</v>
      </c>
      <c r="BG14" t="str">
        <f t="shared" si="17"/>
        <v/>
      </c>
      <c r="BH14" t="str">
        <f t="shared" si="34"/>
        <v/>
      </c>
    </row>
    <row r="15" spans="1:60" x14ac:dyDescent="0.55000000000000004">
      <c r="D15">
        <v>5</v>
      </c>
      <c r="E15" t="str">
        <f t="shared" si="2"/>
        <v/>
      </c>
      <c r="F15" t="str">
        <f t="shared" si="18"/>
        <v/>
      </c>
      <c r="G15" t="str">
        <f t="shared" si="3"/>
        <v/>
      </c>
      <c r="Z15" t="str">
        <f t="shared" si="19"/>
        <v/>
      </c>
      <c r="AA15" t="str">
        <f t="shared" si="20"/>
        <v/>
      </c>
      <c r="AB15" t="str">
        <f t="shared" si="20"/>
        <v/>
      </c>
      <c r="AC15" t="str">
        <f t="shared" si="20"/>
        <v/>
      </c>
      <c r="AD15" t="str">
        <f t="shared" si="21"/>
        <v/>
      </c>
      <c r="AE15" t="str">
        <f t="shared" si="22"/>
        <v/>
      </c>
      <c r="AF15" t="str">
        <f t="shared" si="23"/>
        <v/>
      </c>
      <c r="AG15" t="str">
        <f t="shared" si="24"/>
        <v/>
      </c>
      <c r="AH15" t="str">
        <f t="shared" si="25"/>
        <v/>
      </c>
      <c r="AI15" t="str">
        <f t="shared" si="26"/>
        <v/>
      </c>
      <c r="AJ15" t="str">
        <f t="shared" si="27"/>
        <v/>
      </c>
      <c r="AK15" t="str">
        <f t="shared" si="28"/>
        <v/>
      </c>
      <c r="AM15" t="str">
        <f t="shared" si="29"/>
        <v/>
      </c>
      <c r="AN15" t="str">
        <f t="shared" si="30"/>
        <v/>
      </c>
      <c r="AO15" t="str">
        <f t="shared" si="4"/>
        <v/>
      </c>
      <c r="AP15" t="str">
        <f t="shared" si="5"/>
        <v/>
      </c>
      <c r="AQ15" t="str">
        <f t="shared" si="6"/>
        <v/>
      </c>
      <c r="AR15" t="str">
        <f t="shared" si="7"/>
        <v/>
      </c>
      <c r="AS15" t="str">
        <f t="shared" si="8"/>
        <v/>
      </c>
      <c r="AT15" t="str">
        <f t="shared" si="9"/>
        <v/>
      </c>
      <c r="AU15" t="str">
        <f t="shared" si="10"/>
        <v/>
      </c>
      <c r="AV15" t="str">
        <f t="shared" si="31"/>
        <v/>
      </c>
      <c r="AW15" t="str">
        <f t="shared" si="32"/>
        <v/>
      </c>
      <c r="AY15" t="str">
        <f t="shared" si="11"/>
        <v/>
      </c>
      <c r="AZ15" t="str">
        <f t="shared" si="12"/>
        <v/>
      </c>
      <c r="BA15" t="str">
        <f t="shared" si="13"/>
        <v/>
      </c>
      <c r="BB15" t="str">
        <f t="shared" si="33"/>
        <v/>
      </c>
      <c r="BC15" t="str">
        <f t="shared" si="14"/>
        <v/>
      </c>
      <c r="BE15">
        <f t="shared" si="15"/>
        <v>1</v>
      </c>
      <c r="BF15">
        <f t="shared" si="16"/>
        <v>2</v>
      </c>
      <c r="BG15" t="str">
        <f t="shared" si="17"/>
        <v/>
      </c>
      <c r="BH15" t="str">
        <f t="shared" si="34"/>
        <v/>
      </c>
    </row>
    <row r="16" spans="1:60" x14ac:dyDescent="0.55000000000000004">
      <c r="A16" t="s">
        <v>2</v>
      </c>
      <c r="B16" t="s">
        <v>1</v>
      </c>
      <c r="D16">
        <v>6</v>
      </c>
      <c r="E16" t="str">
        <f t="shared" si="2"/>
        <v/>
      </c>
      <c r="F16" t="str">
        <f t="shared" si="18"/>
        <v/>
      </c>
      <c r="G16" t="str">
        <f t="shared" si="3"/>
        <v/>
      </c>
      <c r="Z16" t="str">
        <f t="shared" si="19"/>
        <v/>
      </c>
      <c r="AA16" t="str">
        <f t="shared" si="20"/>
        <v/>
      </c>
      <c r="AB16" t="str">
        <f t="shared" si="20"/>
        <v/>
      </c>
      <c r="AC16" t="str">
        <f t="shared" si="20"/>
        <v/>
      </c>
      <c r="AD16" t="str">
        <f t="shared" si="21"/>
        <v/>
      </c>
      <c r="AE16" t="str">
        <f t="shared" si="22"/>
        <v/>
      </c>
      <c r="AF16" t="str">
        <f t="shared" si="23"/>
        <v/>
      </c>
      <c r="AG16" t="str">
        <f t="shared" si="24"/>
        <v/>
      </c>
      <c r="AH16" t="str">
        <f t="shared" si="25"/>
        <v/>
      </c>
      <c r="AI16" t="str">
        <f t="shared" si="26"/>
        <v/>
      </c>
      <c r="AJ16" t="str">
        <f t="shared" si="27"/>
        <v/>
      </c>
      <c r="AK16" t="str">
        <f t="shared" si="28"/>
        <v/>
      </c>
      <c r="AM16" t="str">
        <f t="shared" si="29"/>
        <v/>
      </c>
      <c r="AN16" t="str">
        <f t="shared" si="30"/>
        <v/>
      </c>
      <c r="AO16" t="str">
        <f t="shared" si="4"/>
        <v/>
      </c>
      <c r="AP16" t="str">
        <f t="shared" si="5"/>
        <v/>
      </c>
      <c r="AQ16" t="str">
        <f t="shared" si="6"/>
        <v/>
      </c>
      <c r="AR16" t="str">
        <f t="shared" si="7"/>
        <v/>
      </c>
      <c r="AS16" t="str">
        <f t="shared" si="8"/>
        <v/>
      </c>
      <c r="AT16" t="str">
        <f t="shared" si="9"/>
        <v/>
      </c>
      <c r="AU16" t="str">
        <f t="shared" si="10"/>
        <v/>
      </c>
      <c r="AV16" t="str">
        <f t="shared" si="31"/>
        <v/>
      </c>
      <c r="AW16" t="str">
        <f t="shared" si="32"/>
        <v/>
      </c>
      <c r="AY16" t="str">
        <f t="shared" si="11"/>
        <v/>
      </c>
      <c r="AZ16" t="str">
        <f t="shared" si="12"/>
        <v/>
      </c>
      <c r="BA16" t="str">
        <f t="shared" si="13"/>
        <v/>
      </c>
      <c r="BB16" t="str">
        <f t="shared" si="33"/>
        <v/>
      </c>
      <c r="BC16" t="str">
        <f t="shared" si="14"/>
        <v/>
      </c>
      <c r="BE16">
        <f t="shared" si="15"/>
        <v>2</v>
      </c>
      <c r="BF16">
        <f t="shared" si="16"/>
        <v>0</v>
      </c>
      <c r="BG16" t="str">
        <f t="shared" si="17"/>
        <v/>
      </c>
      <c r="BH16" t="str">
        <f t="shared" si="34"/>
        <v/>
      </c>
    </row>
    <row r="17" spans="1:60" x14ac:dyDescent="0.55000000000000004">
      <c r="A17" t="s">
        <v>0</v>
      </c>
      <c r="B17" t="s">
        <v>32</v>
      </c>
      <c r="D17">
        <v>7</v>
      </c>
      <c r="E17" t="str">
        <f t="shared" si="2"/>
        <v/>
      </c>
      <c r="F17" t="str">
        <f t="shared" si="18"/>
        <v/>
      </c>
      <c r="G17" t="str">
        <f t="shared" si="3"/>
        <v/>
      </c>
      <c r="Z17" t="str">
        <f t="shared" si="19"/>
        <v/>
      </c>
      <c r="AA17" t="str">
        <f t="shared" si="20"/>
        <v/>
      </c>
      <c r="AB17" t="str">
        <f t="shared" si="20"/>
        <v/>
      </c>
      <c r="AC17" t="str">
        <f t="shared" si="20"/>
        <v/>
      </c>
      <c r="AD17" t="str">
        <f t="shared" si="21"/>
        <v/>
      </c>
      <c r="AE17" t="str">
        <f t="shared" si="22"/>
        <v/>
      </c>
      <c r="AF17" t="str">
        <f t="shared" si="23"/>
        <v/>
      </c>
      <c r="AG17" t="str">
        <f t="shared" si="24"/>
        <v/>
      </c>
      <c r="AH17" t="str">
        <f t="shared" si="25"/>
        <v/>
      </c>
      <c r="AI17" t="str">
        <f t="shared" si="26"/>
        <v/>
      </c>
      <c r="AJ17" t="str">
        <f t="shared" si="27"/>
        <v/>
      </c>
      <c r="AK17" t="str">
        <f t="shared" si="28"/>
        <v/>
      </c>
      <c r="AM17" t="str">
        <f t="shared" si="29"/>
        <v/>
      </c>
      <c r="AN17" t="str">
        <f t="shared" si="30"/>
        <v/>
      </c>
      <c r="AO17" t="str">
        <f t="shared" si="4"/>
        <v/>
      </c>
      <c r="AP17" t="str">
        <f t="shared" si="5"/>
        <v/>
      </c>
      <c r="AQ17" t="str">
        <f t="shared" si="6"/>
        <v/>
      </c>
      <c r="AR17" t="str">
        <f t="shared" si="7"/>
        <v/>
      </c>
      <c r="AS17" t="str">
        <f t="shared" si="8"/>
        <v/>
      </c>
      <c r="AT17" t="str">
        <f t="shared" si="9"/>
        <v/>
      </c>
      <c r="AU17" t="str">
        <f t="shared" si="10"/>
        <v/>
      </c>
      <c r="AV17" t="str">
        <f t="shared" si="31"/>
        <v/>
      </c>
      <c r="AW17" t="str">
        <f t="shared" si="32"/>
        <v/>
      </c>
      <c r="AY17" t="str">
        <f t="shared" si="11"/>
        <v/>
      </c>
      <c r="AZ17" t="str">
        <f t="shared" si="12"/>
        <v/>
      </c>
      <c r="BA17" t="str">
        <f t="shared" si="13"/>
        <v/>
      </c>
      <c r="BB17" t="str">
        <f t="shared" si="33"/>
        <v/>
      </c>
      <c r="BC17" t="str">
        <f t="shared" si="14"/>
        <v/>
      </c>
      <c r="BE17">
        <f t="shared" si="15"/>
        <v>2</v>
      </c>
      <c r="BF17">
        <f t="shared" si="16"/>
        <v>1</v>
      </c>
      <c r="BG17" t="str">
        <f t="shared" si="17"/>
        <v/>
      </c>
      <c r="BH17" t="str">
        <f t="shared" si="34"/>
        <v/>
      </c>
    </row>
    <row r="18" spans="1:60" x14ac:dyDescent="0.55000000000000004">
      <c r="A18" t="s">
        <v>23</v>
      </c>
      <c r="B18" t="s">
        <v>24</v>
      </c>
      <c r="D18">
        <v>8</v>
      </c>
      <c r="E18" t="str">
        <f t="shared" si="2"/>
        <v/>
      </c>
      <c r="F18" t="str">
        <f t="shared" si="18"/>
        <v/>
      </c>
      <c r="G18" t="str">
        <f t="shared" si="3"/>
        <v/>
      </c>
      <c r="Z18" t="str">
        <f t="shared" si="19"/>
        <v/>
      </c>
      <c r="AA18" t="str">
        <f t="shared" si="20"/>
        <v/>
      </c>
      <c r="AB18" t="str">
        <f t="shared" si="20"/>
        <v/>
      </c>
      <c r="AC18" t="str">
        <f t="shared" si="20"/>
        <v/>
      </c>
      <c r="AD18" t="str">
        <f t="shared" si="21"/>
        <v/>
      </c>
      <c r="AE18" t="str">
        <f t="shared" si="22"/>
        <v/>
      </c>
      <c r="AF18" t="str">
        <f t="shared" si="23"/>
        <v/>
      </c>
      <c r="AG18" t="str">
        <f t="shared" si="24"/>
        <v/>
      </c>
      <c r="AH18" t="str">
        <f t="shared" si="25"/>
        <v/>
      </c>
      <c r="AI18" t="str">
        <f t="shared" si="26"/>
        <v/>
      </c>
      <c r="AJ18" t="str">
        <f t="shared" si="27"/>
        <v/>
      </c>
      <c r="AK18" t="str">
        <f t="shared" si="28"/>
        <v/>
      </c>
      <c r="AM18" t="str">
        <f t="shared" si="29"/>
        <v/>
      </c>
      <c r="AN18" t="str">
        <f t="shared" si="30"/>
        <v/>
      </c>
      <c r="AO18" t="str">
        <f t="shared" si="4"/>
        <v/>
      </c>
      <c r="AP18" t="str">
        <f t="shared" si="5"/>
        <v/>
      </c>
      <c r="AQ18" t="str">
        <f t="shared" si="6"/>
        <v/>
      </c>
      <c r="AR18" t="str">
        <f t="shared" si="7"/>
        <v/>
      </c>
      <c r="AS18" t="str">
        <f t="shared" si="8"/>
        <v/>
      </c>
      <c r="AT18" t="str">
        <f t="shared" si="9"/>
        <v/>
      </c>
      <c r="AU18" t="str">
        <f t="shared" si="10"/>
        <v/>
      </c>
      <c r="AV18" t="str">
        <f t="shared" si="31"/>
        <v/>
      </c>
      <c r="AW18" t="str">
        <f t="shared" si="32"/>
        <v/>
      </c>
      <c r="AY18" t="str">
        <f t="shared" si="11"/>
        <v/>
      </c>
      <c r="AZ18" t="str">
        <f t="shared" si="12"/>
        <v/>
      </c>
      <c r="BA18" t="str">
        <f t="shared" si="13"/>
        <v/>
      </c>
      <c r="BB18" t="str">
        <f t="shared" si="33"/>
        <v/>
      </c>
      <c r="BC18" t="str">
        <f t="shared" si="14"/>
        <v/>
      </c>
      <c r="BE18">
        <f t="shared" si="15"/>
        <v>2</v>
      </c>
      <c r="BF18">
        <f t="shared" si="16"/>
        <v>2</v>
      </c>
      <c r="BG18" t="str">
        <f t="shared" si="17"/>
        <v/>
      </c>
      <c r="BH18" t="str">
        <f t="shared" si="34"/>
        <v/>
      </c>
    </row>
    <row r="19" spans="1:60" x14ac:dyDescent="0.55000000000000004">
      <c r="A19" t="s">
        <v>17</v>
      </c>
      <c r="B19" t="s">
        <v>27</v>
      </c>
      <c r="D19">
        <v>9</v>
      </c>
      <c r="E19" t="str">
        <f t="shared" si="2"/>
        <v/>
      </c>
      <c r="F19" t="str">
        <f t="shared" si="18"/>
        <v/>
      </c>
      <c r="G19" t="str">
        <f t="shared" si="3"/>
        <v/>
      </c>
      <c r="Z19" t="str">
        <f t="shared" si="19"/>
        <v/>
      </c>
      <c r="AA19" t="str">
        <f t="shared" si="20"/>
        <v/>
      </c>
      <c r="AB19" t="str">
        <f t="shared" si="20"/>
        <v/>
      </c>
      <c r="AC19" t="str">
        <f t="shared" si="20"/>
        <v/>
      </c>
      <c r="AD19" t="str">
        <f t="shared" si="21"/>
        <v/>
      </c>
      <c r="AE19" t="str">
        <f t="shared" si="22"/>
        <v/>
      </c>
      <c r="AF19" t="str">
        <f t="shared" si="23"/>
        <v/>
      </c>
      <c r="AG19" t="str">
        <f t="shared" si="24"/>
        <v/>
      </c>
      <c r="AH19" t="str">
        <f t="shared" si="25"/>
        <v/>
      </c>
      <c r="AI19" t="str">
        <f t="shared" si="26"/>
        <v/>
      </c>
      <c r="AJ19" t="str">
        <f t="shared" si="27"/>
        <v/>
      </c>
      <c r="AK19" t="str">
        <f t="shared" si="28"/>
        <v/>
      </c>
      <c r="AM19" t="str">
        <f t="shared" si="29"/>
        <v/>
      </c>
      <c r="AN19" t="str">
        <f t="shared" si="30"/>
        <v/>
      </c>
      <c r="AO19" t="str">
        <f t="shared" si="4"/>
        <v/>
      </c>
      <c r="AP19" t="str">
        <f t="shared" si="5"/>
        <v/>
      </c>
      <c r="AQ19" t="str">
        <f t="shared" si="6"/>
        <v/>
      </c>
      <c r="AR19" t="str">
        <f t="shared" si="7"/>
        <v/>
      </c>
      <c r="AS19" t="str">
        <f t="shared" si="8"/>
        <v/>
      </c>
      <c r="AT19" t="str">
        <f t="shared" si="9"/>
        <v/>
      </c>
      <c r="AU19" t="str">
        <f t="shared" si="10"/>
        <v/>
      </c>
      <c r="AV19" t="str">
        <f t="shared" si="31"/>
        <v/>
      </c>
      <c r="AW19" t="str">
        <f t="shared" si="32"/>
        <v/>
      </c>
      <c r="AY19" t="str">
        <f t="shared" si="11"/>
        <v/>
      </c>
      <c r="AZ19" t="str">
        <f t="shared" si="12"/>
        <v/>
      </c>
      <c r="BA19" t="str">
        <f t="shared" si="13"/>
        <v/>
      </c>
      <c r="BB19" t="str">
        <f t="shared" si="33"/>
        <v/>
      </c>
      <c r="BC19" t="str">
        <f t="shared" si="14"/>
        <v/>
      </c>
      <c r="BE19">
        <f t="shared" si="15"/>
        <v>3</v>
      </c>
      <c r="BF19">
        <f t="shared" si="16"/>
        <v>0</v>
      </c>
      <c r="BG19" t="str">
        <f t="shared" si="17"/>
        <v/>
      </c>
      <c r="BH19" t="str">
        <f t="shared" si="34"/>
        <v/>
      </c>
    </row>
    <row r="20" spans="1:60" x14ac:dyDescent="0.55000000000000004">
      <c r="D20">
        <v>10</v>
      </c>
      <c r="E20" t="str">
        <f t="shared" si="2"/>
        <v/>
      </c>
      <c r="F20" t="str">
        <f t="shared" si="18"/>
        <v/>
      </c>
      <c r="G20" t="str">
        <f t="shared" si="3"/>
        <v/>
      </c>
      <c r="Z20" t="str">
        <f t="shared" si="19"/>
        <v/>
      </c>
      <c r="AA20" t="str">
        <f t="shared" si="20"/>
        <v/>
      </c>
      <c r="AB20" t="str">
        <f t="shared" si="20"/>
        <v/>
      </c>
      <c r="AC20" t="str">
        <f t="shared" si="20"/>
        <v/>
      </c>
      <c r="AD20" t="str">
        <f t="shared" si="21"/>
        <v/>
      </c>
      <c r="AE20" t="str">
        <f t="shared" si="22"/>
        <v/>
      </c>
      <c r="AF20" t="str">
        <f t="shared" si="23"/>
        <v/>
      </c>
      <c r="AG20" t="str">
        <f t="shared" si="24"/>
        <v/>
      </c>
      <c r="AH20" t="str">
        <f t="shared" si="25"/>
        <v/>
      </c>
      <c r="AI20" t="str">
        <f t="shared" si="26"/>
        <v/>
      </c>
      <c r="AJ20" t="str">
        <f t="shared" si="27"/>
        <v/>
      </c>
      <c r="AK20" t="str">
        <f t="shared" si="28"/>
        <v/>
      </c>
      <c r="AM20" t="str">
        <f t="shared" si="29"/>
        <v/>
      </c>
      <c r="AN20" t="str">
        <f t="shared" si="30"/>
        <v/>
      </c>
      <c r="AO20" t="str">
        <f t="shared" si="4"/>
        <v/>
      </c>
      <c r="AP20" t="str">
        <f t="shared" si="5"/>
        <v/>
      </c>
      <c r="AQ20" t="str">
        <f t="shared" si="6"/>
        <v/>
      </c>
      <c r="AR20" t="str">
        <f t="shared" si="7"/>
        <v/>
      </c>
      <c r="AS20" t="str">
        <f t="shared" si="8"/>
        <v/>
      </c>
      <c r="AT20" t="str">
        <f t="shared" si="9"/>
        <v/>
      </c>
      <c r="AU20" t="str">
        <f t="shared" si="10"/>
        <v/>
      </c>
      <c r="AV20" t="str">
        <f t="shared" si="31"/>
        <v/>
      </c>
      <c r="AW20" t="str">
        <f t="shared" si="32"/>
        <v/>
      </c>
      <c r="AY20" t="str">
        <f t="shared" si="11"/>
        <v/>
      </c>
      <c r="AZ20" t="str">
        <f t="shared" si="12"/>
        <v/>
      </c>
      <c r="BA20" t="str">
        <f t="shared" si="13"/>
        <v/>
      </c>
      <c r="BB20" t="str">
        <f t="shared" si="33"/>
        <v/>
      </c>
      <c r="BC20" t="str">
        <f t="shared" si="14"/>
        <v/>
      </c>
      <c r="BE20">
        <f t="shared" si="15"/>
        <v>3</v>
      </c>
      <c r="BF20">
        <f t="shared" si="16"/>
        <v>1</v>
      </c>
      <c r="BG20" t="str">
        <f t="shared" si="17"/>
        <v/>
      </c>
      <c r="BH20" t="str">
        <f t="shared" si="34"/>
        <v/>
      </c>
    </row>
    <row r="21" spans="1:60" x14ac:dyDescent="0.55000000000000004">
      <c r="D21">
        <v>11</v>
      </c>
      <c r="E21" t="str">
        <f t="shared" si="2"/>
        <v/>
      </c>
      <c r="F21" t="str">
        <f t="shared" si="18"/>
        <v/>
      </c>
      <c r="G21" t="str">
        <f t="shared" si="3"/>
        <v/>
      </c>
      <c r="Z21" t="str">
        <f t="shared" si="19"/>
        <v/>
      </c>
      <c r="AA21" t="str">
        <f t="shared" si="20"/>
        <v/>
      </c>
      <c r="AB21" t="str">
        <f t="shared" si="20"/>
        <v/>
      </c>
      <c r="AC21" t="str">
        <f t="shared" si="20"/>
        <v/>
      </c>
      <c r="AD21" t="str">
        <f t="shared" si="21"/>
        <v/>
      </c>
      <c r="AE21" t="str">
        <f t="shared" si="22"/>
        <v/>
      </c>
      <c r="AF21" t="str">
        <f t="shared" si="23"/>
        <v/>
      </c>
      <c r="AG21" t="str">
        <f t="shared" si="24"/>
        <v/>
      </c>
      <c r="AH21" t="str">
        <f t="shared" si="25"/>
        <v/>
      </c>
      <c r="AI21" t="str">
        <f t="shared" si="26"/>
        <v/>
      </c>
      <c r="AJ21" t="str">
        <f t="shared" si="27"/>
        <v/>
      </c>
      <c r="AK21" t="str">
        <f t="shared" si="28"/>
        <v/>
      </c>
      <c r="AM21" t="str">
        <f t="shared" si="29"/>
        <v/>
      </c>
      <c r="AN21" t="str">
        <f t="shared" si="30"/>
        <v/>
      </c>
      <c r="AO21" t="str">
        <f t="shared" si="4"/>
        <v/>
      </c>
      <c r="AP21" t="str">
        <f t="shared" si="5"/>
        <v/>
      </c>
      <c r="AQ21" t="str">
        <f t="shared" si="6"/>
        <v/>
      </c>
      <c r="AR21" t="str">
        <f t="shared" si="7"/>
        <v/>
      </c>
      <c r="AS21" t="str">
        <f t="shared" si="8"/>
        <v/>
      </c>
      <c r="AT21" t="str">
        <f t="shared" si="9"/>
        <v/>
      </c>
      <c r="AU21" t="str">
        <f t="shared" si="10"/>
        <v/>
      </c>
      <c r="AV21" t="str">
        <f t="shared" si="31"/>
        <v/>
      </c>
      <c r="AW21" t="str">
        <f t="shared" si="32"/>
        <v/>
      </c>
      <c r="AY21" t="str">
        <f t="shared" si="11"/>
        <v/>
      </c>
      <c r="AZ21" t="str">
        <f t="shared" si="12"/>
        <v/>
      </c>
      <c r="BA21" t="str">
        <f t="shared" si="13"/>
        <v/>
      </c>
      <c r="BB21" t="str">
        <f t="shared" si="33"/>
        <v/>
      </c>
      <c r="BC21" t="str">
        <f t="shared" si="14"/>
        <v/>
      </c>
      <c r="BE21">
        <f t="shared" si="15"/>
        <v>3</v>
      </c>
      <c r="BF21">
        <f t="shared" si="16"/>
        <v>2</v>
      </c>
      <c r="BG21" t="str">
        <f t="shared" si="17"/>
        <v/>
      </c>
      <c r="BH21" t="str">
        <f t="shared" si="34"/>
        <v/>
      </c>
    </row>
    <row r="22" spans="1:60" x14ac:dyDescent="0.55000000000000004">
      <c r="D22">
        <v>12</v>
      </c>
      <c r="E22" t="str">
        <f t="shared" si="2"/>
        <v/>
      </c>
      <c r="F22" t="str">
        <f t="shared" si="18"/>
        <v/>
      </c>
      <c r="G22" t="str">
        <f t="shared" si="3"/>
        <v/>
      </c>
      <c r="Z22" t="str">
        <f t="shared" si="19"/>
        <v/>
      </c>
      <c r="AA22" t="str">
        <f t="shared" si="20"/>
        <v/>
      </c>
      <c r="AB22" t="str">
        <f t="shared" si="20"/>
        <v/>
      </c>
      <c r="AC22" t="str">
        <f t="shared" si="20"/>
        <v/>
      </c>
      <c r="AD22" t="str">
        <f t="shared" si="21"/>
        <v/>
      </c>
      <c r="AE22" t="str">
        <f t="shared" si="22"/>
        <v/>
      </c>
      <c r="AF22" t="str">
        <f t="shared" si="23"/>
        <v/>
      </c>
      <c r="AG22" t="str">
        <f t="shared" si="24"/>
        <v/>
      </c>
      <c r="AH22" t="str">
        <f t="shared" si="25"/>
        <v/>
      </c>
      <c r="AI22" t="str">
        <f t="shared" si="26"/>
        <v/>
      </c>
      <c r="AJ22" t="str">
        <f t="shared" si="27"/>
        <v/>
      </c>
      <c r="AK22" t="str">
        <f t="shared" si="28"/>
        <v/>
      </c>
      <c r="AM22" t="str">
        <f t="shared" si="29"/>
        <v/>
      </c>
      <c r="AN22" t="str">
        <f t="shared" si="30"/>
        <v/>
      </c>
      <c r="AO22" t="str">
        <f t="shared" si="4"/>
        <v/>
      </c>
      <c r="AP22" t="str">
        <f t="shared" si="5"/>
        <v/>
      </c>
      <c r="AQ22" t="str">
        <f t="shared" si="6"/>
        <v/>
      </c>
      <c r="AR22" t="str">
        <f t="shared" si="7"/>
        <v/>
      </c>
      <c r="AS22" t="str">
        <f t="shared" si="8"/>
        <v/>
      </c>
      <c r="AT22" t="str">
        <f t="shared" si="9"/>
        <v/>
      </c>
      <c r="AU22" t="str">
        <f t="shared" si="10"/>
        <v/>
      </c>
      <c r="AV22" t="str">
        <f t="shared" si="31"/>
        <v/>
      </c>
      <c r="AW22" t="str">
        <f t="shared" si="32"/>
        <v/>
      </c>
      <c r="AY22" t="str">
        <f t="shared" si="11"/>
        <v/>
      </c>
      <c r="AZ22" t="str">
        <f t="shared" si="12"/>
        <v/>
      </c>
      <c r="BA22" t="str">
        <f t="shared" si="13"/>
        <v/>
      </c>
      <c r="BB22" t="str">
        <f t="shared" si="33"/>
        <v/>
      </c>
      <c r="BC22" t="str">
        <f t="shared" si="14"/>
        <v/>
      </c>
      <c r="BE22">
        <f t="shared" si="15"/>
        <v>4</v>
      </c>
      <c r="BF22">
        <f t="shared" si="16"/>
        <v>0</v>
      </c>
      <c r="BG22" t="str">
        <f t="shared" si="17"/>
        <v/>
      </c>
      <c r="BH22" t="str">
        <f t="shared" si="34"/>
        <v/>
      </c>
    </row>
    <row r="23" spans="1:60" x14ac:dyDescent="0.55000000000000004">
      <c r="D23">
        <v>13</v>
      </c>
      <c r="E23" t="str">
        <f t="shared" si="2"/>
        <v/>
      </c>
      <c r="F23" t="str">
        <f t="shared" si="18"/>
        <v/>
      </c>
      <c r="G23" t="str">
        <f t="shared" si="3"/>
        <v/>
      </c>
      <c r="Z23" t="str">
        <f t="shared" si="19"/>
        <v/>
      </c>
      <c r="AA23" t="str">
        <f t="shared" si="20"/>
        <v/>
      </c>
      <c r="AB23" t="str">
        <f t="shared" si="20"/>
        <v/>
      </c>
      <c r="AC23" t="str">
        <f t="shared" si="20"/>
        <v/>
      </c>
      <c r="AD23" t="str">
        <f t="shared" si="21"/>
        <v/>
      </c>
      <c r="AE23" t="str">
        <f t="shared" si="22"/>
        <v/>
      </c>
      <c r="AF23" t="str">
        <f t="shared" si="23"/>
        <v/>
      </c>
      <c r="AG23" t="str">
        <f t="shared" si="24"/>
        <v/>
      </c>
      <c r="AH23" t="str">
        <f t="shared" si="25"/>
        <v/>
      </c>
      <c r="AI23" t="str">
        <f t="shared" si="26"/>
        <v/>
      </c>
      <c r="AJ23" t="str">
        <f t="shared" si="27"/>
        <v/>
      </c>
      <c r="AK23" t="str">
        <f t="shared" si="28"/>
        <v/>
      </c>
      <c r="AM23" t="str">
        <f t="shared" si="29"/>
        <v/>
      </c>
      <c r="AN23" t="str">
        <f t="shared" si="30"/>
        <v/>
      </c>
      <c r="AO23" t="str">
        <f t="shared" si="4"/>
        <v/>
      </c>
      <c r="AP23" t="str">
        <f t="shared" si="5"/>
        <v/>
      </c>
      <c r="AQ23" t="str">
        <f t="shared" si="6"/>
        <v/>
      </c>
      <c r="AR23" t="str">
        <f t="shared" si="7"/>
        <v/>
      </c>
      <c r="AS23" t="str">
        <f t="shared" si="8"/>
        <v/>
      </c>
      <c r="AT23" t="str">
        <f t="shared" si="9"/>
        <v/>
      </c>
      <c r="AU23" t="str">
        <f t="shared" si="10"/>
        <v/>
      </c>
      <c r="AV23" t="str">
        <f t="shared" si="31"/>
        <v/>
      </c>
      <c r="AW23" t="str">
        <f t="shared" si="32"/>
        <v/>
      </c>
      <c r="AY23" t="str">
        <f t="shared" si="11"/>
        <v/>
      </c>
      <c r="AZ23" t="str">
        <f t="shared" si="12"/>
        <v/>
      </c>
      <c r="BA23" t="str">
        <f t="shared" si="13"/>
        <v/>
      </c>
      <c r="BB23" t="str">
        <f t="shared" si="33"/>
        <v/>
      </c>
      <c r="BC23" t="str">
        <f t="shared" si="14"/>
        <v/>
      </c>
      <c r="BE23">
        <f t="shared" si="15"/>
        <v>4</v>
      </c>
      <c r="BF23">
        <f t="shared" si="16"/>
        <v>1</v>
      </c>
      <c r="BG23" t="str">
        <f t="shared" si="17"/>
        <v/>
      </c>
      <c r="BH23" t="str">
        <f t="shared" si="34"/>
        <v/>
      </c>
    </row>
    <row r="24" spans="1:60" x14ac:dyDescent="0.55000000000000004">
      <c r="D24">
        <v>14</v>
      </c>
      <c r="E24" t="str">
        <f t="shared" si="2"/>
        <v/>
      </c>
      <c r="F24" t="str">
        <f t="shared" si="18"/>
        <v/>
      </c>
      <c r="G24" t="str">
        <f t="shared" si="3"/>
        <v/>
      </c>
      <c r="Z24" t="str">
        <f t="shared" si="19"/>
        <v/>
      </c>
      <c r="AA24" t="str">
        <f t="shared" si="20"/>
        <v/>
      </c>
      <c r="AB24" t="str">
        <f t="shared" si="20"/>
        <v/>
      </c>
      <c r="AC24" t="str">
        <f t="shared" si="20"/>
        <v/>
      </c>
      <c r="AD24" t="str">
        <f t="shared" si="21"/>
        <v/>
      </c>
      <c r="AE24" t="str">
        <f t="shared" si="22"/>
        <v/>
      </c>
      <c r="AF24" t="str">
        <f t="shared" si="23"/>
        <v/>
      </c>
      <c r="AG24" t="str">
        <f t="shared" si="24"/>
        <v/>
      </c>
      <c r="AH24" t="str">
        <f t="shared" si="25"/>
        <v/>
      </c>
      <c r="AI24" t="str">
        <f t="shared" si="26"/>
        <v/>
      </c>
      <c r="AJ24" t="str">
        <f t="shared" si="27"/>
        <v/>
      </c>
      <c r="AK24" t="str">
        <f t="shared" si="28"/>
        <v/>
      </c>
      <c r="AM24" t="str">
        <f t="shared" si="29"/>
        <v/>
      </c>
      <c r="AN24" t="str">
        <f t="shared" si="30"/>
        <v/>
      </c>
      <c r="AO24" t="str">
        <f t="shared" si="4"/>
        <v/>
      </c>
      <c r="AP24" t="str">
        <f t="shared" si="5"/>
        <v/>
      </c>
      <c r="AQ24" t="str">
        <f t="shared" si="6"/>
        <v/>
      </c>
      <c r="AR24" t="str">
        <f t="shared" si="7"/>
        <v/>
      </c>
      <c r="AS24" t="str">
        <f t="shared" si="8"/>
        <v/>
      </c>
      <c r="AT24" t="str">
        <f t="shared" si="9"/>
        <v/>
      </c>
      <c r="AU24" t="str">
        <f t="shared" si="10"/>
        <v/>
      </c>
      <c r="AV24" t="str">
        <f t="shared" si="31"/>
        <v/>
      </c>
      <c r="AW24" t="str">
        <f t="shared" si="32"/>
        <v/>
      </c>
      <c r="AY24" t="str">
        <f t="shared" si="11"/>
        <v/>
      </c>
      <c r="AZ24" t="str">
        <f t="shared" si="12"/>
        <v/>
      </c>
      <c r="BA24" t="str">
        <f t="shared" si="13"/>
        <v/>
      </c>
      <c r="BB24" t="str">
        <f t="shared" si="33"/>
        <v/>
      </c>
      <c r="BC24" t="str">
        <f t="shared" si="14"/>
        <v/>
      </c>
      <c r="BE24">
        <f t="shared" si="15"/>
        <v>4</v>
      </c>
      <c r="BF24">
        <f t="shared" si="16"/>
        <v>2</v>
      </c>
      <c r="BG24" t="str">
        <f t="shared" si="17"/>
        <v/>
      </c>
      <c r="BH24" t="str">
        <f t="shared" si="34"/>
        <v/>
      </c>
    </row>
    <row r="25" spans="1:60" x14ac:dyDescent="0.55000000000000004">
      <c r="D25">
        <v>15</v>
      </c>
      <c r="E25" t="str">
        <f t="shared" si="2"/>
        <v/>
      </c>
      <c r="F25" t="str">
        <f t="shared" si="18"/>
        <v/>
      </c>
      <c r="G25" t="str">
        <f t="shared" si="3"/>
        <v/>
      </c>
      <c r="Z25" t="str">
        <f t="shared" si="19"/>
        <v/>
      </c>
      <c r="AA25" t="str">
        <f t="shared" si="20"/>
        <v/>
      </c>
      <c r="AB25" t="str">
        <f t="shared" si="20"/>
        <v/>
      </c>
      <c r="AC25" t="str">
        <f t="shared" si="20"/>
        <v/>
      </c>
      <c r="AD25" t="str">
        <f t="shared" si="21"/>
        <v/>
      </c>
      <c r="AE25" t="str">
        <f t="shared" si="22"/>
        <v/>
      </c>
      <c r="AF25" t="str">
        <f t="shared" si="23"/>
        <v/>
      </c>
      <c r="AG25" t="str">
        <f t="shared" si="24"/>
        <v/>
      </c>
      <c r="AH25" t="str">
        <f t="shared" si="25"/>
        <v/>
      </c>
      <c r="AI25" t="str">
        <f t="shared" si="26"/>
        <v/>
      </c>
      <c r="AJ25" t="str">
        <f t="shared" si="27"/>
        <v/>
      </c>
      <c r="AK25" t="str">
        <f t="shared" si="28"/>
        <v/>
      </c>
      <c r="AM25" t="str">
        <f t="shared" si="29"/>
        <v/>
      </c>
      <c r="AN25" t="str">
        <f t="shared" si="30"/>
        <v/>
      </c>
      <c r="AO25" t="str">
        <f t="shared" si="4"/>
        <v/>
      </c>
      <c r="AP25" t="str">
        <f t="shared" si="5"/>
        <v/>
      </c>
      <c r="AQ25" t="str">
        <f t="shared" si="6"/>
        <v/>
      </c>
      <c r="AR25" t="str">
        <f t="shared" si="7"/>
        <v/>
      </c>
      <c r="AS25" t="str">
        <f t="shared" si="8"/>
        <v/>
      </c>
      <c r="AT25" t="str">
        <f t="shared" si="9"/>
        <v/>
      </c>
      <c r="AU25" t="str">
        <f t="shared" si="10"/>
        <v/>
      </c>
      <c r="AV25" t="str">
        <f t="shared" si="31"/>
        <v/>
      </c>
      <c r="AW25" t="str">
        <f t="shared" si="32"/>
        <v/>
      </c>
      <c r="AY25" t="str">
        <f t="shared" si="11"/>
        <v/>
      </c>
      <c r="AZ25" t="str">
        <f t="shared" si="12"/>
        <v/>
      </c>
      <c r="BA25" t="str">
        <f t="shared" si="13"/>
        <v/>
      </c>
      <c r="BB25" t="str">
        <f t="shared" si="33"/>
        <v/>
      </c>
      <c r="BC25" t="str">
        <f t="shared" si="14"/>
        <v/>
      </c>
      <c r="BE25">
        <f t="shared" si="15"/>
        <v>5</v>
      </c>
      <c r="BF25">
        <f t="shared" si="16"/>
        <v>0</v>
      </c>
      <c r="BG25" t="str">
        <f t="shared" si="17"/>
        <v/>
      </c>
      <c r="BH25" t="str">
        <f t="shared" si="34"/>
        <v/>
      </c>
    </row>
    <row r="26" spans="1:60" x14ac:dyDescent="0.55000000000000004">
      <c r="D26">
        <v>16</v>
      </c>
      <c r="E26" t="str">
        <f t="shared" si="2"/>
        <v/>
      </c>
      <c r="F26" t="str">
        <f t="shared" si="18"/>
        <v/>
      </c>
      <c r="G26" t="str">
        <f t="shared" si="3"/>
        <v/>
      </c>
      <c r="Z26" t="str">
        <f t="shared" si="19"/>
        <v/>
      </c>
      <c r="AA26" t="str">
        <f t="shared" si="20"/>
        <v/>
      </c>
      <c r="AB26" t="str">
        <f t="shared" si="20"/>
        <v/>
      </c>
      <c r="AC26" t="str">
        <f t="shared" si="20"/>
        <v/>
      </c>
      <c r="AD26" t="str">
        <f t="shared" si="21"/>
        <v/>
      </c>
      <c r="AE26" t="str">
        <f t="shared" si="22"/>
        <v/>
      </c>
      <c r="AF26" t="str">
        <f t="shared" si="23"/>
        <v/>
      </c>
      <c r="AG26" t="str">
        <f t="shared" si="24"/>
        <v/>
      </c>
      <c r="AH26" t="str">
        <f t="shared" si="25"/>
        <v/>
      </c>
      <c r="AI26" t="str">
        <f t="shared" si="26"/>
        <v/>
      </c>
      <c r="AJ26" t="str">
        <f t="shared" si="27"/>
        <v/>
      </c>
      <c r="AK26" t="str">
        <f t="shared" si="28"/>
        <v/>
      </c>
      <c r="AM26" t="str">
        <f t="shared" si="29"/>
        <v/>
      </c>
      <c r="AN26" t="str">
        <f t="shared" si="30"/>
        <v/>
      </c>
      <c r="AO26" t="str">
        <f t="shared" si="4"/>
        <v/>
      </c>
      <c r="AP26" t="str">
        <f t="shared" si="5"/>
        <v/>
      </c>
      <c r="AQ26" t="str">
        <f t="shared" si="6"/>
        <v/>
      </c>
      <c r="AR26" t="str">
        <f t="shared" si="7"/>
        <v/>
      </c>
      <c r="AS26" t="str">
        <f t="shared" si="8"/>
        <v/>
      </c>
      <c r="AT26" t="str">
        <f t="shared" si="9"/>
        <v/>
      </c>
      <c r="AU26" t="str">
        <f t="shared" si="10"/>
        <v/>
      </c>
      <c r="AV26" t="str">
        <f t="shared" si="31"/>
        <v/>
      </c>
      <c r="AW26" t="str">
        <f t="shared" si="32"/>
        <v/>
      </c>
      <c r="AY26" t="str">
        <f t="shared" si="11"/>
        <v/>
      </c>
      <c r="AZ26" t="str">
        <f t="shared" si="12"/>
        <v/>
      </c>
      <c r="BA26" t="str">
        <f t="shared" si="13"/>
        <v/>
      </c>
      <c r="BB26" t="str">
        <f t="shared" si="33"/>
        <v/>
      </c>
      <c r="BC26" t="str">
        <f t="shared" si="14"/>
        <v/>
      </c>
      <c r="BE26">
        <f t="shared" si="15"/>
        <v>5</v>
      </c>
      <c r="BF26">
        <f t="shared" si="16"/>
        <v>1</v>
      </c>
      <c r="BG26" t="str">
        <f t="shared" si="17"/>
        <v/>
      </c>
      <c r="BH26" t="str">
        <f t="shared" si="34"/>
        <v/>
      </c>
    </row>
    <row r="27" spans="1:60" x14ac:dyDescent="0.55000000000000004">
      <c r="D27">
        <v>17</v>
      </c>
      <c r="E27" t="str">
        <f t="shared" si="2"/>
        <v/>
      </c>
      <c r="F27" t="str">
        <f t="shared" si="18"/>
        <v/>
      </c>
      <c r="G27" t="str">
        <f t="shared" si="3"/>
        <v/>
      </c>
      <c r="Z27" t="str">
        <f t="shared" si="19"/>
        <v/>
      </c>
      <c r="AA27" t="str">
        <f t="shared" si="20"/>
        <v/>
      </c>
      <c r="AB27" t="str">
        <f t="shared" si="20"/>
        <v/>
      </c>
      <c r="AC27" t="str">
        <f t="shared" si="20"/>
        <v/>
      </c>
      <c r="AD27" t="str">
        <f t="shared" si="21"/>
        <v/>
      </c>
      <c r="AE27" t="str">
        <f t="shared" si="22"/>
        <v/>
      </c>
      <c r="AF27" t="str">
        <f t="shared" si="23"/>
        <v/>
      </c>
      <c r="AG27" t="str">
        <f t="shared" si="24"/>
        <v/>
      </c>
      <c r="AH27" t="str">
        <f t="shared" si="25"/>
        <v/>
      </c>
      <c r="AI27" t="str">
        <f t="shared" si="26"/>
        <v/>
      </c>
      <c r="AJ27" t="str">
        <f t="shared" si="27"/>
        <v/>
      </c>
      <c r="AK27" t="str">
        <f t="shared" si="28"/>
        <v/>
      </c>
      <c r="AM27" t="str">
        <f t="shared" si="29"/>
        <v/>
      </c>
      <c r="AN27" t="str">
        <f t="shared" si="30"/>
        <v/>
      </c>
      <c r="AO27" t="str">
        <f t="shared" si="4"/>
        <v/>
      </c>
      <c r="AP27" t="str">
        <f t="shared" si="5"/>
        <v/>
      </c>
      <c r="AQ27" t="str">
        <f t="shared" si="6"/>
        <v/>
      </c>
      <c r="AR27" t="str">
        <f t="shared" si="7"/>
        <v/>
      </c>
      <c r="AS27" t="str">
        <f t="shared" si="8"/>
        <v/>
      </c>
      <c r="AT27" t="str">
        <f t="shared" si="9"/>
        <v/>
      </c>
      <c r="AU27" t="str">
        <f t="shared" si="10"/>
        <v/>
      </c>
      <c r="AV27" t="str">
        <f t="shared" si="31"/>
        <v/>
      </c>
      <c r="AW27" t="str">
        <f t="shared" si="32"/>
        <v/>
      </c>
      <c r="AY27" t="str">
        <f t="shared" si="11"/>
        <v/>
      </c>
      <c r="AZ27" t="str">
        <f t="shared" si="12"/>
        <v/>
      </c>
      <c r="BA27" t="str">
        <f t="shared" si="13"/>
        <v/>
      </c>
      <c r="BB27" t="str">
        <f t="shared" si="33"/>
        <v/>
      </c>
      <c r="BC27" t="str">
        <f t="shared" si="14"/>
        <v/>
      </c>
      <c r="BE27">
        <f t="shared" si="15"/>
        <v>5</v>
      </c>
      <c r="BF27">
        <f t="shared" si="16"/>
        <v>2</v>
      </c>
      <c r="BG27" t="str">
        <f t="shared" si="17"/>
        <v/>
      </c>
      <c r="BH27" t="str">
        <f t="shared" si="34"/>
        <v/>
      </c>
    </row>
    <row r="28" spans="1:60" x14ac:dyDescent="0.55000000000000004">
      <c r="D28">
        <v>18</v>
      </c>
      <c r="E28" t="str">
        <f t="shared" si="2"/>
        <v/>
      </c>
      <c r="F28" t="str">
        <f t="shared" si="18"/>
        <v/>
      </c>
      <c r="G28" t="str">
        <f t="shared" si="3"/>
        <v/>
      </c>
      <c r="Z28" t="str">
        <f t="shared" si="19"/>
        <v/>
      </c>
      <c r="AA28" t="str">
        <f t="shared" si="20"/>
        <v/>
      </c>
      <c r="AB28" t="str">
        <f t="shared" si="20"/>
        <v/>
      </c>
      <c r="AC28" t="str">
        <f t="shared" si="20"/>
        <v/>
      </c>
      <c r="AD28" t="str">
        <f t="shared" si="21"/>
        <v/>
      </c>
      <c r="AE28" t="str">
        <f t="shared" si="22"/>
        <v/>
      </c>
      <c r="AF28" t="str">
        <f t="shared" si="23"/>
        <v/>
      </c>
      <c r="AG28" t="str">
        <f t="shared" si="24"/>
        <v/>
      </c>
      <c r="AH28" t="str">
        <f t="shared" si="25"/>
        <v/>
      </c>
      <c r="AI28" t="str">
        <f t="shared" si="26"/>
        <v/>
      </c>
      <c r="AJ28" t="str">
        <f t="shared" si="27"/>
        <v/>
      </c>
      <c r="AK28" t="str">
        <f t="shared" si="28"/>
        <v/>
      </c>
      <c r="AM28" t="str">
        <f t="shared" si="29"/>
        <v/>
      </c>
      <c r="AN28" t="str">
        <f t="shared" si="30"/>
        <v/>
      </c>
      <c r="AO28" t="str">
        <f t="shared" si="4"/>
        <v/>
      </c>
      <c r="AP28" t="str">
        <f t="shared" si="5"/>
        <v/>
      </c>
      <c r="AQ28" t="str">
        <f t="shared" si="6"/>
        <v/>
      </c>
      <c r="AR28" t="str">
        <f t="shared" si="7"/>
        <v/>
      </c>
      <c r="AS28" t="str">
        <f t="shared" si="8"/>
        <v/>
      </c>
      <c r="AT28" t="str">
        <f t="shared" si="9"/>
        <v/>
      </c>
      <c r="AU28" t="str">
        <f t="shared" si="10"/>
        <v/>
      </c>
      <c r="AV28" t="str">
        <f t="shared" si="31"/>
        <v/>
      </c>
      <c r="AW28" t="str">
        <f t="shared" si="32"/>
        <v/>
      </c>
      <c r="AY28" t="str">
        <f t="shared" si="11"/>
        <v/>
      </c>
      <c r="AZ28" t="str">
        <f t="shared" si="12"/>
        <v/>
      </c>
      <c r="BA28" t="str">
        <f t="shared" si="13"/>
        <v/>
      </c>
      <c r="BB28" t="str">
        <f t="shared" si="33"/>
        <v/>
      </c>
      <c r="BC28" t="str">
        <f t="shared" si="14"/>
        <v/>
      </c>
      <c r="BE28">
        <f t="shared" si="15"/>
        <v>6</v>
      </c>
      <c r="BF28">
        <f t="shared" si="16"/>
        <v>0</v>
      </c>
      <c r="BG28" t="str">
        <f t="shared" si="17"/>
        <v/>
      </c>
      <c r="BH28" t="str">
        <f t="shared" si="34"/>
        <v/>
      </c>
    </row>
    <row r="29" spans="1:60" x14ac:dyDescent="0.55000000000000004">
      <c r="D29">
        <v>19</v>
      </c>
      <c r="E29" t="str">
        <f t="shared" si="2"/>
        <v/>
      </c>
      <c r="F29" t="str">
        <f t="shared" si="18"/>
        <v/>
      </c>
      <c r="G29" t="str">
        <f t="shared" si="3"/>
        <v/>
      </c>
      <c r="Z29" t="str">
        <f t="shared" si="19"/>
        <v/>
      </c>
      <c r="AA29" t="str">
        <f t="shared" si="20"/>
        <v/>
      </c>
      <c r="AB29" t="str">
        <f t="shared" si="20"/>
        <v/>
      </c>
      <c r="AC29" t="str">
        <f t="shared" si="20"/>
        <v/>
      </c>
      <c r="AD29" t="str">
        <f t="shared" si="21"/>
        <v/>
      </c>
      <c r="AE29" t="str">
        <f t="shared" si="22"/>
        <v/>
      </c>
      <c r="AF29" t="str">
        <f t="shared" si="23"/>
        <v/>
      </c>
      <c r="AG29" t="str">
        <f t="shared" si="24"/>
        <v/>
      </c>
      <c r="AH29" t="str">
        <f t="shared" si="25"/>
        <v/>
      </c>
      <c r="AI29" t="str">
        <f t="shared" si="26"/>
        <v/>
      </c>
      <c r="AJ29" t="str">
        <f t="shared" si="27"/>
        <v/>
      </c>
      <c r="AK29" t="str">
        <f t="shared" si="28"/>
        <v/>
      </c>
      <c r="AM29" t="str">
        <f t="shared" si="29"/>
        <v/>
      </c>
      <c r="AN29" t="str">
        <f t="shared" si="30"/>
        <v/>
      </c>
      <c r="AO29" t="str">
        <f t="shared" si="4"/>
        <v/>
      </c>
      <c r="AP29" t="str">
        <f t="shared" si="5"/>
        <v/>
      </c>
      <c r="AQ29" t="str">
        <f t="shared" si="6"/>
        <v/>
      </c>
      <c r="AR29" t="str">
        <f t="shared" si="7"/>
        <v/>
      </c>
      <c r="AS29" t="str">
        <f t="shared" si="8"/>
        <v/>
      </c>
      <c r="AT29" t="str">
        <f t="shared" si="9"/>
        <v/>
      </c>
      <c r="AU29" t="str">
        <f t="shared" si="10"/>
        <v/>
      </c>
      <c r="AV29" t="str">
        <f t="shared" si="31"/>
        <v/>
      </c>
      <c r="AW29" t="str">
        <f t="shared" si="32"/>
        <v/>
      </c>
      <c r="AY29" t="str">
        <f t="shared" si="11"/>
        <v/>
      </c>
      <c r="AZ29" t="str">
        <f t="shared" si="12"/>
        <v/>
      </c>
      <c r="BA29" t="str">
        <f t="shared" si="13"/>
        <v/>
      </c>
      <c r="BB29" t="str">
        <f t="shared" si="33"/>
        <v/>
      </c>
      <c r="BC29" t="str">
        <f t="shared" si="14"/>
        <v/>
      </c>
      <c r="BE29">
        <f t="shared" si="15"/>
        <v>6</v>
      </c>
      <c r="BF29">
        <f t="shared" si="16"/>
        <v>1</v>
      </c>
      <c r="BG29" t="str">
        <f t="shared" si="17"/>
        <v/>
      </c>
      <c r="BH29" t="str">
        <f t="shared" si="34"/>
        <v/>
      </c>
    </row>
    <row r="30" spans="1:60" x14ac:dyDescent="0.55000000000000004">
      <c r="A30" t="s">
        <v>7</v>
      </c>
      <c r="B30" t="str">
        <f ca="1">"このスクリプトは "&amp;$B$10&amp;" によって生成されました。"</f>
        <v>このスクリプトは C:\tk\prj\hg-0025-0016\git\unit01\kv-x520\doc\[kv_script_exe_errno.xlsm]info_script によって生成されました。</v>
      </c>
      <c r="D30">
        <v>20</v>
      </c>
      <c r="E30" t="str">
        <f t="shared" si="2"/>
        <v/>
      </c>
      <c r="F30" t="str">
        <f t="shared" si="18"/>
        <v/>
      </c>
      <c r="G30" t="str">
        <f t="shared" si="3"/>
        <v/>
      </c>
      <c r="Z30" t="str">
        <f t="shared" si="19"/>
        <v/>
      </c>
      <c r="AA30" t="str">
        <f t="shared" si="20"/>
        <v/>
      </c>
      <c r="AB30" t="str">
        <f t="shared" si="20"/>
        <v/>
      </c>
      <c r="AC30" t="str">
        <f t="shared" si="20"/>
        <v/>
      </c>
      <c r="AD30" t="str">
        <f t="shared" si="21"/>
        <v/>
      </c>
      <c r="AE30" t="str">
        <f t="shared" si="22"/>
        <v/>
      </c>
      <c r="AF30" t="str">
        <f t="shared" si="23"/>
        <v/>
      </c>
      <c r="AG30" t="str">
        <f t="shared" si="24"/>
        <v/>
      </c>
      <c r="AH30" t="str">
        <f t="shared" si="25"/>
        <v/>
      </c>
      <c r="AI30" t="str">
        <f t="shared" si="26"/>
        <v/>
      </c>
      <c r="AJ30" t="str">
        <f t="shared" si="27"/>
        <v/>
      </c>
      <c r="AK30" t="str">
        <f t="shared" si="28"/>
        <v/>
      </c>
      <c r="AM30" t="str">
        <f t="shared" si="29"/>
        <v/>
      </c>
      <c r="AN30" t="str">
        <f t="shared" si="30"/>
        <v/>
      </c>
      <c r="AO30" t="str">
        <f t="shared" si="4"/>
        <v/>
      </c>
      <c r="AP30" t="str">
        <f t="shared" si="5"/>
        <v/>
      </c>
      <c r="AQ30" t="str">
        <f t="shared" si="6"/>
        <v/>
      </c>
      <c r="AR30" t="str">
        <f t="shared" si="7"/>
        <v/>
      </c>
      <c r="AS30" t="str">
        <f t="shared" si="8"/>
        <v/>
      </c>
      <c r="AT30" t="str">
        <f t="shared" si="9"/>
        <v/>
      </c>
      <c r="AU30" t="str">
        <f t="shared" si="10"/>
        <v/>
      </c>
      <c r="AV30" t="str">
        <f t="shared" si="31"/>
        <v/>
      </c>
      <c r="AW30" t="str">
        <f t="shared" si="32"/>
        <v/>
      </c>
      <c r="AY30" t="str">
        <f t="shared" si="11"/>
        <v/>
      </c>
      <c r="AZ30" t="str">
        <f t="shared" si="12"/>
        <v/>
      </c>
      <c r="BA30" t="str">
        <f t="shared" si="13"/>
        <v/>
      </c>
      <c r="BB30" t="str">
        <f t="shared" si="33"/>
        <v/>
      </c>
      <c r="BC30" t="str">
        <f t="shared" si="14"/>
        <v/>
      </c>
      <c r="BE30">
        <f t="shared" si="15"/>
        <v>6</v>
      </c>
      <c r="BF30">
        <f t="shared" si="16"/>
        <v>2</v>
      </c>
      <c r="BG30" t="str">
        <f t="shared" si="17"/>
        <v/>
      </c>
      <c r="BH30" t="str">
        <f t="shared" si="34"/>
        <v/>
      </c>
    </row>
    <row r="31" spans="1:60" x14ac:dyDescent="0.55000000000000004">
      <c r="A31" t="s">
        <v>8</v>
      </c>
      <c r="B31" t="s">
        <v>9</v>
      </c>
      <c r="D31">
        <v>21</v>
      </c>
      <c r="E31" t="str">
        <f t="shared" si="2"/>
        <v/>
      </c>
      <c r="F31" t="str">
        <f t="shared" si="18"/>
        <v/>
      </c>
      <c r="G31" t="str">
        <f t="shared" si="3"/>
        <v/>
      </c>
      <c r="Z31" t="str">
        <f t="shared" si="19"/>
        <v/>
      </c>
      <c r="AA31" t="str">
        <f t="shared" si="20"/>
        <v/>
      </c>
      <c r="AB31" t="str">
        <f t="shared" si="20"/>
        <v/>
      </c>
      <c r="AC31" t="str">
        <f t="shared" si="20"/>
        <v/>
      </c>
      <c r="AD31" t="str">
        <f t="shared" si="21"/>
        <v/>
      </c>
      <c r="AE31" t="str">
        <f t="shared" si="22"/>
        <v/>
      </c>
      <c r="AF31" t="str">
        <f t="shared" si="23"/>
        <v/>
      </c>
      <c r="AG31" t="str">
        <f t="shared" si="24"/>
        <v/>
      </c>
      <c r="AH31" t="str">
        <f t="shared" si="25"/>
        <v/>
      </c>
      <c r="AI31" t="str">
        <f t="shared" si="26"/>
        <v/>
      </c>
      <c r="AJ31" t="str">
        <f t="shared" si="27"/>
        <v/>
      </c>
      <c r="AK31" t="str">
        <f t="shared" si="28"/>
        <v/>
      </c>
      <c r="AM31" t="str">
        <f t="shared" si="29"/>
        <v/>
      </c>
      <c r="AN31" t="str">
        <f t="shared" si="30"/>
        <v/>
      </c>
      <c r="AO31" t="str">
        <f t="shared" si="4"/>
        <v/>
      </c>
      <c r="AP31" t="str">
        <f t="shared" si="5"/>
        <v/>
      </c>
      <c r="AQ31" t="str">
        <f t="shared" si="6"/>
        <v/>
      </c>
      <c r="AR31" t="str">
        <f t="shared" si="7"/>
        <v/>
      </c>
      <c r="AS31" t="str">
        <f t="shared" si="8"/>
        <v/>
      </c>
      <c r="AT31" t="str">
        <f t="shared" si="9"/>
        <v/>
      </c>
      <c r="AU31" t="str">
        <f t="shared" si="10"/>
        <v/>
      </c>
      <c r="AV31" t="str">
        <f t="shared" si="31"/>
        <v/>
      </c>
      <c r="AW31" t="str">
        <f t="shared" si="32"/>
        <v/>
      </c>
      <c r="AY31" t="str">
        <f t="shared" si="11"/>
        <v/>
      </c>
      <c r="AZ31" t="str">
        <f t="shared" si="12"/>
        <v/>
      </c>
      <c r="BA31" t="str">
        <f t="shared" si="13"/>
        <v/>
      </c>
      <c r="BB31" t="str">
        <f t="shared" si="33"/>
        <v/>
      </c>
      <c r="BC31" t="str">
        <f t="shared" si="14"/>
        <v/>
      </c>
      <c r="BE31">
        <f t="shared" si="15"/>
        <v>7</v>
      </c>
      <c r="BF31">
        <f t="shared" si="16"/>
        <v>0</v>
      </c>
      <c r="BG31" t="str">
        <f t="shared" si="17"/>
        <v/>
      </c>
      <c r="BH31" t="str">
        <f t="shared" si="34"/>
        <v/>
      </c>
    </row>
    <row r="32" spans="1:60" x14ac:dyDescent="0.55000000000000004">
      <c r="A32" t="s">
        <v>20</v>
      </c>
      <c r="B32" t="str">
        <f ca="1">"RUNG_COMMENT"&amp;CHAR(10)&amp;";"&amp;B30&amp;AW211&amp;CHAR(10)&amp;"RUNG_COMMENT"&amp;CHAR(10)&amp;";"&amp;B31</f>
        <v>RUNG_COMMENT
;このスクリプトは C:\tk\prj\hg-0025-0016\git\unit01\kv-x520\doc\[kv_script_exe_errno.xlsm]info_script によって生成されました。
RUNG_COMMENT
;-----ここまで生成script-----</v>
      </c>
      <c r="D32">
        <v>22</v>
      </c>
      <c r="E32" t="str">
        <f t="shared" si="2"/>
        <v/>
      </c>
      <c r="F32" t="str">
        <f t="shared" si="18"/>
        <v/>
      </c>
      <c r="G32" t="str">
        <f t="shared" si="3"/>
        <v/>
      </c>
      <c r="Z32" t="str">
        <f t="shared" si="19"/>
        <v/>
      </c>
      <c r="AA32" t="str">
        <f t="shared" si="20"/>
        <v/>
      </c>
      <c r="AB32" t="str">
        <f t="shared" si="20"/>
        <v/>
      </c>
      <c r="AC32" t="str">
        <f t="shared" si="20"/>
        <v/>
      </c>
      <c r="AD32" t="str">
        <f t="shared" si="21"/>
        <v/>
      </c>
      <c r="AE32" t="str">
        <f t="shared" si="22"/>
        <v/>
      </c>
      <c r="AF32" t="str">
        <f t="shared" si="23"/>
        <v/>
      </c>
      <c r="AG32" t="str">
        <f t="shared" si="24"/>
        <v/>
      </c>
      <c r="AH32" t="str">
        <f t="shared" si="25"/>
        <v/>
      </c>
      <c r="AI32" t="str">
        <f t="shared" si="26"/>
        <v/>
      </c>
      <c r="AJ32" t="str">
        <f t="shared" si="27"/>
        <v/>
      </c>
      <c r="AK32" t="str">
        <f t="shared" si="28"/>
        <v/>
      </c>
      <c r="AM32" t="str">
        <f t="shared" si="29"/>
        <v/>
      </c>
      <c r="AN32" t="str">
        <f t="shared" si="30"/>
        <v/>
      </c>
      <c r="AO32" t="str">
        <f t="shared" si="4"/>
        <v/>
      </c>
      <c r="AP32" t="str">
        <f t="shared" si="5"/>
        <v/>
      </c>
      <c r="AQ32" t="str">
        <f t="shared" si="6"/>
        <v/>
      </c>
      <c r="AR32" t="str">
        <f t="shared" si="7"/>
        <v/>
      </c>
      <c r="AS32" t="str">
        <f t="shared" si="8"/>
        <v/>
      </c>
      <c r="AT32" t="str">
        <f t="shared" si="9"/>
        <v/>
      </c>
      <c r="AU32" t="str">
        <f t="shared" si="10"/>
        <v/>
      </c>
      <c r="AV32" t="str">
        <f t="shared" si="31"/>
        <v/>
      </c>
      <c r="AW32" t="str">
        <f t="shared" si="32"/>
        <v/>
      </c>
      <c r="AY32" t="str">
        <f t="shared" si="11"/>
        <v/>
      </c>
      <c r="AZ32" t="str">
        <f t="shared" si="12"/>
        <v/>
      </c>
      <c r="BA32" t="str">
        <f t="shared" si="13"/>
        <v/>
      </c>
      <c r="BB32" t="str">
        <f t="shared" si="33"/>
        <v/>
      </c>
      <c r="BC32" t="str">
        <f t="shared" si="14"/>
        <v/>
      </c>
      <c r="BE32">
        <f t="shared" si="15"/>
        <v>7</v>
      </c>
      <c r="BF32">
        <f t="shared" si="16"/>
        <v>1</v>
      </c>
      <c r="BG32" t="str">
        <f t="shared" si="17"/>
        <v/>
      </c>
      <c r="BH32" t="str">
        <f t="shared" si="34"/>
        <v/>
      </c>
    </row>
    <row r="33" spans="1:60" x14ac:dyDescent="0.55000000000000004">
      <c r="D33">
        <v>23</v>
      </c>
      <c r="E33" t="str">
        <f t="shared" si="2"/>
        <v/>
      </c>
      <c r="F33" t="str">
        <f t="shared" si="18"/>
        <v/>
      </c>
      <c r="G33" t="str">
        <f t="shared" si="3"/>
        <v/>
      </c>
      <c r="Z33" t="str">
        <f t="shared" si="19"/>
        <v/>
      </c>
      <c r="AA33" t="str">
        <f t="shared" si="20"/>
        <v/>
      </c>
      <c r="AB33" t="str">
        <f t="shared" si="20"/>
        <v/>
      </c>
      <c r="AC33" t="str">
        <f t="shared" si="20"/>
        <v/>
      </c>
      <c r="AD33" t="str">
        <f t="shared" si="21"/>
        <v/>
      </c>
      <c r="AE33" t="str">
        <f t="shared" si="22"/>
        <v/>
      </c>
      <c r="AF33" t="str">
        <f t="shared" si="23"/>
        <v/>
      </c>
      <c r="AG33" t="str">
        <f t="shared" si="24"/>
        <v/>
      </c>
      <c r="AH33" t="str">
        <f t="shared" si="25"/>
        <v/>
      </c>
      <c r="AI33" t="str">
        <f t="shared" si="26"/>
        <v/>
      </c>
      <c r="AJ33" t="str">
        <f t="shared" si="27"/>
        <v/>
      </c>
      <c r="AK33" t="str">
        <f t="shared" si="28"/>
        <v/>
      </c>
      <c r="AM33" t="str">
        <f t="shared" si="29"/>
        <v/>
      </c>
      <c r="AN33" t="str">
        <f t="shared" si="30"/>
        <v/>
      </c>
      <c r="AO33" t="str">
        <f t="shared" si="4"/>
        <v/>
      </c>
      <c r="AP33" t="str">
        <f t="shared" si="5"/>
        <v/>
      </c>
      <c r="AQ33" t="str">
        <f t="shared" si="6"/>
        <v/>
      </c>
      <c r="AR33" t="str">
        <f t="shared" si="7"/>
        <v/>
      </c>
      <c r="AS33" t="str">
        <f t="shared" si="8"/>
        <v/>
      </c>
      <c r="AT33" t="str">
        <f t="shared" si="9"/>
        <v/>
      </c>
      <c r="AU33" t="str">
        <f t="shared" si="10"/>
        <v/>
      </c>
      <c r="AV33" t="str">
        <f t="shared" si="31"/>
        <v/>
      </c>
      <c r="AW33" t="str">
        <f t="shared" si="32"/>
        <v/>
      </c>
      <c r="AY33" t="str">
        <f t="shared" si="11"/>
        <v/>
      </c>
      <c r="AZ33" t="str">
        <f t="shared" si="12"/>
        <v/>
      </c>
      <c r="BA33" t="str">
        <f t="shared" si="13"/>
        <v/>
      </c>
      <c r="BB33" t="str">
        <f t="shared" si="33"/>
        <v/>
      </c>
      <c r="BC33" t="str">
        <f t="shared" si="14"/>
        <v/>
      </c>
      <c r="BE33">
        <f t="shared" si="15"/>
        <v>7</v>
      </c>
      <c r="BF33">
        <f t="shared" si="16"/>
        <v>2</v>
      </c>
      <c r="BG33" t="str">
        <f t="shared" si="17"/>
        <v/>
      </c>
      <c r="BH33" t="str">
        <f t="shared" si="34"/>
        <v/>
      </c>
    </row>
    <row r="34" spans="1:60" x14ac:dyDescent="0.55000000000000004">
      <c r="D34">
        <v>24</v>
      </c>
      <c r="E34" t="str">
        <f t="shared" si="2"/>
        <v/>
      </c>
      <c r="F34" t="str">
        <f t="shared" si="18"/>
        <v/>
      </c>
      <c r="G34" t="str">
        <f t="shared" si="3"/>
        <v/>
      </c>
      <c r="Z34" t="str">
        <f t="shared" si="19"/>
        <v/>
      </c>
      <c r="AA34" t="str">
        <f t="shared" si="20"/>
        <v/>
      </c>
      <c r="AB34" t="str">
        <f t="shared" si="20"/>
        <v/>
      </c>
      <c r="AC34" t="str">
        <f t="shared" si="20"/>
        <v/>
      </c>
      <c r="AD34" t="str">
        <f t="shared" si="21"/>
        <v/>
      </c>
      <c r="AE34" t="str">
        <f t="shared" si="22"/>
        <v/>
      </c>
      <c r="AF34" t="str">
        <f t="shared" si="23"/>
        <v/>
      </c>
      <c r="AG34" t="str">
        <f t="shared" si="24"/>
        <v/>
      </c>
      <c r="AH34" t="str">
        <f t="shared" si="25"/>
        <v/>
      </c>
      <c r="AI34" t="str">
        <f t="shared" si="26"/>
        <v/>
      </c>
      <c r="AJ34" t="str">
        <f t="shared" si="27"/>
        <v/>
      </c>
      <c r="AK34" t="str">
        <f t="shared" si="28"/>
        <v/>
      </c>
      <c r="AM34" t="str">
        <f t="shared" si="29"/>
        <v/>
      </c>
      <c r="AN34" t="str">
        <f t="shared" si="30"/>
        <v/>
      </c>
      <c r="AO34" t="str">
        <f t="shared" si="4"/>
        <v/>
      </c>
      <c r="AP34" t="str">
        <f t="shared" si="5"/>
        <v/>
      </c>
      <c r="AQ34" t="str">
        <f t="shared" si="6"/>
        <v/>
      </c>
      <c r="AR34" t="str">
        <f t="shared" si="7"/>
        <v/>
      </c>
      <c r="AS34" t="str">
        <f t="shared" si="8"/>
        <v/>
      </c>
      <c r="AT34" t="str">
        <f t="shared" si="9"/>
        <v/>
      </c>
      <c r="AU34" t="str">
        <f t="shared" si="10"/>
        <v/>
      </c>
      <c r="AV34" t="str">
        <f t="shared" si="31"/>
        <v/>
      </c>
      <c r="AW34" t="str">
        <f t="shared" si="32"/>
        <v/>
      </c>
      <c r="AY34" t="str">
        <f t="shared" si="11"/>
        <v/>
      </c>
      <c r="AZ34" t="str">
        <f t="shared" si="12"/>
        <v/>
      </c>
      <c r="BA34" t="str">
        <f t="shared" si="13"/>
        <v/>
      </c>
      <c r="BB34" t="str">
        <f t="shared" si="33"/>
        <v/>
      </c>
      <c r="BC34" t="str">
        <f t="shared" si="14"/>
        <v/>
      </c>
      <c r="BE34">
        <f t="shared" si="15"/>
        <v>8</v>
      </c>
      <c r="BF34">
        <f t="shared" si="16"/>
        <v>0</v>
      </c>
      <c r="BG34" t="str">
        <f t="shared" si="17"/>
        <v/>
      </c>
      <c r="BH34" t="str">
        <f t="shared" si="34"/>
        <v/>
      </c>
    </row>
    <row r="35" spans="1:60" x14ac:dyDescent="0.55000000000000004">
      <c r="D35">
        <v>25</v>
      </c>
      <c r="E35" t="str">
        <f t="shared" si="2"/>
        <v/>
      </c>
      <c r="F35" t="str">
        <f t="shared" si="18"/>
        <v/>
      </c>
      <c r="G35" t="str">
        <f t="shared" si="3"/>
        <v/>
      </c>
      <c r="Z35" t="str">
        <f t="shared" si="19"/>
        <v/>
      </c>
      <c r="AA35" t="str">
        <f t="shared" si="20"/>
        <v/>
      </c>
      <c r="AB35" t="str">
        <f t="shared" si="20"/>
        <v/>
      </c>
      <c r="AC35" t="str">
        <f t="shared" si="20"/>
        <v/>
      </c>
      <c r="AD35" t="str">
        <f t="shared" si="21"/>
        <v/>
      </c>
      <c r="AE35" t="str">
        <f t="shared" si="22"/>
        <v/>
      </c>
      <c r="AF35" t="str">
        <f t="shared" si="23"/>
        <v/>
      </c>
      <c r="AG35" t="str">
        <f t="shared" si="24"/>
        <v/>
      </c>
      <c r="AH35" t="str">
        <f t="shared" si="25"/>
        <v/>
      </c>
      <c r="AI35" t="str">
        <f t="shared" si="26"/>
        <v/>
      </c>
      <c r="AJ35" t="str">
        <f t="shared" si="27"/>
        <v/>
      </c>
      <c r="AK35" t="str">
        <f t="shared" si="28"/>
        <v/>
      </c>
      <c r="AM35" t="str">
        <f t="shared" si="29"/>
        <v/>
      </c>
      <c r="AN35" t="str">
        <f t="shared" si="30"/>
        <v/>
      </c>
      <c r="AO35" t="str">
        <f t="shared" si="4"/>
        <v/>
      </c>
      <c r="AP35" t="str">
        <f t="shared" si="5"/>
        <v/>
      </c>
      <c r="AQ35" t="str">
        <f t="shared" si="6"/>
        <v/>
      </c>
      <c r="AR35" t="str">
        <f t="shared" si="7"/>
        <v/>
      </c>
      <c r="AS35" t="str">
        <f t="shared" si="8"/>
        <v/>
      </c>
      <c r="AT35" t="str">
        <f t="shared" si="9"/>
        <v/>
      </c>
      <c r="AU35" t="str">
        <f t="shared" si="10"/>
        <v/>
      </c>
      <c r="AV35" t="str">
        <f t="shared" si="31"/>
        <v/>
      </c>
      <c r="AW35" t="str">
        <f t="shared" si="32"/>
        <v/>
      </c>
      <c r="AY35" t="str">
        <f t="shared" si="11"/>
        <v/>
      </c>
      <c r="AZ35" t="str">
        <f t="shared" si="12"/>
        <v/>
      </c>
      <c r="BA35" t="str">
        <f t="shared" si="13"/>
        <v/>
      </c>
      <c r="BB35" t="str">
        <f t="shared" si="33"/>
        <v/>
      </c>
      <c r="BC35" t="str">
        <f t="shared" si="14"/>
        <v/>
      </c>
      <c r="BE35">
        <f t="shared" si="15"/>
        <v>8</v>
      </c>
      <c r="BF35">
        <f t="shared" si="16"/>
        <v>1</v>
      </c>
      <c r="BG35" t="str">
        <f t="shared" si="17"/>
        <v/>
      </c>
      <c r="BH35" t="str">
        <f t="shared" si="34"/>
        <v/>
      </c>
    </row>
    <row r="36" spans="1:60" x14ac:dyDescent="0.55000000000000004">
      <c r="D36">
        <v>26</v>
      </c>
      <c r="E36" t="str">
        <f t="shared" si="2"/>
        <v/>
      </c>
      <c r="F36" t="str">
        <f t="shared" si="18"/>
        <v/>
      </c>
      <c r="G36" t="str">
        <f t="shared" si="3"/>
        <v/>
      </c>
      <c r="Z36" t="str">
        <f t="shared" si="19"/>
        <v/>
      </c>
      <c r="AA36" t="str">
        <f t="shared" si="20"/>
        <v/>
      </c>
      <c r="AB36" t="str">
        <f t="shared" si="20"/>
        <v/>
      </c>
      <c r="AC36" t="str">
        <f t="shared" si="20"/>
        <v/>
      </c>
      <c r="AD36" t="str">
        <f t="shared" si="21"/>
        <v/>
      </c>
      <c r="AE36" t="str">
        <f t="shared" si="22"/>
        <v/>
      </c>
      <c r="AF36" t="str">
        <f t="shared" si="23"/>
        <v/>
      </c>
      <c r="AG36" t="str">
        <f t="shared" si="24"/>
        <v/>
      </c>
      <c r="AH36" t="str">
        <f t="shared" si="25"/>
        <v/>
      </c>
      <c r="AI36" t="str">
        <f t="shared" si="26"/>
        <v/>
      </c>
      <c r="AJ36" t="str">
        <f t="shared" si="27"/>
        <v/>
      </c>
      <c r="AK36" t="str">
        <f t="shared" si="28"/>
        <v/>
      </c>
      <c r="AM36" t="str">
        <f t="shared" si="29"/>
        <v/>
      </c>
      <c r="AN36" t="str">
        <f t="shared" si="30"/>
        <v/>
      </c>
      <c r="AO36" t="str">
        <f t="shared" si="4"/>
        <v/>
      </c>
      <c r="AP36" t="str">
        <f t="shared" si="5"/>
        <v/>
      </c>
      <c r="AQ36" t="str">
        <f t="shared" si="6"/>
        <v/>
      </c>
      <c r="AR36" t="str">
        <f t="shared" si="7"/>
        <v/>
      </c>
      <c r="AS36" t="str">
        <f t="shared" si="8"/>
        <v/>
      </c>
      <c r="AT36" t="str">
        <f t="shared" si="9"/>
        <v/>
      </c>
      <c r="AU36" t="str">
        <f t="shared" si="10"/>
        <v/>
      </c>
      <c r="AV36" t="str">
        <f t="shared" si="31"/>
        <v/>
      </c>
      <c r="AW36" t="str">
        <f t="shared" si="32"/>
        <v/>
      </c>
      <c r="AY36" t="str">
        <f t="shared" si="11"/>
        <v/>
      </c>
      <c r="AZ36" t="str">
        <f t="shared" si="12"/>
        <v/>
      </c>
      <c r="BA36" t="str">
        <f t="shared" si="13"/>
        <v/>
      </c>
      <c r="BB36" t="str">
        <f t="shared" si="33"/>
        <v/>
      </c>
      <c r="BC36" t="str">
        <f t="shared" si="14"/>
        <v/>
      </c>
      <c r="BE36">
        <f t="shared" si="15"/>
        <v>8</v>
      </c>
      <c r="BF36">
        <f t="shared" si="16"/>
        <v>2</v>
      </c>
      <c r="BG36" t="str">
        <f t="shared" si="17"/>
        <v/>
      </c>
      <c r="BH36" t="str">
        <f t="shared" si="34"/>
        <v/>
      </c>
    </row>
    <row r="37" spans="1:60" x14ac:dyDescent="0.55000000000000004">
      <c r="D37">
        <v>27</v>
      </c>
      <c r="E37" t="str">
        <f t="shared" si="2"/>
        <v/>
      </c>
      <c r="F37" t="str">
        <f t="shared" si="18"/>
        <v/>
      </c>
      <c r="G37" t="str">
        <f t="shared" si="3"/>
        <v/>
      </c>
      <c r="Z37" t="str">
        <f t="shared" si="19"/>
        <v/>
      </c>
      <c r="AA37" t="str">
        <f t="shared" si="20"/>
        <v/>
      </c>
      <c r="AB37" t="str">
        <f t="shared" si="20"/>
        <v/>
      </c>
      <c r="AC37" t="str">
        <f t="shared" si="20"/>
        <v/>
      </c>
      <c r="AD37" t="str">
        <f t="shared" si="21"/>
        <v/>
      </c>
      <c r="AE37" t="str">
        <f t="shared" si="22"/>
        <v/>
      </c>
      <c r="AF37" t="str">
        <f t="shared" si="23"/>
        <v/>
      </c>
      <c r="AG37" t="str">
        <f t="shared" si="24"/>
        <v/>
      </c>
      <c r="AH37" t="str">
        <f t="shared" si="25"/>
        <v/>
      </c>
      <c r="AI37" t="str">
        <f t="shared" si="26"/>
        <v/>
      </c>
      <c r="AJ37" t="str">
        <f t="shared" si="27"/>
        <v/>
      </c>
      <c r="AK37" t="str">
        <f t="shared" si="28"/>
        <v/>
      </c>
      <c r="AM37" t="str">
        <f t="shared" si="29"/>
        <v/>
      </c>
      <c r="AN37" t="str">
        <f t="shared" si="30"/>
        <v/>
      </c>
      <c r="AO37" t="str">
        <f t="shared" si="4"/>
        <v/>
      </c>
      <c r="AP37" t="str">
        <f t="shared" si="5"/>
        <v/>
      </c>
      <c r="AQ37" t="str">
        <f t="shared" si="6"/>
        <v/>
      </c>
      <c r="AR37" t="str">
        <f t="shared" si="7"/>
        <v/>
      </c>
      <c r="AS37" t="str">
        <f t="shared" si="8"/>
        <v/>
      </c>
      <c r="AT37" t="str">
        <f t="shared" si="9"/>
        <v/>
      </c>
      <c r="AU37" t="str">
        <f t="shared" si="10"/>
        <v/>
      </c>
      <c r="AV37" t="str">
        <f t="shared" si="31"/>
        <v/>
      </c>
      <c r="AW37" t="str">
        <f t="shared" si="32"/>
        <v/>
      </c>
      <c r="AY37" t="str">
        <f t="shared" si="11"/>
        <v/>
      </c>
      <c r="AZ37" t="str">
        <f t="shared" si="12"/>
        <v/>
      </c>
      <c r="BA37" t="str">
        <f t="shared" si="13"/>
        <v/>
      </c>
      <c r="BB37" t="str">
        <f t="shared" si="33"/>
        <v/>
      </c>
      <c r="BC37" t="str">
        <f t="shared" si="14"/>
        <v/>
      </c>
      <c r="BE37">
        <f t="shared" si="15"/>
        <v>9</v>
      </c>
      <c r="BF37">
        <f t="shared" si="16"/>
        <v>0</v>
      </c>
      <c r="BG37" t="str">
        <f t="shared" si="17"/>
        <v/>
      </c>
      <c r="BH37" t="str">
        <f t="shared" si="34"/>
        <v/>
      </c>
    </row>
    <row r="38" spans="1:60" x14ac:dyDescent="0.55000000000000004">
      <c r="D38">
        <v>28</v>
      </c>
      <c r="E38" t="str">
        <f t="shared" si="2"/>
        <v/>
      </c>
      <c r="F38" t="str">
        <f t="shared" si="18"/>
        <v/>
      </c>
      <c r="G38" t="str">
        <f t="shared" si="3"/>
        <v/>
      </c>
      <c r="Z38" t="str">
        <f t="shared" si="19"/>
        <v/>
      </c>
      <c r="AA38" t="str">
        <f t="shared" si="20"/>
        <v/>
      </c>
      <c r="AB38" t="str">
        <f t="shared" si="20"/>
        <v/>
      </c>
      <c r="AC38" t="str">
        <f t="shared" si="20"/>
        <v/>
      </c>
      <c r="AD38" t="str">
        <f t="shared" si="21"/>
        <v/>
      </c>
      <c r="AE38" t="str">
        <f t="shared" si="22"/>
        <v/>
      </c>
      <c r="AF38" t="str">
        <f t="shared" si="23"/>
        <v/>
      </c>
      <c r="AG38" t="str">
        <f t="shared" si="24"/>
        <v/>
      </c>
      <c r="AH38" t="str">
        <f t="shared" si="25"/>
        <v/>
      </c>
      <c r="AI38" t="str">
        <f t="shared" si="26"/>
        <v/>
      </c>
      <c r="AJ38" t="str">
        <f t="shared" si="27"/>
        <v/>
      </c>
      <c r="AK38" t="str">
        <f t="shared" si="28"/>
        <v/>
      </c>
      <c r="AM38" t="str">
        <f t="shared" si="29"/>
        <v/>
      </c>
      <c r="AN38" t="str">
        <f t="shared" si="30"/>
        <v/>
      </c>
      <c r="AO38" t="str">
        <f t="shared" si="4"/>
        <v/>
      </c>
      <c r="AP38" t="str">
        <f t="shared" si="5"/>
        <v/>
      </c>
      <c r="AQ38" t="str">
        <f t="shared" si="6"/>
        <v/>
      </c>
      <c r="AR38" t="str">
        <f t="shared" si="7"/>
        <v/>
      </c>
      <c r="AS38" t="str">
        <f t="shared" si="8"/>
        <v/>
      </c>
      <c r="AT38" t="str">
        <f t="shared" si="9"/>
        <v/>
      </c>
      <c r="AU38" t="str">
        <f t="shared" si="10"/>
        <v/>
      </c>
      <c r="AV38" t="str">
        <f t="shared" si="31"/>
        <v/>
      </c>
      <c r="AW38" t="str">
        <f t="shared" si="32"/>
        <v/>
      </c>
      <c r="AY38" t="str">
        <f t="shared" si="11"/>
        <v/>
      </c>
      <c r="AZ38" t="str">
        <f t="shared" si="12"/>
        <v/>
      </c>
      <c r="BA38" t="str">
        <f t="shared" si="13"/>
        <v/>
      </c>
      <c r="BB38" t="str">
        <f t="shared" si="33"/>
        <v/>
      </c>
      <c r="BC38" t="str">
        <f t="shared" si="14"/>
        <v/>
      </c>
      <c r="BE38">
        <f t="shared" si="15"/>
        <v>9</v>
      </c>
      <c r="BF38">
        <f t="shared" si="16"/>
        <v>1</v>
      </c>
      <c r="BG38" t="str">
        <f t="shared" si="17"/>
        <v/>
      </c>
      <c r="BH38" t="str">
        <f t="shared" si="34"/>
        <v/>
      </c>
    </row>
    <row r="39" spans="1:60" x14ac:dyDescent="0.55000000000000004">
      <c r="D39">
        <v>29</v>
      </c>
      <c r="E39" t="str">
        <f t="shared" si="2"/>
        <v/>
      </c>
      <c r="F39" t="str">
        <f t="shared" si="18"/>
        <v/>
      </c>
      <c r="G39" t="str">
        <f t="shared" si="3"/>
        <v/>
      </c>
      <c r="Z39" t="str">
        <f t="shared" si="19"/>
        <v/>
      </c>
      <c r="AA39" t="str">
        <f t="shared" si="20"/>
        <v/>
      </c>
      <c r="AB39" t="str">
        <f t="shared" si="20"/>
        <v/>
      </c>
      <c r="AC39" t="str">
        <f t="shared" si="20"/>
        <v/>
      </c>
      <c r="AD39" t="str">
        <f t="shared" si="21"/>
        <v/>
      </c>
      <c r="AE39" t="str">
        <f t="shared" si="22"/>
        <v/>
      </c>
      <c r="AF39" t="str">
        <f t="shared" si="23"/>
        <v/>
      </c>
      <c r="AG39" t="str">
        <f t="shared" si="24"/>
        <v/>
      </c>
      <c r="AH39" t="str">
        <f t="shared" si="25"/>
        <v/>
      </c>
      <c r="AI39" t="str">
        <f t="shared" si="26"/>
        <v/>
      </c>
      <c r="AJ39" t="str">
        <f t="shared" si="27"/>
        <v/>
      </c>
      <c r="AK39" t="str">
        <f t="shared" si="28"/>
        <v/>
      </c>
      <c r="AM39" t="str">
        <f t="shared" si="29"/>
        <v/>
      </c>
      <c r="AN39" t="str">
        <f t="shared" si="30"/>
        <v/>
      </c>
      <c r="AO39" t="str">
        <f t="shared" si="4"/>
        <v/>
      </c>
      <c r="AP39" t="str">
        <f t="shared" si="5"/>
        <v/>
      </c>
      <c r="AQ39" t="str">
        <f t="shared" si="6"/>
        <v/>
      </c>
      <c r="AR39" t="str">
        <f t="shared" si="7"/>
        <v/>
      </c>
      <c r="AS39" t="str">
        <f t="shared" si="8"/>
        <v/>
      </c>
      <c r="AT39" t="str">
        <f t="shared" si="9"/>
        <v/>
      </c>
      <c r="AU39" t="str">
        <f t="shared" si="10"/>
        <v/>
      </c>
      <c r="AV39" t="str">
        <f t="shared" si="31"/>
        <v/>
      </c>
      <c r="AW39" t="str">
        <f t="shared" si="32"/>
        <v/>
      </c>
      <c r="AY39" t="str">
        <f t="shared" si="11"/>
        <v/>
      </c>
      <c r="AZ39" t="str">
        <f t="shared" si="12"/>
        <v/>
      </c>
      <c r="BA39" t="str">
        <f t="shared" si="13"/>
        <v/>
      </c>
      <c r="BB39" t="str">
        <f t="shared" si="33"/>
        <v/>
      </c>
      <c r="BC39" t="str">
        <f t="shared" si="14"/>
        <v/>
      </c>
      <c r="BE39">
        <f t="shared" si="15"/>
        <v>9</v>
      </c>
      <c r="BF39">
        <f t="shared" si="16"/>
        <v>2</v>
      </c>
      <c r="BG39" t="str">
        <f t="shared" si="17"/>
        <v/>
      </c>
      <c r="BH39" t="str">
        <f t="shared" si="34"/>
        <v/>
      </c>
    </row>
    <row r="40" spans="1:60" x14ac:dyDescent="0.55000000000000004">
      <c r="A40" t="s">
        <v>7</v>
      </c>
      <c r="B40" t="str">
        <f ca="1">"RUNG_COMMENT"&amp;CHAR(10)&amp;";"&amp;"このスクリプトは "&amp;$B$10&amp;" によって生成されました。"</f>
        <v>RUNG_COMMENT
;このスクリプトは C:\tk\prj\hg-0025-0016\git\unit01\kv-x520\doc\[kv_script_exe_errno.xlsm]info_script によって生成されました。</v>
      </c>
      <c r="D40">
        <v>30</v>
      </c>
      <c r="E40" t="str">
        <f t="shared" si="2"/>
        <v/>
      </c>
      <c r="F40" t="str">
        <f t="shared" si="18"/>
        <v/>
      </c>
      <c r="G40" t="str">
        <f t="shared" si="3"/>
        <v/>
      </c>
      <c r="Z40" t="str">
        <f t="shared" si="19"/>
        <v/>
      </c>
      <c r="AA40" t="str">
        <f t="shared" si="20"/>
        <v/>
      </c>
      <c r="AB40" t="str">
        <f t="shared" si="20"/>
        <v/>
      </c>
      <c r="AC40" t="str">
        <f t="shared" si="20"/>
        <v/>
      </c>
      <c r="AD40" t="str">
        <f t="shared" si="21"/>
        <v/>
      </c>
      <c r="AE40" t="str">
        <f t="shared" si="22"/>
        <v/>
      </c>
      <c r="AF40" t="str">
        <f t="shared" si="23"/>
        <v/>
      </c>
      <c r="AG40" t="str">
        <f t="shared" si="24"/>
        <v/>
      </c>
      <c r="AH40" t="str">
        <f t="shared" si="25"/>
        <v/>
      </c>
      <c r="AI40" t="str">
        <f t="shared" si="26"/>
        <v/>
      </c>
      <c r="AJ40" t="str">
        <f t="shared" si="27"/>
        <v/>
      </c>
      <c r="AK40" t="str">
        <f t="shared" si="28"/>
        <v/>
      </c>
      <c r="AM40" t="str">
        <f t="shared" si="29"/>
        <v/>
      </c>
      <c r="AN40" t="str">
        <f t="shared" si="30"/>
        <v/>
      </c>
      <c r="AO40" t="str">
        <f t="shared" si="4"/>
        <v/>
      </c>
      <c r="AP40" t="str">
        <f t="shared" si="5"/>
        <v/>
      </c>
      <c r="AQ40" t="str">
        <f t="shared" si="6"/>
        <v/>
      </c>
      <c r="AR40" t="str">
        <f t="shared" si="7"/>
        <v/>
      </c>
      <c r="AS40" t="str">
        <f t="shared" si="8"/>
        <v/>
      </c>
      <c r="AT40" t="str">
        <f t="shared" si="9"/>
        <v/>
      </c>
      <c r="AU40" t="str">
        <f t="shared" si="10"/>
        <v/>
      </c>
      <c r="AV40" t="str">
        <f t="shared" si="31"/>
        <v/>
      </c>
      <c r="AW40" t="str">
        <f t="shared" si="32"/>
        <v/>
      </c>
      <c r="AY40" t="str">
        <f t="shared" si="11"/>
        <v/>
      </c>
      <c r="AZ40" t="str">
        <f t="shared" si="12"/>
        <v/>
      </c>
      <c r="BA40" t="str">
        <f t="shared" si="13"/>
        <v/>
      </c>
      <c r="BB40" t="str">
        <f t="shared" si="33"/>
        <v/>
      </c>
      <c r="BC40" t="str">
        <f t="shared" si="14"/>
        <v/>
      </c>
      <c r="BE40">
        <f t="shared" si="15"/>
        <v>10</v>
      </c>
      <c r="BF40">
        <f t="shared" si="16"/>
        <v>0</v>
      </c>
      <c r="BG40" t="str">
        <f t="shared" si="17"/>
        <v/>
      </c>
      <c r="BH40" t="str">
        <f t="shared" si="34"/>
        <v/>
      </c>
    </row>
    <row r="41" spans="1:60" x14ac:dyDescent="0.55000000000000004">
      <c r="A41" t="s">
        <v>8</v>
      </c>
      <c r="B41" t="str">
        <f>"RUNG_COMMENT"&amp;CHAR(10)&amp;";"&amp;"-----ここまで生成script-----"</f>
        <v>RUNG_COMMENT
;-----ここまで生成script-----</v>
      </c>
      <c r="D41">
        <v>31</v>
      </c>
      <c r="E41" t="str">
        <f t="shared" si="2"/>
        <v/>
      </c>
      <c r="F41" t="str">
        <f t="shared" si="18"/>
        <v/>
      </c>
      <c r="G41" t="str">
        <f t="shared" si="3"/>
        <v/>
      </c>
      <c r="Z41" t="str">
        <f t="shared" si="19"/>
        <v/>
      </c>
      <c r="AA41" t="str">
        <f t="shared" si="20"/>
        <v/>
      </c>
      <c r="AB41" t="str">
        <f t="shared" si="20"/>
        <v/>
      </c>
      <c r="AC41" t="str">
        <f t="shared" si="20"/>
        <v/>
      </c>
      <c r="AD41" t="str">
        <f t="shared" si="21"/>
        <v/>
      </c>
      <c r="AE41" t="str">
        <f t="shared" si="22"/>
        <v/>
      </c>
      <c r="AF41" t="str">
        <f t="shared" si="23"/>
        <v/>
      </c>
      <c r="AG41" t="str">
        <f t="shared" si="24"/>
        <v/>
      </c>
      <c r="AH41" t="str">
        <f t="shared" si="25"/>
        <v/>
      </c>
      <c r="AI41" t="str">
        <f t="shared" si="26"/>
        <v/>
      </c>
      <c r="AJ41" t="str">
        <f t="shared" si="27"/>
        <v/>
      </c>
      <c r="AK41" t="str">
        <f t="shared" si="28"/>
        <v/>
      </c>
      <c r="AM41" t="str">
        <f t="shared" si="29"/>
        <v/>
      </c>
      <c r="AN41" t="str">
        <f t="shared" si="30"/>
        <v/>
      </c>
      <c r="AO41" t="str">
        <f t="shared" si="4"/>
        <v/>
      </c>
      <c r="AP41" t="str">
        <f t="shared" si="5"/>
        <v/>
      </c>
      <c r="AQ41" t="str">
        <f t="shared" si="6"/>
        <v/>
      </c>
      <c r="AR41" t="str">
        <f t="shared" si="7"/>
        <v/>
      </c>
      <c r="AS41" t="str">
        <f t="shared" si="8"/>
        <v/>
      </c>
      <c r="AT41" t="str">
        <f t="shared" si="9"/>
        <v/>
      </c>
      <c r="AU41" t="str">
        <f t="shared" si="10"/>
        <v/>
      </c>
      <c r="AV41" t="str">
        <f t="shared" si="31"/>
        <v/>
      </c>
      <c r="AW41" t="str">
        <f t="shared" si="32"/>
        <v/>
      </c>
      <c r="AY41" t="str">
        <f t="shared" si="11"/>
        <v/>
      </c>
      <c r="AZ41" t="str">
        <f t="shared" si="12"/>
        <v/>
      </c>
      <c r="BA41" t="str">
        <f t="shared" si="13"/>
        <v/>
      </c>
      <c r="BB41" t="str">
        <f t="shared" si="33"/>
        <v/>
      </c>
      <c r="BC41" t="str">
        <f t="shared" si="14"/>
        <v/>
      </c>
      <c r="BE41">
        <f t="shared" si="15"/>
        <v>10</v>
      </c>
      <c r="BF41">
        <f t="shared" si="16"/>
        <v>1</v>
      </c>
      <c r="BG41" t="str">
        <f t="shared" si="17"/>
        <v/>
      </c>
      <c r="BH41" t="str">
        <f t="shared" si="34"/>
        <v/>
      </c>
    </row>
    <row r="42" spans="1:60" x14ac:dyDescent="0.55000000000000004">
      <c r="A42" t="s">
        <v>19</v>
      </c>
      <c r="B42" t="str">
        <f ca="1">"RUNG_COMMENT"&amp;CHAR(10)&amp;";"&amp;B30&amp;CHAR(10)&amp;BC211&amp;CHAR(10)&amp;"RUNG_COMMENT"&amp;CHAR(10)&amp;";"&amp;B31</f>
        <v>RUNG_COMMENT
;このスクリプトは C:\tk\prj\hg-0025-0016\git\unit01\kv-x520\doc\[kv_script_exe_errno.xlsm]info_script によって生成されました。
RUNG_COMMENT
;-----ここまで生成script-----</v>
      </c>
      <c r="D42">
        <v>32</v>
      </c>
      <c r="E42" t="str">
        <f t="shared" ref="E42:E73" si="35">IF(LEN(I42),I42,IF(LEN(Q42),Q42,""))</f>
        <v/>
      </c>
      <c r="F42" t="str">
        <f t="shared" si="18"/>
        <v/>
      </c>
      <c r="G42" t="str">
        <f t="shared" ref="G42:G73" si="36">IF(LEN(O42),O42,IF(LEN(X42),X42,""))</f>
        <v/>
      </c>
      <c r="Z42" t="str">
        <f t="shared" si="19"/>
        <v/>
      </c>
      <c r="AA42" t="str">
        <f t="shared" si="20"/>
        <v/>
      </c>
      <c r="AB42" t="str">
        <f t="shared" si="20"/>
        <v/>
      </c>
      <c r="AC42" t="str">
        <f t="shared" si="20"/>
        <v/>
      </c>
      <c r="AD42" t="str">
        <f t="shared" si="21"/>
        <v/>
      </c>
      <c r="AE42" t="str">
        <f t="shared" si="22"/>
        <v/>
      </c>
      <c r="AF42" t="str">
        <f t="shared" si="23"/>
        <v/>
      </c>
      <c r="AG42" t="str">
        <f t="shared" si="24"/>
        <v/>
      </c>
      <c r="AH42" t="str">
        <f t="shared" si="25"/>
        <v/>
      </c>
      <c r="AI42" t="str">
        <f t="shared" si="26"/>
        <v/>
      </c>
      <c r="AJ42" t="str">
        <f t="shared" si="27"/>
        <v/>
      </c>
      <c r="AK42" t="str">
        <f t="shared" si="28"/>
        <v/>
      </c>
      <c r="AM42" t="str">
        <f t="shared" si="29"/>
        <v/>
      </c>
      <c r="AN42" t="str">
        <f t="shared" si="30"/>
        <v/>
      </c>
      <c r="AO42" t="str">
        <f t="shared" ref="AO42:AO73" si="37">IF($AM42="●","LDP "&amp;E42&amp;"."&amp;$B$16,"")</f>
        <v/>
      </c>
      <c r="AP42" t="str">
        <f t="shared" ref="AP42:AP73" si="38">IF($AM42="●","AND=.D "&amp;$B$17&amp;" #0","")</f>
        <v/>
      </c>
      <c r="AQ42" t="str">
        <f t="shared" ref="AQ42:AQ73" si="39">IF($AM42="●","MOV.D #"&amp;AN42&amp;" "&amp;$B$17,"")</f>
        <v/>
      </c>
      <c r="AR42" t="str">
        <f t="shared" ref="AR42:AR73" si="40">IF(LEN(AK42),"MOV.D "&amp;$AK42&amp;" "&amp;$B$19,"")</f>
        <v/>
      </c>
      <c r="AS42" t="str">
        <f t="shared" ref="AS42:AS73" si="41">IF(AND(D42&lt;&gt;0,AM42="●"),CHAR(10),"")&amp;IF(LEN(AO42),AO42,"")</f>
        <v/>
      </c>
      <c r="AT42" t="str">
        <f t="shared" ref="AT42:AT73" si="42">IF(LEN(AS42),AS42&amp;CHAR(10),"")&amp;IF(LEN(AP42),AP42,"")</f>
        <v/>
      </c>
      <c r="AU42" t="str">
        <f t="shared" ref="AU42:AU73" si="43">IF(LEN(AT42),AT42&amp;CHAR(10),"")&amp;IF(LEN(AQ42),AQ42,"")</f>
        <v/>
      </c>
      <c r="AV42" t="str">
        <f t="shared" si="31"/>
        <v/>
      </c>
      <c r="AW42" t="str">
        <f t="shared" si="32"/>
        <v/>
      </c>
      <c r="AY42" t="str">
        <f t="shared" ref="AY42:AY73" si="44">IF($AM42="●",AT42&amp;CHAR(10)&amp;"BOX_ST"&amp;CHAR(10)&amp;";//"&amp;$B$30,"")</f>
        <v/>
      </c>
      <c r="AZ42" t="str">
        <f t="shared" ref="AZ42:AZ73" si="45">IF($AM42="●",IF(LEN(AY42),AY42&amp;CHAR(10),"")&amp;";//エラーNo.を入れる"&amp;CHAR(10)&amp;";"&amp;$B$17&amp;"	:= "&amp;AN42&amp;";","")</f>
        <v/>
      </c>
      <c r="BA42" t="str">
        <f t="shared" ref="BA42:BA73" si="46">IF($AM42="●",IF(LEN(AZ42),AZ42&amp;CHAR(10),"")&amp;";//カウントする"&amp;CHAR(10)&amp;";"&amp;$B$18&amp;"	:= "&amp;$B$18&amp;" + 1;","")</f>
        <v/>
      </c>
      <c r="BB42" t="str">
        <f t="shared" si="33"/>
        <v/>
      </c>
      <c r="BC42" t="str">
        <f t="shared" ref="BC42:BC73" si="47">IF($AM42="●",IF(LEN(BB42),BB42&amp;CHAR(10),"")&amp;";//"&amp;$B$31,"")</f>
        <v/>
      </c>
      <c r="BE42">
        <f t="shared" ref="BE42:BE73" si="48">INT(D42/$BE$8)</f>
        <v>10</v>
      </c>
      <c r="BF42">
        <f t="shared" ref="BF42:BF73" si="49">MOD(D42,$BE$8)</f>
        <v>2</v>
      </c>
      <c r="BG42" t="str">
        <f t="shared" ref="BG42:BG73" si="50">IF(LEN(E42),E42&amp;".x"&amp;TEXT(BF42,"0")&amp;CHAR(9)&amp;" := FALSE;","")</f>
        <v/>
      </c>
      <c r="BH42" t="str">
        <f t="shared" si="34"/>
        <v/>
      </c>
    </row>
    <row r="43" spans="1:60" x14ac:dyDescent="0.55000000000000004">
      <c r="D43">
        <v>33</v>
      </c>
      <c r="E43" t="str">
        <f t="shared" si="35"/>
        <v/>
      </c>
      <c r="F43" t="str">
        <f t="shared" si="18"/>
        <v/>
      </c>
      <c r="G43" t="str">
        <f t="shared" si="36"/>
        <v/>
      </c>
      <c r="Z43" t="str">
        <f t="shared" si="19"/>
        <v/>
      </c>
      <c r="AA43" t="str">
        <f t="shared" ref="AA43:AC74" si="51">IFERROR(IF(COUNTIF($G43,"*"&amp;AA$9&amp;"*"),INT(MID($G43,FIND(AA$9,$G43)+LEN(AA$9),2)),""),"")</f>
        <v/>
      </c>
      <c r="AB43" t="str">
        <f t="shared" si="51"/>
        <v/>
      </c>
      <c r="AC43" t="str">
        <f t="shared" si="51"/>
        <v/>
      </c>
      <c r="AD43" t="str">
        <f t="shared" si="21"/>
        <v/>
      </c>
      <c r="AE43" t="str">
        <f t="shared" si="22"/>
        <v/>
      </c>
      <c r="AF43" t="str">
        <f t="shared" si="23"/>
        <v/>
      </c>
      <c r="AG43" t="str">
        <f t="shared" si="24"/>
        <v/>
      </c>
      <c r="AH43" t="str">
        <f t="shared" si="25"/>
        <v/>
      </c>
      <c r="AI43" t="str">
        <f t="shared" si="26"/>
        <v/>
      </c>
      <c r="AJ43" t="str">
        <f t="shared" si="27"/>
        <v/>
      </c>
      <c r="AK43" t="str">
        <f t="shared" si="28"/>
        <v/>
      </c>
      <c r="AM43" t="str">
        <f t="shared" si="29"/>
        <v/>
      </c>
      <c r="AN43" t="str">
        <f t="shared" si="30"/>
        <v/>
      </c>
      <c r="AO43" t="str">
        <f t="shared" si="37"/>
        <v/>
      </c>
      <c r="AP43" t="str">
        <f t="shared" si="38"/>
        <v/>
      </c>
      <c r="AQ43" t="str">
        <f t="shared" si="39"/>
        <v/>
      </c>
      <c r="AR43" t="str">
        <f t="shared" si="40"/>
        <v/>
      </c>
      <c r="AS43" t="str">
        <f t="shared" si="41"/>
        <v/>
      </c>
      <c r="AT43" t="str">
        <f t="shared" si="42"/>
        <v/>
      </c>
      <c r="AU43" t="str">
        <f t="shared" si="43"/>
        <v/>
      </c>
      <c r="AV43" t="str">
        <f t="shared" si="31"/>
        <v/>
      </c>
      <c r="AW43" t="str">
        <f t="shared" si="32"/>
        <v/>
      </c>
      <c r="AY43" t="str">
        <f t="shared" si="44"/>
        <v/>
      </c>
      <c r="AZ43" t="str">
        <f t="shared" si="45"/>
        <v/>
      </c>
      <c r="BA43" t="str">
        <f t="shared" si="46"/>
        <v/>
      </c>
      <c r="BB43" t="str">
        <f t="shared" si="33"/>
        <v/>
      </c>
      <c r="BC43" t="str">
        <f t="shared" si="47"/>
        <v/>
      </c>
      <c r="BE43">
        <f t="shared" si="48"/>
        <v>11</v>
      </c>
      <c r="BF43">
        <f t="shared" si="49"/>
        <v>0</v>
      </c>
      <c r="BG43" t="str">
        <f t="shared" si="50"/>
        <v/>
      </c>
      <c r="BH43" t="str">
        <f t="shared" si="34"/>
        <v/>
      </c>
    </row>
    <row r="44" spans="1:60" x14ac:dyDescent="0.55000000000000004">
      <c r="D44">
        <v>34</v>
      </c>
      <c r="E44" t="str">
        <f t="shared" si="35"/>
        <v/>
      </c>
      <c r="F44" t="str">
        <f t="shared" si="18"/>
        <v/>
      </c>
      <c r="G44" t="str">
        <f t="shared" si="36"/>
        <v/>
      </c>
      <c r="Z44" t="str">
        <f t="shared" si="19"/>
        <v/>
      </c>
      <c r="AA44" t="str">
        <f t="shared" si="51"/>
        <v/>
      </c>
      <c r="AB44" t="str">
        <f t="shared" si="51"/>
        <v/>
      </c>
      <c r="AC44" t="str">
        <f t="shared" si="51"/>
        <v/>
      </c>
      <c r="AD44" t="str">
        <f t="shared" si="21"/>
        <v/>
      </c>
      <c r="AE44" t="str">
        <f t="shared" si="22"/>
        <v/>
      </c>
      <c r="AF44" t="str">
        <f t="shared" si="23"/>
        <v/>
      </c>
      <c r="AG44" t="str">
        <f t="shared" si="24"/>
        <v/>
      </c>
      <c r="AH44" t="str">
        <f t="shared" si="25"/>
        <v/>
      </c>
      <c r="AI44" t="str">
        <f t="shared" si="26"/>
        <v/>
      </c>
      <c r="AJ44" t="str">
        <f t="shared" si="27"/>
        <v/>
      </c>
      <c r="AK44" t="str">
        <f t="shared" si="28"/>
        <v/>
      </c>
      <c r="AM44" t="str">
        <f t="shared" si="29"/>
        <v/>
      </c>
      <c r="AN44" t="str">
        <f t="shared" si="30"/>
        <v/>
      </c>
      <c r="AO44" t="str">
        <f t="shared" si="37"/>
        <v/>
      </c>
      <c r="AP44" t="str">
        <f t="shared" si="38"/>
        <v/>
      </c>
      <c r="AQ44" t="str">
        <f t="shared" si="39"/>
        <v/>
      </c>
      <c r="AR44" t="str">
        <f t="shared" si="40"/>
        <v/>
      </c>
      <c r="AS44" t="str">
        <f t="shared" si="41"/>
        <v/>
      </c>
      <c r="AT44" t="str">
        <f t="shared" si="42"/>
        <v/>
      </c>
      <c r="AU44" t="str">
        <f t="shared" si="43"/>
        <v/>
      </c>
      <c r="AV44" t="str">
        <f t="shared" si="31"/>
        <v/>
      </c>
      <c r="AW44" t="str">
        <f t="shared" si="32"/>
        <v/>
      </c>
      <c r="AY44" t="str">
        <f t="shared" si="44"/>
        <v/>
      </c>
      <c r="AZ44" t="str">
        <f t="shared" si="45"/>
        <v/>
      </c>
      <c r="BA44" t="str">
        <f t="shared" si="46"/>
        <v/>
      </c>
      <c r="BB44" t="str">
        <f t="shared" si="33"/>
        <v/>
      </c>
      <c r="BC44" t="str">
        <f t="shared" si="47"/>
        <v/>
      </c>
      <c r="BE44">
        <f t="shared" si="48"/>
        <v>11</v>
      </c>
      <c r="BF44">
        <f t="shared" si="49"/>
        <v>1</v>
      </c>
      <c r="BG44" t="str">
        <f t="shared" si="50"/>
        <v/>
      </c>
      <c r="BH44" t="str">
        <f t="shared" si="34"/>
        <v/>
      </c>
    </row>
    <row r="45" spans="1:60" x14ac:dyDescent="0.55000000000000004">
      <c r="D45">
        <v>35</v>
      </c>
      <c r="E45" t="str">
        <f t="shared" si="35"/>
        <v/>
      </c>
      <c r="F45" t="str">
        <f t="shared" si="18"/>
        <v/>
      </c>
      <c r="G45" t="str">
        <f t="shared" si="36"/>
        <v/>
      </c>
      <c r="Z45" t="str">
        <f t="shared" si="19"/>
        <v/>
      </c>
      <c r="AA45" t="str">
        <f t="shared" si="51"/>
        <v/>
      </c>
      <c r="AB45" t="str">
        <f t="shared" si="51"/>
        <v/>
      </c>
      <c r="AC45" t="str">
        <f t="shared" si="51"/>
        <v/>
      </c>
      <c r="AD45" t="str">
        <f t="shared" si="21"/>
        <v/>
      </c>
      <c r="AE45" t="str">
        <f t="shared" si="22"/>
        <v/>
      </c>
      <c r="AF45" t="str">
        <f t="shared" si="23"/>
        <v/>
      </c>
      <c r="AG45" t="str">
        <f t="shared" si="24"/>
        <v/>
      </c>
      <c r="AH45" t="str">
        <f t="shared" si="25"/>
        <v/>
      </c>
      <c r="AI45" t="str">
        <f t="shared" si="26"/>
        <v/>
      </c>
      <c r="AJ45" t="str">
        <f t="shared" si="27"/>
        <v/>
      </c>
      <c r="AK45" t="str">
        <f t="shared" si="28"/>
        <v/>
      </c>
      <c r="AM45" t="str">
        <f t="shared" si="29"/>
        <v/>
      </c>
      <c r="AN45" t="str">
        <f t="shared" si="30"/>
        <v/>
      </c>
      <c r="AO45" t="str">
        <f t="shared" si="37"/>
        <v/>
      </c>
      <c r="AP45" t="str">
        <f t="shared" si="38"/>
        <v/>
      </c>
      <c r="AQ45" t="str">
        <f t="shared" si="39"/>
        <v/>
      </c>
      <c r="AR45" t="str">
        <f t="shared" si="40"/>
        <v/>
      </c>
      <c r="AS45" t="str">
        <f t="shared" si="41"/>
        <v/>
      </c>
      <c r="AT45" t="str">
        <f t="shared" si="42"/>
        <v/>
      </c>
      <c r="AU45" t="str">
        <f t="shared" si="43"/>
        <v/>
      </c>
      <c r="AV45" t="str">
        <f t="shared" si="31"/>
        <v/>
      </c>
      <c r="AW45" t="str">
        <f t="shared" si="32"/>
        <v/>
      </c>
      <c r="AY45" t="str">
        <f t="shared" si="44"/>
        <v/>
      </c>
      <c r="AZ45" t="str">
        <f t="shared" si="45"/>
        <v/>
      </c>
      <c r="BA45" t="str">
        <f t="shared" si="46"/>
        <v/>
      </c>
      <c r="BB45" t="str">
        <f t="shared" si="33"/>
        <v/>
      </c>
      <c r="BC45" t="str">
        <f t="shared" si="47"/>
        <v/>
      </c>
      <c r="BE45">
        <f t="shared" si="48"/>
        <v>11</v>
      </c>
      <c r="BF45">
        <f t="shared" si="49"/>
        <v>2</v>
      </c>
      <c r="BG45" t="str">
        <f t="shared" si="50"/>
        <v/>
      </c>
      <c r="BH45" t="str">
        <f t="shared" si="34"/>
        <v/>
      </c>
    </row>
    <row r="46" spans="1:60" x14ac:dyDescent="0.55000000000000004">
      <c r="D46">
        <v>36</v>
      </c>
      <c r="E46" t="str">
        <f t="shared" si="35"/>
        <v/>
      </c>
      <c r="F46" t="str">
        <f t="shared" si="18"/>
        <v/>
      </c>
      <c r="G46" t="str">
        <f t="shared" si="36"/>
        <v/>
      </c>
      <c r="Z46" t="str">
        <f t="shared" si="19"/>
        <v/>
      </c>
      <c r="AA46" t="str">
        <f t="shared" si="51"/>
        <v/>
      </c>
      <c r="AB46" t="str">
        <f t="shared" si="51"/>
        <v/>
      </c>
      <c r="AC46" t="str">
        <f t="shared" si="51"/>
        <v/>
      </c>
      <c r="AD46" t="str">
        <f t="shared" si="21"/>
        <v/>
      </c>
      <c r="AE46" t="str">
        <f t="shared" si="22"/>
        <v/>
      </c>
      <c r="AF46" t="str">
        <f t="shared" si="23"/>
        <v/>
      </c>
      <c r="AG46" t="str">
        <f t="shared" si="24"/>
        <v/>
      </c>
      <c r="AH46" t="str">
        <f t="shared" si="25"/>
        <v/>
      </c>
      <c r="AI46" t="str">
        <f t="shared" si="26"/>
        <v/>
      </c>
      <c r="AJ46" t="str">
        <f t="shared" si="27"/>
        <v/>
      </c>
      <c r="AK46" t="str">
        <f t="shared" si="28"/>
        <v/>
      </c>
      <c r="AM46" t="str">
        <f t="shared" si="29"/>
        <v/>
      </c>
      <c r="AN46" t="str">
        <f t="shared" si="30"/>
        <v/>
      </c>
      <c r="AO46" t="str">
        <f t="shared" si="37"/>
        <v/>
      </c>
      <c r="AP46" t="str">
        <f t="shared" si="38"/>
        <v/>
      </c>
      <c r="AQ46" t="str">
        <f t="shared" si="39"/>
        <v/>
      </c>
      <c r="AR46" t="str">
        <f t="shared" si="40"/>
        <v/>
      </c>
      <c r="AS46" t="str">
        <f t="shared" si="41"/>
        <v/>
      </c>
      <c r="AT46" t="str">
        <f t="shared" si="42"/>
        <v/>
      </c>
      <c r="AU46" t="str">
        <f t="shared" si="43"/>
        <v/>
      </c>
      <c r="AV46" t="str">
        <f t="shared" si="31"/>
        <v/>
      </c>
      <c r="AW46" t="str">
        <f t="shared" si="32"/>
        <v/>
      </c>
      <c r="AY46" t="str">
        <f t="shared" si="44"/>
        <v/>
      </c>
      <c r="AZ46" t="str">
        <f t="shared" si="45"/>
        <v/>
      </c>
      <c r="BA46" t="str">
        <f t="shared" si="46"/>
        <v/>
      </c>
      <c r="BB46" t="str">
        <f t="shared" si="33"/>
        <v/>
      </c>
      <c r="BC46" t="str">
        <f t="shared" si="47"/>
        <v/>
      </c>
      <c r="BE46">
        <f t="shared" si="48"/>
        <v>12</v>
      </c>
      <c r="BF46">
        <f t="shared" si="49"/>
        <v>0</v>
      </c>
      <c r="BG46" t="str">
        <f t="shared" si="50"/>
        <v/>
      </c>
      <c r="BH46" t="str">
        <f t="shared" si="34"/>
        <v/>
      </c>
    </row>
    <row r="47" spans="1:60" x14ac:dyDescent="0.55000000000000004">
      <c r="D47">
        <v>37</v>
      </c>
      <c r="E47" t="str">
        <f t="shared" si="35"/>
        <v/>
      </c>
      <c r="F47" t="str">
        <f t="shared" si="18"/>
        <v/>
      </c>
      <c r="G47" t="str">
        <f t="shared" si="36"/>
        <v/>
      </c>
      <c r="Z47" t="str">
        <f t="shared" si="19"/>
        <v/>
      </c>
      <c r="AA47" t="str">
        <f t="shared" si="51"/>
        <v/>
      </c>
      <c r="AB47" t="str">
        <f t="shared" si="51"/>
        <v/>
      </c>
      <c r="AC47" t="str">
        <f t="shared" si="51"/>
        <v/>
      </c>
      <c r="AD47" t="str">
        <f t="shared" si="21"/>
        <v/>
      </c>
      <c r="AE47" t="str">
        <f t="shared" si="22"/>
        <v/>
      </c>
      <c r="AF47" t="str">
        <f t="shared" si="23"/>
        <v/>
      </c>
      <c r="AG47" t="str">
        <f t="shared" si="24"/>
        <v/>
      </c>
      <c r="AH47" t="str">
        <f t="shared" si="25"/>
        <v/>
      </c>
      <c r="AI47" t="str">
        <f t="shared" si="26"/>
        <v/>
      </c>
      <c r="AJ47" t="str">
        <f t="shared" si="27"/>
        <v/>
      </c>
      <c r="AK47" t="str">
        <f t="shared" si="28"/>
        <v/>
      </c>
      <c r="AM47" t="str">
        <f t="shared" si="29"/>
        <v/>
      </c>
      <c r="AN47" t="str">
        <f t="shared" si="30"/>
        <v/>
      </c>
      <c r="AO47" t="str">
        <f t="shared" si="37"/>
        <v/>
      </c>
      <c r="AP47" t="str">
        <f t="shared" si="38"/>
        <v/>
      </c>
      <c r="AQ47" t="str">
        <f t="shared" si="39"/>
        <v/>
      </c>
      <c r="AR47" t="str">
        <f t="shared" si="40"/>
        <v/>
      </c>
      <c r="AS47" t="str">
        <f t="shared" si="41"/>
        <v/>
      </c>
      <c r="AT47" t="str">
        <f t="shared" si="42"/>
        <v/>
      </c>
      <c r="AU47" t="str">
        <f t="shared" si="43"/>
        <v/>
      </c>
      <c r="AV47" t="str">
        <f t="shared" si="31"/>
        <v/>
      </c>
      <c r="AW47" t="str">
        <f t="shared" si="32"/>
        <v/>
      </c>
      <c r="AY47" t="str">
        <f t="shared" si="44"/>
        <v/>
      </c>
      <c r="AZ47" t="str">
        <f t="shared" si="45"/>
        <v/>
      </c>
      <c r="BA47" t="str">
        <f t="shared" si="46"/>
        <v/>
      </c>
      <c r="BB47" t="str">
        <f t="shared" si="33"/>
        <v/>
      </c>
      <c r="BC47" t="str">
        <f t="shared" si="47"/>
        <v/>
      </c>
      <c r="BE47">
        <f t="shared" si="48"/>
        <v>12</v>
      </c>
      <c r="BF47">
        <f t="shared" si="49"/>
        <v>1</v>
      </c>
      <c r="BG47" t="str">
        <f t="shared" si="50"/>
        <v/>
      </c>
      <c r="BH47" t="str">
        <f t="shared" si="34"/>
        <v/>
      </c>
    </row>
    <row r="48" spans="1:60" x14ac:dyDescent="0.55000000000000004">
      <c r="D48">
        <v>38</v>
      </c>
      <c r="E48" t="str">
        <f t="shared" si="35"/>
        <v/>
      </c>
      <c r="F48" t="str">
        <f t="shared" si="18"/>
        <v/>
      </c>
      <c r="G48" t="str">
        <f t="shared" si="36"/>
        <v/>
      </c>
      <c r="Z48" t="str">
        <f t="shared" si="19"/>
        <v/>
      </c>
      <c r="AA48" t="str">
        <f t="shared" si="51"/>
        <v/>
      </c>
      <c r="AB48" t="str">
        <f t="shared" si="51"/>
        <v/>
      </c>
      <c r="AC48" t="str">
        <f t="shared" si="51"/>
        <v/>
      </c>
      <c r="AD48" t="str">
        <f t="shared" si="21"/>
        <v/>
      </c>
      <c r="AE48" t="str">
        <f t="shared" si="22"/>
        <v/>
      </c>
      <c r="AF48" t="str">
        <f t="shared" si="23"/>
        <v/>
      </c>
      <c r="AG48" t="str">
        <f t="shared" si="24"/>
        <v/>
      </c>
      <c r="AH48" t="str">
        <f t="shared" si="25"/>
        <v/>
      </c>
      <c r="AI48" t="str">
        <f t="shared" si="26"/>
        <v/>
      </c>
      <c r="AJ48" t="str">
        <f t="shared" si="27"/>
        <v/>
      </c>
      <c r="AK48" t="str">
        <f t="shared" si="28"/>
        <v/>
      </c>
      <c r="AM48" t="str">
        <f t="shared" si="29"/>
        <v/>
      </c>
      <c r="AN48" t="str">
        <f t="shared" si="30"/>
        <v/>
      </c>
      <c r="AO48" t="str">
        <f t="shared" si="37"/>
        <v/>
      </c>
      <c r="AP48" t="str">
        <f t="shared" si="38"/>
        <v/>
      </c>
      <c r="AQ48" t="str">
        <f t="shared" si="39"/>
        <v/>
      </c>
      <c r="AR48" t="str">
        <f t="shared" si="40"/>
        <v/>
      </c>
      <c r="AS48" t="str">
        <f t="shared" si="41"/>
        <v/>
      </c>
      <c r="AT48" t="str">
        <f t="shared" si="42"/>
        <v/>
      </c>
      <c r="AU48" t="str">
        <f t="shared" si="43"/>
        <v/>
      </c>
      <c r="AV48" t="str">
        <f t="shared" si="31"/>
        <v/>
      </c>
      <c r="AW48" t="str">
        <f t="shared" si="32"/>
        <v/>
      </c>
      <c r="AY48" t="str">
        <f t="shared" si="44"/>
        <v/>
      </c>
      <c r="AZ48" t="str">
        <f t="shared" si="45"/>
        <v/>
      </c>
      <c r="BA48" t="str">
        <f t="shared" si="46"/>
        <v/>
      </c>
      <c r="BB48" t="str">
        <f t="shared" si="33"/>
        <v/>
      </c>
      <c r="BC48" t="str">
        <f t="shared" si="47"/>
        <v/>
      </c>
      <c r="BE48">
        <f t="shared" si="48"/>
        <v>12</v>
      </c>
      <c r="BF48">
        <f t="shared" si="49"/>
        <v>2</v>
      </c>
      <c r="BG48" t="str">
        <f t="shared" si="50"/>
        <v/>
      </c>
      <c r="BH48" t="str">
        <f t="shared" si="34"/>
        <v/>
      </c>
    </row>
    <row r="49" spans="4:60" x14ac:dyDescent="0.55000000000000004">
      <c r="D49">
        <v>39</v>
      </c>
      <c r="E49" t="str">
        <f t="shared" si="35"/>
        <v/>
      </c>
      <c r="F49" t="str">
        <f t="shared" si="18"/>
        <v/>
      </c>
      <c r="G49" t="str">
        <f t="shared" si="36"/>
        <v/>
      </c>
      <c r="Z49" t="str">
        <f t="shared" si="19"/>
        <v/>
      </c>
      <c r="AA49" t="str">
        <f t="shared" si="51"/>
        <v/>
      </c>
      <c r="AB49" t="str">
        <f t="shared" si="51"/>
        <v/>
      </c>
      <c r="AC49" t="str">
        <f t="shared" si="51"/>
        <v/>
      </c>
      <c r="AD49" t="str">
        <f t="shared" si="21"/>
        <v/>
      </c>
      <c r="AE49" t="str">
        <f t="shared" si="22"/>
        <v/>
      </c>
      <c r="AF49" t="str">
        <f t="shared" si="23"/>
        <v/>
      </c>
      <c r="AG49" t="str">
        <f t="shared" si="24"/>
        <v/>
      </c>
      <c r="AH49" t="str">
        <f t="shared" si="25"/>
        <v/>
      </c>
      <c r="AI49" t="str">
        <f t="shared" si="26"/>
        <v/>
      </c>
      <c r="AJ49" t="str">
        <f t="shared" si="27"/>
        <v/>
      </c>
      <c r="AK49" t="str">
        <f t="shared" si="28"/>
        <v/>
      </c>
      <c r="AM49" t="str">
        <f t="shared" si="29"/>
        <v/>
      </c>
      <c r="AN49" t="str">
        <f t="shared" si="30"/>
        <v/>
      </c>
      <c r="AO49" t="str">
        <f t="shared" si="37"/>
        <v/>
      </c>
      <c r="AP49" t="str">
        <f t="shared" si="38"/>
        <v/>
      </c>
      <c r="AQ49" t="str">
        <f t="shared" si="39"/>
        <v/>
      </c>
      <c r="AR49" t="str">
        <f t="shared" si="40"/>
        <v/>
      </c>
      <c r="AS49" t="str">
        <f t="shared" si="41"/>
        <v/>
      </c>
      <c r="AT49" t="str">
        <f t="shared" si="42"/>
        <v/>
      </c>
      <c r="AU49" t="str">
        <f t="shared" si="43"/>
        <v/>
      </c>
      <c r="AV49" t="str">
        <f t="shared" si="31"/>
        <v/>
      </c>
      <c r="AW49" t="str">
        <f t="shared" si="32"/>
        <v/>
      </c>
      <c r="AY49" t="str">
        <f t="shared" si="44"/>
        <v/>
      </c>
      <c r="AZ49" t="str">
        <f t="shared" si="45"/>
        <v/>
      </c>
      <c r="BA49" t="str">
        <f t="shared" si="46"/>
        <v/>
      </c>
      <c r="BB49" t="str">
        <f t="shared" si="33"/>
        <v/>
      </c>
      <c r="BC49" t="str">
        <f t="shared" si="47"/>
        <v/>
      </c>
      <c r="BE49">
        <f t="shared" si="48"/>
        <v>13</v>
      </c>
      <c r="BF49">
        <f t="shared" si="49"/>
        <v>0</v>
      </c>
      <c r="BG49" t="str">
        <f t="shared" si="50"/>
        <v/>
      </c>
      <c r="BH49" t="str">
        <f t="shared" si="34"/>
        <v/>
      </c>
    </row>
    <row r="50" spans="4:60" x14ac:dyDescent="0.55000000000000004">
      <c r="D50">
        <v>40</v>
      </c>
      <c r="E50" t="str">
        <f t="shared" si="35"/>
        <v/>
      </c>
      <c r="F50" t="str">
        <f t="shared" si="18"/>
        <v/>
      </c>
      <c r="G50" t="str">
        <f t="shared" si="36"/>
        <v/>
      </c>
      <c r="Z50" t="str">
        <f t="shared" si="19"/>
        <v/>
      </c>
      <c r="AA50" t="str">
        <f t="shared" si="51"/>
        <v/>
      </c>
      <c r="AB50" t="str">
        <f t="shared" si="51"/>
        <v/>
      </c>
      <c r="AC50" t="str">
        <f t="shared" si="51"/>
        <v/>
      </c>
      <c r="AD50" t="str">
        <f t="shared" si="21"/>
        <v/>
      </c>
      <c r="AE50" t="str">
        <f t="shared" si="22"/>
        <v/>
      </c>
      <c r="AF50" t="str">
        <f t="shared" si="23"/>
        <v/>
      </c>
      <c r="AG50" t="str">
        <f t="shared" si="24"/>
        <v/>
      </c>
      <c r="AH50" t="str">
        <f t="shared" si="25"/>
        <v/>
      </c>
      <c r="AI50" t="str">
        <f t="shared" si="26"/>
        <v/>
      </c>
      <c r="AJ50" t="str">
        <f t="shared" si="27"/>
        <v/>
      </c>
      <c r="AK50" t="str">
        <f t="shared" si="28"/>
        <v/>
      </c>
      <c r="AM50" t="str">
        <f t="shared" si="29"/>
        <v/>
      </c>
      <c r="AN50" t="str">
        <f t="shared" si="30"/>
        <v/>
      </c>
      <c r="AO50" t="str">
        <f t="shared" si="37"/>
        <v/>
      </c>
      <c r="AP50" t="str">
        <f t="shared" si="38"/>
        <v/>
      </c>
      <c r="AQ50" t="str">
        <f t="shared" si="39"/>
        <v/>
      </c>
      <c r="AR50" t="str">
        <f t="shared" si="40"/>
        <v/>
      </c>
      <c r="AS50" t="str">
        <f t="shared" si="41"/>
        <v/>
      </c>
      <c r="AT50" t="str">
        <f t="shared" si="42"/>
        <v/>
      </c>
      <c r="AU50" t="str">
        <f t="shared" si="43"/>
        <v/>
      </c>
      <c r="AV50" t="str">
        <f t="shared" si="31"/>
        <v/>
      </c>
      <c r="AW50" t="str">
        <f t="shared" si="32"/>
        <v/>
      </c>
      <c r="AY50" t="str">
        <f t="shared" si="44"/>
        <v/>
      </c>
      <c r="AZ50" t="str">
        <f t="shared" si="45"/>
        <v/>
      </c>
      <c r="BA50" t="str">
        <f t="shared" si="46"/>
        <v/>
      </c>
      <c r="BB50" t="str">
        <f t="shared" si="33"/>
        <v/>
      </c>
      <c r="BC50" t="str">
        <f t="shared" si="47"/>
        <v/>
      </c>
      <c r="BE50">
        <f t="shared" si="48"/>
        <v>13</v>
      </c>
      <c r="BF50">
        <f t="shared" si="49"/>
        <v>1</v>
      </c>
      <c r="BG50" t="str">
        <f t="shared" si="50"/>
        <v/>
      </c>
      <c r="BH50" t="str">
        <f t="shared" si="34"/>
        <v/>
      </c>
    </row>
    <row r="51" spans="4:60" x14ac:dyDescent="0.55000000000000004">
      <c r="D51">
        <v>41</v>
      </c>
      <c r="E51" t="str">
        <f t="shared" si="35"/>
        <v/>
      </c>
      <c r="F51" t="str">
        <f t="shared" si="18"/>
        <v/>
      </c>
      <c r="G51" t="str">
        <f t="shared" si="36"/>
        <v/>
      </c>
      <c r="Z51" t="str">
        <f t="shared" si="19"/>
        <v/>
      </c>
      <c r="AA51" t="str">
        <f t="shared" si="51"/>
        <v/>
      </c>
      <c r="AB51" t="str">
        <f t="shared" si="51"/>
        <v/>
      </c>
      <c r="AC51" t="str">
        <f t="shared" si="51"/>
        <v/>
      </c>
      <c r="AD51" t="str">
        <f t="shared" si="21"/>
        <v/>
      </c>
      <c r="AE51" t="str">
        <f t="shared" si="22"/>
        <v/>
      </c>
      <c r="AF51" t="str">
        <f t="shared" si="23"/>
        <v/>
      </c>
      <c r="AG51" t="str">
        <f t="shared" si="24"/>
        <v/>
      </c>
      <c r="AH51" t="str">
        <f t="shared" si="25"/>
        <v/>
      </c>
      <c r="AI51" t="str">
        <f t="shared" si="26"/>
        <v/>
      </c>
      <c r="AJ51" t="str">
        <f t="shared" si="27"/>
        <v/>
      </c>
      <c r="AK51" t="str">
        <f t="shared" si="28"/>
        <v/>
      </c>
      <c r="AM51" t="str">
        <f t="shared" si="29"/>
        <v/>
      </c>
      <c r="AN51" t="str">
        <f t="shared" si="30"/>
        <v/>
      </c>
      <c r="AO51" t="str">
        <f t="shared" si="37"/>
        <v/>
      </c>
      <c r="AP51" t="str">
        <f t="shared" si="38"/>
        <v/>
      </c>
      <c r="AQ51" t="str">
        <f t="shared" si="39"/>
        <v/>
      </c>
      <c r="AR51" t="str">
        <f t="shared" si="40"/>
        <v/>
      </c>
      <c r="AS51" t="str">
        <f t="shared" si="41"/>
        <v/>
      </c>
      <c r="AT51" t="str">
        <f t="shared" si="42"/>
        <v/>
      </c>
      <c r="AU51" t="str">
        <f t="shared" si="43"/>
        <v/>
      </c>
      <c r="AV51" t="str">
        <f t="shared" si="31"/>
        <v/>
      </c>
      <c r="AW51" t="str">
        <f t="shared" si="32"/>
        <v/>
      </c>
      <c r="AY51" t="str">
        <f t="shared" si="44"/>
        <v/>
      </c>
      <c r="AZ51" t="str">
        <f t="shared" si="45"/>
        <v/>
      </c>
      <c r="BA51" t="str">
        <f t="shared" si="46"/>
        <v/>
      </c>
      <c r="BB51" t="str">
        <f t="shared" si="33"/>
        <v/>
      </c>
      <c r="BC51" t="str">
        <f t="shared" si="47"/>
        <v/>
      </c>
      <c r="BE51">
        <f t="shared" si="48"/>
        <v>13</v>
      </c>
      <c r="BF51">
        <f t="shared" si="49"/>
        <v>2</v>
      </c>
      <c r="BG51" t="str">
        <f t="shared" si="50"/>
        <v/>
      </c>
      <c r="BH51" t="str">
        <f t="shared" si="34"/>
        <v/>
      </c>
    </row>
    <row r="52" spans="4:60" x14ac:dyDescent="0.55000000000000004">
      <c r="D52">
        <v>42</v>
      </c>
      <c r="E52" t="str">
        <f t="shared" si="35"/>
        <v/>
      </c>
      <c r="F52" t="str">
        <f t="shared" si="18"/>
        <v/>
      </c>
      <c r="G52" t="str">
        <f t="shared" si="36"/>
        <v/>
      </c>
      <c r="Z52" t="str">
        <f t="shared" si="19"/>
        <v/>
      </c>
      <c r="AA52" t="str">
        <f t="shared" si="51"/>
        <v/>
      </c>
      <c r="AB52" t="str">
        <f t="shared" si="51"/>
        <v/>
      </c>
      <c r="AC52" t="str">
        <f t="shared" si="51"/>
        <v/>
      </c>
      <c r="AD52" t="str">
        <f t="shared" si="21"/>
        <v/>
      </c>
      <c r="AE52" t="str">
        <f t="shared" si="22"/>
        <v/>
      </c>
      <c r="AF52" t="str">
        <f t="shared" si="23"/>
        <v/>
      </c>
      <c r="AG52" t="str">
        <f t="shared" si="24"/>
        <v/>
      </c>
      <c r="AH52" t="str">
        <f t="shared" si="25"/>
        <v/>
      </c>
      <c r="AI52" t="str">
        <f t="shared" si="26"/>
        <v/>
      </c>
      <c r="AJ52" t="str">
        <f t="shared" si="27"/>
        <v/>
      </c>
      <c r="AK52" t="str">
        <f t="shared" si="28"/>
        <v/>
      </c>
      <c r="AM52" t="str">
        <f t="shared" si="29"/>
        <v/>
      </c>
      <c r="AN52" t="str">
        <f t="shared" si="30"/>
        <v/>
      </c>
      <c r="AO52" t="str">
        <f t="shared" si="37"/>
        <v/>
      </c>
      <c r="AP52" t="str">
        <f t="shared" si="38"/>
        <v/>
      </c>
      <c r="AQ52" t="str">
        <f t="shared" si="39"/>
        <v/>
      </c>
      <c r="AR52" t="str">
        <f t="shared" si="40"/>
        <v/>
      </c>
      <c r="AS52" t="str">
        <f t="shared" si="41"/>
        <v/>
      </c>
      <c r="AT52" t="str">
        <f t="shared" si="42"/>
        <v/>
      </c>
      <c r="AU52" t="str">
        <f t="shared" si="43"/>
        <v/>
      </c>
      <c r="AV52" t="str">
        <f t="shared" si="31"/>
        <v/>
      </c>
      <c r="AW52" t="str">
        <f t="shared" si="32"/>
        <v/>
      </c>
      <c r="AY52" t="str">
        <f t="shared" si="44"/>
        <v/>
      </c>
      <c r="AZ52" t="str">
        <f t="shared" si="45"/>
        <v/>
      </c>
      <c r="BA52" t="str">
        <f t="shared" si="46"/>
        <v/>
      </c>
      <c r="BB52" t="str">
        <f t="shared" si="33"/>
        <v/>
      </c>
      <c r="BC52" t="str">
        <f t="shared" si="47"/>
        <v/>
      </c>
      <c r="BE52">
        <f t="shared" si="48"/>
        <v>14</v>
      </c>
      <c r="BF52">
        <f t="shared" si="49"/>
        <v>0</v>
      </c>
      <c r="BG52" t="str">
        <f t="shared" si="50"/>
        <v/>
      </c>
      <c r="BH52" t="str">
        <f t="shared" si="34"/>
        <v/>
      </c>
    </row>
    <row r="53" spans="4:60" x14ac:dyDescent="0.55000000000000004">
      <c r="D53">
        <v>43</v>
      </c>
      <c r="E53" t="str">
        <f t="shared" si="35"/>
        <v/>
      </c>
      <c r="F53" t="str">
        <f t="shared" si="18"/>
        <v/>
      </c>
      <c r="G53" t="str">
        <f t="shared" si="36"/>
        <v/>
      </c>
      <c r="Z53" t="str">
        <f t="shared" si="19"/>
        <v/>
      </c>
      <c r="AA53" t="str">
        <f t="shared" si="51"/>
        <v/>
      </c>
      <c r="AB53" t="str">
        <f t="shared" si="51"/>
        <v/>
      </c>
      <c r="AC53" t="str">
        <f t="shared" si="51"/>
        <v/>
      </c>
      <c r="AD53" t="str">
        <f t="shared" si="21"/>
        <v/>
      </c>
      <c r="AE53" t="str">
        <f t="shared" si="22"/>
        <v/>
      </c>
      <c r="AF53" t="str">
        <f t="shared" si="23"/>
        <v/>
      </c>
      <c r="AG53" t="str">
        <f t="shared" si="24"/>
        <v/>
      </c>
      <c r="AH53" t="str">
        <f t="shared" si="25"/>
        <v/>
      </c>
      <c r="AI53" t="str">
        <f t="shared" si="26"/>
        <v/>
      </c>
      <c r="AJ53" t="str">
        <f t="shared" si="27"/>
        <v/>
      </c>
      <c r="AK53" t="str">
        <f t="shared" si="28"/>
        <v/>
      </c>
      <c r="AM53" t="str">
        <f t="shared" si="29"/>
        <v/>
      </c>
      <c r="AN53" t="str">
        <f t="shared" si="30"/>
        <v/>
      </c>
      <c r="AO53" t="str">
        <f t="shared" si="37"/>
        <v/>
      </c>
      <c r="AP53" t="str">
        <f t="shared" si="38"/>
        <v/>
      </c>
      <c r="AQ53" t="str">
        <f t="shared" si="39"/>
        <v/>
      </c>
      <c r="AR53" t="str">
        <f t="shared" si="40"/>
        <v/>
      </c>
      <c r="AS53" t="str">
        <f t="shared" si="41"/>
        <v/>
      </c>
      <c r="AT53" t="str">
        <f t="shared" si="42"/>
        <v/>
      </c>
      <c r="AU53" t="str">
        <f t="shared" si="43"/>
        <v/>
      </c>
      <c r="AV53" t="str">
        <f t="shared" si="31"/>
        <v/>
      </c>
      <c r="AW53" t="str">
        <f t="shared" si="32"/>
        <v/>
      </c>
      <c r="AY53" t="str">
        <f t="shared" si="44"/>
        <v/>
      </c>
      <c r="AZ53" t="str">
        <f t="shared" si="45"/>
        <v/>
      </c>
      <c r="BA53" t="str">
        <f t="shared" si="46"/>
        <v/>
      </c>
      <c r="BB53" t="str">
        <f t="shared" si="33"/>
        <v/>
      </c>
      <c r="BC53" t="str">
        <f t="shared" si="47"/>
        <v/>
      </c>
      <c r="BE53">
        <f t="shared" si="48"/>
        <v>14</v>
      </c>
      <c r="BF53">
        <f t="shared" si="49"/>
        <v>1</v>
      </c>
      <c r="BG53" t="str">
        <f t="shared" si="50"/>
        <v/>
      </c>
      <c r="BH53" t="str">
        <f t="shared" si="34"/>
        <v/>
      </c>
    </row>
    <row r="54" spans="4:60" x14ac:dyDescent="0.55000000000000004">
      <c r="D54">
        <v>44</v>
      </c>
      <c r="E54" t="str">
        <f t="shared" si="35"/>
        <v/>
      </c>
      <c r="F54" t="str">
        <f t="shared" si="18"/>
        <v/>
      </c>
      <c r="G54" t="str">
        <f t="shared" si="36"/>
        <v/>
      </c>
      <c r="Z54" t="str">
        <f t="shared" si="19"/>
        <v/>
      </c>
      <c r="AA54" t="str">
        <f t="shared" si="51"/>
        <v/>
      </c>
      <c r="AB54" t="str">
        <f t="shared" si="51"/>
        <v/>
      </c>
      <c r="AC54" t="str">
        <f t="shared" si="51"/>
        <v/>
      </c>
      <c r="AD54" t="str">
        <f t="shared" si="21"/>
        <v/>
      </c>
      <c r="AE54" t="str">
        <f t="shared" si="22"/>
        <v/>
      </c>
      <c r="AF54" t="str">
        <f t="shared" si="23"/>
        <v/>
      </c>
      <c r="AG54" t="str">
        <f t="shared" si="24"/>
        <v/>
      </c>
      <c r="AH54" t="str">
        <f t="shared" si="25"/>
        <v/>
      </c>
      <c r="AI54" t="str">
        <f t="shared" si="26"/>
        <v/>
      </c>
      <c r="AJ54" t="str">
        <f t="shared" si="27"/>
        <v/>
      </c>
      <c r="AK54" t="str">
        <f t="shared" si="28"/>
        <v/>
      </c>
      <c r="AM54" t="str">
        <f t="shared" si="29"/>
        <v/>
      </c>
      <c r="AN54" t="str">
        <f t="shared" si="30"/>
        <v/>
      </c>
      <c r="AO54" t="str">
        <f t="shared" si="37"/>
        <v/>
      </c>
      <c r="AP54" t="str">
        <f t="shared" si="38"/>
        <v/>
      </c>
      <c r="AQ54" t="str">
        <f t="shared" si="39"/>
        <v/>
      </c>
      <c r="AR54" t="str">
        <f t="shared" si="40"/>
        <v/>
      </c>
      <c r="AS54" t="str">
        <f t="shared" si="41"/>
        <v/>
      </c>
      <c r="AT54" t="str">
        <f t="shared" si="42"/>
        <v/>
      </c>
      <c r="AU54" t="str">
        <f t="shared" si="43"/>
        <v/>
      </c>
      <c r="AV54" t="str">
        <f t="shared" si="31"/>
        <v/>
      </c>
      <c r="AW54" t="str">
        <f t="shared" si="32"/>
        <v/>
      </c>
      <c r="AY54" t="str">
        <f t="shared" si="44"/>
        <v/>
      </c>
      <c r="AZ54" t="str">
        <f t="shared" si="45"/>
        <v/>
      </c>
      <c r="BA54" t="str">
        <f t="shared" si="46"/>
        <v/>
      </c>
      <c r="BB54" t="str">
        <f t="shared" si="33"/>
        <v/>
      </c>
      <c r="BC54" t="str">
        <f t="shared" si="47"/>
        <v/>
      </c>
      <c r="BE54">
        <f t="shared" si="48"/>
        <v>14</v>
      </c>
      <c r="BF54">
        <f t="shared" si="49"/>
        <v>2</v>
      </c>
      <c r="BG54" t="str">
        <f t="shared" si="50"/>
        <v/>
      </c>
      <c r="BH54" t="str">
        <f t="shared" si="34"/>
        <v/>
      </c>
    </row>
    <row r="55" spans="4:60" x14ac:dyDescent="0.55000000000000004">
      <c r="D55">
        <v>45</v>
      </c>
      <c r="E55" t="str">
        <f t="shared" si="35"/>
        <v/>
      </c>
      <c r="F55" t="str">
        <f t="shared" si="18"/>
        <v/>
      </c>
      <c r="G55" t="str">
        <f t="shared" si="36"/>
        <v/>
      </c>
      <c r="Z55" t="str">
        <f t="shared" si="19"/>
        <v/>
      </c>
      <c r="AA55" t="str">
        <f t="shared" si="51"/>
        <v/>
      </c>
      <c r="AB55" t="str">
        <f t="shared" si="51"/>
        <v/>
      </c>
      <c r="AC55" t="str">
        <f t="shared" si="51"/>
        <v/>
      </c>
      <c r="AD55" t="str">
        <f t="shared" si="21"/>
        <v/>
      </c>
      <c r="AE55" t="str">
        <f t="shared" si="22"/>
        <v/>
      </c>
      <c r="AF55" t="str">
        <f t="shared" si="23"/>
        <v/>
      </c>
      <c r="AG55" t="str">
        <f t="shared" si="24"/>
        <v/>
      </c>
      <c r="AH55" t="str">
        <f t="shared" si="25"/>
        <v/>
      </c>
      <c r="AI55" t="str">
        <f t="shared" si="26"/>
        <v/>
      </c>
      <c r="AJ55" t="str">
        <f t="shared" si="27"/>
        <v/>
      </c>
      <c r="AK55" t="str">
        <f t="shared" si="28"/>
        <v/>
      </c>
      <c r="AM55" t="str">
        <f t="shared" si="29"/>
        <v/>
      </c>
      <c r="AN55" t="str">
        <f t="shared" si="30"/>
        <v/>
      </c>
      <c r="AO55" t="str">
        <f t="shared" si="37"/>
        <v/>
      </c>
      <c r="AP55" t="str">
        <f t="shared" si="38"/>
        <v/>
      </c>
      <c r="AQ55" t="str">
        <f t="shared" si="39"/>
        <v/>
      </c>
      <c r="AR55" t="str">
        <f t="shared" si="40"/>
        <v/>
      </c>
      <c r="AS55" t="str">
        <f t="shared" si="41"/>
        <v/>
      </c>
      <c r="AT55" t="str">
        <f t="shared" si="42"/>
        <v/>
      </c>
      <c r="AU55" t="str">
        <f t="shared" si="43"/>
        <v/>
      </c>
      <c r="AV55" t="str">
        <f t="shared" si="31"/>
        <v/>
      </c>
      <c r="AW55" t="str">
        <f t="shared" si="32"/>
        <v/>
      </c>
      <c r="AY55" t="str">
        <f t="shared" si="44"/>
        <v/>
      </c>
      <c r="AZ55" t="str">
        <f t="shared" si="45"/>
        <v/>
      </c>
      <c r="BA55" t="str">
        <f t="shared" si="46"/>
        <v/>
      </c>
      <c r="BB55" t="str">
        <f t="shared" si="33"/>
        <v/>
      </c>
      <c r="BC55" t="str">
        <f t="shared" si="47"/>
        <v/>
      </c>
      <c r="BE55">
        <f t="shared" si="48"/>
        <v>15</v>
      </c>
      <c r="BF55">
        <f t="shared" si="49"/>
        <v>0</v>
      </c>
      <c r="BG55" t="str">
        <f t="shared" si="50"/>
        <v/>
      </c>
      <c r="BH55" t="str">
        <f t="shared" si="34"/>
        <v/>
      </c>
    </row>
    <row r="56" spans="4:60" x14ac:dyDescent="0.55000000000000004">
      <c r="D56">
        <v>46</v>
      </c>
      <c r="E56" t="str">
        <f t="shared" si="35"/>
        <v/>
      </c>
      <c r="F56" t="str">
        <f t="shared" si="18"/>
        <v/>
      </c>
      <c r="G56" t="str">
        <f t="shared" si="36"/>
        <v/>
      </c>
      <c r="Z56" t="str">
        <f t="shared" si="19"/>
        <v/>
      </c>
      <c r="AA56" t="str">
        <f t="shared" si="51"/>
        <v/>
      </c>
      <c r="AB56" t="str">
        <f t="shared" si="51"/>
        <v/>
      </c>
      <c r="AC56" t="str">
        <f t="shared" si="51"/>
        <v/>
      </c>
      <c r="AD56" t="str">
        <f t="shared" si="21"/>
        <v/>
      </c>
      <c r="AE56" t="str">
        <f t="shared" si="22"/>
        <v/>
      </c>
      <c r="AF56" t="str">
        <f t="shared" si="23"/>
        <v/>
      </c>
      <c r="AG56" t="str">
        <f t="shared" si="24"/>
        <v/>
      </c>
      <c r="AH56" t="str">
        <f t="shared" si="25"/>
        <v/>
      </c>
      <c r="AI56" t="str">
        <f t="shared" si="26"/>
        <v/>
      </c>
      <c r="AJ56" t="str">
        <f t="shared" si="27"/>
        <v/>
      </c>
      <c r="AK56" t="str">
        <f t="shared" si="28"/>
        <v/>
      </c>
      <c r="AM56" t="str">
        <f t="shared" si="29"/>
        <v/>
      </c>
      <c r="AN56" t="str">
        <f t="shared" si="30"/>
        <v/>
      </c>
      <c r="AO56" t="str">
        <f t="shared" si="37"/>
        <v/>
      </c>
      <c r="AP56" t="str">
        <f t="shared" si="38"/>
        <v/>
      </c>
      <c r="AQ56" t="str">
        <f t="shared" si="39"/>
        <v/>
      </c>
      <c r="AR56" t="str">
        <f t="shared" si="40"/>
        <v/>
      </c>
      <c r="AS56" t="str">
        <f t="shared" si="41"/>
        <v/>
      </c>
      <c r="AT56" t="str">
        <f t="shared" si="42"/>
        <v/>
      </c>
      <c r="AU56" t="str">
        <f t="shared" si="43"/>
        <v/>
      </c>
      <c r="AV56" t="str">
        <f t="shared" si="31"/>
        <v/>
      </c>
      <c r="AW56" t="str">
        <f t="shared" si="32"/>
        <v/>
      </c>
      <c r="AY56" t="str">
        <f t="shared" si="44"/>
        <v/>
      </c>
      <c r="AZ56" t="str">
        <f t="shared" si="45"/>
        <v/>
      </c>
      <c r="BA56" t="str">
        <f t="shared" si="46"/>
        <v/>
      </c>
      <c r="BB56" t="str">
        <f t="shared" si="33"/>
        <v/>
      </c>
      <c r="BC56" t="str">
        <f t="shared" si="47"/>
        <v/>
      </c>
      <c r="BE56">
        <f t="shared" si="48"/>
        <v>15</v>
      </c>
      <c r="BF56">
        <f t="shared" si="49"/>
        <v>1</v>
      </c>
      <c r="BG56" t="str">
        <f t="shared" si="50"/>
        <v/>
      </c>
      <c r="BH56" t="str">
        <f t="shared" si="34"/>
        <v/>
      </c>
    </row>
    <row r="57" spans="4:60" x14ac:dyDescent="0.55000000000000004">
      <c r="D57">
        <v>47</v>
      </c>
      <c r="E57" t="str">
        <f t="shared" si="35"/>
        <v/>
      </c>
      <c r="F57" t="str">
        <f t="shared" si="18"/>
        <v/>
      </c>
      <c r="G57" t="str">
        <f t="shared" si="36"/>
        <v/>
      </c>
      <c r="Z57" t="str">
        <f t="shared" si="19"/>
        <v/>
      </c>
      <c r="AA57" t="str">
        <f t="shared" si="51"/>
        <v/>
      </c>
      <c r="AB57" t="str">
        <f t="shared" si="51"/>
        <v/>
      </c>
      <c r="AC57" t="str">
        <f t="shared" si="51"/>
        <v/>
      </c>
      <c r="AD57" t="str">
        <f t="shared" si="21"/>
        <v/>
      </c>
      <c r="AE57" t="str">
        <f t="shared" si="22"/>
        <v/>
      </c>
      <c r="AF57" t="str">
        <f t="shared" si="23"/>
        <v/>
      </c>
      <c r="AG57" t="str">
        <f t="shared" si="24"/>
        <v/>
      </c>
      <c r="AH57" t="str">
        <f t="shared" si="25"/>
        <v/>
      </c>
      <c r="AI57" t="str">
        <f t="shared" si="26"/>
        <v/>
      </c>
      <c r="AJ57" t="str">
        <f t="shared" si="27"/>
        <v/>
      </c>
      <c r="AK57" t="str">
        <f t="shared" si="28"/>
        <v/>
      </c>
      <c r="AM57" t="str">
        <f t="shared" si="29"/>
        <v/>
      </c>
      <c r="AN57" t="str">
        <f t="shared" si="30"/>
        <v/>
      </c>
      <c r="AO57" t="str">
        <f t="shared" si="37"/>
        <v/>
      </c>
      <c r="AP57" t="str">
        <f t="shared" si="38"/>
        <v/>
      </c>
      <c r="AQ57" t="str">
        <f t="shared" si="39"/>
        <v/>
      </c>
      <c r="AR57" t="str">
        <f t="shared" si="40"/>
        <v/>
      </c>
      <c r="AS57" t="str">
        <f t="shared" si="41"/>
        <v/>
      </c>
      <c r="AT57" t="str">
        <f t="shared" si="42"/>
        <v/>
      </c>
      <c r="AU57" t="str">
        <f t="shared" si="43"/>
        <v/>
      </c>
      <c r="AV57" t="str">
        <f t="shared" si="31"/>
        <v/>
      </c>
      <c r="AW57" t="str">
        <f t="shared" si="32"/>
        <v/>
      </c>
      <c r="AY57" t="str">
        <f t="shared" si="44"/>
        <v/>
      </c>
      <c r="AZ57" t="str">
        <f t="shared" si="45"/>
        <v/>
      </c>
      <c r="BA57" t="str">
        <f t="shared" si="46"/>
        <v/>
      </c>
      <c r="BB57" t="str">
        <f t="shared" si="33"/>
        <v/>
      </c>
      <c r="BC57" t="str">
        <f t="shared" si="47"/>
        <v/>
      </c>
      <c r="BE57">
        <f t="shared" si="48"/>
        <v>15</v>
      </c>
      <c r="BF57">
        <f t="shared" si="49"/>
        <v>2</v>
      </c>
      <c r="BG57" t="str">
        <f t="shared" si="50"/>
        <v/>
      </c>
      <c r="BH57" t="str">
        <f t="shared" si="34"/>
        <v/>
      </c>
    </row>
    <row r="58" spans="4:60" x14ac:dyDescent="0.55000000000000004">
      <c r="D58">
        <v>48</v>
      </c>
      <c r="E58" t="str">
        <f t="shared" si="35"/>
        <v/>
      </c>
      <c r="F58" t="str">
        <f t="shared" si="18"/>
        <v/>
      </c>
      <c r="G58" t="str">
        <f t="shared" si="36"/>
        <v/>
      </c>
      <c r="Z58" t="str">
        <f t="shared" si="19"/>
        <v/>
      </c>
      <c r="AA58" t="str">
        <f t="shared" si="51"/>
        <v/>
      </c>
      <c r="AB58" t="str">
        <f t="shared" si="51"/>
        <v/>
      </c>
      <c r="AC58" t="str">
        <f t="shared" si="51"/>
        <v/>
      </c>
      <c r="AD58" t="str">
        <f t="shared" si="21"/>
        <v/>
      </c>
      <c r="AE58" t="str">
        <f t="shared" si="22"/>
        <v/>
      </c>
      <c r="AF58" t="str">
        <f t="shared" si="23"/>
        <v/>
      </c>
      <c r="AG58" t="str">
        <f t="shared" si="24"/>
        <v/>
      </c>
      <c r="AH58" t="str">
        <f t="shared" si="25"/>
        <v/>
      </c>
      <c r="AI58" t="str">
        <f t="shared" si="26"/>
        <v/>
      </c>
      <c r="AJ58" t="str">
        <f t="shared" si="27"/>
        <v/>
      </c>
      <c r="AK58" t="str">
        <f t="shared" si="28"/>
        <v/>
      </c>
      <c r="AM58" t="str">
        <f t="shared" si="29"/>
        <v/>
      </c>
      <c r="AN58" t="str">
        <f t="shared" si="30"/>
        <v/>
      </c>
      <c r="AO58" t="str">
        <f t="shared" si="37"/>
        <v/>
      </c>
      <c r="AP58" t="str">
        <f t="shared" si="38"/>
        <v/>
      </c>
      <c r="AQ58" t="str">
        <f t="shared" si="39"/>
        <v/>
      </c>
      <c r="AR58" t="str">
        <f t="shared" si="40"/>
        <v/>
      </c>
      <c r="AS58" t="str">
        <f t="shared" si="41"/>
        <v/>
      </c>
      <c r="AT58" t="str">
        <f t="shared" si="42"/>
        <v/>
      </c>
      <c r="AU58" t="str">
        <f t="shared" si="43"/>
        <v/>
      </c>
      <c r="AV58" t="str">
        <f t="shared" si="31"/>
        <v/>
      </c>
      <c r="AW58" t="str">
        <f t="shared" si="32"/>
        <v/>
      </c>
      <c r="AY58" t="str">
        <f t="shared" si="44"/>
        <v/>
      </c>
      <c r="AZ58" t="str">
        <f t="shared" si="45"/>
        <v/>
      </c>
      <c r="BA58" t="str">
        <f t="shared" si="46"/>
        <v/>
      </c>
      <c r="BB58" t="str">
        <f t="shared" si="33"/>
        <v/>
      </c>
      <c r="BC58" t="str">
        <f t="shared" si="47"/>
        <v/>
      </c>
      <c r="BE58">
        <f t="shared" si="48"/>
        <v>16</v>
      </c>
      <c r="BF58">
        <f t="shared" si="49"/>
        <v>0</v>
      </c>
      <c r="BG58" t="str">
        <f t="shared" si="50"/>
        <v/>
      </c>
      <c r="BH58" t="str">
        <f t="shared" si="34"/>
        <v/>
      </c>
    </row>
    <row r="59" spans="4:60" x14ac:dyDescent="0.55000000000000004">
      <c r="D59">
        <v>49</v>
      </c>
      <c r="E59" t="str">
        <f t="shared" si="35"/>
        <v/>
      </c>
      <c r="F59" t="str">
        <f t="shared" si="18"/>
        <v/>
      </c>
      <c r="G59" t="str">
        <f t="shared" si="36"/>
        <v/>
      </c>
      <c r="Z59" t="str">
        <f t="shared" si="19"/>
        <v/>
      </c>
      <c r="AA59" t="str">
        <f t="shared" si="51"/>
        <v/>
      </c>
      <c r="AB59" t="str">
        <f t="shared" si="51"/>
        <v/>
      </c>
      <c r="AC59" t="str">
        <f t="shared" si="51"/>
        <v/>
      </c>
      <c r="AD59" t="str">
        <f t="shared" si="21"/>
        <v/>
      </c>
      <c r="AE59" t="str">
        <f t="shared" si="22"/>
        <v/>
      </c>
      <c r="AF59" t="str">
        <f t="shared" si="23"/>
        <v/>
      </c>
      <c r="AG59" t="str">
        <f t="shared" si="24"/>
        <v/>
      </c>
      <c r="AH59" t="str">
        <f t="shared" si="25"/>
        <v/>
      </c>
      <c r="AI59" t="str">
        <f t="shared" si="26"/>
        <v/>
      </c>
      <c r="AJ59" t="str">
        <f t="shared" si="27"/>
        <v/>
      </c>
      <c r="AK59" t="str">
        <f t="shared" si="28"/>
        <v/>
      </c>
      <c r="AM59" t="str">
        <f t="shared" si="29"/>
        <v/>
      </c>
      <c r="AN59" t="str">
        <f t="shared" si="30"/>
        <v/>
      </c>
      <c r="AO59" t="str">
        <f t="shared" si="37"/>
        <v/>
      </c>
      <c r="AP59" t="str">
        <f t="shared" si="38"/>
        <v/>
      </c>
      <c r="AQ59" t="str">
        <f t="shared" si="39"/>
        <v/>
      </c>
      <c r="AR59" t="str">
        <f t="shared" si="40"/>
        <v/>
      </c>
      <c r="AS59" t="str">
        <f t="shared" si="41"/>
        <v/>
      </c>
      <c r="AT59" t="str">
        <f t="shared" si="42"/>
        <v/>
      </c>
      <c r="AU59" t="str">
        <f t="shared" si="43"/>
        <v/>
      </c>
      <c r="AV59" t="str">
        <f t="shared" si="31"/>
        <v/>
      </c>
      <c r="AW59" t="str">
        <f t="shared" si="32"/>
        <v/>
      </c>
      <c r="AY59" t="str">
        <f t="shared" si="44"/>
        <v/>
      </c>
      <c r="AZ59" t="str">
        <f t="shared" si="45"/>
        <v/>
      </c>
      <c r="BA59" t="str">
        <f t="shared" si="46"/>
        <v/>
      </c>
      <c r="BB59" t="str">
        <f t="shared" si="33"/>
        <v/>
      </c>
      <c r="BC59" t="str">
        <f t="shared" si="47"/>
        <v/>
      </c>
      <c r="BE59">
        <f t="shared" si="48"/>
        <v>16</v>
      </c>
      <c r="BF59">
        <f t="shared" si="49"/>
        <v>1</v>
      </c>
      <c r="BG59" t="str">
        <f t="shared" si="50"/>
        <v/>
      </c>
      <c r="BH59" t="str">
        <f t="shared" si="34"/>
        <v/>
      </c>
    </row>
    <row r="60" spans="4:60" x14ac:dyDescent="0.55000000000000004">
      <c r="D60">
        <v>50</v>
      </c>
      <c r="E60" t="str">
        <f t="shared" si="35"/>
        <v/>
      </c>
      <c r="F60" t="str">
        <f t="shared" si="18"/>
        <v/>
      </c>
      <c r="G60" t="str">
        <f t="shared" si="36"/>
        <v/>
      </c>
      <c r="Z60" t="str">
        <f t="shared" si="19"/>
        <v/>
      </c>
      <c r="AA60" t="str">
        <f t="shared" si="51"/>
        <v/>
      </c>
      <c r="AB60" t="str">
        <f t="shared" si="51"/>
        <v/>
      </c>
      <c r="AC60" t="str">
        <f t="shared" si="51"/>
        <v/>
      </c>
      <c r="AD60" t="str">
        <f t="shared" si="21"/>
        <v/>
      </c>
      <c r="AE60" t="str">
        <f t="shared" si="22"/>
        <v/>
      </c>
      <c r="AF60" t="str">
        <f t="shared" si="23"/>
        <v/>
      </c>
      <c r="AG60" t="str">
        <f t="shared" si="24"/>
        <v/>
      </c>
      <c r="AH60" t="str">
        <f t="shared" si="25"/>
        <v/>
      </c>
      <c r="AI60" t="str">
        <f t="shared" si="26"/>
        <v/>
      </c>
      <c r="AJ60" t="str">
        <f t="shared" si="27"/>
        <v/>
      </c>
      <c r="AK60" t="str">
        <f t="shared" si="28"/>
        <v/>
      </c>
      <c r="AM60" t="str">
        <f t="shared" si="29"/>
        <v/>
      </c>
      <c r="AN60" t="str">
        <f t="shared" si="30"/>
        <v/>
      </c>
      <c r="AO60" t="str">
        <f t="shared" si="37"/>
        <v/>
      </c>
      <c r="AP60" t="str">
        <f t="shared" si="38"/>
        <v/>
      </c>
      <c r="AQ60" t="str">
        <f t="shared" si="39"/>
        <v/>
      </c>
      <c r="AR60" t="str">
        <f t="shared" si="40"/>
        <v/>
      </c>
      <c r="AS60" t="str">
        <f t="shared" si="41"/>
        <v/>
      </c>
      <c r="AT60" t="str">
        <f t="shared" si="42"/>
        <v/>
      </c>
      <c r="AU60" t="str">
        <f t="shared" si="43"/>
        <v/>
      </c>
      <c r="AV60" t="str">
        <f t="shared" si="31"/>
        <v/>
      </c>
      <c r="AW60" t="str">
        <f t="shared" si="32"/>
        <v/>
      </c>
      <c r="AY60" t="str">
        <f t="shared" si="44"/>
        <v/>
      </c>
      <c r="AZ60" t="str">
        <f t="shared" si="45"/>
        <v/>
      </c>
      <c r="BA60" t="str">
        <f t="shared" si="46"/>
        <v/>
      </c>
      <c r="BB60" t="str">
        <f t="shared" si="33"/>
        <v/>
      </c>
      <c r="BC60" t="str">
        <f t="shared" si="47"/>
        <v/>
      </c>
      <c r="BE60">
        <f t="shared" si="48"/>
        <v>16</v>
      </c>
      <c r="BF60">
        <f t="shared" si="49"/>
        <v>2</v>
      </c>
      <c r="BG60" t="str">
        <f t="shared" si="50"/>
        <v/>
      </c>
      <c r="BH60" t="str">
        <f t="shared" si="34"/>
        <v/>
      </c>
    </row>
    <row r="61" spans="4:60" x14ac:dyDescent="0.55000000000000004">
      <c r="D61">
        <v>51</v>
      </c>
      <c r="E61" t="str">
        <f t="shared" si="35"/>
        <v/>
      </c>
      <c r="F61" t="str">
        <f t="shared" si="18"/>
        <v/>
      </c>
      <c r="G61" t="str">
        <f t="shared" si="36"/>
        <v/>
      </c>
      <c r="Z61" t="str">
        <f t="shared" si="19"/>
        <v/>
      </c>
      <c r="AA61" t="str">
        <f t="shared" si="51"/>
        <v/>
      </c>
      <c r="AB61" t="str">
        <f t="shared" si="51"/>
        <v/>
      </c>
      <c r="AC61" t="str">
        <f t="shared" si="51"/>
        <v/>
      </c>
      <c r="AD61" t="str">
        <f t="shared" si="21"/>
        <v/>
      </c>
      <c r="AE61" t="str">
        <f t="shared" si="22"/>
        <v/>
      </c>
      <c r="AF61" t="str">
        <f t="shared" si="23"/>
        <v/>
      </c>
      <c r="AG61" t="str">
        <f t="shared" si="24"/>
        <v/>
      </c>
      <c r="AH61" t="str">
        <f t="shared" si="25"/>
        <v/>
      </c>
      <c r="AI61" t="str">
        <f t="shared" si="26"/>
        <v/>
      </c>
      <c r="AJ61" t="str">
        <f t="shared" si="27"/>
        <v/>
      </c>
      <c r="AK61" t="str">
        <f t="shared" si="28"/>
        <v/>
      </c>
      <c r="AM61" t="str">
        <f t="shared" si="29"/>
        <v/>
      </c>
      <c r="AN61" t="str">
        <f t="shared" si="30"/>
        <v/>
      </c>
      <c r="AO61" t="str">
        <f t="shared" si="37"/>
        <v/>
      </c>
      <c r="AP61" t="str">
        <f t="shared" si="38"/>
        <v/>
      </c>
      <c r="AQ61" t="str">
        <f t="shared" si="39"/>
        <v/>
      </c>
      <c r="AR61" t="str">
        <f t="shared" si="40"/>
        <v/>
      </c>
      <c r="AS61" t="str">
        <f t="shared" si="41"/>
        <v/>
      </c>
      <c r="AT61" t="str">
        <f t="shared" si="42"/>
        <v/>
      </c>
      <c r="AU61" t="str">
        <f t="shared" si="43"/>
        <v/>
      </c>
      <c r="AV61" t="str">
        <f t="shared" si="31"/>
        <v/>
      </c>
      <c r="AW61" t="str">
        <f t="shared" si="32"/>
        <v/>
      </c>
      <c r="AY61" t="str">
        <f t="shared" si="44"/>
        <v/>
      </c>
      <c r="AZ61" t="str">
        <f t="shared" si="45"/>
        <v/>
      </c>
      <c r="BA61" t="str">
        <f t="shared" si="46"/>
        <v/>
      </c>
      <c r="BB61" t="str">
        <f t="shared" si="33"/>
        <v/>
      </c>
      <c r="BC61" t="str">
        <f t="shared" si="47"/>
        <v/>
      </c>
      <c r="BE61">
        <f t="shared" si="48"/>
        <v>17</v>
      </c>
      <c r="BF61">
        <f t="shared" si="49"/>
        <v>0</v>
      </c>
      <c r="BG61" t="str">
        <f t="shared" si="50"/>
        <v/>
      </c>
      <c r="BH61" t="str">
        <f t="shared" si="34"/>
        <v/>
      </c>
    </row>
    <row r="62" spans="4:60" x14ac:dyDescent="0.55000000000000004">
      <c r="D62">
        <v>52</v>
      </c>
      <c r="E62" t="str">
        <f t="shared" si="35"/>
        <v/>
      </c>
      <c r="F62" t="str">
        <f t="shared" si="18"/>
        <v/>
      </c>
      <c r="G62" t="str">
        <f t="shared" si="36"/>
        <v/>
      </c>
      <c r="Z62" t="str">
        <f t="shared" si="19"/>
        <v/>
      </c>
      <c r="AA62" t="str">
        <f t="shared" si="51"/>
        <v/>
      </c>
      <c r="AB62" t="str">
        <f t="shared" si="51"/>
        <v/>
      </c>
      <c r="AC62" t="str">
        <f t="shared" si="51"/>
        <v/>
      </c>
      <c r="AD62" t="str">
        <f t="shared" si="21"/>
        <v/>
      </c>
      <c r="AE62" t="str">
        <f t="shared" si="22"/>
        <v/>
      </c>
      <c r="AF62" t="str">
        <f t="shared" si="23"/>
        <v/>
      </c>
      <c r="AG62" t="str">
        <f t="shared" si="24"/>
        <v/>
      </c>
      <c r="AH62" t="str">
        <f t="shared" si="25"/>
        <v/>
      </c>
      <c r="AI62" t="str">
        <f t="shared" si="26"/>
        <v/>
      </c>
      <c r="AJ62" t="str">
        <f t="shared" si="27"/>
        <v/>
      </c>
      <c r="AK62" t="str">
        <f t="shared" si="28"/>
        <v/>
      </c>
      <c r="AM62" t="str">
        <f t="shared" si="29"/>
        <v/>
      </c>
      <c r="AN62" t="str">
        <f t="shared" si="30"/>
        <v/>
      </c>
      <c r="AO62" t="str">
        <f t="shared" si="37"/>
        <v/>
      </c>
      <c r="AP62" t="str">
        <f t="shared" si="38"/>
        <v/>
      </c>
      <c r="AQ62" t="str">
        <f t="shared" si="39"/>
        <v/>
      </c>
      <c r="AR62" t="str">
        <f t="shared" si="40"/>
        <v/>
      </c>
      <c r="AS62" t="str">
        <f t="shared" si="41"/>
        <v/>
      </c>
      <c r="AT62" t="str">
        <f t="shared" si="42"/>
        <v/>
      </c>
      <c r="AU62" t="str">
        <f t="shared" si="43"/>
        <v/>
      </c>
      <c r="AV62" t="str">
        <f t="shared" si="31"/>
        <v/>
      </c>
      <c r="AW62" t="str">
        <f t="shared" si="32"/>
        <v/>
      </c>
      <c r="AY62" t="str">
        <f t="shared" si="44"/>
        <v/>
      </c>
      <c r="AZ62" t="str">
        <f t="shared" si="45"/>
        <v/>
      </c>
      <c r="BA62" t="str">
        <f t="shared" si="46"/>
        <v/>
      </c>
      <c r="BB62" t="str">
        <f t="shared" si="33"/>
        <v/>
      </c>
      <c r="BC62" t="str">
        <f t="shared" si="47"/>
        <v/>
      </c>
      <c r="BE62">
        <f t="shared" si="48"/>
        <v>17</v>
      </c>
      <c r="BF62">
        <f t="shared" si="49"/>
        <v>1</v>
      </c>
      <c r="BG62" t="str">
        <f t="shared" si="50"/>
        <v/>
      </c>
      <c r="BH62" t="str">
        <f t="shared" si="34"/>
        <v/>
      </c>
    </row>
    <row r="63" spans="4:60" x14ac:dyDescent="0.55000000000000004">
      <c r="D63">
        <v>53</v>
      </c>
      <c r="E63" t="str">
        <f t="shared" si="35"/>
        <v/>
      </c>
      <c r="F63" t="str">
        <f t="shared" si="18"/>
        <v/>
      </c>
      <c r="G63" t="str">
        <f t="shared" si="36"/>
        <v/>
      </c>
      <c r="Z63" t="str">
        <f t="shared" si="19"/>
        <v/>
      </c>
      <c r="AA63" t="str">
        <f t="shared" si="51"/>
        <v/>
      </c>
      <c r="AB63" t="str">
        <f t="shared" si="51"/>
        <v/>
      </c>
      <c r="AC63" t="str">
        <f t="shared" si="51"/>
        <v/>
      </c>
      <c r="AD63" t="str">
        <f t="shared" si="21"/>
        <v/>
      </c>
      <c r="AE63" t="str">
        <f t="shared" si="22"/>
        <v/>
      </c>
      <c r="AF63" t="str">
        <f t="shared" si="23"/>
        <v/>
      </c>
      <c r="AG63" t="str">
        <f t="shared" si="24"/>
        <v/>
      </c>
      <c r="AH63" t="str">
        <f t="shared" si="25"/>
        <v/>
      </c>
      <c r="AI63" t="str">
        <f t="shared" si="26"/>
        <v/>
      </c>
      <c r="AJ63" t="str">
        <f t="shared" si="27"/>
        <v/>
      </c>
      <c r="AK63" t="str">
        <f t="shared" si="28"/>
        <v/>
      </c>
      <c r="AM63" t="str">
        <f t="shared" si="29"/>
        <v/>
      </c>
      <c r="AN63" t="str">
        <f t="shared" si="30"/>
        <v/>
      </c>
      <c r="AO63" t="str">
        <f t="shared" si="37"/>
        <v/>
      </c>
      <c r="AP63" t="str">
        <f t="shared" si="38"/>
        <v/>
      </c>
      <c r="AQ63" t="str">
        <f t="shared" si="39"/>
        <v/>
      </c>
      <c r="AR63" t="str">
        <f t="shared" si="40"/>
        <v/>
      </c>
      <c r="AS63" t="str">
        <f t="shared" si="41"/>
        <v/>
      </c>
      <c r="AT63" t="str">
        <f t="shared" si="42"/>
        <v/>
      </c>
      <c r="AU63" t="str">
        <f t="shared" si="43"/>
        <v/>
      </c>
      <c r="AV63" t="str">
        <f t="shared" si="31"/>
        <v/>
      </c>
      <c r="AW63" t="str">
        <f t="shared" si="32"/>
        <v/>
      </c>
      <c r="AY63" t="str">
        <f t="shared" si="44"/>
        <v/>
      </c>
      <c r="AZ63" t="str">
        <f t="shared" si="45"/>
        <v/>
      </c>
      <c r="BA63" t="str">
        <f t="shared" si="46"/>
        <v/>
      </c>
      <c r="BB63" t="str">
        <f t="shared" si="33"/>
        <v/>
      </c>
      <c r="BC63" t="str">
        <f t="shared" si="47"/>
        <v/>
      </c>
      <c r="BE63">
        <f t="shared" si="48"/>
        <v>17</v>
      </c>
      <c r="BF63">
        <f t="shared" si="49"/>
        <v>2</v>
      </c>
      <c r="BG63" t="str">
        <f t="shared" si="50"/>
        <v/>
      </c>
      <c r="BH63" t="str">
        <f t="shared" si="34"/>
        <v/>
      </c>
    </row>
    <row r="64" spans="4:60" x14ac:dyDescent="0.55000000000000004">
      <c r="D64">
        <v>54</v>
      </c>
      <c r="E64" t="str">
        <f t="shared" si="35"/>
        <v/>
      </c>
      <c r="F64" t="str">
        <f t="shared" si="18"/>
        <v/>
      </c>
      <c r="G64" t="str">
        <f t="shared" si="36"/>
        <v/>
      </c>
      <c r="Z64" t="str">
        <f t="shared" si="19"/>
        <v/>
      </c>
      <c r="AA64" t="str">
        <f t="shared" si="51"/>
        <v/>
      </c>
      <c r="AB64" t="str">
        <f t="shared" si="51"/>
        <v/>
      </c>
      <c r="AC64" t="str">
        <f t="shared" si="51"/>
        <v/>
      </c>
      <c r="AD64" t="str">
        <f t="shared" si="21"/>
        <v/>
      </c>
      <c r="AE64" t="str">
        <f t="shared" si="22"/>
        <v/>
      </c>
      <c r="AF64" t="str">
        <f t="shared" si="23"/>
        <v/>
      </c>
      <c r="AG64" t="str">
        <f t="shared" si="24"/>
        <v/>
      </c>
      <c r="AH64" t="str">
        <f t="shared" si="25"/>
        <v/>
      </c>
      <c r="AI64" t="str">
        <f t="shared" si="26"/>
        <v/>
      </c>
      <c r="AJ64" t="str">
        <f t="shared" si="27"/>
        <v/>
      </c>
      <c r="AK64" t="str">
        <f t="shared" si="28"/>
        <v/>
      </c>
      <c r="AM64" t="str">
        <f t="shared" si="29"/>
        <v/>
      </c>
      <c r="AN64" t="str">
        <f t="shared" si="30"/>
        <v/>
      </c>
      <c r="AO64" t="str">
        <f t="shared" si="37"/>
        <v/>
      </c>
      <c r="AP64" t="str">
        <f t="shared" si="38"/>
        <v/>
      </c>
      <c r="AQ64" t="str">
        <f t="shared" si="39"/>
        <v/>
      </c>
      <c r="AR64" t="str">
        <f t="shared" si="40"/>
        <v/>
      </c>
      <c r="AS64" t="str">
        <f t="shared" si="41"/>
        <v/>
      </c>
      <c r="AT64" t="str">
        <f t="shared" si="42"/>
        <v/>
      </c>
      <c r="AU64" t="str">
        <f t="shared" si="43"/>
        <v/>
      </c>
      <c r="AV64" t="str">
        <f t="shared" si="31"/>
        <v/>
      </c>
      <c r="AW64" t="str">
        <f t="shared" si="32"/>
        <v/>
      </c>
      <c r="AY64" t="str">
        <f t="shared" si="44"/>
        <v/>
      </c>
      <c r="AZ64" t="str">
        <f t="shared" si="45"/>
        <v/>
      </c>
      <c r="BA64" t="str">
        <f t="shared" si="46"/>
        <v/>
      </c>
      <c r="BB64" t="str">
        <f t="shared" si="33"/>
        <v/>
      </c>
      <c r="BC64" t="str">
        <f t="shared" si="47"/>
        <v/>
      </c>
      <c r="BE64">
        <f t="shared" si="48"/>
        <v>18</v>
      </c>
      <c r="BF64">
        <f t="shared" si="49"/>
        <v>0</v>
      </c>
      <c r="BG64" t="str">
        <f t="shared" si="50"/>
        <v/>
      </c>
      <c r="BH64" t="str">
        <f t="shared" si="34"/>
        <v/>
      </c>
    </row>
    <row r="65" spans="4:60" x14ac:dyDescent="0.55000000000000004">
      <c r="D65">
        <v>55</v>
      </c>
      <c r="E65" t="str">
        <f t="shared" si="35"/>
        <v/>
      </c>
      <c r="F65" t="str">
        <f t="shared" si="18"/>
        <v/>
      </c>
      <c r="G65" t="str">
        <f t="shared" si="36"/>
        <v/>
      </c>
      <c r="Z65" t="str">
        <f t="shared" si="19"/>
        <v/>
      </c>
      <c r="AA65" t="str">
        <f t="shared" si="51"/>
        <v/>
      </c>
      <c r="AB65" t="str">
        <f t="shared" si="51"/>
        <v/>
      </c>
      <c r="AC65" t="str">
        <f t="shared" si="51"/>
        <v/>
      </c>
      <c r="AD65" t="str">
        <f t="shared" si="21"/>
        <v/>
      </c>
      <c r="AE65" t="str">
        <f t="shared" si="22"/>
        <v/>
      </c>
      <c r="AF65" t="str">
        <f t="shared" si="23"/>
        <v/>
      </c>
      <c r="AG65" t="str">
        <f t="shared" si="24"/>
        <v/>
      </c>
      <c r="AH65" t="str">
        <f t="shared" si="25"/>
        <v/>
      </c>
      <c r="AI65" t="str">
        <f t="shared" si="26"/>
        <v/>
      </c>
      <c r="AJ65" t="str">
        <f t="shared" si="27"/>
        <v/>
      </c>
      <c r="AK65" t="str">
        <f t="shared" si="28"/>
        <v/>
      </c>
      <c r="AM65" t="str">
        <f t="shared" si="29"/>
        <v/>
      </c>
      <c r="AN65" t="str">
        <f t="shared" si="30"/>
        <v/>
      </c>
      <c r="AO65" t="str">
        <f t="shared" si="37"/>
        <v/>
      </c>
      <c r="AP65" t="str">
        <f t="shared" si="38"/>
        <v/>
      </c>
      <c r="AQ65" t="str">
        <f t="shared" si="39"/>
        <v/>
      </c>
      <c r="AR65" t="str">
        <f t="shared" si="40"/>
        <v/>
      </c>
      <c r="AS65" t="str">
        <f t="shared" si="41"/>
        <v/>
      </c>
      <c r="AT65" t="str">
        <f t="shared" si="42"/>
        <v/>
      </c>
      <c r="AU65" t="str">
        <f t="shared" si="43"/>
        <v/>
      </c>
      <c r="AV65" t="str">
        <f t="shared" si="31"/>
        <v/>
      </c>
      <c r="AW65" t="str">
        <f t="shared" si="32"/>
        <v/>
      </c>
      <c r="AY65" t="str">
        <f t="shared" si="44"/>
        <v/>
      </c>
      <c r="AZ65" t="str">
        <f t="shared" si="45"/>
        <v/>
      </c>
      <c r="BA65" t="str">
        <f t="shared" si="46"/>
        <v/>
      </c>
      <c r="BB65" t="str">
        <f t="shared" si="33"/>
        <v/>
      </c>
      <c r="BC65" t="str">
        <f t="shared" si="47"/>
        <v/>
      </c>
      <c r="BE65">
        <f t="shared" si="48"/>
        <v>18</v>
      </c>
      <c r="BF65">
        <f t="shared" si="49"/>
        <v>1</v>
      </c>
      <c r="BG65" t="str">
        <f t="shared" si="50"/>
        <v/>
      </c>
      <c r="BH65" t="str">
        <f t="shared" si="34"/>
        <v/>
      </c>
    </row>
    <row r="66" spans="4:60" x14ac:dyDescent="0.55000000000000004">
      <c r="D66">
        <v>56</v>
      </c>
      <c r="E66" t="str">
        <f t="shared" si="35"/>
        <v/>
      </c>
      <c r="F66" t="str">
        <f t="shared" si="18"/>
        <v/>
      </c>
      <c r="G66" t="str">
        <f t="shared" si="36"/>
        <v/>
      </c>
      <c r="Z66" t="str">
        <f t="shared" si="19"/>
        <v/>
      </c>
      <c r="AA66" t="str">
        <f t="shared" si="51"/>
        <v/>
      </c>
      <c r="AB66" t="str">
        <f t="shared" si="51"/>
        <v/>
      </c>
      <c r="AC66" t="str">
        <f t="shared" si="51"/>
        <v/>
      </c>
      <c r="AD66" t="str">
        <f t="shared" si="21"/>
        <v/>
      </c>
      <c r="AE66" t="str">
        <f t="shared" si="22"/>
        <v/>
      </c>
      <c r="AF66" t="str">
        <f t="shared" si="23"/>
        <v/>
      </c>
      <c r="AG66" t="str">
        <f t="shared" si="24"/>
        <v/>
      </c>
      <c r="AH66" t="str">
        <f t="shared" si="25"/>
        <v/>
      </c>
      <c r="AI66" t="str">
        <f t="shared" si="26"/>
        <v/>
      </c>
      <c r="AJ66" t="str">
        <f t="shared" si="27"/>
        <v/>
      </c>
      <c r="AK66" t="str">
        <f t="shared" si="28"/>
        <v/>
      </c>
      <c r="AM66" t="str">
        <f t="shared" si="29"/>
        <v/>
      </c>
      <c r="AN66" t="str">
        <f t="shared" si="30"/>
        <v/>
      </c>
      <c r="AO66" t="str">
        <f t="shared" si="37"/>
        <v/>
      </c>
      <c r="AP66" t="str">
        <f t="shared" si="38"/>
        <v/>
      </c>
      <c r="AQ66" t="str">
        <f t="shared" si="39"/>
        <v/>
      </c>
      <c r="AR66" t="str">
        <f t="shared" si="40"/>
        <v/>
      </c>
      <c r="AS66" t="str">
        <f t="shared" si="41"/>
        <v/>
      </c>
      <c r="AT66" t="str">
        <f t="shared" si="42"/>
        <v/>
      </c>
      <c r="AU66" t="str">
        <f t="shared" si="43"/>
        <v/>
      </c>
      <c r="AV66" t="str">
        <f t="shared" si="31"/>
        <v/>
      </c>
      <c r="AW66" t="str">
        <f t="shared" si="32"/>
        <v/>
      </c>
      <c r="AY66" t="str">
        <f t="shared" si="44"/>
        <v/>
      </c>
      <c r="AZ66" t="str">
        <f t="shared" si="45"/>
        <v/>
      </c>
      <c r="BA66" t="str">
        <f t="shared" si="46"/>
        <v/>
      </c>
      <c r="BB66" t="str">
        <f t="shared" si="33"/>
        <v/>
      </c>
      <c r="BC66" t="str">
        <f t="shared" si="47"/>
        <v/>
      </c>
      <c r="BE66">
        <f t="shared" si="48"/>
        <v>18</v>
      </c>
      <c r="BF66">
        <f t="shared" si="49"/>
        <v>2</v>
      </c>
      <c r="BG66" t="str">
        <f t="shared" si="50"/>
        <v/>
      </c>
      <c r="BH66" t="str">
        <f t="shared" si="34"/>
        <v/>
      </c>
    </row>
    <row r="67" spans="4:60" x14ac:dyDescent="0.55000000000000004">
      <c r="D67">
        <v>57</v>
      </c>
      <c r="E67" t="str">
        <f t="shared" si="35"/>
        <v/>
      </c>
      <c r="F67" t="str">
        <f t="shared" si="18"/>
        <v/>
      </c>
      <c r="G67" t="str">
        <f t="shared" si="36"/>
        <v/>
      </c>
      <c r="Z67" t="str">
        <f t="shared" si="19"/>
        <v/>
      </c>
      <c r="AA67" t="str">
        <f t="shared" si="51"/>
        <v/>
      </c>
      <c r="AB67" t="str">
        <f t="shared" si="51"/>
        <v/>
      </c>
      <c r="AC67" t="str">
        <f t="shared" si="51"/>
        <v/>
      </c>
      <c r="AD67" t="str">
        <f t="shared" si="21"/>
        <v/>
      </c>
      <c r="AE67" t="str">
        <f t="shared" si="22"/>
        <v/>
      </c>
      <c r="AF67" t="str">
        <f t="shared" si="23"/>
        <v/>
      </c>
      <c r="AG67" t="str">
        <f t="shared" si="24"/>
        <v/>
      </c>
      <c r="AH67" t="str">
        <f t="shared" si="25"/>
        <v/>
      </c>
      <c r="AI67" t="str">
        <f t="shared" si="26"/>
        <v/>
      </c>
      <c r="AJ67" t="str">
        <f t="shared" si="27"/>
        <v/>
      </c>
      <c r="AK67" t="str">
        <f t="shared" si="28"/>
        <v/>
      </c>
      <c r="AM67" t="str">
        <f t="shared" si="29"/>
        <v/>
      </c>
      <c r="AN67" t="str">
        <f t="shared" si="30"/>
        <v/>
      </c>
      <c r="AO67" t="str">
        <f t="shared" si="37"/>
        <v/>
      </c>
      <c r="AP67" t="str">
        <f t="shared" si="38"/>
        <v/>
      </c>
      <c r="AQ67" t="str">
        <f t="shared" si="39"/>
        <v/>
      </c>
      <c r="AR67" t="str">
        <f t="shared" si="40"/>
        <v/>
      </c>
      <c r="AS67" t="str">
        <f t="shared" si="41"/>
        <v/>
      </c>
      <c r="AT67" t="str">
        <f t="shared" si="42"/>
        <v/>
      </c>
      <c r="AU67" t="str">
        <f t="shared" si="43"/>
        <v/>
      </c>
      <c r="AV67" t="str">
        <f t="shared" si="31"/>
        <v/>
      </c>
      <c r="AW67" t="str">
        <f t="shared" si="32"/>
        <v/>
      </c>
      <c r="AY67" t="str">
        <f t="shared" si="44"/>
        <v/>
      </c>
      <c r="AZ67" t="str">
        <f t="shared" si="45"/>
        <v/>
      </c>
      <c r="BA67" t="str">
        <f t="shared" si="46"/>
        <v/>
      </c>
      <c r="BB67" t="str">
        <f t="shared" si="33"/>
        <v/>
      </c>
      <c r="BC67" t="str">
        <f t="shared" si="47"/>
        <v/>
      </c>
      <c r="BE67">
        <f t="shared" si="48"/>
        <v>19</v>
      </c>
      <c r="BF67">
        <f t="shared" si="49"/>
        <v>0</v>
      </c>
      <c r="BG67" t="str">
        <f t="shared" si="50"/>
        <v/>
      </c>
      <c r="BH67" t="str">
        <f t="shared" si="34"/>
        <v/>
      </c>
    </row>
    <row r="68" spans="4:60" x14ac:dyDescent="0.55000000000000004">
      <c r="D68">
        <v>58</v>
      </c>
      <c r="E68" t="str">
        <f t="shared" si="35"/>
        <v/>
      </c>
      <c r="F68" t="str">
        <f t="shared" si="18"/>
        <v/>
      </c>
      <c r="G68" t="str">
        <f t="shared" si="36"/>
        <v/>
      </c>
      <c r="Z68" t="str">
        <f t="shared" si="19"/>
        <v/>
      </c>
      <c r="AA68" t="str">
        <f t="shared" si="51"/>
        <v/>
      </c>
      <c r="AB68" t="str">
        <f t="shared" si="51"/>
        <v/>
      </c>
      <c r="AC68" t="str">
        <f t="shared" si="51"/>
        <v/>
      </c>
      <c r="AD68" t="str">
        <f t="shared" si="21"/>
        <v/>
      </c>
      <c r="AE68" t="str">
        <f t="shared" si="22"/>
        <v/>
      </c>
      <c r="AF68" t="str">
        <f t="shared" si="23"/>
        <v/>
      </c>
      <c r="AG68" t="str">
        <f t="shared" si="24"/>
        <v/>
      </c>
      <c r="AH68" t="str">
        <f t="shared" si="25"/>
        <v/>
      </c>
      <c r="AI68" t="str">
        <f t="shared" si="26"/>
        <v/>
      </c>
      <c r="AJ68" t="str">
        <f t="shared" si="27"/>
        <v/>
      </c>
      <c r="AK68" t="str">
        <f t="shared" si="28"/>
        <v/>
      </c>
      <c r="AM68" t="str">
        <f t="shared" si="29"/>
        <v/>
      </c>
      <c r="AN68" t="str">
        <f t="shared" si="30"/>
        <v/>
      </c>
      <c r="AO68" t="str">
        <f t="shared" si="37"/>
        <v/>
      </c>
      <c r="AP68" t="str">
        <f t="shared" si="38"/>
        <v/>
      </c>
      <c r="AQ68" t="str">
        <f t="shared" si="39"/>
        <v/>
      </c>
      <c r="AR68" t="str">
        <f t="shared" si="40"/>
        <v/>
      </c>
      <c r="AS68" t="str">
        <f t="shared" si="41"/>
        <v/>
      </c>
      <c r="AT68" t="str">
        <f t="shared" si="42"/>
        <v/>
      </c>
      <c r="AU68" t="str">
        <f t="shared" si="43"/>
        <v/>
      </c>
      <c r="AV68" t="str">
        <f t="shared" si="31"/>
        <v/>
      </c>
      <c r="AW68" t="str">
        <f t="shared" si="32"/>
        <v/>
      </c>
      <c r="AY68" t="str">
        <f t="shared" si="44"/>
        <v/>
      </c>
      <c r="AZ68" t="str">
        <f t="shared" si="45"/>
        <v/>
      </c>
      <c r="BA68" t="str">
        <f t="shared" si="46"/>
        <v/>
      </c>
      <c r="BB68" t="str">
        <f t="shared" si="33"/>
        <v/>
      </c>
      <c r="BC68" t="str">
        <f t="shared" si="47"/>
        <v/>
      </c>
      <c r="BE68">
        <f t="shared" si="48"/>
        <v>19</v>
      </c>
      <c r="BF68">
        <f t="shared" si="49"/>
        <v>1</v>
      </c>
      <c r="BG68" t="str">
        <f t="shared" si="50"/>
        <v/>
      </c>
      <c r="BH68" t="str">
        <f t="shared" si="34"/>
        <v/>
      </c>
    </row>
    <row r="69" spans="4:60" x14ac:dyDescent="0.55000000000000004">
      <c r="D69">
        <v>59</v>
      </c>
      <c r="E69" t="str">
        <f t="shared" si="35"/>
        <v/>
      </c>
      <c r="F69" t="str">
        <f t="shared" si="18"/>
        <v/>
      </c>
      <c r="G69" t="str">
        <f t="shared" si="36"/>
        <v/>
      </c>
      <c r="Z69" t="str">
        <f t="shared" si="19"/>
        <v/>
      </c>
      <c r="AA69" t="str">
        <f t="shared" si="51"/>
        <v/>
      </c>
      <c r="AB69" t="str">
        <f t="shared" si="51"/>
        <v/>
      </c>
      <c r="AC69" t="str">
        <f t="shared" si="51"/>
        <v/>
      </c>
      <c r="AD69" t="str">
        <f t="shared" si="21"/>
        <v/>
      </c>
      <c r="AE69" t="str">
        <f t="shared" si="22"/>
        <v/>
      </c>
      <c r="AF69" t="str">
        <f t="shared" si="23"/>
        <v/>
      </c>
      <c r="AG69" t="str">
        <f t="shared" si="24"/>
        <v/>
      </c>
      <c r="AH69" t="str">
        <f t="shared" si="25"/>
        <v/>
      </c>
      <c r="AI69" t="str">
        <f t="shared" si="26"/>
        <v/>
      </c>
      <c r="AJ69" t="str">
        <f t="shared" si="27"/>
        <v/>
      </c>
      <c r="AK69" t="str">
        <f t="shared" si="28"/>
        <v/>
      </c>
      <c r="AM69" t="str">
        <f t="shared" si="29"/>
        <v/>
      </c>
      <c r="AN69" t="str">
        <f t="shared" si="30"/>
        <v/>
      </c>
      <c r="AO69" t="str">
        <f t="shared" si="37"/>
        <v/>
      </c>
      <c r="AP69" t="str">
        <f t="shared" si="38"/>
        <v/>
      </c>
      <c r="AQ69" t="str">
        <f t="shared" si="39"/>
        <v/>
      </c>
      <c r="AR69" t="str">
        <f t="shared" si="40"/>
        <v/>
      </c>
      <c r="AS69" t="str">
        <f t="shared" si="41"/>
        <v/>
      </c>
      <c r="AT69" t="str">
        <f t="shared" si="42"/>
        <v/>
      </c>
      <c r="AU69" t="str">
        <f t="shared" si="43"/>
        <v/>
      </c>
      <c r="AV69" t="str">
        <f t="shared" si="31"/>
        <v/>
      </c>
      <c r="AW69" t="str">
        <f t="shared" si="32"/>
        <v/>
      </c>
      <c r="AY69" t="str">
        <f t="shared" si="44"/>
        <v/>
      </c>
      <c r="AZ69" t="str">
        <f t="shared" si="45"/>
        <v/>
      </c>
      <c r="BA69" t="str">
        <f t="shared" si="46"/>
        <v/>
      </c>
      <c r="BB69" t="str">
        <f t="shared" si="33"/>
        <v/>
      </c>
      <c r="BC69" t="str">
        <f t="shared" si="47"/>
        <v/>
      </c>
      <c r="BE69">
        <f t="shared" si="48"/>
        <v>19</v>
      </c>
      <c r="BF69">
        <f t="shared" si="49"/>
        <v>2</v>
      </c>
      <c r="BG69" t="str">
        <f t="shared" si="50"/>
        <v/>
      </c>
      <c r="BH69" t="str">
        <f t="shared" si="34"/>
        <v/>
      </c>
    </row>
    <row r="70" spans="4:60" x14ac:dyDescent="0.55000000000000004">
      <c r="D70">
        <v>60</v>
      </c>
      <c r="E70" t="str">
        <f t="shared" si="35"/>
        <v/>
      </c>
      <c r="F70" t="str">
        <f t="shared" si="18"/>
        <v/>
      </c>
      <c r="G70" t="str">
        <f t="shared" si="36"/>
        <v/>
      </c>
      <c r="Z70" t="str">
        <f t="shared" si="19"/>
        <v/>
      </c>
      <c r="AA70" t="str">
        <f t="shared" si="51"/>
        <v/>
      </c>
      <c r="AB70" t="str">
        <f t="shared" si="51"/>
        <v/>
      </c>
      <c r="AC70" t="str">
        <f t="shared" si="51"/>
        <v/>
      </c>
      <c r="AD70" t="str">
        <f t="shared" si="21"/>
        <v/>
      </c>
      <c r="AE70" t="str">
        <f t="shared" si="22"/>
        <v/>
      </c>
      <c r="AF70" t="str">
        <f t="shared" si="23"/>
        <v/>
      </c>
      <c r="AG70" t="str">
        <f t="shared" si="24"/>
        <v/>
      </c>
      <c r="AH70" t="str">
        <f t="shared" si="25"/>
        <v/>
      </c>
      <c r="AI70" t="str">
        <f t="shared" si="26"/>
        <v/>
      </c>
      <c r="AJ70" t="str">
        <f t="shared" si="27"/>
        <v/>
      </c>
      <c r="AK70" t="str">
        <f t="shared" si="28"/>
        <v/>
      </c>
      <c r="AM70" t="str">
        <f t="shared" si="29"/>
        <v/>
      </c>
      <c r="AN70" t="str">
        <f t="shared" si="30"/>
        <v/>
      </c>
      <c r="AO70" t="str">
        <f t="shared" si="37"/>
        <v/>
      </c>
      <c r="AP70" t="str">
        <f t="shared" si="38"/>
        <v/>
      </c>
      <c r="AQ70" t="str">
        <f t="shared" si="39"/>
        <v/>
      </c>
      <c r="AR70" t="str">
        <f t="shared" si="40"/>
        <v/>
      </c>
      <c r="AS70" t="str">
        <f t="shared" si="41"/>
        <v/>
      </c>
      <c r="AT70" t="str">
        <f t="shared" si="42"/>
        <v/>
      </c>
      <c r="AU70" t="str">
        <f t="shared" si="43"/>
        <v/>
      </c>
      <c r="AV70" t="str">
        <f t="shared" si="31"/>
        <v/>
      </c>
      <c r="AW70" t="str">
        <f t="shared" si="32"/>
        <v/>
      </c>
      <c r="AY70" t="str">
        <f t="shared" si="44"/>
        <v/>
      </c>
      <c r="AZ70" t="str">
        <f t="shared" si="45"/>
        <v/>
      </c>
      <c r="BA70" t="str">
        <f t="shared" si="46"/>
        <v/>
      </c>
      <c r="BB70" t="str">
        <f t="shared" si="33"/>
        <v/>
      </c>
      <c r="BC70" t="str">
        <f t="shared" si="47"/>
        <v/>
      </c>
      <c r="BE70">
        <f t="shared" si="48"/>
        <v>20</v>
      </c>
      <c r="BF70">
        <f t="shared" si="49"/>
        <v>0</v>
      </c>
      <c r="BG70" t="str">
        <f t="shared" si="50"/>
        <v/>
      </c>
      <c r="BH70" t="str">
        <f t="shared" si="34"/>
        <v/>
      </c>
    </row>
    <row r="71" spans="4:60" x14ac:dyDescent="0.55000000000000004">
      <c r="D71">
        <v>61</v>
      </c>
      <c r="E71" t="str">
        <f t="shared" si="35"/>
        <v/>
      </c>
      <c r="F71" t="str">
        <f t="shared" si="18"/>
        <v/>
      </c>
      <c r="G71" t="str">
        <f t="shared" si="36"/>
        <v/>
      </c>
      <c r="Z71" t="str">
        <f t="shared" si="19"/>
        <v/>
      </c>
      <c r="AA71" t="str">
        <f t="shared" si="51"/>
        <v/>
      </c>
      <c r="AB71" t="str">
        <f t="shared" si="51"/>
        <v/>
      </c>
      <c r="AC71" t="str">
        <f t="shared" si="51"/>
        <v/>
      </c>
      <c r="AD71" t="str">
        <f t="shared" si="21"/>
        <v/>
      </c>
      <c r="AE71" t="str">
        <f t="shared" si="22"/>
        <v/>
      </c>
      <c r="AF71" t="str">
        <f t="shared" si="23"/>
        <v/>
      </c>
      <c r="AG71" t="str">
        <f t="shared" si="24"/>
        <v/>
      </c>
      <c r="AH71" t="str">
        <f t="shared" si="25"/>
        <v/>
      </c>
      <c r="AI71" t="str">
        <f t="shared" si="26"/>
        <v/>
      </c>
      <c r="AJ71" t="str">
        <f t="shared" si="27"/>
        <v/>
      </c>
      <c r="AK71" t="str">
        <f t="shared" si="28"/>
        <v/>
      </c>
      <c r="AM71" t="str">
        <f t="shared" si="29"/>
        <v/>
      </c>
      <c r="AN71" t="str">
        <f t="shared" si="30"/>
        <v/>
      </c>
      <c r="AO71" t="str">
        <f t="shared" si="37"/>
        <v/>
      </c>
      <c r="AP71" t="str">
        <f t="shared" si="38"/>
        <v/>
      </c>
      <c r="AQ71" t="str">
        <f t="shared" si="39"/>
        <v/>
      </c>
      <c r="AR71" t="str">
        <f t="shared" si="40"/>
        <v/>
      </c>
      <c r="AS71" t="str">
        <f t="shared" si="41"/>
        <v/>
      </c>
      <c r="AT71" t="str">
        <f t="shared" si="42"/>
        <v/>
      </c>
      <c r="AU71" t="str">
        <f t="shared" si="43"/>
        <v/>
      </c>
      <c r="AV71" t="str">
        <f t="shared" si="31"/>
        <v/>
      </c>
      <c r="AW71" t="str">
        <f t="shared" si="32"/>
        <v/>
      </c>
      <c r="AY71" t="str">
        <f t="shared" si="44"/>
        <v/>
      </c>
      <c r="AZ71" t="str">
        <f t="shared" si="45"/>
        <v/>
      </c>
      <c r="BA71" t="str">
        <f t="shared" si="46"/>
        <v/>
      </c>
      <c r="BB71" t="str">
        <f t="shared" si="33"/>
        <v/>
      </c>
      <c r="BC71" t="str">
        <f t="shared" si="47"/>
        <v/>
      </c>
      <c r="BE71">
        <f t="shared" si="48"/>
        <v>20</v>
      </c>
      <c r="BF71">
        <f t="shared" si="49"/>
        <v>1</v>
      </c>
      <c r="BG71" t="str">
        <f t="shared" si="50"/>
        <v/>
      </c>
      <c r="BH71" t="str">
        <f t="shared" si="34"/>
        <v/>
      </c>
    </row>
    <row r="72" spans="4:60" x14ac:dyDescent="0.55000000000000004">
      <c r="D72">
        <v>62</v>
      </c>
      <c r="E72" t="str">
        <f t="shared" si="35"/>
        <v/>
      </c>
      <c r="F72" t="str">
        <f t="shared" si="18"/>
        <v/>
      </c>
      <c r="G72" t="str">
        <f t="shared" si="36"/>
        <v/>
      </c>
      <c r="Z72" t="str">
        <f t="shared" si="19"/>
        <v/>
      </c>
      <c r="AA72" t="str">
        <f t="shared" si="51"/>
        <v/>
      </c>
      <c r="AB72" t="str">
        <f t="shared" si="51"/>
        <v/>
      </c>
      <c r="AC72" t="str">
        <f t="shared" si="51"/>
        <v/>
      </c>
      <c r="AD72" t="str">
        <f t="shared" si="21"/>
        <v/>
      </c>
      <c r="AE72" t="str">
        <f t="shared" si="22"/>
        <v/>
      </c>
      <c r="AF72" t="str">
        <f t="shared" si="23"/>
        <v/>
      </c>
      <c r="AG72" t="str">
        <f t="shared" si="24"/>
        <v/>
      </c>
      <c r="AH72" t="str">
        <f t="shared" si="25"/>
        <v/>
      </c>
      <c r="AI72" t="str">
        <f t="shared" si="26"/>
        <v/>
      </c>
      <c r="AJ72" t="str">
        <f t="shared" si="27"/>
        <v/>
      </c>
      <c r="AK72" t="str">
        <f t="shared" si="28"/>
        <v/>
      </c>
      <c r="AM72" t="str">
        <f t="shared" si="29"/>
        <v/>
      </c>
      <c r="AN72" t="str">
        <f t="shared" si="30"/>
        <v/>
      </c>
      <c r="AO72" t="str">
        <f t="shared" si="37"/>
        <v/>
      </c>
      <c r="AP72" t="str">
        <f t="shared" si="38"/>
        <v/>
      </c>
      <c r="AQ72" t="str">
        <f t="shared" si="39"/>
        <v/>
      </c>
      <c r="AR72" t="str">
        <f t="shared" si="40"/>
        <v/>
      </c>
      <c r="AS72" t="str">
        <f t="shared" si="41"/>
        <v/>
      </c>
      <c r="AT72" t="str">
        <f t="shared" si="42"/>
        <v/>
      </c>
      <c r="AU72" t="str">
        <f t="shared" si="43"/>
        <v/>
      </c>
      <c r="AV72" t="str">
        <f t="shared" si="31"/>
        <v/>
      </c>
      <c r="AW72" t="str">
        <f t="shared" si="32"/>
        <v/>
      </c>
      <c r="AY72" t="str">
        <f t="shared" si="44"/>
        <v/>
      </c>
      <c r="AZ72" t="str">
        <f t="shared" si="45"/>
        <v/>
      </c>
      <c r="BA72" t="str">
        <f t="shared" si="46"/>
        <v/>
      </c>
      <c r="BB72" t="str">
        <f t="shared" si="33"/>
        <v/>
      </c>
      <c r="BC72" t="str">
        <f t="shared" si="47"/>
        <v/>
      </c>
      <c r="BE72">
        <f t="shared" si="48"/>
        <v>20</v>
      </c>
      <c r="BF72">
        <f t="shared" si="49"/>
        <v>2</v>
      </c>
      <c r="BG72" t="str">
        <f t="shared" si="50"/>
        <v/>
      </c>
      <c r="BH72" t="str">
        <f t="shared" si="34"/>
        <v/>
      </c>
    </row>
    <row r="73" spans="4:60" x14ac:dyDescent="0.55000000000000004">
      <c r="D73">
        <v>63</v>
      </c>
      <c r="E73" t="str">
        <f t="shared" si="35"/>
        <v/>
      </c>
      <c r="F73" t="str">
        <f t="shared" si="18"/>
        <v/>
      </c>
      <c r="G73" t="str">
        <f t="shared" si="36"/>
        <v/>
      </c>
      <c r="Z73" t="str">
        <f t="shared" si="19"/>
        <v/>
      </c>
      <c r="AA73" t="str">
        <f t="shared" si="51"/>
        <v/>
      </c>
      <c r="AB73" t="str">
        <f t="shared" si="51"/>
        <v/>
      </c>
      <c r="AC73" t="str">
        <f t="shared" si="51"/>
        <v/>
      </c>
      <c r="AD73" t="str">
        <f t="shared" si="21"/>
        <v/>
      </c>
      <c r="AE73" t="str">
        <f t="shared" si="22"/>
        <v/>
      </c>
      <c r="AF73" t="str">
        <f t="shared" si="23"/>
        <v/>
      </c>
      <c r="AG73" t="str">
        <f t="shared" si="24"/>
        <v/>
      </c>
      <c r="AH73" t="str">
        <f t="shared" si="25"/>
        <v/>
      </c>
      <c r="AI73" t="str">
        <f t="shared" si="26"/>
        <v/>
      </c>
      <c r="AJ73" t="str">
        <f t="shared" si="27"/>
        <v/>
      </c>
      <c r="AK73" t="str">
        <f t="shared" si="28"/>
        <v/>
      </c>
      <c r="AM73" t="str">
        <f t="shared" si="29"/>
        <v/>
      </c>
      <c r="AN73" t="str">
        <f t="shared" si="30"/>
        <v/>
      </c>
      <c r="AO73" t="str">
        <f t="shared" si="37"/>
        <v/>
      </c>
      <c r="AP73" t="str">
        <f t="shared" si="38"/>
        <v/>
      </c>
      <c r="AQ73" t="str">
        <f t="shared" si="39"/>
        <v/>
      </c>
      <c r="AR73" t="str">
        <f t="shared" si="40"/>
        <v/>
      </c>
      <c r="AS73" t="str">
        <f t="shared" si="41"/>
        <v/>
      </c>
      <c r="AT73" t="str">
        <f t="shared" si="42"/>
        <v/>
      </c>
      <c r="AU73" t="str">
        <f t="shared" si="43"/>
        <v/>
      </c>
      <c r="AV73" t="str">
        <f t="shared" si="31"/>
        <v/>
      </c>
      <c r="AW73" t="str">
        <f t="shared" si="32"/>
        <v/>
      </c>
      <c r="AY73" t="str">
        <f t="shared" si="44"/>
        <v/>
      </c>
      <c r="AZ73" t="str">
        <f t="shared" si="45"/>
        <v/>
      </c>
      <c r="BA73" t="str">
        <f t="shared" si="46"/>
        <v/>
      </c>
      <c r="BB73" t="str">
        <f t="shared" si="33"/>
        <v/>
      </c>
      <c r="BC73" t="str">
        <f t="shared" si="47"/>
        <v/>
      </c>
      <c r="BE73">
        <f t="shared" si="48"/>
        <v>21</v>
      </c>
      <c r="BF73">
        <f t="shared" si="49"/>
        <v>0</v>
      </c>
      <c r="BG73" t="str">
        <f t="shared" si="50"/>
        <v/>
      </c>
      <c r="BH73" t="str">
        <f t="shared" si="34"/>
        <v/>
      </c>
    </row>
    <row r="74" spans="4:60" x14ac:dyDescent="0.55000000000000004">
      <c r="D74">
        <v>64</v>
      </c>
      <c r="E74" t="str">
        <f t="shared" ref="E74:E108" si="52">IF(LEN(I74),I74,IF(LEN(Q74),Q74,""))</f>
        <v/>
      </c>
      <c r="F74" t="str">
        <f t="shared" si="18"/>
        <v/>
      </c>
      <c r="G74" t="str">
        <f t="shared" ref="G74:G108" si="53">IF(LEN(O74),O74,IF(LEN(X74),X74,""))</f>
        <v/>
      </c>
      <c r="Z74" t="str">
        <f t="shared" si="19"/>
        <v/>
      </c>
      <c r="AA74" t="str">
        <f t="shared" si="51"/>
        <v/>
      </c>
      <c r="AB74" t="str">
        <f t="shared" si="51"/>
        <v/>
      </c>
      <c r="AC74" t="str">
        <f t="shared" si="51"/>
        <v/>
      </c>
      <c r="AD74" t="str">
        <f t="shared" si="21"/>
        <v/>
      </c>
      <c r="AE74" t="str">
        <f t="shared" si="22"/>
        <v/>
      </c>
      <c r="AF74" t="str">
        <f t="shared" si="23"/>
        <v/>
      </c>
      <c r="AG74" t="str">
        <f t="shared" si="24"/>
        <v/>
      </c>
      <c r="AH74" t="str">
        <f t="shared" si="25"/>
        <v/>
      </c>
      <c r="AI74" t="str">
        <f t="shared" si="26"/>
        <v/>
      </c>
      <c r="AJ74" t="str">
        <f t="shared" si="27"/>
        <v/>
      </c>
      <c r="AK74" t="str">
        <f t="shared" si="28"/>
        <v/>
      </c>
      <c r="AM74" t="str">
        <f t="shared" si="29"/>
        <v/>
      </c>
      <c r="AN74" t="str">
        <f t="shared" si="30"/>
        <v/>
      </c>
      <c r="AO74" t="str">
        <f t="shared" ref="AO74:AO108" si="54">IF($AM74="●","LDP "&amp;E74&amp;"."&amp;$B$16,"")</f>
        <v/>
      </c>
      <c r="AP74" t="str">
        <f t="shared" ref="AP74:AP105" si="55">IF($AM74="●","AND=.D "&amp;$B$17&amp;" #0","")</f>
        <v/>
      </c>
      <c r="AQ74" t="str">
        <f t="shared" ref="AQ74:AQ108" si="56">IF($AM74="●","MOV.D #"&amp;AN74&amp;" "&amp;$B$17,"")</f>
        <v/>
      </c>
      <c r="AR74" t="str">
        <f t="shared" ref="AR74:AR108" si="57">IF(LEN(AK74),"MOV.D "&amp;$AK74&amp;" "&amp;$B$19,"")</f>
        <v/>
      </c>
      <c r="AS74" t="str">
        <f t="shared" ref="AS74:AS108" si="58">IF(AND(D74&lt;&gt;0,AM74="●"),CHAR(10),"")&amp;IF(LEN(AO74),AO74,"")</f>
        <v/>
      </c>
      <c r="AT74" t="str">
        <f t="shared" ref="AT74:AT105" si="59">IF(LEN(AS74),AS74&amp;CHAR(10),"")&amp;IF(LEN(AP74),AP74,"")</f>
        <v/>
      </c>
      <c r="AU74" t="str">
        <f t="shared" ref="AU74:AU105" si="60">IF(LEN(AT74),AT74&amp;CHAR(10),"")&amp;IF(LEN(AQ74),AQ74,"")</f>
        <v/>
      </c>
      <c r="AV74" t="str">
        <f t="shared" si="31"/>
        <v/>
      </c>
      <c r="AW74" t="str">
        <f t="shared" si="32"/>
        <v/>
      </c>
      <c r="AY74" t="str">
        <f t="shared" ref="AY74:AY108" si="61">IF($AM74="●",AT74&amp;CHAR(10)&amp;"BOX_ST"&amp;CHAR(10)&amp;";//"&amp;$B$30,"")</f>
        <v/>
      </c>
      <c r="AZ74" t="str">
        <f t="shared" ref="AZ74:AZ105" si="62">IF($AM74="●",IF(LEN(AY74),AY74&amp;CHAR(10),"")&amp;";//エラーNo.を入れる"&amp;CHAR(10)&amp;";"&amp;$B$17&amp;"	:= "&amp;AN74&amp;";","")</f>
        <v/>
      </c>
      <c r="BA74" t="str">
        <f t="shared" ref="BA74:BA105" si="63">IF($AM74="●",IF(LEN(AZ74),AZ74&amp;CHAR(10),"")&amp;";//カウントする"&amp;CHAR(10)&amp;";"&amp;$B$18&amp;"	:= "&amp;$B$18&amp;" + 1;","")</f>
        <v/>
      </c>
      <c r="BB74" t="str">
        <f t="shared" si="33"/>
        <v/>
      </c>
      <c r="BC74" t="str">
        <f t="shared" ref="BC74:BC105" si="64">IF($AM74="●",IF(LEN(BB74),BB74&amp;CHAR(10),"")&amp;";//"&amp;$B$31,"")</f>
        <v/>
      </c>
      <c r="BE74">
        <f t="shared" ref="BE74:BE108" si="65">INT(D74/$BE$8)</f>
        <v>21</v>
      </c>
      <c r="BF74">
        <f t="shared" ref="BF74:BF108" si="66">MOD(D74,$BE$8)</f>
        <v>1</v>
      </c>
      <c r="BG74" t="str">
        <f t="shared" ref="BG74:BG105" si="67">IF(LEN(E74),E74&amp;".x"&amp;TEXT(BF74,"0")&amp;CHAR(9)&amp;" := FALSE;","")</f>
        <v/>
      </c>
      <c r="BH74" t="str">
        <f t="shared" si="34"/>
        <v/>
      </c>
    </row>
    <row r="75" spans="4:60" x14ac:dyDescent="0.55000000000000004">
      <c r="D75">
        <v>65</v>
      </c>
      <c r="E75" t="str">
        <f t="shared" si="52"/>
        <v/>
      </c>
      <c r="F75" t="str">
        <f t="shared" ref="F75:F108" si="68">IF(LEN(J75),J75,IF(LEN(Q75),Q75,""))</f>
        <v/>
      </c>
      <c r="G75" t="str">
        <f t="shared" si="53"/>
        <v/>
      </c>
      <c r="Z75" t="str">
        <f t="shared" ref="Z75:Z138" si="69">IFERROR(IF(COUNTIF($G75,"*"&amp;Z$9&amp;"*"),INT(MID($G75,FIND(Z$9,$G75)+LEN(Z$9)+1,2)),""),"")</f>
        <v/>
      </c>
      <c r="AA75" t="str">
        <f t="shared" ref="AA75:AC106" si="70">IFERROR(IF(COUNTIF($G75,"*"&amp;AA$9&amp;"*"),INT(MID($G75,FIND(AA$9,$G75)+LEN(AA$9),2)),""),"")</f>
        <v/>
      </c>
      <c r="AB75" t="str">
        <f t="shared" si="70"/>
        <v/>
      </c>
      <c r="AC75" t="str">
        <f t="shared" si="70"/>
        <v/>
      </c>
      <c r="AD75" t="str">
        <f t="shared" ref="AD75:AD138" si="71">IFERROR(IF(AND(LEN($Z75),AD$2&lt;=$Z75,$Z75&lt;=AD$3),AD$9&amp;"["&amp;$Z75-AD$2&amp;"]",""),"")</f>
        <v/>
      </c>
      <c r="AE75" t="str">
        <f t="shared" ref="AE75:AE138" si="72">IFERROR(IF(AND(LEN($Z75),AE$2&lt;=$Z75,$Z75&lt;=AE$3),AE$9&amp;"["&amp;$Z75-AE$2&amp;"]",IF(AND(LEN($Z75),AE$4&lt;=$Z75,$Z75&lt;=AE$5),AE$9&amp;"["&amp;AE$3+$Z75-AE$4-AE$2+1&amp;"]",IF(AND(LEN($Z75),AE$6&lt;=$Z75,$Z75&lt;=AE$7),AE$9&amp;"["&amp;AE$5+$Z75-AE$6-AE$4+1&amp;"]",""))),"")</f>
        <v/>
      </c>
      <c r="AF75" t="str">
        <f t="shared" ref="AF75:AF138" si="73">IFERROR(IF(AND(LEN($Z75),AF$2&lt;=$Z75,$Z75&lt;=AF$3),AF$9&amp;"["&amp;$Z75-AF$2&amp;"]",IF(AND(LEN($Z75),AF$4&lt;=$Z75,$Z75&lt;=AF$5),AF$9&amp;"["&amp;AF$3+$Z75-AF$4-AF$2+1&amp;"]","")),"")</f>
        <v/>
      </c>
      <c r="AG75" t="str">
        <f t="shared" ref="AG75:AG138" si="74">IFERROR(IF(AND(LEN($Z75),AG$2&lt;=$Z75,$Z75&lt;=AG$3),AG$9&amp;"["&amp;$Z75-AG$2&amp;"]",IF(AND(LEN($Z75),AG$4&lt;=$Z75,$Z75&lt;=AG$5),AG$9&amp;"["&amp;AG$3+$Z75-AG$4&amp;"]","")),"")</f>
        <v/>
      </c>
      <c r="AH75" t="str">
        <f t="shared" ref="AH75:AH138" si="75">IFERROR(IF(AND(LEN($AA75),AH$2&lt;=$AA75,$AA75&lt;=AH$3),AH$9&amp;"["&amp;$AA75-AH$2&amp;"]",""),"")</f>
        <v/>
      </c>
      <c r="AI75" t="str">
        <f t="shared" ref="AI75:AI138" si="76">IFERROR(IF(AND(LEN($AB75),AI$2&lt;=$AB75,$AB75&lt;=AI$3),AI$9&amp;"["&amp;$AB75-AI$2&amp;"]",""),"")</f>
        <v/>
      </c>
      <c r="AJ75" t="str">
        <f t="shared" ref="AJ75:AJ106" si="77">IF(AND(LEN($AC75),AJ$2&lt;=$AC75,$AC75&lt;=AJ$3),AJ$9&amp;$AC75-AJ$2&amp;"Out","")</f>
        <v/>
      </c>
      <c r="AK75" t="str">
        <f t="shared" ref="AK75:AK108" si="78">IF(LEN(_xlfn.CONCAT(AD75:AJ75)),_xlfn.CONCAT(AD75:AJ75),"")</f>
        <v/>
      </c>
      <c r="AM75" t="str">
        <f t="shared" ref="AM75:AM108" si="79">IF(LEN(G75),IF(OR(COUNTIF(G75,"*◆*"),COUNTIF(G75,"*▼*"),COUNTIF(G75,"*▽*"),COUNTIF(G75,"*■*")),"","●"),"")</f>
        <v/>
      </c>
      <c r="AN75" t="str">
        <f t="shared" ref="AN75:AN108" si="80">IF(AM75="●",(AN$4+MOD(INT(MID(E75,5,LEN(E75)-4)),AN$2))*AN$8,"")</f>
        <v/>
      </c>
      <c r="AO75" t="str">
        <f t="shared" si="54"/>
        <v/>
      </c>
      <c r="AP75" t="str">
        <f t="shared" si="55"/>
        <v/>
      </c>
      <c r="AQ75" t="str">
        <f t="shared" si="56"/>
        <v/>
      </c>
      <c r="AR75" t="str">
        <f t="shared" si="57"/>
        <v/>
      </c>
      <c r="AS75" t="str">
        <f t="shared" si="58"/>
        <v/>
      </c>
      <c r="AT75" t="str">
        <f t="shared" si="59"/>
        <v/>
      </c>
      <c r="AU75" t="str">
        <f t="shared" si="60"/>
        <v/>
      </c>
      <c r="AV75" t="str">
        <f t="shared" ref="AV75:AV108" si="81">IF(LEN(AU75),AU75&amp;CHAR(10),"")&amp;IF(LEN(AR75),AR75,"")</f>
        <v/>
      </c>
      <c r="AW75" t="str">
        <f t="shared" ref="AW75:AW108" si="82">AV75</f>
        <v/>
      </c>
      <c r="AY75" t="str">
        <f t="shared" si="61"/>
        <v/>
      </c>
      <c r="AZ75" t="str">
        <f t="shared" si="62"/>
        <v/>
      </c>
      <c r="BA75" t="str">
        <f t="shared" si="63"/>
        <v/>
      </c>
      <c r="BB75" t="str">
        <f t="shared" ref="BB75:BB108" si="83">IF($AM75="●",IF(LEN(BA75),BA75&amp;CHAR(10),"")&amp;IF(LEN(AK75),";//エラーコードを入れる"&amp;CHAR(10)&amp;";"&amp;$B$19&amp;"	:= "&amp;AK75&amp;".udiErrNo;",""),"")</f>
        <v/>
      </c>
      <c r="BC75" t="str">
        <f t="shared" si="64"/>
        <v/>
      </c>
      <c r="BE75">
        <f t="shared" si="65"/>
        <v>21</v>
      </c>
      <c r="BF75">
        <f t="shared" si="66"/>
        <v>2</v>
      </c>
      <c r="BG75" t="str">
        <f t="shared" si="67"/>
        <v/>
      </c>
      <c r="BH75" t="str">
        <f t="shared" ref="BH75:BH108" si="84">IF(LEN(BG75),BG75&amp;CHAR(10),"")</f>
        <v/>
      </c>
    </row>
    <row r="76" spans="4:60" x14ac:dyDescent="0.55000000000000004">
      <c r="D76">
        <v>66</v>
      </c>
      <c r="E76" t="str">
        <f t="shared" si="52"/>
        <v/>
      </c>
      <c r="F76" t="str">
        <f t="shared" si="68"/>
        <v/>
      </c>
      <c r="G76" t="str">
        <f t="shared" si="53"/>
        <v/>
      </c>
      <c r="Z76" t="str">
        <f t="shared" si="69"/>
        <v/>
      </c>
      <c r="AA76" t="str">
        <f t="shared" si="70"/>
        <v/>
      </c>
      <c r="AB76" t="str">
        <f t="shared" si="70"/>
        <v/>
      </c>
      <c r="AC76" t="str">
        <f t="shared" si="70"/>
        <v/>
      </c>
      <c r="AD76" t="str">
        <f t="shared" si="71"/>
        <v/>
      </c>
      <c r="AE76" t="str">
        <f t="shared" si="72"/>
        <v/>
      </c>
      <c r="AF76" t="str">
        <f t="shared" si="73"/>
        <v/>
      </c>
      <c r="AG76" t="str">
        <f t="shared" si="74"/>
        <v/>
      </c>
      <c r="AH76" t="str">
        <f t="shared" si="75"/>
        <v/>
      </c>
      <c r="AI76" t="str">
        <f t="shared" si="76"/>
        <v/>
      </c>
      <c r="AJ76" t="str">
        <f t="shared" si="77"/>
        <v/>
      </c>
      <c r="AK76" t="str">
        <f t="shared" si="78"/>
        <v/>
      </c>
      <c r="AM76" t="str">
        <f t="shared" si="79"/>
        <v/>
      </c>
      <c r="AN76" t="str">
        <f t="shared" si="80"/>
        <v/>
      </c>
      <c r="AO76" t="str">
        <f t="shared" si="54"/>
        <v/>
      </c>
      <c r="AP76" t="str">
        <f t="shared" si="55"/>
        <v/>
      </c>
      <c r="AQ76" t="str">
        <f t="shared" si="56"/>
        <v/>
      </c>
      <c r="AR76" t="str">
        <f t="shared" si="57"/>
        <v/>
      </c>
      <c r="AS76" t="str">
        <f t="shared" si="58"/>
        <v/>
      </c>
      <c r="AT76" t="str">
        <f t="shared" si="59"/>
        <v/>
      </c>
      <c r="AU76" t="str">
        <f t="shared" si="60"/>
        <v/>
      </c>
      <c r="AV76" t="str">
        <f t="shared" si="81"/>
        <v/>
      </c>
      <c r="AW76" t="str">
        <f t="shared" si="82"/>
        <v/>
      </c>
      <c r="AY76" t="str">
        <f t="shared" si="61"/>
        <v/>
      </c>
      <c r="AZ76" t="str">
        <f t="shared" si="62"/>
        <v/>
      </c>
      <c r="BA76" t="str">
        <f t="shared" si="63"/>
        <v/>
      </c>
      <c r="BB76" t="str">
        <f t="shared" si="83"/>
        <v/>
      </c>
      <c r="BC76" t="str">
        <f t="shared" si="64"/>
        <v/>
      </c>
      <c r="BE76">
        <f t="shared" si="65"/>
        <v>22</v>
      </c>
      <c r="BF76">
        <f t="shared" si="66"/>
        <v>0</v>
      </c>
      <c r="BG76" t="str">
        <f t="shared" si="67"/>
        <v/>
      </c>
      <c r="BH76" t="str">
        <f t="shared" si="84"/>
        <v/>
      </c>
    </row>
    <row r="77" spans="4:60" x14ac:dyDescent="0.55000000000000004">
      <c r="D77">
        <v>67</v>
      </c>
      <c r="E77" t="str">
        <f t="shared" si="52"/>
        <v/>
      </c>
      <c r="F77" t="str">
        <f t="shared" si="68"/>
        <v/>
      </c>
      <c r="G77" t="str">
        <f t="shared" si="53"/>
        <v/>
      </c>
      <c r="Z77" t="str">
        <f t="shared" si="69"/>
        <v/>
      </c>
      <c r="AA77" t="str">
        <f t="shared" si="70"/>
        <v/>
      </c>
      <c r="AB77" t="str">
        <f t="shared" si="70"/>
        <v/>
      </c>
      <c r="AC77" t="str">
        <f t="shared" si="70"/>
        <v/>
      </c>
      <c r="AD77" t="str">
        <f t="shared" si="71"/>
        <v/>
      </c>
      <c r="AE77" t="str">
        <f t="shared" si="72"/>
        <v/>
      </c>
      <c r="AF77" t="str">
        <f t="shared" si="73"/>
        <v/>
      </c>
      <c r="AG77" t="str">
        <f t="shared" si="74"/>
        <v/>
      </c>
      <c r="AH77" t="str">
        <f t="shared" si="75"/>
        <v/>
      </c>
      <c r="AI77" t="str">
        <f t="shared" si="76"/>
        <v/>
      </c>
      <c r="AJ77" t="str">
        <f t="shared" si="77"/>
        <v/>
      </c>
      <c r="AK77" t="str">
        <f t="shared" si="78"/>
        <v/>
      </c>
      <c r="AM77" t="str">
        <f t="shared" si="79"/>
        <v/>
      </c>
      <c r="AN77" t="str">
        <f t="shared" si="80"/>
        <v/>
      </c>
      <c r="AO77" t="str">
        <f t="shared" si="54"/>
        <v/>
      </c>
      <c r="AP77" t="str">
        <f t="shared" si="55"/>
        <v/>
      </c>
      <c r="AQ77" t="str">
        <f t="shared" si="56"/>
        <v/>
      </c>
      <c r="AR77" t="str">
        <f t="shared" si="57"/>
        <v/>
      </c>
      <c r="AS77" t="str">
        <f t="shared" si="58"/>
        <v/>
      </c>
      <c r="AT77" t="str">
        <f t="shared" si="59"/>
        <v/>
      </c>
      <c r="AU77" t="str">
        <f t="shared" si="60"/>
        <v/>
      </c>
      <c r="AV77" t="str">
        <f t="shared" si="81"/>
        <v/>
      </c>
      <c r="AW77" t="str">
        <f t="shared" si="82"/>
        <v/>
      </c>
      <c r="AY77" t="str">
        <f t="shared" si="61"/>
        <v/>
      </c>
      <c r="AZ77" t="str">
        <f t="shared" si="62"/>
        <v/>
      </c>
      <c r="BA77" t="str">
        <f t="shared" si="63"/>
        <v/>
      </c>
      <c r="BB77" t="str">
        <f t="shared" si="83"/>
        <v/>
      </c>
      <c r="BC77" t="str">
        <f t="shared" si="64"/>
        <v/>
      </c>
      <c r="BE77">
        <f t="shared" si="65"/>
        <v>22</v>
      </c>
      <c r="BF77">
        <f t="shared" si="66"/>
        <v>1</v>
      </c>
      <c r="BG77" t="str">
        <f t="shared" si="67"/>
        <v/>
      </c>
      <c r="BH77" t="str">
        <f t="shared" si="84"/>
        <v/>
      </c>
    </row>
    <row r="78" spans="4:60" x14ac:dyDescent="0.55000000000000004">
      <c r="D78">
        <v>68</v>
      </c>
      <c r="E78" t="str">
        <f t="shared" si="52"/>
        <v/>
      </c>
      <c r="F78" t="str">
        <f t="shared" si="68"/>
        <v/>
      </c>
      <c r="G78" t="str">
        <f t="shared" si="53"/>
        <v/>
      </c>
      <c r="Z78" t="str">
        <f t="shared" si="69"/>
        <v/>
      </c>
      <c r="AA78" t="str">
        <f t="shared" si="70"/>
        <v/>
      </c>
      <c r="AB78" t="str">
        <f t="shared" si="70"/>
        <v/>
      </c>
      <c r="AC78" t="str">
        <f t="shared" si="70"/>
        <v/>
      </c>
      <c r="AD78" t="str">
        <f t="shared" si="71"/>
        <v/>
      </c>
      <c r="AE78" t="str">
        <f t="shared" si="72"/>
        <v/>
      </c>
      <c r="AF78" t="str">
        <f t="shared" si="73"/>
        <v/>
      </c>
      <c r="AG78" t="str">
        <f t="shared" si="74"/>
        <v/>
      </c>
      <c r="AH78" t="str">
        <f t="shared" si="75"/>
        <v/>
      </c>
      <c r="AI78" t="str">
        <f t="shared" si="76"/>
        <v/>
      </c>
      <c r="AJ78" t="str">
        <f t="shared" si="77"/>
        <v/>
      </c>
      <c r="AK78" t="str">
        <f t="shared" si="78"/>
        <v/>
      </c>
      <c r="AM78" t="str">
        <f t="shared" si="79"/>
        <v/>
      </c>
      <c r="AN78" t="str">
        <f t="shared" si="80"/>
        <v/>
      </c>
      <c r="AO78" t="str">
        <f t="shared" si="54"/>
        <v/>
      </c>
      <c r="AP78" t="str">
        <f t="shared" si="55"/>
        <v/>
      </c>
      <c r="AQ78" t="str">
        <f t="shared" si="56"/>
        <v/>
      </c>
      <c r="AR78" t="str">
        <f t="shared" si="57"/>
        <v/>
      </c>
      <c r="AS78" t="str">
        <f t="shared" si="58"/>
        <v/>
      </c>
      <c r="AT78" t="str">
        <f t="shared" si="59"/>
        <v/>
      </c>
      <c r="AU78" t="str">
        <f t="shared" si="60"/>
        <v/>
      </c>
      <c r="AV78" t="str">
        <f t="shared" si="81"/>
        <v/>
      </c>
      <c r="AW78" t="str">
        <f t="shared" si="82"/>
        <v/>
      </c>
      <c r="AY78" t="str">
        <f t="shared" si="61"/>
        <v/>
      </c>
      <c r="AZ78" t="str">
        <f t="shared" si="62"/>
        <v/>
      </c>
      <c r="BA78" t="str">
        <f t="shared" si="63"/>
        <v/>
      </c>
      <c r="BB78" t="str">
        <f t="shared" si="83"/>
        <v/>
      </c>
      <c r="BC78" t="str">
        <f t="shared" si="64"/>
        <v/>
      </c>
      <c r="BE78">
        <f t="shared" si="65"/>
        <v>22</v>
      </c>
      <c r="BF78">
        <f t="shared" si="66"/>
        <v>2</v>
      </c>
      <c r="BG78" t="str">
        <f t="shared" si="67"/>
        <v/>
      </c>
      <c r="BH78" t="str">
        <f t="shared" si="84"/>
        <v/>
      </c>
    </row>
    <row r="79" spans="4:60" x14ac:dyDescent="0.55000000000000004">
      <c r="D79">
        <v>69</v>
      </c>
      <c r="E79" t="str">
        <f t="shared" si="52"/>
        <v/>
      </c>
      <c r="F79" t="str">
        <f t="shared" si="68"/>
        <v/>
      </c>
      <c r="G79" t="str">
        <f t="shared" si="53"/>
        <v/>
      </c>
      <c r="Z79" t="str">
        <f t="shared" si="69"/>
        <v/>
      </c>
      <c r="AA79" t="str">
        <f t="shared" si="70"/>
        <v/>
      </c>
      <c r="AB79" t="str">
        <f t="shared" si="70"/>
        <v/>
      </c>
      <c r="AC79" t="str">
        <f t="shared" si="70"/>
        <v/>
      </c>
      <c r="AD79" t="str">
        <f t="shared" si="71"/>
        <v/>
      </c>
      <c r="AE79" t="str">
        <f t="shared" si="72"/>
        <v/>
      </c>
      <c r="AF79" t="str">
        <f t="shared" si="73"/>
        <v/>
      </c>
      <c r="AG79" t="str">
        <f t="shared" si="74"/>
        <v/>
      </c>
      <c r="AH79" t="str">
        <f t="shared" si="75"/>
        <v/>
      </c>
      <c r="AI79" t="str">
        <f t="shared" si="76"/>
        <v/>
      </c>
      <c r="AJ79" t="str">
        <f t="shared" si="77"/>
        <v/>
      </c>
      <c r="AK79" t="str">
        <f t="shared" si="78"/>
        <v/>
      </c>
      <c r="AM79" t="str">
        <f t="shared" si="79"/>
        <v/>
      </c>
      <c r="AN79" t="str">
        <f t="shared" si="80"/>
        <v/>
      </c>
      <c r="AO79" t="str">
        <f t="shared" si="54"/>
        <v/>
      </c>
      <c r="AP79" t="str">
        <f t="shared" si="55"/>
        <v/>
      </c>
      <c r="AQ79" t="str">
        <f t="shared" si="56"/>
        <v/>
      </c>
      <c r="AR79" t="str">
        <f t="shared" si="57"/>
        <v/>
      </c>
      <c r="AS79" t="str">
        <f t="shared" si="58"/>
        <v/>
      </c>
      <c r="AT79" t="str">
        <f t="shared" si="59"/>
        <v/>
      </c>
      <c r="AU79" t="str">
        <f t="shared" si="60"/>
        <v/>
      </c>
      <c r="AV79" t="str">
        <f t="shared" si="81"/>
        <v/>
      </c>
      <c r="AW79" t="str">
        <f t="shared" si="82"/>
        <v/>
      </c>
      <c r="AY79" t="str">
        <f t="shared" si="61"/>
        <v/>
      </c>
      <c r="AZ79" t="str">
        <f t="shared" si="62"/>
        <v/>
      </c>
      <c r="BA79" t="str">
        <f t="shared" si="63"/>
        <v/>
      </c>
      <c r="BB79" t="str">
        <f t="shared" si="83"/>
        <v/>
      </c>
      <c r="BC79" t="str">
        <f t="shared" si="64"/>
        <v/>
      </c>
      <c r="BE79">
        <f t="shared" si="65"/>
        <v>23</v>
      </c>
      <c r="BF79">
        <f t="shared" si="66"/>
        <v>0</v>
      </c>
      <c r="BG79" t="str">
        <f t="shared" si="67"/>
        <v/>
      </c>
      <c r="BH79" t="str">
        <f t="shared" si="84"/>
        <v/>
      </c>
    </row>
    <row r="80" spans="4:60" x14ac:dyDescent="0.55000000000000004">
      <c r="D80">
        <v>70</v>
      </c>
      <c r="E80" t="str">
        <f t="shared" si="52"/>
        <v/>
      </c>
      <c r="F80" t="str">
        <f t="shared" si="68"/>
        <v/>
      </c>
      <c r="G80" t="str">
        <f t="shared" si="53"/>
        <v/>
      </c>
      <c r="Z80" t="str">
        <f t="shared" si="69"/>
        <v/>
      </c>
      <c r="AA80" t="str">
        <f t="shared" si="70"/>
        <v/>
      </c>
      <c r="AB80" t="str">
        <f t="shared" si="70"/>
        <v/>
      </c>
      <c r="AC80" t="str">
        <f t="shared" si="70"/>
        <v/>
      </c>
      <c r="AD80" t="str">
        <f t="shared" si="71"/>
        <v/>
      </c>
      <c r="AE80" t="str">
        <f t="shared" si="72"/>
        <v/>
      </c>
      <c r="AF80" t="str">
        <f t="shared" si="73"/>
        <v/>
      </c>
      <c r="AG80" t="str">
        <f t="shared" si="74"/>
        <v/>
      </c>
      <c r="AH80" t="str">
        <f t="shared" si="75"/>
        <v/>
      </c>
      <c r="AI80" t="str">
        <f t="shared" si="76"/>
        <v/>
      </c>
      <c r="AJ80" t="str">
        <f t="shared" si="77"/>
        <v/>
      </c>
      <c r="AK80" t="str">
        <f t="shared" si="78"/>
        <v/>
      </c>
      <c r="AM80" t="str">
        <f t="shared" si="79"/>
        <v/>
      </c>
      <c r="AN80" t="str">
        <f t="shared" si="80"/>
        <v/>
      </c>
      <c r="AO80" t="str">
        <f t="shared" si="54"/>
        <v/>
      </c>
      <c r="AP80" t="str">
        <f t="shared" si="55"/>
        <v/>
      </c>
      <c r="AQ80" t="str">
        <f t="shared" si="56"/>
        <v/>
      </c>
      <c r="AR80" t="str">
        <f t="shared" si="57"/>
        <v/>
      </c>
      <c r="AS80" t="str">
        <f t="shared" si="58"/>
        <v/>
      </c>
      <c r="AT80" t="str">
        <f t="shared" si="59"/>
        <v/>
      </c>
      <c r="AU80" t="str">
        <f t="shared" si="60"/>
        <v/>
      </c>
      <c r="AV80" t="str">
        <f t="shared" si="81"/>
        <v/>
      </c>
      <c r="AW80" t="str">
        <f t="shared" si="82"/>
        <v/>
      </c>
      <c r="AY80" t="str">
        <f t="shared" si="61"/>
        <v/>
      </c>
      <c r="AZ80" t="str">
        <f t="shared" si="62"/>
        <v/>
      </c>
      <c r="BA80" t="str">
        <f t="shared" si="63"/>
        <v/>
      </c>
      <c r="BB80" t="str">
        <f t="shared" si="83"/>
        <v/>
      </c>
      <c r="BC80" t="str">
        <f t="shared" si="64"/>
        <v/>
      </c>
      <c r="BE80">
        <f t="shared" si="65"/>
        <v>23</v>
      </c>
      <c r="BF80">
        <f t="shared" si="66"/>
        <v>1</v>
      </c>
      <c r="BG80" t="str">
        <f t="shared" si="67"/>
        <v/>
      </c>
      <c r="BH80" t="str">
        <f t="shared" si="84"/>
        <v/>
      </c>
    </row>
    <row r="81" spans="4:60" x14ac:dyDescent="0.55000000000000004">
      <c r="D81">
        <v>71</v>
      </c>
      <c r="E81" t="str">
        <f t="shared" si="52"/>
        <v/>
      </c>
      <c r="F81" t="str">
        <f t="shared" si="68"/>
        <v/>
      </c>
      <c r="G81" t="str">
        <f t="shared" si="53"/>
        <v/>
      </c>
      <c r="Z81" t="str">
        <f t="shared" si="69"/>
        <v/>
      </c>
      <c r="AA81" t="str">
        <f t="shared" si="70"/>
        <v/>
      </c>
      <c r="AB81" t="str">
        <f t="shared" si="70"/>
        <v/>
      </c>
      <c r="AC81" t="str">
        <f t="shared" si="70"/>
        <v/>
      </c>
      <c r="AD81" t="str">
        <f t="shared" si="71"/>
        <v/>
      </c>
      <c r="AE81" t="str">
        <f t="shared" si="72"/>
        <v/>
      </c>
      <c r="AF81" t="str">
        <f t="shared" si="73"/>
        <v/>
      </c>
      <c r="AG81" t="str">
        <f t="shared" si="74"/>
        <v/>
      </c>
      <c r="AH81" t="str">
        <f t="shared" si="75"/>
        <v/>
      </c>
      <c r="AI81" t="str">
        <f t="shared" si="76"/>
        <v/>
      </c>
      <c r="AJ81" t="str">
        <f t="shared" si="77"/>
        <v/>
      </c>
      <c r="AK81" t="str">
        <f t="shared" si="78"/>
        <v/>
      </c>
      <c r="AM81" t="str">
        <f t="shared" si="79"/>
        <v/>
      </c>
      <c r="AN81" t="str">
        <f t="shared" si="80"/>
        <v/>
      </c>
      <c r="AO81" t="str">
        <f t="shared" si="54"/>
        <v/>
      </c>
      <c r="AP81" t="str">
        <f t="shared" si="55"/>
        <v/>
      </c>
      <c r="AQ81" t="str">
        <f t="shared" si="56"/>
        <v/>
      </c>
      <c r="AR81" t="str">
        <f t="shared" si="57"/>
        <v/>
      </c>
      <c r="AS81" t="str">
        <f t="shared" si="58"/>
        <v/>
      </c>
      <c r="AT81" t="str">
        <f t="shared" si="59"/>
        <v/>
      </c>
      <c r="AU81" t="str">
        <f t="shared" si="60"/>
        <v/>
      </c>
      <c r="AV81" t="str">
        <f t="shared" si="81"/>
        <v/>
      </c>
      <c r="AW81" t="str">
        <f t="shared" si="82"/>
        <v/>
      </c>
      <c r="AY81" t="str">
        <f t="shared" si="61"/>
        <v/>
      </c>
      <c r="AZ81" t="str">
        <f t="shared" si="62"/>
        <v/>
      </c>
      <c r="BA81" t="str">
        <f t="shared" si="63"/>
        <v/>
      </c>
      <c r="BB81" t="str">
        <f t="shared" si="83"/>
        <v/>
      </c>
      <c r="BC81" t="str">
        <f t="shared" si="64"/>
        <v/>
      </c>
      <c r="BE81">
        <f t="shared" si="65"/>
        <v>23</v>
      </c>
      <c r="BF81">
        <f t="shared" si="66"/>
        <v>2</v>
      </c>
      <c r="BG81" t="str">
        <f t="shared" si="67"/>
        <v/>
      </c>
      <c r="BH81" t="str">
        <f t="shared" si="84"/>
        <v/>
      </c>
    </row>
    <row r="82" spans="4:60" x14ac:dyDescent="0.55000000000000004">
      <c r="D82">
        <v>72</v>
      </c>
      <c r="E82" t="str">
        <f t="shared" si="52"/>
        <v/>
      </c>
      <c r="F82" t="str">
        <f t="shared" si="68"/>
        <v/>
      </c>
      <c r="G82" t="str">
        <f t="shared" si="53"/>
        <v/>
      </c>
      <c r="Z82" t="str">
        <f t="shared" si="69"/>
        <v/>
      </c>
      <c r="AA82" t="str">
        <f t="shared" si="70"/>
        <v/>
      </c>
      <c r="AB82" t="str">
        <f t="shared" si="70"/>
        <v/>
      </c>
      <c r="AC82" t="str">
        <f t="shared" si="70"/>
        <v/>
      </c>
      <c r="AD82" t="str">
        <f t="shared" si="71"/>
        <v/>
      </c>
      <c r="AE82" t="str">
        <f t="shared" si="72"/>
        <v/>
      </c>
      <c r="AF82" t="str">
        <f t="shared" si="73"/>
        <v/>
      </c>
      <c r="AG82" t="str">
        <f t="shared" si="74"/>
        <v/>
      </c>
      <c r="AH82" t="str">
        <f t="shared" si="75"/>
        <v/>
      </c>
      <c r="AI82" t="str">
        <f t="shared" si="76"/>
        <v/>
      </c>
      <c r="AJ82" t="str">
        <f t="shared" si="77"/>
        <v/>
      </c>
      <c r="AK82" t="str">
        <f t="shared" si="78"/>
        <v/>
      </c>
      <c r="AM82" t="str">
        <f t="shared" si="79"/>
        <v/>
      </c>
      <c r="AN82" t="str">
        <f t="shared" si="80"/>
        <v/>
      </c>
      <c r="AO82" t="str">
        <f t="shared" si="54"/>
        <v/>
      </c>
      <c r="AP82" t="str">
        <f t="shared" si="55"/>
        <v/>
      </c>
      <c r="AQ82" t="str">
        <f t="shared" si="56"/>
        <v/>
      </c>
      <c r="AR82" t="str">
        <f t="shared" si="57"/>
        <v/>
      </c>
      <c r="AS82" t="str">
        <f t="shared" si="58"/>
        <v/>
      </c>
      <c r="AT82" t="str">
        <f t="shared" si="59"/>
        <v/>
      </c>
      <c r="AU82" t="str">
        <f t="shared" si="60"/>
        <v/>
      </c>
      <c r="AV82" t="str">
        <f t="shared" si="81"/>
        <v/>
      </c>
      <c r="AW82" t="str">
        <f t="shared" si="82"/>
        <v/>
      </c>
      <c r="AY82" t="str">
        <f t="shared" si="61"/>
        <v/>
      </c>
      <c r="AZ82" t="str">
        <f t="shared" si="62"/>
        <v/>
      </c>
      <c r="BA82" t="str">
        <f t="shared" si="63"/>
        <v/>
      </c>
      <c r="BB82" t="str">
        <f t="shared" si="83"/>
        <v/>
      </c>
      <c r="BC82" t="str">
        <f t="shared" si="64"/>
        <v/>
      </c>
      <c r="BE82">
        <f t="shared" si="65"/>
        <v>24</v>
      </c>
      <c r="BF82">
        <f t="shared" si="66"/>
        <v>0</v>
      </c>
      <c r="BG82" t="str">
        <f t="shared" si="67"/>
        <v/>
      </c>
      <c r="BH82" t="str">
        <f t="shared" si="84"/>
        <v/>
      </c>
    </row>
    <row r="83" spans="4:60" x14ac:dyDescent="0.55000000000000004">
      <c r="D83">
        <v>73</v>
      </c>
      <c r="E83" t="str">
        <f t="shared" si="52"/>
        <v/>
      </c>
      <c r="F83" t="str">
        <f t="shared" si="68"/>
        <v/>
      </c>
      <c r="G83" t="str">
        <f t="shared" si="53"/>
        <v/>
      </c>
      <c r="Z83" t="str">
        <f t="shared" si="69"/>
        <v/>
      </c>
      <c r="AA83" t="str">
        <f t="shared" si="70"/>
        <v/>
      </c>
      <c r="AB83" t="str">
        <f t="shared" si="70"/>
        <v/>
      </c>
      <c r="AC83" t="str">
        <f t="shared" si="70"/>
        <v/>
      </c>
      <c r="AD83" t="str">
        <f t="shared" si="71"/>
        <v/>
      </c>
      <c r="AE83" t="str">
        <f t="shared" si="72"/>
        <v/>
      </c>
      <c r="AF83" t="str">
        <f t="shared" si="73"/>
        <v/>
      </c>
      <c r="AG83" t="str">
        <f t="shared" si="74"/>
        <v/>
      </c>
      <c r="AH83" t="str">
        <f t="shared" si="75"/>
        <v/>
      </c>
      <c r="AI83" t="str">
        <f t="shared" si="76"/>
        <v/>
      </c>
      <c r="AJ83" t="str">
        <f t="shared" si="77"/>
        <v/>
      </c>
      <c r="AK83" t="str">
        <f t="shared" si="78"/>
        <v/>
      </c>
      <c r="AM83" t="str">
        <f t="shared" si="79"/>
        <v/>
      </c>
      <c r="AN83" t="str">
        <f t="shared" si="80"/>
        <v/>
      </c>
      <c r="AO83" t="str">
        <f t="shared" si="54"/>
        <v/>
      </c>
      <c r="AP83" t="str">
        <f t="shared" si="55"/>
        <v/>
      </c>
      <c r="AQ83" t="str">
        <f t="shared" si="56"/>
        <v/>
      </c>
      <c r="AR83" t="str">
        <f t="shared" si="57"/>
        <v/>
      </c>
      <c r="AS83" t="str">
        <f t="shared" si="58"/>
        <v/>
      </c>
      <c r="AT83" t="str">
        <f t="shared" si="59"/>
        <v/>
      </c>
      <c r="AU83" t="str">
        <f t="shared" si="60"/>
        <v/>
      </c>
      <c r="AV83" t="str">
        <f t="shared" si="81"/>
        <v/>
      </c>
      <c r="AW83" t="str">
        <f t="shared" si="82"/>
        <v/>
      </c>
      <c r="AY83" t="str">
        <f t="shared" si="61"/>
        <v/>
      </c>
      <c r="AZ83" t="str">
        <f t="shared" si="62"/>
        <v/>
      </c>
      <c r="BA83" t="str">
        <f t="shared" si="63"/>
        <v/>
      </c>
      <c r="BB83" t="str">
        <f t="shared" si="83"/>
        <v/>
      </c>
      <c r="BC83" t="str">
        <f t="shared" si="64"/>
        <v/>
      </c>
      <c r="BE83">
        <f t="shared" si="65"/>
        <v>24</v>
      </c>
      <c r="BF83">
        <f t="shared" si="66"/>
        <v>1</v>
      </c>
      <c r="BG83" t="str">
        <f t="shared" si="67"/>
        <v/>
      </c>
      <c r="BH83" t="str">
        <f t="shared" si="84"/>
        <v/>
      </c>
    </row>
    <row r="84" spans="4:60" x14ac:dyDescent="0.55000000000000004">
      <c r="D84">
        <v>74</v>
      </c>
      <c r="E84" t="str">
        <f t="shared" si="52"/>
        <v/>
      </c>
      <c r="F84" t="str">
        <f t="shared" si="68"/>
        <v/>
      </c>
      <c r="G84" t="str">
        <f t="shared" si="53"/>
        <v/>
      </c>
      <c r="Z84" t="str">
        <f t="shared" si="69"/>
        <v/>
      </c>
      <c r="AA84" t="str">
        <f t="shared" si="70"/>
        <v/>
      </c>
      <c r="AB84" t="str">
        <f t="shared" si="70"/>
        <v/>
      </c>
      <c r="AC84" t="str">
        <f t="shared" si="70"/>
        <v/>
      </c>
      <c r="AD84" t="str">
        <f t="shared" si="71"/>
        <v/>
      </c>
      <c r="AE84" t="str">
        <f t="shared" si="72"/>
        <v/>
      </c>
      <c r="AF84" t="str">
        <f t="shared" si="73"/>
        <v/>
      </c>
      <c r="AG84" t="str">
        <f t="shared" si="74"/>
        <v/>
      </c>
      <c r="AH84" t="str">
        <f t="shared" si="75"/>
        <v/>
      </c>
      <c r="AI84" t="str">
        <f t="shared" si="76"/>
        <v/>
      </c>
      <c r="AJ84" t="str">
        <f t="shared" si="77"/>
        <v/>
      </c>
      <c r="AK84" t="str">
        <f t="shared" si="78"/>
        <v/>
      </c>
      <c r="AM84" t="str">
        <f t="shared" si="79"/>
        <v/>
      </c>
      <c r="AN84" t="str">
        <f t="shared" si="80"/>
        <v/>
      </c>
      <c r="AO84" t="str">
        <f t="shared" si="54"/>
        <v/>
      </c>
      <c r="AP84" t="str">
        <f t="shared" si="55"/>
        <v/>
      </c>
      <c r="AQ84" t="str">
        <f t="shared" si="56"/>
        <v/>
      </c>
      <c r="AR84" t="str">
        <f t="shared" si="57"/>
        <v/>
      </c>
      <c r="AS84" t="str">
        <f t="shared" si="58"/>
        <v/>
      </c>
      <c r="AT84" t="str">
        <f t="shared" si="59"/>
        <v/>
      </c>
      <c r="AU84" t="str">
        <f t="shared" si="60"/>
        <v/>
      </c>
      <c r="AV84" t="str">
        <f t="shared" si="81"/>
        <v/>
      </c>
      <c r="AW84" t="str">
        <f t="shared" si="82"/>
        <v/>
      </c>
      <c r="AY84" t="str">
        <f t="shared" si="61"/>
        <v/>
      </c>
      <c r="AZ84" t="str">
        <f t="shared" si="62"/>
        <v/>
      </c>
      <c r="BA84" t="str">
        <f t="shared" si="63"/>
        <v/>
      </c>
      <c r="BB84" t="str">
        <f t="shared" si="83"/>
        <v/>
      </c>
      <c r="BC84" t="str">
        <f t="shared" si="64"/>
        <v/>
      </c>
      <c r="BE84">
        <f t="shared" si="65"/>
        <v>24</v>
      </c>
      <c r="BF84">
        <f t="shared" si="66"/>
        <v>2</v>
      </c>
      <c r="BG84" t="str">
        <f t="shared" si="67"/>
        <v/>
      </c>
      <c r="BH84" t="str">
        <f t="shared" si="84"/>
        <v/>
      </c>
    </row>
    <row r="85" spans="4:60" x14ac:dyDescent="0.55000000000000004">
      <c r="D85">
        <v>75</v>
      </c>
      <c r="E85" t="str">
        <f t="shared" si="52"/>
        <v/>
      </c>
      <c r="F85" t="str">
        <f t="shared" si="68"/>
        <v/>
      </c>
      <c r="G85" t="str">
        <f t="shared" si="53"/>
        <v/>
      </c>
      <c r="Z85" t="str">
        <f t="shared" si="69"/>
        <v/>
      </c>
      <c r="AA85" t="str">
        <f t="shared" si="70"/>
        <v/>
      </c>
      <c r="AB85" t="str">
        <f t="shared" si="70"/>
        <v/>
      </c>
      <c r="AC85" t="str">
        <f t="shared" si="70"/>
        <v/>
      </c>
      <c r="AD85" t="str">
        <f t="shared" si="71"/>
        <v/>
      </c>
      <c r="AE85" t="str">
        <f t="shared" si="72"/>
        <v/>
      </c>
      <c r="AF85" t="str">
        <f t="shared" si="73"/>
        <v/>
      </c>
      <c r="AG85" t="str">
        <f t="shared" si="74"/>
        <v/>
      </c>
      <c r="AH85" t="str">
        <f t="shared" si="75"/>
        <v/>
      </c>
      <c r="AI85" t="str">
        <f t="shared" si="76"/>
        <v/>
      </c>
      <c r="AJ85" t="str">
        <f t="shared" si="77"/>
        <v/>
      </c>
      <c r="AK85" t="str">
        <f t="shared" si="78"/>
        <v/>
      </c>
      <c r="AM85" t="str">
        <f t="shared" si="79"/>
        <v/>
      </c>
      <c r="AN85" t="str">
        <f t="shared" si="80"/>
        <v/>
      </c>
      <c r="AO85" t="str">
        <f t="shared" si="54"/>
        <v/>
      </c>
      <c r="AP85" t="str">
        <f t="shared" si="55"/>
        <v/>
      </c>
      <c r="AQ85" t="str">
        <f t="shared" si="56"/>
        <v/>
      </c>
      <c r="AR85" t="str">
        <f t="shared" si="57"/>
        <v/>
      </c>
      <c r="AS85" t="str">
        <f t="shared" si="58"/>
        <v/>
      </c>
      <c r="AT85" t="str">
        <f t="shared" si="59"/>
        <v/>
      </c>
      <c r="AU85" t="str">
        <f t="shared" si="60"/>
        <v/>
      </c>
      <c r="AV85" t="str">
        <f t="shared" si="81"/>
        <v/>
      </c>
      <c r="AW85" t="str">
        <f t="shared" si="82"/>
        <v/>
      </c>
      <c r="AY85" t="str">
        <f t="shared" si="61"/>
        <v/>
      </c>
      <c r="AZ85" t="str">
        <f t="shared" si="62"/>
        <v/>
      </c>
      <c r="BA85" t="str">
        <f t="shared" si="63"/>
        <v/>
      </c>
      <c r="BB85" t="str">
        <f t="shared" si="83"/>
        <v/>
      </c>
      <c r="BC85" t="str">
        <f t="shared" si="64"/>
        <v/>
      </c>
      <c r="BE85">
        <f t="shared" si="65"/>
        <v>25</v>
      </c>
      <c r="BF85">
        <f t="shared" si="66"/>
        <v>0</v>
      </c>
      <c r="BG85" t="str">
        <f t="shared" si="67"/>
        <v/>
      </c>
      <c r="BH85" t="str">
        <f t="shared" si="84"/>
        <v/>
      </c>
    </row>
    <row r="86" spans="4:60" x14ac:dyDescent="0.55000000000000004">
      <c r="D86">
        <v>76</v>
      </c>
      <c r="E86" t="str">
        <f t="shared" si="52"/>
        <v/>
      </c>
      <c r="F86" t="str">
        <f t="shared" si="68"/>
        <v/>
      </c>
      <c r="G86" t="str">
        <f t="shared" si="53"/>
        <v/>
      </c>
      <c r="Z86" t="str">
        <f t="shared" si="69"/>
        <v/>
      </c>
      <c r="AA86" t="str">
        <f t="shared" si="70"/>
        <v/>
      </c>
      <c r="AB86" t="str">
        <f t="shared" si="70"/>
        <v/>
      </c>
      <c r="AC86" t="str">
        <f t="shared" si="70"/>
        <v/>
      </c>
      <c r="AD86" t="str">
        <f t="shared" si="71"/>
        <v/>
      </c>
      <c r="AE86" t="str">
        <f t="shared" si="72"/>
        <v/>
      </c>
      <c r="AF86" t="str">
        <f t="shared" si="73"/>
        <v/>
      </c>
      <c r="AG86" t="str">
        <f t="shared" si="74"/>
        <v/>
      </c>
      <c r="AH86" t="str">
        <f t="shared" si="75"/>
        <v/>
      </c>
      <c r="AI86" t="str">
        <f t="shared" si="76"/>
        <v/>
      </c>
      <c r="AJ86" t="str">
        <f t="shared" si="77"/>
        <v/>
      </c>
      <c r="AK86" t="str">
        <f t="shared" si="78"/>
        <v/>
      </c>
      <c r="AM86" t="str">
        <f t="shared" si="79"/>
        <v/>
      </c>
      <c r="AN86" t="str">
        <f t="shared" si="80"/>
        <v/>
      </c>
      <c r="AO86" t="str">
        <f t="shared" si="54"/>
        <v/>
      </c>
      <c r="AP86" t="str">
        <f t="shared" si="55"/>
        <v/>
      </c>
      <c r="AQ86" t="str">
        <f t="shared" si="56"/>
        <v/>
      </c>
      <c r="AR86" t="str">
        <f t="shared" si="57"/>
        <v/>
      </c>
      <c r="AS86" t="str">
        <f t="shared" si="58"/>
        <v/>
      </c>
      <c r="AT86" t="str">
        <f t="shared" si="59"/>
        <v/>
      </c>
      <c r="AU86" t="str">
        <f t="shared" si="60"/>
        <v/>
      </c>
      <c r="AV86" t="str">
        <f t="shared" si="81"/>
        <v/>
      </c>
      <c r="AW86" t="str">
        <f t="shared" si="82"/>
        <v/>
      </c>
      <c r="AY86" t="str">
        <f t="shared" si="61"/>
        <v/>
      </c>
      <c r="AZ86" t="str">
        <f t="shared" si="62"/>
        <v/>
      </c>
      <c r="BA86" t="str">
        <f t="shared" si="63"/>
        <v/>
      </c>
      <c r="BB86" t="str">
        <f t="shared" si="83"/>
        <v/>
      </c>
      <c r="BC86" t="str">
        <f t="shared" si="64"/>
        <v/>
      </c>
      <c r="BE86">
        <f t="shared" si="65"/>
        <v>25</v>
      </c>
      <c r="BF86">
        <f t="shared" si="66"/>
        <v>1</v>
      </c>
      <c r="BG86" t="str">
        <f t="shared" si="67"/>
        <v/>
      </c>
      <c r="BH86" t="str">
        <f t="shared" si="84"/>
        <v/>
      </c>
    </row>
    <row r="87" spans="4:60" x14ac:dyDescent="0.55000000000000004">
      <c r="D87">
        <v>77</v>
      </c>
      <c r="E87" t="str">
        <f t="shared" si="52"/>
        <v/>
      </c>
      <c r="F87" t="str">
        <f t="shared" si="68"/>
        <v/>
      </c>
      <c r="G87" t="str">
        <f t="shared" si="53"/>
        <v/>
      </c>
      <c r="Z87" t="str">
        <f t="shared" si="69"/>
        <v/>
      </c>
      <c r="AA87" t="str">
        <f t="shared" si="70"/>
        <v/>
      </c>
      <c r="AB87" t="str">
        <f t="shared" si="70"/>
        <v/>
      </c>
      <c r="AC87" t="str">
        <f t="shared" si="70"/>
        <v/>
      </c>
      <c r="AD87" t="str">
        <f t="shared" si="71"/>
        <v/>
      </c>
      <c r="AE87" t="str">
        <f t="shared" si="72"/>
        <v/>
      </c>
      <c r="AF87" t="str">
        <f t="shared" si="73"/>
        <v/>
      </c>
      <c r="AG87" t="str">
        <f t="shared" si="74"/>
        <v/>
      </c>
      <c r="AH87" t="str">
        <f t="shared" si="75"/>
        <v/>
      </c>
      <c r="AI87" t="str">
        <f t="shared" si="76"/>
        <v/>
      </c>
      <c r="AJ87" t="str">
        <f t="shared" si="77"/>
        <v/>
      </c>
      <c r="AK87" t="str">
        <f t="shared" si="78"/>
        <v/>
      </c>
      <c r="AM87" t="str">
        <f t="shared" si="79"/>
        <v/>
      </c>
      <c r="AN87" t="str">
        <f t="shared" si="80"/>
        <v/>
      </c>
      <c r="AO87" t="str">
        <f t="shared" si="54"/>
        <v/>
      </c>
      <c r="AP87" t="str">
        <f t="shared" si="55"/>
        <v/>
      </c>
      <c r="AQ87" t="str">
        <f t="shared" si="56"/>
        <v/>
      </c>
      <c r="AR87" t="str">
        <f t="shared" si="57"/>
        <v/>
      </c>
      <c r="AS87" t="str">
        <f t="shared" si="58"/>
        <v/>
      </c>
      <c r="AT87" t="str">
        <f t="shared" si="59"/>
        <v/>
      </c>
      <c r="AU87" t="str">
        <f t="shared" si="60"/>
        <v/>
      </c>
      <c r="AV87" t="str">
        <f t="shared" si="81"/>
        <v/>
      </c>
      <c r="AW87" t="str">
        <f t="shared" si="82"/>
        <v/>
      </c>
      <c r="AY87" t="str">
        <f t="shared" si="61"/>
        <v/>
      </c>
      <c r="AZ87" t="str">
        <f t="shared" si="62"/>
        <v/>
      </c>
      <c r="BA87" t="str">
        <f t="shared" si="63"/>
        <v/>
      </c>
      <c r="BB87" t="str">
        <f t="shared" si="83"/>
        <v/>
      </c>
      <c r="BC87" t="str">
        <f t="shared" si="64"/>
        <v/>
      </c>
      <c r="BE87">
        <f t="shared" si="65"/>
        <v>25</v>
      </c>
      <c r="BF87">
        <f t="shared" si="66"/>
        <v>2</v>
      </c>
      <c r="BG87" t="str">
        <f t="shared" si="67"/>
        <v/>
      </c>
      <c r="BH87" t="str">
        <f t="shared" si="84"/>
        <v/>
      </c>
    </row>
    <row r="88" spans="4:60" x14ac:dyDescent="0.55000000000000004">
      <c r="D88">
        <v>78</v>
      </c>
      <c r="E88" t="str">
        <f t="shared" si="52"/>
        <v/>
      </c>
      <c r="F88" t="str">
        <f t="shared" si="68"/>
        <v/>
      </c>
      <c r="G88" t="str">
        <f t="shared" si="53"/>
        <v/>
      </c>
      <c r="Z88" t="str">
        <f t="shared" si="69"/>
        <v/>
      </c>
      <c r="AA88" t="str">
        <f t="shared" si="70"/>
        <v/>
      </c>
      <c r="AB88" t="str">
        <f t="shared" si="70"/>
        <v/>
      </c>
      <c r="AC88" t="str">
        <f t="shared" si="70"/>
        <v/>
      </c>
      <c r="AD88" t="str">
        <f t="shared" si="71"/>
        <v/>
      </c>
      <c r="AE88" t="str">
        <f t="shared" si="72"/>
        <v/>
      </c>
      <c r="AF88" t="str">
        <f t="shared" si="73"/>
        <v/>
      </c>
      <c r="AG88" t="str">
        <f t="shared" si="74"/>
        <v/>
      </c>
      <c r="AH88" t="str">
        <f t="shared" si="75"/>
        <v/>
      </c>
      <c r="AI88" t="str">
        <f t="shared" si="76"/>
        <v/>
      </c>
      <c r="AJ88" t="str">
        <f t="shared" si="77"/>
        <v/>
      </c>
      <c r="AK88" t="str">
        <f t="shared" si="78"/>
        <v/>
      </c>
      <c r="AM88" t="str">
        <f t="shared" si="79"/>
        <v/>
      </c>
      <c r="AN88" t="str">
        <f t="shared" si="80"/>
        <v/>
      </c>
      <c r="AO88" t="str">
        <f t="shared" si="54"/>
        <v/>
      </c>
      <c r="AP88" t="str">
        <f t="shared" si="55"/>
        <v/>
      </c>
      <c r="AQ88" t="str">
        <f t="shared" si="56"/>
        <v/>
      </c>
      <c r="AR88" t="str">
        <f t="shared" si="57"/>
        <v/>
      </c>
      <c r="AS88" t="str">
        <f t="shared" si="58"/>
        <v/>
      </c>
      <c r="AT88" t="str">
        <f t="shared" si="59"/>
        <v/>
      </c>
      <c r="AU88" t="str">
        <f t="shared" si="60"/>
        <v/>
      </c>
      <c r="AV88" t="str">
        <f t="shared" si="81"/>
        <v/>
      </c>
      <c r="AW88" t="str">
        <f t="shared" si="82"/>
        <v/>
      </c>
      <c r="AY88" t="str">
        <f t="shared" si="61"/>
        <v/>
      </c>
      <c r="AZ88" t="str">
        <f t="shared" si="62"/>
        <v/>
      </c>
      <c r="BA88" t="str">
        <f t="shared" si="63"/>
        <v/>
      </c>
      <c r="BB88" t="str">
        <f t="shared" si="83"/>
        <v/>
      </c>
      <c r="BC88" t="str">
        <f t="shared" si="64"/>
        <v/>
      </c>
      <c r="BE88">
        <f t="shared" si="65"/>
        <v>26</v>
      </c>
      <c r="BF88">
        <f t="shared" si="66"/>
        <v>0</v>
      </c>
      <c r="BG88" t="str">
        <f t="shared" si="67"/>
        <v/>
      </c>
      <c r="BH88" t="str">
        <f t="shared" si="84"/>
        <v/>
      </c>
    </row>
    <row r="89" spans="4:60" x14ac:dyDescent="0.55000000000000004">
      <c r="D89">
        <v>79</v>
      </c>
      <c r="E89" t="str">
        <f t="shared" si="52"/>
        <v/>
      </c>
      <c r="F89" t="str">
        <f t="shared" si="68"/>
        <v/>
      </c>
      <c r="G89" t="str">
        <f t="shared" si="53"/>
        <v/>
      </c>
      <c r="Z89" t="str">
        <f t="shared" si="69"/>
        <v/>
      </c>
      <c r="AA89" t="str">
        <f t="shared" si="70"/>
        <v/>
      </c>
      <c r="AB89" t="str">
        <f t="shared" si="70"/>
        <v/>
      </c>
      <c r="AC89" t="str">
        <f t="shared" si="70"/>
        <v/>
      </c>
      <c r="AD89" t="str">
        <f t="shared" si="71"/>
        <v/>
      </c>
      <c r="AE89" t="str">
        <f t="shared" si="72"/>
        <v/>
      </c>
      <c r="AF89" t="str">
        <f t="shared" si="73"/>
        <v/>
      </c>
      <c r="AG89" t="str">
        <f t="shared" si="74"/>
        <v/>
      </c>
      <c r="AH89" t="str">
        <f t="shared" si="75"/>
        <v/>
      </c>
      <c r="AI89" t="str">
        <f t="shared" si="76"/>
        <v/>
      </c>
      <c r="AJ89" t="str">
        <f t="shared" si="77"/>
        <v/>
      </c>
      <c r="AK89" t="str">
        <f t="shared" si="78"/>
        <v/>
      </c>
      <c r="AM89" t="str">
        <f t="shared" si="79"/>
        <v/>
      </c>
      <c r="AN89" t="str">
        <f t="shared" si="80"/>
        <v/>
      </c>
      <c r="AO89" t="str">
        <f t="shared" si="54"/>
        <v/>
      </c>
      <c r="AP89" t="str">
        <f t="shared" si="55"/>
        <v/>
      </c>
      <c r="AQ89" t="str">
        <f t="shared" si="56"/>
        <v/>
      </c>
      <c r="AR89" t="str">
        <f t="shared" si="57"/>
        <v/>
      </c>
      <c r="AS89" t="str">
        <f t="shared" si="58"/>
        <v/>
      </c>
      <c r="AT89" t="str">
        <f t="shared" si="59"/>
        <v/>
      </c>
      <c r="AU89" t="str">
        <f t="shared" si="60"/>
        <v/>
      </c>
      <c r="AV89" t="str">
        <f t="shared" si="81"/>
        <v/>
      </c>
      <c r="AW89" t="str">
        <f t="shared" si="82"/>
        <v/>
      </c>
      <c r="AY89" t="str">
        <f t="shared" si="61"/>
        <v/>
      </c>
      <c r="AZ89" t="str">
        <f t="shared" si="62"/>
        <v/>
      </c>
      <c r="BA89" t="str">
        <f t="shared" si="63"/>
        <v/>
      </c>
      <c r="BB89" t="str">
        <f t="shared" si="83"/>
        <v/>
      </c>
      <c r="BC89" t="str">
        <f t="shared" si="64"/>
        <v/>
      </c>
      <c r="BE89">
        <f t="shared" si="65"/>
        <v>26</v>
      </c>
      <c r="BF89">
        <f t="shared" si="66"/>
        <v>1</v>
      </c>
      <c r="BG89" t="str">
        <f t="shared" si="67"/>
        <v/>
      </c>
      <c r="BH89" t="str">
        <f t="shared" si="84"/>
        <v/>
      </c>
    </row>
    <row r="90" spans="4:60" x14ac:dyDescent="0.55000000000000004">
      <c r="D90">
        <v>80</v>
      </c>
      <c r="E90" t="str">
        <f t="shared" si="52"/>
        <v/>
      </c>
      <c r="F90" t="str">
        <f t="shared" si="68"/>
        <v/>
      </c>
      <c r="G90" t="str">
        <f t="shared" si="53"/>
        <v/>
      </c>
      <c r="Z90" t="str">
        <f t="shared" si="69"/>
        <v/>
      </c>
      <c r="AA90" t="str">
        <f t="shared" si="70"/>
        <v/>
      </c>
      <c r="AB90" t="str">
        <f t="shared" si="70"/>
        <v/>
      </c>
      <c r="AC90" t="str">
        <f t="shared" si="70"/>
        <v/>
      </c>
      <c r="AD90" t="str">
        <f t="shared" si="71"/>
        <v/>
      </c>
      <c r="AE90" t="str">
        <f t="shared" si="72"/>
        <v/>
      </c>
      <c r="AF90" t="str">
        <f t="shared" si="73"/>
        <v/>
      </c>
      <c r="AG90" t="str">
        <f t="shared" si="74"/>
        <v/>
      </c>
      <c r="AH90" t="str">
        <f t="shared" si="75"/>
        <v/>
      </c>
      <c r="AI90" t="str">
        <f t="shared" si="76"/>
        <v/>
      </c>
      <c r="AJ90" t="str">
        <f t="shared" si="77"/>
        <v/>
      </c>
      <c r="AK90" t="str">
        <f t="shared" si="78"/>
        <v/>
      </c>
      <c r="AM90" t="str">
        <f t="shared" si="79"/>
        <v/>
      </c>
      <c r="AN90" t="str">
        <f t="shared" si="80"/>
        <v/>
      </c>
      <c r="AO90" t="str">
        <f t="shared" si="54"/>
        <v/>
      </c>
      <c r="AP90" t="str">
        <f t="shared" si="55"/>
        <v/>
      </c>
      <c r="AQ90" t="str">
        <f t="shared" si="56"/>
        <v/>
      </c>
      <c r="AR90" t="str">
        <f t="shared" si="57"/>
        <v/>
      </c>
      <c r="AS90" t="str">
        <f t="shared" si="58"/>
        <v/>
      </c>
      <c r="AT90" t="str">
        <f t="shared" si="59"/>
        <v/>
      </c>
      <c r="AU90" t="str">
        <f t="shared" si="60"/>
        <v/>
      </c>
      <c r="AV90" t="str">
        <f t="shared" si="81"/>
        <v/>
      </c>
      <c r="AW90" t="str">
        <f t="shared" si="82"/>
        <v/>
      </c>
      <c r="AY90" t="str">
        <f t="shared" si="61"/>
        <v/>
      </c>
      <c r="AZ90" t="str">
        <f t="shared" si="62"/>
        <v/>
      </c>
      <c r="BA90" t="str">
        <f t="shared" si="63"/>
        <v/>
      </c>
      <c r="BB90" t="str">
        <f t="shared" si="83"/>
        <v/>
      </c>
      <c r="BC90" t="str">
        <f t="shared" si="64"/>
        <v/>
      </c>
      <c r="BE90">
        <f t="shared" si="65"/>
        <v>26</v>
      </c>
      <c r="BF90">
        <f t="shared" si="66"/>
        <v>2</v>
      </c>
      <c r="BG90" t="str">
        <f t="shared" si="67"/>
        <v/>
      </c>
      <c r="BH90" t="str">
        <f t="shared" si="84"/>
        <v/>
      </c>
    </row>
    <row r="91" spans="4:60" x14ac:dyDescent="0.55000000000000004">
      <c r="D91">
        <v>81</v>
      </c>
      <c r="E91" t="str">
        <f t="shared" si="52"/>
        <v/>
      </c>
      <c r="F91" t="str">
        <f t="shared" si="68"/>
        <v/>
      </c>
      <c r="G91" t="str">
        <f t="shared" si="53"/>
        <v/>
      </c>
      <c r="Z91" t="str">
        <f t="shared" si="69"/>
        <v/>
      </c>
      <c r="AA91" t="str">
        <f t="shared" si="70"/>
        <v/>
      </c>
      <c r="AB91" t="str">
        <f t="shared" si="70"/>
        <v/>
      </c>
      <c r="AC91" t="str">
        <f t="shared" si="70"/>
        <v/>
      </c>
      <c r="AD91" t="str">
        <f t="shared" si="71"/>
        <v/>
      </c>
      <c r="AE91" t="str">
        <f t="shared" si="72"/>
        <v/>
      </c>
      <c r="AF91" t="str">
        <f t="shared" si="73"/>
        <v/>
      </c>
      <c r="AG91" t="str">
        <f t="shared" si="74"/>
        <v/>
      </c>
      <c r="AH91" t="str">
        <f t="shared" si="75"/>
        <v/>
      </c>
      <c r="AI91" t="str">
        <f t="shared" si="76"/>
        <v/>
      </c>
      <c r="AJ91" t="str">
        <f t="shared" si="77"/>
        <v/>
      </c>
      <c r="AK91" t="str">
        <f t="shared" si="78"/>
        <v/>
      </c>
      <c r="AM91" t="str">
        <f t="shared" si="79"/>
        <v/>
      </c>
      <c r="AN91" t="str">
        <f t="shared" si="80"/>
        <v/>
      </c>
      <c r="AO91" t="str">
        <f t="shared" si="54"/>
        <v/>
      </c>
      <c r="AP91" t="str">
        <f t="shared" si="55"/>
        <v/>
      </c>
      <c r="AQ91" t="str">
        <f t="shared" si="56"/>
        <v/>
      </c>
      <c r="AR91" t="str">
        <f t="shared" si="57"/>
        <v/>
      </c>
      <c r="AS91" t="str">
        <f t="shared" si="58"/>
        <v/>
      </c>
      <c r="AT91" t="str">
        <f t="shared" si="59"/>
        <v/>
      </c>
      <c r="AU91" t="str">
        <f t="shared" si="60"/>
        <v/>
      </c>
      <c r="AV91" t="str">
        <f t="shared" si="81"/>
        <v/>
      </c>
      <c r="AW91" t="str">
        <f t="shared" si="82"/>
        <v/>
      </c>
      <c r="AY91" t="str">
        <f t="shared" si="61"/>
        <v/>
      </c>
      <c r="AZ91" t="str">
        <f t="shared" si="62"/>
        <v/>
      </c>
      <c r="BA91" t="str">
        <f t="shared" si="63"/>
        <v/>
      </c>
      <c r="BB91" t="str">
        <f t="shared" si="83"/>
        <v/>
      </c>
      <c r="BC91" t="str">
        <f t="shared" si="64"/>
        <v/>
      </c>
      <c r="BE91">
        <f t="shared" si="65"/>
        <v>27</v>
      </c>
      <c r="BF91">
        <f t="shared" si="66"/>
        <v>0</v>
      </c>
      <c r="BG91" t="str">
        <f t="shared" si="67"/>
        <v/>
      </c>
      <c r="BH91" t="str">
        <f t="shared" si="84"/>
        <v/>
      </c>
    </row>
    <row r="92" spans="4:60" x14ac:dyDescent="0.55000000000000004">
      <c r="D92">
        <v>82</v>
      </c>
      <c r="E92" t="str">
        <f t="shared" si="52"/>
        <v/>
      </c>
      <c r="F92" t="str">
        <f t="shared" si="68"/>
        <v/>
      </c>
      <c r="G92" t="str">
        <f t="shared" si="53"/>
        <v/>
      </c>
      <c r="Z92" t="str">
        <f t="shared" si="69"/>
        <v/>
      </c>
      <c r="AA92" t="str">
        <f t="shared" si="70"/>
        <v/>
      </c>
      <c r="AB92" t="str">
        <f t="shared" si="70"/>
        <v/>
      </c>
      <c r="AC92" t="str">
        <f t="shared" si="70"/>
        <v/>
      </c>
      <c r="AD92" t="str">
        <f t="shared" si="71"/>
        <v/>
      </c>
      <c r="AE92" t="str">
        <f t="shared" si="72"/>
        <v/>
      </c>
      <c r="AF92" t="str">
        <f t="shared" si="73"/>
        <v/>
      </c>
      <c r="AG92" t="str">
        <f t="shared" si="74"/>
        <v/>
      </c>
      <c r="AH92" t="str">
        <f t="shared" si="75"/>
        <v/>
      </c>
      <c r="AI92" t="str">
        <f t="shared" si="76"/>
        <v/>
      </c>
      <c r="AJ92" t="str">
        <f t="shared" si="77"/>
        <v/>
      </c>
      <c r="AK92" t="str">
        <f t="shared" si="78"/>
        <v/>
      </c>
      <c r="AM92" t="str">
        <f t="shared" si="79"/>
        <v/>
      </c>
      <c r="AN92" t="str">
        <f t="shared" si="80"/>
        <v/>
      </c>
      <c r="AO92" t="str">
        <f t="shared" si="54"/>
        <v/>
      </c>
      <c r="AP92" t="str">
        <f t="shared" si="55"/>
        <v/>
      </c>
      <c r="AQ92" t="str">
        <f t="shared" si="56"/>
        <v/>
      </c>
      <c r="AR92" t="str">
        <f t="shared" si="57"/>
        <v/>
      </c>
      <c r="AS92" t="str">
        <f t="shared" si="58"/>
        <v/>
      </c>
      <c r="AT92" t="str">
        <f t="shared" si="59"/>
        <v/>
      </c>
      <c r="AU92" t="str">
        <f t="shared" si="60"/>
        <v/>
      </c>
      <c r="AV92" t="str">
        <f t="shared" si="81"/>
        <v/>
      </c>
      <c r="AW92" t="str">
        <f t="shared" si="82"/>
        <v/>
      </c>
      <c r="AY92" t="str">
        <f t="shared" si="61"/>
        <v/>
      </c>
      <c r="AZ92" t="str">
        <f t="shared" si="62"/>
        <v/>
      </c>
      <c r="BA92" t="str">
        <f t="shared" si="63"/>
        <v/>
      </c>
      <c r="BB92" t="str">
        <f t="shared" si="83"/>
        <v/>
      </c>
      <c r="BC92" t="str">
        <f t="shared" si="64"/>
        <v/>
      </c>
      <c r="BE92">
        <f t="shared" si="65"/>
        <v>27</v>
      </c>
      <c r="BF92">
        <f t="shared" si="66"/>
        <v>1</v>
      </c>
      <c r="BG92" t="str">
        <f t="shared" si="67"/>
        <v/>
      </c>
      <c r="BH92" t="str">
        <f t="shared" si="84"/>
        <v/>
      </c>
    </row>
    <row r="93" spans="4:60" x14ac:dyDescent="0.55000000000000004">
      <c r="D93">
        <v>83</v>
      </c>
      <c r="E93" t="str">
        <f t="shared" si="52"/>
        <v/>
      </c>
      <c r="F93" t="str">
        <f t="shared" si="68"/>
        <v/>
      </c>
      <c r="G93" t="str">
        <f t="shared" si="53"/>
        <v/>
      </c>
      <c r="Z93" t="str">
        <f t="shared" si="69"/>
        <v/>
      </c>
      <c r="AA93" t="str">
        <f t="shared" si="70"/>
        <v/>
      </c>
      <c r="AB93" t="str">
        <f t="shared" si="70"/>
        <v/>
      </c>
      <c r="AC93" t="str">
        <f t="shared" si="70"/>
        <v/>
      </c>
      <c r="AD93" t="str">
        <f t="shared" si="71"/>
        <v/>
      </c>
      <c r="AE93" t="str">
        <f t="shared" si="72"/>
        <v/>
      </c>
      <c r="AF93" t="str">
        <f t="shared" si="73"/>
        <v/>
      </c>
      <c r="AG93" t="str">
        <f t="shared" si="74"/>
        <v/>
      </c>
      <c r="AH93" t="str">
        <f t="shared" si="75"/>
        <v/>
      </c>
      <c r="AI93" t="str">
        <f t="shared" si="76"/>
        <v/>
      </c>
      <c r="AJ93" t="str">
        <f t="shared" si="77"/>
        <v/>
      </c>
      <c r="AK93" t="str">
        <f t="shared" si="78"/>
        <v/>
      </c>
      <c r="AM93" t="str">
        <f t="shared" si="79"/>
        <v/>
      </c>
      <c r="AN93" t="str">
        <f t="shared" si="80"/>
        <v/>
      </c>
      <c r="AO93" t="str">
        <f t="shared" si="54"/>
        <v/>
      </c>
      <c r="AP93" t="str">
        <f t="shared" si="55"/>
        <v/>
      </c>
      <c r="AQ93" t="str">
        <f t="shared" si="56"/>
        <v/>
      </c>
      <c r="AR93" t="str">
        <f t="shared" si="57"/>
        <v/>
      </c>
      <c r="AS93" t="str">
        <f t="shared" si="58"/>
        <v/>
      </c>
      <c r="AT93" t="str">
        <f t="shared" si="59"/>
        <v/>
      </c>
      <c r="AU93" t="str">
        <f t="shared" si="60"/>
        <v/>
      </c>
      <c r="AV93" t="str">
        <f t="shared" si="81"/>
        <v/>
      </c>
      <c r="AW93" t="str">
        <f t="shared" si="82"/>
        <v/>
      </c>
      <c r="AY93" t="str">
        <f t="shared" si="61"/>
        <v/>
      </c>
      <c r="AZ93" t="str">
        <f t="shared" si="62"/>
        <v/>
      </c>
      <c r="BA93" t="str">
        <f t="shared" si="63"/>
        <v/>
      </c>
      <c r="BB93" t="str">
        <f t="shared" si="83"/>
        <v/>
      </c>
      <c r="BC93" t="str">
        <f t="shared" si="64"/>
        <v/>
      </c>
      <c r="BE93">
        <f t="shared" si="65"/>
        <v>27</v>
      </c>
      <c r="BF93">
        <f t="shared" si="66"/>
        <v>2</v>
      </c>
      <c r="BG93" t="str">
        <f t="shared" si="67"/>
        <v/>
      </c>
      <c r="BH93" t="str">
        <f t="shared" si="84"/>
        <v/>
      </c>
    </row>
    <row r="94" spans="4:60" x14ac:dyDescent="0.55000000000000004">
      <c r="D94">
        <v>84</v>
      </c>
      <c r="E94" t="str">
        <f t="shared" si="52"/>
        <v/>
      </c>
      <c r="F94" t="str">
        <f t="shared" si="68"/>
        <v/>
      </c>
      <c r="G94" t="str">
        <f t="shared" si="53"/>
        <v/>
      </c>
      <c r="Z94" t="str">
        <f t="shared" si="69"/>
        <v/>
      </c>
      <c r="AA94" t="str">
        <f t="shared" si="70"/>
        <v/>
      </c>
      <c r="AB94" t="str">
        <f t="shared" si="70"/>
        <v/>
      </c>
      <c r="AC94" t="str">
        <f t="shared" si="70"/>
        <v/>
      </c>
      <c r="AD94" t="str">
        <f t="shared" si="71"/>
        <v/>
      </c>
      <c r="AE94" t="str">
        <f t="shared" si="72"/>
        <v/>
      </c>
      <c r="AF94" t="str">
        <f t="shared" si="73"/>
        <v/>
      </c>
      <c r="AG94" t="str">
        <f t="shared" si="74"/>
        <v/>
      </c>
      <c r="AH94" t="str">
        <f t="shared" si="75"/>
        <v/>
      </c>
      <c r="AI94" t="str">
        <f t="shared" si="76"/>
        <v/>
      </c>
      <c r="AJ94" t="str">
        <f t="shared" si="77"/>
        <v/>
      </c>
      <c r="AK94" t="str">
        <f t="shared" si="78"/>
        <v/>
      </c>
      <c r="AM94" t="str">
        <f t="shared" si="79"/>
        <v/>
      </c>
      <c r="AN94" t="str">
        <f t="shared" si="80"/>
        <v/>
      </c>
      <c r="AO94" t="str">
        <f t="shared" si="54"/>
        <v/>
      </c>
      <c r="AP94" t="str">
        <f t="shared" si="55"/>
        <v/>
      </c>
      <c r="AQ94" t="str">
        <f t="shared" si="56"/>
        <v/>
      </c>
      <c r="AR94" t="str">
        <f t="shared" si="57"/>
        <v/>
      </c>
      <c r="AS94" t="str">
        <f t="shared" si="58"/>
        <v/>
      </c>
      <c r="AT94" t="str">
        <f t="shared" si="59"/>
        <v/>
      </c>
      <c r="AU94" t="str">
        <f t="shared" si="60"/>
        <v/>
      </c>
      <c r="AV94" t="str">
        <f t="shared" si="81"/>
        <v/>
      </c>
      <c r="AW94" t="str">
        <f t="shared" si="82"/>
        <v/>
      </c>
      <c r="AY94" t="str">
        <f t="shared" si="61"/>
        <v/>
      </c>
      <c r="AZ94" t="str">
        <f t="shared" si="62"/>
        <v/>
      </c>
      <c r="BA94" t="str">
        <f t="shared" si="63"/>
        <v/>
      </c>
      <c r="BB94" t="str">
        <f t="shared" si="83"/>
        <v/>
      </c>
      <c r="BC94" t="str">
        <f t="shared" si="64"/>
        <v/>
      </c>
      <c r="BE94">
        <f t="shared" si="65"/>
        <v>28</v>
      </c>
      <c r="BF94">
        <f t="shared" si="66"/>
        <v>0</v>
      </c>
      <c r="BG94" t="str">
        <f t="shared" si="67"/>
        <v/>
      </c>
      <c r="BH94" t="str">
        <f t="shared" si="84"/>
        <v/>
      </c>
    </row>
    <row r="95" spans="4:60" x14ac:dyDescent="0.55000000000000004">
      <c r="D95">
        <v>85</v>
      </c>
      <c r="E95" t="str">
        <f t="shared" si="52"/>
        <v/>
      </c>
      <c r="F95" t="str">
        <f t="shared" si="68"/>
        <v/>
      </c>
      <c r="G95" t="str">
        <f t="shared" si="53"/>
        <v/>
      </c>
      <c r="Z95" t="str">
        <f t="shared" si="69"/>
        <v/>
      </c>
      <c r="AA95" t="str">
        <f t="shared" si="70"/>
        <v/>
      </c>
      <c r="AB95" t="str">
        <f t="shared" si="70"/>
        <v/>
      </c>
      <c r="AC95" t="str">
        <f t="shared" si="70"/>
        <v/>
      </c>
      <c r="AD95" t="str">
        <f t="shared" si="71"/>
        <v/>
      </c>
      <c r="AE95" t="str">
        <f t="shared" si="72"/>
        <v/>
      </c>
      <c r="AF95" t="str">
        <f t="shared" si="73"/>
        <v/>
      </c>
      <c r="AG95" t="str">
        <f t="shared" si="74"/>
        <v/>
      </c>
      <c r="AH95" t="str">
        <f t="shared" si="75"/>
        <v/>
      </c>
      <c r="AI95" t="str">
        <f t="shared" si="76"/>
        <v/>
      </c>
      <c r="AJ95" t="str">
        <f t="shared" si="77"/>
        <v/>
      </c>
      <c r="AK95" t="str">
        <f t="shared" si="78"/>
        <v/>
      </c>
      <c r="AM95" t="str">
        <f t="shared" si="79"/>
        <v/>
      </c>
      <c r="AN95" t="str">
        <f t="shared" si="80"/>
        <v/>
      </c>
      <c r="AO95" t="str">
        <f t="shared" si="54"/>
        <v/>
      </c>
      <c r="AP95" t="str">
        <f t="shared" si="55"/>
        <v/>
      </c>
      <c r="AQ95" t="str">
        <f t="shared" si="56"/>
        <v/>
      </c>
      <c r="AR95" t="str">
        <f t="shared" si="57"/>
        <v/>
      </c>
      <c r="AS95" t="str">
        <f t="shared" si="58"/>
        <v/>
      </c>
      <c r="AT95" t="str">
        <f t="shared" si="59"/>
        <v/>
      </c>
      <c r="AU95" t="str">
        <f t="shared" si="60"/>
        <v/>
      </c>
      <c r="AV95" t="str">
        <f t="shared" si="81"/>
        <v/>
      </c>
      <c r="AW95" t="str">
        <f t="shared" si="82"/>
        <v/>
      </c>
      <c r="AY95" t="str">
        <f t="shared" si="61"/>
        <v/>
      </c>
      <c r="AZ95" t="str">
        <f t="shared" si="62"/>
        <v/>
      </c>
      <c r="BA95" t="str">
        <f t="shared" si="63"/>
        <v/>
      </c>
      <c r="BB95" t="str">
        <f t="shared" si="83"/>
        <v/>
      </c>
      <c r="BC95" t="str">
        <f t="shared" si="64"/>
        <v/>
      </c>
      <c r="BE95">
        <f t="shared" si="65"/>
        <v>28</v>
      </c>
      <c r="BF95">
        <f t="shared" si="66"/>
        <v>1</v>
      </c>
      <c r="BG95" t="str">
        <f t="shared" si="67"/>
        <v/>
      </c>
      <c r="BH95" t="str">
        <f t="shared" si="84"/>
        <v/>
      </c>
    </row>
    <row r="96" spans="4:60" x14ac:dyDescent="0.55000000000000004">
      <c r="D96">
        <v>86</v>
      </c>
      <c r="E96" t="str">
        <f t="shared" si="52"/>
        <v/>
      </c>
      <c r="F96" t="str">
        <f t="shared" si="68"/>
        <v/>
      </c>
      <c r="G96" t="str">
        <f t="shared" si="53"/>
        <v/>
      </c>
      <c r="Z96" t="str">
        <f t="shared" si="69"/>
        <v/>
      </c>
      <c r="AA96" t="str">
        <f t="shared" si="70"/>
        <v/>
      </c>
      <c r="AB96" t="str">
        <f t="shared" si="70"/>
        <v/>
      </c>
      <c r="AC96" t="str">
        <f t="shared" si="70"/>
        <v/>
      </c>
      <c r="AD96" t="str">
        <f t="shared" si="71"/>
        <v/>
      </c>
      <c r="AE96" t="str">
        <f t="shared" si="72"/>
        <v/>
      </c>
      <c r="AF96" t="str">
        <f t="shared" si="73"/>
        <v/>
      </c>
      <c r="AG96" t="str">
        <f t="shared" si="74"/>
        <v/>
      </c>
      <c r="AH96" t="str">
        <f t="shared" si="75"/>
        <v/>
      </c>
      <c r="AI96" t="str">
        <f t="shared" si="76"/>
        <v/>
      </c>
      <c r="AJ96" t="str">
        <f t="shared" si="77"/>
        <v/>
      </c>
      <c r="AK96" t="str">
        <f t="shared" si="78"/>
        <v/>
      </c>
      <c r="AM96" t="str">
        <f t="shared" si="79"/>
        <v/>
      </c>
      <c r="AN96" t="str">
        <f t="shared" si="80"/>
        <v/>
      </c>
      <c r="AO96" t="str">
        <f t="shared" si="54"/>
        <v/>
      </c>
      <c r="AP96" t="str">
        <f t="shared" si="55"/>
        <v/>
      </c>
      <c r="AQ96" t="str">
        <f t="shared" si="56"/>
        <v/>
      </c>
      <c r="AR96" t="str">
        <f t="shared" si="57"/>
        <v/>
      </c>
      <c r="AS96" t="str">
        <f t="shared" si="58"/>
        <v/>
      </c>
      <c r="AT96" t="str">
        <f t="shared" si="59"/>
        <v/>
      </c>
      <c r="AU96" t="str">
        <f t="shared" si="60"/>
        <v/>
      </c>
      <c r="AV96" t="str">
        <f t="shared" si="81"/>
        <v/>
      </c>
      <c r="AW96" t="str">
        <f t="shared" si="82"/>
        <v/>
      </c>
      <c r="AY96" t="str">
        <f t="shared" si="61"/>
        <v/>
      </c>
      <c r="AZ96" t="str">
        <f t="shared" si="62"/>
        <v/>
      </c>
      <c r="BA96" t="str">
        <f t="shared" si="63"/>
        <v/>
      </c>
      <c r="BB96" t="str">
        <f t="shared" si="83"/>
        <v/>
      </c>
      <c r="BC96" t="str">
        <f t="shared" si="64"/>
        <v/>
      </c>
      <c r="BE96">
        <f t="shared" si="65"/>
        <v>28</v>
      </c>
      <c r="BF96">
        <f t="shared" si="66"/>
        <v>2</v>
      </c>
      <c r="BG96" t="str">
        <f t="shared" si="67"/>
        <v/>
      </c>
      <c r="BH96" t="str">
        <f t="shared" si="84"/>
        <v/>
      </c>
    </row>
    <row r="97" spans="4:60" x14ac:dyDescent="0.55000000000000004">
      <c r="D97">
        <v>87</v>
      </c>
      <c r="E97" t="str">
        <f t="shared" si="52"/>
        <v/>
      </c>
      <c r="F97" t="str">
        <f t="shared" si="68"/>
        <v/>
      </c>
      <c r="G97" t="str">
        <f t="shared" si="53"/>
        <v/>
      </c>
      <c r="Z97" t="str">
        <f t="shared" si="69"/>
        <v/>
      </c>
      <c r="AA97" t="str">
        <f t="shared" si="70"/>
        <v/>
      </c>
      <c r="AB97" t="str">
        <f t="shared" si="70"/>
        <v/>
      </c>
      <c r="AC97" t="str">
        <f t="shared" si="70"/>
        <v/>
      </c>
      <c r="AD97" t="str">
        <f t="shared" si="71"/>
        <v/>
      </c>
      <c r="AE97" t="str">
        <f t="shared" si="72"/>
        <v/>
      </c>
      <c r="AF97" t="str">
        <f t="shared" si="73"/>
        <v/>
      </c>
      <c r="AG97" t="str">
        <f t="shared" si="74"/>
        <v/>
      </c>
      <c r="AH97" t="str">
        <f t="shared" si="75"/>
        <v/>
      </c>
      <c r="AI97" t="str">
        <f t="shared" si="76"/>
        <v/>
      </c>
      <c r="AJ97" t="str">
        <f t="shared" si="77"/>
        <v/>
      </c>
      <c r="AK97" t="str">
        <f t="shared" si="78"/>
        <v/>
      </c>
      <c r="AM97" t="str">
        <f t="shared" si="79"/>
        <v/>
      </c>
      <c r="AN97" t="str">
        <f t="shared" si="80"/>
        <v/>
      </c>
      <c r="AO97" t="str">
        <f t="shared" si="54"/>
        <v/>
      </c>
      <c r="AP97" t="str">
        <f t="shared" si="55"/>
        <v/>
      </c>
      <c r="AQ97" t="str">
        <f t="shared" si="56"/>
        <v/>
      </c>
      <c r="AR97" t="str">
        <f t="shared" si="57"/>
        <v/>
      </c>
      <c r="AS97" t="str">
        <f t="shared" si="58"/>
        <v/>
      </c>
      <c r="AT97" t="str">
        <f t="shared" si="59"/>
        <v/>
      </c>
      <c r="AU97" t="str">
        <f t="shared" si="60"/>
        <v/>
      </c>
      <c r="AV97" t="str">
        <f t="shared" si="81"/>
        <v/>
      </c>
      <c r="AW97" t="str">
        <f t="shared" si="82"/>
        <v/>
      </c>
      <c r="AY97" t="str">
        <f t="shared" si="61"/>
        <v/>
      </c>
      <c r="AZ97" t="str">
        <f t="shared" si="62"/>
        <v/>
      </c>
      <c r="BA97" t="str">
        <f t="shared" si="63"/>
        <v/>
      </c>
      <c r="BB97" t="str">
        <f t="shared" si="83"/>
        <v/>
      </c>
      <c r="BC97" t="str">
        <f t="shared" si="64"/>
        <v/>
      </c>
      <c r="BE97">
        <f t="shared" si="65"/>
        <v>29</v>
      </c>
      <c r="BF97">
        <f t="shared" si="66"/>
        <v>0</v>
      </c>
      <c r="BG97" t="str">
        <f t="shared" si="67"/>
        <v/>
      </c>
      <c r="BH97" t="str">
        <f t="shared" si="84"/>
        <v/>
      </c>
    </row>
    <row r="98" spans="4:60" x14ac:dyDescent="0.55000000000000004">
      <c r="D98">
        <v>88</v>
      </c>
      <c r="E98" t="str">
        <f t="shared" si="52"/>
        <v/>
      </c>
      <c r="F98" t="str">
        <f t="shared" si="68"/>
        <v/>
      </c>
      <c r="G98" t="str">
        <f t="shared" si="53"/>
        <v/>
      </c>
      <c r="Z98" t="str">
        <f t="shared" si="69"/>
        <v/>
      </c>
      <c r="AA98" t="str">
        <f t="shared" si="70"/>
        <v/>
      </c>
      <c r="AB98" t="str">
        <f t="shared" si="70"/>
        <v/>
      </c>
      <c r="AC98" t="str">
        <f t="shared" si="70"/>
        <v/>
      </c>
      <c r="AD98" t="str">
        <f t="shared" si="71"/>
        <v/>
      </c>
      <c r="AE98" t="str">
        <f t="shared" si="72"/>
        <v/>
      </c>
      <c r="AF98" t="str">
        <f t="shared" si="73"/>
        <v/>
      </c>
      <c r="AG98" t="str">
        <f t="shared" si="74"/>
        <v/>
      </c>
      <c r="AH98" t="str">
        <f t="shared" si="75"/>
        <v/>
      </c>
      <c r="AI98" t="str">
        <f t="shared" si="76"/>
        <v/>
      </c>
      <c r="AJ98" t="str">
        <f t="shared" si="77"/>
        <v/>
      </c>
      <c r="AK98" t="str">
        <f t="shared" si="78"/>
        <v/>
      </c>
      <c r="AM98" t="str">
        <f t="shared" si="79"/>
        <v/>
      </c>
      <c r="AN98" t="str">
        <f t="shared" si="80"/>
        <v/>
      </c>
      <c r="AO98" t="str">
        <f t="shared" si="54"/>
        <v/>
      </c>
      <c r="AP98" t="str">
        <f t="shared" si="55"/>
        <v/>
      </c>
      <c r="AQ98" t="str">
        <f t="shared" si="56"/>
        <v/>
      </c>
      <c r="AR98" t="str">
        <f t="shared" si="57"/>
        <v/>
      </c>
      <c r="AS98" t="str">
        <f t="shared" si="58"/>
        <v/>
      </c>
      <c r="AT98" t="str">
        <f t="shared" si="59"/>
        <v/>
      </c>
      <c r="AU98" t="str">
        <f t="shared" si="60"/>
        <v/>
      </c>
      <c r="AV98" t="str">
        <f t="shared" si="81"/>
        <v/>
      </c>
      <c r="AW98" t="str">
        <f t="shared" si="82"/>
        <v/>
      </c>
      <c r="AY98" t="str">
        <f t="shared" si="61"/>
        <v/>
      </c>
      <c r="AZ98" t="str">
        <f t="shared" si="62"/>
        <v/>
      </c>
      <c r="BA98" t="str">
        <f t="shared" si="63"/>
        <v/>
      </c>
      <c r="BB98" t="str">
        <f t="shared" si="83"/>
        <v/>
      </c>
      <c r="BC98" t="str">
        <f t="shared" si="64"/>
        <v/>
      </c>
      <c r="BE98">
        <f t="shared" si="65"/>
        <v>29</v>
      </c>
      <c r="BF98">
        <f t="shared" si="66"/>
        <v>1</v>
      </c>
      <c r="BG98" t="str">
        <f t="shared" si="67"/>
        <v/>
      </c>
      <c r="BH98" t="str">
        <f t="shared" si="84"/>
        <v/>
      </c>
    </row>
    <row r="99" spans="4:60" x14ac:dyDescent="0.55000000000000004">
      <c r="D99">
        <v>89</v>
      </c>
      <c r="E99" t="str">
        <f t="shared" si="52"/>
        <v/>
      </c>
      <c r="F99" t="str">
        <f t="shared" si="68"/>
        <v/>
      </c>
      <c r="G99" t="str">
        <f t="shared" si="53"/>
        <v/>
      </c>
      <c r="Z99" t="str">
        <f t="shared" si="69"/>
        <v/>
      </c>
      <c r="AA99" t="str">
        <f t="shared" si="70"/>
        <v/>
      </c>
      <c r="AB99" t="str">
        <f t="shared" si="70"/>
        <v/>
      </c>
      <c r="AC99" t="str">
        <f t="shared" si="70"/>
        <v/>
      </c>
      <c r="AD99" t="str">
        <f t="shared" si="71"/>
        <v/>
      </c>
      <c r="AE99" t="str">
        <f t="shared" si="72"/>
        <v/>
      </c>
      <c r="AF99" t="str">
        <f t="shared" si="73"/>
        <v/>
      </c>
      <c r="AG99" t="str">
        <f t="shared" si="74"/>
        <v/>
      </c>
      <c r="AH99" t="str">
        <f t="shared" si="75"/>
        <v/>
      </c>
      <c r="AI99" t="str">
        <f t="shared" si="76"/>
        <v/>
      </c>
      <c r="AJ99" t="str">
        <f t="shared" si="77"/>
        <v/>
      </c>
      <c r="AK99" t="str">
        <f t="shared" si="78"/>
        <v/>
      </c>
      <c r="AM99" t="str">
        <f t="shared" si="79"/>
        <v/>
      </c>
      <c r="AN99" t="str">
        <f t="shared" si="80"/>
        <v/>
      </c>
      <c r="AO99" t="str">
        <f t="shared" si="54"/>
        <v/>
      </c>
      <c r="AP99" t="str">
        <f t="shared" si="55"/>
        <v/>
      </c>
      <c r="AQ99" t="str">
        <f t="shared" si="56"/>
        <v/>
      </c>
      <c r="AR99" t="str">
        <f t="shared" si="57"/>
        <v/>
      </c>
      <c r="AS99" t="str">
        <f t="shared" si="58"/>
        <v/>
      </c>
      <c r="AT99" t="str">
        <f t="shared" si="59"/>
        <v/>
      </c>
      <c r="AU99" t="str">
        <f t="shared" si="60"/>
        <v/>
      </c>
      <c r="AV99" t="str">
        <f t="shared" si="81"/>
        <v/>
      </c>
      <c r="AW99" t="str">
        <f t="shared" si="82"/>
        <v/>
      </c>
      <c r="AY99" t="str">
        <f t="shared" si="61"/>
        <v/>
      </c>
      <c r="AZ99" t="str">
        <f t="shared" si="62"/>
        <v/>
      </c>
      <c r="BA99" t="str">
        <f t="shared" si="63"/>
        <v/>
      </c>
      <c r="BB99" t="str">
        <f t="shared" si="83"/>
        <v/>
      </c>
      <c r="BC99" t="str">
        <f t="shared" si="64"/>
        <v/>
      </c>
      <c r="BE99">
        <f t="shared" si="65"/>
        <v>29</v>
      </c>
      <c r="BF99">
        <f t="shared" si="66"/>
        <v>2</v>
      </c>
      <c r="BG99" t="str">
        <f t="shared" si="67"/>
        <v/>
      </c>
      <c r="BH99" t="str">
        <f t="shared" si="84"/>
        <v/>
      </c>
    </row>
    <row r="100" spans="4:60" x14ac:dyDescent="0.55000000000000004">
      <c r="D100">
        <v>90</v>
      </c>
      <c r="E100" t="str">
        <f t="shared" si="52"/>
        <v/>
      </c>
      <c r="F100" t="str">
        <f t="shared" si="68"/>
        <v/>
      </c>
      <c r="G100" t="str">
        <f t="shared" si="53"/>
        <v/>
      </c>
      <c r="Z100" t="str">
        <f t="shared" si="69"/>
        <v/>
      </c>
      <c r="AA100" t="str">
        <f t="shared" si="70"/>
        <v/>
      </c>
      <c r="AB100" t="str">
        <f t="shared" si="70"/>
        <v/>
      </c>
      <c r="AC100" t="str">
        <f t="shared" si="70"/>
        <v/>
      </c>
      <c r="AD100" t="str">
        <f t="shared" si="71"/>
        <v/>
      </c>
      <c r="AE100" t="str">
        <f t="shared" si="72"/>
        <v/>
      </c>
      <c r="AF100" t="str">
        <f t="shared" si="73"/>
        <v/>
      </c>
      <c r="AG100" t="str">
        <f t="shared" si="74"/>
        <v/>
      </c>
      <c r="AH100" t="str">
        <f t="shared" si="75"/>
        <v/>
      </c>
      <c r="AI100" t="str">
        <f t="shared" si="76"/>
        <v/>
      </c>
      <c r="AJ100" t="str">
        <f t="shared" si="77"/>
        <v/>
      </c>
      <c r="AK100" t="str">
        <f t="shared" si="78"/>
        <v/>
      </c>
      <c r="AM100" t="str">
        <f t="shared" si="79"/>
        <v/>
      </c>
      <c r="AN100" t="str">
        <f t="shared" si="80"/>
        <v/>
      </c>
      <c r="AO100" t="str">
        <f t="shared" si="54"/>
        <v/>
      </c>
      <c r="AP100" t="str">
        <f t="shared" si="55"/>
        <v/>
      </c>
      <c r="AQ100" t="str">
        <f t="shared" si="56"/>
        <v/>
      </c>
      <c r="AR100" t="str">
        <f t="shared" si="57"/>
        <v/>
      </c>
      <c r="AS100" t="str">
        <f t="shared" si="58"/>
        <v/>
      </c>
      <c r="AT100" t="str">
        <f t="shared" si="59"/>
        <v/>
      </c>
      <c r="AU100" t="str">
        <f t="shared" si="60"/>
        <v/>
      </c>
      <c r="AV100" t="str">
        <f t="shared" si="81"/>
        <v/>
      </c>
      <c r="AW100" t="str">
        <f t="shared" si="82"/>
        <v/>
      </c>
      <c r="AY100" t="str">
        <f t="shared" si="61"/>
        <v/>
      </c>
      <c r="AZ100" t="str">
        <f t="shared" si="62"/>
        <v/>
      </c>
      <c r="BA100" t="str">
        <f t="shared" si="63"/>
        <v/>
      </c>
      <c r="BB100" t="str">
        <f t="shared" si="83"/>
        <v/>
      </c>
      <c r="BC100" t="str">
        <f t="shared" si="64"/>
        <v/>
      </c>
      <c r="BE100">
        <f t="shared" si="65"/>
        <v>30</v>
      </c>
      <c r="BF100">
        <f t="shared" si="66"/>
        <v>0</v>
      </c>
      <c r="BG100" t="str">
        <f t="shared" si="67"/>
        <v/>
      </c>
      <c r="BH100" t="str">
        <f t="shared" si="84"/>
        <v/>
      </c>
    </row>
    <row r="101" spans="4:60" x14ac:dyDescent="0.55000000000000004">
      <c r="D101">
        <v>91</v>
      </c>
      <c r="E101" t="str">
        <f t="shared" si="52"/>
        <v/>
      </c>
      <c r="F101" t="str">
        <f t="shared" si="68"/>
        <v/>
      </c>
      <c r="G101" t="str">
        <f t="shared" si="53"/>
        <v/>
      </c>
      <c r="Z101" t="str">
        <f t="shared" si="69"/>
        <v/>
      </c>
      <c r="AA101" t="str">
        <f t="shared" si="70"/>
        <v/>
      </c>
      <c r="AB101" t="str">
        <f t="shared" si="70"/>
        <v/>
      </c>
      <c r="AC101" t="str">
        <f t="shared" si="70"/>
        <v/>
      </c>
      <c r="AD101" t="str">
        <f t="shared" si="71"/>
        <v/>
      </c>
      <c r="AE101" t="str">
        <f t="shared" si="72"/>
        <v/>
      </c>
      <c r="AF101" t="str">
        <f t="shared" si="73"/>
        <v/>
      </c>
      <c r="AG101" t="str">
        <f t="shared" si="74"/>
        <v/>
      </c>
      <c r="AH101" t="str">
        <f t="shared" si="75"/>
        <v/>
      </c>
      <c r="AI101" t="str">
        <f t="shared" si="76"/>
        <v/>
      </c>
      <c r="AJ101" t="str">
        <f t="shared" si="77"/>
        <v/>
      </c>
      <c r="AK101" t="str">
        <f t="shared" si="78"/>
        <v/>
      </c>
      <c r="AM101" t="str">
        <f t="shared" si="79"/>
        <v/>
      </c>
      <c r="AN101" t="str">
        <f t="shared" si="80"/>
        <v/>
      </c>
      <c r="AO101" t="str">
        <f t="shared" si="54"/>
        <v/>
      </c>
      <c r="AP101" t="str">
        <f t="shared" si="55"/>
        <v/>
      </c>
      <c r="AQ101" t="str">
        <f t="shared" si="56"/>
        <v/>
      </c>
      <c r="AR101" t="str">
        <f t="shared" si="57"/>
        <v/>
      </c>
      <c r="AS101" t="str">
        <f t="shared" si="58"/>
        <v/>
      </c>
      <c r="AT101" t="str">
        <f t="shared" si="59"/>
        <v/>
      </c>
      <c r="AU101" t="str">
        <f t="shared" si="60"/>
        <v/>
      </c>
      <c r="AV101" t="str">
        <f t="shared" si="81"/>
        <v/>
      </c>
      <c r="AW101" t="str">
        <f t="shared" si="82"/>
        <v/>
      </c>
      <c r="AY101" t="str">
        <f t="shared" si="61"/>
        <v/>
      </c>
      <c r="AZ101" t="str">
        <f t="shared" si="62"/>
        <v/>
      </c>
      <c r="BA101" t="str">
        <f t="shared" si="63"/>
        <v/>
      </c>
      <c r="BB101" t="str">
        <f t="shared" si="83"/>
        <v/>
      </c>
      <c r="BC101" t="str">
        <f t="shared" si="64"/>
        <v/>
      </c>
      <c r="BE101">
        <f t="shared" si="65"/>
        <v>30</v>
      </c>
      <c r="BF101">
        <f t="shared" si="66"/>
        <v>1</v>
      </c>
      <c r="BG101" t="str">
        <f t="shared" si="67"/>
        <v/>
      </c>
      <c r="BH101" t="str">
        <f t="shared" si="84"/>
        <v/>
      </c>
    </row>
    <row r="102" spans="4:60" x14ac:dyDescent="0.55000000000000004">
      <c r="D102">
        <v>92</v>
      </c>
      <c r="E102" t="str">
        <f t="shared" si="52"/>
        <v/>
      </c>
      <c r="F102" t="str">
        <f t="shared" si="68"/>
        <v/>
      </c>
      <c r="G102" t="str">
        <f t="shared" si="53"/>
        <v/>
      </c>
      <c r="Z102" t="str">
        <f t="shared" si="69"/>
        <v/>
      </c>
      <c r="AA102" t="str">
        <f t="shared" si="70"/>
        <v/>
      </c>
      <c r="AB102" t="str">
        <f t="shared" si="70"/>
        <v/>
      </c>
      <c r="AC102" t="str">
        <f t="shared" si="70"/>
        <v/>
      </c>
      <c r="AD102" t="str">
        <f t="shared" si="71"/>
        <v/>
      </c>
      <c r="AE102" t="str">
        <f t="shared" si="72"/>
        <v/>
      </c>
      <c r="AF102" t="str">
        <f t="shared" si="73"/>
        <v/>
      </c>
      <c r="AG102" t="str">
        <f t="shared" si="74"/>
        <v/>
      </c>
      <c r="AH102" t="str">
        <f t="shared" si="75"/>
        <v/>
      </c>
      <c r="AI102" t="str">
        <f t="shared" si="76"/>
        <v/>
      </c>
      <c r="AJ102" t="str">
        <f t="shared" si="77"/>
        <v/>
      </c>
      <c r="AK102" t="str">
        <f t="shared" si="78"/>
        <v/>
      </c>
      <c r="AM102" t="str">
        <f t="shared" si="79"/>
        <v/>
      </c>
      <c r="AN102" t="str">
        <f t="shared" si="80"/>
        <v/>
      </c>
      <c r="AO102" t="str">
        <f t="shared" si="54"/>
        <v/>
      </c>
      <c r="AP102" t="str">
        <f t="shared" si="55"/>
        <v/>
      </c>
      <c r="AQ102" t="str">
        <f t="shared" si="56"/>
        <v/>
      </c>
      <c r="AR102" t="str">
        <f t="shared" si="57"/>
        <v/>
      </c>
      <c r="AS102" t="str">
        <f t="shared" si="58"/>
        <v/>
      </c>
      <c r="AT102" t="str">
        <f t="shared" si="59"/>
        <v/>
      </c>
      <c r="AU102" t="str">
        <f t="shared" si="60"/>
        <v/>
      </c>
      <c r="AV102" t="str">
        <f t="shared" si="81"/>
        <v/>
      </c>
      <c r="AW102" t="str">
        <f t="shared" si="82"/>
        <v/>
      </c>
      <c r="AY102" t="str">
        <f t="shared" si="61"/>
        <v/>
      </c>
      <c r="AZ102" t="str">
        <f t="shared" si="62"/>
        <v/>
      </c>
      <c r="BA102" t="str">
        <f t="shared" si="63"/>
        <v/>
      </c>
      <c r="BB102" t="str">
        <f t="shared" si="83"/>
        <v/>
      </c>
      <c r="BC102" t="str">
        <f t="shared" si="64"/>
        <v/>
      </c>
      <c r="BE102">
        <f t="shared" si="65"/>
        <v>30</v>
      </c>
      <c r="BF102">
        <f t="shared" si="66"/>
        <v>2</v>
      </c>
      <c r="BG102" t="str">
        <f t="shared" si="67"/>
        <v/>
      </c>
      <c r="BH102" t="str">
        <f t="shared" si="84"/>
        <v/>
      </c>
    </row>
    <row r="103" spans="4:60" x14ac:dyDescent="0.55000000000000004">
      <c r="D103">
        <v>93</v>
      </c>
      <c r="E103" t="str">
        <f t="shared" si="52"/>
        <v/>
      </c>
      <c r="F103" t="str">
        <f t="shared" si="68"/>
        <v/>
      </c>
      <c r="G103" t="str">
        <f t="shared" si="53"/>
        <v/>
      </c>
      <c r="Z103" t="str">
        <f t="shared" si="69"/>
        <v/>
      </c>
      <c r="AA103" t="str">
        <f t="shared" si="70"/>
        <v/>
      </c>
      <c r="AB103" t="str">
        <f t="shared" si="70"/>
        <v/>
      </c>
      <c r="AC103" t="str">
        <f t="shared" si="70"/>
        <v/>
      </c>
      <c r="AD103" t="str">
        <f t="shared" si="71"/>
        <v/>
      </c>
      <c r="AE103" t="str">
        <f t="shared" si="72"/>
        <v/>
      </c>
      <c r="AF103" t="str">
        <f t="shared" si="73"/>
        <v/>
      </c>
      <c r="AG103" t="str">
        <f t="shared" si="74"/>
        <v/>
      </c>
      <c r="AH103" t="str">
        <f t="shared" si="75"/>
        <v/>
      </c>
      <c r="AI103" t="str">
        <f t="shared" si="76"/>
        <v/>
      </c>
      <c r="AJ103" t="str">
        <f t="shared" si="77"/>
        <v/>
      </c>
      <c r="AK103" t="str">
        <f t="shared" si="78"/>
        <v/>
      </c>
      <c r="AM103" t="str">
        <f t="shared" si="79"/>
        <v/>
      </c>
      <c r="AN103" t="str">
        <f t="shared" si="80"/>
        <v/>
      </c>
      <c r="AO103" t="str">
        <f t="shared" si="54"/>
        <v/>
      </c>
      <c r="AP103" t="str">
        <f t="shared" si="55"/>
        <v/>
      </c>
      <c r="AQ103" t="str">
        <f t="shared" si="56"/>
        <v/>
      </c>
      <c r="AR103" t="str">
        <f t="shared" si="57"/>
        <v/>
      </c>
      <c r="AS103" t="str">
        <f t="shared" si="58"/>
        <v/>
      </c>
      <c r="AT103" t="str">
        <f t="shared" si="59"/>
        <v/>
      </c>
      <c r="AU103" t="str">
        <f t="shared" si="60"/>
        <v/>
      </c>
      <c r="AV103" t="str">
        <f t="shared" si="81"/>
        <v/>
      </c>
      <c r="AW103" t="str">
        <f t="shared" si="82"/>
        <v/>
      </c>
      <c r="AY103" t="str">
        <f t="shared" si="61"/>
        <v/>
      </c>
      <c r="AZ103" t="str">
        <f t="shared" si="62"/>
        <v/>
      </c>
      <c r="BA103" t="str">
        <f t="shared" si="63"/>
        <v/>
      </c>
      <c r="BB103" t="str">
        <f t="shared" si="83"/>
        <v/>
      </c>
      <c r="BC103" t="str">
        <f t="shared" si="64"/>
        <v/>
      </c>
      <c r="BE103">
        <f t="shared" si="65"/>
        <v>31</v>
      </c>
      <c r="BF103">
        <f t="shared" si="66"/>
        <v>0</v>
      </c>
      <c r="BG103" t="str">
        <f t="shared" si="67"/>
        <v/>
      </c>
      <c r="BH103" t="str">
        <f t="shared" si="84"/>
        <v/>
      </c>
    </row>
    <row r="104" spans="4:60" x14ac:dyDescent="0.55000000000000004">
      <c r="D104">
        <v>94</v>
      </c>
      <c r="E104" t="str">
        <f t="shared" si="52"/>
        <v/>
      </c>
      <c r="F104" t="str">
        <f t="shared" si="68"/>
        <v/>
      </c>
      <c r="G104" t="str">
        <f t="shared" si="53"/>
        <v/>
      </c>
      <c r="Z104" t="str">
        <f t="shared" si="69"/>
        <v/>
      </c>
      <c r="AA104" t="str">
        <f t="shared" si="70"/>
        <v/>
      </c>
      <c r="AB104" t="str">
        <f t="shared" si="70"/>
        <v/>
      </c>
      <c r="AC104" t="str">
        <f t="shared" si="70"/>
        <v/>
      </c>
      <c r="AD104" t="str">
        <f t="shared" si="71"/>
        <v/>
      </c>
      <c r="AE104" t="str">
        <f t="shared" si="72"/>
        <v/>
      </c>
      <c r="AF104" t="str">
        <f t="shared" si="73"/>
        <v/>
      </c>
      <c r="AG104" t="str">
        <f t="shared" si="74"/>
        <v/>
      </c>
      <c r="AH104" t="str">
        <f t="shared" si="75"/>
        <v/>
      </c>
      <c r="AI104" t="str">
        <f t="shared" si="76"/>
        <v/>
      </c>
      <c r="AJ104" t="str">
        <f t="shared" si="77"/>
        <v/>
      </c>
      <c r="AK104" t="str">
        <f t="shared" si="78"/>
        <v/>
      </c>
      <c r="AM104" t="str">
        <f t="shared" si="79"/>
        <v/>
      </c>
      <c r="AN104" t="str">
        <f t="shared" si="80"/>
        <v/>
      </c>
      <c r="AO104" t="str">
        <f t="shared" si="54"/>
        <v/>
      </c>
      <c r="AP104" t="str">
        <f t="shared" si="55"/>
        <v/>
      </c>
      <c r="AQ104" t="str">
        <f t="shared" si="56"/>
        <v/>
      </c>
      <c r="AR104" t="str">
        <f t="shared" si="57"/>
        <v/>
      </c>
      <c r="AS104" t="str">
        <f t="shared" si="58"/>
        <v/>
      </c>
      <c r="AT104" t="str">
        <f t="shared" si="59"/>
        <v/>
      </c>
      <c r="AU104" t="str">
        <f t="shared" si="60"/>
        <v/>
      </c>
      <c r="AV104" t="str">
        <f t="shared" si="81"/>
        <v/>
      </c>
      <c r="AW104" t="str">
        <f t="shared" si="82"/>
        <v/>
      </c>
      <c r="AY104" t="str">
        <f t="shared" si="61"/>
        <v/>
      </c>
      <c r="AZ104" t="str">
        <f t="shared" si="62"/>
        <v/>
      </c>
      <c r="BA104" t="str">
        <f t="shared" si="63"/>
        <v/>
      </c>
      <c r="BB104" t="str">
        <f t="shared" si="83"/>
        <v/>
      </c>
      <c r="BC104" t="str">
        <f t="shared" si="64"/>
        <v/>
      </c>
      <c r="BE104">
        <f t="shared" si="65"/>
        <v>31</v>
      </c>
      <c r="BF104">
        <f t="shared" si="66"/>
        <v>1</v>
      </c>
      <c r="BG104" t="str">
        <f t="shared" si="67"/>
        <v/>
      </c>
      <c r="BH104" t="str">
        <f t="shared" si="84"/>
        <v/>
      </c>
    </row>
    <row r="105" spans="4:60" x14ac:dyDescent="0.55000000000000004">
      <c r="D105">
        <v>95</v>
      </c>
      <c r="E105" t="str">
        <f t="shared" si="52"/>
        <v/>
      </c>
      <c r="F105" t="str">
        <f t="shared" si="68"/>
        <v/>
      </c>
      <c r="G105" t="str">
        <f t="shared" si="53"/>
        <v/>
      </c>
      <c r="Z105" t="str">
        <f t="shared" si="69"/>
        <v/>
      </c>
      <c r="AA105" t="str">
        <f t="shared" si="70"/>
        <v/>
      </c>
      <c r="AB105" t="str">
        <f t="shared" si="70"/>
        <v/>
      </c>
      <c r="AC105" t="str">
        <f t="shared" si="70"/>
        <v/>
      </c>
      <c r="AD105" t="str">
        <f t="shared" si="71"/>
        <v/>
      </c>
      <c r="AE105" t="str">
        <f t="shared" si="72"/>
        <v/>
      </c>
      <c r="AF105" t="str">
        <f t="shared" si="73"/>
        <v/>
      </c>
      <c r="AG105" t="str">
        <f t="shared" si="74"/>
        <v/>
      </c>
      <c r="AH105" t="str">
        <f t="shared" si="75"/>
        <v/>
      </c>
      <c r="AI105" t="str">
        <f t="shared" si="76"/>
        <v/>
      </c>
      <c r="AJ105" t="str">
        <f t="shared" si="77"/>
        <v/>
      </c>
      <c r="AK105" t="str">
        <f t="shared" si="78"/>
        <v/>
      </c>
      <c r="AM105" t="str">
        <f t="shared" si="79"/>
        <v/>
      </c>
      <c r="AN105" t="str">
        <f t="shared" si="80"/>
        <v/>
      </c>
      <c r="AO105" t="str">
        <f t="shared" si="54"/>
        <v/>
      </c>
      <c r="AP105" t="str">
        <f t="shared" si="55"/>
        <v/>
      </c>
      <c r="AQ105" t="str">
        <f t="shared" si="56"/>
        <v/>
      </c>
      <c r="AR105" t="str">
        <f t="shared" si="57"/>
        <v/>
      </c>
      <c r="AS105" t="str">
        <f t="shared" si="58"/>
        <v/>
      </c>
      <c r="AT105" t="str">
        <f t="shared" si="59"/>
        <v/>
      </c>
      <c r="AU105" t="str">
        <f t="shared" si="60"/>
        <v/>
      </c>
      <c r="AV105" t="str">
        <f t="shared" si="81"/>
        <v/>
      </c>
      <c r="AW105" t="str">
        <f t="shared" si="82"/>
        <v/>
      </c>
      <c r="AY105" t="str">
        <f t="shared" si="61"/>
        <v/>
      </c>
      <c r="AZ105" t="str">
        <f t="shared" si="62"/>
        <v/>
      </c>
      <c r="BA105" t="str">
        <f t="shared" si="63"/>
        <v/>
      </c>
      <c r="BB105" t="str">
        <f t="shared" si="83"/>
        <v/>
      </c>
      <c r="BC105" t="str">
        <f t="shared" si="64"/>
        <v/>
      </c>
      <c r="BE105">
        <f t="shared" si="65"/>
        <v>31</v>
      </c>
      <c r="BF105">
        <f t="shared" si="66"/>
        <v>2</v>
      </c>
      <c r="BG105" t="str">
        <f t="shared" si="67"/>
        <v/>
      </c>
      <c r="BH105" t="str">
        <f t="shared" si="84"/>
        <v/>
      </c>
    </row>
    <row r="106" spans="4:60" x14ac:dyDescent="0.55000000000000004">
      <c r="D106">
        <v>96</v>
      </c>
      <c r="E106" t="str">
        <f t="shared" si="52"/>
        <v/>
      </c>
      <c r="F106" t="str">
        <f t="shared" si="68"/>
        <v/>
      </c>
      <c r="G106" t="str">
        <f t="shared" si="53"/>
        <v/>
      </c>
      <c r="Z106" t="str">
        <f t="shared" si="69"/>
        <v/>
      </c>
      <c r="AA106" t="str">
        <f t="shared" si="70"/>
        <v/>
      </c>
      <c r="AB106" t="str">
        <f t="shared" si="70"/>
        <v/>
      </c>
      <c r="AC106" t="str">
        <f t="shared" si="70"/>
        <v/>
      </c>
      <c r="AD106" t="str">
        <f t="shared" si="71"/>
        <v/>
      </c>
      <c r="AE106" t="str">
        <f t="shared" si="72"/>
        <v/>
      </c>
      <c r="AF106" t="str">
        <f t="shared" si="73"/>
        <v/>
      </c>
      <c r="AG106" t="str">
        <f t="shared" si="74"/>
        <v/>
      </c>
      <c r="AH106" t="str">
        <f t="shared" si="75"/>
        <v/>
      </c>
      <c r="AI106" t="str">
        <f t="shared" si="76"/>
        <v/>
      </c>
      <c r="AJ106" t="str">
        <f t="shared" si="77"/>
        <v/>
      </c>
      <c r="AK106" t="str">
        <f t="shared" si="78"/>
        <v/>
      </c>
      <c r="AM106" t="str">
        <f t="shared" si="79"/>
        <v/>
      </c>
      <c r="AN106" t="str">
        <f t="shared" si="80"/>
        <v/>
      </c>
      <c r="AO106" t="str">
        <f t="shared" si="54"/>
        <v/>
      </c>
      <c r="AP106" t="str">
        <f t="shared" ref="AP106:AP137" si="85">IF($AM106="●","AND=.D "&amp;$B$17&amp;" #0","")</f>
        <v/>
      </c>
      <c r="AQ106" t="str">
        <f t="shared" si="56"/>
        <v/>
      </c>
      <c r="AR106" t="str">
        <f t="shared" si="57"/>
        <v/>
      </c>
      <c r="AS106" t="str">
        <f t="shared" si="58"/>
        <v/>
      </c>
      <c r="AT106" t="str">
        <f t="shared" ref="AT106:AT108" si="86">IF(LEN(AS106),AS106&amp;CHAR(10),"")&amp;IF(LEN(AP106),AP106,"")</f>
        <v/>
      </c>
      <c r="AU106" t="str">
        <f t="shared" ref="AU106:AU108" si="87">IF(LEN(AT106),AT106&amp;CHAR(10),"")&amp;IF(LEN(AQ106),AQ106,"")</f>
        <v/>
      </c>
      <c r="AV106" t="str">
        <f t="shared" si="81"/>
        <v/>
      </c>
      <c r="AW106" t="str">
        <f t="shared" si="82"/>
        <v/>
      </c>
      <c r="AY106" t="str">
        <f t="shared" si="61"/>
        <v/>
      </c>
      <c r="AZ106" t="str">
        <f>IF($AM106="●",IF(LEN(AY106),AY106&amp;CHAR(10),"")&amp;";//エラーNo.を入れる"&amp;CHAR(10)&amp;";"&amp;$B$17&amp;"	:= "&amp;AN106&amp;";","")</f>
        <v/>
      </c>
      <c r="BA106" t="str">
        <f>IF($AM106="●",IF(LEN(AZ106),AZ106&amp;CHAR(10),"")&amp;";//カウントする"&amp;CHAR(10)&amp;";"&amp;$B$18&amp;"	:= "&amp;$B$18&amp;" + 1;","")</f>
        <v/>
      </c>
      <c r="BB106" t="str">
        <f t="shared" si="83"/>
        <v/>
      </c>
      <c r="BC106" t="str">
        <f>IF($AM106="●",IF(LEN(BB106),BB106&amp;CHAR(10),"")&amp;";//"&amp;$B$31,"")</f>
        <v/>
      </c>
      <c r="BE106">
        <f t="shared" si="65"/>
        <v>32</v>
      </c>
      <c r="BF106">
        <f t="shared" si="66"/>
        <v>0</v>
      </c>
      <c r="BG106" t="str">
        <f t="shared" ref="BG106:BG108" si="88">IF(LEN(E106),E106&amp;".x"&amp;TEXT(BF106,"0")&amp;CHAR(9)&amp;" := FALSE;","")</f>
        <v/>
      </c>
      <c r="BH106" t="str">
        <f t="shared" si="84"/>
        <v/>
      </c>
    </row>
    <row r="107" spans="4:60" x14ac:dyDescent="0.55000000000000004">
      <c r="D107">
        <v>97</v>
      </c>
      <c r="E107" t="str">
        <f t="shared" si="52"/>
        <v/>
      </c>
      <c r="F107" t="str">
        <f t="shared" si="68"/>
        <v/>
      </c>
      <c r="G107" t="str">
        <f t="shared" si="53"/>
        <v/>
      </c>
      <c r="Z107" t="str">
        <f t="shared" si="69"/>
        <v/>
      </c>
      <c r="AA107" t="str">
        <f t="shared" ref="AA107:AC138" si="89">IFERROR(IF(COUNTIF($G107,"*"&amp;AA$9&amp;"*"),INT(MID($G107,FIND(AA$9,$G107)+LEN(AA$9),2)),""),"")</f>
        <v/>
      </c>
      <c r="AB107" t="str">
        <f t="shared" si="89"/>
        <v/>
      </c>
      <c r="AC107" t="str">
        <f t="shared" si="89"/>
        <v/>
      </c>
      <c r="AD107" t="str">
        <f t="shared" si="71"/>
        <v/>
      </c>
      <c r="AE107" t="str">
        <f t="shared" si="72"/>
        <v/>
      </c>
      <c r="AF107" t="str">
        <f t="shared" si="73"/>
        <v/>
      </c>
      <c r="AG107" t="str">
        <f t="shared" si="74"/>
        <v/>
      </c>
      <c r="AH107" t="str">
        <f t="shared" si="75"/>
        <v/>
      </c>
      <c r="AI107" t="str">
        <f t="shared" si="76"/>
        <v/>
      </c>
      <c r="AJ107" t="str">
        <f t="shared" ref="AJ107:AJ138" si="90">IF(AND(LEN($AC107),AJ$2&lt;=$AC107,$AC107&lt;=AJ$3),AJ$9&amp;$AC107-AJ$2&amp;"Out","")</f>
        <v/>
      </c>
      <c r="AK107" t="str">
        <f t="shared" si="78"/>
        <v/>
      </c>
      <c r="AM107" t="str">
        <f t="shared" si="79"/>
        <v/>
      </c>
      <c r="AN107" t="str">
        <f t="shared" si="80"/>
        <v/>
      </c>
      <c r="AO107" t="str">
        <f t="shared" si="54"/>
        <v/>
      </c>
      <c r="AP107" t="str">
        <f t="shared" si="85"/>
        <v/>
      </c>
      <c r="AQ107" t="str">
        <f t="shared" si="56"/>
        <v/>
      </c>
      <c r="AR107" t="str">
        <f t="shared" si="57"/>
        <v/>
      </c>
      <c r="AS107" t="str">
        <f t="shared" si="58"/>
        <v/>
      </c>
      <c r="AT107" t="str">
        <f t="shared" si="86"/>
        <v/>
      </c>
      <c r="AU107" t="str">
        <f t="shared" si="87"/>
        <v/>
      </c>
      <c r="AV107" t="str">
        <f t="shared" si="81"/>
        <v/>
      </c>
      <c r="AW107" t="str">
        <f t="shared" si="82"/>
        <v/>
      </c>
      <c r="AY107" t="str">
        <f t="shared" si="61"/>
        <v/>
      </c>
      <c r="AZ107" t="str">
        <f>IF($AM107="●",IF(LEN(AY107),AY107&amp;CHAR(10),"")&amp;";//エラーNo.を入れる"&amp;CHAR(10)&amp;";"&amp;$B$17&amp;"	:= "&amp;AN107&amp;";","")</f>
        <v/>
      </c>
      <c r="BA107" t="str">
        <f>IF($AM107="●",IF(LEN(AZ107),AZ107&amp;CHAR(10),"")&amp;";//カウントする"&amp;CHAR(10)&amp;";"&amp;$B$18&amp;"	:= "&amp;$B$18&amp;" + 1;","")</f>
        <v/>
      </c>
      <c r="BB107" t="str">
        <f t="shared" si="83"/>
        <v/>
      </c>
      <c r="BC107" t="str">
        <f>IF($AM107="●",IF(LEN(BB107),BB107&amp;CHAR(10),"")&amp;";//"&amp;$B$31,"")</f>
        <v/>
      </c>
      <c r="BE107">
        <f t="shared" si="65"/>
        <v>32</v>
      </c>
      <c r="BF107">
        <f t="shared" si="66"/>
        <v>1</v>
      </c>
      <c r="BG107" t="str">
        <f t="shared" si="88"/>
        <v/>
      </c>
      <c r="BH107" t="str">
        <f t="shared" si="84"/>
        <v/>
      </c>
    </row>
    <row r="108" spans="4:60" x14ac:dyDescent="0.55000000000000004">
      <c r="D108">
        <v>98</v>
      </c>
      <c r="E108" t="str">
        <f t="shared" si="52"/>
        <v/>
      </c>
      <c r="F108" t="str">
        <f t="shared" si="68"/>
        <v/>
      </c>
      <c r="G108" t="str">
        <f t="shared" si="53"/>
        <v/>
      </c>
      <c r="Z108" t="str">
        <f t="shared" si="69"/>
        <v/>
      </c>
      <c r="AA108" t="str">
        <f t="shared" si="89"/>
        <v/>
      </c>
      <c r="AB108" t="str">
        <f t="shared" si="89"/>
        <v/>
      </c>
      <c r="AC108" t="str">
        <f t="shared" si="89"/>
        <v/>
      </c>
      <c r="AD108" t="str">
        <f t="shared" si="71"/>
        <v/>
      </c>
      <c r="AE108" t="str">
        <f t="shared" si="72"/>
        <v/>
      </c>
      <c r="AF108" t="str">
        <f t="shared" si="73"/>
        <v/>
      </c>
      <c r="AG108" t="str">
        <f t="shared" si="74"/>
        <v/>
      </c>
      <c r="AH108" t="str">
        <f t="shared" si="75"/>
        <v/>
      </c>
      <c r="AI108" t="str">
        <f t="shared" si="76"/>
        <v/>
      </c>
      <c r="AJ108" t="str">
        <f t="shared" si="90"/>
        <v/>
      </c>
      <c r="AK108" t="str">
        <f t="shared" si="78"/>
        <v/>
      </c>
      <c r="AM108" t="str">
        <f t="shared" si="79"/>
        <v/>
      </c>
      <c r="AN108" t="str">
        <f t="shared" si="80"/>
        <v/>
      </c>
      <c r="AO108" t="str">
        <f t="shared" si="54"/>
        <v/>
      </c>
      <c r="AP108" t="str">
        <f t="shared" si="85"/>
        <v/>
      </c>
      <c r="AQ108" t="str">
        <f t="shared" si="56"/>
        <v/>
      </c>
      <c r="AR108" t="str">
        <f t="shared" si="57"/>
        <v/>
      </c>
      <c r="AS108" t="str">
        <f t="shared" si="58"/>
        <v/>
      </c>
      <c r="AT108" t="str">
        <f t="shared" si="86"/>
        <v/>
      </c>
      <c r="AU108" t="str">
        <f t="shared" si="87"/>
        <v/>
      </c>
      <c r="AV108" t="str">
        <f t="shared" si="81"/>
        <v/>
      </c>
      <c r="AW108" t="str">
        <f t="shared" si="82"/>
        <v/>
      </c>
      <c r="AY108" t="str">
        <f t="shared" si="61"/>
        <v/>
      </c>
      <c r="AZ108" t="str">
        <f>IF($AM108="●",IF(LEN(AY108),AY108&amp;CHAR(10),"")&amp;";//エラーNo.を入れる"&amp;CHAR(10)&amp;";"&amp;$B$17&amp;"	:= "&amp;AN108&amp;";","")</f>
        <v/>
      </c>
      <c r="BA108" t="str">
        <f>IF($AM108="●",IF(LEN(AZ108),AZ108&amp;CHAR(10),"")&amp;";//カウントする"&amp;CHAR(10)&amp;";"&amp;$B$18&amp;"	:= "&amp;$B$18&amp;" + 1;","")</f>
        <v/>
      </c>
      <c r="BB108" t="str">
        <f t="shared" si="83"/>
        <v/>
      </c>
      <c r="BC108" t="str">
        <f>IF($AM108="●",IF(LEN(BB108),BB108&amp;CHAR(10),"")&amp;";//"&amp;$B$31,"")</f>
        <v/>
      </c>
      <c r="BE108">
        <f t="shared" si="65"/>
        <v>32</v>
      </c>
      <c r="BF108">
        <f t="shared" si="66"/>
        <v>2</v>
      </c>
      <c r="BG108" t="str">
        <f t="shared" si="88"/>
        <v/>
      </c>
      <c r="BH108" t="str">
        <f t="shared" si="84"/>
        <v/>
      </c>
    </row>
    <row r="109" spans="4:60" x14ac:dyDescent="0.55000000000000004">
      <c r="D109">
        <v>99</v>
      </c>
      <c r="E109" t="str">
        <f t="shared" ref="E109:E172" si="91">IF(LEN(I109),I109,IF(LEN(Q109),Q109,""))</f>
        <v/>
      </c>
      <c r="F109" t="str">
        <f t="shared" ref="F109:F172" si="92">IF(LEN(J109),J109,IF(LEN(Q109),Q109,""))</f>
        <v/>
      </c>
      <c r="G109" t="str">
        <f t="shared" ref="G109:G172" si="93">IF(LEN(O109),O109,IF(LEN(X109),X109,""))</f>
        <v/>
      </c>
      <c r="Z109" t="str">
        <f t="shared" si="69"/>
        <v/>
      </c>
      <c r="AA109" t="str">
        <f t="shared" si="89"/>
        <v/>
      </c>
      <c r="AB109" t="str">
        <f t="shared" si="89"/>
        <v/>
      </c>
      <c r="AC109" t="str">
        <f t="shared" si="89"/>
        <v/>
      </c>
      <c r="AD109" t="str">
        <f t="shared" si="71"/>
        <v/>
      </c>
      <c r="AE109" t="str">
        <f t="shared" si="72"/>
        <v/>
      </c>
      <c r="AF109" t="str">
        <f t="shared" si="73"/>
        <v/>
      </c>
      <c r="AG109" t="str">
        <f t="shared" si="74"/>
        <v/>
      </c>
      <c r="AH109" t="str">
        <f t="shared" si="75"/>
        <v/>
      </c>
      <c r="AI109" t="str">
        <f t="shared" si="76"/>
        <v/>
      </c>
      <c r="AJ109" t="str">
        <f t="shared" si="90"/>
        <v/>
      </c>
      <c r="AK109" t="str">
        <f t="shared" ref="AK109:AK172" si="94">IF(LEN(_xlfn.CONCAT(AD109:AJ109)),_xlfn.CONCAT(AD109:AJ109),"")</f>
        <v/>
      </c>
      <c r="AM109" t="str">
        <f t="shared" ref="AM109:AM172" si="95">IF(LEN(G109),IF(OR(COUNTIF(G109,"*◆*"),COUNTIF(G109,"*▼*"),COUNTIF(G109,"*▽*"),COUNTIF(G109,"*■*")),"","●"),"")</f>
        <v/>
      </c>
      <c r="AN109" t="str">
        <f t="shared" ref="AN109:AN172" si="96">IF(AM109="●",(AN$4+MOD(INT(MID(E109,5,LEN(E109)-4)),AN$2))*AN$8,"")</f>
        <v/>
      </c>
      <c r="AO109" t="str">
        <f t="shared" ref="AO109:AO172" si="97">IF($AM109="●","LDP "&amp;E109&amp;"."&amp;$B$16,"")</f>
        <v/>
      </c>
      <c r="AP109" t="str">
        <f t="shared" si="85"/>
        <v/>
      </c>
      <c r="AQ109" t="str">
        <f t="shared" ref="AQ109:AQ172" si="98">IF($AM109="●","MOV.D #"&amp;AN109&amp;" "&amp;$B$17,"")</f>
        <v/>
      </c>
      <c r="AR109" t="str">
        <f t="shared" ref="AR109:AR172" si="99">IF(LEN(AK109),"MOV.D "&amp;$AK109&amp;" "&amp;$B$19,"")</f>
        <v/>
      </c>
      <c r="AS109" t="str">
        <f t="shared" ref="AS109:AS172" si="100">IF(AND(D109&lt;&gt;0,AM109="●"),CHAR(10),"")&amp;IF(LEN(AO109),AO109,"")</f>
        <v/>
      </c>
      <c r="AT109" t="str">
        <f t="shared" ref="AT109:AT172" si="101">IF(LEN(AS109),AS109&amp;CHAR(10),"")&amp;IF(LEN(AP109),AP109,"")</f>
        <v/>
      </c>
      <c r="AU109" t="str">
        <f t="shared" ref="AU109:AU172" si="102">IF(LEN(AT109),AT109&amp;CHAR(10),"")&amp;IF(LEN(AQ109),AQ109,"")</f>
        <v/>
      </c>
      <c r="AV109" t="str">
        <f t="shared" ref="AV109:AV172" si="103">IF(LEN(AU109),AU109&amp;CHAR(10),"")&amp;IF(LEN(AR109),AR109,"")</f>
        <v/>
      </c>
      <c r="AW109" t="str">
        <f t="shared" ref="AW109:AW172" si="104">AV109</f>
        <v/>
      </c>
      <c r="AY109" t="str">
        <f t="shared" ref="AY109:AY172" si="105">IF($AM109="●",AT109&amp;CHAR(10)&amp;"BOX_ST"&amp;CHAR(10)&amp;";//"&amp;$B$30,"")</f>
        <v/>
      </c>
      <c r="AZ109" t="str">
        <f t="shared" ref="AZ109:AZ172" si="106">IF($AM109="●",IF(LEN(AY109),AY109&amp;CHAR(10),"")&amp;";//エラーNo.を入れる"&amp;CHAR(10)&amp;";"&amp;$B$17&amp;"	:= "&amp;AN109&amp;";","")</f>
        <v/>
      </c>
      <c r="BA109" t="str">
        <f t="shared" ref="BA109:BA172" si="107">IF($AM109="●",IF(LEN(AZ109),AZ109&amp;CHAR(10),"")&amp;";//カウントする"&amp;CHAR(10)&amp;";"&amp;$B$18&amp;"	:= "&amp;$B$18&amp;" + 1;","")</f>
        <v/>
      </c>
      <c r="BB109" t="str">
        <f t="shared" ref="BB109:BB172" si="108">IF($AM109="●",IF(LEN(BA109),BA109&amp;CHAR(10),"")&amp;IF(LEN(AK109),";//エラーコードを入れる"&amp;CHAR(10)&amp;";"&amp;$B$19&amp;"	:= "&amp;AK109&amp;".udiErrNo;",""),"")</f>
        <v/>
      </c>
      <c r="BC109" t="str">
        <f t="shared" ref="BC109:BC172" si="109">IF($AM109="●",IF(LEN(BB109),BB109&amp;CHAR(10),"")&amp;";//"&amp;$B$31,"")</f>
        <v/>
      </c>
      <c r="BE109">
        <f t="shared" ref="BE109:BE172" si="110">INT(D109/$BE$8)</f>
        <v>33</v>
      </c>
      <c r="BF109">
        <f t="shared" ref="BF109:BF172" si="111">MOD(D109,$BE$8)</f>
        <v>0</v>
      </c>
      <c r="BG109" t="str">
        <f t="shared" ref="BG109:BG172" si="112">IF(LEN(E109),E109&amp;".x"&amp;TEXT(BF109,"0")&amp;CHAR(9)&amp;" := FALSE;","")</f>
        <v/>
      </c>
      <c r="BH109" t="str">
        <f t="shared" ref="BH109:BH172" si="113">IF(LEN(BG109),BG109&amp;CHAR(10),"")</f>
        <v/>
      </c>
    </row>
    <row r="110" spans="4:60" x14ac:dyDescent="0.55000000000000004">
      <c r="D110">
        <v>100</v>
      </c>
      <c r="E110" t="str">
        <f t="shared" si="91"/>
        <v/>
      </c>
      <c r="F110" t="str">
        <f t="shared" si="92"/>
        <v/>
      </c>
      <c r="G110" t="str">
        <f t="shared" si="93"/>
        <v/>
      </c>
      <c r="Z110" t="str">
        <f t="shared" si="69"/>
        <v/>
      </c>
      <c r="AA110" t="str">
        <f t="shared" si="89"/>
        <v/>
      </c>
      <c r="AB110" t="str">
        <f t="shared" si="89"/>
        <v/>
      </c>
      <c r="AC110" t="str">
        <f t="shared" si="89"/>
        <v/>
      </c>
      <c r="AD110" t="str">
        <f t="shared" si="71"/>
        <v/>
      </c>
      <c r="AE110" t="str">
        <f t="shared" si="72"/>
        <v/>
      </c>
      <c r="AF110" t="str">
        <f t="shared" si="73"/>
        <v/>
      </c>
      <c r="AG110" t="str">
        <f t="shared" si="74"/>
        <v/>
      </c>
      <c r="AH110" t="str">
        <f t="shared" si="75"/>
        <v/>
      </c>
      <c r="AI110" t="str">
        <f t="shared" si="76"/>
        <v/>
      </c>
      <c r="AJ110" t="str">
        <f t="shared" si="90"/>
        <v/>
      </c>
      <c r="AK110" t="str">
        <f t="shared" si="94"/>
        <v/>
      </c>
      <c r="AM110" t="str">
        <f t="shared" si="95"/>
        <v/>
      </c>
      <c r="AN110" t="str">
        <f t="shared" si="96"/>
        <v/>
      </c>
      <c r="AO110" t="str">
        <f t="shared" si="97"/>
        <v/>
      </c>
      <c r="AP110" t="str">
        <f t="shared" si="85"/>
        <v/>
      </c>
      <c r="AQ110" t="str">
        <f t="shared" si="98"/>
        <v/>
      </c>
      <c r="AR110" t="str">
        <f t="shared" si="99"/>
        <v/>
      </c>
      <c r="AS110" t="str">
        <f t="shared" si="100"/>
        <v/>
      </c>
      <c r="AT110" t="str">
        <f t="shared" si="101"/>
        <v/>
      </c>
      <c r="AU110" t="str">
        <f t="shared" si="102"/>
        <v/>
      </c>
      <c r="AV110" t="str">
        <f t="shared" si="103"/>
        <v/>
      </c>
      <c r="AW110" t="str">
        <f t="shared" si="104"/>
        <v/>
      </c>
      <c r="AY110" t="str">
        <f t="shared" si="105"/>
        <v/>
      </c>
      <c r="AZ110" t="str">
        <f t="shared" si="106"/>
        <v/>
      </c>
      <c r="BA110" t="str">
        <f t="shared" si="107"/>
        <v/>
      </c>
      <c r="BB110" t="str">
        <f t="shared" si="108"/>
        <v/>
      </c>
      <c r="BC110" t="str">
        <f t="shared" si="109"/>
        <v/>
      </c>
      <c r="BE110">
        <f t="shared" si="110"/>
        <v>33</v>
      </c>
      <c r="BF110">
        <f t="shared" si="111"/>
        <v>1</v>
      </c>
      <c r="BG110" t="str">
        <f t="shared" si="112"/>
        <v/>
      </c>
      <c r="BH110" t="str">
        <f t="shared" si="113"/>
        <v/>
      </c>
    </row>
    <row r="111" spans="4:60" x14ac:dyDescent="0.55000000000000004">
      <c r="D111">
        <v>101</v>
      </c>
      <c r="E111" t="str">
        <f t="shared" si="91"/>
        <v/>
      </c>
      <c r="F111" t="str">
        <f t="shared" si="92"/>
        <v/>
      </c>
      <c r="G111" t="str">
        <f t="shared" si="93"/>
        <v/>
      </c>
      <c r="Z111" t="str">
        <f t="shared" si="69"/>
        <v/>
      </c>
      <c r="AA111" t="str">
        <f t="shared" si="89"/>
        <v/>
      </c>
      <c r="AB111" t="str">
        <f t="shared" si="89"/>
        <v/>
      </c>
      <c r="AC111" t="str">
        <f t="shared" si="89"/>
        <v/>
      </c>
      <c r="AD111" t="str">
        <f t="shared" si="71"/>
        <v/>
      </c>
      <c r="AE111" t="str">
        <f t="shared" si="72"/>
        <v/>
      </c>
      <c r="AF111" t="str">
        <f t="shared" si="73"/>
        <v/>
      </c>
      <c r="AG111" t="str">
        <f t="shared" si="74"/>
        <v/>
      </c>
      <c r="AH111" t="str">
        <f t="shared" si="75"/>
        <v/>
      </c>
      <c r="AI111" t="str">
        <f t="shared" si="76"/>
        <v/>
      </c>
      <c r="AJ111" t="str">
        <f t="shared" si="90"/>
        <v/>
      </c>
      <c r="AK111" t="str">
        <f t="shared" si="94"/>
        <v/>
      </c>
      <c r="AM111" t="str">
        <f t="shared" si="95"/>
        <v/>
      </c>
      <c r="AN111" t="str">
        <f t="shared" si="96"/>
        <v/>
      </c>
      <c r="AO111" t="str">
        <f t="shared" si="97"/>
        <v/>
      </c>
      <c r="AP111" t="str">
        <f t="shared" si="85"/>
        <v/>
      </c>
      <c r="AQ111" t="str">
        <f t="shared" si="98"/>
        <v/>
      </c>
      <c r="AR111" t="str">
        <f t="shared" si="99"/>
        <v/>
      </c>
      <c r="AS111" t="str">
        <f t="shared" si="100"/>
        <v/>
      </c>
      <c r="AT111" t="str">
        <f t="shared" si="101"/>
        <v/>
      </c>
      <c r="AU111" t="str">
        <f t="shared" si="102"/>
        <v/>
      </c>
      <c r="AV111" t="str">
        <f t="shared" si="103"/>
        <v/>
      </c>
      <c r="AW111" t="str">
        <f t="shared" si="104"/>
        <v/>
      </c>
      <c r="AY111" t="str">
        <f t="shared" si="105"/>
        <v/>
      </c>
      <c r="AZ111" t="str">
        <f t="shared" si="106"/>
        <v/>
      </c>
      <c r="BA111" t="str">
        <f t="shared" si="107"/>
        <v/>
      </c>
      <c r="BB111" t="str">
        <f t="shared" si="108"/>
        <v/>
      </c>
      <c r="BC111" t="str">
        <f t="shared" si="109"/>
        <v/>
      </c>
      <c r="BE111">
        <f t="shared" si="110"/>
        <v>33</v>
      </c>
      <c r="BF111">
        <f t="shared" si="111"/>
        <v>2</v>
      </c>
      <c r="BG111" t="str">
        <f t="shared" si="112"/>
        <v/>
      </c>
      <c r="BH111" t="str">
        <f t="shared" si="113"/>
        <v/>
      </c>
    </row>
    <row r="112" spans="4:60" x14ac:dyDescent="0.55000000000000004">
      <c r="D112">
        <v>102</v>
      </c>
      <c r="E112" t="str">
        <f t="shared" si="91"/>
        <v/>
      </c>
      <c r="F112" t="str">
        <f t="shared" si="92"/>
        <v/>
      </c>
      <c r="G112" t="str">
        <f t="shared" si="93"/>
        <v/>
      </c>
      <c r="Z112" t="str">
        <f t="shared" si="69"/>
        <v/>
      </c>
      <c r="AA112" t="str">
        <f t="shared" si="89"/>
        <v/>
      </c>
      <c r="AB112" t="str">
        <f t="shared" si="89"/>
        <v/>
      </c>
      <c r="AC112" t="str">
        <f t="shared" si="89"/>
        <v/>
      </c>
      <c r="AD112" t="str">
        <f t="shared" si="71"/>
        <v/>
      </c>
      <c r="AE112" t="str">
        <f t="shared" si="72"/>
        <v/>
      </c>
      <c r="AF112" t="str">
        <f t="shared" si="73"/>
        <v/>
      </c>
      <c r="AG112" t="str">
        <f t="shared" si="74"/>
        <v/>
      </c>
      <c r="AH112" t="str">
        <f t="shared" si="75"/>
        <v/>
      </c>
      <c r="AI112" t="str">
        <f t="shared" si="76"/>
        <v/>
      </c>
      <c r="AJ112" t="str">
        <f t="shared" si="90"/>
        <v/>
      </c>
      <c r="AK112" t="str">
        <f t="shared" si="94"/>
        <v/>
      </c>
      <c r="AM112" t="str">
        <f t="shared" si="95"/>
        <v/>
      </c>
      <c r="AN112" t="str">
        <f t="shared" si="96"/>
        <v/>
      </c>
      <c r="AO112" t="str">
        <f t="shared" si="97"/>
        <v/>
      </c>
      <c r="AP112" t="str">
        <f t="shared" si="85"/>
        <v/>
      </c>
      <c r="AQ112" t="str">
        <f t="shared" si="98"/>
        <v/>
      </c>
      <c r="AR112" t="str">
        <f t="shared" si="99"/>
        <v/>
      </c>
      <c r="AS112" t="str">
        <f t="shared" si="100"/>
        <v/>
      </c>
      <c r="AT112" t="str">
        <f t="shared" si="101"/>
        <v/>
      </c>
      <c r="AU112" t="str">
        <f t="shared" si="102"/>
        <v/>
      </c>
      <c r="AV112" t="str">
        <f t="shared" si="103"/>
        <v/>
      </c>
      <c r="AW112" t="str">
        <f t="shared" si="104"/>
        <v/>
      </c>
      <c r="AY112" t="str">
        <f t="shared" si="105"/>
        <v/>
      </c>
      <c r="AZ112" t="str">
        <f t="shared" si="106"/>
        <v/>
      </c>
      <c r="BA112" t="str">
        <f t="shared" si="107"/>
        <v/>
      </c>
      <c r="BB112" t="str">
        <f t="shared" si="108"/>
        <v/>
      </c>
      <c r="BC112" t="str">
        <f t="shared" si="109"/>
        <v/>
      </c>
      <c r="BE112">
        <f t="shared" si="110"/>
        <v>34</v>
      </c>
      <c r="BF112">
        <f t="shared" si="111"/>
        <v>0</v>
      </c>
      <c r="BG112" t="str">
        <f t="shared" si="112"/>
        <v/>
      </c>
      <c r="BH112" t="str">
        <f t="shared" si="113"/>
        <v/>
      </c>
    </row>
    <row r="113" spans="4:60" x14ac:dyDescent="0.55000000000000004">
      <c r="D113">
        <v>103</v>
      </c>
      <c r="E113" t="str">
        <f t="shared" si="91"/>
        <v/>
      </c>
      <c r="F113" t="str">
        <f t="shared" si="92"/>
        <v/>
      </c>
      <c r="G113" t="str">
        <f t="shared" si="93"/>
        <v/>
      </c>
      <c r="Z113" t="str">
        <f t="shared" si="69"/>
        <v/>
      </c>
      <c r="AA113" t="str">
        <f t="shared" si="89"/>
        <v/>
      </c>
      <c r="AB113" t="str">
        <f t="shared" si="89"/>
        <v/>
      </c>
      <c r="AC113" t="str">
        <f t="shared" si="89"/>
        <v/>
      </c>
      <c r="AD113" t="str">
        <f t="shared" si="71"/>
        <v/>
      </c>
      <c r="AE113" t="str">
        <f t="shared" si="72"/>
        <v/>
      </c>
      <c r="AF113" t="str">
        <f t="shared" si="73"/>
        <v/>
      </c>
      <c r="AG113" t="str">
        <f t="shared" si="74"/>
        <v/>
      </c>
      <c r="AH113" t="str">
        <f t="shared" si="75"/>
        <v/>
      </c>
      <c r="AI113" t="str">
        <f t="shared" si="76"/>
        <v/>
      </c>
      <c r="AJ113" t="str">
        <f t="shared" si="90"/>
        <v/>
      </c>
      <c r="AK113" t="str">
        <f t="shared" si="94"/>
        <v/>
      </c>
      <c r="AM113" t="str">
        <f t="shared" si="95"/>
        <v/>
      </c>
      <c r="AN113" t="str">
        <f t="shared" si="96"/>
        <v/>
      </c>
      <c r="AO113" t="str">
        <f t="shared" si="97"/>
        <v/>
      </c>
      <c r="AP113" t="str">
        <f t="shared" si="85"/>
        <v/>
      </c>
      <c r="AQ113" t="str">
        <f t="shared" si="98"/>
        <v/>
      </c>
      <c r="AR113" t="str">
        <f t="shared" si="99"/>
        <v/>
      </c>
      <c r="AS113" t="str">
        <f t="shared" si="100"/>
        <v/>
      </c>
      <c r="AT113" t="str">
        <f t="shared" si="101"/>
        <v/>
      </c>
      <c r="AU113" t="str">
        <f t="shared" si="102"/>
        <v/>
      </c>
      <c r="AV113" t="str">
        <f t="shared" si="103"/>
        <v/>
      </c>
      <c r="AW113" t="str">
        <f t="shared" si="104"/>
        <v/>
      </c>
      <c r="AY113" t="str">
        <f t="shared" si="105"/>
        <v/>
      </c>
      <c r="AZ113" t="str">
        <f t="shared" si="106"/>
        <v/>
      </c>
      <c r="BA113" t="str">
        <f t="shared" si="107"/>
        <v/>
      </c>
      <c r="BB113" t="str">
        <f t="shared" si="108"/>
        <v/>
      </c>
      <c r="BC113" t="str">
        <f t="shared" si="109"/>
        <v/>
      </c>
      <c r="BE113">
        <f t="shared" si="110"/>
        <v>34</v>
      </c>
      <c r="BF113">
        <f t="shared" si="111"/>
        <v>1</v>
      </c>
      <c r="BG113" t="str">
        <f t="shared" si="112"/>
        <v/>
      </c>
      <c r="BH113" t="str">
        <f t="shared" si="113"/>
        <v/>
      </c>
    </row>
    <row r="114" spans="4:60" x14ac:dyDescent="0.55000000000000004">
      <c r="D114">
        <v>104</v>
      </c>
      <c r="E114" t="str">
        <f t="shared" si="91"/>
        <v/>
      </c>
      <c r="F114" t="str">
        <f t="shared" si="92"/>
        <v/>
      </c>
      <c r="G114" t="str">
        <f t="shared" si="93"/>
        <v/>
      </c>
      <c r="Z114" t="str">
        <f t="shared" si="69"/>
        <v/>
      </c>
      <c r="AA114" t="str">
        <f t="shared" si="89"/>
        <v/>
      </c>
      <c r="AB114" t="str">
        <f t="shared" si="89"/>
        <v/>
      </c>
      <c r="AC114" t="str">
        <f t="shared" si="89"/>
        <v/>
      </c>
      <c r="AD114" t="str">
        <f t="shared" si="71"/>
        <v/>
      </c>
      <c r="AE114" t="str">
        <f t="shared" si="72"/>
        <v/>
      </c>
      <c r="AF114" t="str">
        <f t="shared" si="73"/>
        <v/>
      </c>
      <c r="AG114" t="str">
        <f t="shared" si="74"/>
        <v/>
      </c>
      <c r="AH114" t="str">
        <f t="shared" si="75"/>
        <v/>
      </c>
      <c r="AI114" t="str">
        <f t="shared" si="76"/>
        <v/>
      </c>
      <c r="AJ114" t="str">
        <f t="shared" si="90"/>
        <v/>
      </c>
      <c r="AK114" t="str">
        <f t="shared" si="94"/>
        <v/>
      </c>
      <c r="AM114" t="str">
        <f t="shared" si="95"/>
        <v/>
      </c>
      <c r="AN114" t="str">
        <f t="shared" si="96"/>
        <v/>
      </c>
      <c r="AO114" t="str">
        <f t="shared" si="97"/>
        <v/>
      </c>
      <c r="AP114" t="str">
        <f t="shared" si="85"/>
        <v/>
      </c>
      <c r="AQ114" t="str">
        <f t="shared" si="98"/>
        <v/>
      </c>
      <c r="AR114" t="str">
        <f t="shared" si="99"/>
        <v/>
      </c>
      <c r="AS114" t="str">
        <f t="shared" si="100"/>
        <v/>
      </c>
      <c r="AT114" t="str">
        <f t="shared" si="101"/>
        <v/>
      </c>
      <c r="AU114" t="str">
        <f t="shared" si="102"/>
        <v/>
      </c>
      <c r="AV114" t="str">
        <f t="shared" si="103"/>
        <v/>
      </c>
      <c r="AW114" t="str">
        <f t="shared" si="104"/>
        <v/>
      </c>
      <c r="AY114" t="str">
        <f t="shared" si="105"/>
        <v/>
      </c>
      <c r="AZ114" t="str">
        <f t="shared" si="106"/>
        <v/>
      </c>
      <c r="BA114" t="str">
        <f t="shared" si="107"/>
        <v/>
      </c>
      <c r="BB114" t="str">
        <f t="shared" si="108"/>
        <v/>
      </c>
      <c r="BC114" t="str">
        <f t="shared" si="109"/>
        <v/>
      </c>
      <c r="BE114">
        <f t="shared" si="110"/>
        <v>34</v>
      </c>
      <c r="BF114">
        <f t="shared" si="111"/>
        <v>2</v>
      </c>
      <c r="BG114" t="str">
        <f t="shared" si="112"/>
        <v/>
      </c>
      <c r="BH114" t="str">
        <f t="shared" si="113"/>
        <v/>
      </c>
    </row>
    <row r="115" spans="4:60" x14ac:dyDescent="0.55000000000000004">
      <c r="D115">
        <v>105</v>
      </c>
      <c r="E115" t="str">
        <f t="shared" si="91"/>
        <v/>
      </c>
      <c r="F115" t="str">
        <f t="shared" si="92"/>
        <v/>
      </c>
      <c r="G115" t="str">
        <f t="shared" si="93"/>
        <v/>
      </c>
      <c r="Z115" t="str">
        <f t="shared" si="69"/>
        <v/>
      </c>
      <c r="AA115" t="str">
        <f t="shared" si="89"/>
        <v/>
      </c>
      <c r="AB115" t="str">
        <f t="shared" si="89"/>
        <v/>
      </c>
      <c r="AC115" t="str">
        <f t="shared" si="89"/>
        <v/>
      </c>
      <c r="AD115" t="str">
        <f t="shared" si="71"/>
        <v/>
      </c>
      <c r="AE115" t="str">
        <f t="shared" si="72"/>
        <v/>
      </c>
      <c r="AF115" t="str">
        <f t="shared" si="73"/>
        <v/>
      </c>
      <c r="AG115" t="str">
        <f t="shared" si="74"/>
        <v/>
      </c>
      <c r="AH115" t="str">
        <f t="shared" si="75"/>
        <v/>
      </c>
      <c r="AI115" t="str">
        <f t="shared" si="76"/>
        <v/>
      </c>
      <c r="AJ115" t="str">
        <f t="shared" si="90"/>
        <v/>
      </c>
      <c r="AK115" t="str">
        <f t="shared" si="94"/>
        <v/>
      </c>
      <c r="AM115" t="str">
        <f t="shared" si="95"/>
        <v/>
      </c>
      <c r="AN115" t="str">
        <f t="shared" si="96"/>
        <v/>
      </c>
      <c r="AO115" t="str">
        <f t="shared" si="97"/>
        <v/>
      </c>
      <c r="AP115" t="str">
        <f t="shared" si="85"/>
        <v/>
      </c>
      <c r="AQ115" t="str">
        <f t="shared" si="98"/>
        <v/>
      </c>
      <c r="AR115" t="str">
        <f t="shared" si="99"/>
        <v/>
      </c>
      <c r="AS115" t="str">
        <f t="shared" si="100"/>
        <v/>
      </c>
      <c r="AT115" t="str">
        <f t="shared" si="101"/>
        <v/>
      </c>
      <c r="AU115" t="str">
        <f t="shared" si="102"/>
        <v/>
      </c>
      <c r="AV115" t="str">
        <f t="shared" si="103"/>
        <v/>
      </c>
      <c r="AW115" t="str">
        <f t="shared" si="104"/>
        <v/>
      </c>
      <c r="AY115" t="str">
        <f t="shared" si="105"/>
        <v/>
      </c>
      <c r="AZ115" t="str">
        <f t="shared" si="106"/>
        <v/>
      </c>
      <c r="BA115" t="str">
        <f t="shared" si="107"/>
        <v/>
      </c>
      <c r="BB115" t="str">
        <f t="shared" si="108"/>
        <v/>
      </c>
      <c r="BC115" t="str">
        <f t="shared" si="109"/>
        <v/>
      </c>
      <c r="BE115">
        <f t="shared" si="110"/>
        <v>35</v>
      </c>
      <c r="BF115">
        <f t="shared" si="111"/>
        <v>0</v>
      </c>
      <c r="BG115" t="str">
        <f t="shared" si="112"/>
        <v/>
      </c>
      <c r="BH115" t="str">
        <f t="shared" si="113"/>
        <v/>
      </c>
    </row>
    <row r="116" spans="4:60" x14ac:dyDescent="0.55000000000000004">
      <c r="D116">
        <v>106</v>
      </c>
      <c r="E116" t="str">
        <f t="shared" si="91"/>
        <v/>
      </c>
      <c r="F116" t="str">
        <f t="shared" si="92"/>
        <v/>
      </c>
      <c r="G116" t="str">
        <f t="shared" si="93"/>
        <v/>
      </c>
      <c r="Z116" t="str">
        <f t="shared" si="69"/>
        <v/>
      </c>
      <c r="AA116" t="str">
        <f t="shared" si="89"/>
        <v/>
      </c>
      <c r="AB116" t="str">
        <f t="shared" si="89"/>
        <v/>
      </c>
      <c r="AC116" t="str">
        <f t="shared" si="89"/>
        <v/>
      </c>
      <c r="AD116" t="str">
        <f t="shared" si="71"/>
        <v/>
      </c>
      <c r="AE116" t="str">
        <f t="shared" si="72"/>
        <v/>
      </c>
      <c r="AF116" t="str">
        <f t="shared" si="73"/>
        <v/>
      </c>
      <c r="AG116" t="str">
        <f t="shared" si="74"/>
        <v/>
      </c>
      <c r="AH116" t="str">
        <f t="shared" si="75"/>
        <v/>
      </c>
      <c r="AI116" t="str">
        <f t="shared" si="76"/>
        <v/>
      </c>
      <c r="AJ116" t="str">
        <f t="shared" si="90"/>
        <v/>
      </c>
      <c r="AK116" t="str">
        <f t="shared" si="94"/>
        <v/>
      </c>
      <c r="AM116" t="str">
        <f t="shared" si="95"/>
        <v/>
      </c>
      <c r="AN116" t="str">
        <f t="shared" si="96"/>
        <v/>
      </c>
      <c r="AO116" t="str">
        <f t="shared" si="97"/>
        <v/>
      </c>
      <c r="AP116" t="str">
        <f t="shared" si="85"/>
        <v/>
      </c>
      <c r="AQ116" t="str">
        <f t="shared" si="98"/>
        <v/>
      </c>
      <c r="AR116" t="str">
        <f t="shared" si="99"/>
        <v/>
      </c>
      <c r="AS116" t="str">
        <f t="shared" si="100"/>
        <v/>
      </c>
      <c r="AT116" t="str">
        <f t="shared" si="101"/>
        <v/>
      </c>
      <c r="AU116" t="str">
        <f t="shared" si="102"/>
        <v/>
      </c>
      <c r="AV116" t="str">
        <f t="shared" si="103"/>
        <v/>
      </c>
      <c r="AW116" t="str">
        <f t="shared" si="104"/>
        <v/>
      </c>
      <c r="AY116" t="str">
        <f t="shared" si="105"/>
        <v/>
      </c>
      <c r="AZ116" t="str">
        <f t="shared" si="106"/>
        <v/>
      </c>
      <c r="BA116" t="str">
        <f t="shared" si="107"/>
        <v/>
      </c>
      <c r="BB116" t="str">
        <f t="shared" si="108"/>
        <v/>
      </c>
      <c r="BC116" t="str">
        <f t="shared" si="109"/>
        <v/>
      </c>
      <c r="BE116">
        <f t="shared" si="110"/>
        <v>35</v>
      </c>
      <c r="BF116">
        <f t="shared" si="111"/>
        <v>1</v>
      </c>
      <c r="BG116" t="str">
        <f t="shared" si="112"/>
        <v/>
      </c>
      <c r="BH116" t="str">
        <f t="shared" si="113"/>
        <v/>
      </c>
    </row>
    <row r="117" spans="4:60" x14ac:dyDescent="0.55000000000000004">
      <c r="D117">
        <v>107</v>
      </c>
      <c r="E117" t="str">
        <f t="shared" si="91"/>
        <v/>
      </c>
      <c r="F117" t="str">
        <f t="shared" si="92"/>
        <v/>
      </c>
      <c r="G117" t="str">
        <f t="shared" si="93"/>
        <v/>
      </c>
      <c r="Z117" t="str">
        <f t="shared" si="69"/>
        <v/>
      </c>
      <c r="AA117" t="str">
        <f t="shared" si="89"/>
        <v/>
      </c>
      <c r="AB117" t="str">
        <f t="shared" si="89"/>
        <v/>
      </c>
      <c r="AC117" t="str">
        <f t="shared" si="89"/>
        <v/>
      </c>
      <c r="AD117" t="str">
        <f t="shared" si="71"/>
        <v/>
      </c>
      <c r="AE117" t="str">
        <f t="shared" si="72"/>
        <v/>
      </c>
      <c r="AF117" t="str">
        <f t="shared" si="73"/>
        <v/>
      </c>
      <c r="AG117" t="str">
        <f t="shared" si="74"/>
        <v/>
      </c>
      <c r="AH117" t="str">
        <f t="shared" si="75"/>
        <v/>
      </c>
      <c r="AI117" t="str">
        <f t="shared" si="76"/>
        <v/>
      </c>
      <c r="AJ117" t="str">
        <f t="shared" si="90"/>
        <v/>
      </c>
      <c r="AK117" t="str">
        <f t="shared" si="94"/>
        <v/>
      </c>
      <c r="AM117" t="str">
        <f t="shared" si="95"/>
        <v/>
      </c>
      <c r="AN117" t="str">
        <f t="shared" si="96"/>
        <v/>
      </c>
      <c r="AO117" t="str">
        <f t="shared" si="97"/>
        <v/>
      </c>
      <c r="AP117" t="str">
        <f t="shared" si="85"/>
        <v/>
      </c>
      <c r="AQ117" t="str">
        <f t="shared" si="98"/>
        <v/>
      </c>
      <c r="AR117" t="str">
        <f t="shared" si="99"/>
        <v/>
      </c>
      <c r="AS117" t="str">
        <f t="shared" si="100"/>
        <v/>
      </c>
      <c r="AT117" t="str">
        <f t="shared" si="101"/>
        <v/>
      </c>
      <c r="AU117" t="str">
        <f t="shared" si="102"/>
        <v/>
      </c>
      <c r="AV117" t="str">
        <f t="shared" si="103"/>
        <v/>
      </c>
      <c r="AW117" t="str">
        <f t="shared" si="104"/>
        <v/>
      </c>
      <c r="AY117" t="str">
        <f t="shared" si="105"/>
        <v/>
      </c>
      <c r="AZ117" t="str">
        <f t="shared" si="106"/>
        <v/>
      </c>
      <c r="BA117" t="str">
        <f t="shared" si="107"/>
        <v/>
      </c>
      <c r="BB117" t="str">
        <f t="shared" si="108"/>
        <v/>
      </c>
      <c r="BC117" t="str">
        <f t="shared" si="109"/>
        <v/>
      </c>
      <c r="BE117">
        <f t="shared" si="110"/>
        <v>35</v>
      </c>
      <c r="BF117">
        <f t="shared" si="111"/>
        <v>2</v>
      </c>
      <c r="BG117" t="str">
        <f t="shared" si="112"/>
        <v/>
      </c>
      <c r="BH117" t="str">
        <f t="shared" si="113"/>
        <v/>
      </c>
    </row>
    <row r="118" spans="4:60" x14ac:dyDescent="0.55000000000000004">
      <c r="D118">
        <v>108</v>
      </c>
      <c r="E118" t="str">
        <f t="shared" si="91"/>
        <v/>
      </c>
      <c r="F118" t="str">
        <f t="shared" si="92"/>
        <v/>
      </c>
      <c r="G118" t="str">
        <f t="shared" si="93"/>
        <v/>
      </c>
      <c r="Z118" t="str">
        <f t="shared" si="69"/>
        <v/>
      </c>
      <c r="AA118" t="str">
        <f t="shared" si="89"/>
        <v/>
      </c>
      <c r="AB118" t="str">
        <f t="shared" si="89"/>
        <v/>
      </c>
      <c r="AC118" t="str">
        <f t="shared" si="89"/>
        <v/>
      </c>
      <c r="AD118" t="str">
        <f t="shared" si="71"/>
        <v/>
      </c>
      <c r="AE118" t="str">
        <f t="shared" si="72"/>
        <v/>
      </c>
      <c r="AF118" t="str">
        <f t="shared" si="73"/>
        <v/>
      </c>
      <c r="AG118" t="str">
        <f t="shared" si="74"/>
        <v/>
      </c>
      <c r="AH118" t="str">
        <f t="shared" si="75"/>
        <v/>
      </c>
      <c r="AI118" t="str">
        <f t="shared" si="76"/>
        <v/>
      </c>
      <c r="AJ118" t="str">
        <f t="shared" si="90"/>
        <v/>
      </c>
      <c r="AK118" t="str">
        <f t="shared" si="94"/>
        <v/>
      </c>
      <c r="AM118" t="str">
        <f t="shared" si="95"/>
        <v/>
      </c>
      <c r="AN118" t="str">
        <f t="shared" si="96"/>
        <v/>
      </c>
      <c r="AO118" t="str">
        <f t="shared" si="97"/>
        <v/>
      </c>
      <c r="AP118" t="str">
        <f t="shared" si="85"/>
        <v/>
      </c>
      <c r="AQ118" t="str">
        <f t="shared" si="98"/>
        <v/>
      </c>
      <c r="AR118" t="str">
        <f t="shared" si="99"/>
        <v/>
      </c>
      <c r="AS118" t="str">
        <f t="shared" si="100"/>
        <v/>
      </c>
      <c r="AT118" t="str">
        <f t="shared" si="101"/>
        <v/>
      </c>
      <c r="AU118" t="str">
        <f t="shared" si="102"/>
        <v/>
      </c>
      <c r="AV118" t="str">
        <f t="shared" si="103"/>
        <v/>
      </c>
      <c r="AW118" t="str">
        <f t="shared" si="104"/>
        <v/>
      </c>
      <c r="AY118" t="str">
        <f t="shared" si="105"/>
        <v/>
      </c>
      <c r="AZ118" t="str">
        <f t="shared" si="106"/>
        <v/>
      </c>
      <c r="BA118" t="str">
        <f t="shared" si="107"/>
        <v/>
      </c>
      <c r="BB118" t="str">
        <f t="shared" si="108"/>
        <v/>
      </c>
      <c r="BC118" t="str">
        <f t="shared" si="109"/>
        <v/>
      </c>
      <c r="BE118">
        <f t="shared" si="110"/>
        <v>36</v>
      </c>
      <c r="BF118">
        <f t="shared" si="111"/>
        <v>0</v>
      </c>
      <c r="BG118" t="str">
        <f t="shared" si="112"/>
        <v/>
      </c>
      <c r="BH118" t="str">
        <f t="shared" si="113"/>
        <v/>
      </c>
    </row>
    <row r="119" spans="4:60" x14ac:dyDescent="0.55000000000000004">
      <c r="D119">
        <v>109</v>
      </c>
      <c r="E119" t="str">
        <f t="shared" si="91"/>
        <v/>
      </c>
      <c r="F119" t="str">
        <f t="shared" si="92"/>
        <v/>
      </c>
      <c r="G119" t="str">
        <f t="shared" si="93"/>
        <v/>
      </c>
      <c r="Z119" t="str">
        <f t="shared" si="69"/>
        <v/>
      </c>
      <c r="AA119" t="str">
        <f t="shared" si="89"/>
        <v/>
      </c>
      <c r="AB119" t="str">
        <f t="shared" si="89"/>
        <v/>
      </c>
      <c r="AC119" t="str">
        <f t="shared" si="89"/>
        <v/>
      </c>
      <c r="AD119" t="str">
        <f t="shared" si="71"/>
        <v/>
      </c>
      <c r="AE119" t="str">
        <f t="shared" si="72"/>
        <v/>
      </c>
      <c r="AF119" t="str">
        <f t="shared" si="73"/>
        <v/>
      </c>
      <c r="AG119" t="str">
        <f t="shared" si="74"/>
        <v/>
      </c>
      <c r="AH119" t="str">
        <f t="shared" si="75"/>
        <v/>
      </c>
      <c r="AI119" t="str">
        <f t="shared" si="76"/>
        <v/>
      </c>
      <c r="AJ119" t="str">
        <f t="shared" si="90"/>
        <v/>
      </c>
      <c r="AK119" t="str">
        <f t="shared" si="94"/>
        <v/>
      </c>
      <c r="AM119" t="str">
        <f t="shared" si="95"/>
        <v/>
      </c>
      <c r="AN119" t="str">
        <f t="shared" si="96"/>
        <v/>
      </c>
      <c r="AO119" t="str">
        <f t="shared" si="97"/>
        <v/>
      </c>
      <c r="AP119" t="str">
        <f t="shared" si="85"/>
        <v/>
      </c>
      <c r="AQ119" t="str">
        <f t="shared" si="98"/>
        <v/>
      </c>
      <c r="AR119" t="str">
        <f t="shared" si="99"/>
        <v/>
      </c>
      <c r="AS119" t="str">
        <f t="shared" si="100"/>
        <v/>
      </c>
      <c r="AT119" t="str">
        <f t="shared" si="101"/>
        <v/>
      </c>
      <c r="AU119" t="str">
        <f t="shared" si="102"/>
        <v/>
      </c>
      <c r="AV119" t="str">
        <f t="shared" si="103"/>
        <v/>
      </c>
      <c r="AW119" t="str">
        <f t="shared" si="104"/>
        <v/>
      </c>
      <c r="AY119" t="str">
        <f t="shared" si="105"/>
        <v/>
      </c>
      <c r="AZ119" t="str">
        <f t="shared" si="106"/>
        <v/>
      </c>
      <c r="BA119" t="str">
        <f t="shared" si="107"/>
        <v/>
      </c>
      <c r="BB119" t="str">
        <f t="shared" si="108"/>
        <v/>
      </c>
      <c r="BC119" t="str">
        <f t="shared" si="109"/>
        <v/>
      </c>
      <c r="BE119">
        <f t="shared" si="110"/>
        <v>36</v>
      </c>
      <c r="BF119">
        <f t="shared" si="111"/>
        <v>1</v>
      </c>
      <c r="BG119" t="str">
        <f t="shared" si="112"/>
        <v/>
      </c>
      <c r="BH119" t="str">
        <f t="shared" si="113"/>
        <v/>
      </c>
    </row>
    <row r="120" spans="4:60" x14ac:dyDescent="0.55000000000000004">
      <c r="D120">
        <v>110</v>
      </c>
      <c r="E120" t="str">
        <f t="shared" si="91"/>
        <v/>
      </c>
      <c r="F120" t="str">
        <f t="shared" si="92"/>
        <v/>
      </c>
      <c r="G120" t="str">
        <f t="shared" si="93"/>
        <v/>
      </c>
      <c r="Z120" t="str">
        <f t="shared" si="69"/>
        <v/>
      </c>
      <c r="AA120" t="str">
        <f t="shared" si="89"/>
        <v/>
      </c>
      <c r="AB120" t="str">
        <f t="shared" si="89"/>
        <v/>
      </c>
      <c r="AC120" t="str">
        <f t="shared" si="89"/>
        <v/>
      </c>
      <c r="AD120" t="str">
        <f t="shared" si="71"/>
        <v/>
      </c>
      <c r="AE120" t="str">
        <f t="shared" si="72"/>
        <v/>
      </c>
      <c r="AF120" t="str">
        <f t="shared" si="73"/>
        <v/>
      </c>
      <c r="AG120" t="str">
        <f t="shared" si="74"/>
        <v/>
      </c>
      <c r="AH120" t="str">
        <f t="shared" si="75"/>
        <v/>
      </c>
      <c r="AI120" t="str">
        <f t="shared" si="76"/>
        <v/>
      </c>
      <c r="AJ120" t="str">
        <f t="shared" si="90"/>
        <v/>
      </c>
      <c r="AK120" t="str">
        <f t="shared" si="94"/>
        <v/>
      </c>
      <c r="AM120" t="str">
        <f t="shared" si="95"/>
        <v/>
      </c>
      <c r="AN120" t="str">
        <f t="shared" si="96"/>
        <v/>
      </c>
      <c r="AO120" t="str">
        <f t="shared" si="97"/>
        <v/>
      </c>
      <c r="AP120" t="str">
        <f t="shared" si="85"/>
        <v/>
      </c>
      <c r="AQ120" t="str">
        <f t="shared" si="98"/>
        <v/>
      </c>
      <c r="AR120" t="str">
        <f t="shared" si="99"/>
        <v/>
      </c>
      <c r="AS120" t="str">
        <f t="shared" si="100"/>
        <v/>
      </c>
      <c r="AT120" t="str">
        <f t="shared" si="101"/>
        <v/>
      </c>
      <c r="AU120" t="str">
        <f t="shared" si="102"/>
        <v/>
      </c>
      <c r="AV120" t="str">
        <f t="shared" si="103"/>
        <v/>
      </c>
      <c r="AW120" t="str">
        <f t="shared" si="104"/>
        <v/>
      </c>
      <c r="AY120" t="str">
        <f t="shared" si="105"/>
        <v/>
      </c>
      <c r="AZ120" t="str">
        <f t="shared" si="106"/>
        <v/>
      </c>
      <c r="BA120" t="str">
        <f t="shared" si="107"/>
        <v/>
      </c>
      <c r="BB120" t="str">
        <f t="shared" si="108"/>
        <v/>
      </c>
      <c r="BC120" t="str">
        <f t="shared" si="109"/>
        <v/>
      </c>
      <c r="BE120">
        <f t="shared" si="110"/>
        <v>36</v>
      </c>
      <c r="BF120">
        <f t="shared" si="111"/>
        <v>2</v>
      </c>
      <c r="BG120" t="str">
        <f t="shared" si="112"/>
        <v/>
      </c>
      <c r="BH120" t="str">
        <f t="shared" si="113"/>
        <v/>
      </c>
    </row>
    <row r="121" spans="4:60" x14ac:dyDescent="0.55000000000000004">
      <c r="D121">
        <v>111</v>
      </c>
      <c r="E121" t="str">
        <f t="shared" si="91"/>
        <v/>
      </c>
      <c r="F121" t="str">
        <f t="shared" si="92"/>
        <v/>
      </c>
      <c r="G121" t="str">
        <f t="shared" si="93"/>
        <v/>
      </c>
      <c r="Z121" t="str">
        <f t="shared" si="69"/>
        <v/>
      </c>
      <c r="AA121" t="str">
        <f t="shared" si="89"/>
        <v/>
      </c>
      <c r="AB121" t="str">
        <f t="shared" si="89"/>
        <v/>
      </c>
      <c r="AC121" t="str">
        <f t="shared" si="89"/>
        <v/>
      </c>
      <c r="AD121" t="str">
        <f t="shared" si="71"/>
        <v/>
      </c>
      <c r="AE121" t="str">
        <f t="shared" si="72"/>
        <v/>
      </c>
      <c r="AF121" t="str">
        <f t="shared" si="73"/>
        <v/>
      </c>
      <c r="AG121" t="str">
        <f t="shared" si="74"/>
        <v/>
      </c>
      <c r="AH121" t="str">
        <f t="shared" si="75"/>
        <v/>
      </c>
      <c r="AI121" t="str">
        <f t="shared" si="76"/>
        <v/>
      </c>
      <c r="AJ121" t="str">
        <f t="shared" si="90"/>
        <v/>
      </c>
      <c r="AK121" t="str">
        <f t="shared" si="94"/>
        <v/>
      </c>
      <c r="AM121" t="str">
        <f t="shared" si="95"/>
        <v/>
      </c>
      <c r="AN121" t="str">
        <f t="shared" si="96"/>
        <v/>
      </c>
      <c r="AO121" t="str">
        <f t="shared" si="97"/>
        <v/>
      </c>
      <c r="AP121" t="str">
        <f t="shared" si="85"/>
        <v/>
      </c>
      <c r="AQ121" t="str">
        <f t="shared" si="98"/>
        <v/>
      </c>
      <c r="AR121" t="str">
        <f t="shared" si="99"/>
        <v/>
      </c>
      <c r="AS121" t="str">
        <f t="shared" si="100"/>
        <v/>
      </c>
      <c r="AT121" t="str">
        <f t="shared" si="101"/>
        <v/>
      </c>
      <c r="AU121" t="str">
        <f t="shared" si="102"/>
        <v/>
      </c>
      <c r="AV121" t="str">
        <f t="shared" si="103"/>
        <v/>
      </c>
      <c r="AW121" t="str">
        <f t="shared" si="104"/>
        <v/>
      </c>
      <c r="AY121" t="str">
        <f t="shared" si="105"/>
        <v/>
      </c>
      <c r="AZ121" t="str">
        <f t="shared" si="106"/>
        <v/>
      </c>
      <c r="BA121" t="str">
        <f t="shared" si="107"/>
        <v/>
      </c>
      <c r="BB121" t="str">
        <f t="shared" si="108"/>
        <v/>
      </c>
      <c r="BC121" t="str">
        <f t="shared" si="109"/>
        <v/>
      </c>
      <c r="BE121">
        <f t="shared" si="110"/>
        <v>37</v>
      </c>
      <c r="BF121">
        <f t="shared" si="111"/>
        <v>0</v>
      </c>
      <c r="BG121" t="str">
        <f t="shared" si="112"/>
        <v/>
      </c>
      <c r="BH121" t="str">
        <f t="shared" si="113"/>
        <v/>
      </c>
    </row>
    <row r="122" spans="4:60" x14ac:dyDescent="0.55000000000000004">
      <c r="D122">
        <v>112</v>
      </c>
      <c r="E122" t="str">
        <f t="shared" si="91"/>
        <v/>
      </c>
      <c r="F122" t="str">
        <f t="shared" si="92"/>
        <v/>
      </c>
      <c r="G122" t="str">
        <f t="shared" si="93"/>
        <v/>
      </c>
      <c r="Z122" t="str">
        <f t="shared" si="69"/>
        <v/>
      </c>
      <c r="AA122" t="str">
        <f t="shared" si="89"/>
        <v/>
      </c>
      <c r="AB122" t="str">
        <f t="shared" si="89"/>
        <v/>
      </c>
      <c r="AC122" t="str">
        <f t="shared" si="89"/>
        <v/>
      </c>
      <c r="AD122" t="str">
        <f t="shared" si="71"/>
        <v/>
      </c>
      <c r="AE122" t="str">
        <f t="shared" si="72"/>
        <v/>
      </c>
      <c r="AF122" t="str">
        <f t="shared" si="73"/>
        <v/>
      </c>
      <c r="AG122" t="str">
        <f t="shared" si="74"/>
        <v/>
      </c>
      <c r="AH122" t="str">
        <f t="shared" si="75"/>
        <v/>
      </c>
      <c r="AI122" t="str">
        <f t="shared" si="76"/>
        <v/>
      </c>
      <c r="AJ122" t="str">
        <f t="shared" si="90"/>
        <v/>
      </c>
      <c r="AK122" t="str">
        <f t="shared" si="94"/>
        <v/>
      </c>
      <c r="AM122" t="str">
        <f t="shared" si="95"/>
        <v/>
      </c>
      <c r="AN122" t="str">
        <f t="shared" si="96"/>
        <v/>
      </c>
      <c r="AO122" t="str">
        <f t="shared" si="97"/>
        <v/>
      </c>
      <c r="AP122" t="str">
        <f t="shared" si="85"/>
        <v/>
      </c>
      <c r="AQ122" t="str">
        <f t="shared" si="98"/>
        <v/>
      </c>
      <c r="AR122" t="str">
        <f t="shared" si="99"/>
        <v/>
      </c>
      <c r="AS122" t="str">
        <f t="shared" si="100"/>
        <v/>
      </c>
      <c r="AT122" t="str">
        <f t="shared" si="101"/>
        <v/>
      </c>
      <c r="AU122" t="str">
        <f t="shared" si="102"/>
        <v/>
      </c>
      <c r="AV122" t="str">
        <f t="shared" si="103"/>
        <v/>
      </c>
      <c r="AW122" t="str">
        <f t="shared" si="104"/>
        <v/>
      </c>
      <c r="AY122" t="str">
        <f t="shared" si="105"/>
        <v/>
      </c>
      <c r="AZ122" t="str">
        <f t="shared" si="106"/>
        <v/>
      </c>
      <c r="BA122" t="str">
        <f t="shared" si="107"/>
        <v/>
      </c>
      <c r="BB122" t="str">
        <f t="shared" si="108"/>
        <v/>
      </c>
      <c r="BC122" t="str">
        <f t="shared" si="109"/>
        <v/>
      </c>
      <c r="BE122">
        <f t="shared" si="110"/>
        <v>37</v>
      </c>
      <c r="BF122">
        <f t="shared" si="111"/>
        <v>1</v>
      </c>
      <c r="BG122" t="str">
        <f t="shared" si="112"/>
        <v/>
      </c>
      <c r="BH122" t="str">
        <f t="shared" si="113"/>
        <v/>
      </c>
    </row>
    <row r="123" spans="4:60" x14ac:dyDescent="0.55000000000000004">
      <c r="D123">
        <v>113</v>
      </c>
      <c r="E123" t="str">
        <f t="shared" si="91"/>
        <v/>
      </c>
      <c r="F123" t="str">
        <f t="shared" si="92"/>
        <v/>
      </c>
      <c r="G123" t="str">
        <f t="shared" si="93"/>
        <v/>
      </c>
      <c r="Z123" t="str">
        <f t="shared" si="69"/>
        <v/>
      </c>
      <c r="AA123" t="str">
        <f t="shared" si="89"/>
        <v/>
      </c>
      <c r="AB123" t="str">
        <f t="shared" si="89"/>
        <v/>
      </c>
      <c r="AC123" t="str">
        <f t="shared" si="89"/>
        <v/>
      </c>
      <c r="AD123" t="str">
        <f t="shared" si="71"/>
        <v/>
      </c>
      <c r="AE123" t="str">
        <f t="shared" si="72"/>
        <v/>
      </c>
      <c r="AF123" t="str">
        <f t="shared" si="73"/>
        <v/>
      </c>
      <c r="AG123" t="str">
        <f t="shared" si="74"/>
        <v/>
      </c>
      <c r="AH123" t="str">
        <f t="shared" si="75"/>
        <v/>
      </c>
      <c r="AI123" t="str">
        <f t="shared" si="76"/>
        <v/>
      </c>
      <c r="AJ123" t="str">
        <f t="shared" si="90"/>
        <v/>
      </c>
      <c r="AK123" t="str">
        <f t="shared" si="94"/>
        <v/>
      </c>
      <c r="AM123" t="str">
        <f t="shared" si="95"/>
        <v/>
      </c>
      <c r="AN123" t="str">
        <f t="shared" si="96"/>
        <v/>
      </c>
      <c r="AO123" t="str">
        <f t="shared" si="97"/>
        <v/>
      </c>
      <c r="AP123" t="str">
        <f t="shared" si="85"/>
        <v/>
      </c>
      <c r="AQ123" t="str">
        <f t="shared" si="98"/>
        <v/>
      </c>
      <c r="AR123" t="str">
        <f t="shared" si="99"/>
        <v/>
      </c>
      <c r="AS123" t="str">
        <f t="shared" si="100"/>
        <v/>
      </c>
      <c r="AT123" t="str">
        <f t="shared" si="101"/>
        <v/>
      </c>
      <c r="AU123" t="str">
        <f t="shared" si="102"/>
        <v/>
      </c>
      <c r="AV123" t="str">
        <f t="shared" si="103"/>
        <v/>
      </c>
      <c r="AW123" t="str">
        <f t="shared" si="104"/>
        <v/>
      </c>
      <c r="AY123" t="str">
        <f t="shared" si="105"/>
        <v/>
      </c>
      <c r="AZ123" t="str">
        <f t="shared" si="106"/>
        <v/>
      </c>
      <c r="BA123" t="str">
        <f t="shared" si="107"/>
        <v/>
      </c>
      <c r="BB123" t="str">
        <f t="shared" si="108"/>
        <v/>
      </c>
      <c r="BC123" t="str">
        <f t="shared" si="109"/>
        <v/>
      </c>
      <c r="BE123">
        <f t="shared" si="110"/>
        <v>37</v>
      </c>
      <c r="BF123">
        <f t="shared" si="111"/>
        <v>2</v>
      </c>
      <c r="BG123" t="str">
        <f t="shared" si="112"/>
        <v/>
      </c>
      <c r="BH123" t="str">
        <f t="shared" si="113"/>
        <v/>
      </c>
    </row>
    <row r="124" spans="4:60" x14ac:dyDescent="0.55000000000000004">
      <c r="D124">
        <v>114</v>
      </c>
      <c r="E124" t="str">
        <f t="shared" si="91"/>
        <v/>
      </c>
      <c r="F124" t="str">
        <f t="shared" si="92"/>
        <v/>
      </c>
      <c r="G124" t="str">
        <f t="shared" si="93"/>
        <v/>
      </c>
      <c r="Z124" t="str">
        <f t="shared" si="69"/>
        <v/>
      </c>
      <c r="AA124" t="str">
        <f t="shared" si="89"/>
        <v/>
      </c>
      <c r="AB124" t="str">
        <f t="shared" si="89"/>
        <v/>
      </c>
      <c r="AC124" t="str">
        <f t="shared" si="89"/>
        <v/>
      </c>
      <c r="AD124" t="str">
        <f t="shared" si="71"/>
        <v/>
      </c>
      <c r="AE124" t="str">
        <f t="shared" si="72"/>
        <v/>
      </c>
      <c r="AF124" t="str">
        <f t="shared" si="73"/>
        <v/>
      </c>
      <c r="AG124" t="str">
        <f t="shared" si="74"/>
        <v/>
      </c>
      <c r="AH124" t="str">
        <f t="shared" si="75"/>
        <v/>
      </c>
      <c r="AI124" t="str">
        <f t="shared" si="76"/>
        <v/>
      </c>
      <c r="AJ124" t="str">
        <f t="shared" si="90"/>
        <v/>
      </c>
      <c r="AK124" t="str">
        <f t="shared" si="94"/>
        <v/>
      </c>
      <c r="AM124" t="str">
        <f t="shared" si="95"/>
        <v/>
      </c>
      <c r="AN124" t="str">
        <f t="shared" si="96"/>
        <v/>
      </c>
      <c r="AO124" t="str">
        <f t="shared" si="97"/>
        <v/>
      </c>
      <c r="AP124" t="str">
        <f t="shared" si="85"/>
        <v/>
      </c>
      <c r="AQ124" t="str">
        <f t="shared" si="98"/>
        <v/>
      </c>
      <c r="AR124" t="str">
        <f t="shared" si="99"/>
        <v/>
      </c>
      <c r="AS124" t="str">
        <f t="shared" si="100"/>
        <v/>
      </c>
      <c r="AT124" t="str">
        <f t="shared" si="101"/>
        <v/>
      </c>
      <c r="AU124" t="str">
        <f t="shared" si="102"/>
        <v/>
      </c>
      <c r="AV124" t="str">
        <f t="shared" si="103"/>
        <v/>
      </c>
      <c r="AW124" t="str">
        <f t="shared" si="104"/>
        <v/>
      </c>
      <c r="AY124" t="str">
        <f t="shared" si="105"/>
        <v/>
      </c>
      <c r="AZ124" t="str">
        <f t="shared" si="106"/>
        <v/>
      </c>
      <c r="BA124" t="str">
        <f t="shared" si="107"/>
        <v/>
      </c>
      <c r="BB124" t="str">
        <f t="shared" si="108"/>
        <v/>
      </c>
      <c r="BC124" t="str">
        <f t="shared" si="109"/>
        <v/>
      </c>
      <c r="BE124">
        <f t="shared" si="110"/>
        <v>38</v>
      </c>
      <c r="BF124">
        <f t="shared" si="111"/>
        <v>0</v>
      </c>
      <c r="BG124" t="str">
        <f t="shared" si="112"/>
        <v/>
      </c>
      <c r="BH124" t="str">
        <f t="shared" si="113"/>
        <v/>
      </c>
    </row>
    <row r="125" spans="4:60" x14ac:dyDescent="0.55000000000000004">
      <c r="D125">
        <v>115</v>
      </c>
      <c r="E125" t="str">
        <f t="shared" si="91"/>
        <v/>
      </c>
      <c r="F125" t="str">
        <f t="shared" si="92"/>
        <v/>
      </c>
      <c r="G125" t="str">
        <f t="shared" si="93"/>
        <v/>
      </c>
      <c r="Z125" t="str">
        <f t="shared" si="69"/>
        <v/>
      </c>
      <c r="AA125" t="str">
        <f t="shared" si="89"/>
        <v/>
      </c>
      <c r="AB125" t="str">
        <f t="shared" si="89"/>
        <v/>
      </c>
      <c r="AC125" t="str">
        <f t="shared" si="89"/>
        <v/>
      </c>
      <c r="AD125" t="str">
        <f t="shared" si="71"/>
        <v/>
      </c>
      <c r="AE125" t="str">
        <f t="shared" si="72"/>
        <v/>
      </c>
      <c r="AF125" t="str">
        <f t="shared" si="73"/>
        <v/>
      </c>
      <c r="AG125" t="str">
        <f t="shared" si="74"/>
        <v/>
      </c>
      <c r="AH125" t="str">
        <f t="shared" si="75"/>
        <v/>
      </c>
      <c r="AI125" t="str">
        <f t="shared" si="76"/>
        <v/>
      </c>
      <c r="AJ125" t="str">
        <f t="shared" si="90"/>
        <v/>
      </c>
      <c r="AK125" t="str">
        <f t="shared" si="94"/>
        <v/>
      </c>
      <c r="AM125" t="str">
        <f t="shared" si="95"/>
        <v/>
      </c>
      <c r="AN125" t="str">
        <f t="shared" si="96"/>
        <v/>
      </c>
      <c r="AO125" t="str">
        <f t="shared" si="97"/>
        <v/>
      </c>
      <c r="AP125" t="str">
        <f t="shared" si="85"/>
        <v/>
      </c>
      <c r="AQ125" t="str">
        <f t="shared" si="98"/>
        <v/>
      </c>
      <c r="AR125" t="str">
        <f t="shared" si="99"/>
        <v/>
      </c>
      <c r="AS125" t="str">
        <f t="shared" si="100"/>
        <v/>
      </c>
      <c r="AT125" t="str">
        <f t="shared" si="101"/>
        <v/>
      </c>
      <c r="AU125" t="str">
        <f t="shared" si="102"/>
        <v/>
      </c>
      <c r="AV125" t="str">
        <f t="shared" si="103"/>
        <v/>
      </c>
      <c r="AW125" t="str">
        <f t="shared" si="104"/>
        <v/>
      </c>
      <c r="AY125" t="str">
        <f t="shared" si="105"/>
        <v/>
      </c>
      <c r="AZ125" t="str">
        <f t="shared" si="106"/>
        <v/>
      </c>
      <c r="BA125" t="str">
        <f t="shared" si="107"/>
        <v/>
      </c>
      <c r="BB125" t="str">
        <f t="shared" si="108"/>
        <v/>
      </c>
      <c r="BC125" t="str">
        <f t="shared" si="109"/>
        <v/>
      </c>
      <c r="BE125">
        <f t="shared" si="110"/>
        <v>38</v>
      </c>
      <c r="BF125">
        <f t="shared" si="111"/>
        <v>1</v>
      </c>
      <c r="BG125" t="str">
        <f t="shared" si="112"/>
        <v/>
      </c>
      <c r="BH125" t="str">
        <f t="shared" si="113"/>
        <v/>
      </c>
    </row>
    <row r="126" spans="4:60" x14ac:dyDescent="0.55000000000000004">
      <c r="D126">
        <v>116</v>
      </c>
      <c r="E126" t="str">
        <f t="shared" si="91"/>
        <v/>
      </c>
      <c r="F126" t="str">
        <f t="shared" si="92"/>
        <v/>
      </c>
      <c r="G126" t="str">
        <f t="shared" si="93"/>
        <v/>
      </c>
      <c r="Z126" t="str">
        <f t="shared" si="69"/>
        <v/>
      </c>
      <c r="AA126" t="str">
        <f t="shared" si="89"/>
        <v/>
      </c>
      <c r="AB126" t="str">
        <f t="shared" si="89"/>
        <v/>
      </c>
      <c r="AC126" t="str">
        <f t="shared" si="89"/>
        <v/>
      </c>
      <c r="AD126" t="str">
        <f t="shared" si="71"/>
        <v/>
      </c>
      <c r="AE126" t="str">
        <f t="shared" si="72"/>
        <v/>
      </c>
      <c r="AF126" t="str">
        <f t="shared" si="73"/>
        <v/>
      </c>
      <c r="AG126" t="str">
        <f t="shared" si="74"/>
        <v/>
      </c>
      <c r="AH126" t="str">
        <f t="shared" si="75"/>
        <v/>
      </c>
      <c r="AI126" t="str">
        <f t="shared" si="76"/>
        <v/>
      </c>
      <c r="AJ126" t="str">
        <f t="shared" si="90"/>
        <v/>
      </c>
      <c r="AK126" t="str">
        <f t="shared" si="94"/>
        <v/>
      </c>
      <c r="AM126" t="str">
        <f t="shared" si="95"/>
        <v/>
      </c>
      <c r="AN126" t="str">
        <f t="shared" si="96"/>
        <v/>
      </c>
      <c r="AO126" t="str">
        <f t="shared" si="97"/>
        <v/>
      </c>
      <c r="AP126" t="str">
        <f t="shared" si="85"/>
        <v/>
      </c>
      <c r="AQ126" t="str">
        <f t="shared" si="98"/>
        <v/>
      </c>
      <c r="AR126" t="str">
        <f t="shared" si="99"/>
        <v/>
      </c>
      <c r="AS126" t="str">
        <f t="shared" si="100"/>
        <v/>
      </c>
      <c r="AT126" t="str">
        <f t="shared" si="101"/>
        <v/>
      </c>
      <c r="AU126" t="str">
        <f t="shared" si="102"/>
        <v/>
      </c>
      <c r="AV126" t="str">
        <f t="shared" si="103"/>
        <v/>
      </c>
      <c r="AW126" t="str">
        <f t="shared" si="104"/>
        <v/>
      </c>
      <c r="AY126" t="str">
        <f t="shared" si="105"/>
        <v/>
      </c>
      <c r="AZ126" t="str">
        <f t="shared" si="106"/>
        <v/>
      </c>
      <c r="BA126" t="str">
        <f t="shared" si="107"/>
        <v/>
      </c>
      <c r="BB126" t="str">
        <f t="shared" si="108"/>
        <v/>
      </c>
      <c r="BC126" t="str">
        <f t="shared" si="109"/>
        <v/>
      </c>
      <c r="BE126">
        <f t="shared" si="110"/>
        <v>38</v>
      </c>
      <c r="BF126">
        <f t="shared" si="111"/>
        <v>2</v>
      </c>
      <c r="BG126" t="str">
        <f t="shared" si="112"/>
        <v/>
      </c>
      <c r="BH126" t="str">
        <f t="shared" si="113"/>
        <v/>
      </c>
    </row>
    <row r="127" spans="4:60" x14ac:dyDescent="0.55000000000000004">
      <c r="D127">
        <v>117</v>
      </c>
      <c r="E127" t="str">
        <f t="shared" si="91"/>
        <v/>
      </c>
      <c r="F127" t="str">
        <f t="shared" si="92"/>
        <v/>
      </c>
      <c r="G127" t="str">
        <f t="shared" si="93"/>
        <v/>
      </c>
      <c r="Z127" t="str">
        <f t="shared" si="69"/>
        <v/>
      </c>
      <c r="AA127" t="str">
        <f t="shared" si="89"/>
        <v/>
      </c>
      <c r="AB127" t="str">
        <f t="shared" si="89"/>
        <v/>
      </c>
      <c r="AC127" t="str">
        <f t="shared" si="89"/>
        <v/>
      </c>
      <c r="AD127" t="str">
        <f t="shared" si="71"/>
        <v/>
      </c>
      <c r="AE127" t="str">
        <f t="shared" si="72"/>
        <v/>
      </c>
      <c r="AF127" t="str">
        <f t="shared" si="73"/>
        <v/>
      </c>
      <c r="AG127" t="str">
        <f t="shared" si="74"/>
        <v/>
      </c>
      <c r="AH127" t="str">
        <f t="shared" si="75"/>
        <v/>
      </c>
      <c r="AI127" t="str">
        <f t="shared" si="76"/>
        <v/>
      </c>
      <c r="AJ127" t="str">
        <f t="shared" si="90"/>
        <v/>
      </c>
      <c r="AK127" t="str">
        <f t="shared" si="94"/>
        <v/>
      </c>
      <c r="AM127" t="str">
        <f t="shared" si="95"/>
        <v/>
      </c>
      <c r="AN127" t="str">
        <f t="shared" si="96"/>
        <v/>
      </c>
      <c r="AO127" t="str">
        <f t="shared" si="97"/>
        <v/>
      </c>
      <c r="AP127" t="str">
        <f t="shared" si="85"/>
        <v/>
      </c>
      <c r="AQ127" t="str">
        <f t="shared" si="98"/>
        <v/>
      </c>
      <c r="AR127" t="str">
        <f t="shared" si="99"/>
        <v/>
      </c>
      <c r="AS127" t="str">
        <f t="shared" si="100"/>
        <v/>
      </c>
      <c r="AT127" t="str">
        <f t="shared" si="101"/>
        <v/>
      </c>
      <c r="AU127" t="str">
        <f t="shared" si="102"/>
        <v/>
      </c>
      <c r="AV127" t="str">
        <f t="shared" si="103"/>
        <v/>
      </c>
      <c r="AW127" t="str">
        <f t="shared" si="104"/>
        <v/>
      </c>
      <c r="AY127" t="str">
        <f t="shared" si="105"/>
        <v/>
      </c>
      <c r="AZ127" t="str">
        <f t="shared" si="106"/>
        <v/>
      </c>
      <c r="BA127" t="str">
        <f t="shared" si="107"/>
        <v/>
      </c>
      <c r="BB127" t="str">
        <f t="shared" si="108"/>
        <v/>
      </c>
      <c r="BC127" t="str">
        <f t="shared" si="109"/>
        <v/>
      </c>
      <c r="BE127">
        <f t="shared" si="110"/>
        <v>39</v>
      </c>
      <c r="BF127">
        <f t="shared" si="111"/>
        <v>0</v>
      </c>
      <c r="BG127" t="str">
        <f t="shared" si="112"/>
        <v/>
      </c>
      <c r="BH127" t="str">
        <f t="shared" si="113"/>
        <v/>
      </c>
    </row>
    <row r="128" spans="4:60" x14ac:dyDescent="0.55000000000000004">
      <c r="D128">
        <v>118</v>
      </c>
      <c r="E128" t="str">
        <f t="shared" si="91"/>
        <v/>
      </c>
      <c r="F128" t="str">
        <f t="shared" si="92"/>
        <v/>
      </c>
      <c r="G128" t="str">
        <f t="shared" si="93"/>
        <v/>
      </c>
      <c r="Z128" t="str">
        <f t="shared" si="69"/>
        <v/>
      </c>
      <c r="AA128" t="str">
        <f t="shared" si="89"/>
        <v/>
      </c>
      <c r="AB128" t="str">
        <f t="shared" si="89"/>
        <v/>
      </c>
      <c r="AC128" t="str">
        <f t="shared" si="89"/>
        <v/>
      </c>
      <c r="AD128" t="str">
        <f t="shared" si="71"/>
        <v/>
      </c>
      <c r="AE128" t="str">
        <f t="shared" si="72"/>
        <v/>
      </c>
      <c r="AF128" t="str">
        <f t="shared" si="73"/>
        <v/>
      </c>
      <c r="AG128" t="str">
        <f t="shared" si="74"/>
        <v/>
      </c>
      <c r="AH128" t="str">
        <f t="shared" si="75"/>
        <v/>
      </c>
      <c r="AI128" t="str">
        <f t="shared" si="76"/>
        <v/>
      </c>
      <c r="AJ128" t="str">
        <f t="shared" si="90"/>
        <v/>
      </c>
      <c r="AK128" t="str">
        <f t="shared" si="94"/>
        <v/>
      </c>
      <c r="AM128" t="str">
        <f t="shared" si="95"/>
        <v/>
      </c>
      <c r="AN128" t="str">
        <f t="shared" si="96"/>
        <v/>
      </c>
      <c r="AO128" t="str">
        <f t="shared" si="97"/>
        <v/>
      </c>
      <c r="AP128" t="str">
        <f t="shared" si="85"/>
        <v/>
      </c>
      <c r="AQ128" t="str">
        <f t="shared" si="98"/>
        <v/>
      </c>
      <c r="AR128" t="str">
        <f t="shared" si="99"/>
        <v/>
      </c>
      <c r="AS128" t="str">
        <f t="shared" si="100"/>
        <v/>
      </c>
      <c r="AT128" t="str">
        <f t="shared" si="101"/>
        <v/>
      </c>
      <c r="AU128" t="str">
        <f t="shared" si="102"/>
        <v/>
      </c>
      <c r="AV128" t="str">
        <f t="shared" si="103"/>
        <v/>
      </c>
      <c r="AW128" t="str">
        <f t="shared" si="104"/>
        <v/>
      </c>
      <c r="AY128" t="str">
        <f t="shared" si="105"/>
        <v/>
      </c>
      <c r="AZ128" t="str">
        <f t="shared" si="106"/>
        <v/>
      </c>
      <c r="BA128" t="str">
        <f t="shared" si="107"/>
        <v/>
      </c>
      <c r="BB128" t="str">
        <f t="shared" si="108"/>
        <v/>
      </c>
      <c r="BC128" t="str">
        <f t="shared" si="109"/>
        <v/>
      </c>
      <c r="BE128">
        <f t="shared" si="110"/>
        <v>39</v>
      </c>
      <c r="BF128">
        <f t="shared" si="111"/>
        <v>1</v>
      </c>
      <c r="BG128" t="str">
        <f t="shared" si="112"/>
        <v/>
      </c>
      <c r="BH128" t="str">
        <f t="shared" si="113"/>
        <v/>
      </c>
    </row>
    <row r="129" spans="4:60" x14ac:dyDescent="0.55000000000000004">
      <c r="D129">
        <v>119</v>
      </c>
      <c r="E129" t="str">
        <f t="shared" si="91"/>
        <v/>
      </c>
      <c r="F129" t="str">
        <f t="shared" si="92"/>
        <v/>
      </c>
      <c r="G129" t="str">
        <f t="shared" si="93"/>
        <v/>
      </c>
      <c r="Z129" t="str">
        <f t="shared" si="69"/>
        <v/>
      </c>
      <c r="AA129" t="str">
        <f t="shared" si="89"/>
        <v/>
      </c>
      <c r="AB129" t="str">
        <f t="shared" si="89"/>
        <v/>
      </c>
      <c r="AC129" t="str">
        <f t="shared" si="89"/>
        <v/>
      </c>
      <c r="AD129" t="str">
        <f t="shared" si="71"/>
        <v/>
      </c>
      <c r="AE129" t="str">
        <f t="shared" si="72"/>
        <v/>
      </c>
      <c r="AF129" t="str">
        <f t="shared" si="73"/>
        <v/>
      </c>
      <c r="AG129" t="str">
        <f t="shared" si="74"/>
        <v/>
      </c>
      <c r="AH129" t="str">
        <f t="shared" si="75"/>
        <v/>
      </c>
      <c r="AI129" t="str">
        <f t="shared" si="76"/>
        <v/>
      </c>
      <c r="AJ129" t="str">
        <f t="shared" si="90"/>
        <v/>
      </c>
      <c r="AK129" t="str">
        <f t="shared" si="94"/>
        <v/>
      </c>
      <c r="AM129" t="str">
        <f t="shared" si="95"/>
        <v/>
      </c>
      <c r="AN129" t="str">
        <f t="shared" si="96"/>
        <v/>
      </c>
      <c r="AO129" t="str">
        <f t="shared" si="97"/>
        <v/>
      </c>
      <c r="AP129" t="str">
        <f t="shared" si="85"/>
        <v/>
      </c>
      <c r="AQ129" t="str">
        <f t="shared" si="98"/>
        <v/>
      </c>
      <c r="AR129" t="str">
        <f t="shared" si="99"/>
        <v/>
      </c>
      <c r="AS129" t="str">
        <f t="shared" si="100"/>
        <v/>
      </c>
      <c r="AT129" t="str">
        <f t="shared" si="101"/>
        <v/>
      </c>
      <c r="AU129" t="str">
        <f t="shared" si="102"/>
        <v/>
      </c>
      <c r="AV129" t="str">
        <f t="shared" si="103"/>
        <v/>
      </c>
      <c r="AW129" t="str">
        <f t="shared" si="104"/>
        <v/>
      </c>
      <c r="AY129" t="str">
        <f t="shared" si="105"/>
        <v/>
      </c>
      <c r="AZ129" t="str">
        <f t="shared" si="106"/>
        <v/>
      </c>
      <c r="BA129" t="str">
        <f t="shared" si="107"/>
        <v/>
      </c>
      <c r="BB129" t="str">
        <f t="shared" si="108"/>
        <v/>
      </c>
      <c r="BC129" t="str">
        <f t="shared" si="109"/>
        <v/>
      </c>
      <c r="BE129">
        <f t="shared" si="110"/>
        <v>39</v>
      </c>
      <c r="BF129">
        <f t="shared" si="111"/>
        <v>2</v>
      </c>
      <c r="BG129" t="str">
        <f t="shared" si="112"/>
        <v/>
      </c>
      <c r="BH129" t="str">
        <f t="shared" si="113"/>
        <v/>
      </c>
    </row>
    <row r="130" spans="4:60" x14ac:dyDescent="0.55000000000000004">
      <c r="D130">
        <v>120</v>
      </c>
      <c r="E130" t="str">
        <f t="shared" si="91"/>
        <v/>
      </c>
      <c r="F130" t="str">
        <f t="shared" si="92"/>
        <v/>
      </c>
      <c r="G130" t="str">
        <f t="shared" si="93"/>
        <v/>
      </c>
      <c r="Z130" t="str">
        <f t="shared" si="69"/>
        <v/>
      </c>
      <c r="AA130" t="str">
        <f t="shared" si="89"/>
        <v/>
      </c>
      <c r="AB130" t="str">
        <f t="shared" si="89"/>
        <v/>
      </c>
      <c r="AC130" t="str">
        <f t="shared" si="89"/>
        <v/>
      </c>
      <c r="AD130" t="str">
        <f t="shared" si="71"/>
        <v/>
      </c>
      <c r="AE130" t="str">
        <f t="shared" si="72"/>
        <v/>
      </c>
      <c r="AF130" t="str">
        <f t="shared" si="73"/>
        <v/>
      </c>
      <c r="AG130" t="str">
        <f t="shared" si="74"/>
        <v/>
      </c>
      <c r="AH130" t="str">
        <f t="shared" si="75"/>
        <v/>
      </c>
      <c r="AI130" t="str">
        <f t="shared" si="76"/>
        <v/>
      </c>
      <c r="AJ130" t="str">
        <f t="shared" si="90"/>
        <v/>
      </c>
      <c r="AK130" t="str">
        <f t="shared" si="94"/>
        <v/>
      </c>
      <c r="AM130" t="str">
        <f t="shared" si="95"/>
        <v/>
      </c>
      <c r="AN130" t="str">
        <f t="shared" si="96"/>
        <v/>
      </c>
      <c r="AO130" t="str">
        <f t="shared" si="97"/>
        <v/>
      </c>
      <c r="AP130" t="str">
        <f t="shared" si="85"/>
        <v/>
      </c>
      <c r="AQ130" t="str">
        <f t="shared" si="98"/>
        <v/>
      </c>
      <c r="AR130" t="str">
        <f t="shared" si="99"/>
        <v/>
      </c>
      <c r="AS130" t="str">
        <f t="shared" si="100"/>
        <v/>
      </c>
      <c r="AT130" t="str">
        <f t="shared" si="101"/>
        <v/>
      </c>
      <c r="AU130" t="str">
        <f t="shared" si="102"/>
        <v/>
      </c>
      <c r="AV130" t="str">
        <f t="shared" si="103"/>
        <v/>
      </c>
      <c r="AW130" t="str">
        <f t="shared" si="104"/>
        <v/>
      </c>
      <c r="AY130" t="str">
        <f t="shared" si="105"/>
        <v/>
      </c>
      <c r="AZ130" t="str">
        <f t="shared" si="106"/>
        <v/>
      </c>
      <c r="BA130" t="str">
        <f t="shared" si="107"/>
        <v/>
      </c>
      <c r="BB130" t="str">
        <f t="shared" si="108"/>
        <v/>
      </c>
      <c r="BC130" t="str">
        <f t="shared" si="109"/>
        <v/>
      </c>
      <c r="BE130">
        <f t="shared" si="110"/>
        <v>40</v>
      </c>
      <c r="BF130">
        <f t="shared" si="111"/>
        <v>0</v>
      </c>
      <c r="BG130" t="str">
        <f t="shared" si="112"/>
        <v/>
      </c>
      <c r="BH130" t="str">
        <f t="shared" si="113"/>
        <v/>
      </c>
    </row>
    <row r="131" spans="4:60" x14ac:dyDescent="0.55000000000000004">
      <c r="D131">
        <v>121</v>
      </c>
      <c r="E131" t="str">
        <f t="shared" si="91"/>
        <v/>
      </c>
      <c r="F131" t="str">
        <f t="shared" si="92"/>
        <v/>
      </c>
      <c r="G131" t="str">
        <f t="shared" si="93"/>
        <v/>
      </c>
      <c r="Z131" t="str">
        <f t="shared" si="69"/>
        <v/>
      </c>
      <c r="AA131" t="str">
        <f t="shared" si="89"/>
        <v/>
      </c>
      <c r="AB131" t="str">
        <f t="shared" si="89"/>
        <v/>
      </c>
      <c r="AC131" t="str">
        <f t="shared" si="89"/>
        <v/>
      </c>
      <c r="AD131" t="str">
        <f t="shared" si="71"/>
        <v/>
      </c>
      <c r="AE131" t="str">
        <f t="shared" si="72"/>
        <v/>
      </c>
      <c r="AF131" t="str">
        <f t="shared" si="73"/>
        <v/>
      </c>
      <c r="AG131" t="str">
        <f t="shared" si="74"/>
        <v/>
      </c>
      <c r="AH131" t="str">
        <f t="shared" si="75"/>
        <v/>
      </c>
      <c r="AI131" t="str">
        <f t="shared" si="76"/>
        <v/>
      </c>
      <c r="AJ131" t="str">
        <f t="shared" si="90"/>
        <v/>
      </c>
      <c r="AK131" t="str">
        <f t="shared" si="94"/>
        <v/>
      </c>
      <c r="AM131" t="str">
        <f t="shared" si="95"/>
        <v/>
      </c>
      <c r="AN131" t="str">
        <f t="shared" si="96"/>
        <v/>
      </c>
      <c r="AO131" t="str">
        <f t="shared" si="97"/>
        <v/>
      </c>
      <c r="AP131" t="str">
        <f t="shared" si="85"/>
        <v/>
      </c>
      <c r="AQ131" t="str">
        <f t="shared" si="98"/>
        <v/>
      </c>
      <c r="AR131" t="str">
        <f t="shared" si="99"/>
        <v/>
      </c>
      <c r="AS131" t="str">
        <f t="shared" si="100"/>
        <v/>
      </c>
      <c r="AT131" t="str">
        <f t="shared" si="101"/>
        <v/>
      </c>
      <c r="AU131" t="str">
        <f t="shared" si="102"/>
        <v/>
      </c>
      <c r="AV131" t="str">
        <f t="shared" si="103"/>
        <v/>
      </c>
      <c r="AW131" t="str">
        <f t="shared" si="104"/>
        <v/>
      </c>
      <c r="AY131" t="str">
        <f t="shared" si="105"/>
        <v/>
      </c>
      <c r="AZ131" t="str">
        <f t="shared" si="106"/>
        <v/>
      </c>
      <c r="BA131" t="str">
        <f t="shared" si="107"/>
        <v/>
      </c>
      <c r="BB131" t="str">
        <f t="shared" si="108"/>
        <v/>
      </c>
      <c r="BC131" t="str">
        <f t="shared" si="109"/>
        <v/>
      </c>
      <c r="BE131">
        <f t="shared" si="110"/>
        <v>40</v>
      </c>
      <c r="BF131">
        <f t="shared" si="111"/>
        <v>1</v>
      </c>
      <c r="BG131" t="str">
        <f t="shared" si="112"/>
        <v/>
      </c>
      <c r="BH131" t="str">
        <f t="shared" si="113"/>
        <v/>
      </c>
    </row>
    <row r="132" spans="4:60" x14ac:dyDescent="0.55000000000000004">
      <c r="D132">
        <v>122</v>
      </c>
      <c r="E132" t="str">
        <f t="shared" si="91"/>
        <v/>
      </c>
      <c r="F132" t="str">
        <f t="shared" si="92"/>
        <v/>
      </c>
      <c r="G132" t="str">
        <f t="shared" si="93"/>
        <v/>
      </c>
      <c r="Z132" t="str">
        <f t="shared" si="69"/>
        <v/>
      </c>
      <c r="AA132" t="str">
        <f t="shared" si="89"/>
        <v/>
      </c>
      <c r="AB132" t="str">
        <f t="shared" si="89"/>
        <v/>
      </c>
      <c r="AC132" t="str">
        <f t="shared" si="89"/>
        <v/>
      </c>
      <c r="AD132" t="str">
        <f t="shared" si="71"/>
        <v/>
      </c>
      <c r="AE132" t="str">
        <f t="shared" si="72"/>
        <v/>
      </c>
      <c r="AF132" t="str">
        <f t="shared" si="73"/>
        <v/>
      </c>
      <c r="AG132" t="str">
        <f t="shared" si="74"/>
        <v/>
      </c>
      <c r="AH132" t="str">
        <f t="shared" si="75"/>
        <v/>
      </c>
      <c r="AI132" t="str">
        <f t="shared" si="76"/>
        <v/>
      </c>
      <c r="AJ132" t="str">
        <f t="shared" si="90"/>
        <v/>
      </c>
      <c r="AK132" t="str">
        <f t="shared" si="94"/>
        <v/>
      </c>
      <c r="AM132" t="str">
        <f t="shared" si="95"/>
        <v/>
      </c>
      <c r="AN132" t="str">
        <f t="shared" si="96"/>
        <v/>
      </c>
      <c r="AO132" t="str">
        <f t="shared" si="97"/>
        <v/>
      </c>
      <c r="AP132" t="str">
        <f t="shared" si="85"/>
        <v/>
      </c>
      <c r="AQ132" t="str">
        <f t="shared" si="98"/>
        <v/>
      </c>
      <c r="AR132" t="str">
        <f t="shared" si="99"/>
        <v/>
      </c>
      <c r="AS132" t="str">
        <f t="shared" si="100"/>
        <v/>
      </c>
      <c r="AT132" t="str">
        <f t="shared" si="101"/>
        <v/>
      </c>
      <c r="AU132" t="str">
        <f t="shared" si="102"/>
        <v/>
      </c>
      <c r="AV132" t="str">
        <f t="shared" si="103"/>
        <v/>
      </c>
      <c r="AW132" t="str">
        <f t="shared" si="104"/>
        <v/>
      </c>
      <c r="AY132" t="str">
        <f t="shared" si="105"/>
        <v/>
      </c>
      <c r="AZ132" t="str">
        <f t="shared" si="106"/>
        <v/>
      </c>
      <c r="BA132" t="str">
        <f t="shared" si="107"/>
        <v/>
      </c>
      <c r="BB132" t="str">
        <f t="shared" si="108"/>
        <v/>
      </c>
      <c r="BC132" t="str">
        <f t="shared" si="109"/>
        <v/>
      </c>
      <c r="BE132">
        <f t="shared" si="110"/>
        <v>40</v>
      </c>
      <c r="BF132">
        <f t="shared" si="111"/>
        <v>2</v>
      </c>
      <c r="BG132" t="str">
        <f t="shared" si="112"/>
        <v/>
      </c>
      <c r="BH132" t="str">
        <f t="shared" si="113"/>
        <v/>
      </c>
    </row>
    <row r="133" spans="4:60" x14ac:dyDescent="0.55000000000000004">
      <c r="D133">
        <v>123</v>
      </c>
      <c r="E133" t="str">
        <f t="shared" si="91"/>
        <v/>
      </c>
      <c r="F133" t="str">
        <f t="shared" si="92"/>
        <v/>
      </c>
      <c r="G133" t="str">
        <f t="shared" si="93"/>
        <v/>
      </c>
      <c r="Z133" t="str">
        <f t="shared" si="69"/>
        <v/>
      </c>
      <c r="AA133" t="str">
        <f t="shared" si="89"/>
        <v/>
      </c>
      <c r="AB133" t="str">
        <f t="shared" si="89"/>
        <v/>
      </c>
      <c r="AC133" t="str">
        <f t="shared" si="89"/>
        <v/>
      </c>
      <c r="AD133" t="str">
        <f t="shared" si="71"/>
        <v/>
      </c>
      <c r="AE133" t="str">
        <f t="shared" si="72"/>
        <v/>
      </c>
      <c r="AF133" t="str">
        <f t="shared" si="73"/>
        <v/>
      </c>
      <c r="AG133" t="str">
        <f t="shared" si="74"/>
        <v/>
      </c>
      <c r="AH133" t="str">
        <f t="shared" si="75"/>
        <v/>
      </c>
      <c r="AI133" t="str">
        <f t="shared" si="76"/>
        <v/>
      </c>
      <c r="AJ133" t="str">
        <f t="shared" si="90"/>
        <v/>
      </c>
      <c r="AK133" t="str">
        <f t="shared" si="94"/>
        <v/>
      </c>
      <c r="AM133" t="str">
        <f t="shared" si="95"/>
        <v/>
      </c>
      <c r="AN133" t="str">
        <f t="shared" si="96"/>
        <v/>
      </c>
      <c r="AO133" t="str">
        <f t="shared" si="97"/>
        <v/>
      </c>
      <c r="AP133" t="str">
        <f t="shared" si="85"/>
        <v/>
      </c>
      <c r="AQ133" t="str">
        <f t="shared" si="98"/>
        <v/>
      </c>
      <c r="AR133" t="str">
        <f t="shared" si="99"/>
        <v/>
      </c>
      <c r="AS133" t="str">
        <f t="shared" si="100"/>
        <v/>
      </c>
      <c r="AT133" t="str">
        <f t="shared" si="101"/>
        <v/>
      </c>
      <c r="AU133" t="str">
        <f t="shared" si="102"/>
        <v/>
      </c>
      <c r="AV133" t="str">
        <f t="shared" si="103"/>
        <v/>
      </c>
      <c r="AW133" t="str">
        <f t="shared" si="104"/>
        <v/>
      </c>
      <c r="AY133" t="str">
        <f t="shared" si="105"/>
        <v/>
      </c>
      <c r="AZ133" t="str">
        <f t="shared" si="106"/>
        <v/>
      </c>
      <c r="BA133" t="str">
        <f t="shared" si="107"/>
        <v/>
      </c>
      <c r="BB133" t="str">
        <f t="shared" si="108"/>
        <v/>
      </c>
      <c r="BC133" t="str">
        <f t="shared" si="109"/>
        <v/>
      </c>
      <c r="BE133">
        <f t="shared" si="110"/>
        <v>41</v>
      </c>
      <c r="BF133">
        <f t="shared" si="111"/>
        <v>0</v>
      </c>
      <c r="BG133" t="str">
        <f t="shared" si="112"/>
        <v/>
      </c>
      <c r="BH133" t="str">
        <f t="shared" si="113"/>
        <v/>
      </c>
    </row>
    <row r="134" spans="4:60" x14ac:dyDescent="0.55000000000000004">
      <c r="D134">
        <v>124</v>
      </c>
      <c r="E134" t="str">
        <f t="shared" si="91"/>
        <v/>
      </c>
      <c r="F134" t="str">
        <f t="shared" si="92"/>
        <v/>
      </c>
      <c r="G134" t="str">
        <f t="shared" si="93"/>
        <v/>
      </c>
      <c r="Z134" t="str">
        <f t="shared" si="69"/>
        <v/>
      </c>
      <c r="AA134" t="str">
        <f t="shared" si="89"/>
        <v/>
      </c>
      <c r="AB134" t="str">
        <f t="shared" si="89"/>
        <v/>
      </c>
      <c r="AC134" t="str">
        <f t="shared" si="89"/>
        <v/>
      </c>
      <c r="AD134" t="str">
        <f t="shared" si="71"/>
        <v/>
      </c>
      <c r="AE134" t="str">
        <f t="shared" si="72"/>
        <v/>
      </c>
      <c r="AF134" t="str">
        <f t="shared" si="73"/>
        <v/>
      </c>
      <c r="AG134" t="str">
        <f t="shared" si="74"/>
        <v/>
      </c>
      <c r="AH134" t="str">
        <f t="shared" si="75"/>
        <v/>
      </c>
      <c r="AI134" t="str">
        <f t="shared" si="76"/>
        <v/>
      </c>
      <c r="AJ134" t="str">
        <f t="shared" si="90"/>
        <v/>
      </c>
      <c r="AK134" t="str">
        <f t="shared" si="94"/>
        <v/>
      </c>
      <c r="AM134" t="str">
        <f t="shared" si="95"/>
        <v/>
      </c>
      <c r="AN134" t="str">
        <f t="shared" si="96"/>
        <v/>
      </c>
      <c r="AO134" t="str">
        <f t="shared" si="97"/>
        <v/>
      </c>
      <c r="AP134" t="str">
        <f t="shared" si="85"/>
        <v/>
      </c>
      <c r="AQ134" t="str">
        <f t="shared" si="98"/>
        <v/>
      </c>
      <c r="AR134" t="str">
        <f t="shared" si="99"/>
        <v/>
      </c>
      <c r="AS134" t="str">
        <f t="shared" si="100"/>
        <v/>
      </c>
      <c r="AT134" t="str">
        <f t="shared" si="101"/>
        <v/>
      </c>
      <c r="AU134" t="str">
        <f t="shared" si="102"/>
        <v/>
      </c>
      <c r="AV134" t="str">
        <f t="shared" si="103"/>
        <v/>
      </c>
      <c r="AW134" t="str">
        <f t="shared" si="104"/>
        <v/>
      </c>
      <c r="AY134" t="str">
        <f t="shared" si="105"/>
        <v/>
      </c>
      <c r="AZ134" t="str">
        <f t="shared" si="106"/>
        <v/>
      </c>
      <c r="BA134" t="str">
        <f t="shared" si="107"/>
        <v/>
      </c>
      <c r="BB134" t="str">
        <f t="shared" si="108"/>
        <v/>
      </c>
      <c r="BC134" t="str">
        <f t="shared" si="109"/>
        <v/>
      </c>
      <c r="BE134">
        <f t="shared" si="110"/>
        <v>41</v>
      </c>
      <c r="BF134">
        <f t="shared" si="111"/>
        <v>1</v>
      </c>
      <c r="BG134" t="str">
        <f t="shared" si="112"/>
        <v/>
      </c>
      <c r="BH134" t="str">
        <f t="shared" si="113"/>
        <v/>
      </c>
    </row>
    <row r="135" spans="4:60" x14ac:dyDescent="0.55000000000000004">
      <c r="D135">
        <v>125</v>
      </c>
      <c r="E135" t="str">
        <f t="shared" si="91"/>
        <v/>
      </c>
      <c r="F135" t="str">
        <f t="shared" si="92"/>
        <v/>
      </c>
      <c r="G135" t="str">
        <f t="shared" si="93"/>
        <v/>
      </c>
      <c r="Z135" t="str">
        <f t="shared" si="69"/>
        <v/>
      </c>
      <c r="AA135" t="str">
        <f t="shared" si="89"/>
        <v/>
      </c>
      <c r="AB135" t="str">
        <f t="shared" si="89"/>
        <v/>
      </c>
      <c r="AC135" t="str">
        <f t="shared" si="89"/>
        <v/>
      </c>
      <c r="AD135" t="str">
        <f t="shared" si="71"/>
        <v/>
      </c>
      <c r="AE135" t="str">
        <f t="shared" si="72"/>
        <v/>
      </c>
      <c r="AF135" t="str">
        <f t="shared" si="73"/>
        <v/>
      </c>
      <c r="AG135" t="str">
        <f t="shared" si="74"/>
        <v/>
      </c>
      <c r="AH135" t="str">
        <f t="shared" si="75"/>
        <v/>
      </c>
      <c r="AI135" t="str">
        <f t="shared" si="76"/>
        <v/>
      </c>
      <c r="AJ135" t="str">
        <f t="shared" si="90"/>
        <v/>
      </c>
      <c r="AK135" t="str">
        <f t="shared" si="94"/>
        <v/>
      </c>
      <c r="AM135" t="str">
        <f t="shared" si="95"/>
        <v/>
      </c>
      <c r="AN135" t="str">
        <f t="shared" si="96"/>
        <v/>
      </c>
      <c r="AO135" t="str">
        <f t="shared" si="97"/>
        <v/>
      </c>
      <c r="AP135" t="str">
        <f t="shared" si="85"/>
        <v/>
      </c>
      <c r="AQ135" t="str">
        <f t="shared" si="98"/>
        <v/>
      </c>
      <c r="AR135" t="str">
        <f t="shared" si="99"/>
        <v/>
      </c>
      <c r="AS135" t="str">
        <f t="shared" si="100"/>
        <v/>
      </c>
      <c r="AT135" t="str">
        <f t="shared" si="101"/>
        <v/>
      </c>
      <c r="AU135" t="str">
        <f t="shared" si="102"/>
        <v/>
      </c>
      <c r="AV135" t="str">
        <f t="shared" si="103"/>
        <v/>
      </c>
      <c r="AW135" t="str">
        <f t="shared" si="104"/>
        <v/>
      </c>
      <c r="AY135" t="str">
        <f t="shared" si="105"/>
        <v/>
      </c>
      <c r="AZ135" t="str">
        <f t="shared" si="106"/>
        <v/>
      </c>
      <c r="BA135" t="str">
        <f t="shared" si="107"/>
        <v/>
      </c>
      <c r="BB135" t="str">
        <f t="shared" si="108"/>
        <v/>
      </c>
      <c r="BC135" t="str">
        <f t="shared" si="109"/>
        <v/>
      </c>
      <c r="BE135">
        <f t="shared" si="110"/>
        <v>41</v>
      </c>
      <c r="BF135">
        <f t="shared" si="111"/>
        <v>2</v>
      </c>
      <c r="BG135" t="str">
        <f t="shared" si="112"/>
        <v/>
      </c>
      <c r="BH135" t="str">
        <f t="shared" si="113"/>
        <v/>
      </c>
    </row>
    <row r="136" spans="4:60" x14ac:dyDescent="0.55000000000000004">
      <c r="D136">
        <v>126</v>
      </c>
      <c r="E136" t="str">
        <f t="shared" si="91"/>
        <v/>
      </c>
      <c r="F136" t="str">
        <f t="shared" si="92"/>
        <v/>
      </c>
      <c r="G136" t="str">
        <f t="shared" si="93"/>
        <v/>
      </c>
      <c r="Z136" t="str">
        <f t="shared" si="69"/>
        <v/>
      </c>
      <c r="AA136" t="str">
        <f t="shared" si="89"/>
        <v/>
      </c>
      <c r="AB136" t="str">
        <f t="shared" si="89"/>
        <v/>
      </c>
      <c r="AC136" t="str">
        <f t="shared" si="89"/>
        <v/>
      </c>
      <c r="AD136" t="str">
        <f t="shared" si="71"/>
        <v/>
      </c>
      <c r="AE136" t="str">
        <f t="shared" si="72"/>
        <v/>
      </c>
      <c r="AF136" t="str">
        <f t="shared" si="73"/>
        <v/>
      </c>
      <c r="AG136" t="str">
        <f t="shared" si="74"/>
        <v/>
      </c>
      <c r="AH136" t="str">
        <f t="shared" si="75"/>
        <v/>
      </c>
      <c r="AI136" t="str">
        <f t="shared" si="76"/>
        <v/>
      </c>
      <c r="AJ136" t="str">
        <f t="shared" si="90"/>
        <v/>
      </c>
      <c r="AK136" t="str">
        <f t="shared" si="94"/>
        <v/>
      </c>
      <c r="AM136" t="str">
        <f t="shared" si="95"/>
        <v/>
      </c>
      <c r="AN136" t="str">
        <f t="shared" si="96"/>
        <v/>
      </c>
      <c r="AO136" t="str">
        <f t="shared" si="97"/>
        <v/>
      </c>
      <c r="AP136" t="str">
        <f t="shared" si="85"/>
        <v/>
      </c>
      <c r="AQ136" t="str">
        <f t="shared" si="98"/>
        <v/>
      </c>
      <c r="AR136" t="str">
        <f t="shared" si="99"/>
        <v/>
      </c>
      <c r="AS136" t="str">
        <f t="shared" si="100"/>
        <v/>
      </c>
      <c r="AT136" t="str">
        <f t="shared" si="101"/>
        <v/>
      </c>
      <c r="AU136" t="str">
        <f t="shared" si="102"/>
        <v/>
      </c>
      <c r="AV136" t="str">
        <f t="shared" si="103"/>
        <v/>
      </c>
      <c r="AW136" t="str">
        <f t="shared" si="104"/>
        <v/>
      </c>
      <c r="AY136" t="str">
        <f t="shared" si="105"/>
        <v/>
      </c>
      <c r="AZ136" t="str">
        <f t="shared" si="106"/>
        <v/>
      </c>
      <c r="BA136" t="str">
        <f t="shared" si="107"/>
        <v/>
      </c>
      <c r="BB136" t="str">
        <f t="shared" si="108"/>
        <v/>
      </c>
      <c r="BC136" t="str">
        <f t="shared" si="109"/>
        <v/>
      </c>
      <c r="BE136">
        <f t="shared" si="110"/>
        <v>42</v>
      </c>
      <c r="BF136">
        <f t="shared" si="111"/>
        <v>0</v>
      </c>
      <c r="BG136" t="str">
        <f t="shared" si="112"/>
        <v/>
      </c>
      <c r="BH136" t="str">
        <f t="shared" si="113"/>
        <v/>
      </c>
    </row>
    <row r="137" spans="4:60" x14ac:dyDescent="0.55000000000000004">
      <c r="D137">
        <v>127</v>
      </c>
      <c r="E137" t="str">
        <f t="shared" si="91"/>
        <v/>
      </c>
      <c r="F137" t="str">
        <f t="shared" si="92"/>
        <v/>
      </c>
      <c r="G137" t="str">
        <f t="shared" si="93"/>
        <v/>
      </c>
      <c r="Z137" t="str">
        <f t="shared" si="69"/>
        <v/>
      </c>
      <c r="AA137" t="str">
        <f t="shared" si="89"/>
        <v/>
      </c>
      <c r="AB137" t="str">
        <f t="shared" si="89"/>
        <v/>
      </c>
      <c r="AC137" t="str">
        <f t="shared" si="89"/>
        <v/>
      </c>
      <c r="AD137" t="str">
        <f t="shared" si="71"/>
        <v/>
      </c>
      <c r="AE137" t="str">
        <f t="shared" si="72"/>
        <v/>
      </c>
      <c r="AF137" t="str">
        <f t="shared" si="73"/>
        <v/>
      </c>
      <c r="AG137" t="str">
        <f t="shared" si="74"/>
        <v/>
      </c>
      <c r="AH137" t="str">
        <f t="shared" si="75"/>
        <v/>
      </c>
      <c r="AI137" t="str">
        <f t="shared" si="76"/>
        <v/>
      </c>
      <c r="AJ137" t="str">
        <f t="shared" si="90"/>
        <v/>
      </c>
      <c r="AK137" t="str">
        <f t="shared" si="94"/>
        <v/>
      </c>
      <c r="AM137" t="str">
        <f t="shared" si="95"/>
        <v/>
      </c>
      <c r="AN137" t="str">
        <f t="shared" si="96"/>
        <v/>
      </c>
      <c r="AO137" t="str">
        <f t="shared" si="97"/>
        <v/>
      </c>
      <c r="AP137" t="str">
        <f t="shared" si="85"/>
        <v/>
      </c>
      <c r="AQ137" t="str">
        <f t="shared" si="98"/>
        <v/>
      </c>
      <c r="AR137" t="str">
        <f t="shared" si="99"/>
        <v/>
      </c>
      <c r="AS137" t="str">
        <f t="shared" si="100"/>
        <v/>
      </c>
      <c r="AT137" t="str">
        <f t="shared" si="101"/>
        <v/>
      </c>
      <c r="AU137" t="str">
        <f t="shared" si="102"/>
        <v/>
      </c>
      <c r="AV137" t="str">
        <f t="shared" si="103"/>
        <v/>
      </c>
      <c r="AW137" t="str">
        <f t="shared" si="104"/>
        <v/>
      </c>
      <c r="AY137" t="str">
        <f t="shared" si="105"/>
        <v/>
      </c>
      <c r="AZ137" t="str">
        <f t="shared" si="106"/>
        <v/>
      </c>
      <c r="BA137" t="str">
        <f t="shared" si="107"/>
        <v/>
      </c>
      <c r="BB137" t="str">
        <f t="shared" si="108"/>
        <v/>
      </c>
      <c r="BC137" t="str">
        <f t="shared" si="109"/>
        <v/>
      </c>
      <c r="BE137">
        <f t="shared" si="110"/>
        <v>42</v>
      </c>
      <c r="BF137">
        <f t="shared" si="111"/>
        <v>1</v>
      </c>
      <c r="BG137" t="str">
        <f t="shared" si="112"/>
        <v/>
      </c>
      <c r="BH137" t="str">
        <f t="shared" si="113"/>
        <v/>
      </c>
    </row>
    <row r="138" spans="4:60" x14ac:dyDescent="0.55000000000000004">
      <c r="D138">
        <v>128</v>
      </c>
      <c r="E138" t="str">
        <f t="shared" si="91"/>
        <v/>
      </c>
      <c r="F138" t="str">
        <f t="shared" si="92"/>
        <v/>
      </c>
      <c r="G138" t="str">
        <f t="shared" si="93"/>
        <v/>
      </c>
      <c r="Z138" t="str">
        <f t="shared" si="69"/>
        <v/>
      </c>
      <c r="AA138" t="str">
        <f t="shared" si="89"/>
        <v/>
      </c>
      <c r="AB138" t="str">
        <f t="shared" si="89"/>
        <v/>
      </c>
      <c r="AC138" t="str">
        <f t="shared" si="89"/>
        <v/>
      </c>
      <c r="AD138" t="str">
        <f t="shared" si="71"/>
        <v/>
      </c>
      <c r="AE138" t="str">
        <f t="shared" si="72"/>
        <v/>
      </c>
      <c r="AF138" t="str">
        <f t="shared" si="73"/>
        <v/>
      </c>
      <c r="AG138" t="str">
        <f t="shared" si="74"/>
        <v/>
      </c>
      <c r="AH138" t="str">
        <f t="shared" si="75"/>
        <v/>
      </c>
      <c r="AI138" t="str">
        <f t="shared" si="76"/>
        <v/>
      </c>
      <c r="AJ138" t="str">
        <f t="shared" si="90"/>
        <v/>
      </c>
      <c r="AK138" t="str">
        <f t="shared" si="94"/>
        <v/>
      </c>
      <c r="AM138" t="str">
        <f t="shared" si="95"/>
        <v/>
      </c>
      <c r="AN138" t="str">
        <f t="shared" si="96"/>
        <v/>
      </c>
      <c r="AO138" t="str">
        <f t="shared" si="97"/>
        <v/>
      </c>
      <c r="AP138" t="str">
        <f t="shared" ref="AP138:AP169" si="114">IF($AM138="●","AND=.D "&amp;$B$17&amp;" #0","")</f>
        <v/>
      </c>
      <c r="AQ138" t="str">
        <f t="shared" si="98"/>
        <v/>
      </c>
      <c r="AR138" t="str">
        <f t="shared" si="99"/>
        <v/>
      </c>
      <c r="AS138" t="str">
        <f t="shared" si="100"/>
        <v/>
      </c>
      <c r="AT138" t="str">
        <f t="shared" si="101"/>
        <v/>
      </c>
      <c r="AU138" t="str">
        <f t="shared" si="102"/>
        <v/>
      </c>
      <c r="AV138" t="str">
        <f t="shared" si="103"/>
        <v/>
      </c>
      <c r="AW138" t="str">
        <f t="shared" si="104"/>
        <v/>
      </c>
      <c r="AY138" t="str">
        <f t="shared" si="105"/>
        <v/>
      </c>
      <c r="AZ138" t="str">
        <f t="shared" si="106"/>
        <v/>
      </c>
      <c r="BA138" t="str">
        <f t="shared" si="107"/>
        <v/>
      </c>
      <c r="BB138" t="str">
        <f t="shared" si="108"/>
        <v/>
      </c>
      <c r="BC138" t="str">
        <f t="shared" si="109"/>
        <v/>
      </c>
      <c r="BE138">
        <f t="shared" si="110"/>
        <v>42</v>
      </c>
      <c r="BF138">
        <f t="shared" si="111"/>
        <v>2</v>
      </c>
      <c r="BG138" t="str">
        <f t="shared" si="112"/>
        <v/>
      </c>
      <c r="BH138" t="str">
        <f t="shared" si="113"/>
        <v/>
      </c>
    </row>
    <row r="139" spans="4:60" x14ac:dyDescent="0.55000000000000004">
      <c r="D139">
        <v>129</v>
      </c>
      <c r="E139" t="str">
        <f t="shared" si="91"/>
        <v/>
      </c>
      <c r="F139" t="str">
        <f t="shared" si="92"/>
        <v/>
      </c>
      <c r="G139" t="str">
        <f t="shared" si="93"/>
        <v/>
      </c>
      <c r="Z139" t="str">
        <f t="shared" ref="Z139:Z202" si="115">IFERROR(IF(COUNTIF($G139,"*"&amp;Z$9&amp;"*"),INT(MID($G139,FIND(Z$9,$G139)+LEN(Z$9)+1,2)),""),"")</f>
        <v/>
      </c>
      <c r="AA139" t="str">
        <f t="shared" ref="AA139:AC170" si="116">IFERROR(IF(COUNTIF($G139,"*"&amp;AA$9&amp;"*"),INT(MID($G139,FIND(AA$9,$G139)+LEN(AA$9),2)),""),"")</f>
        <v/>
      </c>
      <c r="AB139" t="str">
        <f t="shared" si="116"/>
        <v/>
      </c>
      <c r="AC139" t="str">
        <f t="shared" si="116"/>
        <v/>
      </c>
      <c r="AD139" t="str">
        <f t="shared" ref="AD139:AD202" si="117">IFERROR(IF(AND(LEN($Z139),AD$2&lt;=$Z139,$Z139&lt;=AD$3),AD$9&amp;"["&amp;$Z139-AD$2&amp;"]",""),"")</f>
        <v/>
      </c>
      <c r="AE139" t="str">
        <f t="shared" ref="AE139:AE202" si="118">IFERROR(IF(AND(LEN($Z139),AE$2&lt;=$Z139,$Z139&lt;=AE$3),AE$9&amp;"["&amp;$Z139-AE$2&amp;"]",IF(AND(LEN($Z139),AE$4&lt;=$Z139,$Z139&lt;=AE$5),AE$9&amp;"["&amp;AE$3+$Z139-AE$4-AE$2+1&amp;"]",IF(AND(LEN($Z139),AE$6&lt;=$Z139,$Z139&lt;=AE$7),AE$9&amp;"["&amp;AE$5+$Z139-AE$6-AE$4+1&amp;"]",""))),"")</f>
        <v/>
      </c>
      <c r="AF139" t="str">
        <f t="shared" ref="AF139:AF202" si="119">IFERROR(IF(AND(LEN($Z139),AF$2&lt;=$Z139,$Z139&lt;=AF$3),AF$9&amp;"["&amp;$Z139-AF$2&amp;"]",IF(AND(LEN($Z139),AF$4&lt;=$Z139,$Z139&lt;=AF$5),AF$9&amp;"["&amp;AF$3+$Z139-AF$4-AF$2+1&amp;"]","")),"")</f>
        <v/>
      </c>
      <c r="AG139" t="str">
        <f t="shared" ref="AG139:AG202" si="120">IFERROR(IF(AND(LEN($Z139),AG$2&lt;=$Z139,$Z139&lt;=AG$3),AG$9&amp;"["&amp;$Z139-AG$2&amp;"]",IF(AND(LEN($Z139),AG$4&lt;=$Z139,$Z139&lt;=AG$5),AG$9&amp;"["&amp;AG$3+$Z139-AG$4&amp;"]","")),"")</f>
        <v/>
      </c>
      <c r="AH139" t="str">
        <f t="shared" ref="AH139:AH202" si="121">IFERROR(IF(AND(LEN($AA139),AH$2&lt;=$AA139,$AA139&lt;=AH$3),AH$9&amp;"["&amp;$AA139-AH$2&amp;"]",""),"")</f>
        <v/>
      </c>
      <c r="AI139" t="str">
        <f t="shared" ref="AI139:AI202" si="122">IFERROR(IF(AND(LEN($AB139),AI$2&lt;=$AB139,$AB139&lt;=AI$3),AI$9&amp;"["&amp;$AB139-AI$2&amp;"]",""),"")</f>
        <v/>
      </c>
      <c r="AJ139" t="str">
        <f t="shared" ref="AJ139:AJ170" si="123">IF(AND(LEN($AC139),AJ$2&lt;=$AC139,$AC139&lt;=AJ$3),AJ$9&amp;$AC139-AJ$2&amp;"Out","")</f>
        <v/>
      </c>
      <c r="AK139" t="str">
        <f t="shared" si="94"/>
        <v/>
      </c>
      <c r="AM139" t="str">
        <f t="shared" si="95"/>
        <v/>
      </c>
      <c r="AN139" t="str">
        <f t="shared" si="96"/>
        <v/>
      </c>
      <c r="AO139" t="str">
        <f t="shared" si="97"/>
        <v/>
      </c>
      <c r="AP139" t="str">
        <f t="shared" si="114"/>
        <v/>
      </c>
      <c r="AQ139" t="str">
        <f t="shared" si="98"/>
        <v/>
      </c>
      <c r="AR139" t="str">
        <f t="shared" si="99"/>
        <v/>
      </c>
      <c r="AS139" t="str">
        <f t="shared" si="100"/>
        <v/>
      </c>
      <c r="AT139" t="str">
        <f t="shared" si="101"/>
        <v/>
      </c>
      <c r="AU139" t="str">
        <f t="shared" si="102"/>
        <v/>
      </c>
      <c r="AV139" t="str">
        <f t="shared" si="103"/>
        <v/>
      </c>
      <c r="AW139" t="str">
        <f t="shared" si="104"/>
        <v/>
      </c>
      <c r="AY139" t="str">
        <f t="shared" si="105"/>
        <v/>
      </c>
      <c r="AZ139" t="str">
        <f t="shared" si="106"/>
        <v/>
      </c>
      <c r="BA139" t="str">
        <f t="shared" si="107"/>
        <v/>
      </c>
      <c r="BB139" t="str">
        <f t="shared" si="108"/>
        <v/>
      </c>
      <c r="BC139" t="str">
        <f t="shared" si="109"/>
        <v/>
      </c>
      <c r="BE139">
        <f t="shared" si="110"/>
        <v>43</v>
      </c>
      <c r="BF139">
        <f t="shared" si="111"/>
        <v>0</v>
      </c>
      <c r="BG139" t="str">
        <f t="shared" si="112"/>
        <v/>
      </c>
      <c r="BH139" t="str">
        <f t="shared" si="113"/>
        <v/>
      </c>
    </row>
    <row r="140" spans="4:60" x14ac:dyDescent="0.55000000000000004">
      <c r="D140">
        <v>130</v>
      </c>
      <c r="E140" t="str">
        <f t="shared" si="91"/>
        <v/>
      </c>
      <c r="F140" t="str">
        <f t="shared" si="92"/>
        <v/>
      </c>
      <c r="G140" t="str">
        <f t="shared" si="93"/>
        <v/>
      </c>
      <c r="Z140" t="str">
        <f t="shared" si="115"/>
        <v/>
      </c>
      <c r="AA140" t="str">
        <f t="shared" si="116"/>
        <v/>
      </c>
      <c r="AB140" t="str">
        <f t="shared" si="116"/>
        <v/>
      </c>
      <c r="AC140" t="str">
        <f t="shared" si="116"/>
        <v/>
      </c>
      <c r="AD140" t="str">
        <f t="shared" si="117"/>
        <v/>
      </c>
      <c r="AE140" t="str">
        <f t="shared" si="118"/>
        <v/>
      </c>
      <c r="AF140" t="str">
        <f t="shared" si="119"/>
        <v/>
      </c>
      <c r="AG140" t="str">
        <f t="shared" si="120"/>
        <v/>
      </c>
      <c r="AH140" t="str">
        <f t="shared" si="121"/>
        <v/>
      </c>
      <c r="AI140" t="str">
        <f t="shared" si="122"/>
        <v/>
      </c>
      <c r="AJ140" t="str">
        <f t="shared" si="123"/>
        <v/>
      </c>
      <c r="AK140" t="str">
        <f t="shared" si="94"/>
        <v/>
      </c>
      <c r="AM140" t="str">
        <f t="shared" si="95"/>
        <v/>
      </c>
      <c r="AN140" t="str">
        <f t="shared" si="96"/>
        <v/>
      </c>
      <c r="AO140" t="str">
        <f t="shared" si="97"/>
        <v/>
      </c>
      <c r="AP140" t="str">
        <f t="shared" si="114"/>
        <v/>
      </c>
      <c r="AQ140" t="str">
        <f t="shared" si="98"/>
        <v/>
      </c>
      <c r="AR140" t="str">
        <f t="shared" si="99"/>
        <v/>
      </c>
      <c r="AS140" t="str">
        <f t="shared" si="100"/>
        <v/>
      </c>
      <c r="AT140" t="str">
        <f t="shared" si="101"/>
        <v/>
      </c>
      <c r="AU140" t="str">
        <f t="shared" si="102"/>
        <v/>
      </c>
      <c r="AV140" t="str">
        <f t="shared" si="103"/>
        <v/>
      </c>
      <c r="AW140" t="str">
        <f t="shared" si="104"/>
        <v/>
      </c>
      <c r="AY140" t="str">
        <f t="shared" si="105"/>
        <v/>
      </c>
      <c r="AZ140" t="str">
        <f t="shared" si="106"/>
        <v/>
      </c>
      <c r="BA140" t="str">
        <f t="shared" si="107"/>
        <v/>
      </c>
      <c r="BB140" t="str">
        <f t="shared" si="108"/>
        <v/>
      </c>
      <c r="BC140" t="str">
        <f t="shared" si="109"/>
        <v/>
      </c>
      <c r="BE140">
        <f t="shared" si="110"/>
        <v>43</v>
      </c>
      <c r="BF140">
        <f t="shared" si="111"/>
        <v>1</v>
      </c>
      <c r="BG140" t="str">
        <f t="shared" si="112"/>
        <v/>
      </c>
      <c r="BH140" t="str">
        <f t="shared" si="113"/>
        <v/>
      </c>
    </row>
    <row r="141" spans="4:60" x14ac:dyDescent="0.55000000000000004">
      <c r="D141">
        <v>131</v>
      </c>
      <c r="E141" t="str">
        <f t="shared" si="91"/>
        <v/>
      </c>
      <c r="F141" t="str">
        <f t="shared" si="92"/>
        <v/>
      </c>
      <c r="G141" t="str">
        <f t="shared" si="93"/>
        <v/>
      </c>
      <c r="Z141" t="str">
        <f t="shared" si="115"/>
        <v/>
      </c>
      <c r="AA141" t="str">
        <f t="shared" si="116"/>
        <v/>
      </c>
      <c r="AB141" t="str">
        <f t="shared" si="116"/>
        <v/>
      </c>
      <c r="AC141" t="str">
        <f t="shared" si="116"/>
        <v/>
      </c>
      <c r="AD141" t="str">
        <f t="shared" si="117"/>
        <v/>
      </c>
      <c r="AE141" t="str">
        <f t="shared" si="118"/>
        <v/>
      </c>
      <c r="AF141" t="str">
        <f t="shared" si="119"/>
        <v/>
      </c>
      <c r="AG141" t="str">
        <f t="shared" si="120"/>
        <v/>
      </c>
      <c r="AH141" t="str">
        <f t="shared" si="121"/>
        <v/>
      </c>
      <c r="AI141" t="str">
        <f t="shared" si="122"/>
        <v/>
      </c>
      <c r="AJ141" t="str">
        <f t="shared" si="123"/>
        <v/>
      </c>
      <c r="AK141" t="str">
        <f t="shared" si="94"/>
        <v/>
      </c>
      <c r="AM141" t="str">
        <f t="shared" si="95"/>
        <v/>
      </c>
      <c r="AN141" t="str">
        <f t="shared" si="96"/>
        <v/>
      </c>
      <c r="AO141" t="str">
        <f t="shared" si="97"/>
        <v/>
      </c>
      <c r="AP141" t="str">
        <f t="shared" si="114"/>
        <v/>
      </c>
      <c r="AQ141" t="str">
        <f t="shared" si="98"/>
        <v/>
      </c>
      <c r="AR141" t="str">
        <f t="shared" si="99"/>
        <v/>
      </c>
      <c r="AS141" t="str">
        <f t="shared" si="100"/>
        <v/>
      </c>
      <c r="AT141" t="str">
        <f t="shared" si="101"/>
        <v/>
      </c>
      <c r="AU141" t="str">
        <f t="shared" si="102"/>
        <v/>
      </c>
      <c r="AV141" t="str">
        <f t="shared" si="103"/>
        <v/>
      </c>
      <c r="AW141" t="str">
        <f t="shared" si="104"/>
        <v/>
      </c>
      <c r="AY141" t="str">
        <f t="shared" si="105"/>
        <v/>
      </c>
      <c r="AZ141" t="str">
        <f t="shared" si="106"/>
        <v/>
      </c>
      <c r="BA141" t="str">
        <f t="shared" si="107"/>
        <v/>
      </c>
      <c r="BB141" t="str">
        <f t="shared" si="108"/>
        <v/>
      </c>
      <c r="BC141" t="str">
        <f t="shared" si="109"/>
        <v/>
      </c>
      <c r="BE141">
        <f t="shared" si="110"/>
        <v>43</v>
      </c>
      <c r="BF141">
        <f t="shared" si="111"/>
        <v>2</v>
      </c>
      <c r="BG141" t="str">
        <f t="shared" si="112"/>
        <v/>
      </c>
      <c r="BH141" t="str">
        <f t="shared" si="113"/>
        <v/>
      </c>
    </row>
    <row r="142" spans="4:60" x14ac:dyDescent="0.55000000000000004">
      <c r="D142">
        <v>132</v>
      </c>
      <c r="E142" t="str">
        <f t="shared" si="91"/>
        <v/>
      </c>
      <c r="F142" t="str">
        <f t="shared" si="92"/>
        <v/>
      </c>
      <c r="G142" t="str">
        <f t="shared" si="93"/>
        <v/>
      </c>
      <c r="Z142" t="str">
        <f t="shared" si="115"/>
        <v/>
      </c>
      <c r="AA142" t="str">
        <f t="shared" si="116"/>
        <v/>
      </c>
      <c r="AB142" t="str">
        <f t="shared" si="116"/>
        <v/>
      </c>
      <c r="AC142" t="str">
        <f t="shared" si="116"/>
        <v/>
      </c>
      <c r="AD142" t="str">
        <f t="shared" si="117"/>
        <v/>
      </c>
      <c r="AE142" t="str">
        <f t="shared" si="118"/>
        <v/>
      </c>
      <c r="AF142" t="str">
        <f t="shared" si="119"/>
        <v/>
      </c>
      <c r="AG142" t="str">
        <f t="shared" si="120"/>
        <v/>
      </c>
      <c r="AH142" t="str">
        <f t="shared" si="121"/>
        <v/>
      </c>
      <c r="AI142" t="str">
        <f t="shared" si="122"/>
        <v/>
      </c>
      <c r="AJ142" t="str">
        <f t="shared" si="123"/>
        <v/>
      </c>
      <c r="AK142" t="str">
        <f t="shared" si="94"/>
        <v/>
      </c>
      <c r="AM142" t="str">
        <f t="shared" si="95"/>
        <v/>
      </c>
      <c r="AN142" t="str">
        <f t="shared" si="96"/>
        <v/>
      </c>
      <c r="AO142" t="str">
        <f t="shared" si="97"/>
        <v/>
      </c>
      <c r="AP142" t="str">
        <f t="shared" si="114"/>
        <v/>
      </c>
      <c r="AQ142" t="str">
        <f t="shared" si="98"/>
        <v/>
      </c>
      <c r="AR142" t="str">
        <f t="shared" si="99"/>
        <v/>
      </c>
      <c r="AS142" t="str">
        <f t="shared" si="100"/>
        <v/>
      </c>
      <c r="AT142" t="str">
        <f t="shared" si="101"/>
        <v/>
      </c>
      <c r="AU142" t="str">
        <f t="shared" si="102"/>
        <v/>
      </c>
      <c r="AV142" t="str">
        <f t="shared" si="103"/>
        <v/>
      </c>
      <c r="AW142" t="str">
        <f t="shared" si="104"/>
        <v/>
      </c>
      <c r="AY142" t="str">
        <f t="shared" si="105"/>
        <v/>
      </c>
      <c r="AZ142" t="str">
        <f t="shared" si="106"/>
        <v/>
      </c>
      <c r="BA142" t="str">
        <f t="shared" si="107"/>
        <v/>
      </c>
      <c r="BB142" t="str">
        <f t="shared" si="108"/>
        <v/>
      </c>
      <c r="BC142" t="str">
        <f t="shared" si="109"/>
        <v/>
      </c>
      <c r="BE142">
        <f t="shared" si="110"/>
        <v>44</v>
      </c>
      <c r="BF142">
        <f t="shared" si="111"/>
        <v>0</v>
      </c>
      <c r="BG142" t="str">
        <f t="shared" si="112"/>
        <v/>
      </c>
      <c r="BH142" t="str">
        <f t="shared" si="113"/>
        <v/>
      </c>
    </row>
    <row r="143" spans="4:60" x14ac:dyDescent="0.55000000000000004">
      <c r="D143">
        <v>133</v>
      </c>
      <c r="E143" t="str">
        <f t="shared" si="91"/>
        <v/>
      </c>
      <c r="F143" t="str">
        <f t="shared" si="92"/>
        <v/>
      </c>
      <c r="G143" t="str">
        <f t="shared" si="93"/>
        <v/>
      </c>
      <c r="Z143" t="str">
        <f t="shared" si="115"/>
        <v/>
      </c>
      <c r="AA143" t="str">
        <f t="shared" si="116"/>
        <v/>
      </c>
      <c r="AB143" t="str">
        <f t="shared" si="116"/>
        <v/>
      </c>
      <c r="AC143" t="str">
        <f t="shared" si="116"/>
        <v/>
      </c>
      <c r="AD143" t="str">
        <f t="shared" si="117"/>
        <v/>
      </c>
      <c r="AE143" t="str">
        <f t="shared" si="118"/>
        <v/>
      </c>
      <c r="AF143" t="str">
        <f t="shared" si="119"/>
        <v/>
      </c>
      <c r="AG143" t="str">
        <f t="shared" si="120"/>
        <v/>
      </c>
      <c r="AH143" t="str">
        <f t="shared" si="121"/>
        <v/>
      </c>
      <c r="AI143" t="str">
        <f t="shared" si="122"/>
        <v/>
      </c>
      <c r="AJ143" t="str">
        <f t="shared" si="123"/>
        <v/>
      </c>
      <c r="AK143" t="str">
        <f t="shared" si="94"/>
        <v/>
      </c>
      <c r="AM143" t="str">
        <f t="shared" si="95"/>
        <v/>
      </c>
      <c r="AN143" t="str">
        <f t="shared" si="96"/>
        <v/>
      </c>
      <c r="AO143" t="str">
        <f t="shared" si="97"/>
        <v/>
      </c>
      <c r="AP143" t="str">
        <f t="shared" si="114"/>
        <v/>
      </c>
      <c r="AQ143" t="str">
        <f t="shared" si="98"/>
        <v/>
      </c>
      <c r="AR143" t="str">
        <f t="shared" si="99"/>
        <v/>
      </c>
      <c r="AS143" t="str">
        <f t="shared" si="100"/>
        <v/>
      </c>
      <c r="AT143" t="str">
        <f t="shared" si="101"/>
        <v/>
      </c>
      <c r="AU143" t="str">
        <f t="shared" si="102"/>
        <v/>
      </c>
      <c r="AV143" t="str">
        <f t="shared" si="103"/>
        <v/>
      </c>
      <c r="AW143" t="str">
        <f t="shared" si="104"/>
        <v/>
      </c>
      <c r="AY143" t="str">
        <f t="shared" si="105"/>
        <v/>
      </c>
      <c r="AZ143" t="str">
        <f t="shared" si="106"/>
        <v/>
      </c>
      <c r="BA143" t="str">
        <f t="shared" si="107"/>
        <v/>
      </c>
      <c r="BB143" t="str">
        <f t="shared" si="108"/>
        <v/>
      </c>
      <c r="BC143" t="str">
        <f t="shared" si="109"/>
        <v/>
      </c>
      <c r="BE143">
        <f t="shared" si="110"/>
        <v>44</v>
      </c>
      <c r="BF143">
        <f t="shared" si="111"/>
        <v>1</v>
      </c>
      <c r="BG143" t="str">
        <f t="shared" si="112"/>
        <v/>
      </c>
      <c r="BH143" t="str">
        <f t="shared" si="113"/>
        <v/>
      </c>
    </row>
    <row r="144" spans="4:60" x14ac:dyDescent="0.55000000000000004">
      <c r="D144">
        <v>134</v>
      </c>
      <c r="E144" t="str">
        <f t="shared" si="91"/>
        <v/>
      </c>
      <c r="F144" t="str">
        <f t="shared" si="92"/>
        <v/>
      </c>
      <c r="G144" t="str">
        <f t="shared" si="93"/>
        <v/>
      </c>
      <c r="Z144" t="str">
        <f t="shared" si="115"/>
        <v/>
      </c>
      <c r="AA144" t="str">
        <f t="shared" si="116"/>
        <v/>
      </c>
      <c r="AB144" t="str">
        <f t="shared" si="116"/>
        <v/>
      </c>
      <c r="AC144" t="str">
        <f t="shared" si="116"/>
        <v/>
      </c>
      <c r="AD144" t="str">
        <f t="shared" si="117"/>
        <v/>
      </c>
      <c r="AE144" t="str">
        <f t="shared" si="118"/>
        <v/>
      </c>
      <c r="AF144" t="str">
        <f t="shared" si="119"/>
        <v/>
      </c>
      <c r="AG144" t="str">
        <f t="shared" si="120"/>
        <v/>
      </c>
      <c r="AH144" t="str">
        <f t="shared" si="121"/>
        <v/>
      </c>
      <c r="AI144" t="str">
        <f t="shared" si="122"/>
        <v/>
      </c>
      <c r="AJ144" t="str">
        <f t="shared" si="123"/>
        <v/>
      </c>
      <c r="AK144" t="str">
        <f t="shared" si="94"/>
        <v/>
      </c>
      <c r="AM144" t="str">
        <f t="shared" si="95"/>
        <v/>
      </c>
      <c r="AN144" t="str">
        <f t="shared" si="96"/>
        <v/>
      </c>
      <c r="AO144" t="str">
        <f t="shared" si="97"/>
        <v/>
      </c>
      <c r="AP144" t="str">
        <f t="shared" si="114"/>
        <v/>
      </c>
      <c r="AQ144" t="str">
        <f t="shared" si="98"/>
        <v/>
      </c>
      <c r="AR144" t="str">
        <f t="shared" si="99"/>
        <v/>
      </c>
      <c r="AS144" t="str">
        <f t="shared" si="100"/>
        <v/>
      </c>
      <c r="AT144" t="str">
        <f t="shared" si="101"/>
        <v/>
      </c>
      <c r="AU144" t="str">
        <f t="shared" si="102"/>
        <v/>
      </c>
      <c r="AV144" t="str">
        <f t="shared" si="103"/>
        <v/>
      </c>
      <c r="AW144" t="str">
        <f t="shared" si="104"/>
        <v/>
      </c>
      <c r="AY144" t="str">
        <f t="shared" si="105"/>
        <v/>
      </c>
      <c r="AZ144" t="str">
        <f t="shared" si="106"/>
        <v/>
      </c>
      <c r="BA144" t="str">
        <f t="shared" si="107"/>
        <v/>
      </c>
      <c r="BB144" t="str">
        <f t="shared" si="108"/>
        <v/>
      </c>
      <c r="BC144" t="str">
        <f t="shared" si="109"/>
        <v/>
      </c>
      <c r="BE144">
        <f t="shared" si="110"/>
        <v>44</v>
      </c>
      <c r="BF144">
        <f t="shared" si="111"/>
        <v>2</v>
      </c>
      <c r="BG144" t="str">
        <f t="shared" si="112"/>
        <v/>
      </c>
      <c r="BH144" t="str">
        <f t="shared" si="113"/>
        <v/>
      </c>
    </row>
    <row r="145" spans="4:60" x14ac:dyDescent="0.55000000000000004">
      <c r="D145">
        <v>135</v>
      </c>
      <c r="E145" t="str">
        <f t="shared" si="91"/>
        <v/>
      </c>
      <c r="F145" t="str">
        <f t="shared" si="92"/>
        <v/>
      </c>
      <c r="G145" t="str">
        <f t="shared" si="93"/>
        <v/>
      </c>
      <c r="Z145" t="str">
        <f t="shared" si="115"/>
        <v/>
      </c>
      <c r="AA145" t="str">
        <f t="shared" si="116"/>
        <v/>
      </c>
      <c r="AB145" t="str">
        <f t="shared" si="116"/>
        <v/>
      </c>
      <c r="AC145" t="str">
        <f t="shared" si="116"/>
        <v/>
      </c>
      <c r="AD145" t="str">
        <f t="shared" si="117"/>
        <v/>
      </c>
      <c r="AE145" t="str">
        <f t="shared" si="118"/>
        <v/>
      </c>
      <c r="AF145" t="str">
        <f t="shared" si="119"/>
        <v/>
      </c>
      <c r="AG145" t="str">
        <f t="shared" si="120"/>
        <v/>
      </c>
      <c r="AH145" t="str">
        <f t="shared" si="121"/>
        <v/>
      </c>
      <c r="AI145" t="str">
        <f t="shared" si="122"/>
        <v/>
      </c>
      <c r="AJ145" t="str">
        <f t="shared" si="123"/>
        <v/>
      </c>
      <c r="AK145" t="str">
        <f t="shared" si="94"/>
        <v/>
      </c>
      <c r="AM145" t="str">
        <f t="shared" si="95"/>
        <v/>
      </c>
      <c r="AN145" t="str">
        <f t="shared" si="96"/>
        <v/>
      </c>
      <c r="AO145" t="str">
        <f t="shared" si="97"/>
        <v/>
      </c>
      <c r="AP145" t="str">
        <f t="shared" si="114"/>
        <v/>
      </c>
      <c r="AQ145" t="str">
        <f t="shared" si="98"/>
        <v/>
      </c>
      <c r="AR145" t="str">
        <f t="shared" si="99"/>
        <v/>
      </c>
      <c r="AS145" t="str">
        <f t="shared" si="100"/>
        <v/>
      </c>
      <c r="AT145" t="str">
        <f t="shared" si="101"/>
        <v/>
      </c>
      <c r="AU145" t="str">
        <f t="shared" si="102"/>
        <v/>
      </c>
      <c r="AV145" t="str">
        <f t="shared" si="103"/>
        <v/>
      </c>
      <c r="AW145" t="str">
        <f t="shared" si="104"/>
        <v/>
      </c>
      <c r="AY145" t="str">
        <f t="shared" si="105"/>
        <v/>
      </c>
      <c r="AZ145" t="str">
        <f t="shared" si="106"/>
        <v/>
      </c>
      <c r="BA145" t="str">
        <f t="shared" si="107"/>
        <v/>
      </c>
      <c r="BB145" t="str">
        <f t="shared" si="108"/>
        <v/>
      </c>
      <c r="BC145" t="str">
        <f t="shared" si="109"/>
        <v/>
      </c>
      <c r="BE145">
        <f t="shared" si="110"/>
        <v>45</v>
      </c>
      <c r="BF145">
        <f t="shared" si="111"/>
        <v>0</v>
      </c>
      <c r="BG145" t="str">
        <f t="shared" si="112"/>
        <v/>
      </c>
      <c r="BH145" t="str">
        <f t="shared" si="113"/>
        <v/>
      </c>
    </row>
    <row r="146" spans="4:60" x14ac:dyDescent="0.55000000000000004">
      <c r="D146">
        <v>136</v>
      </c>
      <c r="E146" t="str">
        <f t="shared" si="91"/>
        <v/>
      </c>
      <c r="F146" t="str">
        <f t="shared" si="92"/>
        <v/>
      </c>
      <c r="G146" t="str">
        <f t="shared" si="93"/>
        <v/>
      </c>
      <c r="Z146" t="str">
        <f t="shared" si="115"/>
        <v/>
      </c>
      <c r="AA146" t="str">
        <f t="shared" si="116"/>
        <v/>
      </c>
      <c r="AB146" t="str">
        <f t="shared" si="116"/>
        <v/>
      </c>
      <c r="AC146" t="str">
        <f t="shared" si="116"/>
        <v/>
      </c>
      <c r="AD146" t="str">
        <f t="shared" si="117"/>
        <v/>
      </c>
      <c r="AE146" t="str">
        <f t="shared" si="118"/>
        <v/>
      </c>
      <c r="AF146" t="str">
        <f t="shared" si="119"/>
        <v/>
      </c>
      <c r="AG146" t="str">
        <f t="shared" si="120"/>
        <v/>
      </c>
      <c r="AH146" t="str">
        <f t="shared" si="121"/>
        <v/>
      </c>
      <c r="AI146" t="str">
        <f t="shared" si="122"/>
        <v/>
      </c>
      <c r="AJ146" t="str">
        <f t="shared" si="123"/>
        <v/>
      </c>
      <c r="AK146" t="str">
        <f t="shared" si="94"/>
        <v/>
      </c>
      <c r="AM146" t="str">
        <f t="shared" si="95"/>
        <v/>
      </c>
      <c r="AN146" t="str">
        <f t="shared" si="96"/>
        <v/>
      </c>
      <c r="AO146" t="str">
        <f t="shared" si="97"/>
        <v/>
      </c>
      <c r="AP146" t="str">
        <f t="shared" si="114"/>
        <v/>
      </c>
      <c r="AQ146" t="str">
        <f t="shared" si="98"/>
        <v/>
      </c>
      <c r="AR146" t="str">
        <f t="shared" si="99"/>
        <v/>
      </c>
      <c r="AS146" t="str">
        <f t="shared" si="100"/>
        <v/>
      </c>
      <c r="AT146" t="str">
        <f t="shared" si="101"/>
        <v/>
      </c>
      <c r="AU146" t="str">
        <f t="shared" si="102"/>
        <v/>
      </c>
      <c r="AV146" t="str">
        <f t="shared" si="103"/>
        <v/>
      </c>
      <c r="AW146" t="str">
        <f t="shared" si="104"/>
        <v/>
      </c>
      <c r="AY146" t="str">
        <f t="shared" si="105"/>
        <v/>
      </c>
      <c r="AZ146" t="str">
        <f t="shared" si="106"/>
        <v/>
      </c>
      <c r="BA146" t="str">
        <f t="shared" si="107"/>
        <v/>
      </c>
      <c r="BB146" t="str">
        <f t="shared" si="108"/>
        <v/>
      </c>
      <c r="BC146" t="str">
        <f t="shared" si="109"/>
        <v/>
      </c>
      <c r="BE146">
        <f t="shared" si="110"/>
        <v>45</v>
      </c>
      <c r="BF146">
        <f t="shared" si="111"/>
        <v>1</v>
      </c>
      <c r="BG146" t="str">
        <f t="shared" si="112"/>
        <v/>
      </c>
      <c r="BH146" t="str">
        <f t="shared" si="113"/>
        <v/>
      </c>
    </row>
    <row r="147" spans="4:60" x14ac:dyDescent="0.55000000000000004">
      <c r="D147">
        <v>137</v>
      </c>
      <c r="E147" t="str">
        <f t="shared" si="91"/>
        <v/>
      </c>
      <c r="F147" t="str">
        <f t="shared" si="92"/>
        <v/>
      </c>
      <c r="G147" t="str">
        <f t="shared" si="93"/>
        <v/>
      </c>
      <c r="Z147" t="str">
        <f t="shared" si="115"/>
        <v/>
      </c>
      <c r="AA147" t="str">
        <f t="shared" si="116"/>
        <v/>
      </c>
      <c r="AB147" t="str">
        <f t="shared" si="116"/>
        <v/>
      </c>
      <c r="AC147" t="str">
        <f t="shared" si="116"/>
        <v/>
      </c>
      <c r="AD147" t="str">
        <f t="shared" si="117"/>
        <v/>
      </c>
      <c r="AE147" t="str">
        <f t="shared" si="118"/>
        <v/>
      </c>
      <c r="AF147" t="str">
        <f t="shared" si="119"/>
        <v/>
      </c>
      <c r="AG147" t="str">
        <f t="shared" si="120"/>
        <v/>
      </c>
      <c r="AH147" t="str">
        <f t="shared" si="121"/>
        <v/>
      </c>
      <c r="AI147" t="str">
        <f t="shared" si="122"/>
        <v/>
      </c>
      <c r="AJ147" t="str">
        <f t="shared" si="123"/>
        <v/>
      </c>
      <c r="AK147" t="str">
        <f t="shared" si="94"/>
        <v/>
      </c>
      <c r="AM147" t="str">
        <f t="shared" si="95"/>
        <v/>
      </c>
      <c r="AN147" t="str">
        <f t="shared" si="96"/>
        <v/>
      </c>
      <c r="AO147" t="str">
        <f t="shared" si="97"/>
        <v/>
      </c>
      <c r="AP147" t="str">
        <f t="shared" si="114"/>
        <v/>
      </c>
      <c r="AQ147" t="str">
        <f t="shared" si="98"/>
        <v/>
      </c>
      <c r="AR147" t="str">
        <f t="shared" si="99"/>
        <v/>
      </c>
      <c r="AS147" t="str">
        <f t="shared" si="100"/>
        <v/>
      </c>
      <c r="AT147" t="str">
        <f t="shared" si="101"/>
        <v/>
      </c>
      <c r="AU147" t="str">
        <f t="shared" si="102"/>
        <v/>
      </c>
      <c r="AV147" t="str">
        <f t="shared" si="103"/>
        <v/>
      </c>
      <c r="AW147" t="str">
        <f t="shared" si="104"/>
        <v/>
      </c>
      <c r="AY147" t="str">
        <f t="shared" si="105"/>
        <v/>
      </c>
      <c r="AZ147" t="str">
        <f t="shared" si="106"/>
        <v/>
      </c>
      <c r="BA147" t="str">
        <f t="shared" si="107"/>
        <v/>
      </c>
      <c r="BB147" t="str">
        <f t="shared" si="108"/>
        <v/>
      </c>
      <c r="BC147" t="str">
        <f t="shared" si="109"/>
        <v/>
      </c>
      <c r="BE147">
        <f t="shared" si="110"/>
        <v>45</v>
      </c>
      <c r="BF147">
        <f t="shared" si="111"/>
        <v>2</v>
      </c>
      <c r="BG147" t="str">
        <f t="shared" si="112"/>
        <v/>
      </c>
      <c r="BH147" t="str">
        <f t="shared" si="113"/>
        <v/>
      </c>
    </row>
    <row r="148" spans="4:60" x14ac:dyDescent="0.55000000000000004">
      <c r="D148">
        <v>138</v>
      </c>
      <c r="E148" t="str">
        <f t="shared" si="91"/>
        <v/>
      </c>
      <c r="F148" t="str">
        <f t="shared" si="92"/>
        <v/>
      </c>
      <c r="G148" t="str">
        <f t="shared" si="93"/>
        <v/>
      </c>
      <c r="Z148" t="str">
        <f t="shared" si="115"/>
        <v/>
      </c>
      <c r="AA148" t="str">
        <f t="shared" si="116"/>
        <v/>
      </c>
      <c r="AB148" t="str">
        <f t="shared" si="116"/>
        <v/>
      </c>
      <c r="AC148" t="str">
        <f t="shared" si="116"/>
        <v/>
      </c>
      <c r="AD148" t="str">
        <f t="shared" si="117"/>
        <v/>
      </c>
      <c r="AE148" t="str">
        <f t="shared" si="118"/>
        <v/>
      </c>
      <c r="AF148" t="str">
        <f t="shared" si="119"/>
        <v/>
      </c>
      <c r="AG148" t="str">
        <f t="shared" si="120"/>
        <v/>
      </c>
      <c r="AH148" t="str">
        <f t="shared" si="121"/>
        <v/>
      </c>
      <c r="AI148" t="str">
        <f t="shared" si="122"/>
        <v/>
      </c>
      <c r="AJ148" t="str">
        <f t="shared" si="123"/>
        <v/>
      </c>
      <c r="AK148" t="str">
        <f t="shared" si="94"/>
        <v/>
      </c>
      <c r="AM148" t="str">
        <f t="shared" si="95"/>
        <v/>
      </c>
      <c r="AN148" t="str">
        <f t="shared" si="96"/>
        <v/>
      </c>
      <c r="AO148" t="str">
        <f t="shared" si="97"/>
        <v/>
      </c>
      <c r="AP148" t="str">
        <f t="shared" si="114"/>
        <v/>
      </c>
      <c r="AQ148" t="str">
        <f t="shared" si="98"/>
        <v/>
      </c>
      <c r="AR148" t="str">
        <f t="shared" si="99"/>
        <v/>
      </c>
      <c r="AS148" t="str">
        <f t="shared" si="100"/>
        <v/>
      </c>
      <c r="AT148" t="str">
        <f t="shared" si="101"/>
        <v/>
      </c>
      <c r="AU148" t="str">
        <f t="shared" si="102"/>
        <v/>
      </c>
      <c r="AV148" t="str">
        <f t="shared" si="103"/>
        <v/>
      </c>
      <c r="AW148" t="str">
        <f t="shared" si="104"/>
        <v/>
      </c>
      <c r="AY148" t="str">
        <f t="shared" si="105"/>
        <v/>
      </c>
      <c r="AZ148" t="str">
        <f t="shared" si="106"/>
        <v/>
      </c>
      <c r="BA148" t="str">
        <f t="shared" si="107"/>
        <v/>
      </c>
      <c r="BB148" t="str">
        <f t="shared" si="108"/>
        <v/>
      </c>
      <c r="BC148" t="str">
        <f t="shared" si="109"/>
        <v/>
      </c>
      <c r="BE148">
        <f t="shared" si="110"/>
        <v>46</v>
      </c>
      <c r="BF148">
        <f t="shared" si="111"/>
        <v>0</v>
      </c>
      <c r="BG148" t="str">
        <f t="shared" si="112"/>
        <v/>
      </c>
      <c r="BH148" t="str">
        <f t="shared" si="113"/>
        <v/>
      </c>
    </row>
    <row r="149" spans="4:60" x14ac:dyDescent="0.55000000000000004">
      <c r="D149">
        <v>139</v>
      </c>
      <c r="E149" t="str">
        <f t="shared" si="91"/>
        <v/>
      </c>
      <c r="F149" t="str">
        <f t="shared" si="92"/>
        <v/>
      </c>
      <c r="G149" t="str">
        <f t="shared" si="93"/>
        <v/>
      </c>
      <c r="Z149" t="str">
        <f t="shared" si="115"/>
        <v/>
      </c>
      <c r="AA149" t="str">
        <f t="shared" si="116"/>
        <v/>
      </c>
      <c r="AB149" t="str">
        <f t="shared" si="116"/>
        <v/>
      </c>
      <c r="AC149" t="str">
        <f t="shared" si="116"/>
        <v/>
      </c>
      <c r="AD149" t="str">
        <f t="shared" si="117"/>
        <v/>
      </c>
      <c r="AE149" t="str">
        <f t="shared" si="118"/>
        <v/>
      </c>
      <c r="AF149" t="str">
        <f t="shared" si="119"/>
        <v/>
      </c>
      <c r="AG149" t="str">
        <f t="shared" si="120"/>
        <v/>
      </c>
      <c r="AH149" t="str">
        <f t="shared" si="121"/>
        <v/>
      </c>
      <c r="AI149" t="str">
        <f t="shared" si="122"/>
        <v/>
      </c>
      <c r="AJ149" t="str">
        <f t="shared" si="123"/>
        <v/>
      </c>
      <c r="AK149" t="str">
        <f t="shared" si="94"/>
        <v/>
      </c>
      <c r="AM149" t="str">
        <f t="shared" si="95"/>
        <v/>
      </c>
      <c r="AN149" t="str">
        <f t="shared" si="96"/>
        <v/>
      </c>
      <c r="AO149" t="str">
        <f t="shared" si="97"/>
        <v/>
      </c>
      <c r="AP149" t="str">
        <f t="shared" si="114"/>
        <v/>
      </c>
      <c r="AQ149" t="str">
        <f t="shared" si="98"/>
        <v/>
      </c>
      <c r="AR149" t="str">
        <f t="shared" si="99"/>
        <v/>
      </c>
      <c r="AS149" t="str">
        <f t="shared" si="100"/>
        <v/>
      </c>
      <c r="AT149" t="str">
        <f t="shared" si="101"/>
        <v/>
      </c>
      <c r="AU149" t="str">
        <f t="shared" si="102"/>
        <v/>
      </c>
      <c r="AV149" t="str">
        <f t="shared" si="103"/>
        <v/>
      </c>
      <c r="AW149" t="str">
        <f t="shared" si="104"/>
        <v/>
      </c>
      <c r="AY149" t="str">
        <f t="shared" si="105"/>
        <v/>
      </c>
      <c r="AZ149" t="str">
        <f t="shared" si="106"/>
        <v/>
      </c>
      <c r="BA149" t="str">
        <f t="shared" si="107"/>
        <v/>
      </c>
      <c r="BB149" t="str">
        <f t="shared" si="108"/>
        <v/>
      </c>
      <c r="BC149" t="str">
        <f t="shared" si="109"/>
        <v/>
      </c>
      <c r="BE149">
        <f t="shared" si="110"/>
        <v>46</v>
      </c>
      <c r="BF149">
        <f t="shared" si="111"/>
        <v>1</v>
      </c>
      <c r="BG149" t="str">
        <f t="shared" si="112"/>
        <v/>
      </c>
      <c r="BH149" t="str">
        <f t="shared" si="113"/>
        <v/>
      </c>
    </row>
    <row r="150" spans="4:60" x14ac:dyDescent="0.55000000000000004">
      <c r="D150">
        <v>140</v>
      </c>
      <c r="E150" t="str">
        <f t="shared" si="91"/>
        <v/>
      </c>
      <c r="F150" t="str">
        <f t="shared" si="92"/>
        <v/>
      </c>
      <c r="G150" t="str">
        <f t="shared" si="93"/>
        <v/>
      </c>
      <c r="Z150" t="str">
        <f t="shared" si="115"/>
        <v/>
      </c>
      <c r="AA150" t="str">
        <f t="shared" si="116"/>
        <v/>
      </c>
      <c r="AB150" t="str">
        <f t="shared" si="116"/>
        <v/>
      </c>
      <c r="AC150" t="str">
        <f t="shared" si="116"/>
        <v/>
      </c>
      <c r="AD150" t="str">
        <f t="shared" si="117"/>
        <v/>
      </c>
      <c r="AE150" t="str">
        <f t="shared" si="118"/>
        <v/>
      </c>
      <c r="AF150" t="str">
        <f t="shared" si="119"/>
        <v/>
      </c>
      <c r="AG150" t="str">
        <f t="shared" si="120"/>
        <v/>
      </c>
      <c r="AH150" t="str">
        <f t="shared" si="121"/>
        <v/>
      </c>
      <c r="AI150" t="str">
        <f t="shared" si="122"/>
        <v/>
      </c>
      <c r="AJ150" t="str">
        <f t="shared" si="123"/>
        <v/>
      </c>
      <c r="AK150" t="str">
        <f t="shared" si="94"/>
        <v/>
      </c>
      <c r="AM150" t="str">
        <f t="shared" si="95"/>
        <v/>
      </c>
      <c r="AN150" t="str">
        <f t="shared" si="96"/>
        <v/>
      </c>
      <c r="AO150" t="str">
        <f t="shared" si="97"/>
        <v/>
      </c>
      <c r="AP150" t="str">
        <f t="shared" si="114"/>
        <v/>
      </c>
      <c r="AQ150" t="str">
        <f t="shared" si="98"/>
        <v/>
      </c>
      <c r="AR150" t="str">
        <f t="shared" si="99"/>
        <v/>
      </c>
      <c r="AS150" t="str">
        <f t="shared" si="100"/>
        <v/>
      </c>
      <c r="AT150" t="str">
        <f t="shared" si="101"/>
        <v/>
      </c>
      <c r="AU150" t="str">
        <f t="shared" si="102"/>
        <v/>
      </c>
      <c r="AV150" t="str">
        <f t="shared" si="103"/>
        <v/>
      </c>
      <c r="AW150" t="str">
        <f t="shared" si="104"/>
        <v/>
      </c>
      <c r="AY150" t="str">
        <f t="shared" si="105"/>
        <v/>
      </c>
      <c r="AZ150" t="str">
        <f t="shared" si="106"/>
        <v/>
      </c>
      <c r="BA150" t="str">
        <f t="shared" si="107"/>
        <v/>
      </c>
      <c r="BB150" t="str">
        <f t="shared" si="108"/>
        <v/>
      </c>
      <c r="BC150" t="str">
        <f t="shared" si="109"/>
        <v/>
      </c>
      <c r="BE150">
        <f t="shared" si="110"/>
        <v>46</v>
      </c>
      <c r="BF150">
        <f t="shared" si="111"/>
        <v>2</v>
      </c>
      <c r="BG150" t="str">
        <f t="shared" si="112"/>
        <v/>
      </c>
      <c r="BH150" t="str">
        <f t="shared" si="113"/>
        <v/>
      </c>
    </row>
    <row r="151" spans="4:60" x14ac:dyDescent="0.55000000000000004">
      <c r="D151">
        <v>141</v>
      </c>
      <c r="E151" t="str">
        <f t="shared" si="91"/>
        <v/>
      </c>
      <c r="F151" t="str">
        <f t="shared" si="92"/>
        <v/>
      </c>
      <c r="G151" t="str">
        <f t="shared" si="93"/>
        <v/>
      </c>
      <c r="Z151" t="str">
        <f t="shared" si="115"/>
        <v/>
      </c>
      <c r="AA151" t="str">
        <f t="shared" si="116"/>
        <v/>
      </c>
      <c r="AB151" t="str">
        <f t="shared" si="116"/>
        <v/>
      </c>
      <c r="AC151" t="str">
        <f t="shared" si="116"/>
        <v/>
      </c>
      <c r="AD151" t="str">
        <f t="shared" si="117"/>
        <v/>
      </c>
      <c r="AE151" t="str">
        <f t="shared" si="118"/>
        <v/>
      </c>
      <c r="AF151" t="str">
        <f t="shared" si="119"/>
        <v/>
      </c>
      <c r="AG151" t="str">
        <f t="shared" si="120"/>
        <v/>
      </c>
      <c r="AH151" t="str">
        <f t="shared" si="121"/>
        <v/>
      </c>
      <c r="AI151" t="str">
        <f t="shared" si="122"/>
        <v/>
      </c>
      <c r="AJ151" t="str">
        <f t="shared" si="123"/>
        <v/>
      </c>
      <c r="AK151" t="str">
        <f t="shared" si="94"/>
        <v/>
      </c>
      <c r="AM151" t="str">
        <f t="shared" si="95"/>
        <v/>
      </c>
      <c r="AN151" t="str">
        <f t="shared" si="96"/>
        <v/>
      </c>
      <c r="AO151" t="str">
        <f t="shared" si="97"/>
        <v/>
      </c>
      <c r="AP151" t="str">
        <f t="shared" si="114"/>
        <v/>
      </c>
      <c r="AQ151" t="str">
        <f t="shared" si="98"/>
        <v/>
      </c>
      <c r="AR151" t="str">
        <f t="shared" si="99"/>
        <v/>
      </c>
      <c r="AS151" t="str">
        <f t="shared" si="100"/>
        <v/>
      </c>
      <c r="AT151" t="str">
        <f t="shared" si="101"/>
        <v/>
      </c>
      <c r="AU151" t="str">
        <f t="shared" si="102"/>
        <v/>
      </c>
      <c r="AV151" t="str">
        <f t="shared" si="103"/>
        <v/>
      </c>
      <c r="AW151" t="str">
        <f t="shared" si="104"/>
        <v/>
      </c>
      <c r="AY151" t="str">
        <f t="shared" si="105"/>
        <v/>
      </c>
      <c r="AZ151" t="str">
        <f t="shared" si="106"/>
        <v/>
      </c>
      <c r="BA151" t="str">
        <f t="shared" si="107"/>
        <v/>
      </c>
      <c r="BB151" t="str">
        <f t="shared" si="108"/>
        <v/>
      </c>
      <c r="BC151" t="str">
        <f t="shared" si="109"/>
        <v/>
      </c>
      <c r="BE151">
        <f t="shared" si="110"/>
        <v>47</v>
      </c>
      <c r="BF151">
        <f t="shared" si="111"/>
        <v>0</v>
      </c>
      <c r="BG151" t="str">
        <f t="shared" si="112"/>
        <v/>
      </c>
      <c r="BH151" t="str">
        <f t="shared" si="113"/>
        <v/>
      </c>
    </row>
    <row r="152" spans="4:60" x14ac:dyDescent="0.55000000000000004">
      <c r="D152">
        <v>142</v>
      </c>
      <c r="E152" t="str">
        <f t="shared" si="91"/>
        <v/>
      </c>
      <c r="F152" t="str">
        <f t="shared" si="92"/>
        <v/>
      </c>
      <c r="G152" t="str">
        <f t="shared" si="93"/>
        <v/>
      </c>
      <c r="Z152" t="str">
        <f t="shared" si="115"/>
        <v/>
      </c>
      <c r="AA152" t="str">
        <f t="shared" si="116"/>
        <v/>
      </c>
      <c r="AB152" t="str">
        <f t="shared" si="116"/>
        <v/>
      </c>
      <c r="AC152" t="str">
        <f t="shared" si="116"/>
        <v/>
      </c>
      <c r="AD152" t="str">
        <f t="shared" si="117"/>
        <v/>
      </c>
      <c r="AE152" t="str">
        <f t="shared" si="118"/>
        <v/>
      </c>
      <c r="AF152" t="str">
        <f t="shared" si="119"/>
        <v/>
      </c>
      <c r="AG152" t="str">
        <f t="shared" si="120"/>
        <v/>
      </c>
      <c r="AH152" t="str">
        <f t="shared" si="121"/>
        <v/>
      </c>
      <c r="AI152" t="str">
        <f t="shared" si="122"/>
        <v/>
      </c>
      <c r="AJ152" t="str">
        <f t="shared" si="123"/>
        <v/>
      </c>
      <c r="AK152" t="str">
        <f t="shared" si="94"/>
        <v/>
      </c>
      <c r="AM152" t="str">
        <f t="shared" si="95"/>
        <v/>
      </c>
      <c r="AN152" t="str">
        <f t="shared" si="96"/>
        <v/>
      </c>
      <c r="AO152" t="str">
        <f t="shared" si="97"/>
        <v/>
      </c>
      <c r="AP152" t="str">
        <f t="shared" si="114"/>
        <v/>
      </c>
      <c r="AQ152" t="str">
        <f t="shared" si="98"/>
        <v/>
      </c>
      <c r="AR152" t="str">
        <f t="shared" si="99"/>
        <v/>
      </c>
      <c r="AS152" t="str">
        <f t="shared" si="100"/>
        <v/>
      </c>
      <c r="AT152" t="str">
        <f t="shared" si="101"/>
        <v/>
      </c>
      <c r="AU152" t="str">
        <f t="shared" si="102"/>
        <v/>
      </c>
      <c r="AV152" t="str">
        <f t="shared" si="103"/>
        <v/>
      </c>
      <c r="AW152" t="str">
        <f t="shared" si="104"/>
        <v/>
      </c>
      <c r="AY152" t="str">
        <f t="shared" si="105"/>
        <v/>
      </c>
      <c r="AZ152" t="str">
        <f t="shared" si="106"/>
        <v/>
      </c>
      <c r="BA152" t="str">
        <f t="shared" si="107"/>
        <v/>
      </c>
      <c r="BB152" t="str">
        <f t="shared" si="108"/>
        <v/>
      </c>
      <c r="BC152" t="str">
        <f t="shared" si="109"/>
        <v/>
      </c>
      <c r="BE152">
        <f t="shared" si="110"/>
        <v>47</v>
      </c>
      <c r="BF152">
        <f t="shared" si="111"/>
        <v>1</v>
      </c>
      <c r="BG152" t="str">
        <f t="shared" si="112"/>
        <v/>
      </c>
      <c r="BH152" t="str">
        <f t="shared" si="113"/>
        <v/>
      </c>
    </row>
    <row r="153" spans="4:60" x14ac:dyDescent="0.55000000000000004">
      <c r="D153">
        <v>143</v>
      </c>
      <c r="E153" t="str">
        <f t="shared" si="91"/>
        <v/>
      </c>
      <c r="F153" t="str">
        <f t="shared" si="92"/>
        <v/>
      </c>
      <c r="G153" t="str">
        <f t="shared" si="93"/>
        <v/>
      </c>
      <c r="Z153" t="str">
        <f t="shared" si="115"/>
        <v/>
      </c>
      <c r="AA153" t="str">
        <f t="shared" si="116"/>
        <v/>
      </c>
      <c r="AB153" t="str">
        <f t="shared" si="116"/>
        <v/>
      </c>
      <c r="AC153" t="str">
        <f t="shared" si="116"/>
        <v/>
      </c>
      <c r="AD153" t="str">
        <f t="shared" si="117"/>
        <v/>
      </c>
      <c r="AE153" t="str">
        <f t="shared" si="118"/>
        <v/>
      </c>
      <c r="AF153" t="str">
        <f t="shared" si="119"/>
        <v/>
      </c>
      <c r="AG153" t="str">
        <f t="shared" si="120"/>
        <v/>
      </c>
      <c r="AH153" t="str">
        <f t="shared" si="121"/>
        <v/>
      </c>
      <c r="AI153" t="str">
        <f t="shared" si="122"/>
        <v/>
      </c>
      <c r="AJ153" t="str">
        <f t="shared" si="123"/>
        <v/>
      </c>
      <c r="AK153" t="str">
        <f t="shared" si="94"/>
        <v/>
      </c>
      <c r="AM153" t="str">
        <f t="shared" si="95"/>
        <v/>
      </c>
      <c r="AN153" t="str">
        <f t="shared" si="96"/>
        <v/>
      </c>
      <c r="AO153" t="str">
        <f t="shared" si="97"/>
        <v/>
      </c>
      <c r="AP153" t="str">
        <f t="shared" si="114"/>
        <v/>
      </c>
      <c r="AQ153" t="str">
        <f t="shared" si="98"/>
        <v/>
      </c>
      <c r="AR153" t="str">
        <f t="shared" si="99"/>
        <v/>
      </c>
      <c r="AS153" t="str">
        <f t="shared" si="100"/>
        <v/>
      </c>
      <c r="AT153" t="str">
        <f t="shared" si="101"/>
        <v/>
      </c>
      <c r="AU153" t="str">
        <f t="shared" si="102"/>
        <v/>
      </c>
      <c r="AV153" t="str">
        <f t="shared" si="103"/>
        <v/>
      </c>
      <c r="AW153" t="str">
        <f t="shared" si="104"/>
        <v/>
      </c>
      <c r="AY153" t="str">
        <f t="shared" si="105"/>
        <v/>
      </c>
      <c r="AZ153" t="str">
        <f t="shared" si="106"/>
        <v/>
      </c>
      <c r="BA153" t="str">
        <f t="shared" si="107"/>
        <v/>
      </c>
      <c r="BB153" t="str">
        <f t="shared" si="108"/>
        <v/>
      </c>
      <c r="BC153" t="str">
        <f t="shared" si="109"/>
        <v/>
      </c>
      <c r="BE153">
        <f t="shared" si="110"/>
        <v>47</v>
      </c>
      <c r="BF153">
        <f t="shared" si="111"/>
        <v>2</v>
      </c>
      <c r="BG153" t="str">
        <f t="shared" si="112"/>
        <v/>
      </c>
      <c r="BH153" t="str">
        <f t="shared" si="113"/>
        <v/>
      </c>
    </row>
    <row r="154" spans="4:60" x14ac:dyDescent="0.55000000000000004">
      <c r="D154">
        <v>144</v>
      </c>
      <c r="E154" t="str">
        <f t="shared" si="91"/>
        <v/>
      </c>
      <c r="F154" t="str">
        <f t="shared" si="92"/>
        <v/>
      </c>
      <c r="G154" t="str">
        <f t="shared" si="93"/>
        <v/>
      </c>
      <c r="Z154" t="str">
        <f t="shared" si="115"/>
        <v/>
      </c>
      <c r="AA154" t="str">
        <f t="shared" si="116"/>
        <v/>
      </c>
      <c r="AB154" t="str">
        <f t="shared" si="116"/>
        <v/>
      </c>
      <c r="AC154" t="str">
        <f t="shared" si="116"/>
        <v/>
      </c>
      <c r="AD154" t="str">
        <f t="shared" si="117"/>
        <v/>
      </c>
      <c r="AE154" t="str">
        <f t="shared" si="118"/>
        <v/>
      </c>
      <c r="AF154" t="str">
        <f t="shared" si="119"/>
        <v/>
      </c>
      <c r="AG154" t="str">
        <f t="shared" si="120"/>
        <v/>
      </c>
      <c r="AH154" t="str">
        <f t="shared" si="121"/>
        <v/>
      </c>
      <c r="AI154" t="str">
        <f t="shared" si="122"/>
        <v/>
      </c>
      <c r="AJ154" t="str">
        <f t="shared" si="123"/>
        <v/>
      </c>
      <c r="AK154" t="str">
        <f t="shared" si="94"/>
        <v/>
      </c>
      <c r="AM154" t="str">
        <f t="shared" si="95"/>
        <v/>
      </c>
      <c r="AN154" t="str">
        <f t="shared" si="96"/>
        <v/>
      </c>
      <c r="AO154" t="str">
        <f t="shared" si="97"/>
        <v/>
      </c>
      <c r="AP154" t="str">
        <f t="shared" si="114"/>
        <v/>
      </c>
      <c r="AQ154" t="str">
        <f t="shared" si="98"/>
        <v/>
      </c>
      <c r="AR154" t="str">
        <f t="shared" si="99"/>
        <v/>
      </c>
      <c r="AS154" t="str">
        <f t="shared" si="100"/>
        <v/>
      </c>
      <c r="AT154" t="str">
        <f t="shared" si="101"/>
        <v/>
      </c>
      <c r="AU154" t="str">
        <f t="shared" si="102"/>
        <v/>
      </c>
      <c r="AV154" t="str">
        <f t="shared" si="103"/>
        <v/>
      </c>
      <c r="AW154" t="str">
        <f t="shared" si="104"/>
        <v/>
      </c>
      <c r="AY154" t="str">
        <f t="shared" si="105"/>
        <v/>
      </c>
      <c r="AZ154" t="str">
        <f t="shared" si="106"/>
        <v/>
      </c>
      <c r="BA154" t="str">
        <f t="shared" si="107"/>
        <v/>
      </c>
      <c r="BB154" t="str">
        <f t="shared" si="108"/>
        <v/>
      </c>
      <c r="BC154" t="str">
        <f t="shared" si="109"/>
        <v/>
      </c>
      <c r="BE154">
        <f t="shared" si="110"/>
        <v>48</v>
      </c>
      <c r="BF154">
        <f t="shared" si="111"/>
        <v>0</v>
      </c>
      <c r="BG154" t="str">
        <f t="shared" si="112"/>
        <v/>
      </c>
      <c r="BH154" t="str">
        <f t="shared" si="113"/>
        <v/>
      </c>
    </row>
    <row r="155" spans="4:60" x14ac:dyDescent="0.55000000000000004">
      <c r="D155">
        <v>145</v>
      </c>
      <c r="E155" t="str">
        <f t="shared" si="91"/>
        <v/>
      </c>
      <c r="F155" t="str">
        <f t="shared" si="92"/>
        <v/>
      </c>
      <c r="G155" t="str">
        <f t="shared" si="93"/>
        <v/>
      </c>
      <c r="Z155" t="str">
        <f t="shared" si="115"/>
        <v/>
      </c>
      <c r="AA155" t="str">
        <f t="shared" si="116"/>
        <v/>
      </c>
      <c r="AB155" t="str">
        <f t="shared" si="116"/>
        <v/>
      </c>
      <c r="AC155" t="str">
        <f t="shared" si="116"/>
        <v/>
      </c>
      <c r="AD155" t="str">
        <f t="shared" si="117"/>
        <v/>
      </c>
      <c r="AE155" t="str">
        <f t="shared" si="118"/>
        <v/>
      </c>
      <c r="AF155" t="str">
        <f t="shared" si="119"/>
        <v/>
      </c>
      <c r="AG155" t="str">
        <f t="shared" si="120"/>
        <v/>
      </c>
      <c r="AH155" t="str">
        <f t="shared" si="121"/>
        <v/>
      </c>
      <c r="AI155" t="str">
        <f t="shared" si="122"/>
        <v/>
      </c>
      <c r="AJ155" t="str">
        <f t="shared" si="123"/>
        <v/>
      </c>
      <c r="AK155" t="str">
        <f t="shared" si="94"/>
        <v/>
      </c>
      <c r="AM155" t="str">
        <f t="shared" si="95"/>
        <v/>
      </c>
      <c r="AN155" t="str">
        <f t="shared" si="96"/>
        <v/>
      </c>
      <c r="AO155" t="str">
        <f t="shared" si="97"/>
        <v/>
      </c>
      <c r="AP155" t="str">
        <f t="shared" si="114"/>
        <v/>
      </c>
      <c r="AQ155" t="str">
        <f t="shared" si="98"/>
        <v/>
      </c>
      <c r="AR155" t="str">
        <f t="shared" si="99"/>
        <v/>
      </c>
      <c r="AS155" t="str">
        <f t="shared" si="100"/>
        <v/>
      </c>
      <c r="AT155" t="str">
        <f t="shared" si="101"/>
        <v/>
      </c>
      <c r="AU155" t="str">
        <f t="shared" si="102"/>
        <v/>
      </c>
      <c r="AV155" t="str">
        <f t="shared" si="103"/>
        <v/>
      </c>
      <c r="AW155" t="str">
        <f t="shared" si="104"/>
        <v/>
      </c>
      <c r="AY155" t="str">
        <f t="shared" si="105"/>
        <v/>
      </c>
      <c r="AZ155" t="str">
        <f t="shared" si="106"/>
        <v/>
      </c>
      <c r="BA155" t="str">
        <f t="shared" si="107"/>
        <v/>
      </c>
      <c r="BB155" t="str">
        <f t="shared" si="108"/>
        <v/>
      </c>
      <c r="BC155" t="str">
        <f t="shared" si="109"/>
        <v/>
      </c>
      <c r="BE155">
        <f t="shared" si="110"/>
        <v>48</v>
      </c>
      <c r="BF155">
        <f t="shared" si="111"/>
        <v>1</v>
      </c>
      <c r="BG155" t="str">
        <f t="shared" si="112"/>
        <v/>
      </c>
      <c r="BH155" t="str">
        <f t="shared" si="113"/>
        <v/>
      </c>
    </row>
    <row r="156" spans="4:60" x14ac:dyDescent="0.55000000000000004">
      <c r="D156">
        <v>146</v>
      </c>
      <c r="E156" t="str">
        <f t="shared" si="91"/>
        <v/>
      </c>
      <c r="F156" t="str">
        <f t="shared" si="92"/>
        <v/>
      </c>
      <c r="G156" t="str">
        <f t="shared" si="93"/>
        <v/>
      </c>
      <c r="Z156" t="str">
        <f t="shared" si="115"/>
        <v/>
      </c>
      <c r="AA156" t="str">
        <f t="shared" si="116"/>
        <v/>
      </c>
      <c r="AB156" t="str">
        <f t="shared" si="116"/>
        <v/>
      </c>
      <c r="AC156" t="str">
        <f t="shared" si="116"/>
        <v/>
      </c>
      <c r="AD156" t="str">
        <f t="shared" si="117"/>
        <v/>
      </c>
      <c r="AE156" t="str">
        <f t="shared" si="118"/>
        <v/>
      </c>
      <c r="AF156" t="str">
        <f t="shared" si="119"/>
        <v/>
      </c>
      <c r="AG156" t="str">
        <f t="shared" si="120"/>
        <v/>
      </c>
      <c r="AH156" t="str">
        <f t="shared" si="121"/>
        <v/>
      </c>
      <c r="AI156" t="str">
        <f t="shared" si="122"/>
        <v/>
      </c>
      <c r="AJ156" t="str">
        <f t="shared" si="123"/>
        <v/>
      </c>
      <c r="AK156" t="str">
        <f t="shared" si="94"/>
        <v/>
      </c>
      <c r="AM156" t="str">
        <f t="shared" si="95"/>
        <v/>
      </c>
      <c r="AN156" t="str">
        <f t="shared" si="96"/>
        <v/>
      </c>
      <c r="AO156" t="str">
        <f t="shared" si="97"/>
        <v/>
      </c>
      <c r="AP156" t="str">
        <f t="shared" si="114"/>
        <v/>
      </c>
      <c r="AQ156" t="str">
        <f t="shared" si="98"/>
        <v/>
      </c>
      <c r="AR156" t="str">
        <f t="shared" si="99"/>
        <v/>
      </c>
      <c r="AS156" t="str">
        <f t="shared" si="100"/>
        <v/>
      </c>
      <c r="AT156" t="str">
        <f t="shared" si="101"/>
        <v/>
      </c>
      <c r="AU156" t="str">
        <f t="shared" si="102"/>
        <v/>
      </c>
      <c r="AV156" t="str">
        <f t="shared" si="103"/>
        <v/>
      </c>
      <c r="AW156" t="str">
        <f t="shared" si="104"/>
        <v/>
      </c>
      <c r="AY156" t="str">
        <f t="shared" si="105"/>
        <v/>
      </c>
      <c r="AZ156" t="str">
        <f t="shared" si="106"/>
        <v/>
      </c>
      <c r="BA156" t="str">
        <f t="shared" si="107"/>
        <v/>
      </c>
      <c r="BB156" t="str">
        <f t="shared" si="108"/>
        <v/>
      </c>
      <c r="BC156" t="str">
        <f t="shared" si="109"/>
        <v/>
      </c>
      <c r="BE156">
        <f t="shared" si="110"/>
        <v>48</v>
      </c>
      <c r="BF156">
        <f t="shared" si="111"/>
        <v>2</v>
      </c>
      <c r="BG156" t="str">
        <f t="shared" si="112"/>
        <v/>
      </c>
      <c r="BH156" t="str">
        <f t="shared" si="113"/>
        <v/>
      </c>
    </row>
    <row r="157" spans="4:60" x14ac:dyDescent="0.55000000000000004">
      <c r="D157">
        <v>147</v>
      </c>
      <c r="E157" t="str">
        <f t="shared" si="91"/>
        <v/>
      </c>
      <c r="F157" t="str">
        <f t="shared" si="92"/>
        <v/>
      </c>
      <c r="G157" t="str">
        <f t="shared" si="93"/>
        <v/>
      </c>
      <c r="Z157" t="str">
        <f t="shared" si="115"/>
        <v/>
      </c>
      <c r="AA157" t="str">
        <f t="shared" si="116"/>
        <v/>
      </c>
      <c r="AB157" t="str">
        <f t="shared" si="116"/>
        <v/>
      </c>
      <c r="AC157" t="str">
        <f t="shared" si="116"/>
        <v/>
      </c>
      <c r="AD157" t="str">
        <f t="shared" si="117"/>
        <v/>
      </c>
      <c r="AE157" t="str">
        <f t="shared" si="118"/>
        <v/>
      </c>
      <c r="AF157" t="str">
        <f t="shared" si="119"/>
        <v/>
      </c>
      <c r="AG157" t="str">
        <f t="shared" si="120"/>
        <v/>
      </c>
      <c r="AH157" t="str">
        <f t="shared" si="121"/>
        <v/>
      </c>
      <c r="AI157" t="str">
        <f t="shared" si="122"/>
        <v/>
      </c>
      <c r="AJ157" t="str">
        <f t="shared" si="123"/>
        <v/>
      </c>
      <c r="AK157" t="str">
        <f t="shared" si="94"/>
        <v/>
      </c>
      <c r="AM157" t="str">
        <f t="shared" si="95"/>
        <v/>
      </c>
      <c r="AN157" t="str">
        <f t="shared" si="96"/>
        <v/>
      </c>
      <c r="AO157" t="str">
        <f t="shared" si="97"/>
        <v/>
      </c>
      <c r="AP157" t="str">
        <f t="shared" si="114"/>
        <v/>
      </c>
      <c r="AQ157" t="str">
        <f t="shared" si="98"/>
        <v/>
      </c>
      <c r="AR157" t="str">
        <f t="shared" si="99"/>
        <v/>
      </c>
      <c r="AS157" t="str">
        <f t="shared" si="100"/>
        <v/>
      </c>
      <c r="AT157" t="str">
        <f t="shared" si="101"/>
        <v/>
      </c>
      <c r="AU157" t="str">
        <f t="shared" si="102"/>
        <v/>
      </c>
      <c r="AV157" t="str">
        <f t="shared" si="103"/>
        <v/>
      </c>
      <c r="AW157" t="str">
        <f t="shared" si="104"/>
        <v/>
      </c>
      <c r="AY157" t="str">
        <f t="shared" si="105"/>
        <v/>
      </c>
      <c r="AZ157" t="str">
        <f t="shared" si="106"/>
        <v/>
      </c>
      <c r="BA157" t="str">
        <f t="shared" si="107"/>
        <v/>
      </c>
      <c r="BB157" t="str">
        <f t="shared" si="108"/>
        <v/>
      </c>
      <c r="BC157" t="str">
        <f t="shared" si="109"/>
        <v/>
      </c>
      <c r="BE157">
        <f t="shared" si="110"/>
        <v>49</v>
      </c>
      <c r="BF157">
        <f t="shared" si="111"/>
        <v>0</v>
      </c>
      <c r="BG157" t="str">
        <f t="shared" si="112"/>
        <v/>
      </c>
      <c r="BH157" t="str">
        <f t="shared" si="113"/>
        <v/>
      </c>
    </row>
    <row r="158" spans="4:60" x14ac:dyDescent="0.55000000000000004">
      <c r="D158">
        <v>148</v>
      </c>
      <c r="E158" t="str">
        <f t="shared" si="91"/>
        <v/>
      </c>
      <c r="F158" t="str">
        <f t="shared" si="92"/>
        <v/>
      </c>
      <c r="G158" t="str">
        <f t="shared" si="93"/>
        <v/>
      </c>
      <c r="Z158" t="str">
        <f t="shared" si="115"/>
        <v/>
      </c>
      <c r="AA158" t="str">
        <f t="shared" si="116"/>
        <v/>
      </c>
      <c r="AB158" t="str">
        <f t="shared" si="116"/>
        <v/>
      </c>
      <c r="AC158" t="str">
        <f t="shared" si="116"/>
        <v/>
      </c>
      <c r="AD158" t="str">
        <f t="shared" si="117"/>
        <v/>
      </c>
      <c r="AE158" t="str">
        <f t="shared" si="118"/>
        <v/>
      </c>
      <c r="AF158" t="str">
        <f t="shared" si="119"/>
        <v/>
      </c>
      <c r="AG158" t="str">
        <f t="shared" si="120"/>
        <v/>
      </c>
      <c r="AH158" t="str">
        <f t="shared" si="121"/>
        <v/>
      </c>
      <c r="AI158" t="str">
        <f t="shared" si="122"/>
        <v/>
      </c>
      <c r="AJ158" t="str">
        <f t="shared" si="123"/>
        <v/>
      </c>
      <c r="AK158" t="str">
        <f t="shared" si="94"/>
        <v/>
      </c>
      <c r="AM158" t="str">
        <f t="shared" si="95"/>
        <v/>
      </c>
      <c r="AN158" t="str">
        <f t="shared" si="96"/>
        <v/>
      </c>
      <c r="AO158" t="str">
        <f t="shared" si="97"/>
        <v/>
      </c>
      <c r="AP158" t="str">
        <f t="shared" si="114"/>
        <v/>
      </c>
      <c r="AQ158" t="str">
        <f t="shared" si="98"/>
        <v/>
      </c>
      <c r="AR158" t="str">
        <f t="shared" si="99"/>
        <v/>
      </c>
      <c r="AS158" t="str">
        <f t="shared" si="100"/>
        <v/>
      </c>
      <c r="AT158" t="str">
        <f t="shared" si="101"/>
        <v/>
      </c>
      <c r="AU158" t="str">
        <f t="shared" si="102"/>
        <v/>
      </c>
      <c r="AV158" t="str">
        <f t="shared" si="103"/>
        <v/>
      </c>
      <c r="AW158" t="str">
        <f t="shared" si="104"/>
        <v/>
      </c>
      <c r="AY158" t="str">
        <f t="shared" si="105"/>
        <v/>
      </c>
      <c r="AZ158" t="str">
        <f t="shared" si="106"/>
        <v/>
      </c>
      <c r="BA158" t="str">
        <f t="shared" si="107"/>
        <v/>
      </c>
      <c r="BB158" t="str">
        <f t="shared" si="108"/>
        <v/>
      </c>
      <c r="BC158" t="str">
        <f t="shared" si="109"/>
        <v/>
      </c>
      <c r="BE158">
        <f t="shared" si="110"/>
        <v>49</v>
      </c>
      <c r="BF158">
        <f t="shared" si="111"/>
        <v>1</v>
      </c>
      <c r="BG158" t="str">
        <f t="shared" si="112"/>
        <v/>
      </c>
      <c r="BH158" t="str">
        <f t="shared" si="113"/>
        <v/>
      </c>
    </row>
    <row r="159" spans="4:60" x14ac:dyDescent="0.55000000000000004">
      <c r="D159">
        <v>149</v>
      </c>
      <c r="E159" t="str">
        <f t="shared" si="91"/>
        <v/>
      </c>
      <c r="F159" t="str">
        <f t="shared" si="92"/>
        <v/>
      </c>
      <c r="G159" t="str">
        <f t="shared" si="93"/>
        <v/>
      </c>
      <c r="Z159" t="str">
        <f t="shared" si="115"/>
        <v/>
      </c>
      <c r="AA159" t="str">
        <f t="shared" si="116"/>
        <v/>
      </c>
      <c r="AB159" t="str">
        <f t="shared" si="116"/>
        <v/>
      </c>
      <c r="AC159" t="str">
        <f t="shared" si="116"/>
        <v/>
      </c>
      <c r="AD159" t="str">
        <f t="shared" si="117"/>
        <v/>
      </c>
      <c r="AE159" t="str">
        <f t="shared" si="118"/>
        <v/>
      </c>
      <c r="AF159" t="str">
        <f t="shared" si="119"/>
        <v/>
      </c>
      <c r="AG159" t="str">
        <f t="shared" si="120"/>
        <v/>
      </c>
      <c r="AH159" t="str">
        <f t="shared" si="121"/>
        <v/>
      </c>
      <c r="AI159" t="str">
        <f t="shared" si="122"/>
        <v/>
      </c>
      <c r="AJ159" t="str">
        <f t="shared" si="123"/>
        <v/>
      </c>
      <c r="AK159" t="str">
        <f t="shared" si="94"/>
        <v/>
      </c>
      <c r="AM159" t="str">
        <f t="shared" si="95"/>
        <v/>
      </c>
      <c r="AN159" t="str">
        <f t="shared" si="96"/>
        <v/>
      </c>
      <c r="AO159" t="str">
        <f t="shared" si="97"/>
        <v/>
      </c>
      <c r="AP159" t="str">
        <f t="shared" si="114"/>
        <v/>
      </c>
      <c r="AQ159" t="str">
        <f t="shared" si="98"/>
        <v/>
      </c>
      <c r="AR159" t="str">
        <f t="shared" si="99"/>
        <v/>
      </c>
      <c r="AS159" t="str">
        <f t="shared" si="100"/>
        <v/>
      </c>
      <c r="AT159" t="str">
        <f t="shared" si="101"/>
        <v/>
      </c>
      <c r="AU159" t="str">
        <f t="shared" si="102"/>
        <v/>
      </c>
      <c r="AV159" t="str">
        <f t="shared" si="103"/>
        <v/>
      </c>
      <c r="AW159" t="str">
        <f t="shared" si="104"/>
        <v/>
      </c>
      <c r="AY159" t="str">
        <f t="shared" si="105"/>
        <v/>
      </c>
      <c r="AZ159" t="str">
        <f t="shared" si="106"/>
        <v/>
      </c>
      <c r="BA159" t="str">
        <f t="shared" si="107"/>
        <v/>
      </c>
      <c r="BB159" t="str">
        <f t="shared" si="108"/>
        <v/>
      </c>
      <c r="BC159" t="str">
        <f t="shared" si="109"/>
        <v/>
      </c>
      <c r="BE159">
        <f t="shared" si="110"/>
        <v>49</v>
      </c>
      <c r="BF159">
        <f t="shared" si="111"/>
        <v>2</v>
      </c>
      <c r="BG159" t="str">
        <f t="shared" si="112"/>
        <v/>
      </c>
      <c r="BH159" t="str">
        <f t="shared" si="113"/>
        <v/>
      </c>
    </row>
    <row r="160" spans="4:60" x14ac:dyDescent="0.55000000000000004">
      <c r="D160">
        <v>150</v>
      </c>
      <c r="E160" t="str">
        <f t="shared" si="91"/>
        <v/>
      </c>
      <c r="F160" t="str">
        <f t="shared" si="92"/>
        <v/>
      </c>
      <c r="G160" t="str">
        <f t="shared" si="93"/>
        <v/>
      </c>
      <c r="Z160" t="str">
        <f t="shared" si="115"/>
        <v/>
      </c>
      <c r="AA160" t="str">
        <f t="shared" si="116"/>
        <v/>
      </c>
      <c r="AB160" t="str">
        <f t="shared" si="116"/>
        <v/>
      </c>
      <c r="AC160" t="str">
        <f t="shared" si="116"/>
        <v/>
      </c>
      <c r="AD160" t="str">
        <f t="shared" si="117"/>
        <v/>
      </c>
      <c r="AE160" t="str">
        <f t="shared" si="118"/>
        <v/>
      </c>
      <c r="AF160" t="str">
        <f t="shared" si="119"/>
        <v/>
      </c>
      <c r="AG160" t="str">
        <f t="shared" si="120"/>
        <v/>
      </c>
      <c r="AH160" t="str">
        <f t="shared" si="121"/>
        <v/>
      </c>
      <c r="AI160" t="str">
        <f t="shared" si="122"/>
        <v/>
      </c>
      <c r="AJ160" t="str">
        <f t="shared" si="123"/>
        <v/>
      </c>
      <c r="AK160" t="str">
        <f t="shared" si="94"/>
        <v/>
      </c>
      <c r="AM160" t="str">
        <f t="shared" si="95"/>
        <v/>
      </c>
      <c r="AN160" t="str">
        <f t="shared" si="96"/>
        <v/>
      </c>
      <c r="AO160" t="str">
        <f t="shared" si="97"/>
        <v/>
      </c>
      <c r="AP160" t="str">
        <f t="shared" si="114"/>
        <v/>
      </c>
      <c r="AQ160" t="str">
        <f t="shared" si="98"/>
        <v/>
      </c>
      <c r="AR160" t="str">
        <f t="shared" si="99"/>
        <v/>
      </c>
      <c r="AS160" t="str">
        <f t="shared" si="100"/>
        <v/>
      </c>
      <c r="AT160" t="str">
        <f t="shared" si="101"/>
        <v/>
      </c>
      <c r="AU160" t="str">
        <f t="shared" si="102"/>
        <v/>
      </c>
      <c r="AV160" t="str">
        <f t="shared" si="103"/>
        <v/>
      </c>
      <c r="AW160" t="str">
        <f t="shared" si="104"/>
        <v/>
      </c>
      <c r="AY160" t="str">
        <f t="shared" si="105"/>
        <v/>
      </c>
      <c r="AZ160" t="str">
        <f t="shared" si="106"/>
        <v/>
      </c>
      <c r="BA160" t="str">
        <f t="shared" si="107"/>
        <v/>
      </c>
      <c r="BB160" t="str">
        <f t="shared" si="108"/>
        <v/>
      </c>
      <c r="BC160" t="str">
        <f t="shared" si="109"/>
        <v/>
      </c>
      <c r="BE160">
        <f t="shared" si="110"/>
        <v>50</v>
      </c>
      <c r="BF160">
        <f t="shared" si="111"/>
        <v>0</v>
      </c>
      <c r="BG160" t="str">
        <f t="shared" si="112"/>
        <v/>
      </c>
      <c r="BH160" t="str">
        <f t="shared" si="113"/>
        <v/>
      </c>
    </row>
    <row r="161" spans="4:60" x14ac:dyDescent="0.55000000000000004">
      <c r="D161">
        <v>151</v>
      </c>
      <c r="E161" t="str">
        <f t="shared" si="91"/>
        <v/>
      </c>
      <c r="F161" t="str">
        <f t="shared" si="92"/>
        <v/>
      </c>
      <c r="G161" t="str">
        <f t="shared" si="93"/>
        <v/>
      </c>
      <c r="Z161" t="str">
        <f t="shared" si="115"/>
        <v/>
      </c>
      <c r="AA161" t="str">
        <f t="shared" si="116"/>
        <v/>
      </c>
      <c r="AB161" t="str">
        <f t="shared" si="116"/>
        <v/>
      </c>
      <c r="AC161" t="str">
        <f t="shared" si="116"/>
        <v/>
      </c>
      <c r="AD161" t="str">
        <f t="shared" si="117"/>
        <v/>
      </c>
      <c r="AE161" t="str">
        <f t="shared" si="118"/>
        <v/>
      </c>
      <c r="AF161" t="str">
        <f t="shared" si="119"/>
        <v/>
      </c>
      <c r="AG161" t="str">
        <f t="shared" si="120"/>
        <v/>
      </c>
      <c r="AH161" t="str">
        <f t="shared" si="121"/>
        <v/>
      </c>
      <c r="AI161" t="str">
        <f t="shared" si="122"/>
        <v/>
      </c>
      <c r="AJ161" t="str">
        <f t="shared" si="123"/>
        <v/>
      </c>
      <c r="AK161" t="str">
        <f t="shared" si="94"/>
        <v/>
      </c>
      <c r="AM161" t="str">
        <f t="shared" si="95"/>
        <v/>
      </c>
      <c r="AN161" t="str">
        <f t="shared" si="96"/>
        <v/>
      </c>
      <c r="AO161" t="str">
        <f t="shared" si="97"/>
        <v/>
      </c>
      <c r="AP161" t="str">
        <f t="shared" si="114"/>
        <v/>
      </c>
      <c r="AQ161" t="str">
        <f t="shared" si="98"/>
        <v/>
      </c>
      <c r="AR161" t="str">
        <f t="shared" si="99"/>
        <v/>
      </c>
      <c r="AS161" t="str">
        <f t="shared" si="100"/>
        <v/>
      </c>
      <c r="AT161" t="str">
        <f t="shared" si="101"/>
        <v/>
      </c>
      <c r="AU161" t="str">
        <f t="shared" si="102"/>
        <v/>
      </c>
      <c r="AV161" t="str">
        <f t="shared" si="103"/>
        <v/>
      </c>
      <c r="AW161" t="str">
        <f t="shared" si="104"/>
        <v/>
      </c>
      <c r="AY161" t="str">
        <f t="shared" si="105"/>
        <v/>
      </c>
      <c r="AZ161" t="str">
        <f t="shared" si="106"/>
        <v/>
      </c>
      <c r="BA161" t="str">
        <f t="shared" si="107"/>
        <v/>
      </c>
      <c r="BB161" t="str">
        <f t="shared" si="108"/>
        <v/>
      </c>
      <c r="BC161" t="str">
        <f t="shared" si="109"/>
        <v/>
      </c>
      <c r="BE161">
        <f t="shared" si="110"/>
        <v>50</v>
      </c>
      <c r="BF161">
        <f t="shared" si="111"/>
        <v>1</v>
      </c>
      <c r="BG161" t="str">
        <f t="shared" si="112"/>
        <v/>
      </c>
      <c r="BH161" t="str">
        <f t="shared" si="113"/>
        <v/>
      </c>
    </row>
    <row r="162" spans="4:60" x14ac:dyDescent="0.55000000000000004">
      <c r="D162">
        <v>152</v>
      </c>
      <c r="E162" t="str">
        <f t="shared" si="91"/>
        <v/>
      </c>
      <c r="F162" t="str">
        <f t="shared" si="92"/>
        <v/>
      </c>
      <c r="G162" t="str">
        <f t="shared" si="93"/>
        <v/>
      </c>
      <c r="Z162" t="str">
        <f t="shared" si="115"/>
        <v/>
      </c>
      <c r="AA162" t="str">
        <f t="shared" si="116"/>
        <v/>
      </c>
      <c r="AB162" t="str">
        <f t="shared" si="116"/>
        <v/>
      </c>
      <c r="AC162" t="str">
        <f t="shared" si="116"/>
        <v/>
      </c>
      <c r="AD162" t="str">
        <f t="shared" si="117"/>
        <v/>
      </c>
      <c r="AE162" t="str">
        <f t="shared" si="118"/>
        <v/>
      </c>
      <c r="AF162" t="str">
        <f t="shared" si="119"/>
        <v/>
      </c>
      <c r="AG162" t="str">
        <f t="shared" si="120"/>
        <v/>
      </c>
      <c r="AH162" t="str">
        <f t="shared" si="121"/>
        <v/>
      </c>
      <c r="AI162" t="str">
        <f t="shared" si="122"/>
        <v/>
      </c>
      <c r="AJ162" t="str">
        <f t="shared" si="123"/>
        <v/>
      </c>
      <c r="AK162" t="str">
        <f t="shared" si="94"/>
        <v/>
      </c>
      <c r="AM162" t="str">
        <f t="shared" si="95"/>
        <v/>
      </c>
      <c r="AN162" t="str">
        <f t="shared" si="96"/>
        <v/>
      </c>
      <c r="AO162" t="str">
        <f t="shared" si="97"/>
        <v/>
      </c>
      <c r="AP162" t="str">
        <f t="shared" si="114"/>
        <v/>
      </c>
      <c r="AQ162" t="str">
        <f t="shared" si="98"/>
        <v/>
      </c>
      <c r="AR162" t="str">
        <f t="shared" si="99"/>
        <v/>
      </c>
      <c r="AS162" t="str">
        <f t="shared" si="100"/>
        <v/>
      </c>
      <c r="AT162" t="str">
        <f t="shared" si="101"/>
        <v/>
      </c>
      <c r="AU162" t="str">
        <f t="shared" si="102"/>
        <v/>
      </c>
      <c r="AV162" t="str">
        <f t="shared" si="103"/>
        <v/>
      </c>
      <c r="AW162" t="str">
        <f t="shared" si="104"/>
        <v/>
      </c>
      <c r="AY162" t="str">
        <f t="shared" si="105"/>
        <v/>
      </c>
      <c r="AZ162" t="str">
        <f t="shared" si="106"/>
        <v/>
      </c>
      <c r="BA162" t="str">
        <f t="shared" si="107"/>
        <v/>
      </c>
      <c r="BB162" t="str">
        <f t="shared" si="108"/>
        <v/>
      </c>
      <c r="BC162" t="str">
        <f t="shared" si="109"/>
        <v/>
      </c>
      <c r="BE162">
        <f t="shared" si="110"/>
        <v>50</v>
      </c>
      <c r="BF162">
        <f t="shared" si="111"/>
        <v>2</v>
      </c>
      <c r="BG162" t="str">
        <f t="shared" si="112"/>
        <v/>
      </c>
      <c r="BH162" t="str">
        <f t="shared" si="113"/>
        <v/>
      </c>
    </row>
    <row r="163" spans="4:60" x14ac:dyDescent="0.55000000000000004">
      <c r="D163">
        <v>153</v>
      </c>
      <c r="E163" t="str">
        <f t="shared" si="91"/>
        <v/>
      </c>
      <c r="F163" t="str">
        <f t="shared" si="92"/>
        <v/>
      </c>
      <c r="G163" t="str">
        <f t="shared" si="93"/>
        <v/>
      </c>
      <c r="Z163" t="str">
        <f t="shared" si="115"/>
        <v/>
      </c>
      <c r="AA163" t="str">
        <f t="shared" si="116"/>
        <v/>
      </c>
      <c r="AB163" t="str">
        <f t="shared" si="116"/>
        <v/>
      </c>
      <c r="AC163" t="str">
        <f t="shared" si="116"/>
        <v/>
      </c>
      <c r="AD163" t="str">
        <f t="shared" si="117"/>
        <v/>
      </c>
      <c r="AE163" t="str">
        <f t="shared" si="118"/>
        <v/>
      </c>
      <c r="AF163" t="str">
        <f t="shared" si="119"/>
        <v/>
      </c>
      <c r="AG163" t="str">
        <f t="shared" si="120"/>
        <v/>
      </c>
      <c r="AH163" t="str">
        <f t="shared" si="121"/>
        <v/>
      </c>
      <c r="AI163" t="str">
        <f t="shared" si="122"/>
        <v/>
      </c>
      <c r="AJ163" t="str">
        <f t="shared" si="123"/>
        <v/>
      </c>
      <c r="AK163" t="str">
        <f t="shared" si="94"/>
        <v/>
      </c>
      <c r="AM163" t="str">
        <f t="shared" si="95"/>
        <v/>
      </c>
      <c r="AN163" t="str">
        <f t="shared" si="96"/>
        <v/>
      </c>
      <c r="AO163" t="str">
        <f t="shared" si="97"/>
        <v/>
      </c>
      <c r="AP163" t="str">
        <f t="shared" si="114"/>
        <v/>
      </c>
      <c r="AQ163" t="str">
        <f t="shared" si="98"/>
        <v/>
      </c>
      <c r="AR163" t="str">
        <f t="shared" si="99"/>
        <v/>
      </c>
      <c r="AS163" t="str">
        <f t="shared" si="100"/>
        <v/>
      </c>
      <c r="AT163" t="str">
        <f t="shared" si="101"/>
        <v/>
      </c>
      <c r="AU163" t="str">
        <f t="shared" si="102"/>
        <v/>
      </c>
      <c r="AV163" t="str">
        <f t="shared" si="103"/>
        <v/>
      </c>
      <c r="AW163" t="str">
        <f t="shared" si="104"/>
        <v/>
      </c>
      <c r="AY163" t="str">
        <f t="shared" si="105"/>
        <v/>
      </c>
      <c r="AZ163" t="str">
        <f t="shared" si="106"/>
        <v/>
      </c>
      <c r="BA163" t="str">
        <f t="shared" si="107"/>
        <v/>
      </c>
      <c r="BB163" t="str">
        <f t="shared" si="108"/>
        <v/>
      </c>
      <c r="BC163" t="str">
        <f t="shared" si="109"/>
        <v/>
      </c>
      <c r="BE163">
        <f t="shared" si="110"/>
        <v>51</v>
      </c>
      <c r="BF163">
        <f t="shared" si="111"/>
        <v>0</v>
      </c>
      <c r="BG163" t="str">
        <f t="shared" si="112"/>
        <v/>
      </c>
      <c r="BH163" t="str">
        <f t="shared" si="113"/>
        <v/>
      </c>
    </row>
    <row r="164" spans="4:60" x14ac:dyDescent="0.55000000000000004">
      <c r="D164">
        <v>154</v>
      </c>
      <c r="E164" t="str">
        <f t="shared" si="91"/>
        <v/>
      </c>
      <c r="F164" t="str">
        <f t="shared" si="92"/>
        <v/>
      </c>
      <c r="G164" t="str">
        <f t="shared" si="93"/>
        <v/>
      </c>
      <c r="Z164" t="str">
        <f t="shared" si="115"/>
        <v/>
      </c>
      <c r="AA164" t="str">
        <f t="shared" si="116"/>
        <v/>
      </c>
      <c r="AB164" t="str">
        <f t="shared" si="116"/>
        <v/>
      </c>
      <c r="AC164" t="str">
        <f t="shared" si="116"/>
        <v/>
      </c>
      <c r="AD164" t="str">
        <f t="shared" si="117"/>
        <v/>
      </c>
      <c r="AE164" t="str">
        <f t="shared" si="118"/>
        <v/>
      </c>
      <c r="AF164" t="str">
        <f t="shared" si="119"/>
        <v/>
      </c>
      <c r="AG164" t="str">
        <f t="shared" si="120"/>
        <v/>
      </c>
      <c r="AH164" t="str">
        <f t="shared" si="121"/>
        <v/>
      </c>
      <c r="AI164" t="str">
        <f t="shared" si="122"/>
        <v/>
      </c>
      <c r="AJ164" t="str">
        <f t="shared" si="123"/>
        <v/>
      </c>
      <c r="AK164" t="str">
        <f t="shared" si="94"/>
        <v/>
      </c>
      <c r="AM164" t="str">
        <f t="shared" si="95"/>
        <v/>
      </c>
      <c r="AN164" t="str">
        <f t="shared" si="96"/>
        <v/>
      </c>
      <c r="AO164" t="str">
        <f t="shared" si="97"/>
        <v/>
      </c>
      <c r="AP164" t="str">
        <f t="shared" si="114"/>
        <v/>
      </c>
      <c r="AQ164" t="str">
        <f t="shared" si="98"/>
        <v/>
      </c>
      <c r="AR164" t="str">
        <f t="shared" si="99"/>
        <v/>
      </c>
      <c r="AS164" t="str">
        <f t="shared" si="100"/>
        <v/>
      </c>
      <c r="AT164" t="str">
        <f t="shared" si="101"/>
        <v/>
      </c>
      <c r="AU164" t="str">
        <f t="shared" si="102"/>
        <v/>
      </c>
      <c r="AV164" t="str">
        <f t="shared" si="103"/>
        <v/>
      </c>
      <c r="AW164" t="str">
        <f t="shared" si="104"/>
        <v/>
      </c>
      <c r="AY164" t="str">
        <f t="shared" si="105"/>
        <v/>
      </c>
      <c r="AZ164" t="str">
        <f t="shared" si="106"/>
        <v/>
      </c>
      <c r="BA164" t="str">
        <f t="shared" si="107"/>
        <v/>
      </c>
      <c r="BB164" t="str">
        <f t="shared" si="108"/>
        <v/>
      </c>
      <c r="BC164" t="str">
        <f t="shared" si="109"/>
        <v/>
      </c>
      <c r="BE164">
        <f t="shared" si="110"/>
        <v>51</v>
      </c>
      <c r="BF164">
        <f t="shared" si="111"/>
        <v>1</v>
      </c>
      <c r="BG164" t="str">
        <f t="shared" si="112"/>
        <v/>
      </c>
      <c r="BH164" t="str">
        <f t="shared" si="113"/>
        <v/>
      </c>
    </row>
    <row r="165" spans="4:60" x14ac:dyDescent="0.55000000000000004">
      <c r="D165">
        <v>155</v>
      </c>
      <c r="E165" t="str">
        <f t="shared" si="91"/>
        <v/>
      </c>
      <c r="F165" t="str">
        <f t="shared" si="92"/>
        <v/>
      </c>
      <c r="G165" t="str">
        <f t="shared" si="93"/>
        <v/>
      </c>
      <c r="Z165" t="str">
        <f t="shared" si="115"/>
        <v/>
      </c>
      <c r="AA165" t="str">
        <f t="shared" si="116"/>
        <v/>
      </c>
      <c r="AB165" t="str">
        <f t="shared" si="116"/>
        <v/>
      </c>
      <c r="AC165" t="str">
        <f t="shared" si="116"/>
        <v/>
      </c>
      <c r="AD165" t="str">
        <f t="shared" si="117"/>
        <v/>
      </c>
      <c r="AE165" t="str">
        <f t="shared" si="118"/>
        <v/>
      </c>
      <c r="AF165" t="str">
        <f t="shared" si="119"/>
        <v/>
      </c>
      <c r="AG165" t="str">
        <f t="shared" si="120"/>
        <v/>
      </c>
      <c r="AH165" t="str">
        <f t="shared" si="121"/>
        <v/>
      </c>
      <c r="AI165" t="str">
        <f t="shared" si="122"/>
        <v/>
      </c>
      <c r="AJ165" t="str">
        <f t="shared" si="123"/>
        <v/>
      </c>
      <c r="AK165" t="str">
        <f t="shared" si="94"/>
        <v/>
      </c>
      <c r="AM165" t="str">
        <f t="shared" si="95"/>
        <v/>
      </c>
      <c r="AN165" t="str">
        <f t="shared" si="96"/>
        <v/>
      </c>
      <c r="AO165" t="str">
        <f t="shared" si="97"/>
        <v/>
      </c>
      <c r="AP165" t="str">
        <f t="shared" si="114"/>
        <v/>
      </c>
      <c r="AQ165" t="str">
        <f t="shared" si="98"/>
        <v/>
      </c>
      <c r="AR165" t="str">
        <f t="shared" si="99"/>
        <v/>
      </c>
      <c r="AS165" t="str">
        <f t="shared" si="100"/>
        <v/>
      </c>
      <c r="AT165" t="str">
        <f t="shared" si="101"/>
        <v/>
      </c>
      <c r="AU165" t="str">
        <f t="shared" si="102"/>
        <v/>
      </c>
      <c r="AV165" t="str">
        <f t="shared" si="103"/>
        <v/>
      </c>
      <c r="AW165" t="str">
        <f t="shared" si="104"/>
        <v/>
      </c>
      <c r="AY165" t="str">
        <f t="shared" si="105"/>
        <v/>
      </c>
      <c r="AZ165" t="str">
        <f t="shared" si="106"/>
        <v/>
      </c>
      <c r="BA165" t="str">
        <f t="shared" si="107"/>
        <v/>
      </c>
      <c r="BB165" t="str">
        <f t="shared" si="108"/>
        <v/>
      </c>
      <c r="BC165" t="str">
        <f t="shared" si="109"/>
        <v/>
      </c>
      <c r="BE165">
        <f t="shared" si="110"/>
        <v>51</v>
      </c>
      <c r="BF165">
        <f t="shared" si="111"/>
        <v>2</v>
      </c>
      <c r="BG165" t="str">
        <f t="shared" si="112"/>
        <v/>
      </c>
      <c r="BH165" t="str">
        <f t="shared" si="113"/>
        <v/>
      </c>
    </row>
    <row r="166" spans="4:60" x14ac:dyDescent="0.55000000000000004">
      <c r="D166">
        <v>156</v>
      </c>
      <c r="E166" t="str">
        <f t="shared" si="91"/>
        <v/>
      </c>
      <c r="F166" t="str">
        <f t="shared" si="92"/>
        <v/>
      </c>
      <c r="G166" t="str">
        <f t="shared" si="93"/>
        <v/>
      </c>
      <c r="Z166" t="str">
        <f t="shared" si="115"/>
        <v/>
      </c>
      <c r="AA166" t="str">
        <f t="shared" si="116"/>
        <v/>
      </c>
      <c r="AB166" t="str">
        <f t="shared" si="116"/>
        <v/>
      </c>
      <c r="AC166" t="str">
        <f t="shared" si="116"/>
        <v/>
      </c>
      <c r="AD166" t="str">
        <f t="shared" si="117"/>
        <v/>
      </c>
      <c r="AE166" t="str">
        <f t="shared" si="118"/>
        <v/>
      </c>
      <c r="AF166" t="str">
        <f t="shared" si="119"/>
        <v/>
      </c>
      <c r="AG166" t="str">
        <f t="shared" si="120"/>
        <v/>
      </c>
      <c r="AH166" t="str">
        <f t="shared" si="121"/>
        <v/>
      </c>
      <c r="AI166" t="str">
        <f t="shared" si="122"/>
        <v/>
      </c>
      <c r="AJ166" t="str">
        <f t="shared" si="123"/>
        <v/>
      </c>
      <c r="AK166" t="str">
        <f t="shared" si="94"/>
        <v/>
      </c>
      <c r="AM166" t="str">
        <f t="shared" si="95"/>
        <v/>
      </c>
      <c r="AN166" t="str">
        <f t="shared" si="96"/>
        <v/>
      </c>
      <c r="AO166" t="str">
        <f t="shared" si="97"/>
        <v/>
      </c>
      <c r="AP166" t="str">
        <f t="shared" si="114"/>
        <v/>
      </c>
      <c r="AQ166" t="str">
        <f t="shared" si="98"/>
        <v/>
      </c>
      <c r="AR166" t="str">
        <f t="shared" si="99"/>
        <v/>
      </c>
      <c r="AS166" t="str">
        <f t="shared" si="100"/>
        <v/>
      </c>
      <c r="AT166" t="str">
        <f t="shared" si="101"/>
        <v/>
      </c>
      <c r="AU166" t="str">
        <f t="shared" si="102"/>
        <v/>
      </c>
      <c r="AV166" t="str">
        <f t="shared" si="103"/>
        <v/>
      </c>
      <c r="AW166" t="str">
        <f t="shared" si="104"/>
        <v/>
      </c>
      <c r="AY166" t="str">
        <f t="shared" si="105"/>
        <v/>
      </c>
      <c r="AZ166" t="str">
        <f t="shared" si="106"/>
        <v/>
      </c>
      <c r="BA166" t="str">
        <f t="shared" si="107"/>
        <v/>
      </c>
      <c r="BB166" t="str">
        <f t="shared" si="108"/>
        <v/>
      </c>
      <c r="BC166" t="str">
        <f t="shared" si="109"/>
        <v/>
      </c>
      <c r="BE166">
        <f t="shared" si="110"/>
        <v>52</v>
      </c>
      <c r="BF166">
        <f t="shared" si="111"/>
        <v>0</v>
      </c>
      <c r="BG166" t="str">
        <f t="shared" si="112"/>
        <v/>
      </c>
      <c r="BH166" t="str">
        <f t="shared" si="113"/>
        <v/>
      </c>
    </row>
    <row r="167" spans="4:60" x14ac:dyDescent="0.55000000000000004">
      <c r="D167">
        <v>157</v>
      </c>
      <c r="E167" t="str">
        <f t="shared" si="91"/>
        <v/>
      </c>
      <c r="F167" t="str">
        <f t="shared" si="92"/>
        <v/>
      </c>
      <c r="G167" t="str">
        <f t="shared" si="93"/>
        <v/>
      </c>
      <c r="Z167" t="str">
        <f t="shared" si="115"/>
        <v/>
      </c>
      <c r="AA167" t="str">
        <f t="shared" si="116"/>
        <v/>
      </c>
      <c r="AB167" t="str">
        <f t="shared" si="116"/>
        <v/>
      </c>
      <c r="AC167" t="str">
        <f t="shared" si="116"/>
        <v/>
      </c>
      <c r="AD167" t="str">
        <f t="shared" si="117"/>
        <v/>
      </c>
      <c r="AE167" t="str">
        <f t="shared" si="118"/>
        <v/>
      </c>
      <c r="AF167" t="str">
        <f t="shared" si="119"/>
        <v/>
      </c>
      <c r="AG167" t="str">
        <f t="shared" si="120"/>
        <v/>
      </c>
      <c r="AH167" t="str">
        <f t="shared" si="121"/>
        <v/>
      </c>
      <c r="AI167" t="str">
        <f t="shared" si="122"/>
        <v/>
      </c>
      <c r="AJ167" t="str">
        <f t="shared" si="123"/>
        <v/>
      </c>
      <c r="AK167" t="str">
        <f t="shared" si="94"/>
        <v/>
      </c>
      <c r="AM167" t="str">
        <f t="shared" si="95"/>
        <v/>
      </c>
      <c r="AN167" t="str">
        <f t="shared" si="96"/>
        <v/>
      </c>
      <c r="AO167" t="str">
        <f t="shared" si="97"/>
        <v/>
      </c>
      <c r="AP167" t="str">
        <f t="shared" si="114"/>
        <v/>
      </c>
      <c r="AQ167" t="str">
        <f t="shared" si="98"/>
        <v/>
      </c>
      <c r="AR167" t="str">
        <f t="shared" si="99"/>
        <v/>
      </c>
      <c r="AS167" t="str">
        <f t="shared" si="100"/>
        <v/>
      </c>
      <c r="AT167" t="str">
        <f t="shared" si="101"/>
        <v/>
      </c>
      <c r="AU167" t="str">
        <f t="shared" si="102"/>
        <v/>
      </c>
      <c r="AV167" t="str">
        <f t="shared" si="103"/>
        <v/>
      </c>
      <c r="AW167" t="str">
        <f t="shared" si="104"/>
        <v/>
      </c>
      <c r="AY167" t="str">
        <f t="shared" si="105"/>
        <v/>
      </c>
      <c r="AZ167" t="str">
        <f t="shared" si="106"/>
        <v/>
      </c>
      <c r="BA167" t="str">
        <f t="shared" si="107"/>
        <v/>
      </c>
      <c r="BB167" t="str">
        <f t="shared" si="108"/>
        <v/>
      </c>
      <c r="BC167" t="str">
        <f t="shared" si="109"/>
        <v/>
      </c>
      <c r="BE167">
        <f t="shared" si="110"/>
        <v>52</v>
      </c>
      <c r="BF167">
        <f t="shared" si="111"/>
        <v>1</v>
      </c>
      <c r="BG167" t="str">
        <f t="shared" si="112"/>
        <v/>
      </c>
      <c r="BH167" t="str">
        <f t="shared" si="113"/>
        <v/>
      </c>
    </row>
    <row r="168" spans="4:60" x14ac:dyDescent="0.55000000000000004">
      <c r="D168">
        <v>158</v>
      </c>
      <c r="E168" t="str">
        <f t="shared" si="91"/>
        <v/>
      </c>
      <c r="F168" t="str">
        <f t="shared" si="92"/>
        <v/>
      </c>
      <c r="G168" t="str">
        <f t="shared" si="93"/>
        <v/>
      </c>
      <c r="Z168" t="str">
        <f t="shared" si="115"/>
        <v/>
      </c>
      <c r="AA168" t="str">
        <f t="shared" si="116"/>
        <v/>
      </c>
      <c r="AB168" t="str">
        <f t="shared" si="116"/>
        <v/>
      </c>
      <c r="AC168" t="str">
        <f t="shared" si="116"/>
        <v/>
      </c>
      <c r="AD168" t="str">
        <f t="shared" si="117"/>
        <v/>
      </c>
      <c r="AE168" t="str">
        <f t="shared" si="118"/>
        <v/>
      </c>
      <c r="AF168" t="str">
        <f t="shared" si="119"/>
        <v/>
      </c>
      <c r="AG168" t="str">
        <f t="shared" si="120"/>
        <v/>
      </c>
      <c r="AH168" t="str">
        <f t="shared" si="121"/>
        <v/>
      </c>
      <c r="AI168" t="str">
        <f t="shared" si="122"/>
        <v/>
      </c>
      <c r="AJ168" t="str">
        <f t="shared" si="123"/>
        <v/>
      </c>
      <c r="AK168" t="str">
        <f t="shared" si="94"/>
        <v/>
      </c>
      <c r="AM168" t="str">
        <f t="shared" si="95"/>
        <v/>
      </c>
      <c r="AN168" t="str">
        <f t="shared" si="96"/>
        <v/>
      </c>
      <c r="AO168" t="str">
        <f t="shared" si="97"/>
        <v/>
      </c>
      <c r="AP168" t="str">
        <f t="shared" si="114"/>
        <v/>
      </c>
      <c r="AQ168" t="str">
        <f t="shared" si="98"/>
        <v/>
      </c>
      <c r="AR168" t="str">
        <f t="shared" si="99"/>
        <v/>
      </c>
      <c r="AS168" t="str">
        <f t="shared" si="100"/>
        <v/>
      </c>
      <c r="AT168" t="str">
        <f t="shared" si="101"/>
        <v/>
      </c>
      <c r="AU168" t="str">
        <f t="shared" si="102"/>
        <v/>
      </c>
      <c r="AV168" t="str">
        <f t="shared" si="103"/>
        <v/>
      </c>
      <c r="AW168" t="str">
        <f t="shared" si="104"/>
        <v/>
      </c>
      <c r="AY168" t="str">
        <f t="shared" si="105"/>
        <v/>
      </c>
      <c r="AZ168" t="str">
        <f t="shared" si="106"/>
        <v/>
      </c>
      <c r="BA168" t="str">
        <f t="shared" si="107"/>
        <v/>
      </c>
      <c r="BB168" t="str">
        <f t="shared" si="108"/>
        <v/>
      </c>
      <c r="BC168" t="str">
        <f t="shared" si="109"/>
        <v/>
      </c>
      <c r="BE168">
        <f t="shared" si="110"/>
        <v>52</v>
      </c>
      <c r="BF168">
        <f t="shared" si="111"/>
        <v>2</v>
      </c>
      <c r="BG168" t="str">
        <f t="shared" si="112"/>
        <v/>
      </c>
      <c r="BH168" t="str">
        <f t="shared" si="113"/>
        <v/>
      </c>
    </row>
    <row r="169" spans="4:60" x14ac:dyDescent="0.55000000000000004">
      <c r="D169">
        <v>159</v>
      </c>
      <c r="E169" t="str">
        <f t="shared" si="91"/>
        <v/>
      </c>
      <c r="F169" t="str">
        <f t="shared" si="92"/>
        <v/>
      </c>
      <c r="G169" t="str">
        <f t="shared" si="93"/>
        <v/>
      </c>
      <c r="Z169" t="str">
        <f t="shared" si="115"/>
        <v/>
      </c>
      <c r="AA169" t="str">
        <f t="shared" si="116"/>
        <v/>
      </c>
      <c r="AB169" t="str">
        <f t="shared" si="116"/>
        <v/>
      </c>
      <c r="AC169" t="str">
        <f t="shared" si="116"/>
        <v/>
      </c>
      <c r="AD169" t="str">
        <f t="shared" si="117"/>
        <v/>
      </c>
      <c r="AE169" t="str">
        <f t="shared" si="118"/>
        <v/>
      </c>
      <c r="AF169" t="str">
        <f t="shared" si="119"/>
        <v/>
      </c>
      <c r="AG169" t="str">
        <f t="shared" si="120"/>
        <v/>
      </c>
      <c r="AH169" t="str">
        <f t="shared" si="121"/>
        <v/>
      </c>
      <c r="AI169" t="str">
        <f t="shared" si="122"/>
        <v/>
      </c>
      <c r="AJ169" t="str">
        <f t="shared" si="123"/>
        <v/>
      </c>
      <c r="AK169" t="str">
        <f t="shared" si="94"/>
        <v/>
      </c>
      <c r="AM169" t="str">
        <f t="shared" si="95"/>
        <v/>
      </c>
      <c r="AN169" t="str">
        <f t="shared" si="96"/>
        <v/>
      </c>
      <c r="AO169" t="str">
        <f t="shared" si="97"/>
        <v/>
      </c>
      <c r="AP169" t="str">
        <f t="shared" si="114"/>
        <v/>
      </c>
      <c r="AQ169" t="str">
        <f t="shared" si="98"/>
        <v/>
      </c>
      <c r="AR169" t="str">
        <f t="shared" si="99"/>
        <v/>
      </c>
      <c r="AS169" t="str">
        <f t="shared" si="100"/>
        <v/>
      </c>
      <c r="AT169" t="str">
        <f t="shared" si="101"/>
        <v/>
      </c>
      <c r="AU169" t="str">
        <f t="shared" si="102"/>
        <v/>
      </c>
      <c r="AV169" t="str">
        <f t="shared" si="103"/>
        <v/>
      </c>
      <c r="AW169" t="str">
        <f t="shared" si="104"/>
        <v/>
      </c>
      <c r="AY169" t="str">
        <f t="shared" si="105"/>
        <v/>
      </c>
      <c r="AZ169" t="str">
        <f t="shared" si="106"/>
        <v/>
      </c>
      <c r="BA169" t="str">
        <f t="shared" si="107"/>
        <v/>
      </c>
      <c r="BB169" t="str">
        <f t="shared" si="108"/>
        <v/>
      </c>
      <c r="BC169" t="str">
        <f t="shared" si="109"/>
        <v/>
      </c>
      <c r="BE169">
        <f t="shared" si="110"/>
        <v>53</v>
      </c>
      <c r="BF169">
        <f t="shared" si="111"/>
        <v>0</v>
      </c>
      <c r="BG169" t="str">
        <f t="shared" si="112"/>
        <v/>
      </c>
      <c r="BH169" t="str">
        <f t="shared" si="113"/>
        <v/>
      </c>
    </row>
    <row r="170" spans="4:60" x14ac:dyDescent="0.55000000000000004">
      <c r="D170">
        <v>160</v>
      </c>
      <c r="E170" t="str">
        <f t="shared" si="91"/>
        <v/>
      </c>
      <c r="F170" t="str">
        <f t="shared" si="92"/>
        <v/>
      </c>
      <c r="G170" t="str">
        <f t="shared" si="93"/>
        <v/>
      </c>
      <c r="Z170" t="str">
        <f t="shared" si="115"/>
        <v/>
      </c>
      <c r="AA170" t="str">
        <f t="shared" si="116"/>
        <v/>
      </c>
      <c r="AB170" t="str">
        <f t="shared" si="116"/>
        <v/>
      </c>
      <c r="AC170" t="str">
        <f t="shared" si="116"/>
        <v/>
      </c>
      <c r="AD170" t="str">
        <f t="shared" si="117"/>
        <v/>
      </c>
      <c r="AE170" t="str">
        <f t="shared" si="118"/>
        <v/>
      </c>
      <c r="AF170" t="str">
        <f t="shared" si="119"/>
        <v/>
      </c>
      <c r="AG170" t="str">
        <f t="shared" si="120"/>
        <v/>
      </c>
      <c r="AH170" t="str">
        <f t="shared" si="121"/>
        <v/>
      </c>
      <c r="AI170" t="str">
        <f t="shared" si="122"/>
        <v/>
      </c>
      <c r="AJ170" t="str">
        <f t="shared" si="123"/>
        <v/>
      </c>
      <c r="AK170" t="str">
        <f t="shared" si="94"/>
        <v/>
      </c>
      <c r="AM170" t="str">
        <f t="shared" si="95"/>
        <v/>
      </c>
      <c r="AN170" t="str">
        <f t="shared" si="96"/>
        <v/>
      </c>
      <c r="AO170" t="str">
        <f t="shared" si="97"/>
        <v/>
      </c>
      <c r="AP170" t="str">
        <f t="shared" ref="AP170:AP201" si="124">IF($AM170="●","AND=.D "&amp;$B$17&amp;" #0","")</f>
        <v/>
      </c>
      <c r="AQ170" t="str">
        <f t="shared" si="98"/>
        <v/>
      </c>
      <c r="AR170" t="str">
        <f t="shared" si="99"/>
        <v/>
      </c>
      <c r="AS170" t="str">
        <f t="shared" si="100"/>
        <v/>
      </c>
      <c r="AT170" t="str">
        <f t="shared" si="101"/>
        <v/>
      </c>
      <c r="AU170" t="str">
        <f t="shared" si="102"/>
        <v/>
      </c>
      <c r="AV170" t="str">
        <f t="shared" si="103"/>
        <v/>
      </c>
      <c r="AW170" t="str">
        <f t="shared" si="104"/>
        <v/>
      </c>
      <c r="AY170" t="str">
        <f t="shared" si="105"/>
        <v/>
      </c>
      <c r="AZ170" t="str">
        <f t="shared" si="106"/>
        <v/>
      </c>
      <c r="BA170" t="str">
        <f t="shared" si="107"/>
        <v/>
      </c>
      <c r="BB170" t="str">
        <f t="shared" si="108"/>
        <v/>
      </c>
      <c r="BC170" t="str">
        <f t="shared" si="109"/>
        <v/>
      </c>
      <c r="BE170">
        <f t="shared" si="110"/>
        <v>53</v>
      </c>
      <c r="BF170">
        <f t="shared" si="111"/>
        <v>1</v>
      </c>
      <c r="BG170" t="str">
        <f t="shared" si="112"/>
        <v/>
      </c>
      <c r="BH170" t="str">
        <f t="shared" si="113"/>
        <v/>
      </c>
    </row>
    <row r="171" spans="4:60" x14ac:dyDescent="0.55000000000000004">
      <c r="D171">
        <v>161</v>
      </c>
      <c r="E171" t="str">
        <f t="shared" si="91"/>
        <v/>
      </c>
      <c r="F171" t="str">
        <f t="shared" si="92"/>
        <v/>
      </c>
      <c r="G171" t="str">
        <f t="shared" si="93"/>
        <v/>
      </c>
      <c r="Z171" t="str">
        <f t="shared" si="115"/>
        <v/>
      </c>
      <c r="AA171" t="str">
        <f t="shared" ref="AA171:AC209" si="125">IFERROR(IF(COUNTIF($G171,"*"&amp;AA$9&amp;"*"),INT(MID($G171,FIND(AA$9,$G171)+LEN(AA$9),2)),""),"")</f>
        <v/>
      </c>
      <c r="AB171" t="str">
        <f t="shared" si="125"/>
        <v/>
      </c>
      <c r="AC171" t="str">
        <f t="shared" si="125"/>
        <v/>
      </c>
      <c r="AD171" t="str">
        <f t="shared" si="117"/>
        <v/>
      </c>
      <c r="AE171" t="str">
        <f t="shared" si="118"/>
        <v/>
      </c>
      <c r="AF171" t="str">
        <f t="shared" si="119"/>
        <v/>
      </c>
      <c r="AG171" t="str">
        <f t="shared" si="120"/>
        <v/>
      </c>
      <c r="AH171" t="str">
        <f t="shared" si="121"/>
        <v/>
      </c>
      <c r="AI171" t="str">
        <f t="shared" si="122"/>
        <v/>
      </c>
      <c r="AJ171" t="str">
        <f t="shared" ref="AJ171:AJ202" si="126">IF(AND(LEN($AC171),AJ$2&lt;=$AC171,$AC171&lt;=AJ$3),AJ$9&amp;$AC171-AJ$2&amp;"Out","")</f>
        <v/>
      </c>
      <c r="AK171" t="str">
        <f t="shared" si="94"/>
        <v/>
      </c>
      <c r="AM171" t="str">
        <f t="shared" si="95"/>
        <v/>
      </c>
      <c r="AN171" t="str">
        <f t="shared" si="96"/>
        <v/>
      </c>
      <c r="AO171" t="str">
        <f t="shared" si="97"/>
        <v/>
      </c>
      <c r="AP171" t="str">
        <f t="shared" si="124"/>
        <v/>
      </c>
      <c r="AQ171" t="str">
        <f t="shared" si="98"/>
        <v/>
      </c>
      <c r="AR171" t="str">
        <f t="shared" si="99"/>
        <v/>
      </c>
      <c r="AS171" t="str">
        <f t="shared" si="100"/>
        <v/>
      </c>
      <c r="AT171" t="str">
        <f t="shared" si="101"/>
        <v/>
      </c>
      <c r="AU171" t="str">
        <f t="shared" si="102"/>
        <v/>
      </c>
      <c r="AV171" t="str">
        <f t="shared" si="103"/>
        <v/>
      </c>
      <c r="AW171" t="str">
        <f t="shared" si="104"/>
        <v/>
      </c>
      <c r="AY171" t="str">
        <f t="shared" si="105"/>
        <v/>
      </c>
      <c r="AZ171" t="str">
        <f t="shared" si="106"/>
        <v/>
      </c>
      <c r="BA171" t="str">
        <f t="shared" si="107"/>
        <v/>
      </c>
      <c r="BB171" t="str">
        <f t="shared" si="108"/>
        <v/>
      </c>
      <c r="BC171" t="str">
        <f t="shared" si="109"/>
        <v/>
      </c>
      <c r="BE171">
        <f t="shared" si="110"/>
        <v>53</v>
      </c>
      <c r="BF171">
        <f t="shared" si="111"/>
        <v>2</v>
      </c>
      <c r="BG171" t="str">
        <f t="shared" si="112"/>
        <v/>
      </c>
      <c r="BH171" t="str">
        <f t="shared" si="113"/>
        <v/>
      </c>
    </row>
    <row r="172" spans="4:60" x14ac:dyDescent="0.55000000000000004">
      <c r="D172">
        <v>162</v>
      </c>
      <c r="E172" t="str">
        <f t="shared" si="91"/>
        <v/>
      </c>
      <c r="F172" t="str">
        <f t="shared" si="92"/>
        <v/>
      </c>
      <c r="G172" t="str">
        <f t="shared" si="93"/>
        <v/>
      </c>
      <c r="Z172" t="str">
        <f t="shared" si="115"/>
        <v/>
      </c>
      <c r="AA172" t="str">
        <f t="shared" si="125"/>
        <v/>
      </c>
      <c r="AB172" t="str">
        <f t="shared" si="125"/>
        <v/>
      </c>
      <c r="AC172" t="str">
        <f t="shared" si="125"/>
        <v/>
      </c>
      <c r="AD172" t="str">
        <f t="shared" si="117"/>
        <v/>
      </c>
      <c r="AE172" t="str">
        <f t="shared" si="118"/>
        <v/>
      </c>
      <c r="AF172" t="str">
        <f t="shared" si="119"/>
        <v/>
      </c>
      <c r="AG172" t="str">
        <f t="shared" si="120"/>
        <v/>
      </c>
      <c r="AH172" t="str">
        <f t="shared" si="121"/>
        <v/>
      </c>
      <c r="AI172" t="str">
        <f t="shared" si="122"/>
        <v/>
      </c>
      <c r="AJ172" t="str">
        <f t="shared" si="126"/>
        <v/>
      </c>
      <c r="AK172" t="str">
        <f t="shared" si="94"/>
        <v/>
      </c>
      <c r="AM172" t="str">
        <f t="shared" si="95"/>
        <v/>
      </c>
      <c r="AN172" t="str">
        <f t="shared" si="96"/>
        <v/>
      </c>
      <c r="AO172" t="str">
        <f t="shared" si="97"/>
        <v/>
      </c>
      <c r="AP172" t="str">
        <f t="shared" si="124"/>
        <v/>
      </c>
      <c r="AQ172" t="str">
        <f t="shared" si="98"/>
        <v/>
      </c>
      <c r="AR172" t="str">
        <f t="shared" si="99"/>
        <v/>
      </c>
      <c r="AS172" t="str">
        <f t="shared" si="100"/>
        <v/>
      </c>
      <c r="AT172" t="str">
        <f t="shared" si="101"/>
        <v/>
      </c>
      <c r="AU172" t="str">
        <f t="shared" si="102"/>
        <v/>
      </c>
      <c r="AV172" t="str">
        <f t="shared" si="103"/>
        <v/>
      </c>
      <c r="AW172" t="str">
        <f t="shared" si="104"/>
        <v/>
      </c>
      <c r="AY172" t="str">
        <f t="shared" si="105"/>
        <v/>
      </c>
      <c r="AZ172" t="str">
        <f t="shared" si="106"/>
        <v/>
      </c>
      <c r="BA172" t="str">
        <f t="shared" si="107"/>
        <v/>
      </c>
      <c r="BB172" t="str">
        <f t="shared" si="108"/>
        <v/>
      </c>
      <c r="BC172" t="str">
        <f t="shared" si="109"/>
        <v/>
      </c>
      <c r="BE172">
        <f t="shared" si="110"/>
        <v>54</v>
      </c>
      <c r="BF172">
        <f t="shared" si="111"/>
        <v>0</v>
      </c>
      <c r="BG172" t="str">
        <f t="shared" si="112"/>
        <v/>
      </c>
      <c r="BH172" t="str">
        <f t="shared" si="113"/>
        <v/>
      </c>
    </row>
    <row r="173" spans="4:60" x14ac:dyDescent="0.55000000000000004">
      <c r="D173">
        <v>163</v>
      </c>
      <c r="E173" t="str">
        <f t="shared" ref="E173:E209" si="127">IF(LEN(I173),I173,IF(LEN(Q173),Q173,""))</f>
        <v/>
      </c>
      <c r="F173" t="str">
        <f t="shared" ref="F173:F209" si="128">IF(LEN(J173),J173,IF(LEN(Q173),Q173,""))</f>
        <v/>
      </c>
      <c r="G173" t="str">
        <f t="shared" ref="G173:G209" si="129">IF(LEN(O173),O173,IF(LEN(X173),X173,""))</f>
        <v/>
      </c>
      <c r="Z173" t="str">
        <f t="shared" si="115"/>
        <v/>
      </c>
      <c r="AA173" t="str">
        <f t="shared" si="125"/>
        <v/>
      </c>
      <c r="AB173" t="str">
        <f t="shared" si="125"/>
        <v/>
      </c>
      <c r="AC173" t="str">
        <f t="shared" si="125"/>
        <v/>
      </c>
      <c r="AD173" t="str">
        <f t="shared" si="117"/>
        <v/>
      </c>
      <c r="AE173" t="str">
        <f t="shared" si="118"/>
        <v/>
      </c>
      <c r="AF173" t="str">
        <f t="shared" si="119"/>
        <v/>
      </c>
      <c r="AG173" t="str">
        <f t="shared" si="120"/>
        <v/>
      </c>
      <c r="AH173" t="str">
        <f t="shared" si="121"/>
        <v/>
      </c>
      <c r="AI173" t="str">
        <f t="shared" si="122"/>
        <v/>
      </c>
      <c r="AJ173" t="str">
        <f t="shared" si="126"/>
        <v/>
      </c>
      <c r="AK173" t="str">
        <f t="shared" ref="AK173:AK209" si="130">IF(LEN(_xlfn.CONCAT(AD173:AJ173)),_xlfn.CONCAT(AD173:AJ173),"")</f>
        <v/>
      </c>
      <c r="AM173" t="str">
        <f t="shared" ref="AM173:AM209" si="131">IF(LEN(G173),IF(OR(COUNTIF(G173,"*◆*"),COUNTIF(G173,"*▼*"),COUNTIF(G173,"*▽*"),COUNTIF(G173,"*■*")),"","●"),"")</f>
        <v/>
      </c>
      <c r="AN173" t="str">
        <f t="shared" ref="AN173:AN209" si="132">IF(AM173="●",(AN$4+MOD(INT(MID(E173,5,LEN(E173)-4)),AN$2))*AN$8,"")</f>
        <v/>
      </c>
      <c r="AO173" t="str">
        <f t="shared" ref="AO173:AO209" si="133">IF($AM173="●","LDP "&amp;E173&amp;"."&amp;$B$16,"")</f>
        <v/>
      </c>
      <c r="AP173" t="str">
        <f t="shared" si="124"/>
        <v/>
      </c>
      <c r="AQ173" t="str">
        <f t="shared" ref="AQ173:AQ209" si="134">IF($AM173="●","MOV.D #"&amp;AN173&amp;" "&amp;$B$17,"")</f>
        <v/>
      </c>
      <c r="AR173" t="str">
        <f t="shared" ref="AR173:AR209" si="135">IF(LEN(AK173),"MOV.D "&amp;$AK173&amp;" "&amp;$B$19,"")</f>
        <v/>
      </c>
      <c r="AS173" t="str">
        <f t="shared" ref="AS173:AS209" si="136">IF(AND(D173&lt;&gt;0,AM173="●"),CHAR(10),"")&amp;IF(LEN(AO173),AO173,"")</f>
        <v/>
      </c>
      <c r="AT173" t="str">
        <f t="shared" ref="AT173:AT209" si="137">IF(LEN(AS173),AS173&amp;CHAR(10),"")&amp;IF(LEN(AP173),AP173,"")</f>
        <v/>
      </c>
      <c r="AU173" t="str">
        <f t="shared" ref="AU173:AU209" si="138">IF(LEN(AT173),AT173&amp;CHAR(10),"")&amp;IF(LEN(AQ173),AQ173,"")</f>
        <v/>
      </c>
      <c r="AV173" t="str">
        <f t="shared" ref="AV173:AV209" si="139">IF(LEN(AU173),AU173&amp;CHAR(10),"")&amp;IF(LEN(AR173),AR173,"")</f>
        <v/>
      </c>
      <c r="AW173" t="str">
        <f t="shared" ref="AW173:AW209" si="140">AV173</f>
        <v/>
      </c>
      <c r="AY173" t="str">
        <f t="shared" ref="AY173:AY209" si="141">IF($AM173="●",AT173&amp;CHAR(10)&amp;"BOX_ST"&amp;CHAR(10)&amp;";//"&amp;$B$30,"")</f>
        <v/>
      </c>
      <c r="AZ173" t="str">
        <f t="shared" ref="AZ173:AZ209" si="142">IF($AM173="●",IF(LEN(AY173),AY173&amp;CHAR(10),"")&amp;";//エラーNo.を入れる"&amp;CHAR(10)&amp;";"&amp;$B$17&amp;"	:= "&amp;AN173&amp;";","")</f>
        <v/>
      </c>
      <c r="BA173" t="str">
        <f t="shared" ref="BA173:BA209" si="143">IF($AM173="●",IF(LEN(AZ173),AZ173&amp;CHAR(10),"")&amp;";//カウントする"&amp;CHAR(10)&amp;";"&amp;$B$18&amp;"	:= "&amp;$B$18&amp;" + 1;","")</f>
        <v/>
      </c>
      <c r="BB173" t="str">
        <f t="shared" ref="BB173:BB209" si="144">IF($AM173="●",IF(LEN(BA173),BA173&amp;CHAR(10),"")&amp;IF(LEN(AK173),";//エラーコードを入れる"&amp;CHAR(10)&amp;";"&amp;$B$19&amp;"	:= "&amp;AK173&amp;".udiErrNo;",""),"")</f>
        <v/>
      </c>
      <c r="BC173" t="str">
        <f t="shared" ref="BC173:BC209" si="145">IF($AM173="●",IF(LEN(BB173),BB173&amp;CHAR(10),"")&amp;";//"&amp;$B$31,"")</f>
        <v/>
      </c>
      <c r="BE173">
        <f t="shared" ref="BE173:BE209" si="146">INT(D173/$BE$8)</f>
        <v>54</v>
      </c>
      <c r="BF173">
        <f t="shared" ref="BF173:BF209" si="147">MOD(D173,$BE$8)</f>
        <v>1</v>
      </c>
      <c r="BG173" t="str">
        <f t="shared" ref="BG173:BG209" si="148">IF(LEN(E173),E173&amp;".x"&amp;TEXT(BF173,"0")&amp;CHAR(9)&amp;" := FALSE;","")</f>
        <v/>
      </c>
      <c r="BH173" t="str">
        <f t="shared" ref="BH173:BH209" si="149">IF(LEN(BG173),BG173&amp;CHAR(10),"")</f>
        <v/>
      </c>
    </row>
    <row r="174" spans="4:60" x14ac:dyDescent="0.55000000000000004">
      <c r="D174">
        <v>164</v>
      </c>
      <c r="E174" t="str">
        <f t="shared" si="127"/>
        <v/>
      </c>
      <c r="F174" t="str">
        <f t="shared" si="128"/>
        <v/>
      </c>
      <c r="G174" t="str">
        <f t="shared" si="129"/>
        <v/>
      </c>
      <c r="Z174" t="str">
        <f t="shared" si="115"/>
        <v/>
      </c>
      <c r="AA174" t="str">
        <f t="shared" si="125"/>
        <v/>
      </c>
      <c r="AB174" t="str">
        <f t="shared" si="125"/>
        <v/>
      </c>
      <c r="AC174" t="str">
        <f t="shared" si="125"/>
        <v/>
      </c>
      <c r="AD174" t="str">
        <f t="shared" si="117"/>
        <v/>
      </c>
      <c r="AE174" t="str">
        <f t="shared" si="118"/>
        <v/>
      </c>
      <c r="AF174" t="str">
        <f t="shared" si="119"/>
        <v/>
      </c>
      <c r="AG174" t="str">
        <f t="shared" si="120"/>
        <v/>
      </c>
      <c r="AH174" t="str">
        <f t="shared" si="121"/>
        <v/>
      </c>
      <c r="AI174" t="str">
        <f t="shared" si="122"/>
        <v/>
      </c>
      <c r="AJ174" t="str">
        <f t="shared" si="126"/>
        <v/>
      </c>
      <c r="AK174" t="str">
        <f t="shared" si="130"/>
        <v/>
      </c>
      <c r="AM174" t="str">
        <f t="shared" si="131"/>
        <v/>
      </c>
      <c r="AN174" t="str">
        <f t="shared" si="132"/>
        <v/>
      </c>
      <c r="AO174" t="str">
        <f t="shared" si="133"/>
        <v/>
      </c>
      <c r="AP174" t="str">
        <f t="shared" si="124"/>
        <v/>
      </c>
      <c r="AQ174" t="str">
        <f t="shared" si="134"/>
        <v/>
      </c>
      <c r="AR174" t="str">
        <f t="shared" si="135"/>
        <v/>
      </c>
      <c r="AS174" t="str">
        <f t="shared" si="136"/>
        <v/>
      </c>
      <c r="AT174" t="str">
        <f t="shared" si="137"/>
        <v/>
      </c>
      <c r="AU174" t="str">
        <f t="shared" si="138"/>
        <v/>
      </c>
      <c r="AV174" t="str">
        <f t="shared" si="139"/>
        <v/>
      </c>
      <c r="AW174" t="str">
        <f t="shared" si="140"/>
        <v/>
      </c>
      <c r="AY174" t="str">
        <f t="shared" si="141"/>
        <v/>
      </c>
      <c r="AZ174" t="str">
        <f t="shared" si="142"/>
        <v/>
      </c>
      <c r="BA174" t="str">
        <f t="shared" si="143"/>
        <v/>
      </c>
      <c r="BB174" t="str">
        <f t="shared" si="144"/>
        <v/>
      </c>
      <c r="BC174" t="str">
        <f t="shared" si="145"/>
        <v/>
      </c>
      <c r="BE174">
        <f t="shared" si="146"/>
        <v>54</v>
      </c>
      <c r="BF174">
        <f t="shared" si="147"/>
        <v>2</v>
      </c>
      <c r="BG174" t="str">
        <f t="shared" si="148"/>
        <v/>
      </c>
      <c r="BH174" t="str">
        <f t="shared" si="149"/>
        <v/>
      </c>
    </row>
    <row r="175" spans="4:60" x14ac:dyDescent="0.55000000000000004">
      <c r="D175">
        <v>165</v>
      </c>
      <c r="E175" t="str">
        <f t="shared" si="127"/>
        <v/>
      </c>
      <c r="F175" t="str">
        <f t="shared" si="128"/>
        <v/>
      </c>
      <c r="G175" t="str">
        <f t="shared" si="129"/>
        <v/>
      </c>
      <c r="Z175" t="str">
        <f t="shared" si="115"/>
        <v/>
      </c>
      <c r="AA175" t="str">
        <f t="shared" si="125"/>
        <v/>
      </c>
      <c r="AB175" t="str">
        <f t="shared" si="125"/>
        <v/>
      </c>
      <c r="AC175" t="str">
        <f t="shared" si="125"/>
        <v/>
      </c>
      <c r="AD175" t="str">
        <f t="shared" si="117"/>
        <v/>
      </c>
      <c r="AE175" t="str">
        <f t="shared" si="118"/>
        <v/>
      </c>
      <c r="AF175" t="str">
        <f t="shared" si="119"/>
        <v/>
      </c>
      <c r="AG175" t="str">
        <f t="shared" si="120"/>
        <v/>
      </c>
      <c r="AH175" t="str">
        <f t="shared" si="121"/>
        <v/>
      </c>
      <c r="AI175" t="str">
        <f t="shared" si="122"/>
        <v/>
      </c>
      <c r="AJ175" t="str">
        <f t="shared" si="126"/>
        <v/>
      </c>
      <c r="AK175" t="str">
        <f t="shared" si="130"/>
        <v/>
      </c>
      <c r="AM175" t="str">
        <f t="shared" si="131"/>
        <v/>
      </c>
      <c r="AN175" t="str">
        <f t="shared" si="132"/>
        <v/>
      </c>
      <c r="AO175" t="str">
        <f t="shared" si="133"/>
        <v/>
      </c>
      <c r="AP175" t="str">
        <f t="shared" si="124"/>
        <v/>
      </c>
      <c r="AQ175" t="str">
        <f t="shared" si="134"/>
        <v/>
      </c>
      <c r="AR175" t="str">
        <f t="shared" si="135"/>
        <v/>
      </c>
      <c r="AS175" t="str">
        <f t="shared" si="136"/>
        <v/>
      </c>
      <c r="AT175" t="str">
        <f t="shared" si="137"/>
        <v/>
      </c>
      <c r="AU175" t="str">
        <f t="shared" si="138"/>
        <v/>
      </c>
      <c r="AV175" t="str">
        <f t="shared" si="139"/>
        <v/>
      </c>
      <c r="AW175" t="str">
        <f t="shared" si="140"/>
        <v/>
      </c>
      <c r="AY175" t="str">
        <f t="shared" si="141"/>
        <v/>
      </c>
      <c r="AZ175" t="str">
        <f t="shared" si="142"/>
        <v/>
      </c>
      <c r="BA175" t="str">
        <f t="shared" si="143"/>
        <v/>
      </c>
      <c r="BB175" t="str">
        <f t="shared" si="144"/>
        <v/>
      </c>
      <c r="BC175" t="str">
        <f t="shared" si="145"/>
        <v/>
      </c>
      <c r="BE175">
        <f t="shared" si="146"/>
        <v>55</v>
      </c>
      <c r="BF175">
        <f t="shared" si="147"/>
        <v>0</v>
      </c>
      <c r="BG175" t="str">
        <f t="shared" si="148"/>
        <v/>
      </c>
      <c r="BH175" t="str">
        <f t="shared" si="149"/>
        <v/>
      </c>
    </row>
    <row r="176" spans="4:60" x14ac:dyDescent="0.55000000000000004">
      <c r="D176">
        <v>166</v>
      </c>
      <c r="E176" t="str">
        <f t="shared" si="127"/>
        <v/>
      </c>
      <c r="F176" t="str">
        <f t="shared" si="128"/>
        <v/>
      </c>
      <c r="G176" t="str">
        <f t="shared" si="129"/>
        <v/>
      </c>
      <c r="Z176" t="str">
        <f t="shared" si="115"/>
        <v/>
      </c>
      <c r="AA176" t="str">
        <f t="shared" si="125"/>
        <v/>
      </c>
      <c r="AB176" t="str">
        <f t="shared" si="125"/>
        <v/>
      </c>
      <c r="AC176" t="str">
        <f t="shared" si="125"/>
        <v/>
      </c>
      <c r="AD176" t="str">
        <f t="shared" si="117"/>
        <v/>
      </c>
      <c r="AE176" t="str">
        <f t="shared" si="118"/>
        <v/>
      </c>
      <c r="AF176" t="str">
        <f t="shared" si="119"/>
        <v/>
      </c>
      <c r="AG176" t="str">
        <f t="shared" si="120"/>
        <v/>
      </c>
      <c r="AH176" t="str">
        <f t="shared" si="121"/>
        <v/>
      </c>
      <c r="AI176" t="str">
        <f t="shared" si="122"/>
        <v/>
      </c>
      <c r="AJ176" t="str">
        <f t="shared" si="126"/>
        <v/>
      </c>
      <c r="AK176" t="str">
        <f t="shared" si="130"/>
        <v/>
      </c>
      <c r="AM176" t="str">
        <f t="shared" si="131"/>
        <v/>
      </c>
      <c r="AN176" t="str">
        <f t="shared" si="132"/>
        <v/>
      </c>
      <c r="AO176" t="str">
        <f t="shared" si="133"/>
        <v/>
      </c>
      <c r="AP176" t="str">
        <f t="shared" si="124"/>
        <v/>
      </c>
      <c r="AQ176" t="str">
        <f t="shared" si="134"/>
        <v/>
      </c>
      <c r="AR176" t="str">
        <f t="shared" si="135"/>
        <v/>
      </c>
      <c r="AS176" t="str">
        <f t="shared" si="136"/>
        <v/>
      </c>
      <c r="AT176" t="str">
        <f t="shared" si="137"/>
        <v/>
      </c>
      <c r="AU176" t="str">
        <f t="shared" si="138"/>
        <v/>
      </c>
      <c r="AV176" t="str">
        <f t="shared" si="139"/>
        <v/>
      </c>
      <c r="AW176" t="str">
        <f t="shared" si="140"/>
        <v/>
      </c>
      <c r="AY176" t="str">
        <f t="shared" si="141"/>
        <v/>
      </c>
      <c r="AZ176" t="str">
        <f t="shared" si="142"/>
        <v/>
      </c>
      <c r="BA176" t="str">
        <f t="shared" si="143"/>
        <v/>
      </c>
      <c r="BB176" t="str">
        <f t="shared" si="144"/>
        <v/>
      </c>
      <c r="BC176" t="str">
        <f t="shared" si="145"/>
        <v/>
      </c>
      <c r="BE176">
        <f t="shared" si="146"/>
        <v>55</v>
      </c>
      <c r="BF176">
        <f t="shared" si="147"/>
        <v>1</v>
      </c>
      <c r="BG176" t="str">
        <f t="shared" si="148"/>
        <v/>
      </c>
      <c r="BH176" t="str">
        <f t="shared" si="149"/>
        <v/>
      </c>
    </row>
    <row r="177" spans="4:60" x14ac:dyDescent="0.55000000000000004">
      <c r="D177">
        <v>167</v>
      </c>
      <c r="E177" t="str">
        <f t="shared" si="127"/>
        <v/>
      </c>
      <c r="F177" t="str">
        <f t="shared" si="128"/>
        <v/>
      </c>
      <c r="G177" t="str">
        <f t="shared" si="129"/>
        <v/>
      </c>
      <c r="Z177" t="str">
        <f t="shared" si="115"/>
        <v/>
      </c>
      <c r="AA177" t="str">
        <f t="shared" si="125"/>
        <v/>
      </c>
      <c r="AB177" t="str">
        <f t="shared" si="125"/>
        <v/>
      </c>
      <c r="AC177" t="str">
        <f t="shared" si="125"/>
        <v/>
      </c>
      <c r="AD177" t="str">
        <f t="shared" si="117"/>
        <v/>
      </c>
      <c r="AE177" t="str">
        <f t="shared" si="118"/>
        <v/>
      </c>
      <c r="AF177" t="str">
        <f t="shared" si="119"/>
        <v/>
      </c>
      <c r="AG177" t="str">
        <f t="shared" si="120"/>
        <v/>
      </c>
      <c r="AH177" t="str">
        <f t="shared" si="121"/>
        <v/>
      </c>
      <c r="AI177" t="str">
        <f t="shared" si="122"/>
        <v/>
      </c>
      <c r="AJ177" t="str">
        <f t="shared" si="126"/>
        <v/>
      </c>
      <c r="AK177" t="str">
        <f t="shared" si="130"/>
        <v/>
      </c>
      <c r="AM177" t="str">
        <f t="shared" si="131"/>
        <v/>
      </c>
      <c r="AN177" t="str">
        <f t="shared" si="132"/>
        <v/>
      </c>
      <c r="AO177" t="str">
        <f t="shared" si="133"/>
        <v/>
      </c>
      <c r="AP177" t="str">
        <f t="shared" si="124"/>
        <v/>
      </c>
      <c r="AQ177" t="str">
        <f t="shared" si="134"/>
        <v/>
      </c>
      <c r="AR177" t="str">
        <f t="shared" si="135"/>
        <v/>
      </c>
      <c r="AS177" t="str">
        <f t="shared" si="136"/>
        <v/>
      </c>
      <c r="AT177" t="str">
        <f t="shared" si="137"/>
        <v/>
      </c>
      <c r="AU177" t="str">
        <f t="shared" si="138"/>
        <v/>
      </c>
      <c r="AV177" t="str">
        <f t="shared" si="139"/>
        <v/>
      </c>
      <c r="AW177" t="str">
        <f t="shared" si="140"/>
        <v/>
      </c>
      <c r="AY177" t="str">
        <f t="shared" si="141"/>
        <v/>
      </c>
      <c r="AZ177" t="str">
        <f t="shared" si="142"/>
        <v/>
      </c>
      <c r="BA177" t="str">
        <f t="shared" si="143"/>
        <v/>
      </c>
      <c r="BB177" t="str">
        <f t="shared" si="144"/>
        <v/>
      </c>
      <c r="BC177" t="str">
        <f t="shared" si="145"/>
        <v/>
      </c>
      <c r="BE177">
        <f t="shared" si="146"/>
        <v>55</v>
      </c>
      <c r="BF177">
        <f t="shared" si="147"/>
        <v>2</v>
      </c>
      <c r="BG177" t="str">
        <f t="shared" si="148"/>
        <v/>
      </c>
      <c r="BH177" t="str">
        <f t="shared" si="149"/>
        <v/>
      </c>
    </row>
    <row r="178" spans="4:60" x14ac:dyDescent="0.55000000000000004">
      <c r="D178">
        <v>168</v>
      </c>
      <c r="E178" t="str">
        <f t="shared" si="127"/>
        <v/>
      </c>
      <c r="F178" t="str">
        <f t="shared" si="128"/>
        <v/>
      </c>
      <c r="G178" t="str">
        <f t="shared" si="129"/>
        <v/>
      </c>
      <c r="Z178" t="str">
        <f t="shared" si="115"/>
        <v/>
      </c>
      <c r="AA178" t="str">
        <f t="shared" si="125"/>
        <v/>
      </c>
      <c r="AB178" t="str">
        <f t="shared" si="125"/>
        <v/>
      </c>
      <c r="AC178" t="str">
        <f t="shared" si="125"/>
        <v/>
      </c>
      <c r="AD178" t="str">
        <f t="shared" si="117"/>
        <v/>
      </c>
      <c r="AE178" t="str">
        <f t="shared" si="118"/>
        <v/>
      </c>
      <c r="AF178" t="str">
        <f t="shared" si="119"/>
        <v/>
      </c>
      <c r="AG178" t="str">
        <f t="shared" si="120"/>
        <v/>
      </c>
      <c r="AH178" t="str">
        <f t="shared" si="121"/>
        <v/>
      </c>
      <c r="AI178" t="str">
        <f t="shared" si="122"/>
        <v/>
      </c>
      <c r="AJ178" t="str">
        <f t="shared" si="126"/>
        <v/>
      </c>
      <c r="AK178" t="str">
        <f t="shared" si="130"/>
        <v/>
      </c>
      <c r="AM178" t="str">
        <f t="shared" si="131"/>
        <v/>
      </c>
      <c r="AN178" t="str">
        <f t="shared" si="132"/>
        <v/>
      </c>
      <c r="AO178" t="str">
        <f t="shared" si="133"/>
        <v/>
      </c>
      <c r="AP178" t="str">
        <f t="shared" si="124"/>
        <v/>
      </c>
      <c r="AQ178" t="str">
        <f t="shared" si="134"/>
        <v/>
      </c>
      <c r="AR178" t="str">
        <f t="shared" si="135"/>
        <v/>
      </c>
      <c r="AS178" t="str">
        <f t="shared" si="136"/>
        <v/>
      </c>
      <c r="AT178" t="str">
        <f t="shared" si="137"/>
        <v/>
      </c>
      <c r="AU178" t="str">
        <f t="shared" si="138"/>
        <v/>
      </c>
      <c r="AV178" t="str">
        <f t="shared" si="139"/>
        <v/>
      </c>
      <c r="AW178" t="str">
        <f t="shared" si="140"/>
        <v/>
      </c>
      <c r="AY178" t="str">
        <f t="shared" si="141"/>
        <v/>
      </c>
      <c r="AZ178" t="str">
        <f t="shared" si="142"/>
        <v/>
      </c>
      <c r="BA178" t="str">
        <f t="shared" si="143"/>
        <v/>
      </c>
      <c r="BB178" t="str">
        <f t="shared" si="144"/>
        <v/>
      </c>
      <c r="BC178" t="str">
        <f t="shared" si="145"/>
        <v/>
      </c>
      <c r="BE178">
        <f t="shared" si="146"/>
        <v>56</v>
      </c>
      <c r="BF178">
        <f t="shared" si="147"/>
        <v>0</v>
      </c>
      <c r="BG178" t="str">
        <f t="shared" si="148"/>
        <v/>
      </c>
      <c r="BH178" t="str">
        <f t="shared" si="149"/>
        <v/>
      </c>
    </row>
    <row r="179" spans="4:60" x14ac:dyDescent="0.55000000000000004">
      <c r="D179">
        <v>169</v>
      </c>
      <c r="E179" t="str">
        <f t="shared" si="127"/>
        <v/>
      </c>
      <c r="F179" t="str">
        <f t="shared" si="128"/>
        <v/>
      </c>
      <c r="G179" t="str">
        <f t="shared" si="129"/>
        <v/>
      </c>
      <c r="Z179" t="str">
        <f t="shared" si="115"/>
        <v/>
      </c>
      <c r="AA179" t="str">
        <f t="shared" si="125"/>
        <v/>
      </c>
      <c r="AB179" t="str">
        <f t="shared" si="125"/>
        <v/>
      </c>
      <c r="AC179" t="str">
        <f t="shared" si="125"/>
        <v/>
      </c>
      <c r="AD179" t="str">
        <f t="shared" si="117"/>
        <v/>
      </c>
      <c r="AE179" t="str">
        <f t="shared" si="118"/>
        <v/>
      </c>
      <c r="AF179" t="str">
        <f t="shared" si="119"/>
        <v/>
      </c>
      <c r="AG179" t="str">
        <f t="shared" si="120"/>
        <v/>
      </c>
      <c r="AH179" t="str">
        <f t="shared" si="121"/>
        <v/>
      </c>
      <c r="AI179" t="str">
        <f t="shared" si="122"/>
        <v/>
      </c>
      <c r="AJ179" t="str">
        <f t="shared" si="126"/>
        <v/>
      </c>
      <c r="AK179" t="str">
        <f t="shared" si="130"/>
        <v/>
      </c>
      <c r="AM179" t="str">
        <f t="shared" si="131"/>
        <v/>
      </c>
      <c r="AN179" t="str">
        <f t="shared" si="132"/>
        <v/>
      </c>
      <c r="AO179" t="str">
        <f t="shared" si="133"/>
        <v/>
      </c>
      <c r="AP179" t="str">
        <f t="shared" si="124"/>
        <v/>
      </c>
      <c r="AQ179" t="str">
        <f t="shared" si="134"/>
        <v/>
      </c>
      <c r="AR179" t="str">
        <f t="shared" si="135"/>
        <v/>
      </c>
      <c r="AS179" t="str">
        <f t="shared" si="136"/>
        <v/>
      </c>
      <c r="AT179" t="str">
        <f t="shared" si="137"/>
        <v/>
      </c>
      <c r="AU179" t="str">
        <f t="shared" si="138"/>
        <v/>
      </c>
      <c r="AV179" t="str">
        <f t="shared" si="139"/>
        <v/>
      </c>
      <c r="AW179" t="str">
        <f t="shared" si="140"/>
        <v/>
      </c>
      <c r="AY179" t="str">
        <f t="shared" si="141"/>
        <v/>
      </c>
      <c r="AZ179" t="str">
        <f t="shared" si="142"/>
        <v/>
      </c>
      <c r="BA179" t="str">
        <f t="shared" si="143"/>
        <v/>
      </c>
      <c r="BB179" t="str">
        <f t="shared" si="144"/>
        <v/>
      </c>
      <c r="BC179" t="str">
        <f t="shared" si="145"/>
        <v/>
      </c>
      <c r="BE179">
        <f t="shared" si="146"/>
        <v>56</v>
      </c>
      <c r="BF179">
        <f t="shared" si="147"/>
        <v>1</v>
      </c>
      <c r="BG179" t="str">
        <f t="shared" si="148"/>
        <v/>
      </c>
      <c r="BH179" t="str">
        <f t="shared" si="149"/>
        <v/>
      </c>
    </row>
    <row r="180" spans="4:60" x14ac:dyDescent="0.55000000000000004">
      <c r="D180">
        <v>170</v>
      </c>
      <c r="E180" t="str">
        <f t="shared" si="127"/>
        <v/>
      </c>
      <c r="F180" t="str">
        <f t="shared" si="128"/>
        <v/>
      </c>
      <c r="G180" t="str">
        <f t="shared" si="129"/>
        <v/>
      </c>
      <c r="Z180" t="str">
        <f t="shared" si="115"/>
        <v/>
      </c>
      <c r="AA180" t="str">
        <f t="shared" si="125"/>
        <v/>
      </c>
      <c r="AB180" t="str">
        <f t="shared" si="125"/>
        <v/>
      </c>
      <c r="AC180" t="str">
        <f t="shared" si="125"/>
        <v/>
      </c>
      <c r="AD180" t="str">
        <f t="shared" si="117"/>
        <v/>
      </c>
      <c r="AE180" t="str">
        <f t="shared" si="118"/>
        <v/>
      </c>
      <c r="AF180" t="str">
        <f t="shared" si="119"/>
        <v/>
      </c>
      <c r="AG180" t="str">
        <f t="shared" si="120"/>
        <v/>
      </c>
      <c r="AH180" t="str">
        <f t="shared" si="121"/>
        <v/>
      </c>
      <c r="AI180" t="str">
        <f t="shared" si="122"/>
        <v/>
      </c>
      <c r="AJ180" t="str">
        <f t="shared" si="126"/>
        <v/>
      </c>
      <c r="AK180" t="str">
        <f t="shared" si="130"/>
        <v/>
      </c>
      <c r="AM180" t="str">
        <f t="shared" si="131"/>
        <v/>
      </c>
      <c r="AN180" t="str">
        <f t="shared" si="132"/>
        <v/>
      </c>
      <c r="AO180" t="str">
        <f t="shared" si="133"/>
        <v/>
      </c>
      <c r="AP180" t="str">
        <f t="shared" si="124"/>
        <v/>
      </c>
      <c r="AQ180" t="str">
        <f t="shared" si="134"/>
        <v/>
      </c>
      <c r="AR180" t="str">
        <f t="shared" si="135"/>
        <v/>
      </c>
      <c r="AS180" t="str">
        <f t="shared" si="136"/>
        <v/>
      </c>
      <c r="AT180" t="str">
        <f t="shared" si="137"/>
        <v/>
      </c>
      <c r="AU180" t="str">
        <f t="shared" si="138"/>
        <v/>
      </c>
      <c r="AV180" t="str">
        <f t="shared" si="139"/>
        <v/>
      </c>
      <c r="AW180" t="str">
        <f t="shared" si="140"/>
        <v/>
      </c>
      <c r="AY180" t="str">
        <f t="shared" si="141"/>
        <v/>
      </c>
      <c r="AZ180" t="str">
        <f t="shared" si="142"/>
        <v/>
      </c>
      <c r="BA180" t="str">
        <f t="shared" si="143"/>
        <v/>
      </c>
      <c r="BB180" t="str">
        <f t="shared" si="144"/>
        <v/>
      </c>
      <c r="BC180" t="str">
        <f t="shared" si="145"/>
        <v/>
      </c>
      <c r="BE180">
        <f t="shared" si="146"/>
        <v>56</v>
      </c>
      <c r="BF180">
        <f t="shared" si="147"/>
        <v>2</v>
      </c>
      <c r="BG180" t="str">
        <f t="shared" si="148"/>
        <v/>
      </c>
      <c r="BH180" t="str">
        <f t="shared" si="149"/>
        <v/>
      </c>
    </row>
    <row r="181" spans="4:60" x14ac:dyDescent="0.55000000000000004">
      <c r="D181">
        <v>171</v>
      </c>
      <c r="E181" t="str">
        <f t="shared" si="127"/>
        <v/>
      </c>
      <c r="F181" t="str">
        <f t="shared" si="128"/>
        <v/>
      </c>
      <c r="G181" t="str">
        <f t="shared" si="129"/>
        <v/>
      </c>
      <c r="Z181" t="str">
        <f t="shared" si="115"/>
        <v/>
      </c>
      <c r="AA181" t="str">
        <f t="shared" si="125"/>
        <v/>
      </c>
      <c r="AB181" t="str">
        <f t="shared" si="125"/>
        <v/>
      </c>
      <c r="AC181" t="str">
        <f t="shared" si="125"/>
        <v/>
      </c>
      <c r="AD181" t="str">
        <f t="shared" si="117"/>
        <v/>
      </c>
      <c r="AE181" t="str">
        <f t="shared" si="118"/>
        <v/>
      </c>
      <c r="AF181" t="str">
        <f t="shared" si="119"/>
        <v/>
      </c>
      <c r="AG181" t="str">
        <f t="shared" si="120"/>
        <v/>
      </c>
      <c r="AH181" t="str">
        <f t="shared" si="121"/>
        <v/>
      </c>
      <c r="AI181" t="str">
        <f t="shared" si="122"/>
        <v/>
      </c>
      <c r="AJ181" t="str">
        <f t="shared" si="126"/>
        <v/>
      </c>
      <c r="AK181" t="str">
        <f t="shared" si="130"/>
        <v/>
      </c>
      <c r="AM181" t="str">
        <f t="shared" si="131"/>
        <v/>
      </c>
      <c r="AN181" t="str">
        <f t="shared" si="132"/>
        <v/>
      </c>
      <c r="AO181" t="str">
        <f t="shared" si="133"/>
        <v/>
      </c>
      <c r="AP181" t="str">
        <f t="shared" si="124"/>
        <v/>
      </c>
      <c r="AQ181" t="str">
        <f t="shared" si="134"/>
        <v/>
      </c>
      <c r="AR181" t="str">
        <f t="shared" si="135"/>
        <v/>
      </c>
      <c r="AS181" t="str">
        <f t="shared" si="136"/>
        <v/>
      </c>
      <c r="AT181" t="str">
        <f t="shared" si="137"/>
        <v/>
      </c>
      <c r="AU181" t="str">
        <f t="shared" si="138"/>
        <v/>
      </c>
      <c r="AV181" t="str">
        <f t="shared" si="139"/>
        <v/>
      </c>
      <c r="AW181" t="str">
        <f t="shared" si="140"/>
        <v/>
      </c>
      <c r="AY181" t="str">
        <f t="shared" si="141"/>
        <v/>
      </c>
      <c r="AZ181" t="str">
        <f t="shared" si="142"/>
        <v/>
      </c>
      <c r="BA181" t="str">
        <f t="shared" si="143"/>
        <v/>
      </c>
      <c r="BB181" t="str">
        <f t="shared" si="144"/>
        <v/>
      </c>
      <c r="BC181" t="str">
        <f t="shared" si="145"/>
        <v/>
      </c>
      <c r="BE181">
        <f t="shared" si="146"/>
        <v>57</v>
      </c>
      <c r="BF181">
        <f t="shared" si="147"/>
        <v>0</v>
      </c>
      <c r="BG181" t="str">
        <f t="shared" si="148"/>
        <v/>
      </c>
      <c r="BH181" t="str">
        <f t="shared" si="149"/>
        <v/>
      </c>
    </row>
    <row r="182" spans="4:60" x14ac:dyDescent="0.55000000000000004">
      <c r="D182">
        <v>172</v>
      </c>
      <c r="E182" t="str">
        <f t="shared" si="127"/>
        <v/>
      </c>
      <c r="F182" t="str">
        <f t="shared" si="128"/>
        <v/>
      </c>
      <c r="G182" t="str">
        <f t="shared" si="129"/>
        <v/>
      </c>
      <c r="Z182" t="str">
        <f t="shared" si="115"/>
        <v/>
      </c>
      <c r="AA182" t="str">
        <f t="shared" si="125"/>
        <v/>
      </c>
      <c r="AB182" t="str">
        <f t="shared" si="125"/>
        <v/>
      </c>
      <c r="AC182" t="str">
        <f t="shared" si="125"/>
        <v/>
      </c>
      <c r="AD182" t="str">
        <f t="shared" si="117"/>
        <v/>
      </c>
      <c r="AE182" t="str">
        <f t="shared" si="118"/>
        <v/>
      </c>
      <c r="AF182" t="str">
        <f t="shared" si="119"/>
        <v/>
      </c>
      <c r="AG182" t="str">
        <f t="shared" si="120"/>
        <v/>
      </c>
      <c r="AH182" t="str">
        <f t="shared" si="121"/>
        <v/>
      </c>
      <c r="AI182" t="str">
        <f t="shared" si="122"/>
        <v/>
      </c>
      <c r="AJ182" t="str">
        <f t="shared" si="126"/>
        <v/>
      </c>
      <c r="AK182" t="str">
        <f t="shared" si="130"/>
        <v/>
      </c>
      <c r="AM182" t="str">
        <f t="shared" si="131"/>
        <v/>
      </c>
      <c r="AN182" t="str">
        <f t="shared" si="132"/>
        <v/>
      </c>
      <c r="AO182" t="str">
        <f t="shared" si="133"/>
        <v/>
      </c>
      <c r="AP182" t="str">
        <f t="shared" si="124"/>
        <v/>
      </c>
      <c r="AQ182" t="str">
        <f t="shared" si="134"/>
        <v/>
      </c>
      <c r="AR182" t="str">
        <f t="shared" si="135"/>
        <v/>
      </c>
      <c r="AS182" t="str">
        <f t="shared" si="136"/>
        <v/>
      </c>
      <c r="AT182" t="str">
        <f t="shared" si="137"/>
        <v/>
      </c>
      <c r="AU182" t="str">
        <f t="shared" si="138"/>
        <v/>
      </c>
      <c r="AV182" t="str">
        <f t="shared" si="139"/>
        <v/>
      </c>
      <c r="AW182" t="str">
        <f t="shared" si="140"/>
        <v/>
      </c>
      <c r="AY182" t="str">
        <f t="shared" si="141"/>
        <v/>
      </c>
      <c r="AZ182" t="str">
        <f t="shared" si="142"/>
        <v/>
      </c>
      <c r="BA182" t="str">
        <f t="shared" si="143"/>
        <v/>
      </c>
      <c r="BB182" t="str">
        <f t="shared" si="144"/>
        <v/>
      </c>
      <c r="BC182" t="str">
        <f t="shared" si="145"/>
        <v/>
      </c>
      <c r="BE182">
        <f t="shared" si="146"/>
        <v>57</v>
      </c>
      <c r="BF182">
        <f t="shared" si="147"/>
        <v>1</v>
      </c>
      <c r="BG182" t="str">
        <f t="shared" si="148"/>
        <v/>
      </c>
      <c r="BH182" t="str">
        <f t="shared" si="149"/>
        <v/>
      </c>
    </row>
    <row r="183" spans="4:60" x14ac:dyDescent="0.55000000000000004">
      <c r="D183">
        <v>173</v>
      </c>
      <c r="E183" t="str">
        <f t="shared" si="127"/>
        <v/>
      </c>
      <c r="F183" t="str">
        <f t="shared" si="128"/>
        <v/>
      </c>
      <c r="G183" t="str">
        <f t="shared" si="129"/>
        <v/>
      </c>
      <c r="Z183" t="str">
        <f t="shared" si="115"/>
        <v/>
      </c>
      <c r="AA183" t="str">
        <f t="shared" si="125"/>
        <v/>
      </c>
      <c r="AB183" t="str">
        <f t="shared" si="125"/>
        <v/>
      </c>
      <c r="AC183" t="str">
        <f t="shared" si="125"/>
        <v/>
      </c>
      <c r="AD183" t="str">
        <f t="shared" si="117"/>
        <v/>
      </c>
      <c r="AE183" t="str">
        <f t="shared" si="118"/>
        <v/>
      </c>
      <c r="AF183" t="str">
        <f t="shared" si="119"/>
        <v/>
      </c>
      <c r="AG183" t="str">
        <f t="shared" si="120"/>
        <v/>
      </c>
      <c r="AH183" t="str">
        <f t="shared" si="121"/>
        <v/>
      </c>
      <c r="AI183" t="str">
        <f t="shared" si="122"/>
        <v/>
      </c>
      <c r="AJ183" t="str">
        <f t="shared" si="126"/>
        <v/>
      </c>
      <c r="AK183" t="str">
        <f t="shared" si="130"/>
        <v/>
      </c>
      <c r="AM183" t="str">
        <f t="shared" si="131"/>
        <v/>
      </c>
      <c r="AN183" t="str">
        <f t="shared" si="132"/>
        <v/>
      </c>
      <c r="AO183" t="str">
        <f t="shared" si="133"/>
        <v/>
      </c>
      <c r="AP183" t="str">
        <f t="shared" si="124"/>
        <v/>
      </c>
      <c r="AQ183" t="str">
        <f t="shared" si="134"/>
        <v/>
      </c>
      <c r="AR183" t="str">
        <f t="shared" si="135"/>
        <v/>
      </c>
      <c r="AS183" t="str">
        <f t="shared" si="136"/>
        <v/>
      </c>
      <c r="AT183" t="str">
        <f t="shared" si="137"/>
        <v/>
      </c>
      <c r="AU183" t="str">
        <f t="shared" si="138"/>
        <v/>
      </c>
      <c r="AV183" t="str">
        <f t="shared" si="139"/>
        <v/>
      </c>
      <c r="AW183" t="str">
        <f t="shared" si="140"/>
        <v/>
      </c>
      <c r="AY183" t="str">
        <f t="shared" si="141"/>
        <v/>
      </c>
      <c r="AZ183" t="str">
        <f t="shared" si="142"/>
        <v/>
      </c>
      <c r="BA183" t="str">
        <f t="shared" si="143"/>
        <v/>
      </c>
      <c r="BB183" t="str">
        <f t="shared" si="144"/>
        <v/>
      </c>
      <c r="BC183" t="str">
        <f t="shared" si="145"/>
        <v/>
      </c>
      <c r="BE183">
        <f t="shared" si="146"/>
        <v>57</v>
      </c>
      <c r="BF183">
        <f t="shared" si="147"/>
        <v>2</v>
      </c>
      <c r="BG183" t="str">
        <f t="shared" si="148"/>
        <v/>
      </c>
      <c r="BH183" t="str">
        <f t="shared" si="149"/>
        <v/>
      </c>
    </row>
    <row r="184" spans="4:60" x14ac:dyDescent="0.55000000000000004">
      <c r="D184">
        <v>174</v>
      </c>
      <c r="E184" t="str">
        <f t="shared" si="127"/>
        <v/>
      </c>
      <c r="F184" t="str">
        <f t="shared" si="128"/>
        <v/>
      </c>
      <c r="G184" t="str">
        <f t="shared" si="129"/>
        <v/>
      </c>
      <c r="Z184" t="str">
        <f t="shared" si="115"/>
        <v/>
      </c>
      <c r="AA184" t="str">
        <f t="shared" si="125"/>
        <v/>
      </c>
      <c r="AB184" t="str">
        <f t="shared" si="125"/>
        <v/>
      </c>
      <c r="AC184" t="str">
        <f t="shared" si="125"/>
        <v/>
      </c>
      <c r="AD184" t="str">
        <f t="shared" si="117"/>
        <v/>
      </c>
      <c r="AE184" t="str">
        <f t="shared" si="118"/>
        <v/>
      </c>
      <c r="AF184" t="str">
        <f t="shared" si="119"/>
        <v/>
      </c>
      <c r="AG184" t="str">
        <f t="shared" si="120"/>
        <v/>
      </c>
      <c r="AH184" t="str">
        <f t="shared" si="121"/>
        <v/>
      </c>
      <c r="AI184" t="str">
        <f t="shared" si="122"/>
        <v/>
      </c>
      <c r="AJ184" t="str">
        <f t="shared" si="126"/>
        <v/>
      </c>
      <c r="AK184" t="str">
        <f t="shared" si="130"/>
        <v/>
      </c>
      <c r="AM184" t="str">
        <f t="shared" si="131"/>
        <v/>
      </c>
      <c r="AN184" t="str">
        <f t="shared" si="132"/>
        <v/>
      </c>
      <c r="AO184" t="str">
        <f t="shared" si="133"/>
        <v/>
      </c>
      <c r="AP184" t="str">
        <f t="shared" si="124"/>
        <v/>
      </c>
      <c r="AQ184" t="str">
        <f t="shared" si="134"/>
        <v/>
      </c>
      <c r="AR184" t="str">
        <f t="shared" si="135"/>
        <v/>
      </c>
      <c r="AS184" t="str">
        <f t="shared" si="136"/>
        <v/>
      </c>
      <c r="AT184" t="str">
        <f t="shared" si="137"/>
        <v/>
      </c>
      <c r="AU184" t="str">
        <f t="shared" si="138"/>
        <v/>
      </c>
      <c r="AV184" t="str">
        <f t="shared" si="139"/>
        <v/>
      </c>
      <c r="AW184" t="str">
        <f t="shared" si="140"/>
        <v/>
      </c>
      <c r="AY184" t="str">
        <f t="shared" si="141"/>
        <v/>
      </c>
      <c r="AZ184" t="str">
        <f t="shared" si="142"/>
        <v/>
      </c>
      <c r="BA184" t="str">
        <f t="shared" si="143"/>
        <v/>
      </c>
      <c r="BB184" t="str">
        <f t="shared" si="144"/>
        <v/>
      </c>
      <c r="BC184" t="str">
        <f t="shared" si="145"/>
        <v/>
      </c>
      <c r="BE184">
        <f t="shared" si="146"/>
        <v>58</v>
      </c>
      <c r="BF184">
        <f t="shared" si="147"/>
        <v>0</v>
      </c>
      <c r="BG184" t="str">
        <f t="shared" si="148"/>
        <v/>
      </c>
      <c r="BH184" t="str">
        <f t="shared" si="149"/>
        <v/>
      </c>
    </row>
    <row r="185" spans="4:60" x14ac:dyDescent="0.55000000000000004">
      <c r="D185">
        <v>175</v>
      </c>
      <c r="E185" t="str">
        <f t="shared" si="127"/>
        <v/>
      </c>
      <c r="F185" t="str">
        <f t="shared" si="128"/>
        <v/>
      </c>
      <c r="G185" t="str">
        <f t="shared" si="129"/>
        <v/>
      </c>
      <c r="Z185" t="str">
        <f t="shared" si="115"/>
        <v/>
      </c>
      <c r="AA185" t="str">
        <f t="shared" si="125"/>
        <v/>
      </c>
      <c r="AB185" t="str">
        <f t="shared" si="125"/>
        <v/>
      </c>
      <c r="AC185" t="str">
        <f t="shared" si="125"/>
        <v/>
      </c>
      <c r="AD185" t="str">
        <f t="shared" si="117"/>
        <v/>
      </c>
      <c r="AE185" t="str">
        <f t="shared" si="118"/>
        <v/>
      </c>
      <c r="AF185" t="str">
        <f t="shared" si="119"/>
        <v/>
      </c>
      <c r="AG185" t="str">
        <f t="shared" si="120"/>
        <v/>
      </c>
      <c r="AH185" t="str">
        <f t="shared" si="121"/>
        <v/>
      </c>
      <c r="AI185" t="str">
        <f t="shared" si="122"/>
        <v/>
      </c>
      <c r="AJ185" t="str">
        <f t="shared" si="126"/>
        <v/>
      </c>
      <c r="AK185" t="str">
        <f t="shared" si="130"/>
        <v/>
      </c>
      <c r="AM185" t="str">
        <f t="shared" si="131"/>
        <v/>
      </c>
      <c r="AN185" t="str">
        <f t="shared" si="132"/>
        <v/>
      </c>
      <c r="AO185" t="str">
        <f t="shared" si="133"/>
        <v/>
      </c>
      <c r="AP185" t="str">
        <f t="shared" si="124"/>
        <v/>
      </c>
      <c r="AQ185" t="str">
        <f t="shared" si="134"/>
        <v/>
      </c>
      <c r="AR185" t="str">
        <f t="shared" si="135"/>
        <v/>
      </c>
      <c r="AS185" t="str">
        <f t="shared" si="136"/>
        <v/>
      </c>
      <c r="AT185" t="str">
        <f t="shared" si="137"/>
        <v/>
      </c>
      <c r="AU185" t="str">
        <f t="shared" si="138"/>
        <v/>
      </c>
      <c r="AV185" t="str">
        <f t="shared" si="139"/>
        <v/>
      </c>
      <c r="AW185" t="str">
        <f t="shared" si="140"/>
        <v/>
      </c>
      <c r="AY185" t="str">
        <f t="shared" si="141"/>
        <v/>
      </c>
      <c r="AZ185" t="str">
        <f t="shared" si="142"/>
        <v/>
      </c>
      <c r="BA185" t="str">
        <f t="shared" si="143"/>
        <v/>
      </c>
      <c r="BB185" t="str">
        <f t="shared" si="144"/>
        <v/>
      </c>
      <c r="BC185" t="str">
        <f t="shared" si="145"/>
        <v/>
      </c>
      <c r="BE185">
        <f t="shared" si="146"/>
        <v>58</v>
      </c>
      <c r="BF185">
        <f t="shared" si="147"/>
        <v>1</v>
      </c>
      <c r="BG185" t="str">
        <f t="shared" si="148"/>
        <v/>
      </c>
      <c r="BH185" t="str">
        <f t="shared" si="149"/>
        <v/>
      </c>
    </row>
    <row r="186" spans="4:60" x14ac:dyDescent="0.55000000000000004">
      <c r="D186">
        <v>176</v>
      </c>
      <c r="E186" t="str">
        <f t="shared" si="127"/>
        <v/>
      </c>
      <c r="F186" t="str">
        <f t="shared" si="128"/>
        <v/>
      </c>
      <c r="G186" t="str">
        <f t="shared" si="129"/>
        <v/>
      </c>
      <c r="Z186" t="str">
        <f t="shared" si="115"/>
        <v/>
      </c>
      <c r="AA186" t="str">
        <f t="shared" si="125"/>
        <v/>
      </c>
      <c r="AB186" t="str">
        <f t="shared" si="125"/>
        <v/>
      </c>
      <c r="AC186" t="str">
        <f t="shared" si="125"/>
        <v/>
      </c>
      <c r="AD186" t="str">
        <f t="shared" si="117"/>
        <v/>
      </c>
      <c r="AE186" t="str">
        <f t="shared" si="118"/>
        <v/>
      </c>
      <c r="AF186" t="str">
        <f t="shared" si="119"/>
        <v/>
      </c>
      <c r="AG186" t="str">
        <f t="shared" si="120"/>
        <v/>
      </c>
      <c r="AH186" t="str">
        <f t="shared" si="121"/>
        <v/>
      </c>
      <c r="AI186" t="str">
        <f t="shared" si="122"/>
        <v/>
      </c>
      <c r="AJ186" t="str">
        <f t="shared" si="126"/>
        <v/>
      </c>
      <c r="AK186" t="str">
        <f t="shared" si="130"/>
        <v/>
      </c>
      <c r="AM186" t="str">
        <f t="shared" si="131"/>
        <v/>
      </c>
      <c r="AN186" t="str">
        <f t="shared" si="132"/>
        <v/>
      </c>
      <c r="AO186" t="str">
        <f t="shared" si="133"/>
        <v/>
      </c>
      <c r="AP186" t="str">
        <f t="shared" si="124"/>
        <v/>
      </c>
      <c r="AQ186" t="str">
        <f t="shared" si="134"/>
        <v/>
      </c>
      <c r="AR186" t="str">
        <f t="shared" si="135"/>
        <v/>
      </c>
      <c r="AS186" t="str">
        <f t="shared" si="136"/>
        <v/>
      </c>
      <c r="AT186" t="str">
        <f t="shared" si="137"/>
        <v/>
      </c>
      <c r="AU186" t="str">
        <f t="shared" si="138"/>
        <v/>
      </c>
      <c r="AV186" t="str">
        <f t="shared" si="139"/>
        <v/>
      </c>
      <c r="AW186" t="str">
        <f t="shared" si="140"/>
        <v/>
      </c>
      <c r="AY186" t="str">
        <f t="shared" si="141"/>
        <v/>
      </c>
      <c r="AZ186" t="str">
        <f t="shared" si="142"/>
        <v/>
      </c>
      <c r="BA186" t="str">
        <f t="shared" si="143"/>
        <v/>
      </c>
      <c r="BB186" t="str">
        <f t="shared" si="144"/>
        <v/>
      </c>
      <c r="BC186" t="str">
        <f t="shared" si="145"/>
        <v/>
      </c>
      <c r="BE186">
        <f t="shared" si="146"/>
        <v>58</v>
      </c>
      <c r="BF186">
        <f t="shared" si="147"/>
        <v>2</v>
      </c>
      <c r="BG186" t="str">
        <f t="shared" si="148"/>
        <v/>
      </c>
      <c r="BH186" t="str">
        <f t="shared" si="149"/>
        <v/>
      </c>
    </row>
    <row r="187" spans="4:60" x14ac:dyDescent="0.55000000000000004">
      <c r="D187">
        <v>177</v>
      </c>
      <c r="E187" t="str">
        <f t="shared" si="127"/>
        <v/>
      </c>
      <c r="F187" t="str">
        <f t="shared" si="128"/>
        <v/>
      </c>
      <c r="G187" t="str">
        <f t="shared" si="129"/>
        <v/>
      </c>
      <c r="Z187" t="str">
        <f t="shared" si="115"/>
        <v/>
      </c>
      <c r="AA187" t="str">
        <f t="shared" si="125"/>
        <v/>
      </c>
      <c r="AB187" t="str">
        <f t="shared" si="125"/>
        <v/>
      </c>
      <c r="AC187" t="str">
        <f t="shared" si="125"/>
        <v/>
      </c>
      <c r="AD187" t="str">
        <f t="shared" si="117"/>
        <v/>
      </c>
      <c r="AE187" t="str">
        <f t="shared" si="118"/>
        <v/>
      </c>
      <c r="AF187" t="str">
        <f t="shared" si="119"/>
        <v/>
      </c>
      <c r="AG187" t="str">
        <f t="shared" si="120"/>
        <v/>
      </c>
      <c r="AH187" t="str">
        <f t="shared" si="121"/>
        <v/>
      </c>
      <c r="AI187" t="str">
        <f t="shared" si="122"/>
        <v/>
      </c>
      <c r="AJ187" t="str">
        <f t="shared" si="126"/>
        <v/>
      </c>
      <c r="AK187" t="str">
        <f t="shared" si="130"/>
        <v/>
      </c>
      <c r="AM187" t="str">
        <f t="shared" si="131"/>
        <v/>
      </c>
      <c r="AN187" t="str">
        <f t="shared" si="132"/>
        <v/>
      </c>
      <c r="AO187" t="str">
        <f t="shared" si="133"/>
        <v/>
      </c>
      <c r="AP187" t="str">
        <f t="shared" si="124"/>
        <v/>
      </c>
      <c r="AQ187" t="str">
        <f t="shared" si="134"/>
        <v/>
      </c>
      <c r="AR187" t="str">
        <f t="shared" si="135"/>
        <v/>
      </c>
      <c r="AS187" t="str">
        <f t="shared" si="136"/>
        <v/>
      </c>
      <c r="AT187" t="str">
        <f t="shared" si="137"/>
        <v/>
      </c>
      <c r="AU187" t="str">
        <f t="shared" si="138"/>
        <v/>
      </c>
      <c r="AV187" t="str">
        <f t="shared" si="139"/>
        <v/>
      </c>
      <c r="AW187" t="str">
        <f t="shared" si="140"/>
        <v/>
      </c>
      <c r="AY187" t="str">
        <f t="shared" si="141"/>
        <v/>
      </c>
      <c r="AZ187" t="str">
        <f t="shared" si="142"/>
        <v/>
      </c>
      <c r="BA187" t="str">
        <f t="shared" si="143"/>
        <v/>
      </c>
      <c r="BB187" t="str">
        <f t="shared" si="144"/>
        <v/>
      </c>
      <c r="BC187" t="str">
        <f t="shared" si="145"/>
        <v/>
      </c>
      <c r="BE187">
        <f t="shared" si="146"/>
        <v>59</v>
      </c>
      <c r="BF187">
        <f t="shared" si="147"/>
        <v>0</v>
      </c>
      <c r="BG187" t="str">
        <f t="shared" si="148"/>
        <v/>
      </c>
      <c r="BH187" t="str">
        <f t="shared" si="149"/>
        <v/>
      </c>
    </row>
    <row r="188" spans="4:60" x14ac:dyDescent="0.55000000000000004">
      <c r="D188">
        <v>178</v>
      </c>
      <c r="E188" t="str">
        <f t="shared" si="127"/>
        <v/>
      </c>
      <c r="F188" t="str">
        <f t="shared" si="128"/>
        <v/>
      </c>
      <c r="G188" t="str">
        <f t="shared" si="129"/>
        <v/>
      </c>
      <c r="Z188" t="str">
        <f t="shared" si="115"/>
        <v/>
      </c>
      <c r="AA188" t="str">
        <f t="shared" si="125"/>
        <v/>
      </c>
      <c r="AB188" t="str">
        <f t="shared" si="125"/>
        <v/>
      </c>
      <c r="AC188" t="str">
        <f t="shared" si="125"/>
        <v/>
      </c>
      <c r="AD188" t="str">
        <f t="shared" si="117"/>
        <v/>
      </c>
      <c r="AE188" t="str">
        <f t="shared" si="118"/>
        <v/>
      </c>
      <c r="AF188" t="str">
        <f t="shared" si="119"/>
        <v/>
      </c>
      <c r="AG188" t="str">
        <f t="shared" si="120"/>
        <v/>
      </c>
      <c r="AH188" t="str">
        <f t="shared" si="121"/>
        <v/>
      </c>
      <c r="AI188" t="str">
        <f t="shared" si="122"/>
        <v/>
      </c>
      <c r="AJ188" t="str">
        <f t="shared" si="126"/>
        <v/>
      </c>
      <c r="AK188" t="str">
        <f t="shared" si="130"/>
        <v/>
      </c>
      <c r="AM188" t="str">
        <f t="shared" si="131"/>
        <v/>
      </c>
      <c r="AN188" t="str">
        <f t="shared" si="132"/>
        <v/>
      </c>
      <c r="AO188" t="str">
        <f t="shared" si="133"/>
        <v/>
      </c>
      <c r="AP188" t="str">
        <f t="shared" si="124"/>
        <v/>
      </c>
      <c r="AQ188" t="str">
        <f t="shared" si="134"/>
        <v/>
      </c>
      <c r="AR188" t="str">
        <f t="shared" si="135"/>
        <v/>
      </c>
      <c r="AS188" t="str">
        <f t="shared" si="136"/>
        <v/>
      </c>
      <c r="AT188" t="str">
        <f t="shared" si="137"/>
        <v/>
      </c>
      <c r="AU188" t="str">
        <f t="shared" si="138"/>
        <v/>
      </c>
      <c r="AV188" t="str">
        <f t="shared" si="139"/>
        <v/>
      </c>
      <c r="AW188" t="str">
        <f t="shared" si="140"/>
        <v/>
      </c>
      <c r="AY188" t="str">
        <f t="shared" si="141"/>
        <v/>
      </c>
      <c r="AZ188" t="str">
        <f t="shared" si="142"/>
        <v/>
      </c>
      <c r="BA188" t="str">
        <f t="shared" si="143"/>
        <v/>
      </c>
      <c r="BB188" t="str">
        <f t="shared" si="144"/>
        <v/>
      </c>
      <c r="BC188" t="str">
        <f t="shared" si="145"/>
        <v/>
      </c>
      <c r="BE188">
        <f t="shared" si="146"/>
        <v>59</v>
      </c>
      <c r="BF188">
        <f t="shared" si="147"/>
        <v>1</v>
      </c>
      <c r="BG188" t="str">
        <f t="shared" si="148"/>
        <v/>
      </c>
      <c r="BH188" t="str">
        <f t="shared" si="149"/>
        <v/>
      </c>
    </row>
    <row r="189" spans="4:60" x14ac:dyDescent="0.55000000000000004">
      <c r="D189">
        <v>179</v>
      </c>
      <c r="E189" t="str">
        <f t="shared" si="127"/>
        <v/>
      </c>
      <c r="F189" t="str">
        <f t="shared" si="128"/>
        <v/>
      </c>
      <c r="G189" t="str">
        <f t="shared" si="129"/>
        <v/>
      </c>
      <c r="Z189" t="str">
        <f t="shared" si="115"/>
        <v/>
      </c>
      <c r="AA189" t="str">
        <f t="shared" si="125"/>
        <v/>
      </c>
      <c r="AB189" t="str">
        <f t="shared" si="125"/>
        <v/>
      </c>
      <c r="AC189" t="str">
        <f t="shared" si="125"/>
        <v/>
      </c>
      <c r="AD189" t="str">
        <f t="shared" si="117"/>
        <v/>
      </c>
      <c r="AE189" t="str">
        <f t="shared" si="118"/>
        <v/>
      </c>
      <c r="AF189" t="str">
        <f t="shared" si="119"/>
        <v/>
      </c>
      <c r="AG189" t="str">
        <f t="shared" si="120"/>
        <v/>
      </c>
      <c r="AH189" t="str">
        <f t="shared" si="121"/>
        <v/>
      </c>
      <c r="AI189" t="str">
        <f t="shared" si="122"/>
        <v/>
      </c>
      <c r="AJ189" t="str">
        <f t="shared" si="126"/>
        <v/>
      </c>
      <c r="AK189" t="str">
        <f t="shared" si="130"/>
        <v/>
      </c>
      <c r="AM189" t="str">
        <f t="shared" si="131"/>
        <v/>
      </c>
      <c r="AN189" t="str">
        <f t="shared" si="132"/>
        <v/>
      </c>
      <c r="AO189" t="str">
        <f t="shared" si="133"/>
        <v/>
      </c>
      <c r="AP189" t="str">
        <f t="shared" si="124"/>
        <v/>
      </c>
      <c r="AQ189" t="str">
        <f t="shared" si="134"/>
        <v/>
      </c>
      <c r="AR189" t="str">
        <f t="shared" si="135"/>
        <v/>
      </c>
      <c r="AS189" t="str">
        <f t="shared" si="136"/>
        <v/>
      </c>
      <c r="AT189" t="str">
        <f t="shared" si="137"/>
        <v/>
      </c>
      <c r="AU189" t="str">
        <f t="shared" si="138"/>
        <v/>
      </c>
      <c r="AV189" t="str">
        <f t="shared" si="139"/>
        <v/>
      </c>
      <c r="AW189" t="str">
        <f t="shared" si="140"/>
        <v/>
      </c>
      <c r="AY189" t="str">
        <f t="shared" si="141"/>
        <v/>
      </c>
      <c r="AZ189" t="str">
        <f t="shared" si="142"/>
        <v/>
      </c>
      <c r="BA189" t="str">
        <f t="shared" si="143"/>
        <v/>
      </c>
      <c r="BB189" t="str">
        <f t="shared" si="144"/>
        <v/>
      </c>
      <c r="BC189" t="str">
        <f t="shared" si="145"/>
        <v/>
      </c>
      <c r="BE189">
        <f t="shared" si="146"/>
        <v>59</v>
      </c>
      <c r="BF189">
        <f t="shared" si="147"/>
        <v>2</v>
      </c>
      <c r="BG189" t="str">
        <f t="shared" si="148"/>
        <v/>
      </c>
      <c r="BH189" t="str">
        <f t="shared" si="149"/>
        <v/>
      </c>
    </row>
    <row r="190" spans="4:60" x14ac:dyDescent="0.55000000000000004">
      <c r="D190">
        <v>180</v>
      </c>
      <c r="E190" t="str">
        <f t="shared" si="127"/>
        <v/>
      </c>
      <c r="F190" t="str">
        <f t="shared" si="128"/>
        <v/>
      </c>
      <c r="G190" t="str">
        <f t="shared" si="129"/>
        <v/>
      </c>
      <c r="Z190" t="str">
        <f t="shared" si="115"/>
        <v/>
      </c>
      <c r="AA190" t="str">
        <f t="shared" si="125"/>
        <v/>
      </c>
      <c r="AB190" t="str">
        <f t="shared" si="125"/>
        <v/>
      </c>
      <c r="AC190" t="str">
        <f t="shared" si="125"/>
        <v/>
      </c>
      <c r="AD190" t="str">
        <f t="shared" si="117"/>
        <v/>
      </c>
      <c r="AE190" t="str">
        <f t="shared" si="118"/>
        <v/>
      </c>
      <c r="AF190" t="str">
        <f t="shared" si="119"/>
        <v/>
      </c>
      <c r="AG190" t="str">
        <f t="shared" si="120"/>
        <v/>
      </c>
      <c r="AH190" t="str">
        <f t="shared" si="121"/>
        <v/>
      </c>
      <c r="AI190" t="str">
        <f t="shared" si="122"/>
        <v/>
      </c>
      <c r="AJ190" t="str">
        <f t="shared" si="126"/>
        <v/>
      </c>
      <c r="AK190" t="str">
        <f t="shared" si="130"/>
        <v/>
      </c>
      <c r="AM190" t="str">
        <f t="shared" si="131"/>
        <v/>
      </c>
      <c r="AN190" t="str">
        <f t="shared" si="132"/>
        <v/>
      </c>
      <c r="AO190" t="str">
        <f t="shared" si="133"/>
        <v/>
      </c>
      <c r="AP190" t="str">
        <f t="shared" si="124"/>
        <v/>
      </c>
      <c r="AQ190" t="str">
        <f t="shared" si="134"/>
        <v/>
      </c>
      <c r="AR190" t="str">
        <f t="shared" si="135"/>
        <v/>
      </c>
      <c r="AS190" t="str">
        <f t="shared" si="136"/>
        <v/>
      </c>
      <c r="AT190" t="str">
        <f t="shared" si="137"/>
        <v/>
      </c>
      <c r="AU190" t="str">
        <f t="shared" si="138"/>
        <v/>
      </c>
      <c r="AV190" t="str">
        <f t="shared" si="139"/>
        <v/>
      </c>
      <c r="AW190" t="str">
        <f t="shared" si="140"/>
        <v/>
      </c>
      <c r="AY190" t="str">
        <f t="shared" si="141"/>
        <v/>
      </c>
      <c r="AZ190" t="str">
        <f t="shared" si="142"/>
        <v/>
      </c>
      <c r="BA190" t="str">
        <f t="shared" si="143"/>
        <v/>
      </c>
      <c r="BB190" t="str">
        <f t="shared" si="144"/>
        <v/>
      </c>
      <c r="BC190" t="str">
        <f t="shared" si="145"/>
        <v/>
      </c>
      <c r="BE190">
        <f t="shared" si="146"/>
        <v>60</v>
      </c>
      <c r="BF190">
        <f t="shared" si="147"/>
        <v>0</v>
      </c>
      <c r="BG190" t="str">
        <f t="shared" si="148"/>
        <v/>
      </c>
      <c r="BH190" t="str">
        <f t="shared" si="149"/>
        <v/>
      </c>
    </row>
    <row r="191" spans="4:60" x14ac:dyDescent="0.55000000000000004">
      <c r="D191">
        <v>181</v>
      </c>
      <c r="E191" t="str">
        <f t="shared" si="127"/>
        <v/>
      </c>
      <c r="F191" t="str">
        <f t="shared" si="128"/>
        <v/>
      </c>
      <c r="G191" t="str">
        <f t="shared" si="129"/>
        <v/>
      </c>
      <c r="Z191" t="str">
        <f t="shared" si="115"/>
        <v/>
      </c>
      <c r="AA191" t="str">
        <f t="shared" si="125"/>
        <v/>
      </c>
      <c r="AB191" t="str">
        <f t="shared" si="125"/>
        <v/>
      </c>
      <c r="AC191" t="str">
        <f t="shared" si="125"/>
        <v/>
      </c>
      <c r="AD191" t="str">
        <f t="shared" si="117"/>
        <v/>
      </c>
      <c r="AE191" t="str">
        <f t="shared" si="118"/>
        <v/>
      </c>
      <c r="AF191" t="str">
        <f t="shared" si="119"/>
        <v/>
      </c>
      <c r="AG191" t="str">
        <f t="shared" si="120"/>
        <v/>
      </c>
      <c r="AH191" t="str">
        <f t="shared" si="121"/>
        <v/>
      </c>
      <c r="AI191" t="str">
        <f t="shared" si="122"/>
        <v/>
      </c>
      <c r="AJ191" t="str">
        <f t="shared" si="126"/>
        <v/>
      </c>
      <c r="AK191" t="str">
        <f t="shared" si="130"/>
        <v/>
      </c>
      <c r="AM191" t="str">
        <f t="shared" si="131"/>
        <v/>
      </c>
      <c r="AN191" t="str">
        <f t="shared" si="132"/>
        <v/>
      </c>
      <c r="AO191" t="str">
        <f t="shared" si="133"/>
        <v/>
      </c>
      <c r="AP191" t="str">
        <f t="shared" si="124"/>
        <v/>
      </c>
      <c r="AQ191" t="str">
        <f t="shared" si="134"/>
        <v/>
      </c>
      <c r="AR191" t="str">
        <f t="shared" si="135"/>
        <v/>
      </c>
      <c r="AS191" t="str">
        <f t="shared" si="136"/>
        <v/>
      </c>
      <c r="AT191" t="str">
        <f t="shared" si="137"/>
        <v/>
      </c>
      <c r="AU191" t="str">
        <f t="shared" si="138"/>
        <v/>
      </c>
      <c r="AV191" t="str">
        <f t="shared" si="139"/>
        <v/>
      </c>
      <c r="AW191" t="str">
        <f t="shared" si="140"/>
        <v/>
      </c>
      <c r="AY191" t="str">
        <f t="shared" si="141"/>
        <v/>
      </c>
      <c r="AZ191" t="str">
        <f t="shared" si="142"/>
        <v/>
      </c>
      <c r="BA191" t="str">
        <f t="shared" si="143"/>
        <v/>
      </c>
      <c r="BB191" t="str">
        <f t="shared" si="144"/>
        <v/>
      </c>
      <c r="BC191" t="str">
        <f t="shared" si="145"/>
        <v/>
      </c>
      <c r="BE191">
        <f t="shared" si="146"/>
        <v>60</v>
      </c>
      <c r="BF191">
        <f t="shared" si="147"/>
        <v>1</v>
      </c>
      <c r="BG191" t="str">
        <f t="shared" si="148"/>
        <v/>
      </c>
      <c r="BH191" t="str">
        <f t="shared" si="149"/>
        <v/>
      </c>
    </row>
    <row r="192" spans="4:60" x14ac:dyDescent="0.55000000000000004">
      <c r="D192">
        <v>182</v>
      </c>
      <c r="E192" t="str">
        <f t="shared" si="127"/>
        <v/>
      </c>
      <c r="F192" t="str">
        <f t="shared" si="128"/>
        <v/>
      </c>
      <c r="G192" t="str">
        <f t="shared" si="129"/>
        <v/>
      </c>
      <c r="Z192" t="str">
        <f t="shared" si="115"/>
        <v/>
      </c>
      <c r="AA192" t="str">
        <f t="shared" si="125"/>
        <v/>
      </c>
      <c r="AB192" t="str">
        <f t="shared" si="125"/>
        <v/>
      </c>
      <c r="AC192" t="str">
        <f t="shared" si="125"/>
        <v/>
      </c>
      <c r="AD192" t="str">
        <f t="shared" si="117"/>
        <v/>
      </c>
      <c r="AE192" t="str">
        <f t="shared" si="118"/>
        <v/>
      </c>
      <c r="AF192" t="str">
        <f t="shared" si="119"/>
        <v/>
      </c>
      <c r="AG192" t="str">
        <f t="shared" si="120"/>
        <v/>
      </c>
      <c r="AH192" t="str">
        <f t="shared" si="121"/>
        <v/>
      </c>
      <c r="AI192" t="str">
        <f t="shared" si="122"/>
        <v/>
      </c>
      <c r="AJ192" t="str">
        <f t="shared" si="126"/>
        <v/>
      </c>
      <c r="AK192" t="str">
        <f t="shared" si="130"/>
        <v/>
      </c>
      <c r="AM192" t="str">
        <f t="shared" si="131"/>
        <v/>
      </c>
      <c r="AN192" t="str">
        <f t="shared" si="132"/>
        <v/>
      </c>
      <c r="AO192" t="str">
        <f t="shared" si="133"/>
        <v/>
      </c>
      <c r="AP192" t="str">
        <f t="shared" si="124"/>
        <v/>
      </c>
      <c r="AQ192" t="str">
        <f t="shared" si="134"/>
        <v/>
      </c>
      <c r="AR192" t="str">
        <f t="shared" si="135"/>
        <v/>
      </c>
      <c r="AS192" t="str">
        <f t="shared" si="136"/>
        <v/>
      </c>
      <c r="AT192" t="str">
        <f t="shared" si="137"/>
        <v/>
      </c>
      <c r="AU192" t="str">
        <f t="shared" si="138"/>
        <v/>
      </c>
      <c r="AV192" t="str">
        <f t="shared" si="139"/>
        <v/>
      </c>
      <c r="AW192" t="str">
        <f t="shared" si="140"/>
        <v/>
      </c>
      <c r="AY192" t="str">
        <f t="shared" si="141"/>
        <v/>
      </c>
      <c r="AZ192" t="str">
        <f t="shared" si="142"/>
        <v/>
      </c>
      <c r="BA192" t="str">
        <f t="shared" si="143"/>
        <v/>
      </c>
      <c r="BB192" t="str">
        <f t="shared" si="144"/>
        <v/>
      </c>
      <c r="BC192" t="str">
        <f t="shared" si="145"/>
        <v/>
      </c>
      <c r="BE192">
        <f t="shared" si="146"/>
        <v>60</v>
      </c>
      <c r="BF192">
        <f t="shared" si="147"/>
        <v>2</v>
      </c>
      <c r="BG192" t="str">
        <f t="shared" si="148"/>
        <v/>
      </c>
      <c r="BH192" t="str">
        <f t="shared" si="149"/>
        <v/>
      </c>
    </row>
    <row r="193" spans="4:60" x14ac:dyDescent="0.55000000000000004">
      <c r="D193">
        <v>183</v>
      </c>
      <c r="E193" t="str">
        <f t="shared" si="127"/>
        <v/>
      </c>
      <c r="F193" t="str">
        <f t="shared" si="128"/>
        <v/>
      </c>
      <c r="G193" t="str">
        <f t="shared" si="129"/>
        <v/>
      </c>
      <c r="Z193" t="str">
        <f t="shared" si="115"/>
        <v/>
      </c>
      <c r="AA193" t="str">
        <f t="shared" si="125"/>
        <v/>
      </c>
      <c r="AB193" t="str">
        <f t="shared" si="125"/>
        <v/>
      </c>
      <c r="AC193" t="str">
        <f t="shared" si="125"/>
        <v/>
      </c>
      <c r="AD193" t="str">
        <f t="shared" si="117"/>
        <v/>
      </c>
      <c r="AE193" t="str">
        <f t="shared" si="118"/>
        <v/>
      </c>
      <c r="AF193" t="str">
        <f t="shared" si="119"/>
        <v/>
      </c>
      <c r="AG193" t="str">
        <f t="shared" si="120"/>
        <v/>
      </c>
      <c r="AH193" t="str">
        <f t="shared" si="121"/>
        <v/>
      </c>
      <c r="AI193" t="str">
        <f t="shared" si="122"/>
        <v/>
      </c>
      <c r="AJ193" t="str">
        <f t="shared" si="126"/>
        <v/>
      </c>
      <c r="AK193" t="str">
        <f t="shared" si="130"/>
        <v/>
      </c>
      <c r="AM193" t="str">
        <f t="shared" si="131"/>
        <v/>
      </c>
      <c r="AN193" t="str">
        <f t="shared" si="132"/>
        <v/>
      </c>
      <c r="AO193" t="str">
        <f t="shared" si="133"/>
        <v/>
      </c>
      <c r="AP193" t="str">
        <f t="shared" si="124"/>
        <v/>
      </c>
      <c r="AQ193" t="str">
        <f t="shared" si="134"/>
        <v/>
      </c>
      <c r="AR193" t="str">
        <f t="shared" si="135"/>
        <v/>
      </c>
      <c r="AS193" t="str">
        <f t="shared" si="136"/>
        <v/>
      </c>
      <c r="AT193" t="str">
        <f t="shared" si="137"/>
        <v/>
      </c>
      <c r="AU193" t="str">
        <f t="shared" si="138"/>
        <v/>
      </c>
      <c r="AV193" t="str">
        <f t="shared" si="139"/>
        <v/>
      </c>
      <c r="AW193" t="str">
        <f t="shared" si="140"/>
        <v/>
      </c>
      <c r="AY193" t="str">
        <f t="shared" si="141"/>
        <v/>
      </c>
      <c r="AZ193" t="str">
        <f t="shared" si="142"/>
        <v/>
      </c>
      <c r="BA193" t="str">
        <f t="shared" si="143"/>
        <v/>
      </c>
      <c r="BB193" t="str">
        <f t="shared" si="144"/>
        <v/>
      </c>
      <c r="BC193" t="str">
        <f t="shared" si="145"/>
        <v/>
      </c>
      <c r="BE193">
        <f t="shared" si="146"/>
        <v>61</v>
      </c>
      <c r="BF193">
        <f t="shared" si="147"/>
        <v>0</v>
      </c>
      <c r="BG193" t="str">
        <f t="shared" si="148"/>
        <v/>
      </c>
      <c r="BH193" t="str">
        <f t="shared" si="149"/>
        <v/>
      </c>
    </row>
    <row r="194" spans="4:60" x14ac:dyDescent="0.55000000000000004">
      <c r="D194">
        <v>184</v>
      </c>
      <c r="E194" t="str">
        <f t="shared" si="127"/>
        <v/>
      </c>
      <c r="F194" t="str">
        <f t="shared" si="128"/>
        <v/>
      </c>
      <c r="G194" t="str">
        <f t="shared" si="129"/>
        <v/>
      </c>
      <c r="Z194" t="str">
        <f t="shared" si="115"/>
        <v/>
      </c>
      <c r="AA194" t="str">
        <f t="shared" si="125"/>
        <v/>
      </c>
      <c r="AB194" t="str">
        <f t="shared" si="125"/>
        <v/>
      </c>
      <c r="AC194" t="str">
        <f t="shared" si="125"/>
        <v/>
      </c>
      <c r="AD194" t="str">
        <f t="shared" si="117"/>
        <v/>
      </c>
      <c r="AE194" t="str">
        <f t="shared" si="118"/>
        <v/>
      </c>
      <c r="AF194" t="str">
        <f t="shared" si="119"/>
        <v/>
      </c>
      <c r="AG194" t="str">
        <f t="shared" si="120"/>
        <v/>
      </c>
      <c r="AH194" t="str">
        <f t="shared" si="121"/>
        <v/>
      </c>
      <c r="AI194" t="str">
        <f t="shared" si="122"/>
        <v/>
      </c>
      <c r="AJ194" t="str">
        <f t="shared" si="126"/>
        <v/>
      </c>
      <c r="AK194" t="str">
        <f t="shared" si="130"/>
        <v/>
      </c>
      <c r="AM194" t="str">
        <f t="shared" si="131"/>
        <v/>
      </c>
      <c r="AN194" t="str">
        <f t="shared" si="132"/>
        <v/>
      </c>
      <c r="AO194" t="str">
        <f t="shared" si="133"/>
        <v/>
      </c>
      <c r="AP194" t="str">
        <f t="shared" si="124"/>
        <v/>
      </c>
      <c r="AQ194" t="str">
        <f t="shared" si="134"/>
        <v/>
      </c>
      <c r="AR194" t="str">
        <f t="shared" si="135"/>
        <v/>
      </c>
      <c r="AS194" t="str">
        <f t="shared" si="136"/>
        <v/>
      </c>
      <c r="AT194" t="str">
        <f t="shared" si="137"/>
        <v/>
      </c>
      <c r="AU194" t="str">
        <f t="shared" si="138"/>
        <v/>
      </c>
      <c r="AV194" t="str">
        <f t="shared" si="139"/>
        <v/>
      </c>
      <c r="AW194" t="str">
        <f t="shared" si="140"/>
        <v/>
      </c>
      <c r="AY194" t="str">
        <f t="shared" si="141"/>
        <v/>
      </c>
      <c r="AZ194" t="str">
        <f t="shared" si="142"/>
        <v/>
      </c>
      <c r="BA194" t="str">
        <f t="shared" si="143"/>
        <v/>
      </c>
      <c r="BB194" t="str">
        <f t="shared" si="144"/>
        <v/>
      </c>
      <c r="BC194" t="str">
        <f t="shared" si="145"/>
        <v/>
      </c>
      <c r="BE194">
        <f t="shared" si="146"/>
        <v>61</v>
      </c>
      <c r="BF194">
        <f t="shared" si="147"/>
        <v>1</v>
      </c>
      <c r="BG194" t="str">
        <f t="shared" si="148"/>
        <v/>
      </c>
      <c r="BH194" t="str">
        <f t="shared" si="149"/>
        <v/>
      </c>
    </row>
    <row r="195" spans="4:60" x14ac:dyDescent="0.55000000000000004">
      <c r="D195">
        <v>185</v>
      </c>
      <c r="E195" t="str">
        <f t="shared" si="127"/>
        <v/>
      </c>
      <c r="F195" t="str">
        <f t="shared" si="128"/>
        <v/>
      </c>
      <c r="G195" t="str">
        <f t="shared" si="129"/>
        <v/>
      </c>
      <c r="Z195" t="str">
        <f t="shared" si="115"/>
        <v/>
      </c>
      <c r="AA195" t="str">
        <f t="shared" si="125"/>
        <v/>
      </c>
      <c r="AB195" t="str">
        <f t="shared" si="125"/>
        <v/>
      </c>
      <c r="AC195" t="str">
        <f t="shared" si="125"/>
        <v/>
      </c>
      <c r="AD195" t="str">
        <f t="shared" si="117"/>
        <v/>
      </c>
      <c r="AE195" t="str">
        <f t="shared" si="118"/>
        <v/>
      </c>
      <c r="AF195" t="str">
        <f t="shared" si="119"/>
        <v/>
      </c>
      <c r="AG195" t="str">
        <f t="shared" si="120"/>
        <v/>
      </c>
      <c r="AH195" t="str">
        <f t="shared" si="121"/>
        <v/>
      </c>
      <c r="AI195" t="str">
        <f t="shared" si="122"/>
        <v/>
      </c>
      <c r="AJ195" t="str">
        <f t="shared" si="126"/>
        <v/>
      </c>
      <c r="AK195" t="str">
        <f t="shared" si="130"/>
        <v/>
      </c>
      <c r="AM195" t="str">
        <f t="shared" si="131"/>
        <v/>
      </c>
      <c r="AN195" t="str">
        <f t="shared" si="132"/>
        <v/>
      </c>
      <c r="AO195" t="str">
        <f t="shared" si="133"/>
        <v/>
      </c>
      <c r="AP195" t="str">
        <f t="shared" si="124"/>
        <v/>
      </c>
      <c r="AQ195" t="str">
        <f t="shared" si="134"/>
        <v/>
      </c>
      <c r="AR195" t="str">
        <f t="shared" si="135"/>
        <v/>
      </c>
      <c r="AS195" t="str">
        <f t="shared" si="136"/>
        <v/>
      </c>
      <c r="AT195" t="str">
        <f t="shared" si="137"/>
        <v/>
      </c>
      <c r="AU195" t="str">
        <f t="shared" si="138"/>
        <v/>
      </c>
      <c r="AV195" t="str">
        <f t="shared" si="139"/>
        <v/>
      </c>
      <c r="AW195" t="str">
        <f t="shared" si="140"/>
        <v/>
      </c>
      <c r="AY195" t="str">
        <f t="shared" si="141"/>
        <v/>
      </c>
      <c r="AZ195" t="str">
        <f t="shared" si="142"/>
        <v/>
      </c>
      <c r="BA195" t="str">
        <f t="shared" si="143"/>
        <v/>
      </c>
      <c r="BB195" t="str">
        <f t="shared" si="144"/>
        <v/>
      </c>
      <c r="BC195" t="str">
        <f t="shared" si="145"/>
        <v/>
      </c>
      <c r="BE195">
        <f t="shared" si="146"/>
        <v>61</v>
      </c>
      <c r="BF195">
        <f t="shared" si="147"/>
        <v>2</v>
      </c>
      <c r="BG195" t="str">
        <f t="shared" si="148"/>
        <v/>
      </c>
      <c r="BH195" t="str">
        <f t="shared" si="149"/>
        <v/>
      </c>
    </row>
    <row r="196" spans="4:60" x14ac:dyDescent="0.55000000000000004">
      <c r="D196">
        <v>186</v>
      </c>
      <c r="E196" t="str">
        <f t="shared" si="127"/>
        <v/>
      </c>
      <c r="F196" t="str">
        <f t="shared" si="128"/>
        <v/>
      </c>
      <c r="G196" t="str">
        <f t="shared" si="129"/>
        <v/>
      </c>
      <c r="Z196" t="str">
        <f t="shared" si="115"/>
        <v/>
      </c>
      <c r="AA196" t="str">
        <f t="shared" si="125"/>
        <v/>
      </c>
      <c r="AB196" t="str">
        <f t="shared" si="125"/>
        <v/>
      </c>
      <c r="AC196" t="str">
        <f t="shared" si="125"/>
        <v/>
      </c>
      <c r="AD196" t="str">
        <f t="shared" si="117"/>
        <v/>
      </c>
      <c r="AE196" t="str">
        <f t="shared" si="118"/>
        <v/>
      </c>
      <c r="AF196" t="str">
        <f t="shared" si="119"/>
        <v/>
      </c>
      <c r="AG196" t="str">
        <f t="shared" si="120"/>
        <v/>
      </c>
      <c r="AH196" t="str">
        <f t="shared" si="121"/>
        <v/>
      </c>
      <c r="AI196" t="str">
        <f t="shared" si="122"/>
        <v/>
      </c>
      <c r="AJ196" t="str">
        <f t="shared" si="126"/>
        <v/>
      </c>
      <c r="AK196" t="str">
        <f t="shared" si="130"/>
        <v/>
      </c>
      <c r="AM196" t="str">
        <f t="shared" si="131"/>
        <v/>
      </c>
      <c r="AN196" t="str">
        <f t="shared" si="132"/>
        <v/>
      </c>
      <c r="AO196" t="str">
        <f t="shared" si="133"/>
        <v/>
      </c>
      <c r="AP196" t="str">
        <f t="shared" si="124"/>
        <v/>
      </c>
      <c r="AQ196" t="str">
        <f t="shared" si="134"/>
        <v/>
      </c>
      <c r="AR196" t="str">
        <f t="shared" si="135"/>
        <v/>
      </c>
      <c r="AS196" t="str">
        <f t="shared" si="136"/>
        <v/>
      </c>
      <c r="AT196" t="str">
        <f t="shared" si="137"/>
        <v/>
      </c>
      <c r="AU196" t="str">
        <f t="shared" si="138"/>
        <v/>
      </c>
      <c r="AV196" t="str">
        <f t="shared" si="139"/>
        <v/>
      </c>
      <c r="AW196" t="str">
        <f t="shared" si="140"/>
        <v/>
      </c>
      <c r="AY196" t="str">
        <f t="shared" si="141"/>
        <v/>
      </c>
      <c r="AZ196" t="str">
        <f t="shared" si="142"/>
        <v/>
      </c>
      <c r="BA196" t="str">
        <f t="shared" si="143"/>
        <v/>
      </c>
      <c r="BB196" t="str">
        <f t="shared" si="144"/>
        <v/>
      </c>
      <c r="BC196" t="str">
        <f t="shared" si="145"/>
        <v/>
      </c>
      <c r="BE196">
        <f t="shared" si="146"/>
        <v>62</v>
      </c>
      <c r="BF196">
        <f t="shared" si="147"/>
        <v>0</v>
      </c>
      <c r="BG196" t="str">
        <f t="shared" si="148"/>
        <v/>
      </c>
      <c r="BH196" t="str">
        <f t="shared" si="149"/>
        <v/>
      </c>
    </row>
    <row r="197" spans="4:60" x14ac:dyDescent="0.55000000000000004">
      <c r="D197">
        <v>187</v>
      </c>
      <c r="E197" t="str">
        <f t="shared" si="127"/>
        <v/>
      </c>
      <c r="F197" t="str">
        <f t="shared" si="128"/>
        <v/>
      </c>
      <c r="G197" t="str">
        <f t="shared" si="129"/>
        <v/>
      </c>
      <c r="Z197" t="str">
        <f t="shared" si="115"/>
        <v/>
      </c>
      <c r="AA197" t="str">
        <f t="shared" si="125"/>
        <v/>
      </c>
      <c r="AB197" t="str">
        <f t="shared" si="125"/>
        <v/>
      </c>
      <c r="AC197" t="str">
        <f t="shared" si="125"/>
        <v/>
      </c>
      <c r="AD197" t="str">
        <f t="shared" si="117"/>
        <v/>
      </c>
      <c r="AE197" t="str">
        <f t="shared" si="118"/>
        <v/>
      </c>
      <c r="AF197" t="str">
        <f t="shared" si="119"/>
        <v/>
      </c>
      <c r="AG197" t="str">
        <f t="shared" si="120"/>
        <v/>
      </c>
      <c r="AH197" t="str">
        <f t="shared" si="121"/>
        <v/>
      </c>
      <c r="AI197" t="str">
        <f t="shared" si="122"/>
        <v/>
      </c>
      <c r="AJ197" t="str">
        <f t="shared" si="126"/>
        <v/>
      </c>
      <c r="AK197" t="str">
        <f t="shared" si="130"/>
        <v/>
      </c>
      <c r="AM197" t="str">
        <f t="shared" si="131"/>
        <v/>
      </c>
      <c r="AN197" t="str">
        <f t="shared" si="132"/>
        <v/>
      </c>
      <c r="AO197" t="str">
        <f t="shared" si="133"/>
        <v/>
      </c>
      <c r="AP197" t="str">
        <f t="shared" si="124"/>
        <v/>
      </c>
      <c r="AQ197" t="str">
        <f t="shared" si="134"/>
        <v/>
      </c>
      <c r="AR197" t="str">
        <f t="shared" si="135"/>
        <v/>
      </c>
      <c r="AS197" t="str">
        <f t="shared" si="136"/>
        <v/>
      </c>
      <c r="AT197" t="str">
        <f t="shared" si="137"/>
        <v/>
      </c>
      <c r="AU197" t="str">
        <f t="shared" si="138"/>
        <v/>
      </c>
      <c r="AV197" t="str">
        <f t="shared" si="139"/>
        <v/>
      </c>
      <c r="AW197" t="str">
        <f t="shared" si="140"/>
        <v/>
      </c>
      <c r="AY197" t="str">
        <f t="shared" si="141"/>
        <v/>
      </c>
      <c r="AZ197" t="str">
        <f t="shared" si="142"/>
        <v/>
      </c>
      <c r="BA197" t="str">
        <f t="shared" si="143"/>
        <v/>
      </c>
      <c r="BB197" t="str">
        <f t="shared" si="144"/>
        <v/>
      </c>
      <c r="BC197" t="str">
        <f t="shared" si="145"/>
        <v/>
      </c>
      <c r="BE197">
        <f t="shared" si="146"/>
        <v>62</v>
      </c>
      <c r="BF197">
        <f t="shared" si="147"/>
        <v>1</v>
      </c>
      <c r="BG197" t="str">
        <f t="shared" si="148"/>
        <v/>
      </c>
      <c r="BH197" t="str">
        <f t="shared" si="149"/>
        <v/>
      </c>
    </row>
    <row r="198" spans="4:60" x14ac:dyDescent="0.55000000000000004">
      <c r="D198">
        <v>188</v>
      </c>
      <c r="E198" t="str">
        <f t="shared" si="127"/>
        <v/>
      </c>
      <c r="F198" t="str">
        <f t="shared" si="128"/>
        <v/>
      </c>
      <c r="G198" t="str">
        <f t="shared" si="129"/>
        <v/>
      </c>
      <c r="Z198" t="str">
        <f t="shared" si="115"/>
        <v/>
      </c>
      <c r="AA198" t="str">
        <f t="shared" si="125"/>
        <v/>
      </c>
      <c r="AB198" t="str">
        <f t="shared" si="125"/>
        <v/>
      </c>
      <c r="AC198" t="str">
        <f t="shared" si="125"/>
        <v/>
      </c>
      <c r="AD198" t="str">
        <f t="shared" si="117"/>
        <v/>
      </c>
      <c r="AE198" t="str">
        <f t="shared" si="118"/>
        <v/>
      </c>
      <c r="AF198" t="str">
        <f t="shared" si="119"/>
        <v/>
      </c>
      <c r="AG198" t="str">
        <f t="shared" si="120"/>
        <v/>
      </c>
      <c r="AH198" t="str">
        <f t="shared" si="121"/>
        <v/>
      </c>
      <c r="AI198" t="str">
        <f t="shared" si="122"/>
        <v/>
      </c>
      <c r="AJ198" t="str">
        <f t="shared" si="126"/>
        <v/>
      </c>
      <c r="AK198" t="str">
        <f t="shared" si="130"/>
        <v/>
      </c>
      <c r="AM198" t="str">
        <f t="shared" si="131"/>
        <v/>
      </c>
      <c r="AN198" t="str">
        <f t="shared" si="132"/>
        <v/>
      </c>
      <c r="AO198" t="str">
        <f t="shared" si="133"/>
        <v/>
      </c>
      <c r="AP198" t="str">
        <f t="shared" si="124"/>
        <v/>
      </c>
      <c r="AQ198" t="str">
        <f t="shared" si="134"/>
        <v/>
      </c>
      <c r="AR198" t="str">
        <f t="shared" si="135"/>
        <v/>
      </c>
      <c r="AS198" t="str">
        <f t="shared" si="136"/>
        <v/>
      </c>
      <c r="AT198" t="str">
        <f t="shared" si="137"/>
        <v/>
      </c>
      <c r="AU198" t="str">
        <f t="shared" si="138"/>
        <v/>
      </c>
      <c r="AV198" t="str">
        <f t="shared" si="139"/>
        <v/>
      </c>
      <c r="AW198" t="str">
        <f t="shared" si="140"/>
        <v/>
      </c>
      <c r="AY198" t="str">
        <f t="shared" si="141"/>
        <v/>
      </c>
      <c r="AZ198" t="str">
        <f t="shared" si="142"/>
        <v/>
      </c>
      <c r="BA198" t="str">
        <f t="shared" si="143"/>
        <v/>
      </c>
      <c r="BB198" t="str">
        <f t="shared" si="144"/>
        <v/>
      </c>
      <c r="BC198" t="str">
        <f t="shared" si="145"/>
        <v/>
      </c>
      <c r="BE198">
        <f t="shared" si="146"/>
        <v>62</v>
      </c>
      <c r="BF198">
        <f t="shared" si="147"/>
        <v>2</v>
      </c>
      <c r="BG198" t="str">
        <f t="shared" si="148"/>
        <v/>
      </c>
      <c r="BH198" t="str">
        <f t="shared" si="149"/>
        <v/>
      </c>
    </row>
    <row r="199" spans="4:60" x14ac:dyDescent="0.55000000000000004">
      <c r="D199">
        <v>189</v>
      </c>
      <c r="E199" t="str">
        <f t="shared" si="127"/>
        <v/>
      </c>
      <c r="F199" t="str">
        <f t="shared" si="128"/>
        <v/>
      </c>
      <c r="G199" t="str">
        <f t="shared" si="129"/>
        <v/>
      </c>
      <c r="Z199" t="str">
        <f t="shared" si="115"/>
        <v/>
      </c>
      <c r="AA199" t="str">
        <f t="shared" si="125"/>
        <v/>
      </c>
      <c r="AB199" t="str">
        <f t="shared" si="125"/>
        <v/>
      </c>
      <c r="AC199" t="str">
        <f t="shared" si="125"/>
        <v/>
      </c>
      <c r="AD199" t="str">
        <f t="shared" si="117"/>
        <v/>
      </c>
      <c r="AE199" t="str">
        <f t="shared" si="118"/>
        <v/>
      </c>
      <c r="AF199" t="str">
        <f t="shared" si="119"/>
        <v/>
      </c>
      <c r="AG199" t="str">
        <f t="shared" si="120"/>
        <v/>
      </c>
      <c r="AH199" t="str">
        <f t="shared" si="121"/>
        <v/>
      </c>
      <c r="AI199" t="str">
        <f t="shared" si="122"/>
        <v/>
      </c>
      <c r="AJ199" t="str">
        <f t="shared" si="126"/>
        <v/>
      </c>
      <c r="AK199" t="str">
        <f t="shared" si="130"/>
        <v/>
      </c>
      <c r="AM199" t="str">
        <f t="shared" si="131"/>
        <v/>
      </c>
      <c r="AN199" t="str">
        <f t="shared" si="132"/>
        <v/>
      </c>
      <c r="AO199" t="str">
        <f t="shared" si="133"/>
        <v/>
      </c>
      <c r="AP199" t="str">
        <f t="shared" si="124"/>
        <v/>
      </c>
      <c r="AQ199" t="str">
        <f t="shared" si="134"/>
        <v/>
      </c>
      <c r="AR199" t="str">
        <f t="shared" si="135"/>
        <v/>
      </c>
      <c r="AS199" t="str">
        <f t="shared" si="136"/>
        <v/>
      </c>
      <c r="AT199" t="str">
        <f t="shared" si="137"/>
        <v/>
      </c>
      <c r="AU199" t="str">
        <f t="shared" si="138"/>
        <v/>
      </c>
      <c r="AV199" t="str">
        <f t="shared" si="139"/>
        <v/>
      </c>
      <c r="AW199" t="str">
        <f t="shared" si="140"/>
        <v/>
      </c>
      <c r="AY199" t="str">
        <f t="shared" si="141"/>
        <v/>
      </c>
      <c r="AZ199" t="str">
        <f t="shared" si="142"/>
        <v/>
      </c>
      <c r="BA199" t="str">
        <f t="shared" si="143"/>
        <v/>
      </c>
      <c r="BB199" t="str">
        <f t="shared" si="144"/>
        <v/>
      </c>
      <c r="BC199" t="str">
        <f t="shared" si="145"/>
        <v/>
      </c>
      <c r="BE199">
        <f t="shared" si="146"/>
        <v>63</v>
      </c>
      <c r="BF199">
        <f t="shared" si="147"/>
        <v>0</v>
      </c>
      <c r="BG199" t="str">
        <f t="shared" si="148"/>
        <v/>
      </c>
      <c r="BH199" t="str">
        <f t="shared" si="149"/>
        <v/>
      </c>
    </row>
    <row r="200" spans="4:60" x14ac:dyDescent="0.55000000000000004">
      <c r="D200">
        <v>190</v>
      </c>
      <c r="E200" t="str">
        <f t="shared" si="127"/>
        <v/>
      </c>
      <c r="F200" t="str">
        <f t="shared" si="128"/>
        <v/>
      </c>
      <c r="G200" t="str">
        <f t="shared" si="129"/>
        <v/>
      </c>
      <c r="Z200" t="str">
        <f t="shared" si="115"/>
        <v/>
      </c>
      <c r="AA200" t="str">
        <f t="shared" si="125"/>
        <v/>
      </c>
      <c r="AB200" t="str">
        <f t="shared" si="125"/>
        <v/>
      </c>
      <c r="AC200" t="str">
        <f t="shared" si="125"/>
        <v/>
      </c>
      <c r="AD200" t="str">
        <f t="shared" si="117"/>
        <v/>
      </c>
      <c r="AE200" t="str">
        <f t="shared" si="118"/>
        <v/>
      </c>
      <c r="AF200" t="str">
        <f t="shared" si="119"/>
        <v/>
      </c>
      <c r="AG200" t="str">
        <f t="shared" si="120"/>
        <v/>
      </c>
      <c r="AH200" t="str">
        <f t="shared" si="121"/>
        <v/>
      </c>
      <c r="AI200" t="str">
        <f t="shared" si="122"/>
        <v/>
      </c>
      <c r="AJ200" t="str">
        <f t="shared" si="126"/>
        <v/>
      </c>
      <c r="AK200" t="str">
        <f t="shared" si="130"/>
        <v/>
      </c>
      <c r="AM200" t="str">
        <f t="shared" si="131"/>
        <v/>
      </c>
      <c r="AN200" t="str">
        <f t="shared" si="132"/>
        <v/>
      </c>
      <c r="AO200" t="str">
        <f t="shared" si="133"/>
        <v/>
      </c>
      <c r="AP200" t="str">
        <f t="shared" si="124"/>
        <v/>
      </c>
      <c r="AQ200" t="str">
        <f t="shared" si="134"/>
        <v/>
      </c>
      <c r="AR200" t="str">
        <f t="shared" si="135"/>
        <v/>
      </c>
      <c r="AS200" t="str">
        <f t="shared" si="136"/>
        <v/>
      </c>
      <c r="AT200" t="str">
        <f t="shared" si="137"/>
        <v/>
      </c>
      <c r="AU200" t="str">
        <f t="shared" si="138"/>
        <v/>
      </c>
      <c r="AV200" t="str">
        <f t="shared" si="139"/>
        <v/>
      </c>
      <c r="AW200" t="str">
        <f t="shared" si="140"/>
        <v/>
      </c>
      <c r="AY200" t="str">
        <f t="shared" si="141"/>
        <v/>
      </c>
      <c r="AZ200" t="str">
        <f t="shared" si="142"/>
        <v/>
      </c>
      <c r="BA200" t="str">
        <f t="shared" si="143"/>
        <v/>
      </c>
      <c r="BB200" t="str">
        <f t="shared" si="144"/>
        <v/>
      </c>
      <c r="BC200" t="str">
        <f t="shared" si="145"/>
        <v/>
      </c>
      <c r="BE200">
        <f t="shared" si="146"/>
        <v>63</v>
      </c>
      <c r="BF200">
        <f t="shared" si="147"/>
        <v>1</v>
      </c>
      <c r="BG200" t="str">
        <f t="shared" si="148"/>
        <v/>
      </c>
      <c r="BH200" t="str">
        <f t="shared" si="149"/>
        <v/>
      </c>
    </row>
    <row r="201" spans="4:60" x14ac:dyDescent="0.55000000000000004">
      <c r="D201">
        <v>191</v>
      </c>
      <c r="E201" t="str">
        <f t="shared" si="127"/>
        <v/>
      </c>
      <c r="F201" t="str">
        <f t="shared" si="128"/>
        <v/>
      </c>
      <c r="G201" t="str">
        <f t="shared" si="129"/>
        <v/>
      </c>
      <c r="Z201" t="str">
        <f t="shared" si="115"/>
        <v/>
      </c>
      <c r="AA201" t="str">
        <f t="shared" si="125"/>
        <v/>
      </c>
      <c r="AB201" t="str">
        <f t="shared" si="125"/>
        <v/>
      </c>
      <c r="AC201" t="str">
        <f t="shared" si="125"/>
        <v/>
      </c>
      <c r="AD201" t="str">
        <f t="shared" si="117"/>
        <v/>
      </c>
      <c r="AE201" t="str">
        <f t="shared" si="118"/>
        <v/>
      </c>
      <c r="AF201" t="str">
        <f t="shared" si="119"/>
        <v/>
      </c>
      <c r="AG201" t="str">
        <f t="shared" si="120"/>
        <v/>
      </c>
      <c r="AH201" t="str">
        <f t="shared" si="121"/>
        <v/>
      </c>
      <c r="AI201" t="str">
        <f t="shared" si="122"/>
        <v/>
      </c>
      <c r="AJ201" t="str">
        <f t="shared" si="126"/>
        <v/>
      </c>
      <c r="AK201" t="str">
        <f t="shared" si="130"/>
        <v/>
      </c>
      <c r="AM201" t="str">
        <f t="shared" si="131"/>
        <v/>
      </c>
      <c r="AN201" t="str">
        <f t="shared" si="132"/>
        <v/>
      </c>
      <c r="AO201" t="str">
        <f t="shared" si="133"/>
        <v/>
      </c>
      <c r="AP201" t="str">
        <f t="shared" si="124"/>
        <v/>
      </c>
      <c r="AQ201" t="str">
        <f t="shared" si="134"/>
        <v/>
      </c>
      <c r="AR201" t="str">
        <f t="shared" si="135"/>
        <v/>
      </c>
      <c r="AS201" t="str">
        <f t="shared" si="136"/>
        <v/>
      </c>
      <c r="AT201" t="str">
        <f t="shared" si="137"/>
        <v/>
      </c>
      <c r="AU201" t="str">
        <f t="shared" si="138"/>
        <v/>
      </c>
      <c r="AV201" t="str">
        <f t="shared" si="139"/>
        <v/>
      </c>
      <c r="AW201" t="str">
        <f t="shared" si="140"/>
        <v/>
      </c>
      <c r="AY201" t="str">
        <f t="shared" si="141"/>
        <v/>
      </c>
      <c r="AZ201" t="str">
        <f t="shared" si="142"/>
        <v/>
      </c>
      <c r="BA201" t="str">
        <f t="shared" si="143"/>
        <v/>
      </c>
      <c r="BB201" t="str">
        <f t="shared" si="144"/>
        <v/>
      </c>
      <c r="BC201" t="str">
        <f t="shared" si="145"/>
        <v/>
      </c>
      <c r="BE201">
        <f t="shared" si="146"/>
        <v>63</v>
      </c>
      <c r="BF201">
        <f t="shared" si="147"/>
        <v>2</v>
      </c>
      <c r="BG201" t="str">
        <f t="shared" si="148"/>
        <v/>
      </c>
      <c r="BH201" t="str">
        <f t="shared" si="149"/>
        <v/>
      </c>
    </row>
    <row r="202" spans="4:60" x14ac:dyDescent="0.55000000000000004">
      <c r="D202">
        <v>192</v>
      </c>
      <c r="E202" t="str">
        <f t="shared" si="127"/>
        <v/>
      </c>
      <c r="F202" t="str">
        <f t="shared" si="128"/>
        <v/>
      </c>
      <c r="G202" t="str">
        <f t="shared" si="129"/>
        <v/>
      </c>
      <c r="Z202" t="str">
        <f t="shared" si="115"/>
        <v/>
      </c>
      <c r="AA202" t="str">
        <f t="shared" si="125"/>
        <v/>
      </c>
      <c r="AB202" t="str">
        <f t="shared" si="125"/>
        <v/>
      </c>
      <c r="AC202" t="str">
        <f t="shared" si="125"/>
        <v/>
      </c>
      <c r="AD202" t="str">
        <f t="shared" si="117"/>
        <v/>
      </c>
      <c r="AE202" t="str">
        <f t="shared" si="118"/>
        <v/>
      </c>
      <c r="AF202" t="str">
        <f t="shared" si="119"/>
        <v/>
      </c>
      <c r="AG202" t="str">
        <f t="shared" si="120"/>
        <v/>
      </c>
      <c r="AH202" t="str">
        <f t="shared" si="121"/>
        <v/>
      </c>
      <c r="AI202" t="str">
        <f t="shared" si="122"/>
        <v/>
      </c>
      <c r="AJ202" t="str">
        <f t="shared" si="126"/>
        <v/>
      </c>
      <c r="AK202" t="str">
        <f t="shared" si="130"/>
        <v/>
      </c>
      <c r="AM202" t="str">
        <f t="shared" si="131"/>
        <v/>
      </c>
      <c r="AN202" t="str">
        <f t="shared" si="132"/>
        <v/>
      </c>
      <c r="AO202" t="str">
        <f t="shared" si="133"/>
        <v/>
      </c>
      <c r="AP202" t="str">
        <f t="shared" ref="AP202:AP209" si="150">IF($AM202="●","AND=.D "&amp;$B$17&amp;" #0","")</f>
        <v/>
      </c>
      <c r="AQ202" t="str">
        <f t="shared" si="134"/>
        <v/>
      </c>
      <c r="AR202" t="str">
        <f t="shared" si="135"/>
        <v/>
      </c>
      <c r="AS202" t="str">
        <f t="shared" si="136"/>
        <v/>
      </c>
      <c r="AT202" t="str">
        <f t="shared" si="137"/>
        <v/>
      </c>
      <c r="AU202" t="str">
        <f t="shared" si="138"/>
        <v/>
      </c>
      <c r="AV202" t="str">
        <f t="shared" si="139"/>
        <v/>
      </c>
      <c r="AW202" t="str">
        <f t="shared" si="140"/>
        <v/>
      </c>
      <c r="AY202" t="str">
        <f t="shared" si="141"/>
        <v/>
      </c>
      <c r="AZ202" t="str">
        <f t="shared" si="142"/>
        <v/>
      </c>
      <c r="BA202" t="str">
        <f t="shared" si="143"/>
        <v/>
      </c>
      <c r="BB202" t="str">
        <f t="shared" si="144"/>
        <v/>
      </c>
      <c r="BC202" t="str">
        <f t="shared" si="145"/>
        <v/>
      </c>
      <c r="BE202">
        <f t="shared" si="146"/>
        <v>64</v>
      </c>
      <c r="BF202">
        <f t="shared" si="147"/>
        <v>0</v>
      </c>
      <c r="BG202" t="str">
        <f t="shared" si="148"/>
        <v/>
      </c>
      <c r="BH202" t="str">
        <f t="shared" si="149"/>
        <v/>
      </c>
    </row>
    <row r="203" spans="4:60" x14ac:dyDescent="0.55000000000000004">
      <c r="D203">
        <v>193</v>
      </c>
      <c r="E203" t="str">
        <f t="shared" si="127"/>
        <v/>
      </c>
      <c r="F203" t="str">
        <f t="shared" si="128"/>
        <v/>
      </c>
      <c r="G203" t="str">
        <f t="shared" si="129"/>
        <v/>
      </c>
      <c r="Z203" t="str">
        <f t="shared" ref="Z203:Z209" si="151">IFERROR(IF(COUNTIF($G203,"*"&amp;Z$9&amp;"*"),INT(MID($G203,FIND(Z$9,$G203)+LEN(Z$9)+1,2)),""),"")</f>
        <v/>
      </c>
      <c r="AA203" t="str">
        <f t="shared" si="125"/>
        <v/>
      </c>
      <c r="AB203" t="str">
        <f t="shared" si="125"/>
        <v/>
      </c>
      <c r="AC203" t="str">
        <f t="shared" si="125"/>
        <v/>
      </c>
      <c r="AD203" t="str">
        <f t="shared" ref="AD203:AD209" si="152">IFERROR(IF(AND(LEN($Z203),AD$2&lt;=$Z203,$Z203&lt;=AD$3),AD$9&amp;"["&amp;$Z203-AD$2&amp;"]",""),"")</f>
        <v/>
      </c>
      <c r="AE203" t="str">
        <f t="shared" ref="AE203:AE209" si="153">IFERROR(IF(AND(LEN($Z203),AE$2&lt;=$Z203,$Z203&lt;=AE$3),AE$9&amp;"["&amp;$Z203-AE$2&amp;"]",IF(AND(LEN($Z203),AE$4&lt;=$Z203,$Z203&lt;=AE$5),AE$9&amp;"["&amp;AE$3+$Z203-AE$4-AE$2+1&amp;"]",IF(AND(LEN($Z203),AE$6&lt;=$Z203,$Z203&lt;=AE$7),AE$9&amp;"["&amp;AE$5+$Z203-AE$6-AE$4+1&amp;"]",""))),"")</f>
        <v/>
      </c>
      <c r="AF203" t="str">
        <f t="shared" ref="AF203:AF209" si="154">IFERROR(IF(AND(LEN($Z203),AF$2&lt;=$Z203,$Z203&lt;=AF$3),AF$9&amp;"["&amp;$Z203-AF$2&amp;"]",IF(AND(LEN($Z203),AF$4&lt;=$Z203,$Z203&lt;=AF$5),AF$9&amp;"["&amp;AF$3+$Z203-AF$4-AF$2+1&amp;"]","")),"")</f>
        <v/>
      </c>
      <c r="AG203" t="str">
        <f t="shared" ref="AG203:AG209" si="155">IFERROR(IF(AND(LEN($Z203),AG$2&lt;=$Z203,$Z203&lt;=AG$3),AG$9&amp;"["&amp;$Z203-AG$2&amp;"]",IF(AND(LEN($Z203),AG$4&lt;=$Z203,$Z203&lt;=AG$5),AG$9&amp;"["&amp;AG$3+$Z203-AG$4&amp;"]","")),"")</f>
        <v/>
      </c>
      <c r="AH203" t="str">
        <f t="shared" ref="AH203:AH209" si="156">IFERROR(IF(AND(LEN($AA203),AH$2&lt;=$AA203,$AA203&lt;=AH$3),AH$9&amp;"["&amp;$AA203-AH$2&amp;"]",""),"")</f>
        <v/>
      </c>
      <c r="AI203" t="str">
        <f t="shared" ref="AI203:AI209" si="157">IFERROR(IF(AND(LEN($AB203),AI$2&lt;=$AB203,$AB203&lt;=AI$3),AI$9&amp;"["&amp;$AB203-AI$2&amp;"]",""),"")</f>
        <v/>
      </c>
      <c r="AJ203" t="str">
        <f t="shared" ref="AJ203:AJ209" si="158">IF(AND(LEN($AC203),AJ$2&lt;=$AC203,$AC203&lt;=AJ$3),AJ$9&amp;$AC203-AJ$2&amp;"Out","")</f>
        <v/>
      </c>
      <c r="AK203" t="str">
        <f t="shared" si="130"/>
        <v/>
      </c>
      <c r="AM203" t="str">
        <f t="shared" si="131"/>
        <v/>
      </c>
      <c r="AN203" t="str">
        <f t="shared" si="132"/>
        <v/>
      </c>
      <c r="AO203" t="str">
        <f t="shared" si="133"/>
        <v/>
      </c>
      <c r="AP203" t="str">
        <f t="shared" si="150"/>
        <v/>
      </c>
      <c r="AQ203" t="str">
        <f t="shared" si="134"/>
        <v/>
      </c>
      <c r="AR203" t="str">
        <f t="shared" si="135"/>
        <v/>
      </c>
      <c r="AS203" t="str">
        <f t="shared" si="136"/>
        <v/>
      </c>
      <c r="AT203" t="str">
        <f t="shared" si="137"/>
        <v/>
      </c>
      <c r="AU203" t="str">
        <f t="shared" si="138"/>
        <v/>
      </c>
      <c r="AV203" t="str">
        <f t="shared" si="139"/>
        <v/>
      </c>
      <c r="AW203" t="str">
        <f t="shared" si="140"/>
        <v/>
      </c>
      <c r="AY203" t="str">
        <f t="shared" si="141"/>
        <v/>
      </c>
      <c r="AZ203" t="str">
        <f t="shared" si="142"/>
        <v/>
      </c>
      <c r="BA203" t="str">
        <f t="shared" si="143"/>
        <v/>
      </c>
      <c r="BB203" t="str">
        <f t="shared" si="144"/>
        <v/>
      </c>
      <c r="BC203" t="str">
        <f t="shared" si="145"/>
        <v/>
      </c>
      <c r="BE203">
        <f t="shared" si="146"/>
        <v>64</v>
      </c>
      <c r="BF203">
        <f t="shared" si="147"/>
        <v>1</v>
      </c>
      <c r="BG203" t="str">
        <f t="shared" si="148"/>
        <v/>
      </c>
      <c r="BH203" t="str">
        <f t="shared" si="149"/>
        <v/>
      </c>
    </row>
    <row r="204" spans="4:60" x14ac:dyDescent="0.55000000000000004">
      <c r="D204">
        <v>194</v>
      </c>
      <c r="E204" t="str">
        <f t="shared" si="127"/>
        <v/>
      </c>
      <c r="F204" t="str">
        <f t="shared" si="128"/>
        <v/>
      </c>
      <c r="G204" t="str">
        <f t="shared" si="129"/>
        <v/>
      </c>
      <c r="Z204" t="str">
        <f t="shared" si="151"/>
        <v/>
      </c>
      <c r="AA204" t="str">
        <f t="shared" si="125"/>
        <v/>
      </c>
      <c r="AB204" t="str">
        <f t="shared" si="125"/>
        <v/>
      </c>
      <c r="AC204" t="str">
        <f t="shared" si="125"/>
        <v/>
      </c>
      <c r="AD204" t="str">
        <f t="shared" si="152"/>
        <v/>
      </c>
      <c r="AE204" t="str">
        <f t="shared" si="153"/>
        <v/>
      </c>
      <c r="AF204" t="str">
        <f t="shared" si="154"/>
        <v/>
      </c>
      <c r="AG204" t="str">
        <f t="shared" si="155"/>
        <v/>
      </c>
      <c r="AH204" t="str">
        <f t="shared" si="156"/>
        <v/>
      </c>
      <c r="AI204" t="str">
        <f t="shared" si="157"/>
        <v/>
      </c>
      <c r="AJ204" t="str">
        <f t="shared" si="158"/>
        <v/>
      </c>
      <c r="AK204" t="str">
        <f t="shared" si="130"/>
        <v/>
      </c>
      <c r="AM204" t="str">
        <f t="shared" si="131"/>
        <v/>
      </c>
      <c r="AN204" t="str">
        <f t="shared" si="132"/>
        <v/>
      </c>
      <c r="AO204" t="str">
        <f t="shared" si="133"/>
        <v/>
      </c>
      <c r="AP204" t="str">
        <f t="shared" si="150"/>
        <v/>
      </c>
      <c r="AQ204" t="str">
        <f t="shared" si="134"/>
        <v/>
      </c>
      <c r="AR204" t="str">
        <f t="shared" si="135"/>
        <v/>
      </c>
      <c r="AS204" t="str">
        <f t="shared" si="136"/>
        <v/>
      </c>
      <c r="AT204" t="str">
        <f t="shared" si="137"/>
        <v/>
      </c>
      <c r="AU204" t="str">
        <f t="shared" si="138"/>
        <v/>
      </c>
      <c r="AV204" t="str">
        <f t="shared" si="139"/>
        <v/>
      </c>
      <c r="AW204" t="str">
        <f t="shared" si="140"/>
        <v/>
      </c>
      <c r="AY204" t="str">
        <f t="shared" si="141"/>
        <v/>
      </c>
      <c r="AZ204" t="str">
        <f t="shared" si="142"/>
        <v/>
      </c>
      <c r="BA204" t="str">
        <f t="shared" si="143"/>
        <v/>
      </c>
      <c r="BB204" t="str">
        <f t="shared" si="144"/>
        <v/>
      </c>
      <c r="BC204" t="str">
        <f t="shared" si="145"/>
        <v/>
      </c>
      <c r="BE204">
        <f t="shared" si="146"/>
        <v>64</v>
      </c>
      <c r="BF204">
        <f t="shared" si="147"/>
        <v>2</v>
      </c>
      <c r="BG204" t="str">
        <f t="shared" si="148"/>
        <v/>
      </c>
      <c r="BH204" t="str">
        <f t="shared" si="149"/>
        <v/>
      </c>
    </row>
    <row r="205" spans="4:60" x14ac:dyDescent="0.55000000000000004">
      <c r="D205">
        <v>195</v>
      </c>
      <c r="E205" t="str">
        <f t="shared" si="127"/>
        <v/>
      </c>
      <c r="F205" t="str">
        <f t="shared" si="128"/>
        <v/>
      </c>
      <c r="G205" t="str">
        <f t="shared" si="129"/>
        <v/>
      </c>
      <c r="Z205" t="str">
        <f t="shared" si="151"/>
        <v/>
      </c>
      <c r="AA205" t="str">
        <f t="shared" si="125"/>
        <v/>
      </c>
      <c r="AB205" t="str">
        <f t="shared" si="125"/>
        <v/>
      </c>
      <c r="AC205" t="str">
        <f t="shared" si="125"/>
        <v/>
      </c>
      <c r="AD205" t="str">
        <f t="shared" si="152"/>
        <v/>
      </c>
      <c r="AE205" t="str">
        <f t="shared" si="153"/>
        <v/>
      </c>
      <c r="AF205" t="str">
        <f t="shared" si="154"/>
        <v/>
      </c>
      <c r="AG205" t="str">
        <f t="shared" si="155"/>
        <v/>
      </c>
      <c r="AH205" t="str">
        <f t="shared" si="156"/>
        <v/>
      </c>
      <c r="AI205" t="str">
        <f t="shared" si="157"/>
        <v/>
      </c>
      <c r="AJ205" t="str">
        <f t="shared" si="158"/>
        <v/>
      </c>
      <c r="AK205" t="str">
        <f t="shared" si="130"/>
        <v/>
      </c>
      <c r="AM205" t="str">
        <f t="shared" si="131"/>
        <v/>
      </c>
      <c r="AN205" t="str">
        <f t="shared" si="132"/>
        <v/>
      </c>
      <c r="AO205" t="str">
        <f t="shared" si="133"/>
        <v/>
      </c>
      <c r="AP205" t="str">
        <f t="shared" si="150"/>
        <v/>
      </c>
      <c r="AQ205" t="str">
        <f t="shared" si="134"/>
        <v/>
      </c>
      <c r="AR205" t="str">
        <f t="shared" si="135"/>
        <v/>
      </c>
      <c r="AS205" t="str">
        <f t="shared" si="136"/>
        <v/>
      </c>
      <c r="AT205" t="str">
        <f t="shared" si="137"/>
        <v/>
      </c>
      <c r="AU205" t="str">
        <f t="shared" si="138"/>
        <v/>
      </c>
      <c r="AV205" t="str">
        <f t="shared" si="139"/>
        <v/>
      </c>
      <c r="AW205" t="str">
        <f t="shared" si="140"/>
        <v/>
      </c>
      <c r="AY205" t="str">
        <f t="shared" si="141"/>
        <v/>
      </c>
      <c r="AZ205" t="str">
        <f t="shared" si="142"/>
        <v/>
      </c>
      <c r="BA205" t="str">
        <f t="shared" si="143"/>
        <v/>
      </c>
      <c r="BB205" t="str">
        <f t="shared" si="144"/>
        <v/>
      </c>
      <c r="BC205" t="str">
        <f t="shared" si="145"/>
        <v/>
      </c>
      <c r="BE205">
        <f t="shared" si="146"/>
        <v>65</v>
      </c>
      <c r="BF205">
        <f t="shared" si="147"/>
        <v>0</v>
      </c>
      <c r="BG205" t="str">
        <f t="shared" si="148"/>
        <v/>
      </c>
      <c r="BH205" t="str">
        <f t="shared" si="149"/>
        <v/>
      </c>
    </row>
    <row r="206" spans="4:60" x14ac:dyDescent="0.55000000000000004">
      <c r="D206">
        <v>196</v>
      </c>
      <c r="E206" t="str">
        <f t="shared" si="127"/>
        <v/>
      </c>
      <c r="F206" t="str">
        <f t="shared" si="128"/>
        <v/>
      </c>
      <c r="G206" t="str">
        <f t="shared" si="129"/>
        <v/>
      </c>
      <c r="Z206" t="str">
        <f t="shared" si="151"/>
        <v/>
      </c>
      <c r="AA206" t="str">
        <f t="shared" si="125"/>
        <v/>
      </c>
      <c r="AB206" t="str">
        <f t="shared" si="125"/>
        <v/>
      </c>
      <c r="AC206" t="str">
        <f t="shared" si="125"/>
        <v/>
      </c>
      <c r="AD206" t="str">
        <f t="shared" si="152"/>
        <v/>
      </c>
      <c r="AE206" t="str">
        <f t="shared" si="153"/>
        <v/>
      </c>
      <c r="AF206" t="str">
        <f t="shared" si="154"/>
        <v/>
      </c>
      <c r="AG206" t="str">
        <f t="shared" si="155"/>
        <v/>
      </c>
      <c r="AH206" t="str">
        <f t="shared" si="156"/>
        <v/>
      </c>
      <c r="AI206" t="str">
        <f t="shared" si="157"/>
        <v/>
      </c>
      <c r="AJ206" t="str">
        <f t="shared" si="158"/>
        <v/>
      </c>
      <c r="AK206" t="str">
        <f t="shared" si="130"/>
        <v/>
      </c>
      <c r="AM206" t="str">
        <f t="shared" si="131"/>
        <v/>
      </c>
      <c r="AN206" t="str">
        <f t="shared" si="132"/>
        <v/>
      </c>
      <c r="AO206" t="str">
        <f t="shared" si="133"/>
        <v/>
      </c>
      <c r="AP206" t="str">
        <f t="shared" si="150"/>
        <v/>
      </c>
      <c r="AQ206" t="str">
        <f t="shared" si="134"/>
        <v/>
      </c>
      <c r="AR206" t="str">
        <f t="shared" si="135"/>
        <v/>
      </c>
      <c r="AS206" t="str">
        <f t="shared" si="136"/>
        <v/>
      </c>
      <c r="AT206" t="str">
        <f t="shared" si="137"/>
        <v/>
      </c>
      <c r="AU206" t="str">
        <f t="shared" si="138"/>
        <v/>
      </c>
      <c r="AV206" t="str">
        <f t="shared" si="139"/>
        <v/>
      </c>
      <c r="AW206" t="str">
        <f t="shared" si="140"/>
        <v/>
      </c>
      <c r="AY206" t="str">
        <f t="shared" si="141"/>
        <v/>
      </c>
      <c r="AZ206" t="str">
        <f t="shared" si="142"/>
        <v/>
      </c>
      <c r="BA206" t="str">
        <f t="shared" si="143"/>
        <v/>
      </c>
      <c r="BB206" t="str">
        <f t="shared" si="144"/>
        <v/>
      </c>
      <c r="BC206" t="str">
        <f t="shared" si="145"/>
        <v/>
      </c>
      <c r="BE206">
        <f t="shared" si="146"/>
        <v>65</v>
      </c>
      <c r="BF206">
        <f t="shared" si="147"/>
        <v>1</v>
      </c>
      <c r="BG206" t="str">
        <f t="shared" si="148"/>
        <v/>
      </c>
      <c r="BH206" t="str">
        <f t="shared" si="149"/>
        <v/>
      </c>
    </row>
    <row r="207" spans="4:60" x14ac:dyDescent="0.55000000000000004">
      <c r="D207">
        <v>197</v>
      </c>
      <c r="E207" t="str">
        <f t="shared" si="127"/>
        <v/>
      </c>
      <c r="F207" t="str">
        <f t="shared" si="128"/>
        <v/>
      </c>
      <c r="G207" t="str">
        <f t="shared" si="129"/>
        <v/>
      </c>
      <c r="Z207" t="str">
        <f t="shared" si="151"/>
        <v/>
      </c>
      <c r="AA207" t="str">
        <f t="shared" si="125"/>
        <v/>
      </c>
      <c r="AB207" t="str">
        <f t="shared" si="125"/>
        <v/>
      </c>
      <c r="AC207" t="str">
        <f t="shared" si="125"/>
        <v/>
      </c>
      <c r="AD207" t="str">
        <f t="shared" si="152"/>
        <v/>
      </c>
      <c r="AE207" t="str">
        <f t="shared" si="153"/>
        <v/>
      </c>
      <c r="AF207" t="str">
        <f t="shared" si="154"/>
        <v/>
      </c>
      <c r="AG207" t="str">
        <f t="shared" si="155"/>
        <v/>
      </c>
      <c r="AH207" t="str">
        <f t="shared" si="156"/>
        <v/>
      </c>
      <c r="AI207" t="str">
        <f t="shared" si="157"/>
        <v/>
      </c>
      <c r="AJ207" t="str">
        <f t="shared" si="158"/>
        <v/>
      </c>
      <c r="AK207" t="str">
        <f t="shared" si="130"/>
        <v/>
      </c>
      <c r="AM207" t="str">
        <f t="shared" si="131"/>
        <v/>
      </c>
      <c r="AN207" t="str">
        <f t="shared" si="132"/>
        <v/>
      </c>
      <c r="AO207" t="str">
        <f t="shared" si="133"/>
        <v/>
      </c>
      <c r="AP207" t="str">
        <f t="shared" si="150"/>
        <v/>
      </c>
      <c r="AQ207" t="str">
        <f t="shared" si="134"/>
        <v/>
      </c>
      <c r="AR207" t="str">
        <f t="shared" si="135"/>
        <v/>
      </c>
      <c r="AS207" t="str">
        <f t="shared" si="136"/>
        <v/>
      </c>
      <c r="AT207" t="str">
        <f t="shared" si="137"/>
        <v/>
      </c>
      <c r="AU207" t="str">
        <f t="shared" si="138"/>
        <v/>
      </c>
      <c r="AV207" t="str">
        <f t="shared" si="139"/>
        <v/>
      </c>
      <c r="AW207" t="str">
        <f t="shared" si="140"/>
        <v/>
      </c>
      <c r="AY207" t="str">
        <f t="shared" si="141"/>
        <v/>
      </c>
      <c r="AZ207" t="str">
        <f t="shared" si="142"/>
        <v/>
      </c>
      <c r="BA207" t="str">
        <f t="shared" si="143"/>
        <v/>
      </c>
      <c r="BB207" t="str">
        <f t="shared" si="144"/>
        <v/>
      </c>
      <c r="BC207" t="str">
        <f t="shared" si="145"/>
        <v/>
      </c>
      <c r="BE207">
        <f t="shared" si="146"/>
        <v>65</v>
      </c>
      <c r="BF207">
        <f t="shared" si="147"/>
        <v>2</v>
      </c>
      <c r="BG207" t="str">
        <f t="shared" si="148"/>
        <v/>
      </c>
      <c r="BH207" t="str">
        <f t="shared" si="149"/>
        <v/>
      </c>
    </row>
    <row r="208" spans="4:60" x14ac:dyDescent="0.55000000000000004">
      <c r="D208">
        <v>198</v>
      </c>
      <c r="E208" t="str">
        <f t="shared" si="127"/>
        <v/>
      </c>
      <c r="F208" t="str">
        <f t="shared" si="128"/>
        <v/>
      </c>
      <c r="G208" t="str">
        <f t="shared" si="129"/>
        <v/>
      </c>
      <c r="Z208" t="str">
        <f t="shared" si="151"/>
        <v/>
      </c>
      <c r="AA208" t="str">
        <f t="shared" si="125"/>
        <v/>
      </c>
      <c r="AB208" t="str">
        <f t="shared" si="125"/>
        <v/>
      </c>
      <c r="AC208" t="str">
        <f t="shared" si="125"/>
        <v/>
      </c>
      <c r="AD208" t="str">
        <f t="shared" si="152"/>
        <v/>
      </c>
      <c r="AE208" t="str">
        <f t="shared" si="153"/>
        <v/>
      </c>
      <c r="AF208" t="str">
        <f t="shared" si="154"/>
        <v/>
      </c>
      <c r="AG208" t="str">
        <f t="shared" si="155"/>
        <v/>
      </c>
      <c r="AH208" t="str">
        <f t="shared" si="156"/>
        <v/>
      </c>
      <c r="AI208" t="str">
        <f t="shared" si="157"/>
        <v/>
      </c>
      <c r="AJ208" t="str">
        <f t="shared" si="158"/>
        <v/>
      </c>
      <c r="AK208" t="str">
        <f t="shared" si="130"/>
        <v/>
      </c>
      <c r="AM208" t="str">
        <f t="shared" si="131"/>
        <v/>
      </c>
      <c r="AN208" t="str">
        <f t="shared" si="132"/>
        <v/>
      </c>
      <c r="AO208" t="str">
        <f t="shared" si="133"/>
        <v/>
      </c>
      <c r="AP208" t="str">
        <f t="shared" si="150"/>
        <v/>
      </c>
      <c r="AQ208" t="str">
        <f t="shared" si="134"/>
        <v/>
      </c>
      <c r="AR208" t="str">
        <f t="shared" si="135"/>
        <v/>
      </c>
      <c r="AS208" t="str">
        <f t="shared" si="136"/>
        <v/>
      </c>
      <c r="AT208" t="str">
        <f t="shared" si="137"/>
        <v/>
      </c>
      <c r="AU208" t="str">
        <f t="shared" si="138"/>
        <v/>
      </c>
      <c r="AV208" t="str">
        <f t="shared" si="139"/>
        <v/>
      </c>
      <c r="AW208" t="str">
        <f t="shared" si="140"/>
        <v/>
      </c>
      <c r="AY208" t="str">
        <f t="shared" si="141"/>
        <v/>
      </c>
      <c r="AZ208" t="str">
        <f t="shared" si="142"/>
        <v/>
      </c>
      <c r="BA208" t="str">
        <f t="shared" si="143"/>
        <v/>
      </c>
      <c r="BB208" t="str">
        <f t="shared" si="144"/>
        <v/>
      </c>
      <c r="BC208" t="str">
        <f t="shared" si="145"/>
        <v/>
      </c>
      <c r="BE208">
        <f t="shared" si="146"/>
        <v>66</v>
      </c>
      <c r="BF208">
        <f t="shared" si="147"/>
        <v>0</v>
      </c>
      <c r="BG208" t="str">
        <f t="shared" si="148"/>
        <v/>
      </c>
      <c r="BH208" t="str">
        <f t="shared" si="149"/>
        <v/>
      </c>
    </row>
    <row r="209" spans="4:60" x14ac:dyDescent="0.55000000000000004">
      <c r="D209">
        <v>199</v>
      </c>
      <c r="E209" t="str">
        <f t="shared" si="127"/>
        <v/>
      </c>
      <c r="F209" t="str">
        <f t="shared" si="128"/>
        <v/>
      </c>
      <c r="G209" t="str">
        <f t="shared" si="129"/>
        <v/>
      </c>
      <c r="Z209" t="str">
        <f t="shared" si="151"/>
        <v/>
      </c>
      <c r="AA209" t="str">
        <f t="shared" si="125"/>
        <v/>
      </c>
      <c r="AB209" t="str">
        <f t="shared" si="125"/>
        <v/>
      </c>
      <c r="AC209" t="str">
        <f t="shared" si="125"/>
        <v/>
      </c>
      <c r="AD209" t="str">
        <f t="shared" si="152"/>
        <v/>
      </c>
      <c r="AE209" t="str">
        <f t="shared" si="153"/>
        <v/>
      </c>
      <c r="AF209" t="str">
        <f t="shared" si="154"/>
        <v/>
      </c>
      <c r="AG209" t="str">
        <f t="shared" si="155"/>
        <v/>
      </c>
      <c r="AH209" t="str">
        <f t="shared" si="156"/>
        <v/>
      </c>
      <c r="AI209" t="str">
        <f t="shared" si="157"/>
        <v/>
      </c>
      <c r="AJ209" t="str">
        <f t="shared" si="158"/>
        <v/>
      </c>
      <c r="AK209" t="str">
        <f t="shared" si="130"/>
        <v/>
      </c>
      <c r="AM209" t="str">
        <f t="shared" si="131"/>
        <v/>
      </c>
      <c r="AN209" t="str">
        <f t="shared" si="132"/>
        <v/>
      </c>
      <c r="AO209" t="str">
        <f t="shared" si="133"/>
        <v/>
      </c>
      <c r="AP209" t="str">
        <f t="shared" si="150"/>
        <v/>
      </c>
      <c r="AQ209" t="str">
        <f t="shared" si="134"/>
        <v/>
      </c>
      <c r="AR209" t="str">
        <f t="shared" si="135"/>
        <v/>
      </c>
      <c r="AS209" t="str">
        <f t="shared" si="136"/>
        <v/>
      </c>
      <c r="AT209" t="str">
        <f t="shared" si="137"/>
        <v/>
      </c>
      <c r="AU209" t="str">
        <f t="shared" si="138"/>
        <v/>
      </c>
      <c r="AV209" t="str">
        <f t="shared" si="139"/>
        <v/>
      </c>
      <c r="AW209" t="str">
        <f t="shared" si="140"/>
        <v/>
      </c>
      <c r="AY209" t="str">
        <f t="shared" si="141"/>
        <v/>
      </c>
      <c r="AZ209" t="str">
        <f t="shared" si="142"/>
        <v/>
      </c>
      <c r="BA209" t="str">
        <f t="shared" si="143"/>
        <v/>
      </c>
      <c r="BB209" t="str">
        <f t="shared" si="144"/>
        <v/>
      </c>
      <c r="BC209" t="str">
        <f t="shared" si="145"/>
        <v/>
      </c>
      <c r="BE209">
        <f t="shared" si="146"/>
        <v>66</v>
      </c>
      <c r="BF209">
        <f t="shared" si="147"/>
        <v>1</v>
      </c>
      <c r="BG209" t="str">
        <f t="shared" si="148"/>
        <v/>
      </c>
      <c r="BH209" t="str">
        <f t="shared" si="149"/>
        <v/>
      </c>
    </row>
    <row r="211" spans="4:60" x14ac:dyDescent="0.55000000000000004">
      <c r="AW211" t="str">
        <f>_xlfn.CONCAT(AW10:AW209)</f>
        <v/>
      </c>
      <c r="BC211" t="str">
        <f>_xlfn.CONCAT(BC10:BC209)</f>
        <v/>
      </c>
      <c r="BH211" t="str">
        <f>_xlfn.CONCAT(BH$10:BH$209)</f>
        <v/>
      </c>
    </row>
  </sheetData>
  <autoFilter ref="AW1:AW211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41</xdr:row>
                    <xdr:rowOff>0</xdr:rowOff>
                  </from>
                  <to>
                    <xdr:col>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2026-08-07T05:10:06Z</dcterms:modified>
</cp:coreProperties>
</file>