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k\prj\hg-0025-0016\git\kv-x520\doc\"/>
    </mc:Choice>
  </mc:AlternateContent>
  <xr:revisionPtr revIDLastSave="0" documentId="13_ncr:1_{0AB088D3-9F5F-4C9B-988D-59DB1CE6F122}" xr6:coauthVersionLast="47" xr6:coauthVersionMax="47" xr10:uidLastSave="{00000000-0000-0000-0000-000000000000}"/>
  <bookViews>
    <workbookView xWindow="-110" yWindow="-110" windowWidth="38620" windowHeight="21100" activeTab="1" xr2:uid="{AD60251E-E67F-4F92-A6A0-C1D334A3EF53}"/>
  </bookViews>
  <sheets>
    <sheet name="config" sheetId="2" r:id="rId1"/>
    <sheet name="info_script" sheetId="1" r:id="rId2"/>
  </sheets>
  <definedNames>
    <definedName name="_xlnm._FilterDatabase" localSheetId="1" hidden="1">info_script!$AW$1:$AW$109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9" i="1" l="1"/>
  <c r="E8" i="1"/>
  <c r="F8" i="1"/>
  <c r="G8" i="1"/>
  <c r="E9" i="1"/>
  <c r="F9" i="1"/>
  <c r="G9" i="1"/>
  <c r="E10" i="1"/>
  <c r="F10" i="1"/>
  <c r="G10" i="1"/>
  <c r="E11" i="1"/>
  <c r="F11" i="1"/>
  <c r="G11" i="1"/>
  <c r="E12" i="1"/>
  <c r="F12" i="1"/>
  <c r="G12" i="1"/>
  <c r="E13" i="1"/>
  <c r="F13" i="1"/>
  <c r="G13" i="1"/>
  <c r="E14" i="1"/>
  <c r="F14" i="1"/>
  <c r="G14" i="1"/>
  <c r="E15" i="1"/>
  <c r="F15" i="1"/>
  <c r="G15" i="1"/>
  <c r="E16" i="1"/>
  <c r="F16" i="1"/>
  <c r="G16" i="1"/>
  <c r="E17" i="1"/>
  <c r="F17" i="1"/>
  <c r="G17" i="1"/>
  <c r="E18" i="1"/>
  <c r="F18" i="1"/>
  <c r="G18" i="1"/>
  <c r="E19" i="1"/>
  <c r="F19" i="1"/>
  <c r="G19" i="1"/>
  <c r="E20" i="1"/>
  <c r="F20" i="1"/>
  <c r="G20" i="1"/>
  <c r="E21" i="1"/>
  <c r="F21" i="1"/>
  <c r="G21" i="1"/>
  <c r="E22" i="1"/>
  <c r="F22" i="1"/>
  <c r="G22" i="1"/>
  <c r="E23" i="1"/>
  <c r="F23" i="1"/>
  <c r="G23" i="1"/>
  <c r="E24" i="1"/>
  <c r="F24" i="1"/>
  <c r="G24" i="1"/>
  <c r="E25" i="1"/>
  <c r="F25" i="1"/>
  <c r="G25" i="1"/>
  <c r="B25" i="2" a="1"/>
  <c r="B26" i="2" a="1"/>
  <c r="B24" i="2" a="1"/>
  <c r="B23" i="2" a="1"/>
  <c r="B22" i="2" a="1"/>
  <c r="B21" i="2" a="1"/>
  <c r="B7" i="2" a="1"/>
  <c r="B6" i="2" a="1"/>
  <c r="B8" i="2" a="1"/>
  <c r="B31" i="2" a="1"/>
  <c r="B2" i="2" a="1"/>
  <c r="B4" i="2" a="1"/>
  <c r="B5" i="2" a="1"/>
  <c r="B25" i="2" l="1"/>
  <c r="B26" i="2"/>
  <c r="B24" i="2"/>
  <c r="B23" i="2"/>
  <c r="B22" i="2"/>
  <c r="B21" i="2"/>
  <c r="B31" i="2"/>
  <c r="B2" i="2"/>
  <c r="B6" i="2"/>
  <c r="B7" i="2"/>
  <c r="B5" i="2"/>
  <c r="B4" i="2"/>
  <c r="B8" i="2"/>
  <c r="AI7" i="1" l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G107" i="1"/>
  <c r="AM107" i="1" s="1"/>
  <c r="AN107" i="1" s="1"/>
  <c r="G106" i="1"/>
  <c r="AM106" i="1" s="1"/>
  <c r="AN106" i="1" s="1"/>
  <c r="G105" i="1"/>
  <c r="AC105" i="1" s="1"/>
  <c r="AJ105" i="1" s="1"/>
  <c r="G104" i="1"/>
  <c r="AM104" i="1" s="1"/>
  <c r="AN104" i="1" s="1"/>
  <c r="G103" i="1"/>
  <c r="AC103" i="1" s="1"/>
  <c r="AJ103" i="1" s="1"/>
  <c r="G102" i="1"/>
  <c r="AM102" i="1" s="1"/>
  <c r="AN102" i="1" s="1"/>
  <c r="G101" i="1"/>
  <c r="AM101" i="1" s="1"/>
  <c r="AN101" i="1" s="1"/>
  <c r="G100" i="1"/>
  <c r="AM100" i="1" s="1"/>
  <c r="AN100" i="1" s="1"/>
  <c r="G99" i="1"/>
  <c r="AM99" i="1" s="1"/>
  <c r="AN99" i="1" s="1"/>
  <c r="G98" i="1"/>
  <c r="AM98" i="1" s="1"/>
  <c r="AN98" i="1" s="1"/>
  <c r="G97" i="1"/>
  <c r="AC97" i="1" s="1"/>
  <c r="AJ97" i="1" s="1"/>
  <c r="G96" i="1"/>
  <c r="AM96" i="1" s="1"/>
  <c r="AN96" i="1" s="1"/>
  <c r="G95" i="1"/>
  <c r="AC95" i="1" s="1"/>
  <c r="AJ95" i="1" s="1"/>
  <c r="G94" i="1"/>
  <c r="AM94" i="1" s="1"/>
  <c r="AN94" i="1" s="1"/>
  <c r="G93" i="1"/>
  <c r="AM93" i="1" s="1"/>
  <c r="AN93" i="1" s="1"/>
  <c r="G92" i="1"/>
  <c r="AM92" i="1" s="1"/>
  <c r="AN92" i="1" s="1"/>
  <c r="G91" i="1"/>
  <c r="AM91" i="1" s="1"/>
  <c r="AN91" i="1" s="1"/>
  <c r="G90" i="1"/>
  <c r="AC90" i="1" s="1"/>
  <c r="AJ90" i="1" s="1"/>
  <c r="G89" i="1"/>
  <c r="AC89" i="1" s="1"/>
  <c r="AJ89" i="1" s="1"/>
  <c r="G88" i="1"/>
  <c r="AC88" i="1" s="1"/>
  <c r="AJ88" i="1" s="1"/>
  <c r="G87" i="1"/>
  <c r="AC87" i="1" s="1"/>
  <c r="AJ87" i="1" s="1"/>
  <c r="G86" i="1"/>
  <c r="AM86" i="1" s="1"/>
  <c r="AN86" i="1" s="1"/>
  <c r="G85" i="1"/>
  <c r="AM85" i="1" s="1"/>
  <c r="AN85" i="1" s="1"/>
  <c r="G84" i="1"/>
  <c r="AM84" i="1" s="1"/>
  <c r="AN84" i="1" s="1"/>
  <c r="G83" i="1"/>
  <c r="AM83" i="1" s="1"/>
  <c r="AN83" i="1" s="1"/>
  <c r="G82" i="1"/>
  <c r="AC82" i="1" s="1"/>
  <c r="AJ82" i="1" s="1"/>
  <c r="G81" i="1"/>
  <c r="AC81" i="1" s="1"/>
  <c r="AJ81" i="1" s="1"/>
  <c r="G80" i="1"/>
  <c r="AM80" i="1" s="1"/>
  <c r="AN80" i="1" s="1"/>
  <c r="G79" i="1"/>
  <c r="AC79" i="1" s="1"/>
  <c r="AJ79" i="1" s="1"/>
  <c r="G78" i="1"/>
  <c r="AC78" i="1" s="1"/>
  <c r="AJ78" i="1" s="1"/>
  <c r="G77" i="1"/>
  <c r="AM77" i="1" s="1"/>
  <c r="AN77" i="1" s="1"/>
  <c r="G76" i="1"/>
  <c r="AM76" i="1" s="1"/>
  <c r="AN76" i="1" s="1"/>
  <c r="G75" i="1"/>
  <c r="AM75" i="1" s="1"/>
  <c r="AN75" i="1" s="1"/>
  <c r="G74" i="1"/>
  <c r="AM74" i="1" s="1"/>
  <c r="AN74" i="1" s="1"/>
  <c r="G73" i="1"/>
  <c r="AC73" i="1" s="1"/>
  <c r="AJ73" i="1" s="1"/>
  <c r="G72" i="1"/>
  <c r="AC72" i="1" s="1"/>
  <c r="AJ72" i="1" s="1"/>
  <c r="G71" i="1"/>
  <c r="AC71" i="1" s="1"/>
  <c r="AJ71" i="1" s="1"/>
  <c r="G70" i="1"/>
  <c r="AM70" i="1" s="1"/>
  <c r="AN70" i="1" s="1"/>
  <c r="G69" i="1"/>
  <c r="AM69" i="1" s="1"/>
  <c r="AN69" i="1" s="1"/>
  <c r="G68" i="1"/>
  <c r="AM68" i="1" s="1"/>
  <c r="AN68" i="1" s="1"/>
  <c r="G67" i="1"/>
  <c r="AM67" i="1" s="1"/>
  <c r="AN67" i="1" s="1"/>
  <c r="G66" i="1"/>
  <c r="AM66" i="1" s="1"/>
  <c r="AN66" i="1" s="1"/>
  <c r="G65" i="1"/>
  <c r="AC65" i="1" s="1"/>
  <c r="AJ65" i="1" s="1"/>
  <c r="G64" i="1"/>
  <c r="AC64" i="1" s="1"/>
  <c r="AJ64" i="1" s="1"/>
  <c r="G63" i="1"/>
  <c r="AC63" i="1" s="1"/>
  <c r="AJ63" i="1" s="1"/>
  <c r="G62" i="1"/>
  <c r="AM62" i="1" s="1"/>
  <c r="AN62" i="1" s="1"/>
  <c r="G61" i="1"/>
  <c r="AM61" i="1" s="1"/>
  <c r="G60" i="1"/>
  <c r="AM60" i="1" s="1"/>
  <c r="AN60" i="1" s="1"/>
  <c r="G59" i="1"/>
  <c r="AM59" i="1" s="1"/>
  <c r="G58" i="1"/>
  <c r="AM58" i="1" s="1"/>
  <c r="AN58" i="1" s="1"/>
  <c r="G57" i="1"/>
  <c r="AM57" i="1" s="1"/>
  <c r="G56" i="1"/>
  <c r="AC56" i="1" s="1"/>
  <c r="AJ56" i="1" s="1"/>
  <c r="G55" i="1"/>
  <c r="AC55" i="1" s="1"/>
  <c r="AJ55" i="1" s="1"/>
  <c r="G54" i="1"/>
  <c r="AM54" i="1" s="1"/>
  <c r="AN54" i="1" s="1"/>
  <c r="G53" i="1"/>
  <c r="AM53" i="1" s="1"/>
  <c r="G52" i="1"/>
  <c r="AM52" i="1" s="1"/>
  <c r="AN52" i="1" s="1"/>
  <c r="G51" i="1"/>
  <c r="AM51" i="1" s="1"/>
  <c r="G50" i="1"/>
  <c r="AM50" i="1" s="1"/>
  <c r="AN50" i="1" s="1"/>
  <c r="G49" i="1"/>
  <c r="AM49" i="1" s="1"/>
  <c r="AN49" i="1" s="1"/>
  <c r="G48" i="1"/>
  <c r="AM48" i="1" s="1"/>
  <c r="AN48" i="1" s="1"/>
  <c r="G47" i="1"/>
  <c r="AC47" i="1" s="1"/>
  <c r="AJ47" i="1" s="1"/>
  <c r="G46" i="1"/>
  <c r="AM46" i="1" s="1"/>
  <c r="AN46" i="1" s="1"/>
  <c r="G45" i="1"/>
  <c r="AM45" i="1" s="1"/>
  <c r="AN45" i="1" s="1"/>
  <c r="G44" i="1"/>
  <c r="AM44" i="1" s="1"/>
  <c r="AN44" i="1" s="1"/>
  <c r="G43" i="1"/>
  <c r="AM43" i="1" s="1"/>
  <c r="G42" i="1"/>
  <c r="AM42" i="1" s="1"/>
  <c r="G41" i="1"/>
  <c r="AM41" i="1" s="1"/>
  <c r="G40" i="1"/>
  <c r="AM40" i="1" s="1"/>
  <c r="G39" i="1"/>
  <c r="AC39" i="1" s="1"/>
  <c r="AJ39" i="1" s="1"/>
  <c r="G38" i="1"/>
  <c r="AM38" i="1" s="1"/>
  <c r="AN38" i="1" s="1"/>
  <c r="G37" i="1"/>
  <c r="AM37" i="1" s="1"/>
  <c r="AN37" i="1" s="1"/>
  <c r="G36" i="1"/>
  <c r="AM36" i="1" s="1"/>
  <c r="AN36" i="1" s="1"/>
  <c r="G35" i="1"/>
  <c r="AM35" i="1" s="1"/>
  <c r="AN35" i="1" s="1"/>
  <c r="G34" i="1"/>
  <c r="AM34" i="1" s="1"/>
  <c r="G33" i="1"/>
  <c r="AM33" i="1" s="1"/>
  <c r="G32" i="1"/>
  <c r="AM32" i="1" s="1"/>
  <c r="G31" i="1"/>
  <c r="AC31" i="1" s="1"/>
  <c r="AJ31" i="1" s="1"/>
  <c r="G30" i="1"/>
  <c r="AM30" i="1" s="1"/>
  <c r="AN30" i="1" s="1"/>
  <c r="G29" i="1"/>
  <c r="AM29" i="1" s="1"/>
  <c r="G28" i="1"/>
  <c r="AM28" i="1" s="1"/>
  <c r="G27" i="1"/>
  <c r="AM27" i="1" s="1"/>
  <c r="G26" i="1"/>
  <c r="AM26" i="1" s="1"/>
  <c r="AN26" i="1" s="1"/>
  <c r="AM25" i="1"/>
  <c r="AM24" i="1"/>
  <c r="AM23" i="1"/>
  <c r="AM22" i="1"/>
  <c r="AM21" i="1"/>
  <c r="AM20" i="1"/>
  <c r="AM19" i="1"/>
  <c r="AN19" i="1" s="1"/>
  <c r="AM18" i="1"/>
  <c r="AN18" i="1" s="1"/>
  <c r="AM17" i="1"/>
  <c r="AM16" i="1"/>
  <c r="AM15" i="1"/>
  <c r="AN15" i="1" s="1"/>
  <c r="AM14" i="1"/>
  <c r="AN14" i="1" s="1"/>
  <c r="AM13" i="1"/>
  <c r="AM12" i="1"/>
  <c r="AM11" i="1"/>
  <c r="AN11" i="1" s="1"/>
  <c r="AM10" i="1"/>
  <c r="AM9" i="1"/>
  <c r="AM8" i="1"/>
  <c r="AM78" i="1"/>
  <c r="AN78" i="1" s="1"/>
  <c r="AM103" i="1"/>
  <c r="AN103" i="1" s="1"/>
  <c r="AG7" i="1"/>
  <c r="AM55" i="1" l="1"/>
  <c r="AN55" i="1" s="1"/>
  <c r="AM72" i="1"/>
  <c r="AN72" i="1" s="1"/>
  <c r="AM79" i="1"/>
  <c r="AN79" i="1" s="1"/>
  <c r="AM87" i="1"/>
  <c r="AN87" i="1" s="1"/>
  <c r="AM63" i="1"/>
  <c r="AN63" i="1" s="1"/>
  <c r="AM71" i="1"/>
  <c r="AN71" i="1" s="1"/>
  <c r="AM95" i="1"/>
  <c r="AN95" i="1" s="1"/>
  <c r="AM97" i="1"/>
  <c r="AN97" i="1" s="1"/>
  <c r="AM90" i="1"/>
  <c r="AN90" i="1" s="1"/>
  <c r="AM89" i="1"/>
  <c r="AN89" i="1" s="1"/>
  <c r="AM73" i="1"/>
  <c r="AN73" i="1" s="1"/>
  <c r="AM105" i="1"/>
  <c r="AN105" i="1" s="1"/>
  <c r="AM81" i="1"/>
  <c r="AN81" i="1" s="1"/>
  <c r="AM82" i="1"/>
  <c r="AN82" i="1" s="1"/>
  <c r="AM31" i="1"/>
  <c r="AN31" i="1" s="1"/>
  <c r="AM39" i="1"/>
  <c r="AN39" i="1" s="1"/>
  <c r="AM47" i="1"/>
  <c r="AN47" i="1" s="1"/>
  <c r="AN27" i="1"/>
  <c r="AC49" i="1"/>
  <c r="AJ49" i="1" s="1"/>
  <c r="AC52" i="1"/>
  <c r="AJ52" i="1" s="1"/>
  <c r="AC60" i="1"/>
  <c r="AJ60" i="1" s="1"/>
  <c r="AC68" i="1"/>
  <c r="AJ68" i="1" s="1"/>
  <c r="AC33" i="1"/>
  <c r="AJ33" i="1" s="1"/>
  <c r="AC76" i="1"/>
  <c r="AJ76" i="1" s="1"/>
  <c r="AC36" i="1"/>
  <c r="AJ36" i="1" s="1"/>
  <c r="AC84" i="1"/>
  <c r="AJ84" i="1" s="1"/>
  <c r="AM65" i="1"/>
  <c r="AN65" i="1" s="1"/>
  <c r="AC41" i="1"/>
  <c r="AJ41" i="1" s="1"/>
  <c r="AC92" i="1"/>
  <c r="AJ92" i="1" s="1"/>
  <c r="AC44" i="1"/>
  <c r="AJ44" i="1" s="1"/>
  <c r="AC100" i="1"/>
  <c r="AJ100" i="1" s="1"/>
  <c r="AN17" i="1"/>
  <c r="AN25" i="1"/>
  <c r="AC22" i="1"/>
  <c r="AJ22" i="1" s="1"/>
  <c r="AC37" i="1"/>
  <c r="AJ37" i="1" s="1"/>
  <c r="AC45" i="1"/>
  <c r="AJ45" i="1" s="1"/>
  <c r="AC53" i="1"/>
  <c r="AJ53" i="1" s="1"/>
  <c r="AC61" i="1"/>
  <c r="AJ61" i="1" s="1"/>
  <c r="AC69" i="1"/>
  <c r="AJ69" i="1" s="1"/>
  <c r="AC77" i="1"/>
  <c r="AJ77" i="1" s="1"/>
  <c r="AC85" i="1"/>
  <c r="AJ85" i="1" s="1"/>
  <c r="AC93" i="1"/>
  <c r="AJ93" i="1" s="1"/>
  <c r="AC101" i="1"/>
  <c r="AJ101" i="1" s="1"/>
  <c r="AM64" i="1"/>
  <c r="AN64" i="1" s="1"/>
  <c r="AM88" i="1"/>
  <c r="AN88" i="1" s="1"/>
  <c r="AC30" i="1"/>
  <c r="AJ30" i="1" s="1"/>
  <c r="AC38" i="1"/>
  <c r="AJ38" i="1" s="1"/>
  <c r="AC46" i="1"/>
  <c r="AJ46" i="1" s="1"/>
  <c r="AC54" i="1"/>
  <c r="AJ54" i="1" s="1"/>
  <c r="AC62" i="1"/>
  <c r="AJ62" i="1" s="1"/>
  <c r="AC70" i="1"/>
  <c r="AJ70" i="1" s="1"/>
  <c r="AC86" i="1"/>
  <c r="AJ86" i="1" s="1"/>
  <c r="AC94" i="1"/>
  <c r="AJ94" i="1" s="1"/>
  <c r="AC102" i="1"/>
  <c r="AJ102" i="1" s="1"/>
  <c r="AM56" i="1"/>
  <c r="AN56" i="1" s="1"/>
  <c r="AN12" i="1"/>
  <c r="AN20" i="1"/>
  <c r="AN28" i="1"/>
  <c r="AC32" i="1"/>
  <c r="AJ32" i="1" s="1"/>
  <c r="AC40" i="1"/>
  <c r="AJ40" i="1" s="1"/>
  <c r="AC48" i="1"/>
  <c r="AJ48" i="1" s="1"/>
  <c r="AC80" i="1"/>
  <c r="AJ80" i="1" s="1"/>
  <c r="AC96" i="1"/>
  <c r="AJ96" i="1" s="1"/>
  <c r="AC104" i="1"/>
  <c r="AJ104" i="1" s="1"/>
  <c r="AC57" i="1"/>
  <c r="AJ57" i="1" s="1"/>
  <c r="AC34" i="1"/>
  <c r="AJ34" i="1" s="1"/>
  <c r="AC42" i="1"/>
  <c r="AJ42" i="1" s="1"/>
  <c r="AC50" i="1"/>
  <c r="AJ50" i="1" s="1"/>
  <c r="AC58" i="1"/>
  <c r="AJ58" i="1" s="1"/>
  <c r="AC66" i="1"/>
  <c r="AJ66" i="1" s="1"/>
  <c r="AC74" i="1"/>
  <c r="AJ74" i="1" s="1"/>
  <c r="AC98" i="1"/>
  <c r="AJ98" i="1" s="1"/>
  <c r="AC106" i="1"/>
  <c r="AJ106" i="1" s="1"/>
  <c r="AC35" i="1"/>
  <c r="AJ35" i="1" s="1"/>
  <c r="AC43" i="1"/>
  <c r="AJ43" i="1" s="1"/>
  <c r="AC51" i="1"/>
  <c r="AJ51" i="1" s="1"/>
  <c r="AC59" i="1"/>
  <c r="AJ59" i="1" s="1"/>
  <c r="AC67" i="1"/>
  <c r="AJ67" i="1" s="1"/>
  <c r="AC75" i="1"/>
  <c r="AJ75" i="1" s="1"/>
  <c r="AC83" i="1"/>
  <c r="AJ83" i="1" s="1"/>
  <c r="AC91" i="1"/>
  <c r="AJ91" i="1" s="1"/>
  <c r="AC99" i="1"/>
  <c r="AJ99" i="1" s="1"/>
  <c r="AC107" i="1"/>
  <c r="AJ107" i="1" s="1"/>
  <c r="AC28" i="1"/>
  <c r="AJ28" i="1" s="1"/>
  <c r="AC12" i="1"/>
  <c r="AJ12" i="1" s="1"/>
  <c r="AC14" i="1"/>
  <c r="AJ14" i="1" s="1"/>
  <c r="AC20" i="1"/>
  <c r="AJ20" i="1" s="1"/>
  <c r="AC13" i="1"/>
  <c r="AJ13" i="1" s="1"/>
  <c r="AC21" i="1"/>
  <c r="AJ21" i="1" s="1"/>
  <c r="AC29" i="1"/>
  <c r="AJ29" i="1" s="1"/>
  <c r="AC15" i="1"/>
  <c r="AJ15" i="1" s="1"/>
  <c r="AC23" i="1"/>
  <c r="AJ23" i="1" s="1"/>
  <c r="AC8" i="1"/>
  <c r="AJ8" i="1" s="1"/>
  <c r="AC16" i="1"/>
  <c r="AJ16" i="1" s="1"/>
  <c r="AC24" i="1"/>
  <c r="AJ24" i="1" s="1"/>
  <c r="AC9" i="1"/>
  <c r="AJ9" i="1" s="1"/>
  <c r="AC17" i="1"/>
  <c r="AJ17" i="1" s="1"/>
  <c r="AC25" i="1"/>
  <c r="AJ25" i="1" s="1"/>
  <c r="AC10" i="1"/>
  <c r="AJ10" i="1" s="1"/>
  <c r="AC18" i="1"/>
  <c r="AJ18" i="1" s="1"/>
  <c r="AC26" i="1"/>
  <c r="AJ26" i="1" s="1"/>
  <c r="AC11" i="1"/>
  <c r="AJ11" i="1" s="1"/>
  <c r="AC19" i="1"/>
  <c r="AJ19" i="1" s="1"/>
  <c r="AC27" i="1"/>
  <c r="AJ27" i="1" s="1"/>
  <c r="AN23" i="1"/>
  <c r="AN22" i="1"/>
  <c r="AN8" i="1"/>
  <c r="AN16" i="1"/>
  <c r="AN24" i="1"/>
  <c r="AN32" i="1"/>
  <c r="AN40" i="1"/>
  <c r="AN41" i="1"/>
  <c r="AN10" i="1"/>
  <c r="AN34" i="1"/>
  <c r="AN42" i="1"/>
  <c r="AN9" i="1"/>
  <c r="AN33" i="1"/>
  <c r="AN57" i="1"/>
  <c r="AN43" i="1"/>
  <c r="AN51" i="1"/>
  <c r="AN59" i="1"/>
  <c r="AN13" i="1"/>
  <c r="AN21" i="1"/>
  <c r="AN29" i="1"/>
  <c r="AN53" i="1"/>
  <c r="AN61" i="1"/>
  <c r="BG107" i="1"/>
  <c r="BH107" i="1" s="1"/>
  <c r="BG106" i="1"/>
  <c r="BH106" i="1" s="1"/>
  <c r="BG105" i="1"/>
  <c r="BH105" i="1" s="1"/>
  <c r="BG104" i="1"/>
  <c r="BH104" i="1" s="1"/>
  <c r="BG103" i="1"/>
  <c r="BH103" i="1" s="1"/>
  <c r="BG102" i="1"/>
  <c r="BH102" i="1" s="1"/>
  <c r="BG101" i="1"/>
  <c r="BH101" i="1" s="1"/>
  <c r="BG100" i="1"/>
  <c r="BH100" i="1" s="1"/>
  <c r="BG99" i="1"/>
  <c r="BH99" i="1" s="1"/>
  <c r="BG98" i="1"/>
  <c r="BH98" i="1" s="1"/>
  <c r="BG97" i="1"/>
  <c r="BH97" i="1" s="1"/>
  <c r="BG96" i="1"/>
  <c r="BH96" i="1" s="1"/>
  <c r="BG95" i="1"/>
  <c r="BH95" i="1" s="1"/>
  <c r="BG94" i="1"/>
  <c r="BH94" i="1" s="1"/>
  <c r="BG93" i="1"/>
  <c r="BH93" i="1" s="1"/>
  <c r="BG92" i="1"/>
  <c r="BH92" i="1" s="1"/>
  <c r="BG91" i="1"/>
  <c r="BH91" i="1" s="1"/>
  <c r="BG90" i="1"/>
  <c r="BH90" i="1" s="1"/>
  <c r="BG89" i="1"/>
  <c r="BH89" i="1" s="1"/>
  <c r="BG88" i="1"/>
  <c r="BH88" i="1" s="1"/>
  <c r="BG87" i="1"/>
  <c r="BH87" i="1" s="1"/>
  <c r="BG86" i="1"/>
  <c r="BH86" i="1" s="1"/>
  <c r="BG85" i="1"/>
  <c r="BH85" i="1" s="1"/>
  <c r="BG84" i="1"/>
  <c r="BH84" i="1" s="1"/>
  <c r="BG83" i="1"/>
  <c r="BH83" i="1" s="1"/>
  <c r="BG82" i="1"/>
  <c r="BH82" i="1" s="1"/>
  <c r="BG81" i="1"/>
  <c r="BH81" i="1" s="1"/>
  <c r="BG80" i="1"/>
  <c r="BH80" i="1" s="1"/>
  <c r="BG79" i="1"/>
  <c r="BH79" i="1" s="1"/>
  <c r="BG78" i="1"/>
  <c r="BH78" i="1" s="1"/>
  <c r="BG77" i="1"/>
  <c r="BH77" i="1" s="1"/>
  <c r="BG76" i="1"/>
  <c r="BH76" i="1" s="1"/>
  <c r="BG75" i="1"/>
  <c r="BH75" i="1" s="1"/>
  <c r="BG74" i="1"/>
  <c r="BH74" i="1" s="1"/>
  <c r="BG73" i="1"/>
  <c r="BH73" i="1" s="1"/>
  <c r="BG72" i="1"/>
  <c r="BH72" i="1" s="1"/>
  <c r="BG71" i="1"/>
  <c r="BH71" i="1" s="1"/>
  <c r="BG70" i="1"/>
  <c r="BH70" i="1" s="1"/>
  <c r="BG69" i="1"/>
  <c r="BH69" i="1" s="1"/>
  <c r="BG68" i="1"/>
  <c r="BH68" i="1" s="1"/>
  <c r="BG67" i="1"/>
  <c r="BH67" i="1" s="1"/>
  <c r="BG66" i="1"/>
  <c r="BH66" i="1" s="1"/>
  <c r="BG65" i="1"/>
  <c r="BH65" i="1" s="1"/>
  <c r="BG64" i="1"/>
  <c r="BH64" i="1" s="1"/>
  <c r="BF107" i="1"/>
  <c r="BE107" i="1"/>
  <c r="BF106" i="1"/>
  <c r="BE106" i="1"/>
  <c r="BF105" i="1"/>
  <c r="BE105" i="1"/>
  <c r="BF104" i="1"/>
  <c r="BE104" i="1"/>
  <c r="BF103" i="1"/>
  <c r="BE103" i="1"/>
  <c r="BF102" i="1"/>
  <c r="BE102" i="1"/>
  <c r="BF101" i="1"/>
  <c r="BE101" i="1"/>
  <c r="BF100" i="1"/>
  <c r="BE100" i="1"/>
  <c r="BF99" i="1"/>
  <c r="BE99" i="1"/>
  <c r="BF98" i="1"/>
  <c r="BE98" i="1"/>
  <c r="BF97" i="1"/>
  <c r="BE97" i="1"/>
  <c r="BF96" i="1"/>
  <c r="BE96" i="1"/>
  <c r="BF95" i="1"/>
  <c r="BE95" i="1"/>
  <c r="BF94" i="1"/>
  <c r="BE94" i="1"/>
  <c r="BF93" i="1"/>
  <c r="BE93" i="1"/>
  <c r="BF92" i="1"/>
  <c r="BE92" i="1"/>
  <c r="BF91" i="1"/>
  <c r="BE91" i="1"/>
  <c r="BF90" i="1"/>
  <c r="BE90" i="1"/>
  <c r="BF89" i="1"/>
  <c r="BE89" i="1"/>
  <c r="BF88" i="1"/>
  <c r="BE88" i="1"/>
  <c r="BF87" i="1"/>
  <c r="BE87" i="1"/>
  <c r="BF86" i="1"/>
  <c r="BE86" i="1"/>
  <c r="BF85" i="1"/>
  <c r="BE85" i="1"/>
  <c r="BF84" i="1"/>
  <c r="BE84" i="1"/>
  <c r="BF83" i="1"/>
  <c r="BE83" i="1"/>
  <c r="BF82" i="1"/>
  <c r="BE82" i="1"/>
  <c r="BF81" i="1"/>
  <c r="BE81" i="1"/>
  <c r="BF80" i="1"/>
  <c r="BE80" i="1"/>
  <c r="BF79" i="1"/>
  <c r="BE79" i="1"/>
  <c r="BF78" i="1"/>
  <c r="BE78" i="1"/>
  <c r="BF77" i="1"/>
  <c r="BE77" i="1"/>
  <c r="BF76" i="1"/>
  <c r="BE76" i="1"/>
  <c r="BF75" i="1"/>
  <c r="BE75" i="1"/>
  <c r="BF74" i="1"/>
  <c r="BE74" i="1"/>
  <c r="BF73" i="1"/>
  <c r="BE73" i="1"/>
  <c r="BF72" i="1"/>
  <c r="BE72" i="1"/>
  <c r="BF71" i="1"/>
  <c r="BE71" i="1"/>
  <c r="BF70" i="1"/>
  <c r="BE70" i="1"/>
  <c r="BF69" i="1"/>
  <c r="BE69" i="1"/>
  <c r="BF68" i="1"/>
  <c r="BE68" i="1"/>
  <c r="BF67" i="1"/>
  <c r="BE67" i="1"/>
  <c r="BF66" i="1"/>
  <c r="BE66" i="1"/>
  <c r="BF65" i="1"/>
  <c r="BE65" i="1"/>
  <c r="BF64" i="1"/>
  <c r="BE64" i="1"/>
  <c r="BF63" i="1"/>
  <c r="BG63" i="1" s="1"/>
  <c r="BH63" i="1" s="1"/>
  <c r="BE63" i="1"/>
  <c r="BF62" i="1"/>
  <c r="BG62" i="1" s="1"/>
  <c r="BH62" i="1" s="1"/>
  <c r="BE62" i="1"/>
  <c r="BF61" i="1"/>
  <c r="BG61" i="1" s="1"/>
  <c r="BH61" i="1" s="1"/>
  <c r="BE61" i="1"/>
  <c r="BF60" i="1"/>
  <c r="BG60" i="1" s="1"/>
  <c r="BH60" i="1" s="1"/>
  <c r="BE60" i="1"/>
  <c r="BF59" i="1"/>
  <c r="BG59" i="1" s="1"/>
  <c r="BH59" i="1" s="1"/>
  <c r="BE59" i="1"/>
  <c r="BF58" i="1"/>
  <c r="BG58" i="1" s="1"/>
  <c r="BH58" i="1" s="1"/>
  <c r="BE58" i="1"/>
  <c r="BF57" i="1"/>
  <c r="BG57" i="1" s="1"/>
  <c r="BH57" i="1" s="1"/>
  <c r="BE57" i="1"/>
  <c r="BF56" i="1"/>
  <c r="BG56" i="1" s="1"/>
  <c r="BH56" i="1" s="1"/>
  <c r="BE56" i="1"/>
  <c r="BF55" i="1"/>
  <c r="BG55" i="1" s="1"/>
  <c r="BH55" i="1" s="1"/>
  <c r="BE55" i="1"/>
  <c r="BF54" i="1"/>
  <c r="BG54" i="1" s="1"/>
  <c r="BH54" i="1" s="1"/>
  <c r="BE54" i="1"/>
  <c r="BF53" i="1"/>
  <c r="BG53" i="1" s="1"/>
  <c r="BH53" i="1" s="1"/>
  <c r="BE53" i="1"/>
  <c r="BF52" i="1"/>
  <c r="BG52" i="1" s="1"/>
  <c r="BH52" i="1" s="1"/>
  <c r="BE52" i="1"/>
  <c r="BF51" i="1"/>
  <c r="BG51" i="1" s="1"/>
  <c r="BH51" i="1" s="1"/>
  <c r="BE51" i="1"/>
  <c r="BF50" i="1"/>
  <c r="BG50" i="1" s="1"/>
  <c r="BH50" i="1" s="1"/>
  <c r="BE50" i="1"/>
  <c r="BF49" i="1"/>
  <c r="BG49" i="1" s="1"/>
  <c r="BH49" i="1" s="1"/>
  <c r="BE49" i="1"/>
  <c r="BF48" i="1"/>
  <c r="BG48" i="1" s="1"/>
  <c r="BH48" i="1" s="1"/>
  <c r="BE48" i="1"/>
  <c r="BF47" i="1"/>
  <c r="BG47" i="1" s="1"/>
  <c r="BH47" i="1" s="1"/>
  <c r="BE47" i="1"/>
  <c r="BF46" i="1"/>
  <c r="BG46" i="1" s="1"/>
  <c r="BH46" i="1" s="1"/>
  <c r="BE46" i="1"/>
  <c r="BF45" i="1"/>
  <c r="BG45" i="1" s="1"/>
  <c r="BH45" i="1" s="1"/>
  <c r="BE45" i="1"/>
  <c r="BF44" i="1"/>
  <c r="BG44" i="1" s="1"/>
  <c r="BH44" i="1" s="1"/>
  <c r="BE44" i="1"/>
  <c r="BF43" i="1"/>
  <c r="BG43" i="1" s="1"/>
  <c r="BH43" i="1" s="1"/>
  <c r="BE43" i="1"/>
  <c r="BF42" i="1"/>
  <c r="BG42" i="1" s="1"/>
  <c r="BH42" i="1" s="1"/>
  <c r="BE42" i="1"/>
  <c r="BF41" i="1"/>
  <c r="BG41" i="1" s="1"/>
  <c r="BH41" i="1" s="1"/>
  <c r="BE41" i="1"/>
  <c r="BF40" i="1"/>
  <c r="BG40" i="1" s="1"/>
  <c r="BH40" i="1" s="1"/>
  <c r="BE40" i="1"/>
  <c r="BF39" i="1"/>
  <c r="BG39" i="1" s="1"/>
  <c r="BH39" i="1" s="1"/>
  <c r="BE39" i="1"/>
  <c r="BF38" i="1"/>
  <c r="BG38" i="1" s="1"/>
  <c r="BH38" i="1" s="1"/>
  <c r="BE38" i="1"/>
  <c r="BF37" i="1"/>
  <c r="BG37" i="1" s="1"/>
  <c r="BH37" i="1" s="1"/>
  <c r="BE37" i="1"/>
  <c r="BF36" i="1"/>
  <c r="BG36" i="1" s="1"/>
  <c r="BH36" i="1" s="1"/>
  <c r="BE36" i="1"/>
  <c r="BF35" i="1"/>
  <c r="BG35" i="1" s="1"/>
  <c r="BH35" i="1" s="1"/>
  <c r="BE35" i="1"/>
  <c r="BF34" i="1"/>
  <c r="BG34" i="1" s="1"/>
  <c r="BH34" i="1" s="1"/>
  <c r="BE34" i="1"/>
  <c r="BF33" i="1"/>
  <c r="BG33" i="1" s="1"/>
  <c r="BH33" i="1" s="1"/>
  <c r="BE33" i="1"/>
  <c r="BF32" i="1"/>
  <c r="BG32" i="1" s="1"/>
  <c r="BH32" i="1" s="1"/>
  <c r="BE32" i="1"/>
  <c r="BF31" i="1"/>
  <c r="BG31" i="1" s="1"/>
  <c r="BH31" i="1" s="1"/>
  <c r="BE31" i="1"/>
  <c r="BF30" i="1"/>
  <c r="BG30" i="1" s="1"/>
  <c r="BH30" i="1" s="1"/>
  <c r="BE30" i="1"/>
  <c r="BF29" i="1"/>
  <c r="BG29" i="1" s="1"/>
  <c r="BH29" i="1" s="1"/>
  <c r="BE29" i="1"/>
  <c r="BF28" i="1"/>
  <c r="BG28" i="1" s="1"/>
  <c r="BH28" i="1" s="1"/>
  <c r="BE28" i="1"/>
  <c r="BF27" i="1"/>
  <c r="BG27" i="1" s="1"/>
  <c r="BH27" i="1" s="1"/>
  <c r="BE27" i="1"/>
  <c r="BF26" i="1"/>
  <c r="BG26" i="1" s="1"/>
  <c r="BH26" i="1" s="1"/>
  <c r="BE26" i="1"/>
  <c r="BF25" i="1"/>
  <c r="BG25" i="1" s="1"/>
  <c r="BH25" i="1" s="1"/>
  <c r="BE25" i="1"/>
  <c r="BF24" i="1"/>
  <c r="BG24" i="1" s="1"/>
  <c r="BH24" i="1" s="1"/>
  <c r="BE24" i="1"/>
  <c r="BF23" i="1"/>
  <c r="BG23" i="1" s="1"/>
  <c r="BH23" i="1" s="1"/>
  <c r="BE23" i="1"/>
  <c r="BF22" i="1"/>
  <c r="BG22" i="1" s="1"/>
  <c r="BH22" i="1" s="1"/>
  <c r="BE22" i="1"/>
  <c r="BF21" i="1"/>
  <c r="BG21" i="1" s="1"/>
  <c r="BH21" i="1" s="1"/>
  <c r="BE21" i="1"/>
  <c r="BF20" i="1"/>
  <c r="BG20" i="1" s="1"/>
  <c r="BH20" i="1" s="1"/>
  <c r="BE20" i="1"/>
  <c r="BF19" i="1"/>
  <c r="BG19" i="1" s="1"/>
  <c r="BH19" i="1" s="1"/>
  <c r="BE19" i="1"/>
  <c r="BF18" i="1"/>
  <c r="BG18" i="1" s="1"/>
  <c r="BH18" i="1" s="1"/>
  <c r="BE18" i="1"/>
  <c r="BF17" i="1"/>
  <c r="BG17" i="1" s="1"/>
  <c r="BH17" i="1" s="1"/>
  <c r="BE17" i="1"/>
  <c r="BF16" i="1"/>
  <c r="BG16" i="1" s="1"/>
  <c r="BH16" i="1" s="1"/>
  <c r="BE16" i="1"/>
  <c r="BF15" i="1"/>
  <c r="BG15" i="1" s="1"/>
  <c r="BH15" i="1" s="1"/>
  <c r="BE15" i="1"/>
  <c r="BF14" i="1"/>
  <c r="BG14" i="1" s="1"/>
  <c r="BH14" i="1" s="1"/>
  <c r="BE14" i="1"/>
  <c r="BF13" i="1"/>
  <c r="BG13" i="1" s="1"/>
  <c r="BH13" i="1" s="1"/>
  <c r="BE13" i="1"/>
  <c r="BF12" i="1"/>
  <c r="BG12" i="1" s="1"/>
  <c r="BH12" i="1" s="1"/>
  <c r="BE12" i="1"/>
  <c r="BF11" i="1"/>
  <c r="BG11" i="1" s="1"/>
  <c r="BH11" i="1" s="1"/>
  <c r="BE11" i="1"/>
  <c r="BF10" i="1"/>
  <c r="BG10" i="1" s="1"/>
  <c r="BH10" i="1" s="1"/>
  <c r="BE10" i="1"/>
  <c r="BF9" i="1"/>
  <c r="BG9" i="1" s="1"/>
  <c r="BH9" i="1" s="1"/>
  <c r="BE9" i="1"/>
  <c r="BE8" i="1"/>
  <c r="BF8" i="1"/>
  <c r="BG8" i="1" s="1"/>
  <c r="BH8" i="1" s="1"/>
  <c r="Z107" i="1"/>
  <c r="Z106" i="1"/>
  <c r="AF106" i="1" s="1"/>
  <c r="Z105" i="1"/>
  <c r="AF105" i="1" s="1"/>
  <c r="Z104" i="1"/>
  <c r="AF104" i="1" s="1"/>
  <c r="Z103" i="1"/>
  <c r="AF103" i="1" s="1"/>
  <c r="Z102" i="1"/>
  <c r="AF102" i="1" s="1"/>
  <c r="Z101" i="1"/>
  <c r="Z100" i="1"/>
  <c r="Z99" i="1"/>
  <c r="Z98" i="1"/>
  <c r="AF98" i="1" s="1"/>
  <c r="Z97" i="1"/>
  <c r="Z96" i="1"/>
  <c r="AF96" i="1" s="1"/>
  <c r="Z95" i="1"/>
  <c r="Z94" i="1"/>
  <c r="Z93" i="1"/>
  <c r="Z92" i="1"/>
  <c r="Z91" i="1"/>
  <c r="Z90" i="1"/>
  <c r="AF90" i="1" s="1"/>
  <c r="Z89" i="1"/>
  <c r="AF89" i="1" s="1"/>
  <c r="Z88" i="1"/>
  <c r="AF88" i="1" s="1"/>
  <c r="Z87" i="1"/>
  <c r="AF87" i="1" s="1"/>
  <c r="Z86" i="1"/>
  <c r="Z85" i="1"/>
  <c r="AF85" i="1" s="1"/>
  <c r="Z84" i="1"/>
  <c r="Z83" i="1"/>
  <c r="Z82" i="1"/>
  <c r="AF82" i="1" s="1"/>
  <c r="Z81" i="1"/>
  <c r="AF81" i="1" s="1"/>
  <c r="Z80" i="1"/>
  <c r="AF80" i="1" s="1"/>
  <c r="Z79" i="1"/>
  <c r="Z78" i="1"/>
  <c r="AF78" i="1" s="1"/>
  <c r="Z77" i="1"/>
  <c r="AF77" i="1" s="1"/>
  <c r="Z76" i="1"/>
  <c r="Z75" i="1"/>
  <c r="AF75" i="1" s="1"/>
  <c r="Z74" i="1"/>
  <c r="AF74" i="1" s="1"/>
  <c r="Z73" i="1"/>
  <c r="Z72" i="1"/>
  <c r="AF72" i="1" s="1"/>
  <c r="Z71" i="1"/>
  <c r="Z70" i="1"/>
  <c r="Z69" i="1"/>
  <c r="AF69" i="1" s="1"/>
  <c r="Z68" i="1"/>
  <c r="AF68" i="1" s="1"/>
  <c r="Z67" i="1"/>
  <c r="Z66" i="1"/>
  <c r="AF66" i="1" s="1"/>
  <c r="Z65" i="1"/>
  <c r="Z64" i="1"/>
  <c r="AF64" i="1" s="1"/>
  <c r="Z63" i="1"/>
  <c r="AF63" i="1" s="1"/>
  <c r="Z62" i="1"/>
  <c r="AF62" i="1" s="1"/>
  <c r="Z61" i="1"/>
  <c r="AF61" i="1" s="1"/>
  <c r="Z60" i="1"/>
  <c r="AF60" i="1" s="1"/>
  <c r="Z59" i="1"/>
  <c r="AF59" i="1" s="1"/>
  <c r="Z58" i="1"/>
  <c r="AF58" i="1" s="1"/>
  <c r="Z57" i="1"/>
  <c r="AF57" i="1" s="1"/>
  <c r="Z56" i="1"/>
  <c r="AF56" i="1" s="1"/>
  <c r="Z55" i="1"/>
  <c r="AF55" i="1" s="1"/>
  <c r="Z54" i="1"/>
  <c r="AF54" i="1" s="1"/>
  <c r="Z53" i="1"/>
  <c r="AF53" i="1" s="1"/>
  <c r="Z52" i="1"/>
  <c r="AF52" i="1" s="1"/>
  <c r="Z51" i="1"/>
  <c r="AF51" i="1" s="1"/>
  <c r="Z50" i="1"/>
  <c r="AF50" i="1" s="1"/>
  <c r="Z49" i="1"/>
  <c r="AF49" i="1" s="1"/>
  <c r="Z48" i="1"/>
  <c r="AF48" i="1" s="1"/>
  <c r="Z47" i="1"/>
  <c r="AF47" i="1" s="1"/>
  <c r="Z46" i="1"/>
  <c r="AF46" i="1" s="1"/>
  <c r="Z45" i="1"/>
  <c r="AF45" i="1" s="1"/>
  <c r="Z44" i="1"/>
  <c r="AF44" i="1" s="1"/>
  <c r="Z43" i="1"/>
  <c r="AF43" i="1" s="1"/>
  <c r="Z42" i="1"/>
  <c r="AF42" i="1" s="1"/>
  <c r="Z41" i="1"/>
  <c r="AF41" i="1" s="1"/>
  <c r="Z40" i="1"/>
  <c r="AF40" i="1" s="1"/>
  <c r="Z39" i="1"/>
  <c r="AF39" i="1" s="1"/>
  <c r="Z38" i="1"/>
  <c r="AF38" i="1" s="1"/>
  <c r="Z37" i="1"/>
  <c r="AF37" i="1" s="1"/>
  <c r="Z36" i="1"/>
  <c r="AF36" i="1" s="1"/>
  <c r="Z35" i="1"/>
  <c r="AF35" i="1" s="1"/>
  <c r="Z34" i="1"/>
  <c r="AF34" i="1" s="1"/>
  <c r="Z33" i="1"/>
  <c r="AF33" i="1" s="1"/>
  <c r="Z32" i="1"/>
  <c r="AF32" i="1" s="1"/>
  <c r="Z31" i="1"/>
  <c r="AF31" i="1" s="1"/>
  <c r="Z30" i="1"/>
  <c r="AF30" i="1" s="1"/>
  <c r="Z29" i="1"/>
  <c r="AF29" i="1" s="1"/>
  <c r="Z28" i="1"/>
  <c r="AF28" i="1" s="1"/>
  <c r="Z27" i="1"/>
  <c r="AF27" i="1" s="1"/>
  <c r="Z26" i="1"/>
  <c r="AF26" i="1" s="1"/>
  <c r="Z25" i="1"/>
  <c r="AF25" i="1" s="1"/>
  <c r="Z24" i="1"/>
  <c r="AF24" i="1" s="1"/>
  <c r="Z23" i="1"/>
  <c r="AF23" i="1" s="1"/>
  <c r="Z22" i="1"/>
  <c r="AF22" i="1" s="1"/>
  <c r="Z21" i="1"/>
  <c r="AF21" i="1" s="1"/>
  <c r="Z20" i="1"/>
  <c r="AF20" i="1" s="1"/>
  <c r="Z19" i="1"/>
  <c r="AF19" i="1" s="1"/>
  <c r="Z18" i="1"/>
  <c r="AF18" i="1" s="1"/>
  <c r="Z17" i="1"/>
  <c r="AF17" i="1" s="1"/>
  <c r="Z16" i="1"/>
  <c r="AF16" i="1" s="1"/>
  <c r="Z15" i="1"/>
  <c r="AF15" i="1" s="1"/>
  <c r="Z14" i="1"/>
  <c r="AF14" i="1" s="1"/>
  <c r="Z13" i="1"/>
  <c r="AF13" i="1" s="1"/>
  <c r="Z12" i="1"/>
  <c r="AF12" i="1" s="1"/>
  <c r="Z11" i="1"/>
  <c r="AF11" i="1" s="1"/>
  <c r="Z10" i="1"/>
  <c r="AF10" i="1" s="1"/>
  <c r="Z9" i="1"/>
  <c r="AF9" i="1" s="1"/>
  <c r="Z8" i="1"/>
  <c r="AF8" i="1" s="1"/>
  <c r="AA107" i="1"/>
  <c r="AH107" i="1" s="1"/>
  <c r="AA106" i="1"/>
  <c r="AH106" i="1" s="1"/>
  <c r="AA105" i="1"/>
  <c r="AH105" i="1" s="1"/>
  <c r="AA104" i="1"/>
  <c r="AH104" i="1" s="1"/>
  <c r="AA103" i="1"/>
  <c r="AH103" i="1" s="1"/>
  <c r="AA102" i="1"/>
  <c r="AH102" i="1" s="1"/>
  <c r="AA101" i="1"/>
  <c r="AH101" i="1" s="1"/>
  <c r="AA100" i="1"/>
  <c r="AH100" i="1" s="1"/>
  <c r="AA99" i="1"/>
  <c r="AH99" i="1" s="1"/>
  <c r="AA98" i="1"/>
  <c r="AH98" i="1" s="1"/>
  <c r="AA97" i="1"/>
  <c r="AH97" i="1" s="1"/>
  <c r="AA96" i="1"/>
  <c r="AH96" i="1" s="1"/>
  <c r="AA95" i="1"/>
  <c r="AH95" i="1" s="1"/>
  <c r="AA94" i="1"/>
  <c r="AH94" i="1" s="1"/>
  <c r="AA93" i="1"/>
  <c r="AH93" i="1" s="1"/>
  <c r="AA92" i="1"/>
  <c r="AH92" i="1" s="1"/>
  <c r="AA91" i="1"/>
  <c r="AH91" i="1" s="1"/>
  <c r="AA90" i="1"/>
  <c r="AH90" i="1" s="1"/>
  <c r="AA89" i="1"/>
  <c r="AH89" i="1" s="1"/>
  <c r="AA88" i="1"/>
  <c r="AH88" i="1" s="1"/>
  <c r="AA87" i="1"/>
  <c r="AH87" i="1" s="1"/>
  <c r="AA86" i="1"/>
  <c r="AH86" i="1" s="1"/>
  <c r="AA85" i="1"/>
  <c r="AH85" i="1" s="1"/>
  <c r="AA84" i="1"/>
  <c r="AH84" i="1" s="1"/>
  <c r="AA83" i="1"/>
  <c r="AH83" i="1" s="1"/>
  <c r="AA82" i="1"/>
  <c r="AH82" i="1" s="1"/>
  <c r="AA81" i="1"/>
  <c r="AH81" i="1" s="1"/>
  <c r="AA80" i="1"/>
  <c r="AH80" i="1" s="1"/>
  <c r="AA79" i="1"/>
  <c r="AH79" i="1" s="1"/>
  <c r="AA78" i="1"/>
  <c r="AH78" i="1" s="1"/>
  <c r="AA77" i="1"/>
  <c r="AH77" i="1" s="1"/>
  <c r="AA76" i="1"/>
  <c r="AH76" i="1" s="1"/>
  <c r="AA75" i="1"/>
  <c r="AH75" i="1" s="1"/>
  <c r="AA74" i="1"/>
  <c r="AH74" i="1" s="1"/>
  <c r="AA73" i="1"/>
  <c r="AH73" i="1" s="1"/>
  <c r="AA72" i="1"/>
  <c r="AH72" i="1" s="1"/>
  <c r="AA71" i="1"/>
  <c r="AH71" i="1" s="1"/>
  <c r="AA70" i="1"/>
  <c r="AH70" i="1" s="1"/>
  <c r="AA69" i="1"/>
  <c r="AH69" i="1" s="1"/>
  <c r="AA68" i="1"/>
  <c r="AH68" i="1" s="1"/>
  <c r="AA67" i="1"/>
  <c r="AH67" i="1" s="1"/>
  <c r="AA66" i="1"/>
  <c r="AH66" i="1" s="1"/>
  <c r="AA65" i="1"/>
  <c r="AH65" i="1" s="1"/>
  <c r="AA64" i="1"/>
  <c r="AH64" i="1" s="1"/>
  <c r="AA63" i="1"/>
  <c r="AA62" i="1"/>
  <c r="AH62" i="1" s="1"/>
  <c r="AA61" i="1"/>
  <c r="AH61" i="1" s="1"/>
  <c r="AA60" i="1"/>
  <c r="AH60" i="1" s="1"/>
  <c r="AA59" i="1"/>
  <c r="AH59" i="1" s="1"/>
  <c r="AA58" i="1"/>
  <c r="AH58" i="1" s="1"/>
  <c r="AA57" i="1"/>
  <c r="AH57" i="1" s="1"/>
  <c r="AA56" i="1"/>
  <c r="AH56" i="1" s="1"/>
  <c r="AA55" i="1"/>
  <c r="AH55" i="1" s="1"/>
  <c r="AA54" i="1"/>
  <c r="AH54" i="1" s="1"/>
  <c r="AA53" i="1"/>
  <c r="AH53" i="1" s="1"/>
  <c r="AA52" i="1"/>
  <c r="AH52" i="1" s="1"/>
  <c r="AA51" i="1"/>
  <c r="AH51" i="1" s="1"/>
  <c r="AA50" i="1"/>
  <c r="AH50" i="1" s="1"/>
  <c r="AA49" i="1"/>
  <c r="AH49" i="1" s="1"/>
  <c r="AA48" i="1"/>
  <c r="AH48" i="1" s="1"/>
  <c r="AA47" i="1"/>
  <c r="AH47" i="1" s="1"/>
  <c r="AA46" i="1"/>
  <c r="AH46" i="1" s="1"/>
  <c r="AA45" i="1"/>
  <c r="AH45" i="1" s="1"/>
  <c r="AA44" i="1"/>
  <c r="AH44" i="1" s="1"/>
  <c r="AA43" i="1"/>
  <c r="AH43" i="1" s="1"/>
  <c r="AA42" i="1"/>
  <c r="AH42" i="1" s="1"/>
  <c r="AA41" i="1"/>
  <c r="AH41" i="1" s="1"/>
  <c r="AA40" i="1"/>
  <c r="AA39" i="1"/>
  <c r="AH39" i="1" s="1"/>
  <c r="AA38" i="1"/>
  <c r="AH38" i="1" s="1"/>
  <c r="AA37" i="1"/>
  <c r="AH37" i="1" s="1"/>
  <c r="AA36" i="1"/>
  <c r="AH36" i="1" s="1"/>
  <c r="AA35" i="1"/>
  <c r="AH35" i="1" s="1"/>
  <c r="AA34" i="1"/>
  <c r="AH34" i="1" s="1"/>
  <c r="AA33" i="1"/>
  <c r="AA32" i="1"/>
  <c r="AA31" i="1"/>
  <c r="AH31" i="1" s="1"/>
  <c r="AA30" i="1"/>
  <c r="AH30" i="1" s="1"/>
  <c r="AA29" i="1"/>
  <c r="AA28" i="1"/>
  <c r="AA27" i="1"/>
  <c r="AH27" i="1" s="1"/>
  <c r="AA26" i="1"/>
  <c r="AH26" i="1" s="1"/>
  <c r="AA25" i="1"/>
  <c r="AH25" i="1" s="1"/>
  <c r="AA24" i="1"/>
  <c r="AH24" i="1" s="1"/>
  <c r="AA23" i="1"/>
  <c r="AH23" i="1" s="1"/>
  <c r="AA22" i="1"/>
  <c r="AA21" i="1"/>
  <c r="AA20" i="1"/>
  <c r="AA19" i="1"/>
  <c r="AH19" i="1" s="1"/>
  <c r="AA18" i="1"/>
  <c r="AA17" i="1"/>
  <c r="AA16" i="1"/>
  <c r="AA15" i="1"/>
  <c r="AA14" i="1"/>
  <c r="AA13" i="1"/>
  <c r="AA12" i="1"/>
  <c r="AA11" i="1"/>
  <c r="AA10" i="1"/>
  <c r="AA9" i="1"/>
  <c r="AA8" i="1"/>
  <c r="AH8" i="1" s="1"/>
  <c r="AD7" i="1"/>
  <c r="AE7" i="1"/>
  <c r="AF7" i="1"/>
  <c r="AH7" i="1"/>
  <c r="AB8" i="1"/>
  <c r="AI8" i="1" s="1"/>
  <c r="AB9" i="1"/>
  <c r="AI9" i="1" s="1"/>
  <c r="AB10" i="1"/>
  <c r="AI10" i="1" s="1"/>
  <c r="AB11" i="1"/>
  <c r="AI11" i="1" s="1"/>
  <c r="AB12" i="1"/>
  <c r="AI12" i="1" s="1"/>
  <c r="AB13" i="1"/>
  <c r="AI13" i="1" s="1"/>
  <c r="AB14" i="1"/>
  <c r="AI14" i="1" s="1"/>
  <c r="AB15" i="1"/>
  <c r="AI15" i="1" s="1"/>
  <c r="AB16" i="1"/>
  <c r="AI16" i="1" s="1"/>
  <c r="AB17" i="1"/>
  <c r="AI17" i="1" s="1"/>
  <c r="AB18" i="1"/>
  <c r="AI18" i="1" s="1"/>
  <c r="AB19" i="1"/>
  <c r="AI19" i="1" s="1"/>
  <c r="AB20" i="1"/>
  <c r="AI20" i="1" s="1"/>
  <c r="AB21" i="1"/>
  <c r="AI21" i="1" s="1"/>
  <c r="AB22" i="1"/>
  <c r="AI22" i="1" s="1"/>
  <c r="AB23" i="1"/>
  <c r="AI23" i="1" s="1"/>
  <c r="AB24" i="1"/>
  <c r="AI24" i="1" s="1"/>
  <c r="AB25" i="1"/>
  <c r="AI25" i="1" s="1"/>
  <c r="AB26" i="1"/>
  <c r="AI26" i="1" s="1"/>
  <c r="AB27" i="1"/>
  <c r="AI27" i="1" s="1"/>
  <c r="AB28" i="1"/>
  <c r="AI28" i="1" s="1"/>
  <c r="AB29" i="1"/>
  <c r="AI29" i="1" s="1"/>
  <c r="AB30" i="1"/>
  <c r="AI30" i="1" s="1"/>
  <c r="AB31" i="1"/>
  <c r="AI31" i="1" s="1"/>
  <c r="AB32" i="1"/>
  <c r="AI32" i="1" s="1"/>
  <c r="AB33" i="1"/>
  <c r="AI33" i="1" s="1"/>
  <c r="AB34" i="1"/>
  <c r="AI34" i="1" s="1"/>
  <c r="AB35" i="1"/>
  <c r="AI35" i="1" s="1"/>
  <c r="AB36" i="1"/>
  <c r="AI36" i="1" s="1"/>
  <c r="AB37" i="1"/>
  <c r="AI37" i="1" s="1"/>
  <c r="AB38" i="1"/>
  <c r="AI38" i="1" s="1"/>
  <c r="AB39" i="1"/>
  <c r="AI39" i="1" s="1"/>
  <c r="AB40" i="1"/>
  <c r="AI40" i="1" s="1"/>
  <c r="AB41" i="1"/>
  <c r="AI41" i="1" s="1"/>
  <c r="AB42" i="1"/>
  <c r="AI42" i="1" s="1"/>
  <c r="AB43" i="1"/>
  <c r="AI43" i="1" s="1"/>
  <c r="AB44" i="1"/>
  <c r="AI44" i="1" s="1"/>
  <c r="AB45" i="1"/>
  <c r="AI45" i="1" s="1"/>
  <c r="AB46" i="1"/>
  <c r="AI46" i="1" s="1"/>
  <c r="AB47" i="1"/>
  <c r="AI47" i="1" s="1"/>
  <c r="AB48" i="1"/>
  <c r="AI48" i="1" s="1"/>
  <c r="AB49" i="1"/>
  <c r="AI49" i="1" s="1"/>
  <c r="AB50" i="1"/>
  <c r="AI50" i="1" s="1"/>
  <c r="AB51" i="1"/>
  <c r="AI51" i="1" s="1"/>
  <c r="AB52" i="1"/>
  <c r="AI52" i="1" s="1"/>
  <c r="AB53" i="1"/>
  <c r="AI53" i="1" s="1"/>
  <c r="AB54" i="1"/>
  <c r="AI54" i="1" s="1"/>
  <c r="AB55" i="1"/>
  <c r="AI55" i="1" s="1"/>
  <c r="AB56" i="1"/>
  <c r="AI56" i="1" s="1"/>
  <c r="AB57" i="1"/>
  <c r="AI57" i="1" s="1"/>
  <c r="AB58" i="1"/>
  <c r="AI58" i="1" s="1"/>
  <c r="AB59" i="1"/>
  <c r="AI59" i="1" s="1"/>
  <c r="AB60" i="1"/>
  <c r="AI60" i="1" s="1"/>
  <c r="AB61" i="1"/>
  <c r="AI61" i="1" s="1"/>
  <c r="AB62" i="1"/>
  <c r="AI62" i="1" s="1"/>
  <c r="AB63" i="1"/>
  <c r="AI63" i="1" s="1"/>
  <c r="AB64" i="1"/>
  <c r="AI64" i="1" s="1"/>
  <c r="AB65" i="1"/>
  <c r="AI65" i="1" s="1"/>
  <c r="AB66" i="1"/>
  <c r="AI66" i="1" s="1"/>
  <c r="AB67" i="1"/>
  <c r="AI67" i="1" s="1"/>
  <c r="AB68" i="1"/>
  <c r="AI68" i="1" s="1"/>
  <c r="AB69" i="1"/>
  <c r="AI69" i="1" s="1"/>
  <c r="AB70" i="1"/>
  <c r="AI70" i="1" s="1"/>
  <c r="AB71" i="1"/>
  <c r="AI71" i="1" s="1"/>
  <c r="AB72" i="1"/>
  <c r="AI72" i="1" s="1"/>
  <c r="AB73" i="1"/>
  <c r="AI73" i="1" s="1"/>
  <c r="AB74" i="1"/>
  <c r="AI74" i="1" s="1"/>
  <c r="AB75" i="1"/>
  <c r="AI75" i="1" s="1"/>
  <c r="AB76" i="1"/>
  <c r="AI76" i="1" s="1"/>
  <c r="AB77" i="1"/>
  <c r="AI77" i="1" s="1"/>
  <c r="AB78" i="1"/>
  <c r="AI78" i="1" s="1"/>
  <c r="AB79" i="1"/>
  <c r="AI79" i="1" s="1"/>
  <c r="AB80" i="1"/>
  <c r="AI80" i="1" s="1"/>
  <c r="AB81" i="1"/>
  <c r="AI81" i="1" s="1"/>
  <c r="AB82" i="1"/>
  <c r="AI82" i="1" s="1"/>
  <c r="AB83" i="1"/>
  <c r="AI83" i="1" s="1"/>
  <c r="AB84" i="1"/>
  <c r="AI84" i="1" s="1"/>
  <c r="AB85" i="1"/>
  <c r="AI85" i="1" s="1"/>
  <c r="AB86" i="1"/>
  <c r="AI86" i="1" s="1"/>
  <c r="AB87" i="1"/>
  <c r="AI87" i="1" s="1"/>
  <c r="AB88" i="1"/>
  <c r="AI88" i="1" s="1"/>
  <c r="AB89" i="1"/>
  <c r="AI89" i="1" s="1"/>
  <c r="AB90" i="1"/>
  <c r="AI90" i="1" s="1"/>
  <c r="AB91" i="1"/>
  <c r="AI91" i="1" s="1"/>
  <c r="AB92" i="1"/>
  <c r="AI92" i="1" s="1"/>
  <c r="AB93" i="1"/>
  <c r="AI93" i="1" s="1"/>
  <c r="AB94" i="1"/>
  <c r="AI94" i="1" s="1"/>
  <c r="AB95" i="1"/>
  <c r="AI95" i="1" s="1"/>
  <c r="AB96" i="1"/>
  <c r="AI96" i="1" s="1"/>
  <c r="AB97" i="1"/>
  <c r="AI97" i="1" s="1"/>
  <c r="AB98" i="1"/>
  <c r="AI98" i="1" s="1"/>
  <c r="AB99" i="1"/>
  <c r="AI99" i="1" s="1"/>
  <c r="AB100" i="1"/>
  <c r="AI100" i="1" s="1"/>
  <c r="AB101" i="1"/>
  <c r="AI101" i="1" s="1"/>
  <c r="AB102" i="1"/>
  <c r="AI102" i="1" s="1"/>
  <c r="AB103" i="1"/>
  <c r="AI103" i="1" s="1"/>
  <c r="AB104" i="1"/>
  <c r="AI104" i="1" s="1"/>
  <c r="AB105" i="1"/>
  <c r="AI105" i="1" s="1"/>
  <c r="AB106" i="1"/>
  <c r="AI106" i="1" s="1"/>
  <c r="AB107" i="1"/>
  <c r="AI107" i="1" s="1"/>
  <c r="B8" i="1" a="1"/>
  <c r="B8" i="1" s="1"/>
  <c r="B38" i="1" s="1"/>
  <c r="AG107" i="1" l="1"/>
  <c r="AF107" i="1"/>
  <c r="AG76" i="1"/>
  <c r="AF76" i="1"/>
  <c r="AG84" i="1"/>
  <c r="AF84" i="1"/>
  <c r="AG92" i="1"/>
  <c r="AF92" i="1"/>
  <c r="AG100" i="1"/>
  <c r="AF100" i="1"/>
  <c r="AG91" i="1"/>
  <c r="AF91" i="1"/>
  <c r="AG93" i="1"/>
  <c r="AF93" i="1"/>
  <c r="AG83" i="1"/>
  <c r="AF83" i="1"/>
  <c r="AG99" i="1"/>
  <c r="AF99" i="1"/>
  <c r="AG101" i="1"/>
  <c r="AF101" i="1"/>
  <c r="AG70" i="1"/>
  <c r="AF70" i="1"/>
  <c r="AG86" i="1"/>
  <c r="AF86" i="1"/>
  <c r="AG94" i="1"/>
  <c r="AF94" i="1"/>
  <c r="AE71" i="1"/>
  <c r="AF71" i="1"/>
  <c r="AG79" i="1"/>
  <c r="AF79" i="1"/>
  <c r="AG95" i="1"/>
  <c r="AF95" i="1"/>
  <c r="AG97" i="1"/>
  <c r="AF97" i="1"/>
  <c r="AG73" i="1"/>
  <c r="AF73" i="1"/>
  <c r="AG65" i="1"/>
  <c r="AF65" i="1"/>
  <c r="AG67" i="1"/>
  <c r="AF67" i="1"/>
  <c r="B28" i="1"/>
  <c r="AG44" i="1"/>
  <c r="AG45" i="1"/>
  <c r="AG61" i="1"/>
  <c r="AG37" i="1"/>
  <c r="AG30" i="1"/>
  <c r="AG38" i="1"/>
  <c r="AG46" i="1"/>
  <c r="AG54" i="1"/>
  <c r="AG62" i="1"/>
  <c r="AG60" i="1"/>
  <c r="AG39" i="1"/>
  <c r="AG47" i="1"/>
  <c r="AG32" i="1"/>
  <c r="AG40" i="1"/>
  <c r="AG52" i="1"/>
  <c r="AG33" i="1"/>
  <c r="AG41" i="1"/>
  <c r="AG57" i="1"/>
  <c r="AG36" i="1"/>
  <c r="AG34" i="1"/>
  <c r="AG35" i="1"/>
  <c r="AG43" i="1"/>
  <c r="AG51" i="1"/>
  <c r="AG17" i="1"/>
  <c r="AG27" i="1"/>
  <c r="AG12" i="1"/>
  <c r="AG20" i="1"/>
  <c r="AG28" i="1"/>
  <c r="AG11" i="1"/>
  <c r="AG13" i="1"/>
  <c r="AG21" i="1"/>
  <c r="AG29" i="1"/>
  <c r="AG9" i="1"/>
  <c r="AG10" i="1"/>
  <c r="AG19" i="1"/>
  <c r="AG14" i="1"/>
  <c r="AG22" i="1"/>
  <c r="AG15" i="1"/>
  <c r="AG23" i="1"/>
  <c r="AG25" i="1"/>
  <c r="AG26" i="1"/>
  <c r="AG8" i="1"/>
  <c r="AG16" i="1"/>
  <c r="AH18" i="1"/>
  <c r="AE79" i="1"/>
  <c r="AH15" i="1"/>
  <c r="AE95" i="1"/>
  <c r="AH17" i="1"/>
  <c r="AG89" i="1"/>
  <c r="AD66" i="1"/>
  <c r="AG66" i="1"/>
  <c r="AD74" i="1"/>
  <c r="AG74" i="1"/>
  <c r="AD82" i="1"/>
  <c r="AG82" i="1"/>
  <c r="AD90" i="1"/>
  <c r="AG90" i="1"/>
  <c r="AD98" i="1"/>
  <c r="AG98" i="1"/>
  <c r="AD106" i="1"/>
  <c r="AG106" i="1"/>
  <c r="AG75" i="1"/>
  <c r="AG81" i="1"/>
  <c r="AE68" i="1"/>
  <c r="AG68" i="1"/>
  <c r="AE77" i="1"/>
  <c r="AG77" i="1"/>
  <c r="AG78" i="1"/>
  <c r="AG102" i="1"/>
  <c r="AE69" i="1"/>
  <c r="AG69" i="1"/>
  <c r="AG71" i="1"/>
  <c r="AG87" i="1"/>
  <c r="AE103" i="1"/>
  <c r="AG103" i="1"/>
  <c r="AG105" i="1"/>
  <c r="AE85" i="1"/>
  <c r="AG85" i="1"/>
  <c r="AG64" i="1"/>
  <c r="AG72" i="1"/>
  <c r="AG80" i="1"/>
  <c r="AG88" i="1"/>
  <c r="AG96" i="1"/>
  <c r="AG104" i="1"/>
  <c r="AG18" i="1"/>
  <c r="AG42" i="1"/>
  <c r="AG50" i="1"/>
  <c r="AG58" i="1"/>
  <c r="AG48" i="1"/>
  <c r="AG49" i="1"/>
  <c r="AD59" i="1"/>
  <c r="AG59" i="1"/>
  <c r="AG24" i="1"/>
  <c r="AG56" i="1"/>
  <c r="AG53" i="1"/>
  <c r="AG31" i="1"/>
  <c r="AG55" i="1"/>
  <c r="AG63" i="1"/>
  <c r="AH28" i="1"/>
  <c r="AH21" i="1"/>
  <c r="AH22" i="1"/>
  <c r="AE87" i="1"/>
  <c r="AH33" i="1"/>
  <c r="AH29" i="1"/>
  <c r="AE63" i="1"/>
  <c r="AH63" i="1"/>
  <c r="AH32" i="1"/>
  <c r="AH40" i="1"/>
  <c r="AE46" i="1"/>
  <c r="AE101" i="1"/>
  <c r="AD81" i="1"/>
  <c r="AD89" i="1"/>
  <c r="AD97" i="1"/>
  <c r="AD105" i="1"/>
  <c r="AE54" i="1"/>
  <c r="AE61" i="1"/>
  <c r="AD43" i="1"/>
  <c r="AD51" i="1"/>
  <c r="AE93" i="1"/>
  <c r="AE76" i="1"/>
  <c r="AE92" i="1"/>
  <c r="AD14" i="1"/>
  <c r="AE22" i="1"/>
  <c r="AE30" i="1"/>
  <c r="AE38" i="1"/>
  <c r="AD8" i="1"/>
  <c r="AE8" i="1"/>
  <c r="AE9" i="1"/>
  <c r="AD10" i="1"/>
  <c r="AD19" i="1"/>
  <c r="AD27" i="1"/>
  <c r="AD35" i="1"/>
  <c r="AH20" i="1"/>
  <c r="AD65" i="1"/>
  <c r="AH16" i="1"/>
  <c r="AD73" i="1"/>
  <c r="AE100" i="1"/>
  <c r="AH11" i="1"/>
  <c r="AE84" i="1"/>
  <c r="BH109" i="1"/>
  <c r="AH14" i="1"/>
  <c r="AD63" i="1"/>
  <c r="AE66" i="1"/>
  <c r="AD71" i="1"/>
  <c r="AE74" i="1"/>
  <c r="AD79" i="1"/>
  <c r="AE82" i="1"/>
  <c r="AD87" i="1"/>
  <c r="AE90" i="1"/>
  <c r="AD95" i="1"/>
  <c r="AE98" i="1"/>
  <c r="AD103" i="1"/>
  <c r="AE106" i="1"/>
  <c r="AD68" i="1"/>
  <c r="AD76" i="1"/>
  <c r="AD84" i="1"/>
  <c r="AD92" i="1"/>
  <c r="AD100" i="1"/>
  <c r="AH9" i="1"/>
  <c r="AD62" i="1"/>
  <c r="AE65" i="1"/>
  <c r="AD70" i="1"/>
  <c r="AE73" i="1"/>
  <c r="AD78" i="1"/>
  <c r="AE81" i="1"/>
  <c r="AD86" i="1"/>
  <c r="AE89" i="1"/>
  <c r="AD94" i="1"/>
  <c r="AE97" i="1"/>
  <c r="AD102" i="1"/>
  <c r="AE105" i="1"/>
  <c r="AH10" i="1"/>
  <c r="AE62" i="1"/>
  <c r="AD67" i="1"/>
  <c r="AE70" i="1"/>
  <c r="AD75" i="1"/>
  <c r="AE78" i="1"/>
  <c r="AD83" i="1"/>
  <c r="AE86" i="1"/>
  <c r="AD91" i="1"/>
  <c r="AE94" i="1"/>
  <c r="AD99" i="1"/>
  <c r="AE102" i="1"/>
  <c r="AD107" i="1"/>
  <c r="AD64" i="1"/>
  <c r="AE67" i="1"/>
  <c r="AD72" i="1"/>
  <c r="AE75" i="1"/>
  <c r="AD80" i="1"/>
  <c r="AE83" i="1"/>
  <c r="AD88" i="1"/>
  <c r="AE91" i="1"/>
  <c r="AD96" i="1"/>
  <c r="AE99" i="1"/>
  <c r="AD104" i="1"/>
  <c r="AE107" i="1"/>
  <c r="AH12" i="1"/>
  <c r="AD61" i="1"/>
  <c r="AE64" i="1"/>
  <c r="AD69" i="1"/>
  <c r="AE72" i="1"/>
  <c r="AD77" i="1"/>
  <c r="AE80" i="1"/>
  <c r="AD85" i="1"/>
  <c r="AE88" i="1"/>
  <c r="AD93" i="1"/>
  <c r="AE96" i="1"/>
  <c r="AD101" i="1"/>
  <c r="AE104" i="1"/>
  <c r="AH13" i="1"/>
  <c r="AD16" i="1"/>
  <c r="AE19" i="1"/>
  <c r="AD24" i="1"/>
  <c r="AE27" i="1"/>
  <c r="AD32" i="1"/>
  <c r="AE35" i="1"/>
  <c r="AD40" i="1"/>
  <c r="AE43" i="1"/>
  <c r="AD48" i="1"/>
  <c r="AE51" i="1"/>
  <c r="AD56" i="1"/>
  <c r="AE59" i="1"/>
  <c r="AE16" i="1"/>
  <c r="AD21" i="1"/>
  <c r="AE24" i="1"/>
  <c r="AD29" i="1"/>
  <c r="AE32" i="1"/>
  <c r="AD37" i="1"/>
  <c r="AE40" i="1"/>
  <c r="AD45" i="1"/>
  <c r="AE48" i="1"/>
  <c r="AD53" i="1"/>
  <c r="AE56" i="1"/>
  <c r="AD18" i="1"/>
  <c r="AE21" i="1"/>
  <c r="AD26" i="1"/>
  <c r="AE29" i="1"/>
  <c r="AD34" i="1"/>
  <c r="AE37" i="1"/>
  <c r="AD42" i="1"/>
  <c r="AE45" i="1"/>
  <c r="AD50" i="1"/>
  <c r="AE53" i="1"/>
  <c r="AD58" i="1"/>
  <c r="AE18" i="1"/>
  <c r="AD23" i="1"/>
  <c r="AE26" i="1"/>
  <c r="AD31" i="1"/>
  <c r="AE34" i="1"/>
  <c r="AD39" i="1"/>
  <c r="AE42" i="1"/>
  <c r="AD47" i="1"/>
  <c r="AE50" i="1"/>
  <c r="AD55" i="1"/>
  <c r="AE58" i="1"/>
  <c r="AD20" i="1"/>
  <c r="AE23" i="1"/>
  <c r="AD28" i="1"/>
  <c r="AE31" i="1"/>
  <c r="AD36" i="1"/>
  <c r="AE39" i="1"/>
  <c r="AD44" i="1"/>
  <c r="AE47" i="1"/>
  <c r="AD52" i="1"/>
  <c r="AE55" i="1"/>
  <c r="AD60" i="1"/>
  <c r="AD17" i="1"/>
  <c r="AE20" i="1"/>
  <c r="AD25" i="1"/>
  <c r="AE28" i="1"/>
  <c r="AD33" i="1"/>
  <c r="AE36" i="1"/>
  <c r="AD41" i="1"/>
  <c r="AE44" i="1"/>
  <c r="AD49" i="1"/>
  <c r="AE52" i="1"/>
  <c r="AD57" i="1"/>
  <c r="AE60" i="1"/>
  <c r="AE17" i="1"/>
  <c r="AD22" i="1"/>
  <c r="AE25" i="1"/>
  <c r="AD30" i="1"/>
  <c r="AE33" i="1"/>
  <c r="AD38" i="1"/>
  <c r="AE41" i="1"/>
  <c r="AD46" i="1"/>
  <c r="AE49" i="1"/>
  <c r="AD54" i="1"/>
  <c r="AE57" i="1"/>
  <c r="AD15" i="1"/>
  <c r="AE15" i="1"/>
  <c r="AE13" i="1"/>
  <c r="AD11" i="1"/>
  <c r="AE14" i="1"/>
  <c r="AE11" i="1"/>
  <c r="AD13" i="1"/>
  <c r="AE10" i="1"/>
  <c r="AD12" i="1"/>
  <c r="AD9" i="1"/>
  <c r="AE12" i="1"/>
  <c r="AK102" i="1" l="1"/>
  <c r="AR102" i="1" s="1"/>
  <c r="AK106" i="1"/>
  <c r="AR106" i="1" s="1"/>
  <c r="AK74" i="1"/>
  <c r="AR74" i="1" s="1"/>
  <c r="AK96" i="1"/>
  <c r="AR96" i="1" s="1"/>
  <c r="AK103" i="1"/>
  <c r="AR103" i="1" s="1"/>
  <c r="AK77" i="1"/>
  <c r="AR77" i="1" s="1"/>
  <c r="AK98" i="1"/>
  <c r="AR98" i="1" s="1"/>
  <c r="AK97" i="1"/>
  <c r="AR97" i="1" s="1"/>
  <c r="AK100" i="1"/>
  <c r="AR100" i="1" s="1"/>
  <c r="AK81" i="1"/>
  <c r="AR81" i="1" s="1"/>
  <c r="AK82" i="1"/>
  <c r="AR82" i="1" s="1"/>
  <c r="AK72" i="1"/>
  <c r="AR72" i="1" s="1"/>
  <c r="AK85" i="1"/>
  <c r="AR85" i="1" s="1"/>
  <c r="AK75" i="1"/>
  <c r="AR75" i="1" s="1"/>
  <c r="AK95" i="1"/>
  <c r="AK86" i="1"/>
  <c r="AR86" i="1" s="1"/>
  <c r="AK83" i="1"/>
  <c r="AR83" i="1" s="1"/>
  <c r="AK92" i="1"/>
  <c r="AR92" i="1" s="1"/>
  <c r="AK104" i="1"/>
  <c r="AR104" i="1" s="1"/>
  <c r="AK105" i="1"/>
  <c r="AK78" i="1"/>
  <c r="AR78" i="1" s="1"/>
  <c r="AK79" i="1"/>
  <c r="AR79" i="1" s="1"/>
  <c r="AK70" i="1"/>
  <c r="AK93" i="1"/>
  <c r="AR93" i="1" s="1"/>
  <c r="AK84" i="1"/>
  <c r="AR84" i="1" s="1"/>
  <c r="AK88" i="1"/>
  <c r="AR88" i="1" s="1"/>
  <c r="AK73" i="1"/>
  <c r="AR73" i="1" s="1"/>
  <c r="AK76" i="1"/>
  <c r="AR76" i="1" s="1"/>
  <c r="AK63" i="1"/>
  <c r="AK101" i="1"/>
  <c r="AR101" i="1" s="1"/>
  <c r="AK91" i="1"/>
  <c r="AK80" i="1"/>
  <c r="AR80" i="1" s="1"/>
  <c r="AK87" i="1"/>
  <c r="AR87" i="1" s="1"/>
  <c r="AK90" i="1"/>
  <c r="AR90" i="1" s="1"/>
  <c r="AK89" i="1"/>
  <c r="AR89" i="1" s="1"/>
  <c r="AK71" i="1"/>
  <c r="AR71" i="1" s="1"/>
  <c r="AK94" i="1"/>
  <c r="AR94" i="1" s="1"/>
  <c r="AK99" i="1"/>
  <c r="AR99" i="1" s="1"/>
  <c r="AK107" i="1"/>
  <c r="AR107" i="1" s="1"/>
  <c r="AK68" i="1"/>
  <c r="AR68" i="1" s="1"/>
  <c r="AK69" i="1"/>
  <c r="AR69" i="1" s="1"/>
  <c r="AK64" i="1"/>
  <c r="AR64" i="1" s="1"/>
  <c r="AK67" i="1"/>
  <c r="AR67" i="1" s="1"/>
  <c r="AK59" i="1"/>
  <c r="AR59" i="1" s="1"/>
  <c r="AK26" i="1"/>
  <c r="AR26" i="1" s="1"/>
  <c r="AK66" i="1"/>
  <c r="AR66" i="1" s="1"/>
  <c r="AK65" i="1"/>
  <c r="AR65" i="1" s="1"/>
  <c r="AK34" i="1"/>
  <c r="AR34" i="1" s="1"/>
  <c r="AK17" i="1"/>
  <c r="AR17" i="1" s="1"/>
  <c r="AK37" i="1"/>
  <c r="AR37" i="1" s="1"/>
  <c r="AK49" i="1"/>
  <c r="AR49" i="1" s="1"/>
  <c r="AK36" i="1"/>
  <c r="AR36" i="1" s="1"/>
  <c r="AK46" i="1"/>
  <c r="AR46" i="1" s="1"/>
  <c r="AK48" i="1"/>
  <c r="AR48" i="1" s="1"/>
  <c r="AK54" i="1"/>
  <c r="AR54" i="1" s="1"/>
  <c r="AK51" i="1"/>
  <c r="AR51" i="1" s="1"/>
  <c r="AK61" i="1"/>
  <c r="AR61" i="1" s="1"/>
  <c r="AK31" i="1"/>
  <c r="AR31" i="1" s="1"/>
  <c r="AK58" i="1"/>
  <c r="AR58" i="1" s="1"/>
  <c r="AK43" i="1"/>
  <c r="AR43" i="1" s="1"/>
  <c r="AK57" i="1"/>
  <c r="AR57" i="1" s="1"/>
  <c r="AK40" i="1"/>
  <c r="AR40" i="1" s="1"/>
  <c r="AK60" i="1"/>
  <c r="AR60" i="1" s="1"/>
  <c r="AK38" i="1"/>
  <c r="AR38" i="1" s="1"/>
  <c r="AK45" i="1"/>
  <c r="AK33" i="1"/>
  <c r="AR33" i="1" s="1"/>
  <c r="AK52" i="1"/>
  <c r="AR52" i="1" s="1"/>
  <c r="AK53" i="1"/>
  <c r="AR53" i="1" s="1"/>
  <c r="AK50" i="1"/>
  <c r="AR50" i="1" s="1"/>
  <c r="AK47" i="1"/>
  <c r="AR47" i="1" s="1"/>
  <c r="AK39" i="1"/>
  <c r="AR39" i="1" s="1"/>
  <c r="AK55" i="1"/>
  <c r="AR55" i="1" s="1"/>
  <c r="AK56" i="1"/>
  <c r="AR56" i="1" s="1"/>
  <c r="AK42" i="1"/>
  <c r="AR42" i="1" s="1"/>
  <c r="AK35" i="1"/>
  <c r="AR35" i="1" s="1"/>
  <c r="AK41" i="1"/>
  <c r="AR41" i="1" s="1"/>
  <c r="AK32" i="1"/>
  <c r="AR32" i="1" s="1"/>
  <c r="AK62" i="1"/>
  <c r="AR62" i="1" s="1"/>
  <c r="AK30" i="1"/>
  <c r="AR30" i="1" s="1"/>
  <c r="AK44" i="1"/>
  <c r="AR44" i="1" s="1"/>
  <c r="AK29" i="1"/>
  <c r="AR29" i="1" s="1"/>
  <c r="AK10" i="1"/>
  <c r="AR10" i="1" s="1"/>
  <c r="AK15" i="1"/>
  <c r="AR15" i="1" s="1"/>
  <c r="AK9" i="1"/>
  <c r="AR9" i="1" s="1"/>
  <c r="AK11" i="1"/>
  <c r="AR11" i="1" s="1"/>
  <c r="AK24" i="1"/>
  <c r="AR24" i="1" s="1"/>
  <c r="AK12" i="1"/>
  <c r="AR12" i="1" s="1"/>
  <c r="AK25" i="1"/>
  <c r="AR25" i="1" s="1"/>
  <c r="AK8" i="1"/>
  <c r="AR8" i="1" s="1"/>
  <c r="AK28" i="1"/>
  <c r="AR28" i="1" s="1"/>
  <c r="AK18" i="1"/>
  <c r="AR18" i="1" s="1"/>
  <c r="AK27" i="1"/>
  <c r="AR27" i="1" s="1"/>
  <c r="AK21" i="1"/>
  <c r="AR21" i="1" s="1"/>
  <c r="AK13" i="1"/>
  <c r="AR13" i="1" s="1"/>
  <c r="AK19" i="1"/>
  <c r="AR19" i="1" s="1"/>
  <c r="AK20" i="1"/>
  <c r="AR20" i="1" s="1"/>
  <c r="AK16" i="1"/>
  <c r="AR16" i="1" s="1"/>
  <c r="AK14" i="1"/>
  <c r="AR14" i="1" s="1"/>
  <c r="AK23" i="1"/>
  <c r="AR23" i="1" s="1"/>
  <c r="AK22" i="1"/>
  <c r="AR22" i="1" s="1"/>
  <c r="AR63" i="1"/>
  <c r="AR70" i="1"/>
  <c r="AR105" i="1"/>
  <c r="AR45" i="1"/>
  <c r="AR91" i="1"/>
  <c r="AR95" i="1"/>
  <c r="BB102" i="1"/>
  <c r="BA102" i="1"/>
  <c r="BB94" i="1"/>
  <c r="BA94" i="1"/>
  <c r="BB86" i="1"/>
  <c r="BA86" i="1"/>
  <c r="BB78" i="1"/>
  <c r="BA78" i="1"/>
  <c r="BB70" i="1"/>
  <c r="BA70" i="1"/>
  <c r="AQ62" i="1"/>
  <c r="AQ54" i="1"/>
  <c r="AQ46" i="1"/>
  <c r="BB84" i="1"/>
  <c r="BA84" i="1"/>
  <c r="AQ60" i="1"/>
  <c r="BA107" i="1"/>
  <c r="BB107" i="1"/>
  <c r="BA99" i="1"/>
  <c r="BB99" i="1"/>
  <c r="BA91" i="1"/>
  <c r="BB91" i="1"/>
  <c r="BA83" i="1"/>
  <c r="BB83" i="1"/>
  <c r="BA75" i="1"/>
  <c r="BB75" i="1"/>
  <c r="AQ59" i="1"/>
  <c r="AQ51" i="1"/>
  <c r="AQ43" i="1"/>
  <c r="BB100" i="1"/>
  <c r="BA100" i="1"/>
  <c r="BB76" i="1"/>
  <c r="BA76" i="1"/>
  <c r="BB90" i="1"/>
  <c r="BA90" i="1"/>
  <c r="BB101" i="1"/>
  <c r="BA101" i="1"/>
  <c r="BB93" i="1"/>
  <c r="BA93" i="1"/>
  <c r="BB85" i="1"/>
  <c r="BA85" i="1"/>
  <c r="BB77" i="1"/>
  <c r="BA77" i="1"/>
  <c r="AQ61" i="1"/>
  <c r="AQ53" i="1"/>
  <c r="BB92" i="1"/>
  <c r="BA92" i="1"/>
  <c r="AQ44" i="1"/>
  <c r="BB106" i="1"/>
  <c r="BA106" i="1"/>
  <c r="BB98" i="1"/>
  <c r="BA98" i="1"/>
  <c r="BB82" i="1"/>
  <c r="BA82" i="1"/>
  <c r="BB74" i="1"/>
  <c r="BA74" i="1"/>
  <c r="AQ50" i="1"/>
  <c r="AQ42" i="1"/>
  <c r="BA105" i="1"/>
  <c r="BB105" i="1"/>
  <c r="BA97" i="1"/>
  <c r="BB97" i="1"/>
  <c r="BA89" i="1"/>
  <c r="BB89" i="1"/>
  <c r="BA81" i="1"/>
  <c r="BB81" i="1"/>
  <c r="BB73" i="1"/>
  <c r="BA73" i="1"/>
  <c r="AQ57" i="1"/>
  <c r="AQ49" i="1"/>
  <c r="AQ41" i="1"/>
  <c r="BB104" i="1"/>
  <c r="BA104" i="1"/>
  <c r="BB96" i="1"/>
  <c r="BA96" i="1"/>
  <c r="BB88" i="1"/>
  <c r="BA88" i="1"/>
  <c r="BB80" i="1"/>
  <c r="BA80" i="1"/>
  <c r="BB72" i="1"/>
  <c r="BA72" i="1"/>
  <c r="BB64" i="1"/>
  <c r="BA64" i="1"/>
  <c r="AQ56" i="1"/>
  <c r="AQ48" i="1"/>
  <c r="BA103" i="1"/>
  <c r="BB103" i="1"/>
  <c r="BA95" i="1"/>
  <c r="BB95" i="1"/>
  <c r="BA87" i="1"/>
  <c r="BB87" i="1"/>
  <c r="BA79" i="1"/>
  <c r="BB79" i="1"/>
  <c r="BA71" i="1"/>
  <c r="BB71" i="1"/>
  <c r="AQ63" i="1"/>
  <c r="AQ55" i="1"/>
  <c r="AQ33" i="1"/>
  <c r="AQ25" i="1"/>
  <c r="AQ17" i="1"/>
  <c r="AQ26" i="1"/>
  <c r="AQ23" i="1"/>
  <c r="AQ38" i="1"/>
  <c r="AQ30" i="1"/>
  <c r="AQ22" i="1"/>
  <c r="AQ18" i="1"/>
  <c r="AQ39" i="1"/>
  <c r="AQ37" i="1"/>
  <c r="AQ29" i="1"/>
  <c r="AQ21" i="1"/>
  <c r="AQ15" i="1"/>
  <c r="AQ36" i="1"/>
  <c r="AQ28" i="1"/>
  <c r="AQ20" i="1"/>
  <c r="AQ40" i="1"/>
  <c r="AQ31" i="1"/>
  <c r="AQ27" i="1"/>
  <c r="AQ19" i="1"/>
  <c r="AQ14" i="1"/>
  <c r="AP13" i="1"/>
  <c r="AQ10" i="1"/>
  <c r="AP9" i="1"/>
  <c r="AQ9" i="1"/>
  <c r="AY101" i="1"/>
  <c r="AY100" i="1"/>
  <c r="AY92" i="1"/>
  <c r="AY84" i="1"/>
  <c r="AY76" i="1"/>
  <c r="AY85" i="1"/>
  <c r="AY107" i="1"/>
  <c r="AY83" i="1"/>
  <c r="AY91" i="1"/>
  <c r="AY75" i="1"/>
  <c r="AY90" i="1"/>
  <c r="AY105" i="1"/>
  <c r="AY97" i="1"/>
  <c r="AY89" i="1"/>
  <c r="AY81" i="1"/>
  <c r="AY73" i="1"/>
  <c r="AY99" i="1"/>
  <c r="AY104" i="1"/>
  <c r="AY96" i="1"/>
  <c r="AY88" i="1"/>
  <c r="AY80" i="1"/>
  <c r="AY72" i="1"/>
  <c r="AY64" i="1"/>
  <c r="AY77" i="1"/>
  <c r="AY106" i="1"/>
  <c r="AY82" i="1"/>
  <c r="AY74" i="1"/>
  <c r="AY103" i="1"/>
  <c r="AY95" i="1"/>
  <c r="AY87" i="1"/>
  <c r="AY79" i="1"/>
  <c r="AY71" i="1"/>
  <c r="AY93" i="1"/>
  <c r="AY98" i="1"/>
  <c r="AY102" i="1"/>
  <c r="AY94" i="1"/>
  <c r="AY86" i="1"/>
  <c r="AY78" i="1"/>
  <c r="AY70" i="1"/>
  <c r="BC100" i="1"/>
  <c r="AZ100" i="1"/>
  <c r="AZ106" i="1"/>
  <c r="BC106" i="1"/>
  <c r="AZ90" i="1"/>
  <c r="BC90" i="1"/>
  <c r="AZ74" i="1"/>
  <c r="BC74" i="1"/>
  <c r="BC105" i="1"/>
  <c r="AZ105" i="1"/>
  <c r="BC89" i="1"/>
  <c r="AZ89" i="1"/>
  <c r="BC73" i="1"/>
  <c r="AZ73" i="1"/>
  <c r="AP17" i="1"/>
  <c r="BC84" i="1"/>
  <c r="AZ84" i="1"/>
  <c r="AQ68" i="1"/>
  <c r="AP20" i="1"/>
  <c r="BC107" i="1"/>
  <c r="AZ107" i="1"/>
  <c r="AP91" i="1"/>
  <c r="BC91" i="1"/>
  <c r="AZ91" i="1"/>
  <c r="BC75" i="1"/>
  <c r="AZ75" i="1"/>
  <c r="AZ98" i="1"/>
  <c r="BC98" i="1"/>
  <c r="AZ82" i="1"/>
  <c r="BC82" i="1"/>
  <c r="BC97" i="1"/>
  <c r="AZ97" i="1"/>
  <c r="BC81" i="1"/>
  <c r="AZ81" i="1"/>
  <c r="BC104" i="1"/>
  <c r="AZ104" i="1"/>
  <c r="AQ96" i="1"/>
  <c r="BC96" i="1"/>
  <c r="AZ96" i="1"/>
  <c r="BC88" i="1"/>
  <c r="AZ88" i="1"/>
  <c r="BC80" i="1"/>
  <c r="AZ80" i="1"/>
  <c r="AQ72" i="1"/>
  <c r="BC72" i="1"/>
  <c r="AZ72" i="1"/>
  <c r="AQ64" i="1"/>
  <c r="BC64" i="1"/>
  <c r="AZ64" i="1"/>
  <c r="AP32" i="1"/>
  <c r="AZ103" i="1"/>
  <c r="BC103" i="1"/>
  <c r="AZ95" i="1"/>
  <c r="BC95" i="1"/>
  <c r="AZ87" i="1"/>
  <c r="BC87" i="1"/>
  <c r="AZ79" i="1"/>
  <c r="BC79" i="1"/>
  <c r="AZ71" i="1"/>
  <c r="BC71" i="1"/>
  <c r="AZ102" i="1"/>
  <c r="BC102" i="1"/>
  <c r="AZ86" i="1"/>
  <c r="BC86" i="1"/>
  <c r="AZ78" i="1"/>
  <c r="BC78" i="1"/>
  <c r="AZ70" i="1"/>
  <c r="BC70" i="1"/>
  <c r="AQ92" i="1"/>
  <c r="BC92" i="1"/>
  <c r="AZ92" i="1"/>
  <c r="BC76" i="1"/>
  <c r="AZ76" i="1"/>
  <c r="BC99" i="1"/>
  <c r="AZ99" i="1"/>
  <c r="BC83" i="1"/>
  <c r="AZ83" i="1"/>
  <c r="AZ94" i="1"/>
  <c r="BC94" i="1"/>
  <c r="AZ101" i="1"/>
  <c r="BC101" i="1"/>
  <c r="AZ93" i="1"/>
  <c r="BC93" i="1"/>
  <c r="AZ85" i="1"/>
  <c r="BC85" i="1"/>
  <c r="AZ77" i="1"/>
  <c r="BC77" i="1"/>
  <c r="AQ76" i="1"/>
  <c r="AP97" i="1"/>
  <c r="AP87" i="1"/>
  <c r="AO81" i="1"/>
  <c r="AS81" i="1" s="1"/>
  <c r="AO97" i="1"/>
  <c r="AS97" i="1" s="1"/>
  <c r="AQ80" i="1"/>
  <c r="AQ97" i="1"/>
  <c r="AQ89" i="1"/>
  <c r="AQ104" i="1"/>
  <c r="AQ85" i="1"/>
  <c r="AQ77" i="1"/>
  <c r="AP107" i="1"/>
  <c r="AP103" i="1"/>
  <c r="AO85" i="1"/>
  <c r="AS85" i="1" s="1"/>
  <c r="AP77" i="1"/>
  <c r="AP85" i="1"/>
  <c r="AP99" i="1"/>
  <c r="AO77" i="1"/>
  <c r="AS77" i="1" s="1"/>
  <c r="AO83" i="1"/>
  <c r="AS83" i="1" s="1"/>
  <c r="AO38" i="1"/>
  <c r="AS38" i="1" s="1"/>
  <c r="AO26" i="1"/>
  <c r="AS26" i="1" s="1"/>
  <c r="AO22" i="1"/>
  <c r="AS22" i="1" s="1"/>
  <c r="AQ101" i="1"/>
  <c r="AP89" i="1"/>
  <c r="AO80" i="1"/>
  <c r="AS80" i="1" s="1"/>
  <c r="AQ73" i="1"/>
  <c r="AQ69" i="1"/>
  <c r="AQ65" i="1"/>
  <c r="AO54" i="1"/>
  <c r="AS54" i="1" s="1"/>
  <c r="AO50" i="1"/>
  <c r="AS50" i="1" s="1"/>
  <c r="AO46" i="1"/>
  <c r="AS46" i="1" s="1"/>
  <c r="AO42" i="1"/>
  <c r="AS42" i="1" s="1"/>
  <c r="AO107" i="1"/>
  <c r="AS107" i="1" s="1"/>
  <c r="AP101" i="1"/>
  <c r="AO92" i="1"/>
  <c r="AS92" i="1" s="1"/>
  <c r="AO89" i="1"/>
  <c r="AS89" i="1" s="1"/>
  <c r="AO87" i="1"/>
  <c r="AS87" i="1" s="1"/>
  <c r="AQ84" i="1"/>
  <c r="AQ81" i="1"/>
  <c r="AP79" i="1"/>
  <c r="AO73" i="1"/>
  <c r="AS73" i="1" s="1"/>
  <c r="AO69" i="1"/>
  <c r="AS69" i="1" s="1"/>
  <c r="AO65" i="1"/>
  <c r="AS65" i="1" s="1"/>
  <c r="AO61" i="1"/>
  <c r="AS61" i="1" s="1"/>
  <c r="AO57" i="1"/>
  <c r="AS57" i="1" s="1"/>
  <c r="AQ45" i="1"/>
  <c r="AO33" i="1"/>
  <c r="AS33" i="1" s="1"/>
  <c r="AO29" i="1"/>
  <c r="AS29" i="1" s="1"/>
  <c r="AO100" i="1"/>
  <c r="AS100" i="1" s="1"/>
  <c r="AO95" i="1"/>
  <c r="AS95" i="1" s="1"/>
  <c r="AO30" i="1"/>
  <c r="AS30" i="1" s="1"/>
  <c r="AO34" i="1"/>
  <c r="AS34" i="1" s="1"/>
  <c r="AO104" i="1"/>
  <c r="AS104" i="1" s="1"/>
  <c r="AO101" i="1"/>
  <c r="AS101" i="1" s="1"/>
  <c r="AO99" i="1"/>
  <c r="AS99" i="1" s="1"/>
  <c r="AQ93" i="1"/>
  <c r="AP81" i="1"/>
  <c r="AO53" i="1"/>
  <c r="AS53" i="1" s="1"/>
  <c r="AO49" i="1"/>
  <c r="AS49" i="1" s="1"/>
  <c r="AO45" i="1"/>
  <c r="AS45" i="1" s="1"/>
  <c r="AO41" i="1"/>
  <c r="AS41" i="1" s="1"/>
  <c r="AO37" i="1"/>
  <c r="AS37" i="1" s="1"/>
  <c r="AO25" i="1"/>
  <c r="AS25" i="1" s="1"/>
  <c r="AO21" i="1"/>
  <c r="AS21" i="1" s="1"/>
  <c r="AP18" i="1"/>
  <c r="AO88" i="1"/>
  <c r="AS88" i="1" s="1"/>
  <c r="AP93" i="1"/>
  <c r="AO84" i="1"/>
  <c r="AS84" i="1" s="1"/>
  <c r="AO79" i="1"/>
  <c r="AS79" i="1" s="1"/>
  <c r="AP105" i="1"/>
  <c r="AO96" i="1"/>
  <c r="AS96" i="1" s="1"/>
  <c r="AO93" i="1"/>
  <c r="AS93" i="1" s="1"/>
  <c r="AQ105" i="1"/>
  <c r="AO91" i="1"/>
  <c r="AS91" i="1" s="1"/>
  <c r="AQ88" i="1"/>
  <c r="AP83" i="1"/>
  <c r="AO105" i="1"/>
  <c r="AS105" i="1" s="1"/>
  <c r="AO103" i="1"/>
  <c r="AS103" i="1" s="1"/>
  <c r="AQ100" i="1"/>
  <c r="AP95" i="1"/>
  <c r="AO76" i="1"/>
  <c r="AS76" i="1" s="1"/>
  <c r="AP56" i="1"/>
  <c r="AQ52" i="1"/>
  <c r="AP28" i="1"/>
  <c r="AP24" i="1"/>
  <c r="AO11" i="1"/>
  <c r="AS11" i="1" s="1"/>
  <c r="AO15" i="1"/>
  <c r="AS15" i="1" s="1"/>
  <c r="AO14" i="1"/>
  <c r="AS14" i="1" s="1"/>
  <c r="AO10" i="1"/>
  <c r="AS10" i="1" s="1"/>
  <c r="AP106" i="1"/>
  <c r="AO70" i="1"/>
  <c r="AS70" i="1" s="1"/>
  <c r="AP70" i="1"/>
  <c r="AQ70" i="1"/>
  <c r="AO78" i="1"/>
  <c r="AS78" i="1" s="1"/>
  <c r="AP78" i="1"/>
  <c r="AQ78" i="1"/>
  <c r="AO62" i="1"/>
  <c r="AS62" i="1" s="1"/>
  <c r="AP62" i="1"/>
  <c r="AO74" i="1"/>
  <c r="AS74" i="1" s="1"/>
  <c r="AP74" i="1"/>
  <c r="AQ74" i="1"/>
  <c r="AO106" i="1"/>
  <c r="AS106" i="1" s="1"/>
  <c r="AQ106" i="1"/>
  <c r="AO102" i="1"/>
  <c r="AS102" i="1" s="1"/>
  <c r="AP102" i="1"/>
  <c r="AQ102" i="1"/>
  <c r="AO98" i="1"/>
  <c r="AS98" i="1" s="1"/>
  <c r="AP98" i="1"/>
  <c r="AQ98" i="1"/>
  <c r="AO94" i="1"/>
  <c r="AS94" i="1" s="1"/>
  <c r="AP94" i="1"/>
  <c r="AQ94" i="1"/>
  <c r="AO90" i="1"/>
  <c r="AS90" i="1" s="1"/>
  <c r="AP90" i="1"/>
  <c r="AQ90" i="1"/>
  <c r="AO86" i="1"/>
  <c r="AS86" i="1" s="1"/>
  <c r="AP86" i="1"/>
  <c r="AQ86" i="1"/>
  <c r="AO82" i="1"/>
  <c r="AS82" i="1" s="1"/>
  <c r="AP82" i="1"/>
  <c r="AQ82" i="1"/>
  <c r="AO66" i="1"/>
  <c r="AS66" i="1" s="1"/>
  <c r="AP66" i="1"/>
  <c r="AQ66" i="1"/>
  <c r="AO58" i="1"/>
  <c r="AS58" i="1" s="1"/>
  <c r="AP58" i="1"/>
  <c r="AQ58" i="1"/>
  <c r="AP73" i="1"/>
  <c r="AP69" i="1"/>
  <c r="AP65" i="1"/>
  <c r="AP61" i="1"/>
  <c r="AP57" i="1"/>
  <c r="AP53" i="1"/>
  <c r="AP49" i="1"/>
  <c r="AP45" i="1"/>
  <c r="AP41" i="1"/>
  <c r="AP37" i="1"/>
  <c r="AP33" i="1"/>
  <c r="AP29" i="1"/>
  <c r="AP25" i="1"/>
  <c r="AP21" i="1"/>
  <c r="AO18" i="1"/>
  <c r="AS18" i="1" s="1"/>
  <c r="AP14" i="1"/>
  <c r="AP10" i="1"/>
  <c r="AP104" i="1"/>
  <c r="AP100" i="1"/>
  <c r="AP96" i="1"/>
  <c r="AP92" i="1"/>
  <c r="AP88" i="1"/>
  <c r="AP84" i="1"/>
  <c r="AP80" i="1"/>
  <c r="AP76" i="1"/>
  <c r="AP72" i="1"/>
  <c r="AP68" i="1"/>
  <c r="AP64" i="1"/>
  <c r="AP60" i="1"/>
  <c r="AP52" i="1"/>
  <c r="AP48" i="1"/>
  <c r="AP44" i="1"/>
  <c r="AP40" i="1"/>
  <c r="AP36" i="1"/>
  <c r="AQ107" i="1"/>
  <c r="AQ103" i="1"/>
  <c r="AQ99" i="1"/>
  <c r="AQ95" i="1"/>
  <c r="AQ91" i="1"/>
  <c r="AQ87" i="1"/>
  <c r="AQ83" i="1"/>
  <c r="AQ79" i="1"/>
  <c r="AQ75" i="1"/>
  <c r="AO72" i="1"/>
  <c r="AS72" i="1" s="1"/>
  <c r="AQ71" i="1"/>
  <c r="AO68" i="1"/>
  <c r="AS68" i="1" s="1"/>
  <c r="AQ67" i="1"/>
  <c r="AO64" i="1"/>
  <c r="AS64" i="1" s="1"/>
  <c r="AO60" i="1"/>
  <c r="AS60" i="1" s="1"/>
  <c r="AO56" i="1"/>
  <c r="AS56" i="1" s="1"/>
  <c r="AO52" i="1"/>
  <c r="AS52" i="1" s="1"/>
  <c r="AO48" i="1"/>
  <c r="AS48" i="1" s="1"/>
  <c r="AQ47" i="1"/>
  <c r="AO44" i="1"/>
  <c r="AS44" i="1" s="1"/>
  <c r="AO40" i="1"/>
  <c r="AS40" i="1" s="1"/>
  <c r="AO36" i="1"/>
  <c r="AS36" i="1" s="1"/>
  <c r="AO32" i="1"/>
  <c r="AS32" i="1" s="1"/>
  <c r="AO28" i="1"/>
  <c r="AS28" i="1" s="1"/>
  <c r="AO24" i="1"/>
  <c r="AS24" i="1" s="1"/>
  <c r="AO20" i="1"/>
  <c r="AS20" i="1" s="1"/>
  <c r="AO17" i="1"/>
  <c r="AS17" i="1" s="1"/>
  <c r="AQ16" i="1"/>
  <c r="AO13" i="1"/>
  <c r="AS13" i="1" s="1"/>
  <c r="AO9" i="1"/>
  <c r="AS9" i="1" s="1"/>
  <c r="AP75" i="1"/>
  <c r="AP71" i="1"/>
  <c r="AP67" i="1"/>
  <c r="AP63" i="1"/>
  <c r="AP59" i="1"/>
  <c r="AP55" i="1"/>
  <c r="AP51" i="1"/>
  <c r="AP47" i="1"/>
  <c r="AP43" i="1"/>
  <c r="AP39" i="1"/>
  <c r="AP35" i="1"/>
  <c r="AP31" i="1"/>
  <c r="AP27" i="1"/>
  <c r="AP23" i="1"/>
  <c r="AP19" i="1"/>
  <c r="AP16" i="1"/>
  <c r="AP12" i="1"/>
  <c r="AP8" i="1"/>
  <c r="AO75" i="1"/>
  <c r="AS75" i="1" s="1"/>
  <c r="AO71" i="1"/>
  <c r="AS71" i="1" s="1"/>
  <c r="AO67" i="1"/>
  <c r="AS67" i="1" s="1"/>
  <c r="AO63" i="1"/>
  <c r="AS63" i="1" s="1"/>
  <c r="AO59" i="1"/>
  <c r="AS59" i="1" s="1"/>
  <c r="AO55" i="1"/>
  <c r="AS55" i="1" s="1"/>
  <c r="AO51" i="1"/>
  <c r="AS51" i="1" s="1"/>
  <c r="AO47" i="1"/>
  <c r="AS47" i="1" s="1"/>
  <c r="AO43" i="1"/>
  <c r="AS43" i="1" s="1"/>
  <c r="AO39" i="1"/>
  <c r="AS39" i="1" s="1"/>
  <c r="AO35" i="1"/>
  <c r="AS35" i="1" s="1"/>
  <c r="AO31" i="1"/>
  <c r="AS31" i="1" s="1"/>
  <c r="AO27" i="1"/>
  <c r="AS27" i="1" s="1"/>
  <c r="AO23" i="1"/>
  <c r="AS23" i="1" s="1"/>
  <c r="AO19" i="1"/>
  <c r="AS19" i="1" s="1"/>
  <c r="AO16" i="1"/>
  <c r="AS16" i="1" s="1"/>
  <c r="AO12" i="1"/>
  <c r="AS12" i="1" s="1"/>
  <c r="AO8" i="1"/>
  <c r="AS8" i="1" s="1"/>
  <c r="AP54" i="1"/>
  <c r="AP50" i="1"/>
  <c r="AP46" i="1"/>
  <c r="AP42" i="1"/>
  <c r="AP38" i="1"/>
  <c r="AP34" i="1"/>
  <c r="AP30" i="1"/>
  <c r="AP26" i="1"/>
  <c r="AP22" i="1"/>
  <c r="AP15" i="1"/>
  <c r="AP11" i="1"/>
  <c r="AT17" i="1" l="1"/>
  <c r="AY17" i="1" s="1"/>
  <c r="AZ17" i="1" s="1"/>
  <c r="BA17" i="1" s="1"/>
  <c r="BB17" i="1" s="1"/>
  <c r="BC17" i="1" s="1"/>
  <c r="AT13" i="1"/>
  <c r="AY13" i="1" s="1"/>
  <c r="AZ13" i="1" s="1"/>
  <c r="BA13" i="1" s="1"/>
  <c r="BB13" i="1" s="1"/>
  <c r="AT9" i="1"/>
  <c r="AY9" i="1" s="1"/>
  <c r="AZ9" i="1" s="1"/>
  <c r="BA9" i="1" s="1"/>
  <c r="BB9" i="1" s="1"/>
  <c r="AT20" i="1"/>
  <c r="AT32" i="1"/>
  <c r="AY32" i="1" s="1"/>
  <c r="AZ32" i="1" s="1"/>
  <c r="AT91" i="1"/>
  <c r="AU91" i="1" s="1"/>
  <c r="AV91" i="1" s="1"/>
  <c r="AW91" i="1" s="1"/>
  <c r="AT97" i="1"/>
  <c r="AT80" i="1"/>
  <c r="AT18" i="1"/>
  <c r="AT81" i="1"/>
  <c r="AU81" i="1" s="1"/>
  <c r="AV81" i="1" s="1"/>
  <c r="AW81" i="1" s="1"/>
  <c r="AT93" i="1"/>
  <c r="AT44" i="1"/>
  <c r="AT103" i="1"/>
  <c r="AT99" i="1"/>
  <c r="AT88" i="1"/>
  <c r="AT92" i="1"/>
  <c r="AU92" i="1" s="1"/>
  <c r="AV92" i="1" s="1"/>
  <c r="AW92" i="1" s="1"/>
  <c r="AT95" i="1"/>
  <c r="AU95" i="1" s="1"/>
  <c r="AV95" i="1" s="1"/>
  <c r="AW95" i="1" s="1"/>
  <c r="AT85" i="1"/>
  <c r="AT100" i="1"/>
  <c r="AU100" i="1" s="1"/>
  <c r="AV100" i="1" s="1"/>
  <c r="AW100" i="1" s="1"/>
  <c r="AT96" i="1"/>
  <c r="AU96" i="1" s="1"/>
  <c r="AV96" i="1" s="1"/>
  <c r="AW96" i="1" s="1"/>
  <c r="AT87" i="1"/>
  <c r="AT105" i="1"/>
  <c r="AU105" i="1" s="1"/>
  <c r="AV105" i="1" s="1"/>
  <c r="AW105" i="1" s="1"/>
  <c r="AT89" i="1"/>
  <c r="AT70" i="1"/>
  <c r="AU70" i="1" s="1"/>
  <c r="AV70" i="1" s="1"/>
  <c r="AW70" i="1" s="1"/>
  <c r="AT43" i="1"/>
  <c r="AY43" i="1" s="1"/>
  <c r="AZ43" i="1" s="1"/>
  <c r="AT107" i="1"/>
  <c r="AT63" i="1"/>
  <c r="AT56" i="1"/>
  <c r="AT53" i="1"/>
  <c r="AY53" i="1" s="1"/>
  <c r="AZ53" i="1" s="1"/>
  <c r="AT77" i="1"/>
  <c r="AU77" i="1" s="1"/>
  <c r="AV77" i="1" s="1"/>
  <c r="AW77" i="1" s="1"/>
  <c r="AT28" i="1"/>
  <c r="AY28" i="1" s="1"/>
  <c r="AZ28" i="1" s="1"/>
  <c r="AT29" i="1"/>
  <c r="AQ13" i="1"/>
  <c r="AT45" i="1"/>
  <c r="AT106" i="1"/>
  <c r="AT65" i="1"/>
  <c r="AT64" i="1"/>
  <c r="AT33" i="1"/>
  <c r="AY33" i="1" s="1"/>
  <c r="AZ33" i="1" s="1"/>
  <c r="AT47" i="1"/>
  <c r="AY47" i="1" s="1"/>
  <c r="AZ47" i="1" s="1"/>
  <c r="AT71" i="1"/>
  <c r="AU71" i="1" s="1"/>
  <c r="AV71" i="1" s="1"/>
  <c r="AW71" i="1" s="1"/>
  <c r="AT31" i="1"/>
  <c r="AY31" i="1" s="1"/>
  <c r="AZ31" i="1" s="1"/>
  <c r="AT75" i="1"/>
  <c r="AQ32" i="1"/>
  <c r="AT61" i="1"/>
  <c r="AT49" i="1"/>
  <c r="AT16" i="1"/>
  <c r="AT35" i="1"/>
  <c r="AY35" i="1" s="1"/>
  <c r="AZ35" i="1" s="1"/>
  <c r="AT51" i="1"/>
  <c r="AT84" i="1"/>
  <c r="AU84" i="1" s="1"/>
  <c r="AV84" i="1" s="1"/>
  <c r="AW84" i="1" s="1"/>
  <c r="AT79" i="1"/>
  <c r="AU79" i="1" s="1"/>
  <c r="AV79" i="1" s="1"/>
  <c r="AW79" i="1" s="1"/>
  <c r="AT101" i="1"/>
  <c r="AQ35" i="1"/>
  <c r="AT76" i="1"/>
  <c r="AU76" i="1" s="1"/>
  <c r="AV76" i="1" s="1"/>
  <c r="AW76" i="1" s="1"/>
  <c r="AT21" i="1"/>
  <c r="AT37" i="1"/>
  <c r="AT55" i="1"/>
  <c r="AY55" i="1" s="1"/>
  <c r="AZ55" i="1" s="1"/>
  <c r="AT40" i="1"/>
  <c r="AT72" i="1"/>
  <c r="AU72" i="1" s="1"/>
  <c r="AV72" i="1" s="1"/>
  <c r="AW72" i="1" s="1"/>
  <c r="AT39" i="1"/>
  <c r="AT36" i="1"/>
  <c r="AY36" i="1" s="1"/>
  <c r="AZ36" i="1" s="1"/>
  <c r="AT83" i="1"/>
  <c r="AT24" i="1"/>
  <c r="AY24" i="1" s="1"/>
  <c r="AZ24" i="1" s="1"/>
  <c r="AT27" i="1"/>
  <c r="AY27" i="1" s="1"/>
  <c r="AZ27" i="1" s="1"/>
  <c r="AT67" i="1"/>
  <c r="AY67" i="1" s="1"/>
  <c r="AZ67" i="1" s="1"/>
  <c r="BA67" i="1" s="1"/>
  <c r="BB67" i="1" s="1"/>
  <c r="BC67" i="1" s="1"/>
  <c r="AT104" i="1"/>
  <c r="AU104" i="1" s="1"/>
  <c r="AV104" i="1" s="1"/>
  <c r="AW104" i="1" s="1"/>
  <c r="AT25" i="1"/>
  <c r="AT41" i="1"/>
  <c r="AQ24" i="1"/>
  <c r="AQ11" i="1"/>
  <c r="AQ12" i="1"/>
  <c r="AT14" i="1"/>
  <c r="AQ8" i="1"/>
  <c r="AT10" i="1"/>
  <c r="AT78" i="1"/>
  <c r="AT90" i="1"/>
  <c r="AT23" i="1"/>
  <c r="AY23" i="1" s="1"/>
  <c r="AZ23" i="1" s="1"/>
  <c r="AT48" i="1"/>
  <c r="AT22" i="1"/>
  <c r="AY22" i="1" s="1"/>
  <c r="AZ22" i="1" s="1"/>
  <c r="AT38" i="1"/>
  <c r="AT54" i="1"/>
  <c r="AT62" i="1"/>
  <c r="AT52" i="1"/>
  <c r="AT66" i="1"/>
  <c r="AY66" i="1" s="1"/>
  <c r="AZ66" i="1" s="1"/>
  <c r="BA66" i="1" s="1"/>
  <c r="BB66" i="1" s="1"/>
  <c r="BC66" i="1" s="1"/>
  <c r="AT98" i="1"/>
  <c r="AT58" i="1"/>
  <c r="AY58" i="1" s="1"/>
  <c r="AZ58" i="1" s="1"/>
  <c r="AT19" i="1"/>
  <c r="AY19" i="1" s="1"/>
  <c r="AZ19" i="1" s="1"/>
  <c r="AT30" i="1"/>
  <c r="AT46" i="1"/>
  <c r="AT102" i="1"/>
  <c r="AU102" i="1" s="1"/>
  <c r="AV102" i="1" s="1"/>
  <c r="AW102" i="1" s="1"/>
  <c r="AT59" i="1"/>
  <c r="AT15" i="1"/>
  <c r="AT60" i="1"/>
  <c r="AT82" i="1"/>
  <c r="AU82" i="1" s="1"/>
  <c r="AV82" i="1" s="1"/>
  <c r="AW82" i="1" s="1"/>
  <c r="AT8" i="1"/>
  <c r="AY8" i="1" s="1"/>
  <c r="AZ8" i="1" s="1"/>
  <c r="BA8" i="1" s="1"/>
  <c r="BB8" i="1" s="1"/>
  <c r="AT26" i="1"/>
  <c r="AY26" i="1" s="1"/>
  <c r="AZ26" i="1" s="1"/>
  <c r="AT42" i="1"/>
  <c r="AY42" i="1" s="1"/>
  <c r="AZ42" i="1" s="1"/>
  <c r="AT68" i="1"/>
  <c r="AY68" i="1" s="1"/>
  <c r="AZ68" i="1" s="1"/>
  <c r="BA68" i="1" s="1"/>
  <c r="BB68" i="1" s="1"/>
  <c r="BC68" i="1" s="1"/>
  <c r="AT11" i="1"/>
  <c r="AY11" i="1" s="1"/>
  <c r="AZ11" i="1" s="1"/>
  <c r="AT69" i="1"/>
  <c r="AY69" i="1" s="1"/>
  <c r="AZ69" i="1" s="1"/>
  <c r="BA69" i="1" s="1"/>
  <c r="BB69" i="1" s="1"/>
  <c r="BC69" i="1" s="1"/>
  <c r="AT57" i="1"/>
  <c r="AY57" i="1" s="1"/>
  <c r="AZ57" i="1" s="1"/>
  <c r="AT12" i="1"/>
  <c r="AY12" i="1" s="1"/>
  <c r="AZ12" i="1" s="1"/>
  <c r="AT34" i="1"/>
  <c r="AY34" i="1" s="1"/>
  <c r="AZ34" i="1" s="1"/>
  <c r="AT50" i="1"/>
  <c r="AY50" i="1" s="1"/>
  <c r="AZ50" i="1" s="1"/>
  <c r="AT74" i="1"/>
  <c r="AT94" i="1"/>
  <c r="AT73" i="1"/>
  <c r="AQ34" i="1"/>
  <c r="AT86" i="1"/>
  <c r="AU65" i="1" l="1"/>
  <c r="AV65" i="1" s="1"/>
  <c r="AW65" i="1" s="1"/>
  <c r="AY65" i="1"/>
  <c r="AZ65" i="1" s="1"/>
  <c r="BA65" i="1" s="1"/>
  <c r="BB65" i="1" s="1"/>
  <c r="BC65" i="1" s="1"/>
  <c r="AU13" i="1"/>
  <c r="AV13" i="1" s="1"/>
  <c r="AW13" i="1" s="1"/>
  <c r="BA50" i="1"/>
  <c r="BB50" i="1" s="1"/>
  <c r="BC50" i="1" s="1"/>
  <c r="BA58" i="1"/>
  <c r="BB58" i="1" s="1"/>
  <c r="BC58" i="1" s="1"/>
  <c r="BA47" i="1"/>
  <c r="BB47" i="1" s="1"/>
  <c r="BC47" i="1" s="1"/>
  <c r="BA57" i="1"/>
  <c r="BB57" i="1" s="1"/>
  <c r="BC57" i="1" s="1"/>
  <c r="AU61" i="1"/>
  <c r="AV61" i="1" s="1"/>
  <c r="AW61" i="1" s="1"/>
  <c r="AY61" i="1"/>
  <c r="AZ61" i="1" s="1"/>
  <c r="BA61" i="1" s="1"/>
  <c r="BB61" i="1" s="1"/>
  <c r="BC61" i="1" s="1"/>
  <c r="BA53" i="1"/>
  <c r="BB53" i="1" s="1"/>
  <c r="BC53" i="1" s="1"/>
  <c r="AU63" i="1"/>
  <c r="AV63" i="1" s="1"/>
  <c r="AW63" i="1" s="1"/>
  <c r="AY63" i="1"/>
  <c r="AZ63" i="1" s="1"/>
  <c r="BA63" i="1" s="1"/>
  <c r="BB63" i="1" s="1"/>
  <c r="BC63" i="1" s="1"/>
  <c r="BA43" i="1"/>
  <c r="BB43" i="1" s="1"/>
  <c r="BC43" i="1" s="1"/>
  <c r="AU62" i="1"/>
  <c r="AV62" i="1" s="1"/>
  <c r="AW62" i="1" s="1"/>
  <c r="AY62" i="1"/>
  <c r="AZ62" i="1" s="1"/>
  <c r="BA62" i="1" s="1"/>
  <c r="BB62" i="1" s="1"/>
  <c r="BC62" i="1" s="1"/>
  <c r="BA42" i="1"/>
  <c r="BB42" i="1" s="1"/>
  <c r="BC42" i="1" s="1"/>
  <c r="BA55" i="1"/>
  <c r="BB55" i="1" s="1"/>
  <c r="BC55" i="1" s="1"/>
  <c r="AU17" i="1"/>
  <c r="AV17" i="1" s="1"/>
  <c r="AW17" i="1" s="1"/>
  <c r="BA22" i="1"/>
  <c r="BB22" i="1" s="1"/>
  <c r="BC22" i="1" s="1"/>
  <c r="BA35" i="1"/>
  <c r="BB35" i="1" s="1"/>
  <c r="BC35" i="1" s="1"/>
  <c r="BA19" i="1"/>
  <c r="BB19" i="1" s="1"/>
  <c r="BC19" i="1" s="1"/>
  <c r="BA24" i="1"/>
  <c r="BB24" i="1" s="1"/>
  <c r="BC24" i="1" s="1"/>
  <c r="BA33" i="1"/>
  <c r="BB33" i="1" s="1"/>
  <c r="BC33" i="1" s="1"/>
  <c r="BA27" i="1"/>
  <c r="BB27" i="1" s="1"/>
  <c r="BC27" i="1" s="1"/>
  <c r="BA23" i="1"/>
  <c r="BB23" i="1" s="1"/>
  <c r="BC23" i="1" s="1"/>
  <c r="BA11" i="1"/>
  <c r="BB11" i="1" s="1"/>
  <c r="BC11" i="1" s="1"/>
  <c r="BA28" i="1"/>
  <c r="BB28" i="1" s="1"/>
  <c r="BC28" i="1" s="1"/>
  <c r="BA36" i="1"/>
  <c r="BB36" i="1" s="1"/>
  <c r="BC36" i="1" s="1"/>
  <c r="BA34" i="1"/>
  <c r="BB34" i="1" s="1"/>
  <c r="BC34" i="1" s="1"/>
  <c r="BA31" i="1"/>
  <c r="BB31" i="1" s="1"/>
  <c r="BC31" i="1" s="1"/>
  <c r="BA32" i="1"/>
  <c r="BB32" i="1" s="1"/>
  <c r="BC32" i="1" s="1"/>
  <c r="BA26" i="1"/>
  <c r="BB26" i="1" s="1"/>
  <c r="BC26" i="1" s="1"/>
  <c r="BA12" i="1"/>
  <c r="BB12" i="1" s="1"/>
  <c r="BC12" i="1" s="1"/>
  <c r="BC8" i="1"/>
  <c r="AU9" i="1"/>
  <c r="AV9" i="1" s="1"/>
  <c r="AW9" i="1" s="1"/>
  <c r="AU32" i="1"/>
  <c r="AV32" i="1" s="1"/>
  <c r="AW32" i="1" s="1"/>
  <c r="AU29" i="1"/>
  <c r="AV29" i="1" s="1"/>
  <c r="AW29" i="1" s="1"/>
  <c r="AY29" i="1"/>
  <c r="AZ29" i="1" s="1"/>
  <c r="AU30" i="1"/>
  <c r="AV30" i="1" s="1"/>
  <c r="AW30" i="1" s="1"/>
  <c r="AY30" i="1"/>
  <c r="AZ30" i="1" s="1"/>
  <c r="AU56" i="1"/>
  <c r="AV56" i="1" s="1"/>
  <c r="AW56" i="1" s="1"/>
  <c r="AY56" i="1"/>
  <c r="AZ56" i="1" s="1"/>
  <c r="AU48" i="1"/>
  <c r="AV48" i="1" s="1"/>
  <c r="AW48" i="1" s="1"/>
  <c r="AY48" i="1"/>
  <c r="AZ48" i="1" s="1"/>
  <c r="AU25" i="1"/>
  <c r="AV25" i="1" s="1"/>
  <c r="AW25" i="1" s="1"/>
  <c r="AY25" i="1"/>
  <c r="AZ25" i="1" s="1"/>
  <c r="AU45" i="1"/>
  <c r="AV45" i="1" s="1"/>
  <c r="AW45" i="1" s="1"/>
  <c r="AY45" i="1"/>
  <c r="AZ45" i="1" s="1"/>
  <c r="AU20" i="1"/>
  <c r="AV20" i="1" s="1"/>
  <c r="AW20" i="1" s="1"/>
  <c r="AY20" i="1"/>
  <c r="AZ20" i="1" s="1"/>
  <c r="AU46" i="1"/>
  <c r="AV46" i="1" s="1"/>
  <c r="AW46" i="1" s="1"/>
  <c r="AY46" i="1"/>
  <c r="AZ46" i="1" s="1"/>
  <c r="AU18" i="1"/>
  <c r="AV18" i="1" s="1"/>
  <c r="AW18" i="1" s="1"/>
  <c r="AY18" i="1"/>
  <c r="AZ18" i="1" s="1"/>
  <c r="AU54" i="1"/>
  <c r="AV54" i="1" s="1"/>
  <c r="AW54" i="1" s="1"/>
  <c r="AY54" i="1"/>
  <c r="AZ54" i="1" s="1"/>
  <c r="AU51" i="1"/>
  <c r="AV51" i="1" s="1"/>
  <c r="AW51" i="1" s="1"/>
  <c r="AY51" i="1"/>
  <c r="AZ51" i="1" s="1"/>
  <c r="AU49" i="1"/>
  <c r="AV49" i="1" s="1"/>
  <c r="AW49" i="1" s="1"/>
  <c r="AY49" i="1"/>
  <c r="AZ49" i="1" s="1"/>
  <c r="AU37" i="1"/>
  <c r="AV37" i="1" s="1"/>
  <c r="AW37" i="1" s="1"/>
  <c r="AY37" i="1"/>
  <c r="AZ37" i="1" s="1"/>
  <c r="AU21" i="1"/>
  <c r="AV21" i="1" s="1"/>
  <c r="AW21" i="1" s="1"/>
  <c r="AY21" i="1"/>
  <c r="AZ21" i="1" s="1"/>
  <c r="AU44" i="1"/>
  <c r="AV44" i="1" s="1"/>
  <c r="AW44" i="1" s="1"/>
  <c r="AY44" i="1"/>
  <c r="AZ44" i="1" s="1"/>
  <c r="AU40" i="1"/>
  <c r="AV40" i="1" s="1"/>
  <c r="AW40" i="1" s="1"/>
  <c r="AY40" i="1"/>
  <c r="AZ40" i="1" s="1"/>
  <c r="AU16" i="1"/>
  <c r="AV16" i="1" s="1"/>
  <c r="AW16" i="1" s="1"/>
  <c r="AY16" i="1"/>
  <c r="AZ16" i="1" s="1"/>
  <c r="AU60" i="1"/>
  <c r="AV60" i="1" s="1"/>
  <c r="AW60" i="1" s="1"/>
  <c r="AY60" i="1"/>
  <c r="AZ60" i="1" s="1"/>
  <c r="AU41" i="1"/>
  <c r="AV41" i="1" s="1"/>
  <c r="AW41" i="1" s="1"/>
  <c r="AY41" i="1"/>
  <c r="AZ41" i="1" s="1"/>
  <c r="AU39" i="1"/>
  <c r="AV39" i="1" s="1"/>
  <c r="AW39" i="1" s="1"/>
  <c r="AY39" i="1"/>
  <c r="AZ39" i="1" s="1"/>
  <c r="AU38" i="1"/>
  <c r="AV38" i="1" s="1"/>
  <c r="AW38" i="1" s="1"/>
  <c r="AY38" i="1"/>
  <c r="AZ38" i="1" s="1"/>
  <c r="AU59" i="1"/>
  <c r="AV59" i="1" s="1"/>
  <c r="AW59" i="1" s="1"/>
  <c r="AY59" i="1"/>
  <c r="AZ59" i="1" s="1"/>
  <c r="AU52" i="1"/>
  <c r="AV52" i="1" s="1"/>
  <c r="AW52" i="1" s="1"/>
  <c r="AY52" i="1"/>
  <c r="AZ52" i="1" s="1"/>
  <c r="AU15" i="1"/>
  <c r="AV15" i="1" s="1"/>
  <c r="AW15" i="1" s="1"/>
  <c r="AY15" i="1"/>
  <c r="AZ15" i="1" s="1"/>
  <c r="AU10" i="1"/>
  <c r="AV10" i="1" s="1"/>
  <c r="AW10" i="1" s="1"/>
  <c r="AY10" i="1"/>
  <c r="AZ10" i="1" s="1"/>
  <c r="AU14" i="1"/>
  <c r="AV14" i="1" s="1"/>
  <c r="AW14" i="1" s="1"/>
  <c r="AY14" i="1"/>
  <c r="AZ14" i="1" s="1"/>
  <c r="BC13" i="1"/>
  <c r="BC9" i="1"/>
  <c r="AU97" i="1"/>
  <c r="AV97" i="1" s="1"/>
  <c r="AW97" i="1" s="1"/>
  <c r="AU103" i="1"/>
  <c r="AV103" i="1" s="1"/>
  <c r="AW103" i="1" s="1"/>
  <c r="AU99" i="1"/>
  <c r="AV99" i="1" s="1"/>
  <c r="AW99" i="1" s="1"/>
  <c r="AU80" i="1"/>
  <c r="AV80" i="1" s="1"/>
  <c r="AW80" i="1" s="1"/>
  <c r="AU53" i="1"/>
  <c r="AV53" i="1" s="1"/>
  <c r="AW53" i="1" s="1"/>
  <c r="AU88" i="1"/>
  <c r="AV88" i="1" s="1"/>
  <c r="AW88" i="1" s="1"/>
  <c r="AU98" i="1"/>
  <c r="AV98" i="1" s="1"/>
  <c r="AW98" i="1" s="1"/>
  <c r="AU93" i="1"/>
  <c r="AV93" i="1" s="1"/>
  <c r="AW93" i="1" s="1"/>
  <c r="AU47" i="1"/>
  <c r="AV47" i="1" s="1"/>
  <c r="AW47" i="1" s="1"/>
  <c r="AU31" i="1"/>
  <c r="AV31" i="1" s="1"/>
  <c r="AW31" i="1" s="1"/>
  <c r="AU35" i="1"/>
  <c r="AV35" i="1" s="1"/>
  <c r="AW35" i="1" s="1"/>
  <c r="AU90" i="1"/>
  <c r="AV90" i="1" s="1"/>
  <c r="AW90" i="1" s="1"/>
  <c r="AU43" i="1"/>
  <c r="AV43" i="1" s="1"/>
  <c r="AW43" i="1" s="1"/>
  <c r="AU87" i="1"/>
  <c r="AV87" i="1" s="1"/>
  <c r="AW87" i="1" s="1"/>
  <c r="AU107" i="1"/>
  <c r="AV107" i="1" s="1"/>
  <c r="AW107" i="1" s="1"/>
  <c r="AU78" i="1"/>
  <c r="AV78" i="1" s="1"/>
  <c r="AW78" i="1" s="1"/>
  <c r="AU24" i="1"/>
  <c r="AV24" i="1" s="1"/>
  <c r="AW24" i="1" s="1"/>
  <c r="AU66" i="1"/>
  <c r="AV66" i="1" s="1"/>
  <c r="AW66" i="1" s="1"/>
  <c r="AU28" i="1"/>
  <c r="AV28" i="1" s="1"/>
  <c r="AW28" i="1" s="1"/>
  <c r="AU85" i="1"/>
  <c r="AV85" i="1" s="1"/>
  <c r="AW85" i="1" s="1"/>
  <c r="AU89" i="1"/>
  <c r="AV89" i="1" s="1"/>
  <c r="AW89" i="1" s="1"/>
  <c r="AU64" i="1"/>
  <c r="AV64" i="1" s="1"/>
  <c r="AW64" i="1" s="1"/>
  <c r="AU33" i="1"/>
  <c r="AV33" i="1" s="1"/>
  <c r="AW33" i="1" s="1"/>
  <c r="AU67" i="1"/>
  <c r="AV67" i="1" s="1"/>
  <c r="AW67" i="1" s="1"/>
  <c r="AU106" i="1"/>
  <c r="AV106" i="1" s="1"/>
  <c r="AW106" i="1" s="1"/>
  <c r="AU75" i="1"/>
  <c r="AV75" i="1" s="1"/>
  <c r="AW75" i="1" s="1"/>
  <c r="AU27" i="1"/>
  <c r="AV27" i="1" s="1"/>
  <c r="AW27" i="1" s="1"/>
  <c r="AU36" i="1"/>
  <c r="AV36" i="1" s="1"/>
  <c r="AW36" i="1" s="1"/>
  <c r="AU23" i="1"/>
  <c r="AV23" i="1" s="1"/>
  <c r="AW23" i="1" s="1"/>
  <c r="AU55" i="1"/>
  <c r="AV55" i="1" s="1"/>
  <c r="AW55" i="1" s="1"/>
  <c r="AU83" i="1"/>
  <c r="AV83" i="1" s="1"/>
  <c r="AW83" i="1" s="1"/>
  <c r="AU101" i="1"/>
  <c r="AV101" i="1" s="1"/>
  <c r="AW101" i="1" s="1"/>
  <c r="AU8" i="1"/>
  <c r="AV8" i="1" s="1"/>
  <c r="AW8" i="1" s="1"/>
  <c r="AU22" i="1"/>
  <c r="AV22" i="1" s="1"/>
  <c r="AW22" i="1" s="1"/>
  <c r="AU19" i="1"/>
  <c r="AV19" i="1" s="1"/>
  <c r="AW19" i="1" s="1"/>
  <c r="AU58" i="1"/>
  <c r="AV58" i="1" s="1"/>
  <c r="AW58" i="1" s="1"/>
  <c r="AU11" i="1"/>
  <c r="AV11" i="1" s="1"/>
  <c r="AW11" i="1" s="1"/>
  <c r="AU12" i="1"/>
  <c r="AV12" i="1" s="1"/>
  <c r="AW12" i="1" s="1"/>
  <c r="AU69" i="1"/>
  <c r="AV69" i="1" s="1"/>
  <c r="AW69" i="1" s="1"/>
  <c r="AU73" i="1"/>
  <c r="AV73" i="1" s="1"/>
  <c r="AW73" i="1" s="1"/>
  <c r="AU74" i="1"/>
  <c r="AV74" i="1" s="1"/>
  <c r="AW74" i="1" s="1"/>
  <c r="AU57" i="1"/>
  <c r="AV57" i="1" s="1"/>
  <c r="AW57" i="1" s="1"/>
  <c r="AU94" i="1"/>
  <c r="AV94" i="1" s="1"/>
  <c r="AW94" i="1" s="1"/>
  <c r="AU50" i="1"/>
  <c r="AV50" i="1" s="1"/>
  <c r="AW50" i="1" s="1"/>
  <c r="AU68" i="1"/>
  <c r="AV68" i="1" s="1"/>
  <c r="AW68" i="1" s="1"/>
  <c r="AU86" i="1"/>
  <c r="AV86" i="1" s="1"/>
  <c r="AW86" i="1" s="1"/>
  <c r="AU34" i="1"/>
  <c r="AV34" i="1" s="1"/>
  <c r="AW34" i="1" s="1"/>
  <c r="AU42" i="1"/>
  <c r="AV42" i="1" s="1"/>
  <c r="AW42" i="1" s="1"/>
  <c r="AU26" i="1"/>
  <c r="AV26" i="1" s="1"/>
  <c r="AW26" i="1" s="1"/>
  <c r="BA18" i="1" l="1"/>
  <c r="BB18" i="1" s="1"/>
  <c r="BC18" i="1" s="1"/>
  <c r="BC49" i="1"/>
  <c r="BA49" i="1"/>
  <c r="BB49" i="1" s="1"/>
  <c r="BA48" i="1"/>
  <c r="BB48" i="1" s="1"/>
  <c r="BC48" i="1" s="1"/>
  <c r="BA45" i="1"/>
  <c r="BB45" i="1" s="1"/>
  <c r="BC45" i="1" s="1"/>
  <c r="BA44" i="1"/>
  <c r="BB44" i="1" s="1"/>
  <c r="BC44" i="1" s="1"/>
  <c r="BA52" i="1"/>
  <c r="BB52" i="1" s="1"/>
  <c r="BC52" i="1" s="1"/>
  <c r="BA59" i="1"/>
  <c r="BB59" i="1" s="1"/>
  <c r="BC59" i="1" s="1"/>
  <c r="BA60" i="1"/>
  <c r="BB60" i="1" s="1"/>
  <c r="BC60" i="1" s="1"/>
  <c r="BA54" i="1"/>
  <c r="BB54" i="1" s="1"/>
  <c r="BC54" i="1" s="1"/>
  <c r="BA39" i="1"/>
  <c r="BB39" i="1" s="1"/>
  <c r="BC39" i="1" s="1"/>
  <c r="BA46" i="1"/>
  <c r="BB46" i="1" s="1"/>
  <c r="BC46" i="1" s="1"/>
  <c r="BA41" i="1"/>
  <c r="BB41" i="1" s="1"/>
  <c r="BC41" i="1" s="1"/>
  <c r="BA51" i="1"/>
  <c r="BB51" i="1" s="1"/>
  <c r="BC51" i="1" s="1"/>
  <c r="BA56" i="1"/>
  <c r="BB56" i="1" s="1"/>
  <c r="BC56" i="1" s="1"/>
  <c r="BA14" i="1"/>
  <c r="BB14" i="1" s="1"/>
  <c r="BC14" i="1" s="1"/>
  <c r="BA15" i="1"/>
  <c r="BB15" i="1" s="1"/>
  <c r="BC15" i="1" s="1"/>
  <c r="BA29" i="1"/>
  <c r="BB29" i="1" s="1"/>
  <c r="BC29" i="1" s="1"/>
  <c r="BA21" i="1"/>
  <c r="BB21" i="1" s="1"/>
  <c r="BC21" i="1" s="1"/>
  <c r="BA30" i="1"/>
  <c r="BB30" i="1" s="1"/>
  <c r="BC30" i="1" s="1"/>
  <c r="BA38" i="1"/>
  <c r="BB38" i="1" s="1"/>
  <c r="BC38" i="1" s="1"/>
  <c r="BA40" i="1"/>
  <c r="BB40" i="1" s="1"/>
  <c r="BC40" i="1" s="1"/>
  <c r="BA37" i="1"/>
  <c r="BB37" i="1" s="1"/>
  <c r="BC37" i="1" s="1"/>
  <c r="BA25" i="1"/>
  <c r="BB25" i="1" s="1"/>
  <c r="BC25" i="1" s="1"/>
  <c r="BA20" i="1"/>
  <c r="BB20" i="1" s="1"/>
  <c r="BC20" i="1" s="1"/>
  <c r="BA10" i="1"/>
  <c r="BB10" i="1" s="1"/>
  <c r="BC10" i="1" s="1"/>
  <c r="BA16" i="1"/>
  <c r="BB16" i="1" s="1"/>
  <c r="BC16" i="1" s="1"/>
  <c r="AW109" i="1"/>
  <c r="B30" i="1" s="1"/>
  <c r="B32" i="2" l="1"/>
  <c r="BC109" i="1"/>
  <c r="B40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<sst xmlns="http://schemas.openxmlformats.org/spreadsheetml/2006/main" count="132" uniqueCount="102">
  <si>
    <t>EXE_DIREC</t>
  </si>
  <si>
    <t>エラーデバイス</t>
    <phoneticPr fontId="1"/>
  </si>
  <si>
    <t>x2</t>
    <phoneticPr fontId="1"/>
  </si>
  <si>
    <t>サブデバイス</t>
    <phoneticPr fontId="1"/>
  </si>
  <si>
    <t>エラーNo.</t>
    <phoneticPr fontId="1"/>
  </si>
  <si>
    <t>有効</t>
    <rPh sb="0" eb="2">
      <t>ユウコウ</t>
    </rPh>
    <phoneticPr fontId="1"/>
  </si>
  <si>
    <t>緒言</t>
    <rPh sb="0" eb="2">
      <t>ショゲン</t>
    </rPh>
    <phoneticPr fontId="1"/>
  </si>
  <si>
    <t>ファイル</t>
  </si>
  <si>
    <t>先頭注記</t>
  </si>
  <si>
    <t>末尾注記</t>
  </si>
  <si>
    <t>-----ここまで生成script-----</t>
  </si>
  <si>
    <t>AX</t>
    <phoneticPr fontId="1"/>
  </si>
  <si>
    <t>CYL</t>
  </si>
  <si>
    <t>astCYL</t>
  </si>
  <si>
    <t>astAXK</t>
  </si>
  <si>
    <t>astAXO</t>
  </si>
  <si>
    <t>stDevIn</t>
  </si>
  <si>
    <t>astEC</t>
  </si>
  <si>
    <t>有無</t>
    <rPh sb="0" eb="2">
      <t>ウム</t>
    </rPh>
    <phoneticPr fontId="1"/>
  </si>
  <si>
    <t>モジュールエラー</t>
    <phoneticPr fontId="1"/>
  </si>
  <si>
    <t>EC</t>
    <phoneticPr fontId="1"/>
  </si>
  <si>
    <t>ST(kvx)</t>
    <phoneticPr fontId="1"/>
  </si>
  <si>
    <t>ニーモニック(kvx)</t>
    <phoneticPr fontId="1"/>
  </si>
  <si>
    <t>上限桁数</t>
    <rPh sb="0" eb="2">
      <t>ジョウゲン</t>
    </rPh>
    <rPh sb="2" eb="4">
      <t>ケタスウ</t>
    </rPh>
    <phoneticPr fontId="1"/>
  </si>
  <si>
    <t>開始オフセット</t>
    <rPh sb="0" eb="2">
      <t>カイシ</t>
    </rPh>
    <phoneticPr fontId="1"/>
  </si>
  <si>
    <t>エラーカウントデバイス</t>
    <phoneticPr fontId="1"/>
  </si>
  <si>
    <t>stM.uiEDCnt</t>
    <phoneticPr fontId="1"/>
  </si>
  <si>
    <t>エラー</t>
    <phoneticPr fontId="1"/>
  </si>
  <si>
    <t>ST</t>
    <phoneticPr fontId="1"/>
  </si>
  <si>
    <t>stM.udiSubErr</t>
    <phoneticPr fontId="1"/>
  </si>
  <si>
    <t>ニーモニック生成</t>
  </si>
  <si>
    <t>ST生成</t>
  </si>
  <si>
    <t>ST生成完了</t>
    <rPh sb="2" eb="4">
      <t>セイセイ</t>
    </rPh>
    <rPh sb="4" eb="6">
      <t>カンリョウ</t>
    </rPh>
    <phoneticPr fontId="1"/>
  </si>
  <si>
    <t>ニーモニック生成完了</t>
    <rPh sb="6" eb="8">
      <t>セイセイ</t>
    </rPh>
    <rPh sb="8" eb="10">
      <t>カンリョウ</t>
    </rPh>
    <phoneticPr fontId="1"/>
  </si>
  <si>
    <t>stM.udiErrNo</t>
    <phoneticPr fontId="1"/>
  </si>
  <si>
    <t>変数表貼り付け領域(オフライン)</t>
    <rPh sb="0" eb="2">
      <t>ヘンスウ</t>
    </rPh>
    <rPh sb="2" eb="3">
      <t>ヒョウ</t>
    </rPh>
    <rPh sb="3" eb="4">
      <t>ハ</t>
    </rPh>
    <rPh sb="5" eb="6">
      <t>ツ</t>
    </rPh>
    <rPh sb="7" eb="9">
      <t>リョウイキ</t>
    </rPh>
    <phoneticPr fontId="1"/>
  </si>
  <si>
    <t>変数表貼り付け領域(オンライン)</t>
    <phoneticPr fontId="1"/>
  </si>
  <si>
    <t>倍率</t>
    <rPh sb="0" eb="2">
      <t>バイリツ</t>
    </rPh>
    <phoneticPr fontId="1"/>
  </si>
  <si>
    <t>astAXI</t>
    <phoneticPr fontId="1"/>
  </si>
  <si>
    <t>UNI</t>
    <phoneticPr fontId="1"/>
  </si>
  <si>
    <t>stUni</t>
    <phoneticPr fontId="1"/>
  </si>
  <si>
    <t>コメント表記</t>
  </si>
  <si>
    <t>代入式</t>
  </si>
  <si>
    <t>代入末尾</t>
  </si>
  <si>
    <t>先頭文字列</t>
    <rPh sb="0" eb="2">
      <t>セントウ</t>
    </rPh>
    <rPh sb="2" eb="5">
      <t>モジレツ</t>
    </rPh>
    <phoneticPr fontId="1"/>
  </si>
  <si>
    <t>末尾文字列</t>
    <rPh sb="0" eb="2">
      <t>マツビ</t>
    </rPh>
    <rPh sb="2" eb="5">
      <t>モジレツ</t>
    </rPh>
    <phoneticPr fontId="1"/>
  </si>
  <si>
    <t>開始セル</t>
    <rPh sb="0" eb="2">
      <t>カイシ</t>
    </rPh>
    <phoneticPr fontId="1"/>
  </si>
  <si>
    <t>結合個数</t>
    <rPh sb="0" eb="2">
      <t>ケツゴウ</t>
    </rPh>
    <rPh sb="2" eb="4">
      <t>コスウ</t>
    </rPh>
    <phoneticPr fontId="1"/>
  </si>
  <si>
    <t>貼り付け領域(オフライン)開始セル</t>
    <rPh sb="0" eb="1">
      <t>ハ</t>
    </rPh>
    <rPh sb="2" eb="3">
      <t>ツ</t>
    </rPh>
    <rPh sb="4" eb="6">
      <t>リョウイキ</t>
    </rPh>
    <rPh sb="13" eb="15">
      <t>カイシ</t>
    </rPh>
    <phoneticPr fontId="1"/>
  </si>
  <si>
    <t>貼り付け領域(オフライン)終了セル</t>
    <rPh sb="13" eb="15">
      <t>シュウリョウ</t>
    </rPh>
    <phoneticPr fontId="1"/>
  </si>
  <si>
    <t>貼り付け領域(オンライン)開始セル</t>
  </si>
  <si>
    <t>貼り付け領域(オンライン)終了セル</t>
  </si>
  <si>
    <t>stEx300</t>
  </si>
  <si>
    <t>◆平板準備 有無</t>
  </si>
  <si>
    <t>stEx301</t>
  </si>
  <si>
    <t>&gt;△●AXK13主軸 近くの0°</t>
  </si>
  <si>
    <t>stEx302</t>
  </si>
  <si>
    <t>&gt;●AXK13主軸 位置変更0°</t>
  </si>
  <si>
    <t>stEx303</t>
  </si>
  <si>
    <t>&gt;△●AXK14調整 待機</t>
  </si>
  <si>
    <t>stEx304</t>
  </si>
  <si>
    <t>&gt;▽AXK13主軸+AXK14調整</t>
  </si>
  <si>
    <t>stEx305</t>
  </si>
  <si>
    <t>&gt;△●UNI01平供給</t>
  </si>
  <si>
    <t>stEx306</t>
  </si>
  <si>
    <t>&gt;△●CYL05 平ﾊﾝ前後 前進</t>
  </si>
  <si>
    <t>stEx307</t>
  </si>
  <si>
    <t>&gt;●CYL06平ﾊﾝ とじ</t>
  </si>
  <si>
    <t>stEx308</t>
  </si>
  <si>
    <t>&gt;●CYL01主軸ｼﾘ 前進</t>
  </si>
  <si>
    <t>stEx309</t>
  </si>
  <si>
    <t>stEx310</t>
  </si>
  <si>
    <t>stEx311</t>
  </si>
  <si>
    <t>&gt;&gt;●CYL05 平ﾊﾝ前後 後退</t>
  </si>
  <si>
    <t>stEx312</t>
  </si>
  <si>
    <t>stEx313</t>
  </si>
  <si>
    <t>&gt;&gt;◆ちょい回し 有無判定</t>
  </si>
  <si>
    <t>stEx314</t>
  </si>
  <si>
    <t>&gt;&gt;△●AXK13主軸 巻取り1回転ちょい</t>
  </si>
  <si>
    <t>stEx315</t>
  </si>
  <si>
    <t>&gt;&gt;△●AXO02平送り 巻取り1回転ちょい</t>
  </si>
  <si>
    <t>stEx316</t>
  </si>
  <si>
    <t>&gt;&gt;▽巻取り1回転ちょい</t>
  </si>
  <si>
    <t>stEx317</t>
  </si>
  <si>
    <t>&gt;&gt;△●AXK13主軸 巻きちょい戻し</t>
  </si>
  <si>
    <t>stEx318</t>
  </si>
  <si>
    <t>&gt;&gt;△●AXO02平送り 巻取りちょい戻し</t>
  </si>
  <si>
    <t>stEx319</t>
  </si>
  <si>
    <t>&gt;&gt;▽巻取りちょい戻し</t>
  </si>
  <si>
    <t>stEx320</t>
  </si>
  <si>
    <t>&gt;&gt;▼ちょい回し 有無判定</t>
  </si>
  <si>
    <t>stEx321</t>
  </si>
  <si>
    <t>&gt;▽UNI01平供給 ＋ﾊﾝﾄﾞ</t>
  </si>
  <si>
    <t>stEx322</t>
  </si>
  <si>
    <t>▼平板準備</t>
  </si>
  <si>
    <t>stEx323</t>
  </si>
  <si>
    <t>◆波板準備 有無</t>
  </si>
  <si>
    <t>stEx324</t>
  </si>
  <si>
    <t>&gt;●UNI02波供給</t>
  </si>
  <si>
    <t>▼波板準備</t>
  </si>
  <si>
    <t>&gt;&gt;●CYL06平ﾊﾝ ひらき</t>
  </si>
  <si>
    <t>●AXK14調整 巻き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</si>
</sst>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CCCCFF"/>
        <bgColor indexed="64"/>
      </patternFill>
    </fill>
    <fill>
      <patternFill patternType="solid">
        <fgColor rgb="FFFFCC9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 applyAlignment="1">
      <alignment horizontal="centerContinuous" vertical="center"/>
    </xf>
    <xf numFmtId="0" fontId="0" fillId="2" borderId="0" xfId="0" applyFill="1">
      <alignment vertical="center"/>
    </xf>
    <xf numFmtId="0" fontId="2" fillId="0" borderId="0" xfId="0" applyFont="1">
      <alignment vertical="center"/>
    </xf>
    <xf numFmtId="0" fontId="0" fillId="3" borderId="0" xfId="0" applyFill="1" applyAlignment="1">
      <alignment horizontal="centerContinuous" vertical="center"/>
    </xf>
  </cellXfs>
  <cellStyles count="1">
    <cellStyle name="標準" xfId="0" builtinId="0"/>
  </cellStyles>
  <dxfs count="1">
    <dxf>
      <fill>
        <patternFill patternType="lightUp">
          <fgColor rgb="FF33CCCC"/>
        </patternFill>
      </fill>
    </dxf>
  </dxfs>
  <tableStyles count="0" defaultTableStyle="TableStyleMedium2" defaultPivotStyle="PivotStyleLight16"/>
  <colors>
    <mruColors>
      <color rgb="FFFFCC99"/>
      <color rgb="FFCCCCFF"/>
      <color rgb="FF66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39</xdr:row>
          <xdr:rowOff>0</xdr:rowOff>
        </xdr:from>
        <xdr:to>
          <xdr:col>3</xdr:col>
          <xdr:colOff>0</xdr:colOff>
          <xdr:row>40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9759DE53-F7A8-88F2-77AB-C6BD40DE12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削除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DFF76-1C3A-4E14-B6F2-5C40CA632D8D}">
  <sheetPr codeName="Sheet2"/>
  <dimension ref="A2:B32"/>
  <sheetViews>
    <sheetView workbookViewId="0">
      <selection activeCell="B23" sqref="B23"/>
    </sheetView>
  </sheetViews>
  <sheetFormatPr defaultRowHeight="18" x14ac:dyDescent="0.55000000000000004"/>
  <sheetData>
    <row r="2" spans="1:2" x14ac:dyDescent="0.55000000000000004">
      <c r="A2" t="s">
        <v>7</v>
      </c>
      <c r="B2" t="str" cm="1">
        <f t="array" aca="1" ref="B2" ca="1">MID(CELL("address",info_script!B3),FIND("!",CELL("address",info_script!B3))+1,LEN(CELL("address",info_script!B3)))</f>
        <v>$B$3</v>
      </c>
    </row>
    <row r="4" spans="1:2" x14ac:dyDescent="0.55000000000000004">
      <c r="A4" t="s">
        <v>8</v>
      </c>
      <c r="B4" t="str" cm="1">
        <f t="array" aca="1" ref="B4" ca="1">MID(CELL("address",info_script!B5),FIND("!",CELL("address",info_script!B5))+1,LEN(CELL("address",info_script!B5)))</f>
        <v>$B$5</v>
      </c>
    </row>
    <row r="5" spans="1:2" x14ac:dyDescent="0.55000000000000004">
      <c r="A5" t="s">
        <v>9</v>
      </c>
      <c r="B5" t="str" cm="1">
        <f t="array" aca="1" ref="B5" ca="1">MID(CELL("address",info_script!B6),FIND("!",CELL("address",info_script!B6))+1,LEN(CELL("address",info_script!B6)))</f>
        <v>$B$6</v>
      </c>
    </row>
    <row r="6" spans="1:2" x14ac:dyDescent="0.55000000000000004">
      <c r="A6" t="s">
        <v>41</v>
      </c>
      <c r="B6" t="str" cm="1">
        <f t="array" aca="1" ref="B6" ca="1">MID(CELL("address",info_script!B7),FIND("!",CELL("address",info_script!B7))+1,LEN(CELL("address",info_script!B7)))</f>
        <v>$B$7</v>
      </c>
    </row>
    <row r="7" spans="1:2" x14ac:dyDescent="0.55000000000000004">
      <c r="A7" t="s">
        <v>42</v>
      </c>
      <c r="B7" t="str" cm="1">
        <f t="array" aca="1" ref="B7" ca="1">MID(CELL("address",info_script!B8),FIND("!",CELL("address",info_script!B8))+1,LEN(CELL("address",info_script!B8)))</f>
        <v>$B$8</v>
      </c>
    </row>
    <row r="8" spans="1:2" x14ac:dyDescent="0.55000000000000004">
      <c r="A8" t="s">
        <v>43</v>
      </c>
      <c r="B8" t="str" cm="1">
        <f t="array" aca="1" ref="B8" ca="1">MID(CELL("address",info_script!B9),FIND("!",CELL("address",info_script!B9))+1,LEN(CELL("address",info_script!B9)))</f>
        <v>$B$9</v>
      </c>
    </row>
    <row r="21" spans="1:2" x14ac:dyDescent="0.55000000000000004">
      <c r="A21" t="s">
        <v>44</v>
      </c>
      <c r="B21" t="str" cm="1">
        <f t="array" aca="1" ref="B21" ca="1">MID(CELL("address",info_script!B38),FIND("!",CELL("address",info_script!B38))+1,LEN(CELL("address",info_script!B38)))</f>
        <v>$B$38</v>
      </c>
    </row>
    <row r="22" spans="1:2" x14ac:dyDescent="0.55000000000000004">
      <c r="A22" t="s">
        <v>45</v>
      </c>
      <c r="B22" t="str" cm="1">
        <f t="array" aca="1" ref="B22" ca="1">MID(CELL("address",info_script!B39),FIND("!",CELL("address",info_script!B39))+1,LEN(CELL("address",info_script!B39)))</f>
        <v>$B$39</v>
      </c>
    </row>
    <row r="23" spans="1:2" x14ac:dyDescent="0.55000000000000004">
      <c r="A23" t="s">
        <v>48</v>
      </c>
      <c r="B23" t="str" cm="1">
        <f t="array" aca="1" ref="B23" ca="1">MID(CELL("address",info_script!I8),FIND("!",CELL("address",info_script!I8))+1,LEN(CELL("address",info_script!I8)))</f>
        <v>$I$8</v>
      </c>
    </row>
    <row r="24" spans="1:2" x14ac:dyDescent="0.55000000000000004">
      <c r="A24" t="s">
        <v>49</v>
      </c>
      <c r="B24" t="str" cm="1">
        <f t="array" aca="1" ref="B24" ca="1">MID(CELL("address",info_script!O107),FIND("!",CELL("address",info_script!O107))+1,LEN(CELL("address",info_script!O107)))</f>
        <v>$O$107</v>
      </c>
    </row>
    <row r="25" spans="1:2" x14ac:dyDescent="0.55000000000000004">
      <c r="A25" t="s">
        <v>50</v>
      </c>
      <c r="B25" t="str" cm="1">
        <f t="array" aca="1" ref="B25" ca="1">MID(CELL("address",info_script!Q8),FIND("!",CELL("address",info_script!Q8))+1,LEN(CELL("address",info_script!Q8)))</f>
        <v>$Q$8</v>
      </c>
    </row>
    <row r="26" spans="1:2" x14ac:dyDescent="0.55000000000000004">
      <c r="A26" t="s">
        <v>51</v>
      </c>
      <c r="B26" t="str" cm="1">
        <f t="array" aca="1" ref="B26" ca="1">MID(CELL("address",info_script!X107),FIND("!",CELL("address",info_script!X107))+1,LEN(CELL("address",info_script!X107)))</f>
        <v>$X$107</v>
      </c>
    </row>
    <row r="31" spans="1:2" x14ac:dyDescent="0.55000000000000004">
      <c r="A31" t="s">
        <v>46</v>
      </c>
      <c r="B31" t="str" cm="1">
        <f t="array" aca="1" ref="B31" ca="1">MID(CELL("address",info_script!BC8),FIND("!",CELL("address",info_script!BC8))+1,LEN(CELL("address",info_script!BC8)))</f>
        <v>$BC$8</v>
      </c>
    </row>
    <row r="32" spans="1:2" x14ac:dyDescent="0.55000000000000004">
      <c r="A32" t="s">
        <v>47</v>
      </c>
      <c r="B32">
        <f ca="1">COUNTA(info_script!$BC$8:$BC$107)</f>
        <v>100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FD0F4-3707-4FCC-9D10-2DD76A7D546A}">
  <sheetPr codeName="Sheet1"/>
  <dimension ref="A1:BH109"/>
  <sheetViews>
    <sheetView tabSelected="1" workbookViewId="0">
      <pane xSplit="5" ySplit="7" topLeftCell="F8" activePane="bottomRight" state="frozen"/>
      <selection pane="topRight" activeCell="F1" sqref="F1"/>
      <selection pane="bottomLeft" activeCell="A4" sqref="A4"/>
      <selection pane="bottomRight" activeCell="E17" sqref="E17"/>
    </sheetView>
  </sheetViews>
  <sheetFormatPr defaultRowHeight="18" x14ac:dyDescent="0.55000000000000004"/>
  <cols>
    <col min="1" max="1" width="17" bestFit="1" customWidth="1"/>
    <col min="2" max="2" width="20.9140625" customWidth="1"/>
    <col min="7" max="7" width="21.08203125" bestFit="1" customWidth="1"/>
    <col min="11" max="14" width="0" hidden="1" customWidth="1"/>
    <col min="19" max="23" width="0" hidden="1" customWidth="1"/>
    <col min="24" max="24" width="21.08203125" bestFit="1" customWidth="1"/>
    <col min="41" max="41" width="14.75" bestFit="1" customWidth="1"/>
    <col min="42" max="42" width="23.4140625" bestFit="1" customWidth="1"/>
    <col min="43" max="43" width="24" bestFit="1" customWidth="1"/>
    <col min="44" max="44" width="24" customWidth="1"/>
    <col min="49" max="49" width="8.6640625" customWidth="1"/>
    <col min="52" max="54" width="24" customWidth="1"/>
  </cols>
  <sheetData>
    <row r="1" spans="1:60" x14ac:dyDescent="0.55000000000000004">
      <c r="Z1" t="s">
        <v>16</v>
      </c>
      <c r="AN1" t="s">
        <v>23</v>
      </c>
    </row>
    <row r="2" spans="1:60" x14ac:dyDescent="0.55000000000000004">
      <c r="AD2">
        <v>5</v>
      </c>
      <c r="AE2">
        <v>13</v>
      </c>
      <c r="AF2">
        <v>2</v>
      </c>
      <c r="AH2">
        <v>1</v>
      </c>
      <c r="AI2">
        <v>1</v>
      </c>
      <c r="AJ2">
        <v>0</v>
      </c>
      <c r="AN2">
        <v>1000</v>
      </c>
    </row>
    <row r="3" spans="1:60" x14ac:dyDescent="0.55000000000000004">
      <c r="AD3">
        <v>9</v>
      </c>
      <c r="AE3">
        <v>14</v>
      </c>
      <c r="AF3">
        <v>4</v>
      </c>
      <c r="AH3">
        <v>20</v>
      </c>
      <c r="AI3">
        <v>1</v>
      </c>
      <c r="AJ3">
        <v>8</v>
      </c>
      <c r="AN3" t="s">
        <v>24</v>
      </c>
    </row>
    <row r="4" spans="1:60" x14ac:dyDescent="0.55000000000000004">
      <c r="AF4">
        <v>17</v>
      </c>
      <c r="AN4">
        <v>0</v>
      </c>
    </row>
    <row r="5" spans="1:60" x14ac:dyDescent="0.55000000000000004">
      <c r="AF5">
        <v>17</v>
      </c>
      <c r="AN5" t="s">
        <v>37</v>
      </c>
    </row>
    <row r="6" spans="1:60" x14ac:dyDescent="0.55000000000000004">
      <c r="AD6" t="s">
        <v>38</v>
      </c>
      <c r="AE6" t="s">
        <v>14</v>
      </c>
      <c r="AF6" t="s">
        <v>15</v>
      </c>
      <c r="AG6" t="s">
        <v>15</v>
      </c>
      <c r="AH6" t="s">
        <v>13</v>
      </c>
      <c r="AI6" t="s">
        <v>17</v>
      </c>
      <c r="AN6">
        <v>10</v>
      </c>
      <c r="BE6">
        <v>3</v>
      </c>
    </row>
    <row r="7" spans="1:60" x14ac:dyDescent="0.55000000000000004">
      <c r="A7" t="s">
        <v>6</v>
      </c>
      <c r="E7" s="1"/>
      <c r="F7" s="1"/>
      <c r="G7" s="1"/>
      <c r="I7" s="2" t="s">
        <v>35</v>
      </c>
      <c r="J7" s="2"/>
      <c r="K7" s="2"/>
      <c r="L7" s="2"/>
      <c r="M7" s="2"/>
      <c r="N7" s="2"/>
      <c r="O7" s="2"/>
      <c r="P7" s="1"/>
      <c r="Q7" s="4" t="s">
        <v>36</v>
      </c>
      <c r="R7" s="4"/>
      <c r="S7" s="4"/>
      <c r="T7" s="4"/>
      <c r="U7" s="4"/>
      <c r="V7" s="4"/>
      <c r="W7" s="4"/>
      <c r="X7" s="4"/>
      <c r="Z7" t="s">
        <v>11</v>
      </c>
      <c r="AA7" t="s">
        <v>12</v>
      </c>
      <c r="AB7" t="s">
        <v>20</v>
      </c>
      <c r="AC7" t="s">
        <v>39</v>
      </c>
      <c r="AD7" t="str">
        <f t="shared" ref="AD7:AF7" si="0">$Z$1&amp;"."&amp;AD6</f>
        <v>stDevIn.astAXI</v>
      </c>
      <c r="AE7" t="str">
        <f t="shared" si="0"/>
        <v>stDevIn.astAXK</v>
      </c>
      <c r="AF7" t="str">
        <f t="shared" si="0"/>
        <v>stDevIn.astAXO</v>
      </c>
      <c r="AG7" t="str">
        <f t="shared" ref="AG7" si="1">$Z$1&amp;"."&amp;AG6</f>
        <v>stDevIn.astAXO</v>
      </c>
      <c r="AH7" t="str">
        <f>$Z$1&amp;"."&amp;AH6</f>
        <v>stDevIn.astCYL</v>
      </c>
      <c r="AI7" t="str">
        <f>$Z$1&amp;"."&amp;AI6</f>
        <v>stDevIn.astEC</v>
      </c>
      <c r="AJ7" t="s">
        <v>40</v>
      </c>
      <c r="AK7" t="s">
        <v>18</v>
      </c>
      <c r="AM7" t="s">
        <v>5</v>
      </c>
      <c r="AN7" t="s">
        <v>4</v>
      </c>
      <c r="AS7" t="s">
        <v>30</v>
      </c>
      <c r="AW7" t="s">
        <v>33</v>
      </c>
      <c r="AY7" t="s">
        <v>31</v>
      </c>
      <c r="BC7" t="s">
        <v>32</v>
      </c>
      <c r="BE7" t="s">
        <v>27</v>
      </c>
      <c r="BH7" t="s">
        <v>28</v>
      </c>
    </row>
    <row r="8" spans="1:60" x14ac:dyDescent="0.55000000000000004">
      <c r="A8" t="s">
        <v>7</v>
      </c>
      <c r="B8" t="str" cm="1">
        <f t="array" aca="1" ref="B8" ca="1">CELL("filename")</f>
        <v>C:\tk\prj\hg-0025-0016\git\kv-x520\doc\[kv_script_exe_errno.xlsm]info_script</v>
      </c>
      <c r="D8">
        <v>0</v>
      </c>
      <c r="E8" t="str">
        <f t="shared" ref="E8:E39" si="2">IF(LEN(I8),I8,IF(LEN(Q8),Q8,""))</f>
        <v>stEx300</v>
      </c>
      <c r="F8" t="str">
        <f>IF(LEN(J8),J8,IF(LEN(Q8),Q8,""))</f>
        <v>EXE_DIREC</v>
      </c>
      <c r="G8" t="str">
        <f t="shared" ref="G8:G39" si="3">IF(LEN(O8),O8,IF(LEN(X8),X8,""))</f>
        <v>◆平板準備 有無</v>
      </c>
      <c r="I8" t="s">
        <v>52</v>
      </c>
      <c r="J8" t="s">
        <v>0</v>
      </c>
      <c r="L8" t="b">
        <v>0</v>
      </c>
      <c r="M8" t="b">
        <v>0</v>
      </c>
      <c r="N8" t="b">
        <v>0</v>
      </c>
      <c r="O8" t="s">
        <v>53</v>
      </c>
      <c r="Z8" t="str">
        <f>IF(COUNTIF($G8,"*"&amp;Z$7&amp;"*"),INT(MID($G8,FIND(Z$7,$G8)+LEN(Z$7)+1,2)),"")</f>
        <v/>
      </c>
      <c r="AA8" t="str">
        <f>IF(COUNTIF($G8,"*"&amp;AA$7&amp;"*"),INT(MID($G8,FIND(AA$7,$G8)+LEN(AA$7),2)),"")</f>
        <v/>
      </c>
      <c r="AB8" t="str">
        <f>IF(COUNTIF($G8,"*"&amp;AB$7&amp;"*"),INT(MID($G8,FIND(AB$7,$G8)+LEN(AB$7),2)),"")</f>
        <v/>
      </c>
      <c r="AC8" t="str">
        <f>IF(COUNTIF($G8,"*"&amp;AC$7&amp;"*"),INT(MID($G8,FIND(AC$7,$G8)+LEN(AC$7),2)),"")</f>
        <v/>
      </c>
      <c r="AD8" t="str">
        <f>IF(AND(LEN($Z8),AD$2&lt;=$Z8,$Z8&lt;=AD$3),AD$7&amp;"["&amp;$Z8-AD$2&amp;"]","")</f>
        <v/>
      </c>
      <c r="AE8" t="str">
        <f t="shared" ref="AE8:AE23" si="4">IF(AND(LEN($Z8),AE$2&lt;=$Z8,$Z8&lt;=AE$3),AE$7&amp;"["&amp;$Z8-AE$2&amp;"]","")</f>
        <v/>
      </c>
      <c r="AF8" t="str">
        <f>IF(AND(LEN($Z8),AF$2&lt;=$Z8,$Z8&lt;=AF$3),AF$7&amp;"["&amp;$Z8-AF$2&amp;"]",IF(AND(LEN($Z8),AF$4&lt;=$Z8,$Z8&lt;=AF$5),AF$7&amp;"["&amp;AF$3+$Z8-AF$4-AF$2+1&amp;"]",""))</f>
        <v/>
      </c>
      <c r="AG8" t="str">
        <f>IF(AND(LEN($Z8),AG$2&lt;=$Z8,$Z8&lt;=AG$3),AG$7&amp;"["&amp;$Z8-AG$2&amp;"]",IF(AND(LEN($Z8),AG$4&lt;=$Z8,$Z8&lt;=AG$5),AG$7&amp;"["&amp;AG$3+$Z8-AG$4&amp;"]",""))</f>
        <v/>
      </c>
      <c r="AH8" t="str">
        <f>IF(AND(LEN($AA8),AH$2&lt;=$AA8,$AA8&lt;=AH$3),AH$7&amp;"["&amp;$AA8-AH$2&amp;"]","")</f>
        <v/>
      </c>
      <c r="AI8" t="str">
        <f>IF(AND(LEN($AB8),AI$2&lt;=$AB8,$AB8&lt;=AI$3),AI$7&amp;"["&amp;$AB8-AI$2&amp;"]","")</f>
        <v/>
      </c>
      <c r="AJ8" t="str">
        <f>IF(AND(LEN($AC8),AJ$2&lt;=$AC8,$AC8&lt;=AJ$3),AJ$7&amp;$AC8-AJ$2&amp;"Out","")</f>
        <v/>
      </c>
      <c r="AK8" t="str">
        <f>IF(LEN(_xlfn.CONCAT(AD8:AJ8)),_xlfn.CONCAT(AD8:AJ8),"")</f>
        <v/>
      </c>
      <c r="AM8" t="str">
        <f t="shared" ref="AM8:AM39" si="5">IF(LEN(G8),IF(OR(COUNTIF(G8,"*◆*"),COUNTIF(G8,"*▼*"),COUNTIF(G8,"*■*")),"","●"),"")</f>
        <v/>
      </c>
      <c r="AN8" t="str">
        <f t="shared" ref="AN8:AN39" si="6">IF(AM8="●",(AN$4+MOD(INT(MID(E8,5,3)),AN$2))*AN$6,"")</f>
        <v/>
      </c>
      <c r="AO8" t="str">
        <f t="shared" ref="AO8:AO39" si="7">IF($AM8="●","LDP "&amp;E8&amp;"."&amp;$B$14,"")</f>
        <v/>
      </c>
      <c r="AP8" t="str">
        <f t="shared" ref="AP8:AP39" si="8">IF($AM8="●","AND=.D "&amp;$B$15&amp;" #0","")</f>
        <v/>
      </c>
      <c r="AQ8" t="str">
        <f t="shared" ref="AQ8:AQ39" si="9">IF($AM8="●","MOV.D #"&amp;AN8&amp;" "&amp;$B$15,"")</f>
        <v/>
      </c>
      <c r="AR8" t="str">
        <f t="shared" ref="AR8:AR39" si="10">IF(LEN(AK8),"MOV.D "&amp;$AK8&amp;" "&amp;$B$17,"")</f>
        <v/>
      </c>
      <c r="AS8" t="str">
        <f t="shared" ref="AS8:AS39" si="11">IF(AND(D8&lt;&gt;0,AM8="●"),CHAR(10),"")&amp;IF(LEN(AO8),AO8,"")</f>
        <v/>
      </c>
      <c r="AT8" t="str">
        <f t="shared" ref="AT8:AT39" si="12">IF(LEN(AS8),AS8&amp;CHAR(10),"")&amp;IF(LEN(AP8),AP8,"")</f>
        <v/>
      </c>
      <c r="AU8" t="str">
        <f t="shared" ref="AU8:AU39" si="13">IF(LEN(AT8),AT8&amp;CHAR(10),"")&amp;IF(LEN(AQ8),AQ8,"")</f>
        <v/>
      </c>
      <c r="AV8" t="str">
        <f>IF(LEN(AU8),AU8&amp;CHAR(10),"")&amp;IF(LEN(AR8),AR8,"")</f>
        <v/>
      </c>
      <c r="AW8" t="str">
        <f>AV8</f>
        <v/>
      </c>
      <c r="AY8" t="str">
        <f>IF($AM8="●",AT8&amp;CHAR(10)&amp;"BOX_ST"&amp;CHAR(10)&amp;";//"&amp;$B$28,"")</f>
        <v/>
      </c>
      <c r="AZ8" t="str">
        <f t="shared" ref="AZ8:AZ39" si="14">IF($AM8="●",IF(LEN(AY8),AY8&amp;CHAR(10),"")&amp;";//エラーNo.を入れる"&amp;CHAR(10)&amp;";"&amp;$B$15&amp;"	:= "&amp;AN8&amp;";","")</f>
        <v/>
      </c>
      <c r="BA8" t="str">
        <f t="shared" ref="BA8:BA39" si="15">IF($AM8="●",IF(LEN(AZ8),AZ8&amp;CHAR(10),"")&amp;";//カウントする"&amp;CHAR(10)&amp;";"&amp;$B$16&amp;"	:= "&amp;$B$16&amp;" + 1;","")</f>
        <v/>
      </c>
      <c r="BB8" t="str">
        <f t="shared" ref="BB8:BB39" si="16">IF($AM8="●",IF(LEN(BA8),BA8&amp;CHAR(10),"")&amp;IF(LEN(AK8),";//エラーコードを入れる"&amp;CHAR(10)&amp;";"&amp;$B$17&amp;"	:= "&amp;AK8&amp;".udiErr;",""),"")</f>
        <v/>
      </c>
      <c r="BC8" t="str">
        <f>IF($AM8="●",IF(LEN(BB8),BB8&amp;CHAR(10),"")&amp;";//"&amp;$B$29,"")</f>
        <v/>
      </c>
      <c r="BE8">
        <f t="shared" ref="BE8:BE39" si="17">INT(D8/$BE$6)</f>
        <v>0</v>
      </c>
      <c r="BF8">
        <f t="shared" ref="BF8:BF39" si="18">MOD(D8,$BE$6)</f>
        <v>0</v>
      </c>
      <c r="BG8" t="str">
        <f t="shared" ref="BG8:BG39" si="19">IF(LEN(E8),E8&amp;".x"&amp;TEXT(BF8,"0")&amp;CHAR(9)&amp;" := FALSE;","")</f>
        <v>stEx300.x0	 := FALSE;</v>
      </c>
      <c r="BH8" t="str">
        <f>IF(LEN(BG8),BG8&amp;CHAR(10),"")</f>
        <v xml:space="preserve">stEx300.x0	 := FALSE;
</v>
      </c>
    </row>
    <row r="9" spans="1:60" x14ac:dyDescent="0.55000000000000004">
      <c r="D9">
        <v>1</v>
      </c>
      <c r="E9" t="str">
        <f t="shared" si="2"/>
        <v>stEx301</v>
      </c>
      <c r="F9" t="str">
        <f t="shared" ref="F9:F40" si="20">IF(LEN(J9),J9,IF(LEN(R9),R9,""))</f>
        <v>EXE_DIREC</v>
      </c>
      <c r="G9" t="str">
        <f t="shared" si="3"/>
        <v>&gt;△●AXK13主軸 近くの0°</v>
      </c>
      <c r="I9" s="3" t="s">
        <v>54</v>
      </c>
      <c r="J9" t="s">
        <v>0</v>
      </c>
      <c r="L9" t="b">
        <v>0</v>
      </c>
      <c r="M9" t="b">
        <v>0</v>
      </c>
      <c r="N9" t="b">
        <v>0</v>
      </c>
      <c r="O9" t="s">
        <v>55</v>
      </c>
      <c r="Z9">
        <f t="shared" ref="Z9:Z72" si="21">IF(COUNTIF($G9,"*"&amp;Z$7&amp;"*"),INT(MID($G9,FIND(Z$7,$G9)+LEN(Z$7)+1,2)),"")</f>
        <v>13</v>
      </c>
      <c r="AA9" t="str">
        <f t="shared" ref="AA9:AC72" si="22">IF(COUNTIF($G9,"*"&amp;AA$7&amp;"*"),INT(MID($G9,FIND(AA$7,$G9)+LEN(AA$7),2)),"")</f>
        <v/>
      </c>
      <c r="AB9" t="str">
        <f t="shared" si="22"/>
        <v/>
      </c>
      <c r="AC9" t="str">
        <f t="shared" si="22"/>
        <v/>
      </c>
      <c r="AD9" t="str">
        <f t="shared" ref="AD9:AE40" si="23">IF(AND(LEN($Z9),AD$2&lt;=$Z9,$Z9&lt;=AD$3),AD$7&amp;"["&amp;$Z9-AD$2&amp;"]","")</f>
        <v/>
      </c>
      <c r="AE9" t="str">
        <f t="shared" si="4"/>
        <v>stDevIn.astAXK[0]</v>
      </c>
      <c r="AF9" t="str">
        <f t="shared" ref="AF9:AF72" si="24">IF(AND(LEN($Z9),AF$2&lt;=$Z9,$Z9&lt;=AF$3),AF$7&amp;"["&amp;$Z9-AF$2&amp;"]",IF(AND(LEN($Z9),AF$4&lt;=$Z9,$Z9&lt;=AF$5),AF$7&amp;"["&amp;AF$3+$Z9-AF$4-AF$2+1&amp;"]",""))</f>
        <v/>
      </c>
      <c r="AG9" t="str">
        <f t="shared" ref="AG9:AG72" si="25">IF(AND(LEN($Z9),AG$2&lt;=$Z9,$Z9&lt;=AG$3),AG$7&amp;"["&amp;$Z9-AG$2&amp;"]",IF(AND(LEN($Z9),AG$4&lt;=$Z9,$Z9&lt;=AG$5),AG$7&amp;"["&amp;AG$3+$Z9-AG$4&amp;"]",""))</f>
        <v/>
      </c>
      <c r="AH9" t="str">
        <f t="shared" ref="AH9:AH72" si="26">IF(AND(LEN($AA9),AH$2&lt;=$AA9,$AA9&lt;=AH$3),AH$7&amp;"["&amp;$AA9-AH$2&amp;"]","")</f>
        <v/>
      </c>
      <c r="AI9" t="str">
        <f t="shared" ref="AI9:AI72" si="27">IF(AND(LEN($AB9),AI$2&lt;=$AB9,$AB9&lt;=AI$3),AI$7&amp;"["&amp;$AB9-AI$2&amp;"]","")</f>
        <v/>
      </c>
      <c r="AJ9" t="str">
        <f t="shared" ref="AJ9:AJ72" si="28">IF(AND(LEN($AC9),AJ$2&lt;=$AC9,$AC9&lt;=AJ$3),AJ$7&amp;$AC9-AJ$2&amp;"Out","")</f>
        <v/>
      </c>
      <c r="AK9" t="str">
        <f t="shared" ref="AK9:AK72" si="29">IF(LEN(_xlfn.CONCAT(AD9:AJ9)),_xlfn.CONCAT(AD9:AJ9),"")</f>
        <v>stDevIn.astAXK[0]</v>
      </c>
      <c r="AM9" t="str">
        <f t="shared" si="5"/>
        <v>●</v>
      </c>
      <c r="AN9">
        <f t="shared" si="6"/>
        <v>3010</v>
      </c>
      <c r="AO9" t="str">
        <f t="shared" si="7"/>
        <v>LDP stEx301.x2</v>
      </c>
      <c r="AP9" t="str">
        <f t="shared" si="8"/>
        <v>AND=.D stM.udiErrNo #0</v>
      </c>
      <c r="AQ9" t="str">
        <f t="shared" si="9"/>
        <v>MOV.D #3010 stM.udiErrNo</v>
      </c>
      <c r="AR9" t="str">
        <f t="shared" si="10"/>
        <v>MOV.D stDevIn.astAXK[0] stM.udiSubErr</v>
      </c>
      <c r="AS9" t="str">
        <f t="shared" si="11"/>
        <v xml:space="preserve">
LDP stEx301.x2</v>
      </c>
      <c r="AT9" t="str">
        <f t="shared" si="12"/>
        <v xml:space="preserve">
LDP stEx301.x2
AND=.D stM.udiErrNo #0</v>
      </c>
      <c r="AU9" t="str">
        <f t="shared" si="13"/>
        <v xml:space="preserve">
LDP stEx301.x2
AND=.D stM.udiErrNo #0
MOV.D #3010 stM.udiErrNo</v>
      </c>
      <c r="AV9" t="str">
        <f t="shared" ref="AV9:AV72" si="30">IF(LEN(AU9),AU9&amp;CHAR(10),"")&amp;IF(LEN(AR9),AR9,"")</f>
        <v xml:space="preserve">
LDP stEx301.x2
AND=.D stM.udiErrNo #0
MOV.D #3010 stM.udiErrNo
MOV.D stDevIn.astAXK[0] stM.udiSubErr</v>
      </c>
      <c r="AW9" t="str">
        <f t="shared" ref="AW9:AW72" si="31">AV9</f>
        <v xml:space="preserve">
LDP stEx301.x2
AND=.D stM.udiErrNo #0
MOV.D #3010 stM.udiErrNo
MOV.D stDevIn.astAXK[0] stM.udiSubErr</v>
      </c>
      <c r="AY9" t="str">
        <f ca="1">IF($AM9="●",AT9&amp;CHAR(10)&amp;"BOX_ST"&amp;CHAR(10)&amp;";//"&amp;$B$28,"")</f>
        <v xml:space="preserve">
LDP stEx301.x2
AND=.D stM.udiErrNo #0
BOX_ST
;//このスクリプトは C:\tk\prj\hg-0025-0016\git\kv-x520\doc\[kv_script_exe_errno.xlsm]info_script によって生成されました。</v>
      </c>
      <c r="AZ9" t="str">
        <f t="shared" ca="1" si="14"/>
        <v xml:space="preserve">
LDP stEx301.x2
AND=.D stM.udiErrNo #0
BOX_ST
;//このスクリプトは C:\tk\prj\hg-0025-0016\git\kv-x520\doc\[kv_script_exe_errno.xlsm]info_script によって生成されました。
;//エラーNo.を入れる
;stM.udiErrNo	:= 3010;</v>
      </c>
      <c r="BA9" t="str">
        <f t="shared" ca="1" si="15"/>
        <v xml:space="preserve">
LDP stEx301.x2
AND=.D stM.udiErrNo #0
BOX_ST
;//このスクリプトは C:\tk\prj\hg-0025-0016\git\kv-x520\doc\[kv_script_exe_errno.xlsm]info_script によって生成されました。
;//エラーNo.を入れる
;stM.udiErrNo	:= 3010;
;//カウントする
;stM.uiEDCnt	:= stM.uiEDCnt + 1;</v>
      </c>
      <c r="BB9" t="str">
        <f t="shared" ca="1" si="16"/>
        <v xml:space="preserve">
LDP stEx301.x2
AND=.D stM.udiErrNo #0
BOX_ST
;//このスクリプトは C:\tk\prj\hg-0025-0016\git\kv-x520\doc\[kv_script_exe_errno.xlsm]info_script によって生成されました。
;//エラーNo.を入れる
;stM.udiErrNo	:= 3010;
;//カウントする
;stM.uiEDCnt	:= stM.uiEDCnt + 1;
;//エラーコードを入れる
;stM.udiSubErr	:= stDevIn.astAXK[0].udiErr;</v>
      </c>
      <c r="BC9" t="str">
        <f ca="1">IF($AM9="●",IF(LEN(BB9),BB9&amp;CHAR(10),"")&amp;";//"&amp;$B$29,"")</f>
        <v xml:space="preserve">
LDP stEx301.x2
AND=.D stM.udiErrNo #0
BOX_ST
;//このスクリプトは C:\tk\prj\hg-0025-0016\git\kv-x520\doc\[kv_script_exe_errno.xlsm]info_script によって生成されました。
;//エラーNo.を入れる
;stM.udiErrNo	:= 3010;
;//カウントする
;stM.uiEDCnt	:= stM.uiEDCnt + 1;
;//エラーコードを入れる
;stM.udiSubErr	:= stDevIn.astAXK[0].udiErr;
;//-----ここまで生成script-----</v>
      </c>
      <c r="BE9">
        <f t="shared" si="17"/>
        <v>0</v>
      </c>
      <c r="BF9">
        <f t="shared" si="18"/>
        <v>1</v>
      </c>
      <c r="BG9" t="str">
        <f t="shared" si="19"/>
        <v>stEx301.x1	 := FALSE;</v>
      </c>
      <c r="BH9" t="str">
        <f t="shared" ref="BH9:BH72" si="32">IF(LEN(BG9),BG9&amp;CHAR(10),"")</f>
        <v xml:space="preserve">stEx301.x1	 := FALSE;
</v>
      </c>
    </row>
    <row r="10" spans="1:60" x14ac:dyDescent="0.55000000000000004">
      <c r="D10">
        <v>2</v>
      </c>
      <c r="E10" t="str">
        <f t="shared" si="2"/>
        <v>stEx302</v>
      </c>
      <c r="F10" t="str">
        <f t="shared" si="20"/>
        <v>EXE_DIREC</v>
      </c>
      <c r="G10" t="str">
        <f t="shared" si="3"/>
        <v>&gt;●AXK13主軸 位置変更0°</v>
      </c>
      <c r="I10" t="s">
        <v>56</v>
      </c>
      <c r="J10" t="s">
        <v>0</v>
      </c>
      <c r="L10" t="b">
        <v>0</v>
      </c>
      <c r="M10" t="b">
        <v>0</v>
      </c>
      <c r="N10" t="b">
        <v>0</v>
      </c>
      <c r="O10" t="s">
        <v>57</v>
      </c>
      <c r="Z10">
        <f t="shared" si="21"/>
        <v>13</v>
      </c>
      <c r="AA10" t="str">
        <f t="shared" si="22"/>
        <v/>
      </c>
      <c r="AB10" t="str">
        <f t="shared" si="22"/>
        <v/>
      </c>
      <c r="AC10" t="str">
        <f t="shared" si="22"/>
        <v/>
      </c>
      <c r="AD10" t="str">
        <f t="shared" si="23"/>
        <v/>
      </c>
      <c r="AE10" t="str">
        <f t="shared" si="4"/>
        <v>stDevIn.astAXK[0]</v>
      </c>
      <c r="AF10" t="str">
        <f t="shared" si="24"/>
        <v/>
      </c>
      <c r="AG10" t="str">
        <f t="shared" si="25"/>
        <v/>
      </c>
      <c r="AH10" t="str">
        <f t="shared" si="26"/>
        <v/>
      </c>
      <c r="AI10" t="str">
        <f t="shared" si="27"/>
        <v/>
      </c>
      <c r="AJ10" t="str">
        <f t="shared" si="28"/>
        <v/>
      </c>
      <c r="AK10" t="str">
        <f t="shared" si="29"/>
        <v>stDevIn.astAXK[0]</v>
      </c>
      <c r="AM10" t="str">
        <f t="shared" si="5"/>
        <v>●</v>
      </c>
      <c r="AN10">
        <f t="shared" si="6"/>
        <v>3020</v>
      </c>
      <c r="AO10" t="str">
        <f t="shared" si="7"/>
        <v>LDP stEx302.x2</v>
      </c>
      <c r="AP10" t="str">
        <f t="shared" si="8"/>
        <v>AND=.D stM.udiErrNo #0</v>
      </c>
      <c r="AQ10" t="str">
        <f t="shared" si="9"/>
        <v>MOV.D #3020 stM.udiErrNo</v>
      </c>
      <c r="AR10" t="str">
        <f t="shared" si="10"/>
        <v>MOV.D stDevIn.astAXK[0] stM.udiSubErr</v>
      </c>
      <c r="AS10" t="str">
        <f t="shared" si="11"/>
        <v xml:space="preserve">
LDP stEx302.x2</v>
      </c>
      <c r="AT10" t="str">
        <f t="shared" si="12"/>
        <v xml:space="preserve">
LDP stEx302.x2
AND=.D stM.udiErrNo #0</v>
      </c>
      <c r="AU10" t="str">
        <f t="shared" si="13"/>
        <v xml:space="preserve">
LDP stEx302.x2
AND=.D stM.udiErrNo #0
MOV.D #3020 stM.udiErrNo</v>
      </c>
      <c r="AV10" t="str">
        <f t="shared" si="30"/>
        <v xml:space="preserve">
LDP stEx302.x2
AND=.D stM.udiErrNo #0
MOV.D #3020 stM.udiErrNo
MOV.D stDevIn.astAXK[0] stM.udiSubErr</v>
      </c>
      <c r="AW10" t="str">
        <f t="shared" si="31"/>
        <v xml:space="preserve">
LDP stEx302.x2
AND=.D stM.udiErrNo #0
MOV.D #3020 stM.udiErrNo
MOV.D stDevIn.astAXK[0] stM.udiSubErr</v>
      </c>
      <c r="AY10" t="str">
        <f ca="1">IF($AM10="●",AT10&amp;CHAR(10)&amp;"BOX_ST"&amp;CHAR(10)&amp;";//"&amp;$B$28,"")</f>
        <v xml:space="preserve">
LDP stEx302.x2
AND=.D stM.udiErrNo #0
BOX_ST
;//このスクリプトは C:\tk\prj\hg-0025-0016\git\kv-x520\doc\[kv_script_exe_errno.xlsm]info_script によって生成されました。</v>
      </c>
      <c r="AZ10" t="str">
        <f t="shared" ca="1" si="14"/>
        <v xml:space="preserve">
LDP stEx302.x2
AND=.D stM.udiErrNo #0
BOX_ST
;//このスクリプトは C:\tk\prj\hg-0025-0016\git\kv-x520\doc\[kv_script_exe_errno.xlsm]info_script によって生成されました。
;//エラーNo.を入れる
;stM.udiErrNo	:= 3020;</v>
      </c>
      <c r="BA10" t="str">
        <f t="shared" ca="1" si="15"/>
        <v xml:space="preserve">
LDP stEx302.x2
AND=.D stM.udiErrNo #0
BOX_ST
;//このスクリプトは C:\tk\prj\hg-0025-0016\git\kv-x520\doc\[kv_script_exe_errno.xlsm]info_script によって生成されました。
;//エラーNo.を入れる
;stM.udiErrNo	:= 3020;
;//カウントする
;stM.uiEDCnt	:= stM.uiEDCnt + 1;</v>
      </c>
      <c r="BB10" t="str">
        <f t="shared" ca="1" si="16"/>
        <v xml:space="preserve">
LDP stEx302.x2
AND=.D stM.udiErrNo #0
BOX_ST
;//このスクリプトは C:\tk\prj\hg-0025-0016\git\kv-x520\doc\[kv_script_exe_errno.xlsm]info_script によって生成されました。
;//エラーNo.を入れる
;stM.udiErrNo	:= 3020;
;//カウントする
;stM.uiEDCnt	:= stM.uiEDCnt + 1;
;//エラーコードを入れる
;stM.udiSubErr	:= stDevIn.astAXK[0].udiErr;</v>
      </c>
      <c r="BC10" t="str">
        <f ca="1">IF($AM10="●",IF(LEN(BB10),BB10&amp;CHAR(10),"")&amp;";//"&amp;$B$29,"")</f>
        <v xml:space="preserve">
LDP stEx302.x2
AND=.D stM.udiErrNo #0
BOX_ST
;//このスクリプトは C:\tk\prj\hg-0025-0016\git\kv-x520\doc\[kv_script_exe_errno.xlsm]info_script によって生成されました。
;//エラーNo.を入れる
;stM.udiErrNo	:= 3020;
;//カウントする
;stM.uiEDCnt	:= stM.uiEDCnt + 1;
;//エラーコードを入れる
;stM.udiSubErr	:= stDevIn.astAXK[0].udiErr;
;//-----ここまで生成script-----</v>
      </c>
      <c r="BE10">
        <f t="shared" si="17"/>
        <v>0</v>
      </c>
      <c r="BF10">
        <f t="shared" si="18"/>
        <v>2</v>
      </c>
      <c r="BG10" t="str">
        <f t="shared" si="19"/>
        <v>stEx302.x2	 := FALSE;</v>
      </c>
      <c r="BH10" t="str">
        <f t="shared" si="32"/>
        <v xml:space="preserve">stEx302.x2	 := FALSE;
</v>
      </c>
    </row>
    <row r="11" spans="1:60" x14ac:dyDescent="0.55000000000000004">
      <c r="D11">
        <v>3</v>
      </c>
      <c r="E11" t="str">
        <f t="shared" si="2"/>
        <v>stEx303</v>
      </c>
      <c r="F11" t="str">
        <f t="shared" si="20"/>
        <v>EXE_DIREC</v>
      </c>
      <c r="G11" t="str">
        <f t="shared" si="3"/>
        <v>&gt;△●AXK14調整 待機</v>
      </c>
      <c r="I11" t="s">
        <v>58</v>
      </c>
      <c r="J11" t="s">
        <v>0</v>
      </c>
      <c r="L11" t="b">
        <v>0</v>
      </c>
      <c r="M11" t="b">
        <v>0</v>
      </c>
      <c r="N11" t="b">
        <v>0</v>
      </c>
      <c r="O11" t="s">
        <v>59</v>
      </c>
      <c r="Z11">
        <f t="shared" si="21"/>
        <v>14</v>
      </c>
      <c r="AA11" t="str">
        <f t="shared" si="22"/>
        <v/>
      </c>
      <c r="AB11" t="str">
        <f t="shared" si="22"/>
        <v/>
      </c>
      <c r="AC11" t="str">
        <f t="shared" si="22"/>
        <v/>
      </c>
      <c r="AD11" t="str">
        <f t="shared" si="23"/>
        <v/>
      </c>
      <c r="AE11" t="str">
        <f t="shared" si="4"/>
        <v>stDevIn.astAXK[1]</v>
      </c>
      <c r="AF11" t="str">
        <f t="shared" si="24"/>
        <v/>
      </c>
      <c r="AG11" t="str">
        <f t="shared" si="25"/>
        <v/>
      </c>
      <c r="AH11" t="str">
        <f t="shared" si="26"/>
        <v/>
      </c>
      <c r="AI11" t="str">
        <f t="shared" si="27"/>
        <v/>
      </c>
      <c r="AJ11" t="str">
        <f t="shared" si="28"/>
        <v/>
      </c>
      <c r="AK11" t="str">
        <f t="shared" si="29"/>
        <v>stDevIn.astAXK[1]</v>
      </c>
      <c r="AM11" t="str">
        <f t="shared" si="5"/>
        <v>●</v>
      </c>
      <c r="AN11">
        <f t="shared" si="6"/>
        <v>3030</v>
      </c>
      <c r="AO11" t="str">
        <f t="shared" si="7"/>
        <v>LDP stEx303.x2</v>
      </c>
      <c r="AP11" t="str">
        <f t="shared" si="8"/>
        <v>AND=.D stM.udiErrNo #0</v>
      </c>
      <c r="AQ11" t="str">
        <f t="shared" si="9"/>
        <v>MOV.D #3030 stM.udiErrNo</v>
      </c>
      <c r="AR11" t="str">
        <f t="shared" si="10"/>
        <v>MOV.D stDevIn.astAXK[1] stM.udiSubErr</v>
      </c>
      <c r="AS11" t="str">
        <f t="shared" si="11"/>
        <v xml:space="preserve">
LDP stEx303.x2</v>
      </c>
      <c r="AT11" t="str">
        <f t="shared" si="12"/>
        <v xml:space="preserve">
LDP stEx303.x2
AND=.D stM.udiErrNo #0</v>
      </c>
      <c r="AU11" t="str">
        <f t="shared" si="13"/>
        <v xml:space="preserve">
LDP stEx303.x2
AND=.D stM.udiErrNo #0
MOV.D #3030 stM.udiErrNo</v>
      </c>
      <c r="AV11" t="str">
        <f t="shared" si="30"/>
        <v xml:space="preserve">
LDP stEx303.x2
AND=.D stM.udiErrNo #0
MOV.D #3030 stM.udiErrNo
MOV.D stDevIn.astAXK[1] stM.udiSubErr</v>
      </c>
      <c r="AW11" t="str">
        <f t="shared" si="31"/>
        <v xml:space="preserve">
LDP stEx303.x2
AND=.D stM.udiErrNo #0
MOV.D #3030 stM.udiErrNo
MOV.D stDevIn.astAXK[1] stM.udiSubErr</v>
      </c>
      <c r="AY11" t="str">
        <f ca="1">IF($AM11="●",AT11&amp;CHAR(10)&amp;"BOX_ST"&amp;CHAR(10)&amp;";//"&amp;$B$28,"")</f>
        <v xml:space="preserve">
LDP stEx303.x2
AND=.D stM.udiErrNo #0
BOX_ST
;//このスクリプトは C:\tk\prj\hg-0025-0016\git\kv-x520\doc\[kv_script_exe_errno.xlsm]info_script によって生成されました。</v>
      </c>
      <c r="AZ11" t="str">
        <f t="shared" ca="1" si="14"/>
        <v xml:space="preserve">
LDP stEx303.x2
AND=.D stM.udiErrNo #0
BOX_ST
;//このスクリプトは C:\tk\prj\hg-0025-0016\git\kv-x520\doc\[kv_script_exe_errno.xlsm]info_script によって生成されました。
;//エラーNo.を入れる
;stM.udiErrNo	:= 3030;</v>
      </c>
      <c r="BA11" t="str">
        <f t="shared" ca="1" si="15"/>
        <v xml:space="preserve">
LDP stEx303.x2
AND=.D stM.udiErrNo #0
BOX_ST
;//このスクリプトは C:\tk\prj\hg-0025-0016\git\kv-x520\doc\[kv_script_exe_errno.xlsm]info_script によって生成されました。
;//エラーNo.を入れる
;stM.udiErrNo	:= 3030;
;//カウントする
;stM.uiEDCnt	:= stM.uiEDCnt + 1;</v>
      </c>
      <c r="BB11" t="str">
        <f t="shared" ca="1" si="16"/>
        <v xml:space="preserve">
LDP stEx303.x2
AND=.D stM.udiErrNo #0
BOX_ST
;//このスクリプトは C:\tk\prj\hg-0025-0016\git\kv-x520\doc\[kv_script_exe_errno.xlsm]info_script によって生成されました。
;//エラーNo.を入れる
;stM.udiErrNo	:= 3030;
;//カウントする
;stM.uiEDCnt	:= stM.uiEDCnt + 1;
;//エラーコードを入れる
;stM.udiSubErr	:= stDevIn.astAXK[1].udiErr;</v>
      </c>
      <c r="BC11" t="str">
        <f ca="1">IF($AM11="●",IF(LEN(BB11),BB11&amp;CHAR(10),"")&amp;";//"&amp;$B$29,"")</f>
        <v xml:space="preserve">
LDP stEx303.x2
AND=.D stM.udiErrNo #0
BOX_ST
;//このスクリプトは C:\tk\prj\hg-0025-0016\git\kv-x520\doc\[kv_script_exe_errno.xlsm]info_script によって生成されました。
;//エラーNo.を入れる
;stM.udiErrNo	:= 3030;
;//カウントする
;stM.uiEDCnt	:= stM.uiEDCnt + 1;
;//エラーコードを入れる
;stM.udiSubErr	:= stDevIn.astAXK[1].udiErr;
;//-----ここまで生成script-----</v>
      </c>
      <c r="BE11">
        <f t="shared" si="17"/>
        <v>1</v>
      </c>
      <c r="BF11">
        <f t="shared" si="18"/>
        <v>0</v>
      </c>
      <c r="BG11" t="str">
        <f t="shared" si="19"/>
        <v>stEx303.x0	 := FALSE;</v>
      </c>
      <c r="BH11" t="str">
        <f t="shared" si="32"/>
        <v xml:space="preserve">stEx303.x0	 := FALSE;
</v>
      </c>
    </row>
    <row r="12" spans="1:60" x14ac:dyDescent="0.55000000000000004">
      <c r="D12">
        <v>4</v>
      </c>
      <c r="E12" t="str">
        <f t="shared" si="2"/>
        <v>stEx304</v>
      </c>
      <c r="F12" t="str">
        <f t="shared" si="20"/>
        <v>EXE_DIREC</v>
      </c>
      <c r="G12" t="str">
        <f t="shared" si="3"/>
        <v>&gt;▽AXK13主軸+AXK14調整</v>
      </c>
      <c r="I12" t="s">
        <v>60</v>
      </c>
      <c r="J12" t="s">
        <v>0</v>
      </c>
      <c r="L12" t="b">
        <v>0</v>
      </c>
      <c r="M12" t="b">
        <v>0</v>
      </c>
      <c r="N12" t="b">
        <v>0</v>
      </c>
      <c r="O12" t="s">
        <v>61</v>
      </c>
      <c r="Z12">
        <f t="shared" si="21"/>
        <v>13</v>
      </c>
      <c r="AA12" t="str">
        <f t="shared" si="22"/>
        <v/>
      </c>
      <c r="AB12" t="str">
        <f t="shared" si="22"/>
        <v/>
      </c>
      <c r="AC12" t="str">
        <f t="shared" si="22"/>
        <v/>
      </c>
      <c r="AD12" t="str">
        <f t="shared" si="23"/>
        <v/>
      </c>
      <c r="AE12" t="str">
        <f t="shared" si="4"/>
        <v>stDevIn.astAXK[0]</v>
      </c>
      <c r="AF12" t="str">
        <f t="shared" si="24"/>
        <v/>
      </c>
      <c r="AG12" t="str">
        <f t="shared" si="25"/>
        <v/>
      </c>
      <c r="AH12" t="str">
        <f t="shared" si="26"/>
        <v/>
      </c>
      <c r="AI12" t="str">
        <f t="shared" si="27"/>
        <v/>
      </c>
      <c r="AJ12" t="str">
        <f t="shared" si="28"/>
        <v/>
      </c>
      <c r="AK12" t="str">
        <f t="shared" si="29"/>
        <v>stDevIn.astAXK[0]</v>
      </c>
      <c r="AM12" t="str">
        <f t="shared" si="5"/>
        <v>●</v>
      </c>
      <c r="AN12">
        <f t="shared" si="6"/>
        <v>3040</v>
      </c>
      <c r="AO12" t="str">
        <f t="shared" si="7"/>
        <v>LDP stEx304.x2</v>
      </c>
      <c r="AP12" t="str">
        <f t="shared" si="8"/>
        <v>AND=.D stM.udiErrNo #0</v>
      </c>
      <c r="AQ12" t="str">
        <f t="shared" si="9"/>
        <v>MOV.D #3040 stM.udiErrNo</v>
      </c>
      <c r="AR12" t="str">
        <f t="shared" si="10"/>
        <v>MOV.D stDevIn.astAXK[0] stM.udiSubErr</v>
      </c>
      <c r="AS12" t="str">
        <f t="shared" si="11"/>
        <v xml:space="preserve">
LDP stEx304.x2</v>
      </c>
      <c r="AT12" t="str">
        <f t="shared" si="12"/>
        <v xml:space="preserve">
LDP stEx304.x2
AND=.D stM.udiErrNo #0</v>
      </c>
      <c r="AU12" t="str">
        <f t="shared" si="13"/>
        <v xml:space="preserve">
LDP stEx304.x2
AND=.D stM.udiErrNo #0
MOV.D #3040 stM.udiErrNo</v>
      </c>
      <c r="AV12" t="str">
        <f t="shared" si="30"/>
        <v xml:space="preserve">
LDP stEx304.x2
AND=.D stM.udiErrNo #0
MOV.D #3040 stM.udiErrNo
MOV.D stDevIn.astAXK[0] stM.udiSubErr</v>
      </c>
      <c r="AW12" t="str">
        <f t="shared" si="31"/>
        <v xml:space="preserve">
LDP stEx304.x2
AND=.D stM.udiErrNo #0
MOV.D #3040 stM.udiErrNo
MOV.D stDevIn.astAXK[0] stM.udiSubErr</v>
      </c>
      <c r="AY12" t="str">
        <f ca="1">IF($AM12="●",AT12&amp;CHAR(10)&amp;"BOX_ST"&amp;CHAR(10)&amp;";//"&amp;$B$28,"")</f>
        <v xml:space="preserve">
LDP stEx304.x2
AND=.D stM.udiErrNo #0
BOX_ST
;//このスクリプトは C:\tk\prj\hg-0025-0016\git\kv-x520\doc\[kv_script_exe_errno.xlsm]info_script によって生成されました。</v>
      </c>
      <c r="AZ12" t="str">
        <f t="shared" ca="1" si="14"/>
        <v xml:space="preserve">
LDP stEx304.x2
AND=.D stM.udiErrNo #0
BOX_ST
;//このスクリプトは C:\tk\prj\hg-0025-0016\git\kv-x520\doc\[kv_script_exe_errno.xlsm]info_script によって生成されました。
;//エラーNo.を入れる
;stM.udiErrNo	:= 3040;</v>
      </c>
      <c r="BA12" t="str">
        <f t="shared" ca="1" si="15"/>
        <v xml:space="preserve">
LDP stEx304.x2
AND=.D stM.udiErrNo #0
BOX_ST
;//このスクリプトは C:\tk\prj\hg-0025-0016\git\kv-x520\doc\[kv_script_exe_errno.xlsm]info_script によって生成されました。
;//エラーNo.を入れる
;stM.udiErrNo	:= 3040;
;//カウントする
;stM.uiEDCnt	:= stM.uiEDCnt + 1;</v>
      </c>
      <c r="BB12" t="str">
        <f t="shared" ca="1" si="16"/>
        <v xml:space="preserve">
LDP stEx304.x2
AND=.D stM.udiErrNo #0
BOX_ST
;//このスクリプトは C:\tk\prj\hg-0025-0016\git\kv-x520\doc\[kv_script_exe_errno.xlsm]info_script によって生成されました。
;//エラーNo.を入れる
;stM.udiErrNo	:= 3040;
;//カウントする
;stM.uiEDCnt	:= stM.uiEDCnt + 1;
;//エラーコードを入れる
;stM.udiSubErr	:= stDevIn.astAXK[0].udiErr;</v>
      </c>
      <c r="BC12" t="str">
        <f ca="1">IF($AM12="●",IF(LEN(BB12),BB12&amp;CHAR(10),"")&amp;";//"&amp;$B$29,"")</f>
        <v xml:space="preserve">
LDP stEx304.x2
AND=.D stM.udiErrNo #0
BOX_ST
;//このスクリプトは C:\tk\prj\hg-0025-0016\git\kv-x520\doc\[kv_script_exe_errno.xlsm]info_script によって生成されました。
;//エラーNo.を入れる
;stM.udiErrNo	:= 3040;
;//カウントする
;stM.uiEDCnt	:= stM.uiEDCnt + 1;
;//エラーコードを入れる
;stM.udiSubErr	:= stDevIn.astAXK[0].udiErr;
;//-----ここまで生成script-----</v>
      </c>
      <c r="BE12">
        <f t="shared" si="17"/>
        <v>1</v>
      </c>
      <c r="BF12">
        <f t="shared" si="18"/>
        <v>1</v>
      </c>
      <c r="BG12" t="str">
        <f t="shared" si="19"/>
        <v>stEx304.x1	 := FALSE;</v>
      </c>
      <c r="BH12" t="str">
        <f t="shared" si="32"/>
        <v xml:space="preserve">stEx304.x1	 := FALSE;
</v>
      </c>
    </row>
    <row r="13" spans="1:60" x14ac:dyDescent="0.55000000000000004">
      <c r="D13">
        <v>5</v>
      </c>
      <c r="E13" t="str">
        <f t="shared" si="2"/>
        <v>stEx305</v>
      </c>
      <c r="F13" t="str">
        <f t="shared" si="20"/>
        <v>EXE_DIREC</v>
      </c>
      <c r="G13" t="str">
        <f t="shared" si="3"/>
        <v>&gt;△●UNI01平供給</v>
      </c>
      <c r="I13" t="s">
        <v>62</v>
      </c>
      <c r="J13" t="s">
        <v>0</v>
      </c>
      <c r="L13" t="b">
        <v>0</v>
      </c>
      <c r="M13" t="b">
        <v>0</v>
      </c>
      <c r="N13" t="b">
        <v>0</v>
      </c>
      <c r="O13" t="s">
        <v>63</v>
      </c>
      <c r="Z13" t="str">
        <f t="shared" si="21"/>
        <v/>
      </c>
      <c r="AA13" t="str">
        <f t="shared" si="22"/>
        <v/>
      </c>
      <c r="AB13" t="str">
        <f t="shared" si="22"/>
        <v/>
      </c>
      <c r="AC13">
        <f t="shared" si="22"/>
        <v>1</v>
      </c>
      <c r="AD13" t="str">
        <f t="shared" si="23"/>
        <v/>
      </c>
      <c r="AE13" t="str">
        <f t="shared" si="4"/>
        <v/>
      </c>
      <c r="AF13" t="str">
        <f t="shared" si="24"/>
        <v/>
      </c>
      <c r="AG13" t="str">
        <f t="shared" si="25"/>
        <v/>
      </c>
      <c r="AH13" t="str">
        <f t="shared" si="26"/>
        <v/>
      </c>
      <c r="AI13" t="str">
        <f t="shared" si="27"/>
        <v/>
      </c>
      <c r="AJ13" t="str">
        <f t="shared" si="28"/>
        <v>stUni1Out</v>
      </c>
      <c r="AK13" t="str">
        <f t="shared" si="29"/>
        <v>stUni1Out</v>
      </c>
      <c r="AM13" t="str">
        <f t="shared" si="5"/>
        <v>●</v>
      </c>
      <c r="AN13">
        <f t="shared" si="6"/>
        <v>3050</v>
      </c>
      <c r="AO13" t="str">
        <f t="shared" si="7"/>
        <v>LDP stEx305.x2</v>
      </c>
      <c r="AP13" t="str">
        <f t="shared" si="8"/>
        <v>AND=.D stM.udiErrNo #0</v>
      </c>
      <c r="AQ13" t="str">
        <f t="shared" si="9"/>
        <v>MOV.D #3050 stM.udiErrNo</v>
      </c>
      <c r="AR13" t="str">
        <f t="shared" si="10"/>
        <v>MOV.D stUni1Out stM.udiSubErr</v>
      </c>
      <c r="AS13" t="str">
        <f t="shared" si="11"/>
        <v xml:space="preserve">
LDP stEx305.x2</v>
      </c>
      <c r="AT13" t="str">
        <f t="shared" si="12"/>
        <v xml:space="preserve">
LDP stEx305.x2
AND=.D stM.udiErrNo #0</v>
      </c>
      <c r="AU13" t="str">
        <f t="shared" si="13"/>
        <v xml:space="preserve">
LDP stEx305.x2
AND=.D stM.udiErrNo #0
MOV.D #3050 stM.udiErrNo</v>
      </c>
      <c r="AV13" t="str">
        <f t="shared" si="30"/>
        <v xml:space="preserve">
LDP stEx305.x2
AND=.D stM.udiErrNo #0
MOV.D #3050 stM.udiErrNo
MOV.D stUni1Out stM.udiSubErr</v>
      </c>
      <c r="AW13" t="str">
        <f t="shared" si="31"/>
        <v xml:space="preserve">
LDP stEx305.x2
AND=.D stM.udiErrNo #0
MOV.D #3050 stM.udiErrNo
MOV.D stUni1Out stM.udiSubErr</v>
      </c>
      <c r="AY13" t="str">
        <f ca="1">IF($AM13="●",AT13&amp;CHAR(10)&amp;"BOX_ST"&amp;CHAR(10)&amp;";//"&amp;$B$28,"")</f>
        <v xml:space="preserve">
LDP stEx305.x2
AND=.D stM.udiErrNo #0
BOX_ST
;//このスクリプトは C:\tk\prj\hg-0025-0016\git\kv-x520\doc\[kv_script_exe_errno.xlsm]info_script によって生成されました。</v>
      </c>
      <c r="AZ13" t="str">
        <f t="shared" ca="1" si="14"/>
        <v xml:space="preserve">
LDP stEx305.x2
AND=.D stM.udiErrNo #0
BOX_ST
;//このスクリプトは C:\tk\prj\hg-0025-0016\git\kv-x520\doc\[kv_script_exe_errno.xlsm]info_script によって生成されました。
;//エラーNo.を入れる
;stM.udiErrNo	:= 3050;</v>
      </c>
      <c r="BA13" t="str">
        <f t="shared" ca="1" si="15"/>
        <v xml:space="preserve">
LDP stEx305.x2
AND=.D stM.udiErrNo #0
BOX_ST
;//このスクリプトは C:\tk\prj\hg-0025-0016\git\kv-x520\doc\[kv_script_exe_errno.xlsm]info_script によって生成されました。
;//エラーNo.を入れる
;stM.udiErrNo	:= 3050;
;//カウントする
;stM.uiEDCnt	:= stM.uiEDCnt + 1;</v>
      </c>
      <c r="BB13" t="str">
        <f t="shared" ca="1" si="16"/>
        <v xml:space="preserve">
LDP stEx305.x2
AND=.D stM.udiErrNo #0
BOX_ST
;//このスクリプトは C:\tk\prj\hg-0025-0016\git\kv-x520\doc\[kv_script_exe_errno.xlsm]info_script によって生成されました。
;//エラーNo.を入れる
;stM.udiErrNo	:= 3050;
;//カウントする
;stM.uiEDCnt	:= stM.uiEDCnt + 1;
;//エラーコードを入れる
;stM.udiSubErr	:= stUni1Out.udiErr;</v>
      </c>
      <c r="BC13" t="str">
        <f ca="1">IF($AM13="●",IF(LEN(BB13),BB13&amp;CHAR(10),"")&amp;";//"&amp;$B$29,"")</f>
        <v xml:space="preserve">
LDP stEx305.x2
AND=.D stM.udiErrNo #0
BOX_ST
;//このスクリプトは C:\tk\prj\hg-0025-0016\git\kv-x520\doc\[kv_script_exe_errno.xlsm]info_script によって生成されました。
;//エラーNo.を入れる
;stM.udiErrNo	:= 3050;
;//カウントする
;stM.uiEDCnt	:= stM.uiEDCnt + 1;
;//エラーコードを入れる
;stM.udiSubErr	:= stUni1Out.udiErr;
;//-----ここまで生成script-----</v>
      </c>
      <c r="BE13">
        <f t="shared" si="17"/>
        <v>1</v>
      </c>
      <c r="BF13">
        <f t="shared" si="18"/>
        <v>2</v>
      </c>
      <c r="BG13" t="str">
        <f t="shared" si="19"/>
        <v>stEx305.x2	 := FALSE;</v>
      </c>
      <c r="BH13" t="str">
        <f t="shared" si="32"/>
        <v xml:space="preserve">stEx305.x2	 := FALSE;
</v>
      </c>
    </row>
    <row r="14" spans="1:60" x14ac:dyDescent="0.55000000000000004">
      <c r="A14" t="s">
        <v>3</v>
      </c>
      <c r="B14" t="s">
        <v>2</v>
      </c>
      <c r="D14">
        <v>6</v>
      </c>
      <c r="E14" t="str">
        <f t="shared" si="2"/>
        <v>stEx306</v>
      </c>
      <c r="F14" t="str">
        <f t="shared" si="20"/>
        <v>EXE_DIREC</v>
      </c>
      <c r="G14" t="str">
        <f t="shared" si="3"/>
        <v>&gt;△●CYL05 平ﾊﾝ前後 前進</v>
      </c>
      <c r="I14" t="s">
        <v>64</v>
      </c>
      <c r="J14" t="s">
        <v>0</v>
      </c>
      <c r="L14" t="b">
        <v>0</v>
      </c>
      <c r="M14" t="b">
        <v>0</v>
      </c>
      <c r="N14" t="b">
        <v>0</v>
      </c>
      <c r="O14" t="s">
        <v>65</v>
      </c>
      <c r="Z14" t="str">
        <f t="shared" si="21"/>
        <v/>
      </c>
      <c r="AA14">
        <f t="shared" si="22"/>
        <v>5</v>
      </c>
      <c r="AB14" t="str">
        <f t="shared" si="22"/>
        <v/>
      </c>
      <c r="AC14" t="str">
        <f t="shared" si="22"/>
        <v/>
      </c>
      <c r="AD14" t="str">
        <f t="shared" si="23"/>
        <v/>
      </c>
      <c r="AE14" t="str">
        <f t="shared" si="4"/>
        <v/>
      </c>
      <c r="AF14" t="str">
        <f t="shared" si="24"/>
        <v/>
      </c>
      <c r="AG14" t="str">
        <f t="shared" si="25"/>
        <v/>
      </c>
      <c r="AH14" t="str">
        <f t="shared" si="26"/>
        <v>stDevIn.astCYL[4]</v>
      </c>
      <c r="AI14" t="str">
        <f t="shared" si="27"/>
        <v/>
      </c>
      <c r="AJ14" t="str">
        <f t="shared" si="28"/>
        <v/>
      </c>
      <c r="AK14" t="str">
        <f t="shared" si="29"/>
        <v>stDevIn.astCYL[4]</v>
      </c>
      <c r="AM14" t="str">
        <f t="shared" si="5"/>
        <v>●</v>
      </c>
      <c r="AN14">
        <f t="shared" si="6"/>
        <v>3060</v>
      </c>
      <c r="AO14" t="str">
        <f t="shared" si="7"/>
        <v>LDP stEx306.x2</v>
      </c>
      <c r="AP14" t="str">
        <f t="shared" si="8"/>
        <v>AND=.D stM.udiErrNo #0</v>
      </c>
      <c r="AQ14" t="str">
        <f t="shared" si="9"/>
        <v>MOV.D #3060 stM.udiErrNo</v>
      </c>
      <c r="AR14" t="str">
        <f t="shared" si="10"/>
        <v>MOV.D stDevIn.astCYL[4] stM.udiSubErr</v>
      </c>
      <c r="AS14" t="str">
        <f t="shared" si="11"/>
        <v xml:space="preserve">
LDP stEx306.x2</v>
      </c>
      <c r="AT14" t="str">
        <f t="shared" si="12"/>
        <v xml:space="preserve">
LDP stEx306.x2
AND=.D stM.udiErrNo #0</v>
      </c>
      <c r="AU14" t="str">
        <f t="shared" si="13"/>
        <v xml:space="preserve">
LDP stEx306.x2
AND=.D stM.udiErrNo #0
MOV.D #3060 stM.udiErrNo</v>
      </c>
      <c r="AV14" t="str">
        <f t="shared" si="30"/>
        <v xml:space="preserve">
LDP stEx306.x2
AND=.D stM.udiErrNo #0
MOV.D #3060 stM.udiErrNo
MOV.D stDevIn.astCYL[4] stM.udiSubErr</v>
      </c>
      <c r="AW14" t="str">
        <f t="shared" si="31"/>
        <v xml:space="preserve">
LDP stEx306.x2
AND=.D stM.udiErrNo #0
MOV.D #3060 stM.udiErrNo
MOV.D stDevIn.astCYL[4] stM.udiSubErr</v>
      </c>
      <c r="AY14" t="str">
        <f ca="1">IF($AM14="●",AT14&amp;CHAR(10)&amp;"BOX_ST"&amp;CHAR(10)&amp;";//"&amp;$B$28,"")</f>
        <v xml:space="preserve">
LDP stEx306.x2
AND=.D stM.udiErrNo #0
BOX_ST
;//このスクリプトは C:\tk\prj\hg-0025-0016\git\kv-x520\doc\[kv_script_exe_errno.xlsm]info_script によって生成されました。</v>
      </c>
      <c r="AZ14" t="str">
        <f t="shared" ca="1" si="14"/>
        <v xml:space="preserve">
LDP stEx306.x2
AND=.D stM.udiErrNo #0
BOX_ST
;//このスクリプトは C:\tk\prj\hg-0025-0016\git\kv-x520\doc\[kv_script_exe_errno.xlsm]info_script によって生成されました。
;//エラーNo.を入れる
;stM.udiErrNo	:= 3060;</v>
      </c>
      <c r="BA14" t="str">
        <f t="shared" ca="1" si="15"/>
        <v xml:space="preserve">
LDP stEx306.x2
AND=.D stM.udiErrNo #0
BOX_ST
;//このスクリプトは C:\tk\prj\hg-0025-0016\git\kv-x520\doc\[kv_script_exe_errno.xlsm]info_script によって生成されました。
;//エラーNo.を入れる
;stM.udiErrNo	:= 3060;
;//カウントする
;stM.uiEDCnt	:= stM.uiEDCnt + 1;</v>
      </c>
      <c r="BB14" t="str">
        <f t="shared" ca="1" si="16"/>
        <v xml:space="preserve">
LDP stEx306.x2
AND=.D stM.udiErrNo #0
BOX_ST
;//このスクリプトは C:\tk\prj\hg-0025-0016\git\kv-x520\doc\[kv_script_exe_errno.xlsm]info_script によって生成されました。
;//エラーNo.を入れる
;stM.udiErrNo	:= 3060;
;//カウントする
;stM.uiEDCnt	:= stM.uiEDCnt + 1;
;//エラーコードを入れる
;stM.udiSubErr	:= stDevIn.astCYL[4].udiErr;</v>
      </c>
      <c r="BC14" t="str">
        <f ca="1">IF($AM14="●",IF(LEN(BB14),BB14&amp;CHAR(10),"")&amp;";//"&amp;$B$29,"")</f>
        <v xml:space="preserve">
LDP stEx306.x2
AND=.D stM.udiErrNo #0
BOX_ST
;//このスクリプトは C:\tk\prj\hg-0025-0016\git\kv-x520\doc\[kv_script_exe_errno.xlsm]info_script によって生成されました。
;//エラーNo.を入れる
;stM.udiErrNo	:= 3060;
;//カウントする
;stM.uiEDCnt	:= stM.uiEDCnt + 1;
;//エラーコードを入れる
;stM.udiSubErr	:= stDevIn.astCYL[4].udiErr;
;//-----ここまで生成script-----</v>
      </c>
      <c r="BE14">
        <f t="shared" si="17"/>
        <v>2</v>
      </c>
      <c r="BF14">
        <f t="shared" si="18"/>
        <v>0</v>
      </c>
      <c r="BG14" t="str">
        <f t="shared" si="19"/>
        <v>stEx306.x0	 := FALSE;</v>
      </c>
      <c r="BH14" t="str">
        <f t="shared" si="32"/>
        <v xml:space="preserve">stEx306.x0	 := FALSE;
</v>
      </c>
    </row>
    <row r="15" spans="1:60" x14ac:dyDescent="0.55000000000000004">
      <c r="A15" t="s">
        <v>1</v>
      </c>
      <c r="B15" t="s">
        <v>34</v>
      </c>
      <c r="D15">
        <v>7</v>
      </c>
      <c r="E15" t="str">
        <f t="shared" si="2"/>
        <v>stEx307</v>
      </c>
      <c r="F15" t="str">
        <f t="shared" si="20"/>
        <v>EXE_DIREC</v>
      </c>
      <c r="G15" t="str">
        <f t="shared" si="3"/>
        <v>&gt;●CYL06平ﾊﾝ とじ</v>
      </c>
      <c r="I15" t="s">
        <v>66</v>
      </c>
      <c r="J15" t="s">
        <v>0</v>
      </c>
      <c r="L15" t="b">
        <v>0</v>
      </c>
      <c r="M15" t="b">
        <v>0</v>
      </c>
      <c r="N15" t="b">
        <v>0</v>
      </c>
      <c r="O15" t="s">
        <v>67</v>
      </c>
      <c r="Z15" t="str">
        <f t="shared" si="21"/>
        <v/>
      </c>
      <c r="AA15">
        <f t="shared" si="22"/>
        <v>6</v>
      </c>
      <c r="AB15" t="str">
        <f t="shared" si="22"/>
        <v/>
      </c>
      <c r="AC15" t="str">
        <f t="shared" si="22"/>
        <v/>
      </c>
      <c r="AD15" t="str">
        <f t="shared" si="23"/>
        <v/>
      </c>
      <c r="AE15" t="str">
        <f t="shared" si="4"/>
        <v/>
      </c>
      <c r="AF15" t="str">
        <f t="shared" si="24"/>
        <v/>
      </c>
      <c r="AG15" t="str">
        <f t="shared" si="25"/>
        <v/>
      </c>
      <c r="AH15" t="str">
        <f t="shared" si="26"/>
        <v>stDevIn.astCYL[5]</v>
      </c>
      <c r="AI15" t="str">
        <f t="shared" si="27"/>
        <v/>
      </c>
      <c r="AJ15" t="str">
        <f t="shared" si="28"/>
        <v/>
      </c>
      <c r="AK15" t="str">
        <f t="shared" si="29"/>
        <v>stDevIn.astCYL[5]</v>
      </c>
      <c r="AM15" t="str">
        <f t="shared" si="5"/>
        <v>●</v>
      </c>
      <c r="AN15">
        <f t="shared" si="6"/>
        <v>3070</v>
      </c>
      <c r="AO15" t="str">
        <f t="shared" si="7"/>
        <v>LDP stEx307.x2</v>
      </c>
      <c r="AP15" t="str">
        <f t="shared" si="8"/>
        <v>AND=.D stM.udiErrNo #0</v>
      </c>
      <c r="AQ15" t="str">
        <f t="shared" si="9"/>
        <v>MOV.D #3070 stM.udiErrNo</v>
      </c>
      <c r="AR15" t="str">
        <f t="shared" si="10"/>
        <v>MOV.D stDevIn.astCYL[5] stM.udiSubErr</v>
      </c>
      <c r="AS15" t="str">
        <f t="shared" si="11"/>
        <v xml:space="preserve">
LDP stEx307.x2</v>
      </c>
      <c r="AT15" t="str">
        <f t="shared" si="12"/>
        <v xml:space="preserve">
LDP stEx307.x2
AND=.D stM.udiErrNo #0</v>
      </c>
      <c r="AU15" t="str">
        <f t="shared" si="13"/>
        <v xml:space="preserve">
LDP stEx307.x2
AND=.D stM.udiErrNo #0
MOV.D #3070 stM.udiErrNo</v>
      </c>
      <c r="AV15" t="str">
        <f t="shared" si="30"/>
        <v xml:space="preserve">
LDP stEx307.x2
AND=.D stM.udiErrNo #0
MOV.D #3070 stM.udiErrNo
MOV.D stDevIn.astCYL[5] stM.udiSubErr</v>
      </c>
      <c r="AW15" t="str">
        <f t="shared" si="31"/>
        <v xml:space="preserve">
LDP stEx307.x2
AND=.D stM.udiErrNo #0
MOV.D #3070 stM.udiErrNo
MOV.D stDevIn.astCYL[5] stM.udiSubErr</v>
      </c>
      <c r="AY15" t="str">
        <f ca="1">IF($AM15="●",AT15&amp;CHAR(10)&amp;"BOX_ST"&amp;CHAR(10)&amp;";//"&amp;$B$28,"")</f>
        <v xml:space="preserve">
LDP stEx307.x2
AND=.D stM.udiErrNo #0
BOX_ST
;//このスクリプトは C:\tk\prj\hg-0025-0016\git\kv-x520\doc\[kv_script_exe_errno.xlsm]info_script によって生成されました。</v>
      </c>
      <c r="AZ15" t="str">
        <f t="shared" ca="1" si="14"/>
        <v xml:space="preserve">
LDP stEx307.x2
AND=.D stM.udiErrNo #0
BOX_ST
;//このスクリプトは C:\tk\prj\hg-0025-0016\git\kv-x520\doc\[kv_script_exe_errno.xlsm]info_script によって生成されました。
;//エラーNo.を入れる
;stM.udiErrNo	:= 3070;</v>
      </c>
      <c r="BA15" t="str">
        <f t="shared" ca="1" si="15"/>
        <v xml:space="preserve">
LDP stEx307.x2
AND=.D stM.udiErrNo #0
BOX_ST
;//このスクリプトは C:\tk\prj\hg-0025-0016\git\kv-x520\doc\[kv_script_exe_errno.xlsm]info_script によって生成されました。
;//エラーNo.を入れる
;stM.udiErrNo	:= 3070;
;//カウントする
;stM.uiEDCnt	:= stM.uiEDCnt + 1;</v>
      </c>
      <c r="BB15" t="str">
        <f t="shared" ca="1" si="16"/>
        <v xml:space="preserve">
LDP stEx307.x2
AND=.D stM.udiErrNo #0
BOX_ST
;//このスクリプトは C:\tk\prj\hg-0025-0016\git\kv-x520\doc\[kv_script_exe_errno.xlsm]info_script によって生成されました。
;//エラーNo.を入れる
;stM.udiErrNo	:= 3070;
;//カウントする
;stM.uiEDCnt	:= stM.uiEDCnt + 1;
;//エラーコードを入れる
;stM.udiSubErr	:= stDevIn.astCYL[5].udiErr;</v>
      </c>
      <c r="BC15" t="str">
        <f ca="1">IF($AM15="●",IF(LEN(BB15),BB15&amp;CHAR(10),"")&amp;";//"&amp;$B$29,"")</f>
        <v xml:space="preserve">
LDP stEx307.x2
AND=.D stM.udiErrNo #0
BOX_ST
;//このスクリプトは C:\tk\prj\hg-0025-0016\git\kv-x520\doc\[kv_script_exe_errno.xlsm]info_script によって生成されました。
;//エラーNo.を入れる
;stM.udiErrNo	:= 3070;
;//カウントする
;stM.uiEDCnt	:= stM.uiEDCnt + 1;
;//エラーコードを入れる
;stM.udiSubErr	:= stDevIn.astCYL[5].udiErr;
;//-----ここまで生成script-----</v>
      </c>
      <c r="BE15">
        <f t="shared" si="17"/>
        <v>2</v>
      </c>
      <c r="BF15">
        <f t="shared" si="18"/>
        <v>1</v>
      </c>
      <c r="BG15" t="str">
        <f t="shared" si="19"/>
        <v>stEx307.x1	 := FALSE;</v>
      </c>
      <c r="BH15" t="str">
        <f t="shared" si="32"/>
        <v xml:space="preserve">stEx307.x1	 := FALSE;
</v>
      </c>
    </row>
    <row r="16" spans="1:60" x14ac:dyDescent="0.55000000000000004">
      <c r="A16" t="s">
        <v>25</v>
      </c>
      <c r="B16" t="s">
        <v>26</v>
      </c>
      <c r="D16">
        <v>8</v>
      </c>
      <c r="E16" t="str">
        <f t="shared" si="2"/>
        <v>stEx308</v>
      </c>
      <c r="F16" t="str">
        <f t="shared" si="20"/>
        <v>EXE_DIREC</v>
      </c>
      <c r="G16" t="str">
        <f t="shared" si="3"/>
        <v>&gt;●CYL01主軸ｼﾘ 前進</v>
      </c>
      <c r="I16" t="s">
        <v>68</v>
      </c>
      <c r="J16" t="s">
        <v>0</v>
      </c>
      <c r="L16" t="b">
        <v>0</v>
      </c>
      <c r="M16" t="b">
        <v>0</v>
      </c>
      <c r="N16" t="b">
        <v>0</v>
      </c>
      <c r="O16" t="s">
        <v>69</v>
      </c>
      <c r="Z16" t="str">
        <f t="shared" si="21"/>
        <v/>
      </c>
      <c r="AA16">
        <f t="shared" si="22"/>
        <v>1</v>
      </c>
      <c r="AB16" t="str">
        <f t="shared" si="22"/>
        <v/>
      </c>
      <c r="AC16" t="str">
        <f t="shared" si="22"/>
        <v/>
      </c>
      <c r="AD16" t="str">
        <f t="shared" si="23"/>
        <v/>
      </c>
      <c r="AE16" t="str">
        <f t="shared" si="4"/>
        <v/>
      </c>
      <c r="AF16" t="str">
        <f t="shared" si="24"/>
        <v/>
      </c>
      <c r="AG16" t="str">
        <f t="shared" si="25"/>
        <v/>
      </c>
      <c r="AH16" t="str">
        <f t="shared" si="26"/>
        <v>stDevIn.astCYL[0]</v>
      </c>
      <c r="AI16" t="str">
        <f t="shared" si="27"/>
        <v/>
      </c>
      <c r="AJ16" t="str">
        <f t="shared" si="28"/>
        <v/>
      </c>
      <c r="AK16" t="str">
        <f t="shared" si="29"/>
        <v>stDevIn.astCYL[0]</v>
      </c>
      <c r="AM16" t="str">
        <f t="shared" si="5"/>
        <v>●</v>
      </c>
      <c r="AN16">
        <f t="shared" si="6"/>
        <v>3080</v>
      </c>
      <c r="AO16" t="str">
        <f t="shared" si="7"/>
        <v>LDP stEx308.x2</v>
      </c>
      <c r="AP16" t="str">
        <f t="shared" si="8"/>
        <v>AND=.D stM.udiErrNo #0</v>
      </c>
      <c r="AQ16" t="str">
        <f t="shared" si="9"/>
        <v>MOV.D #3080 stM.udiErrNo</v>
      </c>
      <c r="AR16" t="str">
        <f t="shared" si="10"/>
        <v>MOV.D stDevIn.astCYL[0] stM.udiSubErr</v>
      </c>
      <c r="AS16" t="str">
        <f t="shared" si="11"/>
        <v xml:space="preserve">
LDP stEx308.x2</v>
      </c>
      <c r="AT16" t="str">
        <f t="shared" si="12"/>
        <v xml:space="preserve">
LDP stEx308.x2
AND=.D stM.udiErrNo #0</v>
      </c>
      <c r="AU16" t="str">
        <f t="shared" si="13"/>
        <v xml:space="preserve">
LDP stEx308.x2
AND=.D stM.udiErrNo #0
MOV.D #3080 stM.udiErrNo</v>
      </c>
      <c r="AV16" t="str">
        <f t="shared" si="30"/>
        <v xml:space="preserve">
LDP stEx308.x2
AND=.D stM.udiErrNo #0
MOV.D #3080 stM.udiErrNo
MOV.D stDevIn.astCYL[0] stM.udiSubErr</v>
      </c>
      <c r="AW16" t="str">
        <f t="shared" si="31"/>
        <v xml:space="preserve">
LDP stEx308.x2
AND=.D stM.udiErrNo #0
MOV.D #3080 stM.udiErrNo
MOV.D stDevIn.astCYL[0] stM.udiSubErr</v>
      </c>
      <c r="AY16" t="str">
        <f ca="1">IF($AM16="●",AT16&amp;CHAR(10)&amp;"BOX_ST"&amp;CHAR(10)&amp;";//"&amp;$B$28,"")</f>
        <v xml:space="preserve">
LDP stEx308.x2
AND=.D stM.udiErrNo #0
BOX_ST
;//このスクリプトは C:\tk\prj\hg-0025-0016\git\kv-x520\doc\[kv_script_exe_errno.xlsm]info_script によって生成されました。</v>
      </c>
      <c r="AZ16" t="str">
        <f t="shared" ca="1" si="14"/>
        <v xml:space="preserve">
LDP stEx308.x2
AND=.D stM.udiErrNo #0
BOX_ST
;//このスクリプトは C:\tk\prj\hg-0025-0016\git\kv-x520\doc\[kv_script_exe_errno.xlsm]info_script によって生成されました。
;//エラーNo.を入れる
;stM.udiErrNo	:= 3080;</v>
      </c>
      <c r="BA16" t="str">
        <f t="shared" ca="1" si="15"/>
        <v xml:space="preserve">
LDP stEx308.x2
AND=.D stM.udiErrNo #0
BOX_ST
;//このスクリプトは C:\tk\prj\hg-0025-0016\git\kv-x520\doc\[kv_script_exe_errno.xlsm]info_script によって生成されました。
;//エラーNo.を入れる
;stM.udiErrNo	:= 3080;
;//カウントする
;stM.uiEDCnt	:= stM.uiEDCnt + 1;</v>
      </c>
      <c r="BB16" t="str">
        <f t="shared" ca="1" si="16"/>
        <v xml:space="preserve">
LDP stEx308.x2
AND=.D stM.udiErrNo #0
BOX_ST
;//このスクリプトは C:\tk\prj\hg-0025-0016\git\kv-x520\doc\[kv_script_exe_errno.xlsm]info_script によって生成されました。
;//エラーNo.を入れる
;stM.udiErrNo	:= 3080;
;//カウントする
;stM.uiEDCnt	:= stM.uiEDCnt + 1;
;//エラーコードを入れる
;stM.udiSubErr	:= stDevIn.astCYL[0].udiErr;</v>
      </c>
      <c r="BC16" t="str">
        <f ca="1">IF($AM16="●",IF(LEN(BB16),BB16&amp;CHAR(10),"")&amp;";//"&amp;$B$29,"")</f>
        <v xml:space="preserve">
LDP stEx308.x2
AND=.D stM.udiErrNo #0
BOX_ST
;//このスクリプトは C:\tk\prj\hg-0025-0016\git\kv-x520\doc\[kv_script_exe_errno.xlsm]info_script によって生成されました。
;//エラーNo.を入れる
;stM.udiErrNo	:= 3080;
;//カウントする
;stM.uiEDCnt	:= stM.uiEDCnt + 1;
;//エラーコードを入れる
;stM.udiSubErr	:= stDevIn.astCYL[0].udiErr;
;//-----ここまで生成script-----</v>
      </c>
      <c r="BE16">
        <f t="shared" si="17"/>
        <v>2</v>
      </c>
      <c r="BF16">
        <f t="shared" si="18"/>
        <v>2</v>
      </c>
      <c r="BG16" t="str">
        <f t="shared" si="19"/>
        <v>stEx308.x2	 := FALSE;</v>
      </c>
      <c r="BH16" t="str">
        <f t="shared" si="32"/>
        <v xml:space="preserve">stEx308.x2	 := FALSE;
</v>
      </c>
    </row>
    <row r="17" spans="1:60" x14ac:dyDescent="0.55000000000000004">
      <c r="A17" t="s">
        <v>19</v>
      </c>
      <c r="B17" t="s">
        <v>29</v>
      </c>
      <c r="D17">
        <v>9</v>
      </c>
      <c r="E17" t="str">
        <f t="shared" si="2"/>
        <v>stEx309</v>
      </c>
      <c r="F17" t="str">
        <f t="shared" si="20"/>
        <v>EXE_DIREC</v>
      </c>
      <c r="G17" t="str">
        <f t="shared" si="3"/>
        <v>&gt;&gt;●CYL06平ﾊﾝ ひらき</v>
      </c>
      <c r="I17" t="s">
        <v>70</v>
      </c>
      <c r="J17" t="s">
        <v>0</v>
      </c>
      <c r="L17" t="b">
        <v>0</v>
      </c>
      <c r="M17" t="b">
        <v>0</v>
      </c>
      <c r="N17" t="b">
        <v>0</v>
      </c>
      <c r="O17" t="s">
        <v>100</v>
      </c>
      <c r="Z17" t="str">
        <f t="shared" si="21"/>
        <v/>
      </c>
      <c r="AA17">
        <f t="shared" si="22"/>
        <v>6</v>
      </c>
      <c r="AB17" t="str">
        <f t="shared" si="22"/>
        <v/>
      </c>
      <c r="AC17" t="str">
        <f t="shared" si="22"/>
        <v/>
      </c>
      <c r="AD17" t="str">
        <f t="shared" si="23"/>
        <v/>
      </c>
      <c r="AE17" t="str">
        <f t="shared" si="4"/>
        <v/>
      </c>
      <c r="AF17" t="str">
        <f t="shared" si="24"/>
        <v/>
      </c>
      <c r="AG17" t="str">
        <f t="shared" si="25"/>
        <v/>
      </c>
      <c r="AH17" t="str">
        <f t="shared" si="26"/>
        <v>stDevIn.astCYL[5]</v>
      </c>
      <c r="AI17" t="str">
        <f t="shared" si="27"/>
        <v/>
      </c>
      <c r="AJ17" t="str">
        <f t="shared" si="28"/>
        <v/>
      </c>
      <c r="AK17" t="str">
        <f t="shared" si="29"/>
        <v>stDevIn.astCYL[5]</v>
      </c>
      <c r="AM17" t="str">
        <f t="shared" si="5"/>
        <v>●</v>
      </c>
      <c r="AN17">
        <f t="shared" si="6"/>
        <v>3090</v>
      </c>
      <c r="AO17" t="str">
        <f t="shared" si="7"/>
        <v>LDP stEx309.x2</v>
      </c>
      <c r="AP17" t="str">
        <f t="shared" si="8"/>
        <v>AND=.D stM.udiErrNo #0</v>
      </c>
      <c r="AQ17" t="str">
        <f t="shared" si="9"/>
        <v>MOV.D #3090 stM.udiErrNo</v>
      </c>
      <c r="AR17" t="str">
        <f t="shared" si="10"/>
        <v>MOV.D stDevIn.astCYL[5] stM.udiSubErr</v>
      </c>
      <c r="AS17" t="str">
        <f t="shared" si="11"/>
        <v xml:space="preserve">
LDP stEx309.x2</v>
      </c>
      <c r="AT17" t="str">
        <f t="shared" si="12"/>
        <v xml:space="preserve">
LDP stEx309.x2
AND=.D stM.udiErrNo #0</v>
      </c>
      <c r="AU17" t="str">
        <f t="shared" si="13"/>
        <v xml:space="preserve">
LDP stEx309.x2
AND=.D stM.udiErrNo #0
MOV.D #3090 stM.udiErrNo</v>
      </c>
      <c r="AV17" t="str">
        <f t="shared" si="30"/>
        <v xml:space="preserve">
LDP stEx309.x2
AND=.D stM.udiErrNo #0
MOV.D #3090 stM.udiErrNo
MOV.D stDevIn.astCYL[5] stM.udiSubErr</v>
      </c>
      <c r="AW17" t="str">
        <f t="shared" si="31"/>
        <v xml:space="preserve">
LDP stEx309.x2
AND=.D stM.udiErrNo #0
MOV.D #3090 stM.udiErrNo
MOV.D stDevIn.astCYL[5] stM.udiSubErr</v>
      </c>
      <c r="AY17" t="str">
        <f ca="1">IF($AM17="●",AT17&amp;CHAR(10)&amp;"BOX_ST"&amp;CHAR(10)&amp;";//"&amp;$B$28,"")</f>
        <v xml:space="preserve">
LDP stEx309.x2
AND=.D stM.udiErrNo #0
BOX_ST
;//このスクリプトは C:\tk\prj\hg-0025-0016\git\kv-x520\doc\[kv_script_exe_errno.xlsm]info_script によって生成されました。</v>
      </c>
      <c r="AZ17" t="str">
        <f t="shared" ca="1" si="14"/>
        <v xml:space="preserve">
LDP stEx309.x2
AND=.D stM.udiErrNo #0
BOX_ST
;//このスクリプトは C:\tk\prj\hg-0025-0016\git\kv-x520\doc\[kv_script_exe_errno.xlsm]info_script によって生成されました。
;//エラーNo.を入れる
;stM.udiErrNo	:= 3090;</v>
      </c>
      <c r="BA17" t="str">
        <f t="shared" ca="1" si="15"/>
        <v xml:space="preserve">
LDP stEx309.x2
AND=.D stM.udiErrNo #0
BOX_ST
;//このスクリプトは C:\tk\prj\hg-0025-0016\git\kv-x520\doc\[kv_script_exe_errno.xlsm]info_script によって生成されました。
;//エラーNo.を入れる
;stM.udiErrNo	:= 3090;
;//カウントする
;stM.uiEDCnt	:= stM.uiEDCnt + 1;</v>
      </c>
      <c r="BB17" t="str">
        <f t="shared" ca="1" si="16"/>
        <v xml:space="preserve">
LDP stEx309.x2
AND=.D stM.udiErrNo #0
BOX_ST
;//このスクリプトは C:\tk\prj\hg-0025-0016\git\kv-x520\doc\[kv_script_exe_errno.xlsm]info_script によって生成されました。
;//エラーNo.を入れる
;stM.udiErrNo	:= 3090;
;//カウントする
;stM.uiEDCnt	:= stM.uiEDCnt + 1;
;//エラーコードを入れる
;stM.udiSubErr	:= stDevIn.astCYL[5].udiErr;</v>
      </c>
      <c r="BC17" t="str">
        <f ca="1">IF($AM17="●",IF(LEN(BB17),BB17&amp;CHAR(10),"")&amp;";//"&amp;$B$29,"")</f>
        <v xml:space="preserve">
LDP stEx309.x2
AND=.D stM.udiErrNo #0
BOX_ST
;//このスクリプトは C:\tk\prj\hg-0025-0016\git\kv-x520\doc\[kv_script_exe_errno.xlsm]info_script によって生成されました。
;//エラーNo.を入れる
;stM.udiErrNo	:= 3090;
;//カウントする
;stM.uiEDCnt	:= stM.uiEDCnt + 1;
;//エラーコードを入れる
;stM.udiSubErr	:= stDevIn.astCYL[5].udiErr;
;//-----ここまで生成script-----</v>
      </c>
      <c r="BE17">
        <f t="shared" si="17"/>
        <v>3</v>
      </c>
      <c r="BF17">
        <f t="shared" si="18"/>
        <v>0</v>
      </c>
      <c r="BG17" t="str">
        <f t="shared" si="19"/>
        <v>stEx309.x0	 := FALSE;</v>
      </c>
      <c r="BH17" t="str">
        <f t="shared" si="32"/>
        <v xml:space="preserve">stEx309.x0	 := FALSE;
</v>
      </c>
    </row>
    <row r="18" spans="1:60" x14ac:dyDescent="0.55000000000000004">
      <c r="D18">
        <v>10</v>
      </c>
      <c r="E18" t="str">
        <f t="shared" si="2"/>
        <v>stEx310</v>
      </c>
      <c r="F18" t="str">
        <f t="shared" si="20"/>
        <v>EXE_DIREC</v>
      </c>
      <c r="G18" t="str">
        <f t="shared" si="3"/>
        <v>&gt;&gt;●CYL05 平ﾊﾝ前後 後退</v>
      </c>
      <c r="I18" t="s">
        <v>71</v>
      </c>
      <c r="J18" t="s">
        <v>0</v>
      </c>
      <c r="L18" t="b">
        <v>0</v>
      </c>
      <c r="M18" t="b">
        <v>0</v>
      </c>
      <c r="N18" t="b">
        <v>0</v>
      </c>
      <c r="O18" t="s">
        <v>73</v>
      </c>
      <c r="Z18" t="str">
        <f t="shared" si="21"/>
        <v/>
      </c>
      <c r="AA18">
        <f t="shared" si="22"/>
        <v>5</v>
      </c>
      <c r="AB18" t="str">
        <f t="shared" si="22"/>
        <v/>
      </c>
      <c r="AC18" t="str">
        <f t="shared" si="22"/>
        <v/>
      </c>
      <c r="AD18" t="str">
        <f t="shared" si="23"/>
        <v/>
      </c>
      <c r="AE18" t="str">
        <f t="shared" si="4"/>
        <v/>
      </c>
      <c r="AF18" t="str">
        <f t="shared" si="24"/>
        <v/>
      </c>
      <c r="AG18" t="str">
        <f t="shared" si="25"/>
        <v/>
      </c>
      <c r="AH18" t="str">
        <f t="shared" si="26"/>
        <v>stDevIn.astCYL[4]</v>
      </c>
      <c r="AI18" t="str">
        <f t="shared" si="27"/>
        <v/>
      </c>
      <c r="AJ18" t="str">
        <f t="shared" si="28"/>
        <v/>
      </c>
      <c r="AK18" t="str">
        <f t="shared" si="29"/>
        <v>stDevIn.astCYL[4]</v>
      </c>
      <c r="AM18" t="str">
        <f t="shared" si="5"/>
        <v>●</v>
      </c>
      <c r="AN18">
        <f t="shared" si="6"/>
        <v>3100</v>
      </c>
      <c r="AO18" t="str">
        <f t="shared" si="7"/>
        <v>LDP stEx310.x2</v>
      </c>
      <c r="AP18" t="str">
        <f t="shared" si="8"/>
        <v>AND=.D stM.udiErrNo #0</v>
      </c>
      <c r="AQ18" t="str">
        <f t="shared" si="9"/>
        <v>MOV.D #3100 stM.udiErrNo</v>
      </c>
      <c r="AR18" t="str">
        <f t="shared" si="10"/>
        <v>MOV.D stDevIn.astCYL[4] stM.udiSubErr</v>
      </c>
      <c r="AS18" t="str">
        <f t="shared" si="11"/>
        <v xml:space="preserve">
LDP stEx310.x2</v>
      </c>
      <c r="AT18" t="str">
        <f t="shared" si="12"/>
        <v xml:space="preserve">
LDP stEx310.x2
AND=.D stM.udiErrNo #0</v>
      </c>
      <c r="AU18" t="str">
        <f t="shared" si="13"/>
        <v xml:space="preserve">
LDP stEx310.x2
AND=.D stM.udiErrNo #0
MOV.D #3100 stM.udiErrNo</v>
      </c>
      <c r="AV18" t="str">
        <f t="shared" si="30"/>
        <v xml:space="preserve">
LDP stEx310.x2
AND=.D stM.udiErrNo #0
MOV.D #3100 stM.udiErrNo
MOV.D stDevIn.astCYL[4] stM.udiSubErr</v>
      </c>
      <c r="AW18" t="str">
        <f t="shared" si="31"/>
        <v xml:space="preserve">
LDP stEx310.x2
AND=.D stM.udiErrNo #0
MOV.D #3100 stM.udiErrNo
MOV.D stDevIn.astCYL[4] stM.udiSubErr</v>
      </c>
      <c r="AY18" t="str">
        <f ca="1">IF($AM18="●",AT18&amp;CHAR(10)&amp;"BOX_ST"&amp;CHAR(10)&amp;";//"&amp;$B$28,"")</f>
        <v xml:space="preserve">
LDP stEx310.x2
AND=.D stM.udiErrNo #0
BOX_ST
;//このスクリプトは C:\tk\prj\hg-0025-0016\git\kv-x520\doc\[kv_script_exe_errno.xlsm]info_script によって生成されました。</v>
      </c>
      <c r="AZ18" t="str">
        <f t="shared" ca="1" si="14"/>
        <v xml:space="preserve">
LDP stEx310.x2
AND=.D stM.udiErrNo #0
BOX_ST
;//このスクリプトは C:\tk\prj\hg-0025-0016\git\kv-x520\doc\[kv_script_exe_errno.xlsm]info_script によって生成されました。
;//エラーNo.を入れる
;stM.udiErrNo	:= 3100;</v>
      </c>
      <c r="BA18" t="str">
        <f t="shared" ca="1" si="15"/>
        <v xml:space="preserve">
LDP stEx310.x2
AND=.D stM.udiErrNo #0
BOX_ST
;//このスクリプトは C:\tk\prj\hg-0025-0016\git\kv-x520\doc\[kv_script_exe_errno.xlsm]info_script によって生成されました。
;//エラーNo.を入れる
;stM.udiErrNo	:= 3100;
;//カウントする
;stM.uiEDCnt	:= stM.uiEDCnt + 1;</v>
      </c>
      <c r="BB18" t="str">
        <f t="shared" ca="1" si="16"/>
        <v xml:space="preserve">
LDP stEx310.x2
AND=.D stM.udiErrNo #0
BOX_ST
;//このスクリプトは C:\tk\prj\hg-0025-0016\git\kv-x520\doc\[kv_script_exe_errno.xlsm]info_script によって生成されました。
;//エラーNo.を入れる
;stM.udiErrNo	:= 3100;
;//カウントする
;stM.uiEDCnt	:= stM.uiEDCnt + 1;
;//エラーコードを入れる
;stM.udiSubErr	:= stDevIn.astCYL[4].udiErr;</v>
      </c>
      <c r="BC18" t="str">
        <f ca="1">IF($AM18="●",IF(LEN(BB18),BB18&amp;CHAR(10),"")&amp;";//"&amp;$B$29,"")</f>
        <v xml:space="preserve">
LDP stEx310.x2
AND=.D stM.udiErrNo #0
BOX_ST
;//このスクリプトは C:\tk\prj\hg-0025-0016\git\kv-x520\doc\[kv_script_exe_errno.xlsm]info_script によって生成されました。
;//エラーNo.を入れる
;stM.udiErrNo	:= 3100;
;//カウントする
;stM.uiEDCnt	:= stM.uiEDCnt + 1;
;//エラーコードを入れる
;stM.udiSubErr	:= stDevIn.astCYL[4].udiErr;
;//-----ここまで生成script-----</v>
      </c>
      <c r="BE18">
        <f t="shared" si="17"/>
        <v>3</v>
      </c>
      <c r="BF18">
        <f t="shared" si="18"/>
        <v>1</v>
      </c>
      <c r="BG18" t="str">
        <f t="shared" si="19"/>
        <v>stEx310.x1	 := FALSE;</v>
      </c>
      <c r="BH18" t="str">
        <f t="shared" si="32"/>
        <v xml:space="preserve">stEx310.x1	 := FALSE;
</v>
      </c>
    </row>
    <row r="19" spans="1:60" x14ac:dyDescent="0.55000000000000004">
      <c r="D19">
        <v>11</v>
      </c>
      <c r="E19" t="str">
        <f t="shared" si="2"/>
        <v>stEx311</v>
      </c>
      <c r="F19" t="str">
        <f t="shared" si="20"/>
        <v>EXE_DIREC</v>
      </c>
      <c r="G19" t="str">
        <f t="shared" si="3"/>
        <v>&gt;&gt;◆ちょい回し 有無判定</v>
      </c>
      <c r="I19" t="s">
        <v>72</v>
      </c>
      <c r="J19" t="s">
        <v>0</v>
      </c>
      <c r="L19" t="b">
        <v>0</v>
      </c>
      <c r="M19" t="b">
        <v>0</v>
      </c>
      <c r="N19" t="b">
        <v>0</v>
      </c>
      <c r="O19" t="s">
        <v>76</v>
      </c>
      <c r="Z19" t="str">
        <f t="shared" si="21"/>
        <v/>
      </c>
      <c r="AA19" t="str">
        <f t="shared" si="22"/>
        <v/>
      </c>
      <c r="AB19" t="str">
        <f t="shared" si="22"/>
        <v/>
      </c>
      <c r="AC19" t="str">
        <f t="shared" si="22"/>
        <v/>
      </c>
      <c r="AD19" t="str">
        <f t="shared" si="23"/>
        <v/>
      </c>
      <c r="AE19" t="str">
        <f t="shared" si="4"/>
        <v/>
      </c>
      <c r="AF19" t="str">
        <f t="shared" si="24"/>
        <v/>
      </c>
      <c r="AG19" t="str">
        <f t="shared" si="25"/>
        <v/>
      </c>
      <c r="AH19" t="str">
        <f t="shared" si="26"/>
        <v/>
      </c>
      <c r="AI19" t="str">
        <f t="shared" si="27"/>
        <v/>
      </c>
      <c r="AJ19" t="str">
        <f t="shared" si="28"/>
        <v/>
      </c>
      <c r="AK19" t="str">
        <f t="shared" si="29"/>
        <v/>
      </c>
      <c r="AM19" t="str">
        <f t="shared" si="5"/>
        <v/>
      </c>
      <c r="AN19" t="str">
        <f t="shared" si="6"/>
        <v/>
      </c>
      <c r="AO19" t="str">
        <f t="shared" si="7"/>
        <v/>
      </c>
      <c r="AP19" t="str">
        <f t="shared" si="8"/>
        <v/>
      </c>
      <c r="AQ19" t="str">
        <f t="shared" si="9"/>
        <v/>
      </c>
      <c r="AR19" t="str">
        <f t="shared" si="10"/>
        <v/>
      </c>
      <c r="AS19" t="str">
        <f t="shared" si="11"/>
        <v/>
      </c>
      <c r="AT19" t="str">
        <f t="shared" si="12"/>
        <v/>
      </c>
      <c r="AU19" t="str">
        <f t="shared" si="13"/>
        <v/>
      </c>
      <c r="AV19" t="str">
        <f t="shared" si="30"/>
        <v/>
      </c>
      <c r="AW19" t="str">
        <f t="shared" si="31"/>
        <v/>
      </c>
      <c r="AY19" t="str">
        <f>IF($AM19="●",AT19&amp;CHAR(10)&amp;"BOX_ST"&amp;CHAR(10)&amp;";//"&amp;$B$28,"")</f>
        <v/>
      </c>
      <c r="AZ19" t="str">
        <f t="shared" si="14"/>
        <v/>
      </c>
      <c r="BA19" t="str">
        <f t="shared" si="15"/>
        <v/>
      </c>
      <c r="BB19" t="str">
        <f t="shared" si="16"/>
        <v/>
      </c>
      <c r="BC19" t="str">
        <f>IF($AM19="●",IF(LEN(BB19),BB19&amp;CHAR(10),"")&amp;";//"&amp;$B$29,"")</f>
        <v/>
      </c>
      <c r="BE19">
        <f t="shared" si="17"/>
        <v>3</v>
      </c>
      <c r="BF19">
        <f t="shared" si="18"/>
        <v>2</v>
      </c>
      <c r="BG19" t="str">
        <f t="shared" si="19"/>
        <v>stEx311.x2	 := FALSE;</v>
      </c>
      <c r="BH19" t="str">
        <f t="shared" si="32"/>
        <v xml:space="preserve">stEx311.x2	 := FALSE;
</v>
      </c>
    </row>
    <row r="20" spans="1:60" x14ac:dyDescent="0.55000000000000004">
      <c r="D20">
        <v>12</v>
      </c>
      <c r="E20" t="str">
        <f t="shared" si="2"/>
        <v>stEx312</v>
      </c>
      <c r="F20" t="str">
        <f t="shared" si="20"/>
        <v>EXE_DIREC</v>
      </c>
      <c r="G20" t="str">
        <f t="shared" si="3"/>
        <v>&gt;&gt;△●AXK13主軸 巻取り1回転ちょい</v>
      </c>
      <c r="I20" t="s">
        <v>74</v>
      </c>
      <c r="J20" t="s">
        <v>0</v>
      </c>
      <c r="L20" t="b">
        <v>0</v>
      </c>
      <c r="M20" t="b">
        <v>0</v>
      </c>
      <c r="N20" t="b">
        <v>0</v>
      </c>
      <c r="O20" t="s">
        <v>78</v>
      </c>
      <c r="Z20">
        <f t="shared" si="21"/>
        <v>13</v>
      </c>
      <c r="AA20" t="str">
        <f t="shared" si="22"/>
        <v/>
      </c>
      <c r="AB20" t="str">
        <f t="shared" si="22"/>
        <v/>
      </c>
      <c r="AC20" t="str">
        <f t="shared" si="22"/>
        <v/>
      </c>
      <c r="AD20" t="str">
        <f t="shared" si="23"/>
        <v/>
      </c>
      <c r="AE20" t="str">
        <f t="shared" si="4"/>
        <v>stDevIn.astAXK[0]</v>
      </c>
      <c r="AF20" t="str">
        <f t="shared" si="24"/>
        <v/>
      </c>
      <c r="AG20" t="str">
        <f t="shared" si="25"/>
        <v/>
      </c>
      <c r="AH20" t="str">
        <f t="shared" si="26"/>
        <v/>
      </c>
      <c r="AI20" t="str">
        <f t="shared" si="27"/>
        <v/>
      </c>
      <c r="AJ20" t="str">
        <f t="shared" si="28"/>
        <v/>
      </c>
      <c r="AK20" t="str">
        <f t="shared" si="29"/>
        <v>stDevIn.astAXK[0]</v>
      </c>
      <c r="AM20" t="str">
        <f t="shared" si="5"/>
        <v>●</v>
      </c>
      <c r="AN20">
        <f t="shared" si="6"/>
        <v>3120</v>
      </c>
      <c r="AO20" t="str">
        <f t="shared" si="7"/>
        <v>LDP stEx312.x2</v>
      </c>
      <c r="AP20" t="str">
        <f t="shared" si="8"/>
        <v>AND=.D stM.udiErrNo #0</v>
      </c>
      <c r="AQ20" t="str">
        <f t="shared" si="9"/>
        <v>MOV.D #3120 stM.udiErrNo</v>
      </c>
      <c r="AR20" t="str">
        <f t="shared" si="10"/>
        <v>MOV.D stDevIn.astAXK[0] stM.udiSubErr</v>
      </c>
      <c r="AS20" t="str">
        <f t="shared" si="11"/>
        <v xml:space="preserve">
LDP stEx312.x2</v>
      </c>
      <c r="AT20" t="str">
        <f t="shared" si="12"/>
        <v xml:space="preserve">
LDP stEx312.x2
AND=.D stM.udiErrNo #0</v>
      </c>
      <c r="AU20" t="str">
        <f t="shared" si="13"/>
        <v xml:space="preserve">
LDP stEx312.x2
AND=.D stM.udiErrNo #0
MOV.D #3120 stM.udiErrNo</v>
      </c>
      <c r="AV20" t="str">
        <f t="shared" si="30"/>
        <v xml:space="preserve">
LDP stEx312.x2
AND=.D stM.udiErrNo #0
MOV.D #3120 stM.udiErrNo
MOV.D stDevIn.astAXK[0] stM.udiSubErr</v>
      </c>
      <c r="AW20" t="str">
        <f t="shared" si="31"/>
        <v xml:space="preserve">
LDP stEx312.x2
AND=.D stM.udiErrNo #0
MOV.D #3120 stM.udiErrNo
MOV.D stDevIn.astAXK[0] stM.udiSubErr</v>
      </c>
      <c r="AY20" t="str">
        <f ca="1">IF($AM20="●",AT20&amp;CHAR(10)&amp;"BOX_ST"&amp;CHAR(10)&amp;";//"&amp;$B$28,"")</f>
        <v xml:space="preserve">
LDP stEx312.x2
AND=.D stM.udiErrNo #0
BOX_ST
;//このスクリプトは C:\tk\prj\hg-0025-0016\git\kv-x520\doc\[kv_script_exe_errno.xlsm]info_script によって生成されました。</v>
      </c>
      <c r="AZ20" t="str">
        <f t="shared" ca="1" si="14"/>
        <v xml:space="preserve">
LDP stEx312.x2
AND=.D stM.udiErrNo #0
BOX_ST
;//このスクリプトは C:\tk\prj\hg-0025-0016\git\kv-x520\doc\[kv_script_exe_errno.xlsm]info_script によって生成されました。
;//エラーNo.を入れる
;stM.udiErrNo	:= 3120;</v>
      </c>
      <c r="BA20" t="str">
        <f t="shared" ca="1" si="15"/>
        <v xml:space="preserve">
LDP stEx312.x2
AND=.D stM.udiErrNo #0
BOX_ST
;//このスクリプトは C:\tk\prj\hg-0025-0016\git\kv-x520\doc\[kv_script_exe_errno.xlsm]info_script によって生成されました。
;//エラーNo.を入れる
;stM.udiErrNo	:= 3120;
;//カウントする
;stM.uiEDCnt	:= stM.uiEDCnt + 1;</v>
      </c>
      <c r="BB20" t="str">
        <f t="shared" ca="1" si="16"/>
        <v xml:space="preserve">
LDP stEx312.x2
AND=.D stM.udiErrNo #0
BOX_ST
;//このスクリプトは C:\tk\prj\hg-0025-0016\git\kv-x520\doc\[kv_script_exe_errno.xlsm]info_script によって生成されました。
;//エラーNo.を入れる
;stM.udiErrNo	:= 3120;
;//カウントする
;stM.uiEDCnt	:= stM.uiEDCnt + 1;
;//エラーコードを入れる
;stM.udiSubErr	:= stDevIn.astAXK[0].udiErr;</v>
      </c>
      <c r="BC20" t="str">
        <f ca="1">IF($AM20="●",IF(LEN(BB20),BB20&amp;CHAR(10),"")&amp;";//"&amp;$B$29,"")</f>
        <v xml:space="preserve">
LDP stEx312.x2
AND=.D stM.udiErrNo #0
BOX_ST
;//このスクリプトは C:\tk\prj\hg-0025-0016\git\kv-x520\doc\[kv_script_exe_errno.xlsm]info_script によって生成されました。
;//エラーNo.を入れる
;stM.udiErrNo	:= 3120;
;//カウントする
;stM.uiEDCnt	:= stM.uiEDCnt + 1;
;//エラーコードを入れる
;stM.udiSubErr	:= stDevIn.astAXK[0].udiErr;
;//-----ここまで生成script-----</v>
      </c>
      <c r="BE20">
        <f t="shared" si="17"/>
        <v>4</v>
      </c>
      <c r="BF20">
        <f t="shared" si="18"/>
        <v>0</v>
      </c>
      <c r="BG20" t="str">
        <f t="shared" si="19"/>
        <v>stEx312.x0	 := FALSE;</v>
      </c>
      <c r="BH20" t="str">
        <f t="shared" si="32"/>
        <v xml:space="preserve">stEx312.x0	 := FALSE;
</v>
      </c>
    </row>
    <row r="21" spans="1:60" x14ac:dyDescent="0.55000000000000004">
      <c r="D21">
        <v>13</v>
      </c>
      <c r="E21" t="str">
        <f t="shared" si="2"/>
        <v>stEx313</v>
      </c>
      <c r="F21" t="str">
        <f t="shared" si="20"/>
        <v>EXE_DIREC</v>
      </c>
      <c r="G21" t="str">
        <f t="shared" si="3"/>
        <v>&gt;&gt;△●AXO02平送り 巻取り1回転ちょい</v>
      </c>
      <c r="I21" t="s">
        <v>75</v>
      </c>
      <c r="J21" t="s">
        <v>0</v>
      </c>
      <c r="L21" t="b">
        <v>0</v>
      </c>
      <c r="M21" t="b">
        <v>0</v>
      </c>
      <c r="N21" t="b">
        <v>0</v>
      </c>
      <c r="O21" t="s">
        <v>80</v>
      </c>
      <c r="Z21">
        <f t="shared" si="21"/>
        <v>2</v>
      </c>
      <c r="AA21" t="str">
        <f t="shared" si="22"/>
        <v/>
      </c>
      <c r="AB21" t="str">
        <f t="shared" si="22"/>
        <v/>
      </c>
      <c r="AC21" t="str">
        <f t="shared" si="22"/>
        <v/>
      </c>
      <c r="AD21" t="str">
        <f t="shared" si="23"/>
        <v/>
      </c>
      <c r="AE21" t="str">
        <f t="shared" si="4"/>
        <v/>
      </c>
      <c r="AF21" t="str">
        <f t="shared" si="24"/>
        <v>stDevIn.astAXO[0]</v>
      </c>
      <c r="AG21" t="str">
        <f t="shared" si="25"/>
        <v/>
      </c>
      <c r="AH21" t="str">
        <f t="shared" si="26"/>
        <v/>
      </c>
      <c r="AI21" t="str">
        <f t="shared" si="27"/>
        <v/>
      </c>
      <c r="AJ21" t="str">
        <f t="shared" si="28"/>
        <v/>
      </c>
      <c r="AK21" t="str">
        <f t="shared" si="29"/>
        <v>stDevIn.astAXO[0]</v>
      </c>
      <c r="AM21" t="str">
        <f t="shared" si="5"/>
        <v>●</v>
      </c>
      <c r="AN21">
        <f t="shared" si="6"/>
        <v>3130</v>
      </c>
      <c r="AO21" t="str">
        <f t="shared" si="7"/>
        <v>LDP stEx313.x2</v>
      </c>
      <c r="AP21" t="str">
        <f t="shared" si="8"/>
        <v>AND=.D stM.udiErrNo #0</v>
      </c>
      <c r="AQ21" t="str">
        <f t="shared" si="9"/>
        <v>MOV.D #3130 stM.udiErrNo</v>
      </c>
      <c r="AR21" t="str">
        <f t="shared" si="10"/>
        <v>MOV.D stDevIn.astAXO[0] stM.udiSubErr</v>
      </c>
      <c r="AS21" t="str">
        <f t="shared" si="11"/>
        <v xml:space="preserve">
LDP stEx313.x2</v>
      </c>
      <c r="AT21" t="str">
        <f t="shared" si="12"/>
        <v xml:space="preserve">
LDP stEx313.x2
AND=.D stM.udiErrNo #0</v>
      </c>
      <c r="AU21" t="str">
        <f t="shared" si="13"/>
        <v xml:space="preserve">
LDP stEx313.x2
AND=.D stM.udiErrNo #0
MOV.D #3130 stM.udiErrNo</v>
      </c>
      <c r="AV21" t="str">
        <f t="shared" si="30"/>
        <v xml:space="preserve">
LDP stEx313.x2
AND=.D stM.udiErrNo #0
MOV.D #3130 stM.udiErrNo
MOV.D stDevIn.astAXO[0] stM.udiSubErr</v>
      </c>
      <c r="AW21" t="str">
        <f t="shared" si="31"/>
        <v xml:space="preserve">
LDP stEx313.x2
AND=.D stM.udiErrNo #0
MOV.D #3130 stM.udiErrNo
MOV.D stDevIn.astAXO[0] stM.udiSubErr</v>
      </c>
      <c r="AY21" t="str">
        <f ca="1">IF($AM21="●",AT21&amp;CHAR(10)&amp;"BOX_ST"&amp;CHAR(10)&amp;";//"&amp;$B$28,"")</f>
        <v xml:space="preserve">
LDP stEx313.x2
AND=.D stM.udiErrNo #0
BOX_ST
;//このスクリプトは C:\tk\prj\hg-0025-0016\git\kv-x520\doc\[kv_script_exe_errno.xlsm]info_script によって生成されました。</v>
      </c>
      <c r="AZ21" t="str">
        <f t="shared" ca="1" si="14"/>
        <v xml:space="preserve">
LDP stEx313.x2
AND=.D stM.udiErrNo #0
BOX_ST
;//このスクリプトは C:\tk\prj\hg-0025-0016\git\kv-x520\doc\[kv_script_exe_errno.xlsm]info_script によって生成されました。
;//エラーNo.を入れる
;stM.udiErrNo	:= 3130;</v>
      </c>
      <c r="BA21" t="str">
        <f t="shared" ca="1" si="15"/>
        <v xml:space="preserve">
LDP stEx313.x2
AND=.D stM.udiErrNo #0
BOX_ST
;//このスクリプトは C:\tk\prj\hg-0025-0016\git\kv-x520\doc\[kv_script_exe_errno.xlsm]info_script によって生成されました。
;//エラーNo.を入れる
;stM.udiErrNo	:= 3130;
;//カウントする
;stM.uiEDCnt	:= stM.uiEDCnt + 1;</v>
      </c>
      <c r="BB21" t="str">
        <f t="shared" ca="1" si="16"/>
        <v xml:space="preserve">
LDP stEx313.x2
AND=.D stM.udiErrNo #0
BOX_ST
;//このスクリプトは C:\tk\prj\hg-0025-0016\git\kv-x520\doc\[kv_script_exe_errno.xlsm]info_script によって生成されました。
;//エラーNo.を入れる
;stM.udiErrNo	:= 3130;
;//カウントする
;stM.uiEDCnt	:= stM.uiEDCnt + 1;
;//エラーコードを入れる
;stM.udiSubErr	:= stDevIn.astAXO[0].udiErr;</v>
      </c>
      <c r="BC21" t="str">
        <f ca="1">IF($AM21="●",IF(LEN(BB21),BB21&amp;CHAR(10),"")&amp;";//"&amp;$B$29,"")</f>
        <v xml:space="preserve">
LDP stEx313.x2
AND=.D stM.udiErrNo #0
BOX_ST
;//このスクリプトは C:\tk\prj\hg-0025-0016\git\kv-x520\doc\[kv_script_exe_errno.xlsm]info_script によって生成されました。
;//エラーNo.を入れる
;stM.udiErrNo	:= 3130;
;//カウントする
;stM.uiEDCnt	:= stM.uiEDCnt + 1;
;//エラーコードを入れる
;stM.udiSubErr	:= stDevIn.astAXO[0].udiErr;
;//-----ここまで生成script-----</v>
      </c>
      <c r="BE21">
        <f t="shared" si="17"/>
        <v>4</v>
      </c>
      <c r="BF21">
        <f t="shared" si="18"/>
        <v>1</v>
      </c>
      <c r="BG21" t="str">
        <f t="shared" si="19"/>
        <v>stEx313.x1	 := FALSE;</v>
      </c>
      <c r="BH21" t="str">
        <f t="shared" si="32"/>
        <v xml:space="preserve">stEx313.x1	 := FALSE;
</v>
      </c>
    </row>
    <row r="22" spans="1:60" x14ac:dyDescent="0.55000000000000004">
      <c r="D22">
        <v>14</v>
      </c>
      <c r="E22" t="str">
        <f t="shared" si="2"/>
        <v>stEx314</v>
      </c>
      <c r="F22" t="str">
        <f t="shared" si="20"/>
        <v>EXE_DIREC</v>
      </c>
      <c r="G22" t="str">
        <f t="shared" si="3"/>
        <v>&gt;&gt;▽巻取り1回転ちょい</v>
      </c>
      <c r="I22" t="s">
        <v>77</v>
      </c>
      <c r="J22" t="s">
        <v>0</v>
      </c>
      <c r="L22" t="b">
        <v>0</v>
      </c>
      <c r="M22" t="b">
        <v>0</v>
      </c>
      <c r="N22" t="b">
        <v>0</v>
      </c>
      <c r="O22" t="s">
        <v>82</v>
      </c>
      <c r="Z22" t="str">
        <f t="shared" si="21"/>
        <v/>
      </c>
      <c r="AA22" t="str">
        <f t="shared" si="22"/>
        <v/>
      </c>
      <c r="AB22" t="str">
        <f t="shared" si="22"/>
        <v/>
      </c>
      <c r="AC22" t="str">
        <f t="shared" si="22"/>
        <v/>
      </c>
      <c r="AD22" t="str">
        <f t="shared" si="23"/>
        <v/>
      </c>
      <c r="AE22" t="str">
        <f t="shared" si="4"/>
        <v/>
      </c>
      <c r="AF22" t="str">
        <f t="shared" si="24"/>
        <v/>
      </c>
      <c r="AG22" t="str">
        <f t="shared" si="25"/>
        <v/>
      </c>
      <c r="AH22" t="str">
        <f t="shared" si="26"/>
        <v/>
      </c>
      <c r="AI22" t="str">
        <f t="shared" si="27"/>
        <v/>
      </c>
      <c r="AJ22" t="str">
        <f t="shared" si="28"/>
        <v/>
      </c>
      <c r="AK22" t="str">
        <f t="shared" si="29"/>
        <v/>
      </c>
      <c r="AM22" t="str">
        <f t="shared" si="5"/>
        <v>●</v>
      </c>
      <c r="AN22">
        <f t="shared" si="6"/>
        <v>3140</v>
      </c>
      <c r="AO22" t="str">
        <f t="shared" si="7"/>
        <v>LDP stEx314.x2</v>
      </c>
      <c r="AP22" t="str">
        <f t="shared" si="8"/>
        <v>AND=.D stM.udiErrNo #0</v>
      </c>
      <c r="AQ22" t="str">
        <f t="shared" si="9"/>
        <v>MOV.D #3140 stM.udiErrNo</v>
      </c>
      <c r="AR22" t="str">
        <f t="shared" si="10"/>
        <v/>
      </c>
      <c r="AS22" t="str">
        <f t="shared" si="11"/>
        <v xml:space="preserve">
LDP stEx314.x2</v>
      </c>
      <c r="AT22" t="str">
        <f t="shared" si="12"/>
        <v xml:space="preserve">
LDP stEx314.x2
AND=.D stM.udiErrNo #0</v>
      </c>
      <c r="AU22" t="str">
        <f t="shared" si="13"/>
        <v xml:space="preserve">
LDP stEx314.x2
AND=.D stM.udiErrNo #0
MOV.D #3140 stM.udiErrNo</v>
      </c>
      <c r="AV22" t="str">
        <f t="shared" si="30"/>
        <v xml:space="preserve">
LDP stEx314.x2
AND=.D stM.udiErrNo #0
MOV.D #3140 stM.udiErrNo
</v>
      </c>
      <c r="AW22" t="str">
        <f t="shared" si="31"/>
        <v xml:space="preserve">
LDP stEx314.x2
AND=.D stM.udiErrNo #0
MOV.D #3140 stM.udiErrNo
</v>
      </c>
      <c r="AY22" t="str">
        <f ca="1">IF($AM22="●",AT22&amp;CHAR(10)&amp;"BOX_ST"&amp;CHAR(10)&amp;";//"&amp;$B$28,"")</f>
        <v xml:space="preserve">
LDP stEx314.x2
AND=.D stM.udiErrNo #0
BOX_ST
;//このスクリプトは C:\tk\prj\hg-0025-0016\git\kv-x520\doc\[kv_script_exe_errno.xlsm]info_script によって生成されました。</v>
      </c>
      <c r="AZ22" t="str">
        <f t="shared" ca="1" si="14"/>
        <v xml:space="preserve">
LDP stEx314.x2
AND=.D stM.udiErrNo #0
BOX_ST
;//このスクリプトは C:\tk\prj\hg-0025-0016\git\kv-x520\doc\[kv_script_exe_errno.xlsm]info_script によって生成されました。
;//エラーNo.を入れる
;stM.udiErrNo	:= 3140;</v>
      </c>
      <c r="BA22" t="str">
        <f t="shared" ca="1" si="15"/>
        <v xml:space="preserve">
LDP stEx314.x2
AND=.D stM.udiErrNo #0
BOX_ST
;//このスクリプトは C:\tk\prj\hg-0025-0016\git\kv-x520\doc\[kv_script_exe_errno.xlsm]info_script によって生成されました。
;//エラーNo.を入れる
;stM.udiErrNo	:= 3140;
;//カウントする
;stM.uiEDCnt	:= stM.uiEDCnt + 1;</v>
      </c>
      <c r="BB22" t="str">
        <f t="shared" ca="1" si="16"/>
        <v xml:space="preserve">
LDP stEx314.x2
AND=.D stM.udiErrNo #0
BOX_ST
;//このスクリプトは C:\tk\prj\hg-0025-0016\git\kv-x520\doc\[kv_script_exe_errno.xlsm]info_script によって生成されました。
;//エラーNo.を入れる
;stM.udiErrNo	:= 3140;
;//カウントする
;stM.uiEDCnt	:= stM.uiEDCnt + 1;
</v>
      </c>
      <c r="BC22" t="str">
        <f ca="1">IF($AM22="●",IF(LEN(BB22),BB22&amp;CHAR(10),"")&amp;";//"&amp;$B$29,"")</f>
        <v xml:space="preserve">
LDP stEx314.x2
AND=.D stM.udiErrNo #0
BOX_ST
;//このスクリプトは C:\tk\prj\hg-0025-0016\git\kv-x520\doc\[kv_script_exe_errno.xlsm]info_script によって生成されました。
;//エラーNo.を入れる
;stM.udiErrNo	:= 3140;
;//カウントする
;stM.uiEDCnt	:= stM.uiEDCnt + 1;
;//-----ここまで生成script-----</v>
      </c>
      <c r="BE22">
        <f t="shared" si="17"/>
        <v>4</v>
      </c>
      <c r="BF22">
        <f t="shared" si="18"/>
        <v>2</v>
      </c>
      <c r="BG22" t="str">
        <f t="shared" si="19"/>
        <v>stEx314.x2	 := FALSE;</v>
      </c>
      <c r="BH22" t="str">
        <f t="shared" si="32"/>
        <v xml:space="preserve">stEx314.x2	 := FALSE;
</v>
      </c>
    </row>
    <row r="23" spans="1:60" x14ac:dyDescent="0.55000000000000004">
      <c r="D23">
        <v>15</v>
      </c>
      <c r="E23" t="str">
        <f t="shared" si="2"/>
        <v>stEx315</v>
      </c>
      <c r="F23" t="str">
        <f t="shared" si="20"/>
        <v>EXE_DIREC</v>
      </c>
      <c r="G23" t="str">
        <f t="shared" si="3"/>
        <v>&gt;&gt;△●AXK13主軸 巻きちょい戻し</v>
      </c>
      <c r="I23" t="s">
        <v>79</v>
      </c>
      <c r="J23" t="s">
        <v>0</v>
      </c>
      <c r="L23" t="b">
        <v>0</v>
      </c>
      <c r="M23" t="b">
        <v>0</v>
      </c>
      <c r="N23" t="b">
        <v>0</v>
      </c>
      <c r="O23" t="s">
        <v>84</v>
      </c>
      <c r="Z23">
        <f t="shared" si="21"/>
        <v>13</v>
      </c>
      <c r="AA23" t="str">
        <f t="shared" si="22"/>
        <v/>
      </c>
      <c r="AB23" t="str">
        <f t="shared" si="22"/>
        <v/>
      </c>
      <c r="AC23" t="str">
        <f t="shared" si="22"/>
        <v/>
      </c>
      <c r="AD23" t="str">
        <f t="shared" si="23"/>
        <v/>
      </c>
      <c r="AE23" t="str">
        <f t="shared" si="4"/>
        <v>stDevIn.astAXK[0]</v>
      </c>
      <c r="AF23" t="str">
        <f t="shared" si="24"/>
        <v/>
      </c>
      <c r="AG23" t="str">
        <f t="shared" si="25"/>
        <v/>
      </c>
      <c r="AH23" t="str">
        <f t="shared" si="26"/>
        <v/>
      </c>
      <c r="AI23" t="str">
        <f t="shared" si="27"/>
        <v/>
      </c>
      <c r="AJ23" t="str">
        <f t="shared" si="28"/>
        <v/>
      </c>
      <c r="AK23" t="str">
        <f t="shared" si="29"/>
        <v>stDevIn.astAXK[0]</v>
      </c>
      <c r="AM23" t="str">
        <f t="shared" si="5"/>
        <v>●</v>
      </c>
      <c r="AN23">
        <f t="shared" si="6"/>
        <v>3150</v>
      </c>
      <c r="AO23" t="str">
        <f t="shared" si="7"/>
        <v>LDP stEx315.x2</v>
      </c>
      <c r="AP23" t="str">
        <f t="shared" si="8"/>
        <v>AND=.D stM.udiErrNo #0</v>
      </c>
      <c r="AQ23" t="str">
        <f t="shared" si="9"/>
        <v>MOV.D #3150 stM.udiErrNo</v>
      </c>
      <c r="AR23" t="str">
        <f t="shared" si="10"/>
        <v>MOV.D stDevIn.astAXK[0] stM.udiSubErr</v>
      </c>
      <c r="AS23" t="str">
        <f t="shared" si="11"/>
        <v xml:space="preserve">
LDP stEx315.x2</v>
      </c>
      <c r="AT23" t="str">
        <f t="shared" si="12"/>
        <v xml:space="preserve">
LDP stEx315.x2
AND=.D stM.udiErrNo #0</v>
      </c>
      <c r="AU23" t="str">
        <f t="shared" si="13"/>
        <v xml:space="preserve">
LDP stEx315.x2
AND=.D stM.udiErrNo #0
MOV.D #3150 stM.udiErrNo</v>
      </c>
      <c r="AV23" t="str">
        <f t="shared" si="30"/>
        <v xml:space="preserve">
LDP stEx315.x2
AND=.D stM.udiErrNo #0
MOV.D #3150 stM.udiErrNo
MOV.D stDevIn.astAXK[0] stM.udiSubErr</v>
      </c>
      <c r="AW23" t="str">
        <f t="shared" si="31"/>
        <v xml:space="preserve">
LDP stEx315.x2
AND=.D stM.udiErrNo #0
MOV.D #3150 stM.udiErrNo
MOV.D stDevIn.astAXK[0] stM.udiSubErr</v>
      </c>
      <c r="AY23" t="str">
        <f ca="1">IF($AM23="●",AT23&amp;CHAR(10)&amp;"BOX_ST"&amp;CHAR(10)&amp;";//"&amp;$B$28,"")</f>
        <v xml:space="preserve">
LDP stEx315.x2
AND=.D stM.udiErrNo #0
BOX_ST
;//このスクリプトは C:\tk\prj\hg-0025-0016\git\kv-x520\doc\[kv_script_exe_errno.xlsm]info_script によって生成されました。</v>
      </c>
      <c r="AZ23" t="str">
        <f t="shared" ca="1" si="14"/>
        <v xml:space="preserve">
LDP stEx315.x2
AND=.D stM.udiErrNo #0
BOX_ST
;//このスクリプトは C:\tk\prj\hg-0025-0016\git\kv-x520\doc\[kv_script_exe_errno.xlsm]info_script によって生成されました。
;//エラーNo.を入れる
;stM.udiErrNo	:= 3150;</v>
      </c>
      <c r="BA23" t="str">
        <f t="shared" ca="1" si="15"/>
        <v xml:space="preserve">
LDP stEx315.x2
AND=.D stM.udiErrNo #0
BOX_ST
;//このスクリプトは C:\tk\prj\hg-0025-0016\git\kv-x520\doc\[kv_script_exe_errno.xlsm]info_script によって生成されました。
;//エラーNo.を入れる
;stM.udiErrNo	:= 3150;
;//カウントする
;stM.uiEDCnt	:= stM.uiEDCnt + 1;</v>
      </c>
      <c r="BB23" t="str">
        <f t="shared" ca="1" si="16"/>
        <v xml:space="preserve">
LDP stEx315.x2
AND=.D stM.udiErrNo #0
BOX_ST
;//このスクリプトは C:\tk\prj\hg-0025-0016\git\kv-x520\doc\[kv_script_exe_errno.xlsm]info_script によって生成されました。
;//エラーNo.を入れる
;stM.udiErrNo	:= 3150;
;//カウントする
;stM.uiEDCnt	:= stM.uiEDCnt + 1;
;//エラーコードを入れる
;stM.udiSubErr	:= stDevIn.astAXK[0].udiErr;</v>
      </c>
      <c r="BC23" t="str">
        <f ca="1">IF($AM23="●",IF(LEN(BB23),BB23&amp;CHAR(10),"")&amp;";//"&amp;$B$29,"")</f>
        <v xml:space="preserve">
LDP stEx315.x2
AND=.D stM.udiErrNo #0
BOX_ST
;//このスクリプトは C:\tk\prj\hg-0025-0016\git\kv-x520\doc\[kv_script_exe_errno.xlsm]info_script によって生成されました。
;//エラーNo.を入れる
;stM.udiErrNo	:= 3150;
;//カウントする
;stM.uiEDCnt	:= stM.uiEDCnt + 1;
;//エラーコードを入れる
;stM.udiSubErr	:= stDevIn.astAXK[0].udiErr;
;//-----ここまで生成script-----</v>
      </c>
      <c r="BE23">
        <f t="shared" si="17"/>
        <v>5</v>
      </c>
      <c r="BF23">
        <f t="shared" si="18"/>
        <v>0</v>
      </c>
      <c r="BG23" t="str">
        <f t="shared" si="19"/>
        <v>stEx315.x0	 := FALSE;</v>
      </c>
      <c r="BH23" t="str">
        <f t="shared" si="32"/>
        <v xml:space="preserve">stEx315.x0	 := FALSE;
</v>
      </c>
    </row>
    <row r="24" spans="1:60" x14ac:dyDescent="0.55000000000000004">
      <c r="D24">
        <v>16</v>
      </c>
      <c r="E24" t="str">
        <f t="shared" si="2"/>
        <v>stEx316</v>
      </c>
      <c r="F24" t="str">
        <f t="shared" si="20"/>
        <v>EXE_DIREC</v>
      </c>
      <c r="G24" t="str">
        <f t="shared" si="3"/>
        <v>&gt;&gt;△●AXO02平送り 巻取りちょい戻し</v>
      </c>
      <c r="I24" t="s">
        <v>81</v>
      </c>
      <c r="J24" t="s">
        <v>0</v>
      </c>
      <c r="L24" t="b">
        <v>0</v>
      </c>
      <c r="M24" t="b">
        <v>0</v>
      </c>
      <c r="N24" t="b">
        <v>0</v>
      </c>
      <c r="O24" t="s">
        <v>86</v>
      </c>
      <c r="Z24">
        <f t="shared" si="21"/>
        <v>2</v>
      </c>
      <c r="AA24" t="str">
        <f t="shared" si="22"/>
        <v/>
      </c>
      <c r="AB24" t="str">
        <f t="shared" si="22"/>
        <v/>
      </c>
      <c r="AC24" t="str">
        <f t="shared" si="22"/>
        <v/>
      </c>
      <c r="AD24" t="str">
        <f t="shared" si="23"/>
        <v/>
      </c>
      <c r="AE24" t="str">
        <f t="shared" si="23"/>
        <v/>
      </c>
      <c r="AF24" t="str">
        <f t="shared" si="24"/>
        <v>stDevIn.astAXO[0]</v>
      </c>
      <c r="AG24" t="str">
        <f t="shared" si="25"/>
        <v/>
      </c>
      <c r="AH24" t="str">
        <f t="shared" si="26"/>
        <v/>
      </c>
      <c r="AI24" t="str">
        <f t="shared" si="27"/>
        <v/>
      </c>
      <c r="AJ24" t="str">
        <f t="shared" si="28"/>
        <v/>
      </c>
      <c r="AK24" t="str">
        <f t="shared" si="29"/>
        <v>stDevIn.astAXO[0]</v>
      </c>
      <c r="AM24" t="str">
        <f t="shared" si="5"/>
        <v>●</v>
      </c>
      <c r="AN24">
        <f t="shared" si="6"/>
        <v>3160</v>
      </c>
      <c r="AO24" t="str">
        <f t="shared" si="7"/>
        <v>LDP stEx316.x2</v>
      </c>
      <c r="AP24" t="str">
        <f t="shared" si="8"/>
        <v>AND=.D stM.udiErrNo #0</v>
      </c>
      <c r="AQ24" t="str">
        <f t="shared" si="9"/>
        <v>MOV.D #3160 stM.udiErrNo</v>
      </c>
      <c r="AR24" t="str">
        <f t="shared" si="10"/>
        <v>MOV.D stDevIn.astAXO[0] stM.udiSubErr</v>
      </c>
      <c r="AS24" t="str">
        <f t="shared" si="11"/>
        <v xml:space="preserve">
LDP stEx316.x2</v>
      </c>
      <c r="AT24" t="str">
        <f t="shared" si="12"/>
        <v xml:space="preserve">
LDP stEx316.x2
AND=.D stM.udiErrNo #0</v>
      </c>
      <c r="AU24" t="str">
        <f t="shared" si="13"/>
        <v xml:space="preserve">
LDP stEx316.x2
AND=.D stM.udiErrNo #0
MOV.D #3160 stM.udiErrNo</v>
      </c>
      <c r="AV24" t="str">
        <f t="shared" si="30"/>
        <v xml:space="preserve">
LDP stEx316.x2
AND=.D stM.udiErrNo #0
MOV.D #3160 stM.udiErrNo
MOV.D stDevIn.astAXO[0] stM.udiSubErr</v>
      </c>
      <c r="AW24" t="str">
        <f t="shared" si="31"/>
        <v xml:space="preserve">
LDP stEx316.x2
AND=.D stM.udiErrNo #0
MOV.D #3160 stM.udiErrNo
MOV.D stDevIn.astAXO[0] stM.udiSubErr</v>
      </c>
      <c r="AY24" t="str">
        <f ca="1">IF($AM24="●",AT24&amp;CHAR(10)&amp;"BOX_ST"&amp;CHAR(10)&amp;";//"&amp;$B$28,"")</f>
        <v xml:space="preserve">
LDP stEx316.x2
AND=.D stM.udiErrNo #0
BOX_ST
;//このスクリプトは C:\tk\prj\hg-0025-0016\git\kv-x520\doc\[kv_script_exe_errno.xlsm]info_script によって生成されました。</v>
      </c>
      <c r="AZ24" t="str">
        <f t="shared" ca="1" si="14"/>
        <v xml:space="preserve">
LDP stEx316.x2
AND=.D stM.udiErrNo #0
BOX_ST
;//このスクリプトは C:\tk\prj\hg-0025-0016\git\kv-x520\doc\[kv_script_exe_errno.xlsm]info_script によって生成されました。
;//エラーNo.を入れる
;stM.udiErrNo	:= 3160;</v>
      </c>
      <c r="BA24" t="str">
        <f t="shared" ca="1" si="15"/>
        <v xml:space="preserve">
LDP stEx316.x2
AND=.D stM.udiErrNo #0
BOX_ST
;//このスクリプトは C:\tk\prj\hg-0025-0016\git\kv-x520\doc\[kv_script_exe_errno.xlsm]info_script によって生成されました。
;//エラーNo.を入れる
;stM.udiErrNo	:= 3160;
;//カウントする
;stM.uiEDCnt	:= stM.uiEDCnt + 1;</v>
      </c>
      <c r="BB24" t="str">
        <f t="shared" ca="1" si="16"/>
        <v xml:space="preserve">
LDP stEx316.x2
AND=.D stM.udiErrNo #0
BOX_ST
;//このスクリプトは C:\tk\prj\hg-0025-0016\git\kv-x520\doc\[kv_script_exe_errno.xlsm]info_script によって生成されました。
;//エラーNo.を入れる
;stM.udiErrNo	:= 3160;
;//カウントする
;stM.uiEDCnt	:= stM.uiEDCnt + 1;
;//エラーコードを入れる
;stM.udiSubErr	:= stDevIn.astAXO[0].udiErr;</v>
      </c>
      <c r="BC24" t="str">
        <f ca="1">IF($AM24="●",IF(LEN(BB24),BB24&amp;CHAR(10),"")&amp;";//"&amp;$B$29,"")</f>
        <v xml:space="preserve">
LDP stEx316.x2
AND=.D stM.udiErrNo #0
BOX_ST
;//このスクリプトは C:\tk\prj\hg-0025-0016\git\kv-x520\doc\[kv_script_exe_errno.xlsm]info_script によって生成されました。
;//エラーNo.を入れる
;stM.udiErrNo	:= 3160;
;//カウントする
;stM.uiEDCnt	:= stM.uiEDCnt + 1;
;//エラーコードを入れる
;stM.udiSubErr	:= stDevIn.astAXO[0].udiErr;
;//-----ここまで生成script-----</v>
      </c>
      <c r="BE24">
        <f t="shared" si="17"/>
        <v>5</v>
      </c>
      <c r="BF24">
        <f t="shared" si="18"/>
        <v>1</v>
      </c>
      <c r="BG24" t="str">
        <f t="shared" si="19"/>
        <v>stEx316.x1	 := FALSE;</v>
      </c>
      <c r="BH24" t="str">
        <f t="shared" si="32"/>
        <v xml:space="preserve">stEx316.x1	 := FALSE;
</v>
      </c>
    </row>
    <row r="25" spans="1:60" x14ac:dyDescent="0.55000000000000004">
      <c r="D25">
        <v>17</v>
      </c>
      <c r="E25" t="str">
        <f t="shared" si="2"/>
        <v>stEx317</v>
      </c>
      <c r="F25" t="str">
        <f t="shared" si="20"/>
        <v>EXE_DIREC</v>
      </c>
      <c r="G25" t="str">
        <f t="shared" si="3"/>
        <v>&gt;&gt;▽巻取りちょい戻し</v>
      </c>
      <c r="I25" t="s">
        <v>83</v>
      </c>
      <c r="J25" t="s">
        <v>0</v>
      </c>
      <c r="L25" t="b">
        <v>0</v>
      </c>
      <c r="M25" t="b">
        <v>0</v>
      </c>
      <c r="N25" t="b">
        <v>0</v>
      </c>
      <c r="O25" t="s">
        <v>88</v>
      </c>
      <c r="Z25" t="str">
        <f t="shared" si="21"/>
        <v/>
      </c>
      <c r="AA25" t="str">
        <f t="shared" si="22"/>
        <v/>
      </c>
      <c r="AB25" t="str">
        <f t="shared" si="22"/>
        <v/>
      </c>
      <c r="AC25" t="str">
        <f t="shared" si="22"/>
        <v/>
      </c>
      <c r="AD25" t="str">
        <f t="shared" si="23"/>
        <v/>
      </c>
      <c r="AE25" t="str">
        <f t="shared" si="23"/>
        <v/>
      </c>
      <c r="AF25" t="str">
        <f t="shared" si="24"/>
        <v/>
      </c>
      <c r="AG25" t="str">
        <f t="shared" si="25"/>
        <v/>
      </c>
      <c r="AH25" t="str">
        <f t="shared" si="26"/>
        <v/>
      </c>
      <c r="AI25" t="str">
        <f t="shared" si="27"/>
        <v/>
      </c>
      <c r="AJ25" t="str">
        <f t="shared" si="28"/>
        <v/>
      </c>
      <c r="AK25" t="str">
        <f t="shared" si="29"/>
        <v/>
      </c>
      <c r="AM25" t="str">
        <f t="shared" si="5"/>
        <v>●</v>
      </c>
      <c r="AN25">
        <f t="shared" si="6"/>
        <v>3170</v>
      </c>
      <c r="AO25" t="str">
        <f t="shared" si="7"/>
        <v>LDP stEx317.x2</v>
      </c>
      <c r="AP25" t="str">
        <f t="shared" si="8"/>
        <v>AND=.D stM.udiErrNo #0</v>
      </c>
      <c r="AQ25" t="str">
        <f t="shared" si="9"/>
        <v>MOV.D #3170 stM.udiErrNo</v>
      </c>
      <c r="AR25" t="str">
        <f t="shared" si="10"/>
        <v/>
      </c>
      <c r="AS25" t="str">
        <f t="shared" si="11"/>
        <v xml:space="preserve">
LDP stEx317.x2</v>
      </c>
      <c r="AT25" t="str">
        <f t="shared" si="12"/>
        <v xml:space="preserve">
LDP stEx317.x2
AND=.D stM.udiErrNo #0</v>
      </c>
      <c r="AU25" t="str">
        <f t="shared" si="13"/>
        <v xml:space="preserve">
LDP stEx317.x2
AND=.D stM.udiErrNo #0
MOV.D #3170 stM.udiErrNo</v>
      </c>
      <c r="AV25" t="str">
        <f t="shared" si="30"/>
        <v xml:space="preserve">
LDP stEx317.x2
AND=.D stM.udiErrNo #0
MOV.D #3170 stM.udiErrNo
</v>
      </c>
      <c r="AW25" t="str">
        <f t="shared" si="31"/>
        <v xml:space="preserve">
LDP stEx317.x2
AND=.D stM.udiErrNo #0
MOV.D #3170 stM.udiErrNo
</v>
      </c>
      <c r="AY25" t="str">
        <f ca="1">IF($AM25="●",AT25&amp;CHAR(10)&amp;"BOX_ST"&amp;CHAR(10)&amp;";//"&amp;$B$28,"")</f>
        <v xml:space="preserve">
LDP stEx317.x2
AND=.D stM.udiErrNo #0
BOX_ST
;//このスクリプトは C:\tk\prj\hg-0025-0016\git\kv-x520\doc\[kv_script_exe_errno.xlsm]info_script によって生成されました。</v>
      </c>
      <c r="AZ25" t="str">
        <f t="shared" ca="1" si="14"/>
        <v xml:space="preserve">
LDP stEx317.x2
AND=.D stM.udiErrNo #0
BOX_ST
;//このスクリプトは C:\tk\prj\hg-0025-0016\git\kv-x520\doc\[kv_script_exe_errno.xlsm]info_script によって生成されました。
;//エラーNo.を入れる
;stM.udiErrNo	:= 3170;</v>
      </c>
      <c r="BA25" t="str">
        <f t="shared" ca="1" si="15"/>
        <v xml:space="preserve">
LDP stEx317.x2
AND=.D stM.udiErrNo #0
BOX_ST
;//このスクリプトは C:\tk\prj\hg-0025-0016\git\kv-x520\doc\[kv_script_exe_errno.xlsm]info_script によって生成されました。
;//エラーNo.を入れる
;stM.udiErrNo	:= 3170;
;//カウントする
;stM.uiEDCnt	:= stM.uiEDCnt + 1;</v>
      </c>
      <c r="BB25" t="str">
        <f t="shared" ca="1" si="16"/>
        <v xml:space="preserve">
LDP stEx317.x2
AND=.D stM.udiErrNo #0
BOX_ST
;//このスクリプトは C:\tk\prj\hg-0025-0016\git\kv-x520\doc\[kv_script_exe_errno.xlsm]info_script によって生成されました。
;//エラーNo.を入れる
;stM.udiErrNo	:= 3170;
;//カウントする
;stM.uiEDCnt	:= stM.uiEDCnt + 1;
</v>
      </c>
      <c r="BC25" t="str">
        <f ca="1">IF($AM25="●",IF(LEN(BB25),BB25&amp;CHAR(10),"")&amp;";//"&amp;$B$29,"")</f>
        <v xml:space="preserve">
LDP stEx317.x2
AND=.D stM.udiErrNo #0
BOX_ST
;//このスクリプトは C:\tk\prj\hg-0025-0016\git\kv-x520\doc\[kv_script_exe_errno.xlsm]info_script によって生成されました。
;//エラーNo.を入れる
;stM.udiErrNo	:= 3170;
;//カウントする
;stM.uiEDCnt	:= stM.uiEDCnt + 1;
;//-----ここまで生成script-----</v>
      </c>
      <c r="BE25">
        <f t="shared" si="17"/>
        <v>5</v>
      </c>
      <c r="BF25">
        <f t="shared" si="18"/>
        <v>2</v>
      </c>
      <c r="BG25" t="str">
        <f t="shared" si="19"/>
        <v>stEx317.x2	 := FALSE;</v>
      </c>
      <c r="BH25" t="str">
        <f t="shared" si="32"/>
        <v xml:space="preserve">stEx317.x2	 := FALSE;
</v>
      </c>
    </row>
    <row r="26" spans="1:60" x14ac:dyDescent="0.55000000000000004">
      <c r="D26">
        <v>18</v>
      </c>
      <c r="E26" t="str">
        <f t="shared" si="2"/>
        <v>stEx318</v>
      </c>
      <c r="F26" t="str">
        <f t="shared" si="20"/>
        <v>EXE_DIREC</v>
      </c>
      <c r="G26" t="str">
        <f t="shared" si="3"/>
        <v>&gt;&gt;▼ちょい回し 有無判定</v>
      </c>
      <c r="I26" t="s">
        <v>85</v>
      </c>
      <c r="J26" t="s">
        <v>0</v>
      </c>
      <c r="L26" t="b">
        <v>0</v>
      </c>
      <c r="M26" t="b">
        <v>0</v>
      </c>
      <c r="N26" t="b">
        <v>0</v>
      </c>
      <c r="O26" t="s">
        <v>90</v>
      </c>
      <c r="Z26" t="str">
        <f t="shared" si="21"/>
        <v/>
      </c>
      <c r="AA26" t="str">
        <f t="shared" si="22"/>
        <v/>
      </c>
      <c r="AB26" t="str">
        <f t="shared" si="22"/>
        <v/>
      </c>
      <c r="AC26" t="str">
        <f t="shared" si="22"/>
        <v/>
      </c>
      <c r="AD26" t="str">
        <f t="shared" si="23"/>
        <v/>
      </c>
      <c r="AE26" t="str">
        <f t="shared" si="23"/>
        <v/>
      </c>
      <c r="AF26" t="str">
        <f t="shared" si="24"/>
        <v/>
      </c>
      <c r="AG26" t="str">
        <f t="shared" si="25"/>
        <v/>
      </c>
      <c r="AH26" t="str">
        <f t="shared" si="26"/>
        <v/>
      </c>
      <c r="AI26" t="str">
        <f t="shared" si="27"/>
        <v/>
      </c>
      <c r="AJ26" t="str">
        <f t="shared" si="28"/>
        <v/>
      </c>
      <c r="AK26" t="str">
        <f t="shared" si="29"/>
        <v/>
      </c>
      <c r="AM26" t="str">
        <f t="shared" si="5"/>
        <v/>
      </c>
      <c r="AN26" t="str">
        <f t="shared" si="6"/>
        <v/>
      </c>
      <c r="AO26" t="str">
        <f t="shared" si="7"/>
        <v/>
      </c>
      <c r="AP26" t="str">
        <f t="shared" si="8"/>
        <v/>
      </c>
      <c r="AQ26" t="str">
        <f t="shared" si="9"/>
        <v/>
      </c>
      <c r="AR26" t="str">
        <f t="shared" si="10"/>
        <v/>
      </c>
      <c r="AS26" t="str">
        <f t="shared" si="11"/>
        <v/>
      </c>
      <c r="AT26" t="str">
        <f t="shared" si="12"/>
        <v/>
      </c>
      <c r="AU26" t="str">
        <f t="shared" si="13"/>
        <v/>
      </c>
      <c r="AV26" t="str">
        <f t="shared" si="30"/>
        <v/>
      </c>
      <c r="AW26" t="str">
        <f t="shared" si="31"/>
        <v/>
      </c>
      <c r="AY26" t="str">
        <f>IF($AM26="●",AT26&amp;CHAR(10)&amp;"BOX_ST"&amp;CHAR(10)&amp;";//"&amp;$B$28,"")</f>
        <v/>
      </c>
      <c r="AZ26" t="str">
        <f t="shared" si="14"/>
        <v/>
      </c>
      <c r="BA26" t="str">
        <f t="shared" si="15"/>
        <v/>
      </c>
      <c r="BB26" t="str">
        <f t="shared" si="16"/>
        <v/>
      </c>
      <c r="BC26" t="str">
        <f>IF($AM26="●",IF(LEN(BB26),BB26&amp;CHAR(10),"")&amp;";//"&amp;$B$29,"")</f>
        <v/>
      </c>
      <c r="BE26">
        <f t="shared" si="17"/>
        <v>6</v>
      </c>
      <c r="BF26">
        <f t="shared" si="18"/>
        <v>0</v>
      </c>
      <c r="BG26" t="str">
        <f t="shared" si="19"/>
        <v>stEx318.x0	 := FALSE;</v>
      </c>
      <c r="BH26" t="str">
        <f t="shared" si="32"/>
        <v xml:space="preserve">stEx318.x0	 := FALSE;
</v>
      </c>
    </row>
    <row r="27" spans="1:60" x14ac:dyDescent="0.55000000000000004">
      <c r="D27">
        <v>19</v>
      </c>
      <c r="E27" t="str">
        <f t="shared" si="2"/>
        <v>stEx319</v>
      </c>
      <c r="F27" t="str">
        <f t="shared" si="20"/>
        <v>EXE_DIREC</v>
      </c>
      <c r="G27" t="str">
        <f t="shared" si="3"/>
        <v>&gt;▽UNI01平供給 ＋ﾊﾝﾄﾞ</v>
      </c>
      <c r="I27" t="s">
        <v>87</v>
      </c>
      <c r="J27" t="s">
        <v>0</v>
      </c>
      <c r="L27" t="b">
        <v>0</v>
      </c>
      <c r="M27" t="b">
        <v>0</v>
      </c>
      <c r="N27" t="b">
        <v>0</v>
      </c>
      <c r="O27" t="s">
        <v>92</v>
      </c>
      <c r="Z27" t="str">
        <f t="shared" si="21"/>
        <v/>
      </c>
      <c r="AA27" t="str">
        <f t="shared" si="22"/>
        <v/>
      </c>
      <c r="AB27" t="str">
        <f t="shared" si="22"/>
        <v/>
      </c>
      <c r="AC27">
        <f t="shared" si="22"/>
        <v>1</v>
      </c>
      <c r="AD27" t="str">
        <f t="shared" si="23"/>
        <v/>
      </c>
      <c r="AE27" t="str">
        <f t="shared" si="23"/>
        <v/>
      </c>
      <c r="AF27" t="str">
        <f t="shared" si="24"/>
        <v/>
      </c>
      <c r="AG27" t="str">
        <f t="shared" si="25"/>
        <v/>
      </c>
      <c r="AH27" t="str">
        <f t="shared" si="26"/>
        <v/>
      </c>
      <c r="AI27" t="str">
        <f t="shared" si="27"/>
        <v/>
      </c>
      <c r="AJ27" t="str">
        <f t="shared" si="28"/>
        <v>stUni1Out</v>
      </c>
      <c r="AK27" t="str">
        <f t="shared" si="29"/>
        <v>stUni1Out</v>
      </c>
      <c r="AM27" t="str">
        <f t="shared" si="5"/>
        <v>●</v>
      </c>
      <c r="AN27">
        <f t="shared" si="6"/>
        <v>3190</v>
      </c>
      <c r="AO27" t="str">
        <f t="shared" si="7"/>
        <v>LDP stEx319.x2</v>
      </c>
      <c r="AP27" t="str">
        <f t="shared" si="8"/>
        <v>AND=.D stM.udiErrNo #0</v>
      </c>
      <c r="AQ27" t="str">
        <f t="shared" si="9"/>
        <v>MOV.D #3190 stM.udiErrNo</v>
      </c>
      <c r="AR27" t="str">
        <f t="shared" si="10"/>
        <v>MOV.D stUni1Out stM.udiSubErr</v>
      </c>
      <c r="AS27" t="str">
        <f t="shared" si="11"/>
        <v xml:space="preserve">
LDP stEx319.x2</v>
      </c>
      <c r="AT27" t="str">
        <f t="shared" si="12"/>
        <v xml:space="preserve">
LDP stEx319.x2
AND=.D stM.udiErrNo #0</v>
      </c>
      <c r="AU27" t="str">
        <f t="shared" si="13"/>
        <v xml:space="preserve">
LDP stEx319.x2
AND=.D stM.udiErrNo #0
MOV.D #3190 stM.udiErrNo</v>
      </c>
      <c r="AV27" t="str">
        <f t="shared" si="30"/>
        <v xml:space="preserve">
LDP stEx319.x2
AND=.D stM.udiErrNo #0
MOV.D #3190 stM.udiErrNo
MOV.D stUni1Out stM.udiSubErr</v>
      </c>
      <c r="AW27" t="str">
        <f t="shared" si="31"/>
        <v xml:space="preserve">
LDP stEx319.x2
AND=.D stM.udiErrNo #0
MOV.D #3190 stM.udiErrNo
MOV.D stUni1Out stM.udiSubErr</v>
      </c>
      <c r="AY27" t="str">
        <f ca="1">IF($AM27="●",AT27&amp;CHAR(10)&amp;"BOX_ST"&amp;CHAR(10)&amp;";//"&amp;$B$28,"")</f>
        <v xml:space="preserve">
LDP stEx319.x2
AND=.D stM.udiErrNo #0
BOX_ST
;//このスクリプトは C:\tk\prj\hg-0025-0016\git\kv-x520\doc\[kv_script_exe_errno.xlsm]info_script によって生成されました。</v>
      </c>
      <c r="AZ27" t="str">
        <f t="shared" ca="1" si="14"/>
        <v xml:space="preserve">
LDP stEx319.x2
AND=.D stM.udiErrNo #0
BOX_ST
;//このスクリプトは C:\tk\prj\hg-0025-0016\git\kv-x520\doc\[kv_script_exe_errno.xlsm]info_script によって生成されました。
;//エラーNo.を入れる
;stM.udiErrNo	:= 3190;</v>
      </c>
      <c r="BA27" t="str">
        <f t="shared" ca="1" si="15"/>
        <v xml:space="preserve">
LDP stEx319.x2
AND=.D stM.udiErrNo #0
BOX_ST
;//このスクリプトは C:\tk\prj\hg-0025-0016\git\kv-x520\doc\[kv_script_exe_errno.xlsm]info_script によって生成されました。
;//エラーNo.を入れる
;stM.udiErrNo	:= 3190;
;//カウントする
;stM.uiEDCnt	:= stM.uiEDCnt + 1;</v>
      </c>
      <c r="BB27" t="str">
        <f t="shared" ca="1" si="16"/>
        <v xml:space="preserve">
LDP stEx319.x2
AND=.D stM.udiErrNo #0
BOX_ST
;//このスクリプトは C:\tk\prj\hg-0025-0016\git\kv-x520\doc\[kv_script_exe_errno.xlsm]info_script によって生成されました。
;//エラーNo.を入れる
;stM.udiErrNo	:= 3190;
;//カウントする
;stM.uiEDCnt	:= stM.uiEDCnt + 1;
;//エラーコードを入れる
;stM.udiSubErr	:= stUni1Out.udiErr;</v>
      </c>
      <c r="BC27" t="str">
        <f ca="1">IF($AM27="●",IF(LEN(BB27),BB27&amp;CHAR(10),"")&amp;";//"&amp;$B$29,"")</f>
        <v xml:space="preserve">
LDP stEx319.x2
AND=.D stM.udiErrNo #0
BOX_ST
;//このスクリプトは C:\tk\prj\hg-0025-0016\git\kv-x520\doc\[kv_script_exe_errno.xlsm]info_script によって生成されました。
;//エラーNo.を入れる
;stM.udiErrNo	:= 3190;
;//カウントする
;stM.uiEDCnt	:= stM.uiEDCnt + 1;
;//エラーコードを入れる
;stM.udiSubErr	:= stUni1Out.udiErr;
;//-----ここまで生成script-----</v>
      </c>
      <c r="BE27">
        <f t="shared" si="17"/>
        <v>6</v>
      </c>
      <c r="BF27">
        <f t="shared" si="18"/>
        <v>1</v>
      </c>
      <c r="BG27" t="str">
        <f t="shared" si="19"/>
        <v>stEx319.x1	 := FALSE;</v>
      </c>
      <c r="BH27" t="str">
        <f t="shared" si="32"/>
        <v xml:space="preserve">stEx319.x1	 := FALSE;
</v>
      </c>
    </row>
    <row r="28" spans="1:60" x14ac:dyDescent="0.55000000000000004">
      <c r="A28" t="s">
        <v>8</v>
      </c>
      <c r="B28" t="str">
        <f ca="1">"このスクリプトは "&amp;$B$8&amp;" によって生成されました。"</f>
        <v>このスクリプトは C:\tk\prj\hg-0025-0016\git\kv-x520\doc\[kv_script_exe_errno.xlsm]info_script によって生成されました。</v>
      </c>
      <c r="D28">
        <v>20</v>
      </c>
      <c r="E28" t="str">
        <f t="shared" si="2"/>
        <v>stEx320</v>
      </c>
      <c r="F28" t="str">
        <f t="shared" si="20"/>
        <v>EXE_DIREC</v>
      </c>
      <c r="G28" t="str">
        <f t="shared" si="3"/>
        <v>▼平板準備</v>
      </c>
      <c r="I28" t="s">
        <v>89</v>
      </c>
      <c r="J28" t="s">
        <v>0</v>
      </c>
      <c r="L28" t="b">
        <v>0</v>
      </c>
      <c r="M28" t="b">
        <v>0</v>
      </c>
      <c r="N28" t="b">
        <v>0</v>
      </c>
      <c r="O28" t="s">
        <v>94</v>
      </c>
      <c r="Z28" t="str">
        <f t="shared" si="21"/>
        <v/>
      </c>
      <c r="AA28" t="str">
        <f t="shared" si="22"/>
        <v/>
      </c>
      <c r="AB28" t="str">
        <f t="shared" si="22"/>
        <v/>
      </c>
      <c r="AC28" t="str">
        <f t="shared" si="22"/>
        <v/>
      </c>
      <c r="AD28" t="str">
        <f t="shared" si="23"/>
        <v/>
      </c>
      <c r="AE28" t="str">
        <f t="shared" si="23"/>
        <v/>
      </c>
      <c r="AF28" t="str">
        <f t="shared" si="24"/>
        <v/>
      </c>
      <c r="AG28" t="str">
        <f t="shared" si="25"/>
        <v/>
      </c>
      <c r="AH28" t="str">
        <f t="shared" si="26"/>
        <v/>
      </c>
      <c r="AI28" t="str">
        <f t="shared" si="27"/>
        <v/>
      </c>
      <c r="AJ28" t="str">
        <f t="shared" si="28"/>
        <v/>
      </c>
      <c r="AK28" t="str">
        <f t="shared" si="29"/>
        <v/>
      </c>
      <c r="AM28" t="str">
        <f t="shared" si="5"/>
        <v/>
      </c>
      <c r="AN28" t="str">
        <f t="shared" si="6"/>
        <v/>
      </c>
      <c r="AO28" t="str">
        <f t="shared" si="7"/>
        <v/>
      </c>
      <c r="AP28" t="str">
        <f t="shared" si="8"/>
        <v/>
      </c>
      <c r="AQ28" t="str">
        <f t="shared" si="9"/>
        <v/>
      </c>
      <c r="AR28" t="str">
        <f t="shared" si="10"/>
        <v/>
      </c>
      <c r="AS28" t="str">
        <f t="shared" si="11"/>
        <v/>
      </c>
      <c r="AT28" t="str">
        <f t="shared" si="12"/>
        <v/>
      </c>
      <c r="AU28" t="str">
        <f t="shared" si="13"/>
        <v/>
      </c>
      <c r="AV28" t="str">
        <f t="shared" si="30"/>
        <v/>
      </c>
      <c r="AW28" t="str">
        <f t="shared" si="31"/>
        <v/>
      </c>
      <c r="AY28" t="str">
        <f>IF($AM28="●",AT28&amp;CHAR(10)&amp;"BOX_ST"&amp;CHAR(10)&amp;";//"&amp;$B$28,"")</f>
        <v/>
      </c>
      <c r="AZ28" t="str">
        <f t="shared" si="14"/>
        <v/>
      </c>
      <c r="BA28" t="str">
        <f t="shared" si="15"/>
        <v/>
      </c>
      <c r="BB28" t="str">
        <f t="shared" si="16"/>
        <v/>
      </c>
      <c r="BC28" t="str">
        <f>IF($AM28="●",IF(LEN(BB28),BB28&amp;CHAR(10),"")&amp;";//"&amp;$B$29,"")</f>
        <v/>
      </c>
      <c r="BE28">
        <f t="shared" si="17"/>
        <v>6</v>
      </c>
      <c r="BF28">
        <f t="shared" si="18"/>
        <v>2</v>
      </c>
      <c r="BG28" t="str">
        <f t="shared" si="19"/>
        <v>stEx320.x2	 := FALSE;</v>
      </c>
      <c r="BH28" t="str">
        <f t="shared" si="32"/>
        <v xml:space="preserve">stEx320.x2	 := FALSE;
</v>
      </c>
    </row>
    <row r="29" spans="1:60" x14ac:dyDescent="0.55000000000000004">
      <c r="A29" t="s">
        <v>9</v>
      </c>
      <c r="B29" t="s">
        <v>10</v>
      </c>
      <c r="D29">
        <v>21</v>
      </c>
      <c r="E29" t="str">
        <f t="shared" si="2"/>
        <v>stEx321</v>
      </c>
      <c r="F29" t="str">
        <f t="shared" si="20"/>
        <v>EXE_DIREC</v>
      </c>
      <c r="G29" t="str">
        <f t="shared" si="3"/>
        <v>◆波板準備 有無</v>
      </c>
      <c r="I29" t="s">
        <v>91</v>
      </c>
      <c r="J29" t="s">
        <v>0</v>
      </c>
      <c r="L29" t="b">
        <v>0</v>
      </c>
      <c r="M29" t="b">
        <v>0</v>
      </c>
      <c r="N29" t="b">
        <v>0</v>
      </c>
      <c r="O29" t="s">
        <v>96</v>
      </c>
      <c r="Z29" t="str">
        <f t="shared" si="21"/>
        <v/>
      </c>
      <c r="AA29" t="str">
        <f t="shared" si="22"/>
        <v/>
      </c>
      <c r="AB29" t="str">
        <f t="shared" si="22"/>
        <v/>
      </c>
      <c r="AC29" t="str">
        <f t="shared" si="22"/>
        <v/>
      </c>
      <c r="AD29" t="str">
        <f t="shared" si="23"/>
        <v/>
      </c>
      <c r="AE29" t="str">
        <f t="shared" si="23"/>
        <v/>
      </c>
      <c r="AF29" t="str">
        <f t="shared" si="24"/>
        <v/>
      </c>
      <c r="AG29" t="str">
        <f t="shared" si="25"/>
        <v/>
      </c>
      <c r="AH29" t="str">
        <f t="shared" si="26"/>
        <v/>
      </c>
      <c r="AI29" t="str">
        <f t="shared" si="27"/>
        <v/>
      </c>
      <c r="AJ29" t="str">
        <f t="shared" si="28"/>
        <v/>
      </c>
      <c r="AK29" t="str">
        <f t="shared" si="29"/>
        <v/>
      </c>
      <c r="AM29" t="str">
        <f t="shared" si="5"/>
        <v/>
      </c>
      <c r="AN29" t="str">
        <f t="shared" si="6"/>
        <v/>
      </c>
      <c r="AO29" t="str">
        <f t="shared" si="7"/>
        <v/>
      </c>
      <c r="AP29" t="str">
        <f t="shared" si="8"/>
        <v/>
      </c>
      <c r="AQ29" t="str">
        <f t="shared" si="9"/>
        <v/>
      </c>
      <c r="AR29" t="str">
        <f t="shared" si="10"/>
        <v/>
      </c>
      <c r="AS29" t="str">
        <f t="shared" si="11"/>
        <v/>
      </c>
      <c r="AT29" t="str">
        <f t="shared" si="12"/>
        <v/>
      </c>
      <c r="AU29" t="str">
        <f t="shared" si="13"/>
        <v/>
      </c>
      <c r="AV29" t="str">
        <f t="shared" si="30"/>
        <v/>
      </c>
      <c r="AW29" t="str">
        <f t="shared" si="31"/>
        <v/>
      </c>
      <c r="AY29" t="str">
        <f>IF($AM29="●",AT29&amp;CHAR(10)&amp;"BOX_ST"&amp;CHAR(10)&amp;";//"&amp;$B$28,"")</f>
        <v/>
      </c>
      <c r="AZ29" t="str">
        <f t="shared" si="14"/>
        <v/>
      </c>
      <c r="BA29" t="str">
        <f t="shared" si="15"/>
        <v/>
      </c>
      <c r="BB29" t="str">
        <f t="shared" si="16"/>
        <v/>
      </c>
      <c r="BC29" t="str">
        <f>IF($AM29="●",IF(LEN(BB29),BB29&amp;CHAR(10),"")&amp;";//"&amp;$B$29,"")</f>
        <v/>
      </c>
      <c r="BE29">
        <f t="shared" si="17"/>
        <v>7</v>
      </c>
      <c r="BF29">
        <f t="shared" si="18"/>
        <v>0</v>
      </c>
      <c r="BG29" t="str">
        <f t="shared" si="19"/>
        <v>stEx321.x0	 := FALSE;</v>
      </c>
      <c r="BH29" t="str">
        <f t="shared" si="32"/>
        <v xml:space="preserve">stEx321.x0	 := FALSE;
</v>
      </c>
    </row>
    <row r="30" spans="1:60" x14ac:dyDescent="0.55000000000000004">
      <c r="A30" t="s">
        <v>22</v>
      </c>
      <c r="B30" t="str">
        <f ca="1">"RUNG_COMMENT"&amp;CHAR(10)&amp;";"&amp;B28&amp;AW109&amp;CHAR(10)&amp;"RUNG_COMMENT"&amp;CHAR(10)&amp;";"&amp;B29</f>
        <v>RUNG_COMMENT
;このスクリプトは C:\tk\prj\hg-0025-0016\git\kv-x520\doc\[kv_script_exe_errno.xlsm]info_script によって生成されました。
LDP stEx301.x2
AND=.D stM.udiErrNo #0
MOV.D #3010 stM.udiErrNo
MOV.D stDevIn.astAXK[0] stM.udiSubErr
LDP stEx302.x2
AND=.D stM.udiErrNo #0
MOV.D #3020 stM.udiErrNo
MOV.D stDevIn.astAXK[0] stM.udiSubErr
LDP stEx303.x2
AND=.D stM.udiErrNo #0
MOV.D #3030 stM.udiErrNo
MOV.D stDevIn.astAXK[1] stM.udiSubErr
LDP stEx304.x2
AND=.D stM.udiErrNo #0
MOV.D #3040 stM.udiErrNo
MOV.D stDevIn.astAXK[0] stM.udiSubErr
LDP stEx305.x2
AND=.D stM.udiErrNo #0
MOV.D #3050 stM.udiErrNo
MOV.D stUni1Out stM.udiSubErr
LDP stEx306.x2
AND=.D stM.udiErrNo #0
MOV.D #3060 stM.udiErrNo
MOV.D stDevIn.astCYL[4] stM.udiSubErr
LDP stEx307.x2
AND=.D stM.udiErrNo #0
MOV.D #3070 stM.udiErrNo
MOV.D stDevIn.astCYL[5] stM.udiSubErr
LDP stEx308.x2
AND=.D stM.udiErrNo #0
MOV.D #3080 stM.udiErrNo
MOV.D stDevIn.astCYL[0] stM.udiSubErr
LDP stEx309.x2
AND=.D stM.udiErrNo #0
MOV.D #3090 stM.udiErrNo
MOV.D stDevIn.astCYL[5] stM.udiSubErr
LDP stEx310.x2
AND=.D stM.udiErrNo #0
MOV.D #3100 stM.udiErrNo
MOV.D stDevIn.astCYL[4] stM.udiSubErr
LDP stEx312.x2
AND=.D stM.udiErrNo #0
MOV.D #3120 stM.udiErrNo
MOV.D stDevIn.astAXK[0] stM.udiSubErr
LDP stEx313.x2
AND=.D stM.udiErrNo #0
MOV.D #3130 stM.udiErrNo
MOV.D stDevIn.astAXO[0] stM.udiSubErr
LDP stEx314.x2
AND=.D stM.udiErrNo #0
MOV.D #3140 stM.udiErrNo
LDP stEx315.x2
AND=.D stM.udiErrNo #0
MOV.D #3150 stM.udiErrNo
MOV.D stDevIn.astAXK[0] stM.udiSubErr
LDP stEx316.x2
AND=.D stM.udiErrNo #0
MOV.D #3160 stM.udiErrNo
MOV.D stDevIn.astAXO[0] stM.udiSubErr
LDP stEx317.x2
AND=.D stM.udiErrNo #0
MOV.D #3170 stM.udiErrNo
LDP stEx319.x2
AND=.D stM.udiErrNo #0
MOV.D #3190 stM.udiErrNo
MOV.D stUni1Out stM.udiSubErr
LDP stEx322.x2
AND=.D stM.udiErrNo #0
MOV.D #3220 stM.udiErrNo
MOV.D stUni2Out stM.udiSubErr
LDP stEx324.x2
AND=.D stM.udiErrNo #0
MOV.D #3240 stM.udiErrNo
MOV.D stDevIn.astAXK[1] stM.udiSubErr
RUNG_COMMENT
;-----ここまで生成script-----</v>
      </c>
      <c r="D30">
        <v>22</v>
      </c>
      <c r="E30" t="str">
        <f t="shared" si="2"/>
        <v>stEx322</v>
      </c>
      <c r="F30" t="str">
        <f t="shared" si="20"/>
        <v>EXE_DIREC</v>
      </c>
      <c r="G30" t="str">
        <f t="shared" si="3"/>
        <v>&gt;●UNI02波供給</v>
      </c>
      <c r="I30" t="s">
        <v>93</v>
      </c>
      <c r="J30" t="s">
        <v>0</v>
      </c>
      <c r="L30" t="b">
        <v>0</v>
      </c>
      <c r="M30" t="b">
        <v>0</v>
      </c>
      <c r="N30" t="b">
        <v>0</v>
      </c>
      <c r="O30" t="s">
        <v>98</v>
      </c>
      <c r="Z30" t="str">
        <f t="shared" si="21"/>
        <v/>
      </c>
      <c r="AA30" t="str">
        <f t="shared" si="22"/>
        <v/>
      </c>
      <c r="AB30" t="str">
        <f t="shared" si="22"/>
        <v/>
      </c>
      <c r="AC30">
        <f t="shared" si="22"/>
        <v>2</v>
      </c>
      <c r="AD30" t="str">
        <f t="shared" si="23"/>
        <v/>
      </c>
      <c r="AE30" t="str">
        <f t="shared" si="23"/>
        <v/>
      </c>
      <c r="AF30" t="str">
        <f t="shared" si="24"/>
        <v/>
      </c>
      <c r="AG30" t="str">
        <f t="shared" si="25"/>
        <v/>
      </c>
      <c r="AH30" t="str">
        <f t="shared" si="26"/>
        <v/>
      </c>
      <c r="AI30" t="str">
        <f t="shared" si="27"/>
        <v/>
      </c>
      <c r="AJ30" t="str">
        <f t="shared" si="28"/>
        <v>stUni2Out</v>
      </c>
      <c r="AK30" t="str">
        <f t="shared" si="29"/>
        <v>stUni2Out</v>
      </c>
      <c r="AM30" t="str">
        <f t="shared" si="5"/>
        <v>●</v>
      </c>
      <c r="AN30">
        <f t="shared" si="6"/>
        <v>3220</v>
      </c>
      <c r="AO30" t="str">
        <f t="shared" si="7"/>
        <v>LDP stEx322.x2</v>
      </c>
      <c r="AP30" t="str">
        <f t="shared" si="8"/>
        <v>AND=.D stM.udiErrNo #0</v>
      </c>
      <c r="AQ30" t="str">
        <f t="shared" si="9"/>
        <v>MOV.D #3220 stM.udiErrNo</v>
      </c>
      <c r="AR30" t="str">
        <f t="shared" si="10"/>
        <v>MOV.D stUni2Out stM.udiSubErr</v>
      </c>
      <c r="AS30" t="str">
        <f t="shared" si="11"/>
        <v xml:space="preserve">
LDP stEx322.x2</v>
      </c>
      <c r="AT30" t="str">
        <f t="shared" si="12"/>
        <v xml:space="preserve">
LDP stEx322.x2
AND=.D stM.udiErrNo #0</v>
      </c>
      <c r="AU30" t="str">
        <f t="shared" si="13"/>
        <v xml:space="preserve">
LDP stEx322.x2
AND=.D stM.udiErrNo #0
MOV.D #3220 stM.udiErrNo</v>
      </c>
      <c r="AV30" t="str">
        <f t="shared" si="30"/>
        <v xml:space="preserve">
LDP stEx322.x2
AND=.D stM.udiErrNo #0
MOV.D #3220 stM.udiErrNo
MOV.D stUni2Out stM.udiSubErr</v>
      </c>
      <c r="AW30" t="str">
        <f t="shared" si="31"/>
        <v xml:space="preserve">
LDP stEx322.x2
AND=.D stM.udiErrNo #0
MOV.D #3220 stM.udiErrNo
MOV.D stUni2Out stM.udiSubErr</v>
      </c>
      <c r="AY30" t="str">
        <f ca="1">IF($AM30="●",AT30&amp;CHAR(10)&amp;"BOX_ST"&amp;CHAR(10)&amp;";//"&amp;$B$28,"")</f>
        <v xml:space="preserve">
LDP stEx322.x2
AND=.D stM.udiErrNo #0
BOX_ST
;//このスクリプトは C:\tk\prj\hg-0025-0016\git\kv-x520\doc\[kv_script_exe_errno.xlsm]info_script によって生成されました。</v>
      </c>
      <c r="AZ30" t="str">
        <f t="shared" ca="1" si="14"/>
        <v xml:space="preserve">
LDP stEx322.x2
AND=.D stM.udiErrNo #0
BOX_ST
;//このスクリプトは C:\tk\prj\hg-0025-0016\git\kv-x520\doc\[kv_script_exe_errno.xlsm]info_script によって生成されました。
;//エラーNo.を入れる
;stM.udiErrNo	:= 3220;</v>
      </c>
      <c r="BA30" t="str">
        <f t="shared" ca="1" si="15"/>
        <v xml:space="preserve">
LDP stEx322.x2
AND=.D stM.udiErrNo #0
BOX_ST
;//このスクリプトは C:\tk\prj\hg-0025-0016\git\kv-x520\doc\[kv_script_exe_errno.xlsm]info_script によって生成されました。
;//エラーNo.を入れる
;stM.udiErrNo	:= 3220;
;//カウントする
;stM.uiEDCnt	:= stM.uiEDCnt + 1;</v>
      </c>
      <c r="BB30" t="str">
        <f t="shared" ca="1" si="16"/>
        <v xml:space="preserve">
LDP stEx322.x2
AND=.D stM.udiErrNo #0
BOX_ST
;//このスクリプトは C:\tk\prj\hg-0025-0016\git\kv-x520\doc\[kv_script_exe_errno.xlsm]info_script によって生成されました。
;//エラーNo.を入れる
;stM.udiErrNo	:= 3220;
;//カウントする
;stM.uiEDCnt	:= stM.uiEDCnt + 1;
;//エラーコードを入れる
;stM.udiSubErr	:= stUni2Out.udiErr;</v>
      </c>
      <c r="BC30" t="str">
        <f ca="1">IF($AM30="●",IF(LEN(BB30),BB30&amp;CHAR(10),"")&amp;";//"&amp;$B$29,"")</f>
        <v xml:space="preserve">
LDP stEx322.x2
AND=.D stM.udiErrNo #0
BOX_ST
;//このスクリプトは C:\tk\prj\hg-0025-0016\git\kv-x520\doc\[kv_script_exe_errno.xlsm]info_script によって生成されました。
;//エラーNo.を入れる
;stM.udiErrNo	:= 3220;
;//カウントする
;stM.uiEDCnt	:= stM.uiEDCnt + 1;
;//エラーコードを入れる
;stM.udiSubErr	:= stUni2Out.udiErr;
;//-----ここまで生成script-----</v>
      </c>
      <c r="BE30">
        <f t="shared" si="17"/>
        <v>7</v>
      </c>
      <c r="BF30">
        <f t="shared" si="18"/>
        <v>1</v>
      </c>
      <c r="BG30" t="str">
        <f t="shared" si="19"/>
        <v>stEx322.x1	 := FALSE;</v>
      </c>
      <c r="BH30" t="str">
        <f t="shared" si="32"/>
        <v xml:space="preserve">stEx322.x1	 := FALSE;
</v>
      </c>
    </row>
    <row r="31" spans="1:60" x14ac:dyDescent="0.55000000000000004">
      <c r="D31">
        <v>23</v>
      </c>
      <c r="E31" t="str">
        <f t="shared" si="2"/>
        <v>stEx323</v>
      </c>
      <c r="F31" t="str">
        <f t="shared" si="20"/>
        <v>EXE_DIREC</v>
      </c>
      <c r="G31" t="str">
        <f t="shared" si="3"/>
        <v>▼波板準備</v>
      </c>
      <c r="I31" t="s">
        <v>95</v>
      </c>
      <c r="J31" t="s">
        <v>0</v>
      </c>
      <c r="L31" t="b">
        <v>0</v>
      </c>
      <c r="M31" t="b">
        <v>0</v>
      </c>
      <c r="N31" t="b">
        <v>0</v>
      </c>
      <c r="O31" t="s">
        <v>99</v>
      </c>
      <c r="Z31" t="str">
        <f t="shared" si="21"/>
        <v/>
      </c>
      <c r="AA31" t="str">
        <f t="shared" si="22"/>
        <v/>
      </c>
      <c r="AB31" t="str">
        <f t="shared" si="22"/>
        <v/>
      </c>
      <c r="AC31" t="str">
        <f t="shared" si="22"/>
        <v/>
      </c>
      <c r="AD31" t="str">
        <f t="shared" si="23"/>
        <v/>
      </c>
      <c r="AE31" t="str">
        <f t="shared" si="23"/>
        <v/>
      </c>
      <c r="AF31" t="str">
        <f t="shared" si="24"/>
        <v/>
      </c>
      <c r="AG31" t="str">
        <f t="shared" si="25"/>
        <v/>
      </c>
      <c r="AH31" t="str">
        <f t="shared" si="26"/>
        <v/>
      </c>
      <c r="AI31" t="str">
        <f t="shared" si="27"/>
        <v/>
      </c>
      <c r="AJ31" t="str">
        <f t="shared" si="28"/>
        <v/>
      </c>
      <c r="AK31" t="str">
        <f t="shared" si="29"/>
        <v/>
      </c>
      <c r="AM31" t="str">
        <f t="shared" si="5"/>
        <v/>
      </c>
      <c r="AN31" t="str">
        <f t="shared" si="6"/>
        <v/>
      </c>
      <c r="AO31" t="str">
        <f t="shared" si="7"/>
        <v/>
      </c>
      <c r="AP31" t="str">
        <f t="shared" si="8"/>
        <v/>
      </c>
      <c r="AQ31" t="str">
        <f t="shared" si="9"/>
        <v/>
      </c>
      <c r="AR31" t="str">
        <f t="shared" si="10"/>
        <v/>
      </c>
      <c r="AS31" t="str">
        <f t="shared" si="11"/>
        <v/>
      </c>
      <c r="AT31" t="str">
        <f t="shared" si="12"/>
        <v/>
      </c>
      <c r="AU31" t="str">
        <f t="shared" si="13"/>
        <v/>
      </c>
      <c r="AV31" t="str">
        <f t="shared" si="30"/>
        <v/>
      </c>
      <c r="AW31" t="str">
        <f t="shared" si="31"/>
        <v/>
      </c>
      <c r="AY31" t="str">
        <f>IF($AM31="●",AT31&amp;CHAR(10)&amp;"BOX_ST"&amp;CHAR(10)&amp;";//"&amp;$B$28,"")</f>
        <v/>
      </c>
      <c r="AZ31" t="str">
        <f t="shared" si="14"/>
        <v/>
      </c>
      <c r="BA31" t="str">
        <f t="shared" si="15"/>
        <v/>
      </c>
      <c r="BB31" t="str">
        <f t="shared" si="16"/>
        <v/>
      </c>
      <c r="BC31" t="str">
        <f>IF($AM31="●",IF(LEN(BB31),BB31&amp;CHAR(10),"")&amp;";//"&amp;$B$29,"")</f>
        <v/>
      </c>
      <c r="BE31">
        <f t="shared" si="17"/>
        <v>7</v>
      </c>
      <c r="BF31">
        <f t="shared" si="18"/>
        <v>2</v>
      </c>
      <c r="BG31" t="str">
        <f t="shared" si="19"/>
        <v>stEx323.x2	 := FALSE;</v>
      </c>
      <c r="BH31" t="str">
        <f t="shared" si="32"/>
        <v xml:space="preserve">stEx323.x2	 := FALSE;
</v>
      </c>
    </row>
    <row r="32" spans="1:60" x14ac:dyDescent="0.55000000000000004">
      <c r="D32">
        <v>24</v>
      </c>
      <c r="E32" t="str">
        <f t="shared" si="2"/>
        <v>stEx324</v>
      </c>
      <c r="F32" t="str">
        <f t="shared" si="20"/>
        <v>EXE_DIREC</v>
      </c>
      <c r="G32" t="str">
        <f t="shared" si="3"/>
        <v>●AXK14調整 巻き</v>
      </c>
      <c r="I32" t="s">
        <v>97</v>
      </c>
      <c r="J32" t="s">
        <v>0</v>
      </c>
      <c r="L32" t="b">
        <v>0</v>
      </c>
      <c r="M32" t="b">
        <v>0</v>
      </c>
      <c r="N32" t="b">
        <v>0</v>
      </c>
      <c r="O32" t="s">
        <v>101</v>
      </c>
      <c r="Z32">
        <f t="shared" si="21"/>
        <v>14</v>
      </c>
      <c r="AA32" t="str">
        <f t="shared" si="22"/>
        <v/>
      </c>
      <c r="AB32" t="str">
        <f t="shared" si="22"/>
        <v/>
      </c>
      <c r="AC32" t="str">
        <f t="shared" si="22"/>
        <v/>
      </c>
      <c r="AD32" t="str">
        <f t="shared" si="23"/>
        <v/>
      </c>
      <c r="AE32" t="str">
        <f t="shared" si="23"/>
        <v>stDevIn.astAXK[1]</v>
      </c>
      <c r="AF32" t="str">
        <f t="shared" si="24"/>
        <v/>
      </c>
      <c r="AG32" t="str">
        <f t="shared" si="25"/>
        <v/>
      </c>
      <c r="AH32" t="str">
        <f t="shared" si="26"/>
        <v/>
      </c>
      <c r="AI32" t="str">
        <f t="shared" si="27"/>
        <v/>
      </c>
      <c r="AJ32" t="str">
        <f t="shared" si="28"/>
        <v/>
      </c>
      <c r="AK32" t="str">
        <f t="shared" si="29"/>
        <v>stDevIn.astAXK[1]</v>
      </c>
      <c r="AM32" t="str">
        <f t="shared" si="5"/>
        <v>●</v>
      </c>
      <c r="AN32">
        <f t="shared" si="6"/>
        <v>3240</v>
      </c>
      <c r="AO32" t="str">
        <f t="shared" si="7"/>
        <v>LDP stEx324.x2</v>
      </c>
      <c r="AP32" t="str">
        <f t="shared" si="8"/>
        <v>AND=.D stM.udiErrNo #0</v>
      </c>
      <c r="AQ32" t="str">
        <f t="shared" si="9"/>
        <v>MOV.D #3240 stM.udiErrNo</v>
      </c>
      <c r="AR32" t="str">
        <f t="shared" si="10"/>
        <v>MOV.D stDevIn.astAXK[1] stM.udiSubErr</v>
      </c>
      <c r="AS32" t="str">
        <f t="shared" si="11"/>
        <v xml:space="preserve">
LDP stEx324.x2</v>
      </c>
      <c r="AT32" t="str">
        <f t="shared" si="12"/>
        <v xml:space="preserve">
LDP stEx324.x2
AND=.D stM.udiErrNo #0</v>
      </c>
      <c r="AU32" t="str">
        <f t="shared" si="13"/>
        <v xml:space="preserve">
LDP stEx324.x2
AND=.D stM.udiErrNo #0
MOV.D #3240 stM.udiErrNo</v>
      </c>
      <c r="AV32" t="str">
        <f t="shared" si="30"/>
        <v xml:space="preserve">
LDP stEx324.x2
AND=.D stM.udiErrNo #0
MOV.D #3240 stM.udiErrNo
MOV.D stDevIn.astAXK[1] stM.udiSubErr</v>
      </c>
      <c r="AW32" t="str">
        <f t="shared" si="31"/>
        <v xml:space="preserve">
LDP stEx324.x2
AND=.D stM.udiErrNo #0
MOV.D #3240 stM.udiErrNo
MOV.D stDevIn.astAXK[1] stM.udiSubErr</v>
      </c>
      <c r="AY32" t="str">
        <f ca="1">IF($AM32="●",AT32&amp;CHAR(10)&amp;"BOX_ST"&amp;CHAR(10)&amp;";//"&amp;$B$28,"")</f>
        <v xml:space="preserve">
LDP stEx324.x2
AND=.D stM.udiErrNo #0
BOX_ST
;//このスクリプトは C:\tk\prj\hg-0025-0016\git\kv-x520\doc\[kv_script_exe_errno.xlsm]info_script によって生成されました。</v>
      </c>
      <c r="AZ32" t="str">
        <f t="shared" ca="1" si="14"/>
        <v xml:space="preserve">
LDP stEx324.x2
AND=.D stM.udiErrNo #0
BOX_ST
;//このスクリプトは C:\tk\prj\hg-0025-0016\git\kv-x520\doc\[kv_script_exe_errno.xlsm]info_script によって生成されました。
;//エラーNo.を入れる
;stM.udiErrNo	:= 3240;</v>
      </c>
      <c r="BA32" t="str">
        <f t="shared" ca="1" si="15"/>
        <v xml:space="preserve">
LDP stEx324.x2
AND=.D stM.udiErrNo #0
BOX_ST
;//このスクリプトは C:\tk\prj\hg-0025-0016\git\kv-x520\doc\[kv_script_exe_errno.xlsm]info_script によって生成されました。
;//エラーNo.を入れる
;stM.udiErrNo	:= 3240;
;//カウントする
;stM.uiEDCnt	:= stM.uiEDCnt + 1;</v>
      </c>
      <c r="BB32" t="str">
        <f t="shared" ca="1" si="16"/>
        <v xml:space="preserve">
LDP stEx324.x2
AND=.D stM.udiErrNo #0
BOX_ST
;//このスクリプトは C:\tk\prj\hg-0025-0016\git\kv-x520\doc\[kv_script_exe_errno.xlsm]info_script によって生成されました。
;//エラーNo.を入れる
;stM.udiErrNo	:= 3240;
;//カウントする
;stM.uiEDCnt	:= stM.uiEDCnt + 1;
;//エラーコードを入れる
;stM.udiSubErr	:= stDevIn.astAXK[1].udiErr;</v>
      </c>
      <c r="BC32" t="str">
        <f ca="1">IF($AM32="●",IF(LEN(BB32),BB32&amp;CHAR(10),"")&amp;";//"&amp;$B$29,"")</f>
        <v xml:space="preserve">
LDP stEx324.x2
AND=.D stM.udiErrNo #0
BOX_ST
;//このスクリプトは C:\tk\prj\hg-0025-0016\git\kv-x520\doc\[kv_script_exe_errno.xlsm]info_script によって生成されました。
;//エラーNo.を入れる
;stM.udiErrNo	:= 3240;
;//カウントする
;stM.uiEDCnt	:= stM.uiEDCnt + 1;
;//エラーコードを入れる
;stM.udiSubErr	:= stDevIn.astAXK[1].udiErr;
;//-----ここまで生成script-----</v>
      </c>
      <c r="BE32">
        <f t="shared" si="17"/>
        <v>8</v>
      </c>
      <c r="BF32">
        <f t="shared" si="18"/>
        <v>0</v>
      </c>
      <c r="BG32" t="str">
        <f t="shared" si="19"/>
        <v>stEx324.x0	 := FALSE;</v>
      </c>
      <c r="BH32" t="str">
        <f t="shared" si="32"/>
        <v xml:space="preserve">stEx324.x0	 := FALSE;
</v>
      </c>
    </row>
    <row r="33" spans="1:60" x14ac:dyDescent="0.55000000000000004">
      <c r="D33">
        <v>25</v>
      </c>
      <c r="E33" t="str">
        <f t="shared" si="2"/>
        <v/>
      </c>
      <c r="F33" t="str">
        <f t="shared" si="20"/>
        <v/>
      </c>
      <c r="G33" t="str">
        <f t="shared" si="3"/>
        <v/>
      </c>
      <c r="Z33" t="str">
        <f t="shared" si="21"/>
        <v/>
      </c>
      <c r="AA33" t="str">
        <f t="shared" si="22"/>
        <v/>
      </c>
      <c r="AB33" t="str">
        <f t="shared" si="22"/>
        <v/>
      </c>
      <c r="AC33" t="str">
        <f t="shared" si="22"/>
        <v/>
      </c>
      <c r="AD33" t="str">
        <f t="shared" si="23"/>
        <v/>
      </c>
      <c r="AE33" t="str">
        <f t="shared" si="23"/>
        <v/>
      </c>
      <c r="AF33" t="str">
        <f t="shared" si="24"/>
        <v/>
      </c>
      <c r="AG33" t="str">
        <f t="shared" si="25"/>
        <v/>
      </c>
      <c r="AH33" t="str">
        <f t="shared" si="26"/>
        <v/>
      </c>
      <c r="AI33" t="str">
        <f t="shared" si="27"/>
        <v/>
      </c>
      <c r="AJ33" t="str">
        <f t="shared" si="28"/>
        <v/>
      </c>
      <c r="AK33" t="str">
        <f t="shared" si="29"/>
        <v/>
      </c>
      <c r="AM33" t="str">
        <f t="shared" si="5"/>
        <v/>
      </c>
      <c r="AN33" t="str">
        <f t="shared" si="6"/>
        <v/>
      </c>
      <c r="AO33" t="str">
        <f t="shared" si="7"/>
        <v/>
      </c>
      <c r="AP33" t="str">
        <f t="shared" si="8"/>
        <v/>
      </c>
      <c r="AQ33" t="str">
        <f t="shared" si="9"/>
        <v/>
      </c>
      <c r="AR33" t="str">
        <f t="shared" si="10"/>
        <v/>
      </c>
      <c r="AS33" t="str">
        <f t="shared" si="11"/>
        <v/>
      </c>
      <c r="AT33" t="str">
        <f t="shared" si="12"/>
        <v/>
      </c>
      <c r="AU33" t="str">
        <f t="shared" si="13"/>
        <v/>
      </c>
      <c r="AV33" t="str">
        <f t="shared" si="30"/>
        <v/>
      </c>
      <c r="AW33" t="str">
        <f t="shared" si="31"/>
        <v/>
      </c>
      <c r="AY33" t="str">
        <f>IF($AM33="●",AT33&amp;CHAR(10)&amp;"BOX_ST"&amp;CHAR(10)&amp;";//"&amp;$B$28,"")</f>
        <v/>
      </c>
      <c r="AZ33" t="str">
        <f t="shared" si="14"/>
        <v/>
      </c>
      <c r="BA33" t="str">
        <f t="shared" si="15"/>
        <v/>
      </c>
      <c r="BB33" t="str">
        <f t="shared" si="16"/>
        <v/>
      </c>
      <c r="BC33" t="str">
        <f>IF($AM33="●",IF(LEN(BB33),BB33&amp;CHAR(10),"")&amp;";//"&amp;$B$29,"")</f>
        <v/>
      </c>
      <c r="BE33">
        <f t="shared" si="17"/>
        <v>8</v>
      </c>
      <c r="BF33">
        <f t="shared" si="18"/>
        <v>1</v>
      </c>
      <c r="BG33" t="str">
        <f t="shared" si="19"/>
        <v/>
      </c>
      <c r="BH33" t="str">
        <f t="shared" si="32"/>
        <v/>
      </c>
    </row>
    <row r="34" spans="1:60" x14ac:dyDescent="0.55000000000000004">
      <c r="D34">
        <v>26</v>
      </c>
      <c r="E34" t="str">
        <f t="shared" si="2"/>
        <v/>
      </c>
      <c r="F34" t="str">
        <f t="shared" si="20"/>
        <v/>
      </c>
      <c r="G34" t="str">
        <f t="shared" si="3"/>
        <v/>
      </c>
      <c r="Z34" t="str">
        <f t="shared" si="21"/>
        <v/>
      </c>
      <c r="AA34" t="str">
        <f t="shared" si="22"/>
        <v/>
      </c>
      <c r="AB34" t="str">
        <f t="shared" si="22"/>
        <v/>
      </c>
      <c r="AC34" t="str">
        <f t="shared" si="22"/>
        <v/>
      </c>
      <c r="AD34" t="str">
        <f t="shared" si="23"/>
        <v/>
      </c>
      <c r="AE34" t="str">
        <f t="shared" si="23"/>
        <v/>
      </c>
      <c r="AF34" t="str">
        <f t="shared" si="24"/>
        <v/>
      </c>
      <c r="AG34" t="str">
        <f t="shared" si="25"/>
        <v/>
      </c>
      <c r="AH34" t="str">
        <f t="shared" si="26"/>
        <v/>
      </c>
      <c r="AI34" t="str">
        <f t="shared" si="27"/>
        <v/>
      </c>
      <c r="AJ34" t="str">
        <f t="shared" si="28"/>
        <v/>
      </c>
      <c r="AK34" t="str">
        <f t="shared" si="29"/>
        <v/>
      </c>
      <c r="AM34" t="str">
        <f t="shared" si="5"/>
        <v/>
      </c>
      <c r="AN34" t="str">
        <f t="shared" si="6"/>
        <v/>
      </c>
      <c r="AO34" t="str">
        <f t="shared" si="7"/>
        <v/>
      </c>
      <c r="AP34" t="str">
        <f t="shared" si="8"/>
        <v/>
      </c>
      <c r="AQ34" t="str">
        <f t="shared" si="9"/>
        <v/>
      </c>
      <c r="AR34" t="str">
        <f t="shared" si="10"/>
        <v/>
      </c>
      <c r="AS34" t="str">
        <f t="shared" si="11"/>
        <v/>
      </c>
      <c r="AT34" t="str">
        <f t="shared" si="12"/>
        <v/>
      </c>
      <c r="AU34" t="str">
        <f t="shared" si="13"/>
        <v/>
      </c>
      <c r="AV34" t="str">
        <f t="shared" si="30"/>
        <v/>
      </c>
      <c r="AW34" t="str">
        <f t="shared" si="31"/>
        <v/>
      </c>
      <c r="AY34" t="str">
        <f>IF($AM34="●",AT34&amp;CHAR(10)&amp;"BOX_ST"&amp;CHAR(10)&amp;";//"&amp;$B$28,"")</f>
        <v/>
      </c>
      <c r="AZ34" t="str">
        <f t="shared" si="14"/>
        <v/>
      </c>
      <c r="BA34" t="str">
        <f t="shared" si="15"/>
        <v/>
      </c>
      <c r="BB34" t="str">
        <f t="shared" si="16"/>
        <v/>
      </c>
      <c r="BC34" t="str">
        <f>IF($AM34="●",IF(LEN(BB34),BB34&amp;CHAR(10),"")&amp;";//"&amp;$B$29,"")</f>
        <v/>
      </c>
      <c r="BE34">
        <f t="shared" si="17"/>
        <v>8</v>
      </c>
      <c r="BF34">
        <f t="shared" si="18"/>
        <v>2</v>
      </c>
      <c r="BG34" t="str">
        <f t="shared" si="19"/>
        <v/>
      </c>
      <c r="BH34" t="str">
        <f t="shared" si="32"/>
        <v/>
      </c>
    </row>
    <row r="35" spans="1:60" x14ac:dyDescent="0.55000000000000004">
      <c r="D35">
        <v>27</v>
      </c>
      <c r="E35" t="str">
        <f t="shared" si="2"/>
        <v/>
      </c>
      <c r="F35" t="str">
        <f t="shared" si="20"/>
        <v/>
      </c>
      <c r="G35" t="str">
        <f t="shared" si="3"/>
        <v/>
      </c>
      <c r="Z35" t="str">
        <f t="shared" si="21"/>
        <v/>
      </c>
      <c r="AA35" t="str">
        <f t="shared" si="22"/>
        <v/>
      </c>
      <c r="AB35" t="str">
        <f t="shared" si="22"/>
        <v/>
      </c>
      <c r="AC35" t="str">
        <f t="shared" si="22"/>
        <v/>
      </c>
      <c r="AD35" t="str">
        <f t="shared" si="23"/>
        <v/>
      </c>
      <c r="AE35" t="str">
        <f t="shared" si="23"/>
        <v/>
      </c>
      <c r="AF35" t="str">
        <f t="shared" si="24"/>
        <v/>
      </c>
      <c r="AG35" t="str">
        <f t="shared" si="25"/>
        <v/>
      </c>
      <c r="AH35" t="str">
        <f t="shared" si="26"/>
        <v/>
      </c>
      <c r="AI35" t="str">
        <f t="shared" si="27"/>
        <v/>
      </c>
      <c r="AJ35" t="str">
        <f t="shared" si="28"/>
        <v/>
      </c>
      <c r="AK35" t="str">
        <f t="shared" si="29"/>
        <v/>
      </c>
      <c r="AM35" t="str">
        <f t="shared" si="5"/>
        <v/>
      </c>
      <c r="AN35" t="str">
        <f t="shared" si="6"/>
        <v/>
      </c>
      <c r="AO35" t="str">
        <f t="shared" si="7"/>
        <v/>
      </c>
      <c r="AP35" t="str">
        <f t="shared" si="8"/>
        <v/>
      </c>
      <c r="AQ35" t="str">
        <f t="shared" si="9"/>
        <v/>
      </c>
      <c r="AR35" t="str">
        <f t="shared" si="10"/>
        <v/>
      </c>
      <c r="AS35" t="str">
        <f t="shared" si="11"/>
        <v/>
      </c>
      <c r="AT35" t="str">
        <f t="shared" si="12"/>
        <v/>
      </c>
      <c r="AU35" t="str">
        <f t="shared" si="13"/>
        <v/>
      </c>
      <c r="AV35" t="str">
        <f t="shared" si="30"/>
        <v/>
      </c>
      <c r="AW35" t="str">
        <f t="shared" si="31"/>
        <v/>
      </c>
      <c r="AY35" t="str">
        <f>IF($AM35="●",AT35&amp;CHAR(10)&amp;"BOX_ST"&amp;CHAR(10)&amp;";//"&amp;$B$28,"")</f>
        <v/>
      </c>
      <c r="AZ35" t="str">
        <f t="shared" si="14"/>
        <v/>
      </c>
      <c r="BA35" t="str">
        <f t="shared" si="15"/>
        <v/>
      </c>
      <c r="BB35" t="str">
        <f t="shared" si="16"/>
        <v/>
      </c>
      <c r="BC35" t="str">
        <f>IF($AM35="●",IF(LEN(BB35),BB35&amp;CHAR(10),"")&amp;";//"&amp;$B$29,"")</f>
        <v/>
      </c>
      <c r="BE35">
        <f t="shared" si="17"/>
        <v>9</v>
      </c>
      <c r="BF35">
        <f t="shared" si="18"/>
        <v>0</v>
      </c>
      <c r="BG35" t="str">
        <f t="shared" si="19"/>
        <v/>
      </c>
      <c r="BH35" t="str">
        <f t="shared" si="32"/>
        <v/>
      </c>
    </row>
    <row r="36" spans="1:60" x14ac:dyDescent="0.55000000000000004">
      <c r="D36">
        <v>28</v>
      </c>
      <c r="E36" t="str">
        <f t="shared" si="2"/>
        <v/>
      </c>
      <c r="F36" t="str">
        <f t="shared" si="20"/>
        <v/>
      </c>
      <c r="G36" t="str">
        <f t="shared" si="3"/>
        <v/>
      </c>
      <c r="Z36" t="str">
        <f t="shared" si="21"/>
        <v/>
      </c>
      <c r="AA36" t="str">
        <f t="shared" si="22"/>
        <v/>
      </c>
      <c r="AB36" t="str">
        <f t="shared" si="22"/>
        <v/>
      </c>
      <c r="AC36" t="str">
        <f t="shared" si="22"/>
        <v/>
      </c>
      <c r="AD36" t="str">
        <f t="shared" si="23"/>
        <v/>
      </c>
      <c r="AE36" t="str">
        <f t="shared" si="23"/>
        <v/>
      </c>
      <c r="AF36" t="str">
        <f t="shared" si="24"/>
        <v/>
      </c>
      <c r="AG36" t="str">
        <f t="shared" si="25"/>
        <v/>
      </c>
      <c r="AH36" t="str">
        <f t="shared" si="26"/>
        <v/>
      </c>
      <c r="AI36" t="str">
        <f t="shared" si="27"/>
        <v/>
      </c>
      <c r="AJ36" t="str">
        <f t="shared" si="28"/>
        <v/>
      </c>
      <c r="AK36" t="str">
        <f t="shared" si="29"/>
        <v/>
      </c>
      <c r="AM36" t="str">
        <f t="shared" si="5"/>
        <v/>
      </c>
      <c r="AN36" t="str">
        <f t="shared" si="6"/>
        <v/>
      </c>
      <c r="AO36" t="str">
        <f t="shared" si="7"/>
        <v/>
      </c>
      <c r="AP36" t="str">
        <f t="shared" si="8"/>
        <v/>
      </c>
      <c r="AQ36" t="str">
        <f t="shared" si="9"/>
        <v/>
      </c>
      <c r="AR36" t="str">
        <f t="shared" si="10"/>
        <v/>
      </c>
      <c r="AS36" t="str">
        <f t="shared" si="11"/>
        <v/>
      </c>
      <c r="AT36" t="str">
        <f t="shared" si="12"/>
        <v/>
      </c>
      <c r="AU36" t="str">
        <f t="shared" si="13"/>
        <v/>
      </c>
      <c r="AV36" t="str">
        <f t="shared" si="30"/>
        <v/>
      </c>
      <c r="AW36" t="str">
        <f t="shared" si="31"/>
        <v/>
      </c>
      <c r="AY36" t="str">
        <f>IF($AM36="●",AT36&amp;CHAR(10)&amp;"BOX_ST"&amp;CHAR(10)&amp;";//"&amp;$B$28,"")</f>
        <v/>
      </c>
      <c r="AZ36" t="str">
        <f t="shared" si="14"/>
        <v/>
      </c>
      <c r="BA36" t="str">
        <f t="shared" si="15"/>
        <v/>
      </c>
      <c r="BB36" t="str">
        <f t="shared" si="16"/>
        <v/>
      </c>
      <c r="BC36" t="str">
        <f>IF($AM36="●",IF(LEN(BB36),BB36&amp;CHAR(10),"")&amp;";//"&amp;$B$29,"")</f>
        <v/>
      </c>
      <c r="BE36">
        <f t="shared" si="17"/>
        <v>9</v>
      </c>
      <c r="BF36">
        <f t="shared" si="18"/>
        <v>1</v>
      </c>
      <c r="BG36" t="str">
        <f t="shared" si="19"/>
        <v/>
      </c>
      <c r="BH36" t="str">
        <f t="shared" si="32"/>
        <v/>
      </c>
    </row>
    <row r="37" spans="1:60" x14ac:dyDescent="0.55000000000000004">
      <c r="D37">
        <v>29</v>
      </c>
      <c r="E37" t="str">
        <f t="shared" si="2"/>
        <v/>
      </c>
      <c r="F37" t="str">
        <f t="shared" si="20"/>
        <v/>
      </c>
      <c r="G37" t="str">
        <f t="shared" si="3"/>
        <v/>
      </c>
      <c r="Z37" t="str">
        <f t="shared" si="21"/>
        <v/>
      </c>
      <c r="AA37" t="str">
        <f t="shared" si="22"/>
        <v/>
      </c>
      <c r="AB37" t="str">
        <f t="shared" si="22"/>
        <v/>
      </c>
      <c r="AC37" t="str">
        <f t="shared" si="22"/>
        <v/>
      </c>
      <c r="AD37" t="str">
        <f t="shared" si="23"/>
        <v/>
      </c>
      <c r="AE37" t="str">
        <f t="shared" si="23"/>
        <v/>
      </c>
      <c r="AF37" t="str">
        <f t="shared" si="24"/>
        <v/>
      </c>
      <c r="AG37" t="str">
        <f t="shared" si="25"/>
        <v/>
      </c>
      <c r="AH37" t="str">
        <f t="shared" si="26"/>
        <v/>
      </c>
      <c r="AI37" t="str">
        <f t="shared" si="27"/>
        <v/>
      </c>
      <c r="AJ37" t="str">
        <f t="shared" si="28"/>
        <v/>
      </c>
      <c r="AK37" t="str">
        <f t="shared" si="29"/>
        <v/>
      </c>
      <c r="AM37" t="str">
        <f t="shared" si="5"/>
        <v/>
      </c>
      <c r="AN37" t="str">
        <f t="shared" si="6"/>
        <v/>
      </c>
      <c r="AO37" t="str">
        <f t="shared" si="7"/>
        <v/>
      </c>
      <c r="AP37" t="str">
        <f t="shared" si="8"/>
        <v/>
      </c>
      <c r="AQ37" t="str">
        <f t="shared" si="9"/>
        <v/>
      </c>
      <c r="AR37" t="str">
        <f t="shared" si="10"/>
        <v/>
      </c>
      <c r="AS37" t="str">
        <f t="shared" si="11"/>
        <v/>
      </c>
      <c r="AT37" t="str">
        <f t="shared" si="12"/>
        <v/>
      </c>
      <c r="AU37" t="str">
        <f t="shared" si="13"/>
        <v/>
      </c>
      <c r="AV37" t="str">
        <f t="shared" si="30"/>
        <v/>
      </c>
      <c r="AW37" t="str">
        <f t="shared" si="31"/>
        <v/>
      </c>
      <c r="AY37" t="str">
        <f>IF($AM37="●",AT37&amp;CHAR(10)&amp;"BOX_ST"&amp;CHAR(10)&amp;";//"&amp;$B$28,"")</f>
        <v/>
      </c>
      <c r="AZ37" t="str">
        <f t="shared" si="14"/>
        <v/>
      </c>
      <c r="BA37" t="str">
        <f t="shared" si="15"/>
        <v/>
      </c>
      <c r="BB37" t="str">
        <f t="shared" si="16"/>
        <v/>
      </c>
      <c r="BC37" t="str">
        <f>IF($AM37="●",IF(LEN(BB37),BB37&amp;CHAR(10),"")&amp;";//"&amp;$B$29,"")</f>
        <v/>
      </c>
      <c r="BE37">
        <f t="shared" si="17"/>
        <v>9</v>
      </c>
      <c r="BF37">
        <f t="shared" si="18"/>
        <v>2</v>
      </c>
      <c r="BG37" t="str">
        <f t="shared" si="19"/>
        <v/>
      </c>
      <c r="BH37" t="str">
        <f t="shared" si="32"/>
        <v/>
      </c>
    </row>
    <row r="38" spans="1:60" x14ac:dyDescent="0.55000000000000004">
      <c r="A38" t="s">
        <v>8</v>
      </c>
      <c r="B38" t="str">
        <f ca="1">"RUNG_COMMENT"&amp;CHAR(10)&amp;";"&amp;"このスクリプトは "&amp;$B$8&amp;" によって生成されました。"</f>
        <v>RUNG_COMMENT
;このスクリプトは C:\tk\prj\hg-0025-0016\git\kv-x520\doc\[kv_script_exe_errno.xlsm]info_script によって生成されました。</v>
      </c>
      <c r="D38">
        <v>30</v>
      </c>
      <c r="E38" t="str">
        <f t="shared" si="2"/>
        <v/>
      </c>
      <c r="F38" t="str">
        <f t="shared" si="20"/>
        <v/>
      </c>
      <c r="G38" t="str">
        <f t="shared" si="3"/>
        <v/>
      </c>
      <c r="Z38" t="str">
        <f t="shared" si="21"/>
        <v/>
      </c>
      <c r="AA38" t="str">
        <f t="shared" si="22"/>
        <v/>
      </c>
      <c r="AB38" t="str">
        <f t="shared" si="22"/>
        <v/>
      </c>
      <c r="AC38" t="str">
        <f t="shared" si="22"/>
        <v/>
      </c>
      <c r="AD38" t="str">
        <f t="shared" si="23"/>
        <v/>
      </c>
      <c r="AE38" t="str">
        <f t="shared" si="23"/>
        <v/>
      </c>
      <c r="AF38" t="str">
        <f t="shared" si="24"/>
        <v/>
      </c>
      <c r="AG38" t="str">
        <f t="shared" si="25"/>
        <v/>
      </c>
      <c r="AH38" t="str">
        <f t="shared" si="26"/>
        <v/>
      </c>
      <c r="AI38" t="str">
        <f t="shared" si="27"/>
        <v/>
      </c>
      <c r="AJ38" t="str">
        <f t="shared" si="28"/>
        <v/>
      </c>
      <c r="AK38" t="str">
        <f t="shared" si="29"/>
        <v/>
      </c>
      <c r="AM38" t="str">
        <f t="shared" si="5"/>
        <v/>
      </c>
      <c r="AN38" t="str">
        <f t="shared" si="6"/>
        <v/>
      </c>
      <c r="AO38" t="str">
        <f t="shared" si="7"/>
        <v/>
      </c>
      <c r="AP38" t="str">
        <f t="shared" si="8"/>
        <v/>
      </c>
      <c r="AQ38" t="str">
        <f t="shared" si="9"/>
        <v/>
      </c>
      <c r="AR38" t="str">
        <f t="shared" si="10"/>
        <v/>
      </c>
      <c r="AS38" t="str">
        <f t="shared" si="11"/>
        <v/>
      </c>
      <c r="AT38" t="str">
        <f t="shared" si="12"/>
        <v/>
      </c>
      <c r="AU38" t="str">
        <f t="shared" si="13"/>
        <v/>
      </c>
      <c r="AV38" t="str">
        <f t="shared" si="30"/>
        <v/>
      </c>
      <c r="AW38" t="str">
        <f t="shared" si="31"/>
        <v/>
      </c>
      <c r="AY38" t="str">
        <f>IF($AM38="●",AT38&amp;CHAR(10)&amp;"BOX_ST"&amp;CHAR(10)&amp;";//"&amp;$B$28,"")</f>
        <v/>
      </c>
      <c r="AZ38" t="str">
        <f t="shared" si="14"/>
        <v/>
      </c>
      <c r="BA38" t="str">
        <f t="shared" si="15"/>
        <v/>
      </c>
      <c r="BB38" t="str">
        <f t="shared" si="16"/>
        <v/>
      </c>
      <c r="BC38" t="str">
        <f>IF($AM38="●",IF(LEN(BB38),BB38&amp;CHAR(10),"")&amp;";//"&amp;$B$29,"")</f>
        <v/>
      </c>
      <c r="BE38">
        <f t="shared" si="17"/>
        <v>10</v>
      </c>
      <c r="BF38">
        <f t="shared" si="18"/>
        <v>0</v>
      </c>
      <c r="BG38" t="str">
        <f t="shared" si="19"/>
        <v/>
      </c>
      <c r="BH38" t="str">
        <f t="shared" si="32"/>
        <v/>
      </c>
    </row>
    <row r="39" spans="1:60" x14ac:dyDescent="0.55000000000000004">
      <c r="A39" t="s">
        <v>9</v>
      </c>
      <c r="B39" t="str">
        <f>"RUNG_COMMENT"&amp;CHAR(10)&amp;";"&amp;"-----ここまで生成script-----"</f>
        <v>RUNG_COMMENT
;-----ここまで生成script-----</v>
      </c>
      <c r="D39">
        <v>31</v>
      </c>
      <c r="E39" t="str">
        <f t="shared" si="2"/>
        <v/>
      </c>
      <c r="F39" t="str">
        <f t="shared" si="20"/>
        <v/>
      </c>
      <c r="G39" t="str">
        <f t="shared" si="3"/>
        <v/>
      </c>
      <c r="Z39" t="str">
        <f t="shared" si="21"/>
        <v/>
      </c>
      <c r="AA39" t="str">
        <f t="shared" si="22"/>
        <v/>
      </c>
      <c r="AB39" t="str">
        <f t="shared" si="22"/>
        <v/>
      </c>
      <c r="AC39" t="str">
        <f t="shared" si="22"/>
        <v/>
      </c>
      <c r="AD39" t="str">
        <f t="shared" si="23"/>
        <v/>
      </c>
      <c r="AE39" t="str">
        <f t="shared" si="23"/>
        <v/>
      </c>
      <c r="AF39" t="str">
        <f t="shared" si="24"/>
        <v/>
      </c>
      <c r="AG39" t="str">
        <f t="shared" si="25"/>
        <v/>
      </c>
      <c r="AH39" t="str">
        <f t="shared" si="26"/>
        <v/>
      </c>
      <c r="AI39" t="str">
        <f t="shared" si="27"/>
        <v/>
      </c>
      <c r="AJ39" t="str">
        <f t="shared" si="28"/>
        <v/>
      </c>
      <c r="AK39" t="str">
        <f t="shared" si="29"/>
        <v/>
      </c>
      <c r="AM39" t="str">
        <f t="shared" si="5"/>
        <v/>
      </c>
      <c r="AN39" t="str">
        <f t="shared" si="6"/>
        <v/>
      </c>
      <c r="AO39" t="str">
        <f t="shared" si="7"/>
        <v/>
      </c>
      <c r="AP39" t="str">
        <f t="shared" si="8"/>
        <v/>
      </c>
      <c r="AQ39" t="str">
        <f t="shared" si="9"/>
        <v/>
      </c>
      <c r="AR39" t="str">
        <f t="shared" si="10"/>
        <v/>
      </c>
      <c r="AS39" t="str">
        <f t="shared" si="11"/>
        <v/>
      </c>
      <c r="AT39" t="str">
        <f t="shared" si="12"/>
        <v/>
      </c>
      <c r="AU39" t="str">
        <f t="shared" si="13"/>
        <v/>
      </c>
      <c r="AV39" t="str">
        <f t="shared" si="30"/>
        <v/>
      </c>
      <c r="AW39" t="str">
        <f t="shared" si="31"/>
        <v/>
      </c>
      <c r="AY39" t="str">
        <f>IF($AM39="●",AT39&amp;CHAR(10)&amp;"BOX_ST"&amp;CHAR(10)&amp;";//"&amp;$B$28,"")</f>
        <v/>
      </c>
      <c r="AZ39" t="str">
        <f t="shared" si="14"/>
        <v/>
      </c>
      <c r="BA39" t="str">
        <f t="shared" si="15"/>
        <v/>
      </c>
      <c r="BB39" t="str">
        <f t="shared" si="16"/>
        <v/>
      </c>
      <c r="BC39" t="str">
        <f>IF($AM39="●",IF(LEN(BB39),BB39&amp;CHAR(10),"")&amp;";//"&amp;$B$29,"")</f>
        <v/>
      </c>
      <c r="BE39">
        <f t="shared" si="17"/>
        <v>10</v>
      </c>
      <c r="BF39">
        <f t="shared" si="18"/>
        <v>1</v>
      </c>
      <c r="BG39" t="str">
        <f t="shared" si="19"/>
        <v/>
      </c>
      <c r="BH39" t="str">
        <f t="shared" si="32"/>
        <v/>
      </c>
    </row>
    <row r="40" spans="1:60" x14ac:dyDescent="0.55000000000000004">
      <c r="A40" t="s">
        <v>21</v>
      </c>
      <c r="B40" t="str">
        <f ca="1">"RUNG_COMMENT"&amp;CHAR(10)&amp;";"&amp;B28&amp;CHAR(10)&amp;BC109&amp;CHAR(10)&amp;"RUNG_COMMENT"&amp;CHAR(10)&amp;";"&amp;B29</f>
        <v>RUNG_COMMENT
;このスクリプトは C:\tk\prj\hg-0025-0016\git\kv-x520\doc\[kv_script_exe_errno.xlsm]info_script によって生成されました。
LDP stEx301.x2
AND=.D stM.udiErrNo #0
BOX_ST
;//このスクリプトは C:\tk\prj\hg-0025-0016\git\kv-x520\doc\[kv_script_exe_errno.xlsm]info_script によって生成されました。
;//エラーNo.を入れる
;stM.udiErrNo	:= 3010;
;//カウントする
;stM.uiEDCnt	:= stM.uiEDCnt + 1;
;//エラーコードを入れる
;stM.udiSubErr	:= stDevIn.astAXK[0].udiErr;
;//-----ここまで生成script-----
LDP stEx302.x2
AND=.D stM.udiErrNo #0
BOX_ST
;//このスクリプトは C:\tk\prj\hg-0025-0016\git\kv-x520\doc\[kv_script_exe_errno.xlsm]info_script によって生成されました。
;//エラーNo.を入れる
;stM.udiErrNo	:= 3020;
;//カウントする
;stM.uiEDCnt	:= stM.uiEDCnt + 1;
;//エラーコードを入れる
;stM.udiSubErr	:= stDevIn.astAXK[0].udiErr;
;//-----ここまで生成script-----
LDP stEx303.x2
AND=.D stM.udiErrNo #0
BOX_ST
;//このスクリプトは C:\tk\prj\hg-0025-0016\git\kv-x520\doc\[kv_script_exe_errno.xlsm]info_script によって生成されました。
;//エラーNo.を入れる
;stM.udiErrNo	:= 3030;
;//カウントする
;stM.uiEDCnt	:= stM.uiEDCnt + 1;
;//エラーコードを入れる
;stM.udiSubErr	:= stDevIn.astAXK[1].udiErr;
;//-----ここまで生成script-----
LDP stEx304.x2
AND=.D stM.udiErrNo #0
BOX_ST
;//このスクリプトは C:\tk\prj\hg-0025-0016\git\kv-x520\doc\[kv_script_exe_errno.xlsm]info_script によって生成されました。
;//エラーNo.を入れる
;stM.udiErrNo	:= 3040;
;//カウントする
;stM.uiEDCnt	:= stM.uiEDCnt + 1;
;//エラーコードを入れる
;stM.udiSubErr	:= stDevIn.astAXK[0].udiErr;
;//-----ここまで生成script-----
LDP stEx305.x2
AND=.D stM.udiErrNo #0
BOX_ST
;//このスクリプトは C:\tk\prj\hg-0025-0016\git\kv-x520\doc\[kv_script_exe_errno.xlsm]info_script によって生成されました。
;//エラーNo.を入れる
;stM.udiErrNo	:= 3050;
;//カウントする
;stM.uiEDCnt	:= stM.uiEDCnt + 1;
;//エラーコードを入れる
;stM.udiSubErr	:= stUni1Out.udiErr;
;//-----ここまで生成script-----
LDP stEx306.x2
AND=.D stM.udiErrNo #0
BOX_ST
;//このスクリプトは C:\tk\prj\hg-0025-0016\git\kv-x520\doc\[kv_script_exe_errno.xlsm]info_script によって生成されました。
;//エラーNo.を入れる
;stM.udiErrNo	:= 3060;
;//カウントする
;stM.uiEDCnt	:= stM.uiEDCnt + 1;
;//エラーコードを入れる
;stM.udiSubErr	:= stDevIn.astCYL[4].udiErr;
;//-----ここまで生成script-----
LDP stEx307.x2
AND=.D stM.udiErrNo #0
BOX_ST
;//このスクリプトは C:\tk\prj\hg-0025-0016\git\kv-x520\doc\[kv_script_exe_errno.xlsm]info_script によって生成されました。
;//エラーNo.を入れる
;stM.udiErrNo	:= 3070;
;//カウントする
;stM.uiEDCnt	:= stM.uiEDCnt + 1;
;//エラーコードを入れる
;stM.udiSubErr	:= stDevIn.astCYL[5].udiErr;
;//-----ここまで生成script-----
LDP stEx308.x2
AND=.D stM.udiErrNo #0
BOX_ST
;//このスクリプトは C:\tk\prj\hg-0025-0016\git\kv-x520\doc\[kv_script_exe_errno.xlsm]info_script によって生成されました。
;//エラーNo.を入れる
;stM.udiErrNo	:= 3080;
;//カウントする
;stM.uiEDCnt	:= stM.uiEDCnt + 1;
;//エラーコードを入れる
;stM.udiSubErr	:= stDevIn.astCYL[0].udiErr;
;//-----ここまで生成script-----
LDP stEx309.x2
AND=.D stM.udiErrNo #0
BOX_ST
;//このスクリプトは C:\tk\prj\hg-0025-0016\git\kv-x520\doc\[kv_script_exe_errno.xlsm]info_script によって生成されました。
;//エラーNo.を入れる
;stM.udiErrNo	:= 3090;
;//カウントする
;stM.uiEDCnt	:= stM.uiEDCnt + 1;
;//エラーコードを入れる
;stM.udiSubErr	:= stDevIn.astCYL[5].udiErr;
;//-----ここまで生成script-----
LDP stEx310.x2
AND=.D stM.udiErrNo #0
BOX_ST
;//このスクリプトは C:\tk\prj\hg-0025-0016\git\kv-x520\doc\[kv_script_exe_errno.xlsm]info_script によって生成されました。
;//エラーNo.を入れる
;stM.udiErrNo	:= 3100;
;//カウントする
;stM.uiEDCnt	:= stM.uiEDCnt + 1;
;//エラーコードを入れる
;stM.udiSubErr	:= stDevIn.astCYL[4].udiErr;
;//-----ここまで生成script-----
LDP stEx312.x2
AND=.D stM.udiErrNo #0
BOX_ST
;//このスクリプトは C:\tk\prj\hg-0025-0016\git\kv-x520\doc\[kv_script_exe_errno.xlsm]info_script によって生成されました。
;//エラーNo.を入れる
;stM.udiErrNo	:= 3120;
;//カウントする
;stM.uiEDCnt	:= stM.uiEDCnt + 1;
;//エラーコードを入れる
;stM.udiSubErr	:= stDevIn.astAXK[0].udiErr;
;//-----ここまで生成script-----
LDP stEx313.x2
AND=.D stM.udiErrNo #0
BOX_ST
;//このスクリプトは C:\tk\prj\hg-0025-0016\git\kv-x520\doc\[kv_script_exe_errno.xlsm]info_script によって生成されました。
;//エラーNo.を入れる
;stM.udiErrNo	:= 3130;
;//カウントする
;stM.uiEDCnt	:= stM.uiEDCnt + 1;
;//エラーコードを入れる
;stM.udiSubErr	:= stDevIn.astAXO[0].udiErr;
;//-----ここまで生成script-----
LDP stEx314.x2
AND=.D stM.udiErrNo #0
BOX_ST
;//このスクリプトは C:\tk\prj\hg-0025-0016\git\kv-x520\doc\[kv_script_exe_errno.xlsm]info_script によって生成されました。
;//エラーNo.を入れる
;stM.udiErrNo	:= 3140;
;//カウントする
;stM.uiEDCnt	:= stM.uiEDCnt + 1;
;//-----ここまで生成script-----
LDP stEx315.x2
AND=.D stM.udiErrNo #0
BOX_ST
;//このスクリプトは C:\tk\prj\hg-0025-0016\git\kv-x520\doc\[kv_script_exe_errno.xlsm]info_script によって生成されました。
;//エラーNo.を入れる
;stM.udiErrNo	:= 3150;
;//カウントする
;stM.uiEDCnt	:= stM.uiEDCnt + 1;
;//エラーコードを入れる
;stM.udiSubErr	:= stDevIn.astAXK[0].udiErr;
;//-----ここまで生成script-----
LDP stEx316.x2
AND=.D stM.udiErrNo #0
BOX_ST
;//このスクリプトは C:\tk\prj\hg-0025-0016\git\kv-x520\doc\[kv_script_exe_errno.xlsm]info_script によって生成されました。
;//エラーNo.を入れる
;stM.udiErrNo	:= 3160;
;//カウントする
;stM.uiEDCnt	:= stM.uiEDCnt + 1;
;//エラーコードを入れる
;stM.udiSubErr	:= stDevIn.astAXO[0].udiErr;
;//-----ここまで生成script-----
LDP stEx317.x2
AND=.D stM.udiErrNo #0
BOX_ST
;//このスクリプトは C:\tk\prj\hg-0025-0016\git\kv-x520\doc\[kv_script_exe_errno.xlsm]info_script によって生成されました。
;//エラーNo.を入れる
;stM.udiErrNo	:= 3170;
;//カウントする
;stM.uiEDCnt	:= stM.uiEDCnt + 1;
;//-----ここまで生成script-----
LDP stEx319.x2
AND=.D stM.udiErrNo #0
BOX_ST
;//このスクリプトは C:\tk\prj\hg-0025-0016\git\kv-x520\doc\[kv_script_exe_errno.xlsm]info_script によって生成されました。
;//エラーNo.を入れる
;stM.udiErrNo	:= 3190;
;//カウントする
;stM.uiEDCnt	:= stM.uiEDCnt + 1;
;//エラーコードを入れる
;stM.udiSubErr	:= stUni1Out.udiErr;
;//-----ここまで生成script-----
LDP stEx322.x2
AND=.D stM.udiErrNo #0
BOX_ST
;//このスクリプトは C:\tk\prj\hg-0025-0016\git\kv-x520\doc\[kv_script_exe_errno.xlsm]info_script によって生成されました。
;//エラーNo.を入れる
;stM.udiErrNo	:= 3220;
;//カウントする
;stM.uiEDCnt	:= stM.uiEDCnt + 1;
;//エラーコードを入れる
;stM.udiSubErr	:= stUni2Out.udiErr;
;//-----ここまで生成script-----
LDP stEx324.x2
AND=.D stM.udiErrNo #0
BOX_ST
;//このスクリプトは C:\tk\prj\hg-0025-0016\git\kv-x520\doc\[kv_script_exe_errno.xlsm]info_script によって生成されました。
;//エラーNo.を入れる
;stM.udiErrNo	:= 3240;
;//カウントする
;stM.uiEDCnt	:= stM.uiEDCnt + 1;
;//エラーコードを入れる
;stM.udiSubErr	:= stDevIn.astAXK[1].udiErr;
;//-----ここまで生成script-----
RUNG_COMMENT
;-----ここまで生成script-----</v>
      </c>
      <c r="D40">
        <v>32</v>
      </c>
      <c r="E40" t="str">
        <f t="shared" ref="E40:E71" si="33">IF(LEN(I40),I40,IF(LEN(Q40),Q40,""))</f>
        <v/>
      </c>
      <c r="F40" t="str">
        <f t="shared" si="20"/>
        <v/>
      </c>
      <c r="G40" t="str">
        <f t="shared" ref="G40:G71" si="34">IF(LEN(O40),O40,IF(LEN(X40),X40,""))</f>
        <v/>
      </c>
      <c r="Z40" t="str">
        <f t="shared" si="21"/>
        <v/>
      </c>
      <c r="AA40" t="str">
        <f t="shared" si="22"/>
        <v/>
      </c>
      <c r="AB40" t="str">
        <f t="shared" si="22"/>
        <v/>
      </c>
      <c r="AC40" t="str">
        <f t="shared" si="22"/>
        <v/>
      </c>
      <c r="AD40" t="str">
        <f t="shared" si="23"/>
        <v/>
      </c>
      <c r="AE40" t="str">
        <f t="shared" si="23"/>
        <v/>
      </c>
      <c r="AF40" t="str">
        <f t="shared" si="24"/>
        <v/>
      </c>
      <c r="AG40" t="str">
        <f t="shared" si="25"/>
        <v/>
      </c>
      <c r="AH40" t="str">
        <f t="shared" si="26"/>
        <v/>
      </c>
      <c r="AI40" t="str">
        <f t="shared" si="27"/>
        <v/>
      </c>
      <c r="AJ40" t="str">
        <f t="shared" si="28"/>
        <v/>
      </c>
      <c r="AK40" t="str">
        <f t="shared" si="29"/>
        <v/>
      </c>
      <c r="AM40" t="str">
        <f t="shared" ref="AM40:AM71" si="35">IF(LEN(G40),IF(OR(COUNTIF(G40,"*◆*"),COUNTIF(G40,"*▼*"),COUNTIF(G40,"*■*")),"","●"),"")</f>
        <v/>
      </c>
      <c r="AN40" t="str">
        <f t="shared" ref="AN40:AN71" si="36">IF(AM40="●",(AN$4+MOD(INT(MID(E40,5,3)),AN$2))*AN$6,"")</f>
        <v/>
      </c>
      <c r="AO40" t="str">
        <f t="shared" ref="AO40:AO71" si="37">IF($AM40="●","LDP "&amp;E40&amp;"."&amp;$B$14,"")</f>
        <v/>
      </c>
      <c r="AP40" t="str">
        <f t="shared" ref="AP40:AP71" si="38">IF($AM40="●","AND=.D "&amp;$B$15&amp;" #0","")</f>
        <v/>
      </c>
      <c r="AQ40" t="str">
        <f t="shared" ref="AQ40:AQ71" si="39">IF($AM40="●","MOV.D #"&amp;AN40&amp;" "&amp;$B$15,"")</f>
        <v/>
      </c>
      <c r="AR40" t="str">
        <f t="shared" ref="AR40:AR71" si="40">IF(LEN(AK40),"MOV.D "&amp;$AK40&amp;" "&amp;$B$17,"")</f>
        <v/>
      </c>
      <c r="AS40" t="str">
        <f t="shared" ref="AS40:AS71" si="41">IF(AND(D40&lt;&gt;0,AM40="●"),CHAR(10),"")&amp;IF(LEN(AO40),AO40,"")</f>
        <v/>
      </c>
      <c r="AT40" t="str">
        <f t="shared" ref="AT40:AT71" si="42">IF(LEN(AS40),AS40&amp;CHAR(10),"")&amp;IF(LEN(AP40),AP40,"")</f>
        <v/>
      </c>
      <c r="AU40" t="str">
        <f t="shared" ref="AU40:AU71" si="43">IF(LEN(AT40),AT40&amp;CHAR(10),"")&amp;IF(LEN(AQ40),AQ40,"")</f>
        <v/>
      </c>
      <c r="AV40" t="str">
        <f t="shared" si="30"/>
        <v/>
      </c>
      <c r="AW40" t="str">
        <f t="shared" si="31"/>
        <v/>
      </c>
      <c r="AY40" t="str">
        <f>IF($AM40="●",AT40&amp;CHAR(10)&amp;"BOX_ST"&amp;CHAR(10)&amp;";//"&amp;$B$28,"")</f>
        <v/>
      </c>
      <c r="AZ40" t="str">
        <f t="shared" ref="AZ40:AZ71" si="44">IF($AM40="●",IF(LEN(AY40),AY40&amp;CHAR(10),"")&amp;";//エラーNo.を入れる"&amp;CHAR(10)&amp;";"&amp;$B$15&amp;"	:= "&amp;AN40&amp;";","")</f>
        <v/>
      </c>
      <c r="BA40" t="str">
        <f t="shared" ref="BA40:BA71" si="45">IF($AM40="●",IF(LEN(AZ40),AZ40&amp;CHAR(10),"")&amp;";//カウントする"&amp;CHAR(10)&amp;";"&amp;$B$16&amp;"	:= "&amp;$B$16&amp;" + 1;","")</f>
        <v/>
      </c>
      <c r="BB40" t="str">
        <f t="shared" ref="BB40:BB71" si="46">IF($AM40="●",IF(LEN(BA40),BA40&amp;CHAR(10),"")&amp;IF(LEN(AK40),";//エラーコードを入れる"&amp;CHAR(10)&amp;";"&amp;$B$17&amp;"	:= "&amp;AK40&amp;".udiErr;",""),"")</f>
        <v/>
      </c>
      <c r="BC40" t="str">
        <f>IF($AM40="●",IF(LEN(BB40),BB40&amp;CHAR(10),"")&amp;";//"&amp;$B$29,"")</f>
        <v/>
      </c>
      <c r="BE40">
        <f t="shared" ref="BE40:BE71" si="47">INT(D40/$BE$6)</f>
        <v>10</v>
      </c>
      <c r="BF40">
        <f t="shared" ref="BF40:BF71" si="48">MOD(D40,$BE$6)</f>
        <v>2</v>
      </c>
      <c r="BG40" t="str">
        <f t="shared" ref="BG40:BG71" si="49">IF(LEN(E40),E40&amp;".x"&amp;TEXT(BF40,"0")&amp;CHAR(9)&amp;" := FALSE;","")</f>
        <v/>
      </c>
      <c r="BH40" t="str">
        <f t="shared" si="32"/>
        <v/>
      </c>
    </row>
    <row r="41" spans="1:60" x14ac:dyDescent="0.55000000000000004">
      <c r="D41">
        <v>33</v>
      </c>
      <c r="E41" t="str">
        <f t="shared" si="33"/>
        <v/>
      </c>
      <c r="F41" t="str">
        <f t="shared" ref="F41:F72" si="50">IF(LEN(J41),J41,IF(LEN(R41),R41,""))</f>
        <v/>
      </c>
      <c r="G41" t="str">
        <f t="shared" si="34"/>
        <v/>
      </c>
      <c r="Z41" t="str">
        <f t="shared" si="21"/>
        <v/>
      </c>
      <c r="AA41" t="str">
        <f t="shared" si="22"/>
        <v/>
      </c>
      <c r="AB41" t="str">
        <f t="shared" si="22"/>
        <v/>
      </c>
      <c r="AC41" t="str">
        <f t="shared" si="22"/>
        <v/>
      </c>
      <c r="AD41" t="str">
        <f t="shared" ref="AD41:AE72" si="51">IF(AND(LEN($Z41),AD$2&lt;=$Z41,$Z41&lt;=AD$3),AD$7&amp;"["&amp;$Z41-AD$2&amp;"]","")</f>
        <v/>
      </c>
      <c r="AE41" t="str">
        <f t="shared" si="51"/>
        <v/>
      </c>
      <c r="AF41" t="str">
        <f t="shared" si="24"/>
        <v/>
      </c>
      <c r="AG41" t="str">
        <f t="shared" si="25"/>
        <v/>
      </c>
      <c r="AH41" t="str">
        <f t="shared" si="26"/>
        <v/>
      </c>
      <c r="AI41" t="str">
        <f t="shared" si="27"/>
        <v/>
      </c>
      <c r="AJ41" t="str">
        <f t="shared" si="28"/>
        <v/>
      </c>
      <c r="AK41" t="str">
        <f t="shared" si="29"/>
        <v/>
      </c>
      <c r="AM41" t="str">
        <f t="shared" si="35"/>
        <v/>
      </c>
      <c r="AN41" t="str">
        <f t="shared" si="36"/>
        <v/>
      </c>
      <c r="AO41" t="str">
        <f t="shared" si="37"/>
        <v/>
      </c>
      <c r="AP41" t="str">
        <f t="shared" si="38"/>
        <v/>
      </c>
      <c r="AQ41" t="str">
        <f t="shared" si="39"/>
        <v/>
      </c>
      <c r="AR41" t="str">
        <f t="shared" si="40"/>
        <v/>
      </c>
      <c r="AS41" t="str">
        <f t="shared" si="41"/>
        <v/>
      </c>
      <c r="AT41" t="str">
        <f t="shared" si="42"/>
        <v/>
      </c>
      <c r="AU41" t="str">
        <f t="shared" si="43"/>
        <v/>
      </c>
      <c r="AV41" t="str">
        <f t="shared" si="30"/>
        <v/>
      </c>
      <c r="AW41" t="str">
        <f t="shared" si="31"/>
        <v/>
      </c>
      <c r="AY41" t="str">
        <f>IF($AM41="●",AT41&amp;CHAR(10)&amp;"BOX_ST"&amp;CHAR(10)&amp;";//"&amp;$B$28,"")</f>
        <v/>
      </c>
      <c r="AZ41" t="str">
        <f t="shared" si="44"/>
        <v/>
      </c>
      <c r="BA41" t="str">
        <f t="shared" si="45"/>
        <v/>
      </c>
      <c r="BB41" t="str">
        <f t="shared" si="46"/>
        <v/>
      </c>
      <c r="BC41" t="str">
        <f>IF($AM41="●",IF(LEN(BB41),BB41&amp;CHAR(10),"")&amp;";//"&amp;$B$29,"")</f>
        <v/>
      </c>
      <c r="BE41">
        <f t="shared" si="47"/>
        <v>11</v>
      </c>
      <c r="BF41">
        <f t="shared" si="48"/>
        <v>0</v>
      </c>
      <c r="BG41" t="str">
        <f t="shared" si="49"/>
        <v/>
      </c>
      <c r="BH41" t="str">
        <f t="shared" si="32"/>
        <v/>
      </c>
    </row>
    <row r="42" spans="1:60" x14ac:dyDescent="0.55000000000000004">
      <c r="D42">
        <v>34</v>
      </c>
      <c r="E42" t="str">
        <f t="shared" si="33"/>
        <v/>
      </c>
      <c r="F42" t="str">
        <f t="shared" si="50"/>
        <v/>
      </c>
      <c r="G42" t="str">
        <f t="shared" si="34"/>
        <v/>
      </c>
      <c r="Z42" t="str">
        <f t="shared" si="21"/>
        <v/>
      </c>
      <c r="AA42" t="str">
        <f t="shared" si="22"/>
        <v/>
      </c>
      <c r="AB42" t="str">
        <f t="shared" si="22"/>
        <v/>
      </c>
      <c r="AC42" t="str">
        <f t="shared" si="22"/>
        <v/>
      </c>
      <c r="AD42" t="str">
        <f t="shared" si="51"/>
        <v/>
      </c>
      <c r="AE42" t="str">
        <f t="shared" si="51"/>
        <v/>
      </c>
      <c r="AF42" t="str">
        <f t="shared" si="24"/>
        <v/>
      </c>
      <c r="AG42" t="str">
        <f t="shared" si="25"/>
        <v/>
      </c>
      <c r="AH42" t="str">
        <f t="shared" si="26"/>
        <v/>
      </c>
      <c r="AI42" t="str">
        <f t="shared" si="27"/>
        <v/>
      </c>
      <c r="AJ42" t="str">
        <f t="shared" si="28"/>
        <v/>
      </c>
      <c r="AK42" t="str">
        <f t="shared" si="29"/>
        <v/>
      </c>
      <c r="AM42" t="str">
        <f t="shared" si="35"/>
        <v/>
      </c>
      <c r="AN42" t="str">
        <f t="shared" si="36"/>
        <v/>
      </c>
      <c r="AO42" t="str">
        <f t="shared" si="37"/>
        <v/>
      </c>
      <c r="AP42" t="str">
        <f t="shared" si="38"/>
        <v/>
      </c>
      <c r="AQ42" t="str">
        <f t="shared" si="39"/>
        <v/>
      </c>
      <c r="AR42" t="str">
        <f t="shared" si="40"/>
        <v/>
      </c>
      <c r="AS42" t="str">
        <f t="shared" si="41"/>
        <v/>
      </c>
      <c r="AT42" t="str">
        <f t="shared" si="42"/>
        <v/>
      </c>
      <c r="AU42" t="str">
        <f t="shared" si="43"/>
        <v/>
      </c>
      <c r="AV42" t="str">
        <f t="shared" si="30"/>
        <v/>
      </c>
      <c r="AW42" t="str">
        <f t="shared" si="31"/>
        <v/>
      </c>
      <c r="AY42" t="str">
        <f>IF($AM42="●",AT42&amp;CHAR(10)&amp;"BOX_ST"&amp;CHAR(10)&amp;";//"&amp;$B$28,"")</f>
        <v/>
      </c>
      <c r="AZ42" t="str">
        <f t="shared" si="44"/>
        <v/>
      </c>
      <c r="BA42" t="str">
        <f t="shared" si="45"/>
        <v/>
      </c>
      <c r="BB42" t="str">
        <f t="shared" si="46"/>
        <v/>
      </c>
      <c r="BC42" t="str">
        <f>IF($AM42="●",IF(LEN(BB42),BB42&amp;CHAR(10),"")&amp;";//"&amp;$B$29,"")</f>
        <v/>
      </c>
      <c r="BE42">
        <f t="shared" si="47"/>
        <v>11</v>
      </c>
      <c r="BF42">
        <f t="shared" si="48"/>
        <v>1</v>
      </c>
      <c r="BG42" t="str">
        <f t="shared" si="49"/>
        <v/>
      </c>
      <c r="BH42" t="str">
        <f t="shared" si="32"/>
        <v/>
      </c>
    </row>
    <row r="43" spans="1:60" x14ac:dyDescent="0.55000000000000004">
      <c r="D43">
        <v>35</v>
      </c>
      <c r="E43" t="str">
        <f t="shared" si="33"/>
        <v/>
      </c>
      <c r="F43" t="str">
        <f t="shared" si="50"/>
        <v/>
      </c>
      <c r="G43" t="str">
        <f t="shared" si="34"/>
        <v/>
      </c>
      <c r="Z43" t="str">
        <f t="shared" si="21"/>
        <v/>
      </c>
      <c r="AA43" t="str">
        <f t="shared" si="22"/>
        <v/>
      </c>
      <c r="AB43" t="str">
        <f t="shared" si="22"/>
        <v/>
      </c>
      <c r="AC43" t="str">
        <f t="shared" si="22"/>
        <v/>
      </c>
      <c r="AD43" t="str">
        <f t="shared" si="51"/>
        <v/>
      </c>
      <c r="AE43" t="str">
        <f t="shared" si="51"/>
        <v/>
      </c>
      <c r="AF43" t="str">
        <f t="shared" si="24"/>
        <v/>
      </c>
      <c r="AG43" t="str">
        <f t="shared" si="25"/>
        <v/>
      </c>
      <c r="AH43" t="str">
        <f t="shared" si="26"/>
        <v/>
      </c>
      <c r="AI43" t="str">
        <f t="shared" si="27"/>
        <v/>
      </c>
      <c r="AJ43" t="str">
        <f t="shared" si="28"/>
        <v/>
      </c>
      <c r="AK43" t="str">
        <f t="shared" si="29"/>
        <v/>
      </c>
      <c r="AM43" t="str">
        <f t="shared" si="35"/>
        <v/>
      </c>
      <c r="AN43" t="str">
        <f t="shared" si="36"/>
        <v/>
      </c>
      <c r="AO43" t="str">
        <f t="shared" si="37"/>
        <v/>
      </c>
      <c r="AP43" t="str">
        <f t="shared" si="38"/>
        <v/>
      </c>
      <c r="AQ43" t="str">
        <f t="shared" si="39"/>
        <v/>
      </c>
      <c r="AR43" t="str">
        <f t="shared" si="40"/>
        <v/>
      </c>
      <c r="AS43" t="str">
        <f t="shared" si="41"/>
        <v/>
      </c>
      <c r="AT43" t="str">
        <f t="shared" si="42"/>
        <v/>
      </c>
      <c r="AU43" t="str">
        <f t="shared" si="43"/>
        <v/>
      </c>
      <c r="AV43" t="str">
        <f t="shared" si="30"/>
        <v/>
      </c>
      <c r="AW43" t="str">
        <f t="shared" si="31"/>
        <v/>
      </c>
      <c r="AY43" t="str">
        <f>IF($AM43="●",AT43&amp;CHAR(10)&amp;"BOX_ST"&amp;CHAR(10)&amp;";//"&amp;$B$28,"")</f>
        <v/>
      </c>
      <c r="AZ43" t="str">
        <f t="shared" si="44"/>
        <v/>
      </c>
      <c r="BA43" t="str">
        <f t="shared" si="45"/>
        <v/>
      </c>
      <c r="BB43" t="str">
        <f t="shared" si="46"/>
        <v/>
      </c>
      <c r="BC43" t="str">
        <f>IF($AM43="●",IF(LEN(BB43),BB43&amp;CHAR(10),"")&amp;";//"&amp;$B$29,"")</f>
        <v/>
      </c>
      <c r="BE43">
        <f t="shared" si="47"/>
        <v>11</v>
      </c>
      <c r="BF43">
        <f t="shared" si="48"/>
        <v>2</v>
      </c>
      <c r="BG43" t="str">
        <f t="shared" si="49"/>
        <v/>
      </c>
      <c r="BH43" t="str">
        <f t="shared" si="32"/>
        <v/>
      </c>
    </row>
    <row r="44" spans="1:60" x14ac:dyDescent="0.55000000000000004">
      <c r="D44">
        <v>36</v>
      </c>
      <c r="E44" t="str">
        <f t="shared" si="33"/>
        <v/>
      </c>
      <c r="F44" t="str">
        <f t="shared" si="50"/>
        <v/>
      </c>
      <c r="G44" t="str">
        <f t="shared" si="34"/>
        <v/>
      </c>
      <c r="Z44" t="str">
        <f t="shared" si="21"/>
        <v/>
      </c>
      <c r="AA44" t="str">
        <f t="shared" si="22"/>
        <v/>
      </c>
      <c r="AB44" t="str">
        <f t="shared" si="22"/>
        <v/>
      </c>
      <c r="AC44" t="str">
        <f t="shared" si="22"/>
        <v/>
      </c>
      <c r="AD44" t="str">
        <f t="shared" si="51"/>
        <v/>
      </c>
      <c r="AE44" t="str">
        <f t="shared" si="51"/>
        <v/>
      </c>
      <c r="AF44" t="str">
        <f t="shared" si="24"/>
        <v/>
      </c>
      <c r="AG44" t="str">
        <f t="shared" si="25"/>
        <v/>
      </c>
      <c r="AH44" t="str">
        <f t="shared" si="26"/>
        <v/>
      </c>
      <c r="AI44" t="str">
        <f t="shared" si="27"/>
        <v/>
      </c>
      <c r="AJ44" t="str">
        <f t="shared" si="28"/>
        <v/>
      </c>
      <c r="AK44" t="str">
        <f t="shared" si="29"/>
        <v/>
      </c>
      <c r="AM44" t="str">
        <f t="shared" si="35"/>
        <v/>
      </c>
      <c r="AN44" t="str">
        <f t="shared" si="36"/>
        <v/>
      </c>
      <c r="AO44" t="str">
        <f t="shared" si="37"/>
        <v/>
      </c>
      <c r="AP44" t="str">
        <f t="shared" si="38"/>
        <v/>
      </c>
      <c r="AQ44" t="str">
        <f t="shared" si="39"/>
        <v/>
      </c>
      <c r="AR44" t="str">
        <f t="shared" si="40"/>
        <v/>
      </c>
      <c r="AS44" t="str">
        <f t="shared" si="41"/>
        <v/>
      </c>
      <c r="AT44" t="str">
        <f t="shared" si="42"/>
        <v/>
      </c>
      <c r="AU44" t="str">
        <f t="shared" si="43"/>
        <v/>
      </c>
      <c r="AV44" t="str">
        <f t="shared" si="30"/>
        <v/>
      </c>
      <c r="AW44" t="str">
        <f t="shared" si="31"/>
        <v/>
      </c>
      <c r="AY44" t="str">
        <f>IF($AM44="●",AT44&amp;CHAR(10)&amp;"BOX_ST"&amp;CHAR(10)&amp;";//"&amp;$B$28,"")</f>
        <v/>
      </c>
      <c r="AZ44" t="str">
        <f t="shared" si="44"/>
        <v/>
      </c>
      <c r="BA44" t="str">
        <f t="shared" si="45"/>
        <v/>
      </c>
      <c r="BB44" t="str">
        <f t="shared" si="46"/>
        <v/>
      </c>
      <c r="BC44" t="str">
        <f>IF($AM44="●",IF(LEN(BB44),BB44&amp;CHAR(10),"")&amp;";//"&amp;$B$29,"")</f>
        <v/>
      </c>
      <c r="BE44">
        <f t="shared" si="47"/>
        <v>12</v>
      </c>
      <c r="BF44">
        <f t="shared" si="48"/>
        <v>0</v>
      </c>
      <c r="BG44" t="str">
        <f t="shared" si="49"/>
        <v/>
      </c>
      <c r="BH44" t="str">
        <f t="shared" si="32"/>
        <v/>
      </c>
    </row>
    <row r="45" spans="1:60" x14ac:dyDescent="0.55000000000000004">
      <c r="D45">
        <v>37</v>
      </c>
      <c r="E45" t="str">
        <f t="shared" si="33"/>
        <v/>
      </c>
      <c r="F45" t="str">
        <f t="shared" si="50"/>
        <v/>
      </c>
      <c r="G45" t="str">
        <f t="shared" si="34"/>
        <v/>
      </c>
      <c r="Z45" t="str">
        <f t="shared" si="21"/>
        <v/>
      </c>
      <c r="AA45" t="str">
        <f t="shared" si="22"/>
        <v/>
      </c>
      <c r="AB45" t="str">
        <f t="shared" si="22"/>
        <v/>
      </c>
      <c r="AC45" t="str">
        <f t="shared" si="22"/>
        <v/>
      </c>
      <c r="AD45" t="str">
        <f t="shared" si="51"/>
        <v/>
      </c>
      <c r="AE45" t="str">
        <f t="shared" si="51"/>
        <v/>
      </c>
      <c r="AF45" t="str">
        <f t="shared" si="24"/>
        <v/>
      </c>
      <c r="AG45" t="str">
        <f t="shared" si="25"/>
        <v/>
      </c>
      <c r="AH45" t="str">
        <f t="shared" si="26"/>
        <v/>
      </c>
      <c r="AI45" t="str">
        <f t="shared" si="27"/>
        <v/>
      </c>
      <c r="AJ45" t="str">
        <f t="shared" si="28"/>
        <v/>
      </c>
      <c r="AK45" t="str">
        <f t="shared" si="29"/>
        <v/>
      </c>
      <c r="AM45" t="str">
        <f t="shared" si="35"/>
        <v/>
      </c>
      <c r="AN45" t="str">
        <f t="shared" si="36"/>
        <v/>
      </c>
      <c r="AO45" t="str">
        <f t="shared" si="37"/>
        <v/>
      </c>
      <c r="AP45" t="str">
        <f t="shared" si="38"/>
        <v/>
      </c>
      <c r="AQ45" t="str">
        <f t="shared" si="39"/>
        <v/>
      </c>
      <c r="AR45" t="str">
        <f t="shared" si="40"/>
        <v/>
      </c>
      <c r="AS45" t="str">
        <f t="shared" si="41"/>
        <v/>
      </c>
      <c r="AT45" t="str">
        <f t="shared" si="42"/>
        <v/>
      </c>
      <c r="AU45" t="str">
        <f t="shared" si="43"/>
        <v/>
      </c>
      <c r="AV45" t="str">
        <f t="shared" si="30"/>
        <v/>
      </c>
      <c r="AW45" t="str">
        <f t="shared" si="31"/>
        <v/>
      </c>
      <c r="AY45" t="str">
        <f>IF($AM45="●",AT45&amp;CHAR(10)&amp;"BOX_ST"&amp;CHAR(10)&amp;";//"&amp;$B$28,"")</f>
        <v/>
      </c>
      <c r="AZ45" t="str">
        <f t="shared" si="44"/>
        <v/>
      </c>
      <c r="BA45" t="str">
        <f t="shared" si="45"/>
        <v/>
      </c>
      <c r="BB45" t="str">
        <f t="shared" si="46"/>
        <v/>
      </c>
      <c r="BC45" t="str">
        <f>IF($AM45="●",IF(LEN(BB45),BB45&amp;CHAR(10),"")&amp;";//"&amp;$B$29,"")</f>
        <v/>
      </c>
      <c r="BE45">
        <f t="shared" si="47"/>
        <v>12</v>
      </c>
      <c r="BF45">
        <f t="shared" si="48"/>
        <v>1</v>
      </c>
      <c r="BG45" t="str">
        <f t="shared" si="49"/>
        <v/>
      </c>
      <c r="BH45" t="str">
        <f t="shared" si="32"/>
        <v/>
      </c>
    </row>
    <row r="46" spans="1:60" x14ac:dyDescent="0.55000000000000004">
      <c r="D46">
        <v>38</v>
      </c>
      <c r="E46" t="str">
        <f t="shared" si="33"/>
        <v/>
      </c>
      <c r="F46" t="str">
        <f t="shared" si="50"/>
        <v/>
      </c>
      <c r="G46" t="str">
        <f t="shared" si="34"/>
        <v/>
      </c>
      <c r="Z46" t="str">
        <f t="shared" si="21"/>
        <v/>
      </c>
      <c r="AA46" t="str">
        <f t="shared" si="22"/>
        <v/>
      </c>
      <c r="AB46" t="str">
        <f t="shared" si="22"/>
        <v/>
      </c>
      <c r="AC46" t="str">
        <f t="shared" si="22"/>
        <v/>
      </c>
      <c r="AD46" t="str">
        <f t="shared" si="51"/>
        <v/>
      </c>
      <c r="AE46" t="str">
        <f t="shared" si="51"/>
        <v/>
      </c>
      <c r="AF46" t="str">
        <f t="shared" si="24"/>
        <v/>
      </c>
      <c r="AG46" t="str">
        <f t="shared" si="25"/>
        <v/>
      </c>
      <c r="AH46" t="str">
        <f t="shared" si="26"/>
        <v/>
      </c>
      <c r="AI46" t="str">
        <f t="shared" si="27"/>
        <v/>
      </c>
      <c r="AJ46" t="str">
        <f t="shared" si="28"/>
        <v/>
      </c>
      <c r="AK46" t="str">
        <f t="shared" si="29"/>
        <v/>
      </c>
      <c r="AM46" t="str">
        <f t="shared" si="35"/>
        <v/>
      </c>
      <c r="AN46" t="str">
        <f t="shared" si="36"/>
        <v/>
      </c>
      <c r="AO46" t="str">
        <f t="shared" si="37"/>
        <v/>
      </c>
      <c r="AP46" t="str">
        <f t="shared" si="38"/>
        <v/>
      </c>
      <c r="AQ46" t="str">
        <f t="shared" si="39"/>
        <v/>
      </c>
      <c r="AR46" t="str">
        <f t="shared" si="40"/>
        <v/>
      </c>
      <c r="AS46" t="str">
        <f t="shared" si="41"/>
        <v/>
      </c>
      <c r="AT46" t="str">
        <f t="shared" si="42"/>
        <v/>
      </c>
      <c r="AU46" t="str">
        <f t="shared" si="43"/>
        <v/>
      </c>
      <c r="AV46" t="str">
        <f t="shared" si="30"/>
        <v/>
      </c>
      <c r="AW46" t="str">
        <f t="shared" si="31"/>
        <v/>
      </c>
      <c r="AY46" t="str">
        <f>IF($AM46="●",AT46&amp;CHAR(10)&amp;"BOX_ST"&amp;CHAR(10)&amp;";//"&amp;$B$28,"")</f>
        <v/>
      </c>
      <c r="AZ46" t="str">
        <f t="shared" si="44"/>
        <v/>
      </c>
      <c r="BA46" t="str">
        <f t="shared" si="45"/>
        <v/>
      </c>
      <c r="BB46" t="str">
        <f t="shared" si="46"/>
        <v/>
      </c>
      <c r="BC46" t="str">
        <f>IF($AM46="●",IF(LEN(BB46),BB46&amp;CHAR(10),"")&amp;";//"&amp;$B$29,"")</f>
        <v/>
      </c>
      <c r="BE46">
        <f t="shared" si="47"/>
        <v>12</v>
      </c>
      <c r="BF46">
        <f t="shared" si="48"/>
        <v>2</v>
      </c>
      <c r="BG46" t="str">
        <f t="shared" si="49"/>
        <v/>
      </c>
      <c r="BH46" t="str">
        <f t="shared" si="32"/>
        <v/>
      </c>
    </row>
    <row r="47" spans="1:60" x14ac:dyDescent="0.55000000000000004">
      <c r="D47">
        <v>39</v>
      </c>
      <c r="E47" t="str">
        <f t="shared" si="33"/>
        <v/>
      </c>
      <c r="F47" t="str">
        <f t="shared" si="50"/>
        <v/>
      </c>
      <c r="G47" t="str">
        <f t="shared" si="34"/>
        <v/>
      </c>
      <c r="Z47" t="str">
        <f t="shared" si="21"/>
        <v/>
      </c>
      <c r="AA47" t="str">
        <f t="shared" si="22"/>
        <v/>
      </c>
      <c r="AB47" t="str">
        <f t="shared" si="22"/>
        <v/>
      </c>
      <c r="AC47" t="str">
        <f t="shared" si="22"/>
        <v/>
      </c>
      <c r="AD47" t="str">
        <f t="shared" si="51"/>
        <v/>
      </c>
      <c r="AE47" t="str">
        <f t="shared" si="51"/>
        <v/>
      </c>
      <c r="AF47" t="str">
        <f t="shared" si="24"/>
        <v/>
      </c>
      <c r="AG47" t="str">
        <f t="shared" si="25"/>
        <v/>
      </c>
      <c r="AH47" t="str">
        <f t="shared" si="26"/>
        <v/>
      </c>
      <c r="AI47" t="str">
        <f t="shared" si="27"/>
        <v/>
      </c>
      <c r="AJ47" t="str">
        <f t="shared" si="28"/>
        <v/>
      </c>
      <c r="AK47" t="str">
        <f t="shared" si="29"/>
        <v/>
      </c>
      <c r="AM47" t="str">
        <f t="shared" si="35"/>
        <v/>
      </c>
      <c r="AN47" t="str">
        <f t="shared" si="36"/>
        <v/>
      </c>
      <c r="AO47" t="str">
        <f t="shared" si="37"/>
        <v/>
      </c>
      <c r="AP47" t="str">
        <f t="shared" si="38"/>
        <v/>
      </c>
      <c r="AQ47" t="str">
        <f t="shared" si="39"/>
        <v/>
      </c>
      <c r="AR47" t="str">
        <f t="shared" si="40"/>
        <v/>
      </c>
      <c r="AS47" t="str">
        <f t="shared" si="41"/>
        <v/>
      </c>
      <c r="AT47" t="str">
        <f t="shared" si="42"/>
        <v/>
      </c>
      <c r="AU47" t="str">
        <f t="shared" si="43"/>
        <v/>
      </c>
      <c r="AV47" t="str">
        <f t="shared" si="30"/>
        <v/>
      </c>
      <c r="AW47" t="str">
        <f t="shared" si="31"/>
        <v/>
      </c>
      <c r="AY47" t="str">
        <f>IF($AM47="●",AT47&amp;CHAR(10)&amp;"BOX_ST"&amp;CHAR(10)&amp;";//"&amp;$B$28,"")</f>
        <v/>
      </c>
      <c r="AZ47" t="str">
        <f t="shared" si="44"/>
        <v/>
      </c>
      <c r="BA47" t="str">
        <f t="shared" si="45"/>
        <v/>
      </c>
      <c r="BB47" t="str">
        <f t="shared" si="46"/>
        <v/>
      </c>
      <c r="BC47" t="str">
        <f>IF($AM47="●",IF(LEN(BB47),BB47&amp;CHAR(10),"")&amp;";//"&amp;$B$29,"")</f>
        <v/>
      </c>
      <c r="BE47">
        <f t="shared" si="47"/>
        <v>13</v>
      </c>
      <c r="BF47">
        <f t="shared" si="48"/>
        <v>0</v>
      </c>
      <c r="BG47" t="str">
        <f t="shared" si="49"/>
        <v/>
      </c>
      <c r="BH47" t="str">
        <f t="shared" si="32"/>
        <v/>
      </c>
    </row>
    <row r="48" spans="1:60" x14ac:dyDescent="0.55000000000000004">
      <c r="D48">
        <v>40</v>
      </c>
      <c r="E48" t="str">
        <f t="shared" si="33"/>
        <v/>
      </c>
      <c r="F48" t="str">
        <f t="shared" si="50"/>
        <v/>
      </c>
      <c r="G48" t="str">
        <f t="shared" si="34"/>
        <v/>
      </c>
      <c r="Z48" t="str">
        <f t="shared" si="21"/>
        <v/>
      </c>
      <c r="AA48" t="str">
        <f t="shared" si="22"/>
        <v/>
      </c>
      <c r="AB48" t="str">
        <f t="shared" si="22"/>
        <v/>
      </c>
      <c r="AC48" t="str">
        <f t="shared" si="22"/>
        <v/>
      </c>
      <c r="AD48" t="str">
        <f t="shared" si="51"/>
        <v/>
      </c>
      <c r="AE48" t="str">
        <f t="shared" si="51"/>
        <v/>
      </c>
      <c r="AF48" t="str">
        <f t="shared" si="24"/>
        <v/>
      </c>
      <c r="AG48" t="str">
        <f t="shared" si="25"/>
        <v/>
      </c>
      <c r="AH48" t="str">
        <f t="shared" si="26"/>
        <v/>
      </c>
      <c r="AI48" t="str">
        <f t="shared" si="27"/>
        <v/>
      </c>
      <c r="AJ48" t="str">
        <f t="shared" si="28"/>
        <v/>
      </c>
      <c r="AK48" t="str">
        <f t="shared" si="29"/>
        <v/>
      </c>
      <c r="AM48" t="str">
        <f t="shared" si="35"/>
        <v/>
      </c>
      <c r="AN48" t="str">
        <f t="shared" si="36"/>
        <v/>
      </c>
      <c r="AO48" t="str">
        <f t="shared" si="37"/>
        <v/>
      </c>
      <c r="AP48" t="str">
        <f t="shared" si="38"/>
        <v/>
      </c>
      <c r="AQ48" t="str">
        <f t="shared" si="39"/>
        <v/>
      </c>
      <c r="AR48" t="str">
        <f t="shared" si="40"/>
        <v/>
      </c>
      <c r="AS48" t="str">
        <f t="shared" si="41"/>
        <v/>
      </c>
      <c r="AT48" t="str">
        <f t="shared" si="42"/>
        <v/>
      </c>
      <c r="AU48" t="str">
        <f t="shared" si="43"/>
        <v/>
      </c>
      <c r="AV48" t="str">
        <f t="shared" si="30"/>
        <v/>
      </c>
      <c r="AW48" t="str">
        <f t="shared" si="31"/>
        <v/>
      </c>
      <c r="AY48" t="str">
        <f>IF($AM48="●",AT48&amp;CHAR(10)&amp;"BOX_ST"&amp;CHAR(10)&amp;";//"&amp;$B$28,"")</f>
        <v/>
      </c>
      <c r="AZ48" t="str">
        <f t="shared" si="44"/>
        <v/>
      </c>
      <c r="BA48" t="str">
        <f t="shared" si="45"/>
        <v/>
      </c>
      <c r="BB48" t="str">
        <f t="shared" si="46"/>
        <v/>
      </c>
      <c r="BC48" t="str">
        <f>IF($AM48="●",IF(LEN(BB48),BB48&amp;CHAR(10),"")&amp;";//"&amp;$B$29,"")</f>
        <v/>
      </c>
      <c r="BE48">
        <f t="shared" si="47"/>
        <v>13</v>
      </c>
      <c r="BF48">
        <f t="shared" si="48"/>
        <v>1</v>
      </c>
      <c r="BG48" t="str">
        <f t="shared" si="49"/>
        <v/>
      </c>
      <c r="BH48" t="str">
        <f t="shared" si="32"/>
        <v/>
      </c>
    </row>
    <row r="49" spans="4:60" x14ac:dyDescent="0.55000000000000004">
      <c r="D49">
        <v>41</v>
      </c>
      <c r="E49" t="str">
        <f t="shared" si="33"/>
        <v/>
      </c>
      <c r="F49" t="str">
        <f t="shared" si="50"/>
        <v/>
      </c>
      <c r="G49" t="str">
        <f t="shared" si="34"/>
        <v/>
      </c>
      <c r="Z49" t="str">
        <f t="shared" si="21"/>
        <v/>
      </c>
      <c r="AA49" t="str">
        <f t="shared" si="22"/>
        <v/>
      </c>
      <c r="AB49" t="str">
        <f t="shared" si="22"/>
        <v/>
      </c>
      <c r="AC49" t="str">
        <f t="shared" si="22"/>
        <v/>
      </c>
      <c r="AD49" t="str">
        <f t="shared" si="51"/>
        <v/>
      </c>
      <c r="AE49" t="str">
        <f t="shared" si="51"/>
        <v/>
      </c>
      <c r="AF49" t="str">
        <f t="shared" si="24"/>
        <v/>
      </c>
      <c r="AG49" t="str">
        <f t="shared" si="25"/>
        <v/>
      </c>
      <c r="AH49" t="str">
        <f t="shared" si="26"/>
        <v/>
      </c>
      <c r="AI49" t="str">
        <f t="shared" si="27"/>
        <v/>
      </c>
      <c r="AJ49" t="str">
        <f t="shared" si="28"/>
        <v/>
      </c>
      <c r="AK49" t="str">
        <f t="shared" si="29"/>
        <v/>
      </c>
      <c r="AM49" t="str">
        <f t="shared" si="35"/>
        <v/>
      </c>
      <c r="AN49" t="str">
        <f t="shared" si="36"/>
        <v/>
      </c>
      <c r="AO49" t="str">
        <f t="shared" si="37"/>
        <v/>
      </c>
      <c r="AP49" t="str">
        <f t="shared" si="38"/>
        <v/>
      </c>
      <c r="AQ49" t="str">
        <f t="shared" si="39"/>
        <v/>
      </c>
      <c r="AR49" t="str">
        <f t="shared" si="40"/>
        <v/>
      </c>
      <c r="AS49" t="str">
        <f t="shared" si="41"/>
        <v/>
      </c>
      <c r="AT49" t="str">
        <f t="shared" si="42"/>
        <v/>
      </c>
      <c r="AU49" t="str">
        <f t="shared" si="43"/>
        <v/>
      </c>
      <c r="AV49" t="str">
        <f t="shared" si="30"/>
        <v/>
      </c>
      <c r="AW49" t="str">
        <f t="shared" si="31"/>
        <v/>
      </c>
      <c r="AY49" t="str">
        <f>IF($AM49="●",AT49&amp;CHAR(10)&amp;"BOX_ST"&amp;CHAR(10)&amp;";//"&amp;$B$28,"")</f>
        <v/>
      </c>
      <c r="AZ49" t="str">
        <f t="shared" si="44"/>
        <v/>
      </c>
      <c r="BA49" t="str">
        <f t="shared" si="45"/>
        <v/>
      </c>
      <c r="BB49" t="str">
        <f t="shared" si="46"/>
        <v/>
      </c>
      <c r="BC49" t="str">
        <f>IF($AM49="●",IF(LEN(BB49),BB49&amp;CHAR(10),"")&amp;";//"&amp;$B$29,"")</f>
        <v/>
      </c>
      <c r="BE49">
        <f t="shared" si="47"/>
        <v>13</v>
      </c>
      <c r="BF49">
        <f t="shared" si="48"/>
        <v>2</v>
      </c>
      <c r="BG49" t="str">
        <f t="shared" si="49"/>
        <v/>
      </c>
      <c r="BH49" t="str">
        <f t="shared" si="32"/>
        <v/>
      </c>
    </row>
    <row r="50" spans="4:60" x14ac:dyDescent="0.55000000000000004">
      <c r="D50">
        <v>42</v>
      </c>
      <c r="E50" t="str">
        <f t="shared" si="33"/>
        <v/>
      </c>
      <c r="F50" t="str">
        <f t="shared" si="50"/>
        <v/>
      </c>
      <c r="G50" t="str">
        <f t="shared" si="34"/>
        <v/>
      </c>
      <c r="Z50" t="str">
        <f t="shared" si="21"/>
        <v/>
      </c>
      <c r="AA50" t="str">
        <f t="shared" si="22"/>
        <v/>
      </c>
      <c r="AB50" t="str">
        <f t="shared" si="22"/>
        <v/>
      </c>
      <c r="AC50" t="str">
        <f t="shared" si="22"/>
        <v/>
      </c>
      <c r="AD50" t="str">
        <f t="shared" si="51"/>
        <v/>
      </c>
      <c r="AE50" t="str">
        <f t="shared" si="51"/>
        <v/>
      </c>
      <c r="AF50" t="str">
        <f t="shared" si="24"/>
        <v/>
      </c>
      <c r="AG50" t="str">
        <f t="shared" si="25"/>
        <v/>
      </c>
      <c r="AH50" t="str">
        <f t="shared" si="26"/>
        <v/>
      </c>
      <c r="AI50" t="str">
        <f t="shared" si="27"/>
        <v/>
      </c>
      <c r="AJ50" t="str">
        <f t="shared" si="28"/>
        <v/>
      </c>
      <c r="AK50" t="str">
        <f t="shared" si="29"/>
        <v/>
      </c>
      <c r="AM50" t="str">
        <f t="shared" si="35"/>
        <v/>
      </c>
      <c r="AN50" t="str">
        <f t="shared" si="36"/>
        <v/>
      </c>
      <c r="AO50" t="str">
        <f t="shared" si="37"/>
        <v/>
      </c>
      <c r="AP50" t="str">
        <f t="shared" si="38"/>
        <v/>
      </c>
      <c r="AQ50" t="str">
        <f t="shared" si="39"/>
        <v/>
      </c>
      <c r="AR50" t="str">
        <f t="shared" si="40"/>
        <v/>
      </c>
      <c r="AS50" t="str">
        <f t="shared" si="41"/>
        <v/>
      </c>
      <c r="AT50" t="str">
        <f t="shared" si="42"/>
        <v/>
      </c>
      <c r="AU50" t="str">
        <f t="shared" si="43"/>
        <v/>
      </c>
      <c r="AV50" t="str">
        <f t="shared" si="30"/>
        <v/>
      </c>
      <c r="AW50" t="str">
        <f t="shared" si="31"/>
        <v/>
      </c>
      <c r="AY50" t="str">
        <f>IF($AM50="●",AT50&amp;CHAR(10)&amp;"BOX_ST"&amp;CHAR(10)&amp;";//"&amp;$B$28,"")</f>
        <v/>
      </c>
      <c r="AZ50" t="str">
        <f t="shared" si="44"/>
        <v/>
      </c>
      <c r="BA50" t="str">
        <f t="shared" si="45"/>
        <v/>
      </c>
      <c r="BB50" t="str">
        <f t="shared" si="46"/>
        <v/>
      </c>
      <c r="BC50" t="str">
        <f>IF($AM50="●",IF(LEN(BB50),BB50&amp;CHAR(10),"")&amp;";//"&amp;$B$29,"")</f>
        <v/>
      </c>
      <c r="BE50">
        <f t="shared" si="47"/>
        <v>14</v>
      </c>
      <c r="BF50">
        <f t="shared" si="48"/>
        <v>0</v>
      </c>
      <c r="BG50" t="str">
        <f t="shared" si="49"/>
        <v/>
      </c>
      <c r="BH50" t="str">
        <f t="shared" si="32"/>
        <v/>
      </c>
    </row>
    <row r="51" spans="4:60" x14ac:dyDescent="0.55000000000000004">
      <c r="D51">
        <v>43</v>
      </c>
      <c r="E51" t="str">
        <f t="shared" si="33"/>
        <v/>
      </c>
      <c r="F51" t="str">
        <f t="shared" si="50"/>
        <v/>
      </c>
      <c r="G51" t="str">
        <f t="shared" si="34"/>
        <v/>
      </c>
      <c r="Z51" t="str">
        <f t="shared" si="21"/>
        <v/>
      </c>
      <c r="AA51" t="str">
        <f t="shared" si="22"/>
        <v/>
      </c>
      <c r="AB51" t="str">
        <f t="shared" si="22"/>
        <v/>
      </c>
      <c r="AC51" t="str">
        <f t="shared" si="22"/>
        <v/>
      </c>
      <c r="AD51" t="str">
        <f t="shared" si="51"/>
        <v/>
      </c>
      <c r="AE51" t="str">
        <f t="shared" si="51"/>
        <v/>
      </c>
      <c r="AF51" t="str">
        <f t="shared" si="24"/>
        <v/>
      </c>
      <c r="AG51" t="str">
        <f t="shared" si="25"/>
        <v/>
      </c>
      <c r="AH51" t="str">
        <f t="shared" si="26"/>
        <v/>
      </c>
      <c r="AI51" t="str">
        <f t="shared" si="27"/>
        <v/>
      </c>
      <c r="AJ51" t="str">
        <f t="shared" si="28"/>
        <v/>
      </c>
      <c r="AK51" t="str">
        <f t="shared" si="29"/>
        <v/>
      </c>
      <c r="AM51" t="str">
        <f t="shared" si="35"/>
        <v/>
      </c>
      <c r="AN51" t="str">
        <f t="shared" si="36"/>
        <v/>
      </c>
      <c r="AO51" t="str">
        <f t="shared" si="37"/>
        <v/>
      </c>
      <c r="AP51" t="str">
        <f t="shared" si="38"/>
        <v/>
      </c>
      <c r="AQ51" t="str">
        <f t="shared" si="39"/>
        <v/>
      </c>
      <c r="AR51" t="str">
        <f t="shared" si="40"/>
        <v/>
      </c>
      <c r="AS51" t="str">
        <f t="shared" si="41"/>
        <v/>
      </c>
      <c r="AT51" t="str">
        <f t="shared" si="42"/>
        <v/>
      </c>
      <c r="AU51" t="str">
        <f t="shared" si="43"/>
        <v/>
      </c>
      <c r="AV51" t="str">
        <f t="shared" si="30"/>
        <v/>
      </c>
      <c r="AW51" t="str">
        <f t="shared" si="31"/>
        <v/>
      </c>
      <c r="AY51" t="str">
        <f>IF($AM51="●",AT51&amp;CHAR(10)&amp;"BOX_ST"&amp;CHAR(10)&amp;";//"&amp;$B$28,"")</f>
        <v/>
      </c>
      <c r="AZ51" t="str">
        <f t="shared" si="44"/>
        <v/>
      </c>
      <c r="BA51" t="str">
        <f t="shared" si="45"/>
        <v/>
      </c>
      <c r="BB51" t="str">
        <f t="shared" si="46"/>
        <v/>
      </c>
      <c r="BC51" t="str">
        <f>IF($AM51="●",IF(LEN(BB51),BB51&amp;CHAR(10),"")&amp;";//"&amp;$B$29,"")</f>
        <v/>
      </c>
      <c r="BE51">
        <f t="shared" si="47"/>
        <v>14</v>
      </c>
      <c r="BF51">
        <f t="shared" si="48"/>
        <v>1</v>
      </c>
      <c r="BG51" t="str">
        <f t="shared" si="49"/>
        <v/>
      </c>
      <c r="BH51" t="str">
        <f t="shared" si="32"/>
        <v/>
      </c>
    </row>
    <row r="52" spans="4:60" x14ac:dyDescent="0.55000000000000004">
      <c r="D52">
        <v>44</v>
      </c>
      <c r="E52" t="str">
        <f t="shared" si="33"/>
        <v/>
      </c>
      <c r="F52" t="str">
        <f t="shared" si="50"/>
        <v/>
      </c>
      <c r="G52" t="str">
        <f t="shared" si="34"/>
        <v/>
      </c>
      <c r="Z52" t="str">
        <f t="shared" si="21"/>
        <v/>
      </c>
      <c r="AA52" t="str">
        <f t="shared" si="22"/>
        <v/>
      </c>
      <c r="AB52" t="str">
        <f t="shared" si="22"/>
        <v/>
      </c>
      <c r="AC52" t="str">
        <f t="shared" si="22"/>
        <v/>
      </c>
      <c r="AD52" t="str">
        <f t="shared" si="51"/>
        <v/>
      </c>
      <c r="AE52" t="str">
        <f t="shared" si="51"/>
        <v/>
      </c>
      <c r="AF52" t="str">
        <f t="shared" si="24"/>
        <v/>
      </c>
      <c r="AG52" t="str">
        <f t="shared" si="25"/>
        <v/>
      </c>
      <c r="AH52" t="str">
        <f t="shared" si="26"/>
        <v/>
      </c>
      <c r="AI52" t="str">
        <f t="shared" si="27"/>
        <v/>
      </c>
      <c r="AJ52" t="str">
        <f t="shared" si="28"/>
        <v/>
      </c>
      <c r="AK52" t="str">
        <f t="shared" si="29"/>
        <v/>
      </c>
      <c r="AM52" t="str">
        <f t="shared" si="35"/>
        <v/>
      </c>
      <c r="AN52" t="str">
        <f t="shared" si="36"/>
        <v/>
      </c>
      <c r="AO52" t="str">
        <f t="shared" si="37"/>
        <v/>
      </c>
      <c r="AP52" t="str">
        <f t="shared" si="38"/>
        <v/>
      </c>
      <c r="AQ52" t="str">
        <f t="shared" si="39"/>
        <v/>
      </c>
      <c r="AR52" t="str">
        <f t="shared" si="40"/>
        <v/>
      </c>
      <c r="AS52" t="str">
        <f t="shared" si="41"/>
        <v/>
      </c>
      <c r="AT52" t="str">
        <f t="shared" si="42"/>
        <v/>
      </c>
      <c r="AU52" t="str">
        <f t="shared" si="43"/>
        <v/>
      </c>
      <c r="AV52" t="str">
        <f t="shared" si="30"/>
        <v/>
      </c>
      <c r="AW52" t="str">
        <f t="shared" si="31"/>
        <v/>
      </c>
      <c r="AY52" t="str">
        <f>IF($AM52="●",AT52&amp;CHAR(10)&amp;"BOX_ST"&amp;CHAR(10)&amp;";//"&amp;$B$28,"")</f>
        <v/>
      </c>
      <c r="AZ52" t="str">
        <f t="shared" si="44"/>
        <v/>
      </c>
      <c r="BA52" t="str">
        <f t="shared" si="45"/>
        <v/>
      </c>
      <c r="BB52" t="str">
        <f t="shared" si="46"/>
        <v/>
      </c>
      <c r="BC52" t="str">
        <f>IF($AM52="●",IF(LEN(BB52),BB52&amp;CHAR(10),"")&amp;";//"&amp;$B$29,"")</f>
        <v/>
      </c>
      <c r="BE52">
        <f t="shared" si="47"/>
        <v>14</v>
      </c>
      <c r="BF52">
        <f t="shared" si="48"/>
        <v>2</v>
      </c>
      <c r="BG52" t="str">
        <f t="shared" si="49"/>
        <v/>
      </c>
      <c r="BH52" t="str">
        <f t="shared" si="32"/>
        <v/>
      </c>
    </row>
    <row r="53" spans="4:60" x14ac:dyDescent="0.55000000000000004">
      <c r="D53">
        <v>45</v>
      </c>
      <c r="E53" t="str">
        <f t="shared" si="33"/>
        <v/>
      </c>
      <c r="F53" t="str">
        <f t="shared" si="50"/>
        <v/>
      </c>
      <c r="G53" t="str">
        <f t="shared" si="34"/>
        <v/>
      </c>
      <c r="Z53" t="str">
        <f t="shared" si="21"/>
        <v/>
      </c>
      <c r="AA53" t="str">
        <f t="shared" si="22"/>
        <v/>
      </c>
      <c r="AB53" t="str">
        <f t="shared" si="22"/>
        <v/>
      </c>
      <c r="AC53" t="str">
        <f t="shared" si="22"/>
        <v/>
      </c>
      <c r="AD53" t="str">
        <f t="shared" si="51"/>
        <v/>
      </c>
      <c r="AE53" t="str">
        <f t="shared" si="51"/>
        <v/>
      </c>
      <c r="AF53" t="str">
        <f t="shared" si="24"/>
        <v/>
      </c>
      <c r="AG53" t="str">
        <f t="shared" si="25"/>
        <v/>
      </c>
      <c r="AH53" t="str">
        <f t="shared" si="26"/>
        <v/>
      </c>
      <c r="AI53" t="str">
        <f t="shared" si="27"/>
        <v/>
      </c>
      <c r="AJ53" t="str">
        <f t="shared" si="28"/>
        <v/>
      </c>
      <c r="AK53" t="str">
        <f t="shared" si="29"/>
        <v/>
      </c>
      <c r="AM53" t="str">
        <f t="shared" si="35"/>
        <v/>
      </c>
      <c r="AN53" t="str">
        <f t="shared" si="36"/>
        <v/>
      </c>
      <c r="AO53" t="str">
        <f t="shared" si="37"/>
        <v/>
      </c>
      <c r="AP53" t="str">
        <f t="shared" si="38"/>
        <v/>
      </c>
      <c r="AQ53" t="str">
        <f t="shared" si="39"/>
        <v/>
      </c>
      <c r="AR53" t="str">
        <f t="shared" si="40"/>
        <v/>
      </c>
      <c r="AS53" t="str">
        <f t="shared" si="41"/>
        <v/>
      </c>
      <c r="AT53" t="str">
        <f t="shared" si="42"/>
        <v/>
      </c>
      <c r="AU53" t="str">
        <f t="shared" si="43"/>
        <v/>
      </c>
      <c r="AV53" t="str">
        <f t="shared" si="30"/>
        <v/>
      </c>
      <c r="AW53" t="str">
        <f t="shared" si="31"/>
        <v/>
      </c>
      <c r="AY53" t="str">
        <f>IF($AM53="●",AT53&amp;CHAR(10)&amp;"BOX_ST"&amp;CHAR(10)&amp;";//"&amp;$B$28,"")</f>
        <v/>
      </c>
      <c r="AZ53" t="str">
        <f t="shared" si="44"/>
        <v/>
      </c>
      <c r="BA53" t="str">
        <f t="shared" si="45"/>
        <v/>
      </c>
      <c r="BB53" t="str">
        <f t="shared" si="46"/>
        <v/>
      </c>
      <c r="BC53" t="str">
        <f>IF($AM53="●",IF(LEN(BB53),BB53&amp;CHAR(10),"")&amp;";//"&amp;$B$29,"")</f>
        <v/>
      </c>
      <c r="BE53">
        <f t="shared" si="47"/>
        <v>15</v>
      </c>
      <c r="BF53">
        <f t="shared" si="48"/>
        <v>0</v>
      </c>
      <c r="BG53" t="str">
        <f t="shared" si="49"/>
        <v/>
      </c>
      <c r="BH53" t="str">
        <f t="shared" si="32"/>
        <v/>
      </c>
    </row>
    <row r="54" spans="4:60" x14ac:dyDescent="0.55000000000000004">
      <c r="D54">
        <v>46</v>
      </c>
      <c r="E54" t="str">
        <f t="shared" si="33"/>
        <v/>
      </c>
      <c r="F54" t="str">
        <f t="shared" si="50"/>
        <v/>
      </c>
      <c r="G54" t="str">
        <f t="shared" si="34"/>
        <v/>
      </c>
      <c r="Z54" t="str">
        <f t="shared" si="21"/>
        <v/>
      </c>
      <c r="AA54" t="str">
        <f t="shared" si="22"/>
        <v/>
      </c>
      <c r="AB54" t="str">
        <f t="shared" si="22"/>
        <v/>
      </c>
      <c r="AC54" t="str">
        <f t="shared" si="22"/>
        <v/>
      </c>
      <c r="AD54" t="str">
        <f t="shared" si="51"/>
        <v/>
      </c>
      <c r="AE54" t="str">
        <f t="shared" si="51"/>
        <v/>
      </c>
      <c r="AF54" t="str">
        <f t="shared" si="24"/>
        <v/>
      </c>
      <c r="AG54" t="str">
        <f t="shared" si="25"/>
        <v/>
      </c>
      <c r="AH54" t="str">
        <f t="shared" si="26"/>
        <v/>
      </c>
      <c r="AI54" t="str">
        <f t="shared" si="27"/>
        <v/>
      </c>
      <c r="AJ54" t="str">
        <f t="shared" si="28"/>
        <v/>
      </c>
      <c r="AK54" t="str">
        <f t="shared" si="29"/>
        <v/>
      </c>
      <c r="AM54" t="str">
        <f t="shared" si="35"/>
        <v/>
      </c>
      <c r="AN54" t="str">
        <f t="shared" si="36"/>
        <v/>
      </c>
      <c r="AO54" t="str">
        <f t="shared" si="37"/>
        <v/>
      </c>
      <c r="AP54" t="str">
        <f t="shared" si="38"/>
        <v/>
      </c>
      <c r="AQ54" t="str">
        <f t="shared" si="39"/>
        <v/>
      </c>
      <c r="AR54" t="str">
        <f t="shared" si="40"/>
        <v/>
      </c>
      <c r="AS54" t="str">
        <f t="shared" si="41"/>
        <v/>
      </c>
      <c r="AT54" t="str">
        <f t="shared" si="42"/>
        <v/>
      </c>
      <c r="AU54" t="str">
        <f t="shared" si="43"/>
        <v/>
      </c>
      <c r="AV54" t="str">
        <f t="shared" si="30"/>
        <v/>
      </c>
      <c r="AW54" t="str">
        <f t="shared" si="31"/>
        <v/>
      </c>
      <c r="AY54" t="str">
        <f>IF($AM54="●",AT54&amp;CHAR(10)&amp;"BOX_ST"&amp;CHAR(10)&amp;";//"&amp;$B$28,"")</f>
        <v/>
      </c>
      <c r="AZ54" t="str">
        <f t="shared" si="44"/>
        <v/>
      </c>
      <c r="BA54" t="str">
        <f t="shared" si="45"/>
        <v/>
      </c>
      <c r="BB54" t="str">
        <f t="shared" si="46"/>
        <v/>
      </c>
      <c r="BC54" t="str">
        <f>IF($AM54="●",IF(LEN(BB54),BB54&amp;CHAR(10),"")&amp;";//"&amp;$B$29,"")</f>
        <v/>
      </c>
      <c r="BE54">
        <f t="shared" si="47"/>
        <v>15</v>
      </c>
      <c r="BF54">
        <f t="shared" si="48"/>
        <v>1</v>
      </c>
      <c r="BG54" t="str">
        <f t="shared" si="49"/>
        <v/>
      </c>
      <c r="BH54" t="str">
        <f t="shared" si="32"/>
        <v/>
      </c>
    </row>
    <row r="55" spans="4:60" x14ac:dyDescent="0.55000000000000004">
      <c r="D55">
        <v>47</v>
      </c>
      <c r="E55" t="str">
        <f t="shared" si="33"/>
        <v/>
      </c>
      <c r="F55" t="str">
        <f t="shared" si="50"/>
        <v/>
      </c>
      <c r="G55" t="str">
        <f t="shared" si="34"/>
        <v/>
      </c>
      <c r="Z55" t="str">
        <f t="shared" si="21"/>
        <v/>
      </c>
      <c r="AA55" t="str">
        <f t="shared" si="22"/>
        <v/>
      </c>
      <c r="AB55" t="str">
        <f t="shared" si="22"/>
        <v/>
      </c>
      <c r="AC55" t="str">
        <f t="shared" si="22"/>
        <v/>
      </c>
      <c r="AD55" t="str">
        <f t="shared" si="51"/>
        <v/>
      </c>
      <c r="AE55" t="str">
        <f t="shared" si="51"/>
        <v/>
      </c>
      <c r="AF55" t="str">
        <f t="shared" si="24"/>
        <v/>
      </c>
      <c r="AG55" t="str">
        <f t="shared" si="25"/>
        <v/>
      </c>
      <c r="AH55" t="str">
        <f t="shared" si="26"/>
        <v/>
      </c>
      <c r="AI55" t="str">
        <f t="shared" si="27"/>
        <v/>
      </c>
      <c r="AJ55" t="str">
        <f t="shared" si="28"/>
        <v/>
      </c>
      <c r="AK55" t="str">
        <f t="shared" si="29"/>
        <v/>
      </c>
      <c r="AM55" t="str">
        <f t="shared" si="35"/>
        <v/>
      </c>
      <c r="AN55" t="str">
        <f t="shared" si="36"/>
        <v/>
      </c>
      <c r="AO55" t="str">
        <f t="shared" si="37"/>
        <v/>
      </c>
      <c r="AP55" t="str">
        <f t="shared" si="38"/>
        <v/>
      </c>
      <c r="AQ55" t="str">
        <f t="shared" si="39"/>
        <v/>
      </c>
      <c r="AR55" t="str">
        <f t="shared" si="40"/>
        <v/>
      </c>
      <c r="AS55" t="str">
        <f t="shared" si="41"/>
        <v/>
      </c>
      <c r="AT55" t="str">
        <f t="shared" si="42"/>
        <v/>
      </c>
      <c r="AU55" t="str">
        <f t="shared" si="43"/>
        <v/>
      </c>
      <c r="AV55" t="str">
        <f t="shared" si="30"/>
        <v/>
      </c>
      <c r="AW55" t="str">
        <f t="shared" si="31"/>
        <v/>
      </c>
      <c r="AY55" t="str">
        <f>IF($AM55="●",AT55&amp;CHAR(10)&amp;"BOX_ST"&amp;CHAR(10)&amp;";//"&amp;$B$28,"")</f>
        <v/>
      </c>
      <c r="AZ55" t="str">
        <f t="shared" si="44"/>
        <v/>
      </c>
      <c r="BA55" t="str">
        <f t="shared" si="45"/>
        <v/>
      </c>
      <c r="BB55" t="str">
        <f t="shared" si="46"/>
        <v/>
      </c>
      <c r="BC55" t="str">
        <f>IF($AM55="●",IF(LEN(BB55),BB55&amp;CHAR(10),"")&amp;";//"&amp;$B$29,"")</f>
        <v/>
      </c>
      <c r="BE55">
        <f t="shared" si="47"/>
        <v>15</v>
      </c>
      <c r="BF55">
        <f t="shared" si="48"/>
        <v>2</v>
      </c>
      <c r="BG55" t="str">
        <f t="shared" si="49"/>
        <v/>
      </c>
      <c r="BH55" t="str">
        <f t="shared" si="32"/>
        <v/>
      </c>
    </row>
    <row r="56" spans="4:60" x14ac:dyDescent="0.55000000000000004">
      <c r="D56">
        <v>48</v>
      </c>
      <c r="E56" t="str">
        <f t="shared" si="33"/>
        <v/>
      </c>
      <c r="F56" t="str">
        <f t="shared" si="50"/>
        <v/>
      </c>
      <c r="G56" t="str">
        <f t="shared" si="34"/>
        <v/>
      </c>
      <c r="Z56" t="str">
        <f t="shared" si="21"/>
        <v/>
      </c>
      <c r="AA56" t="str">
        <f t="shared" si="22"/>
        <v/>
      </c>
      <c r="AB56" t="str">
        <f t="shared" si="22"/>
        <v/>
      </c>
      <c r="AC56" t="str">
        <f t="shared" si="22"/>
        <v/>
      </c>
      <c r="AD56" t="str">
        <f t="shared" si="51"/>
        <v/>
      </c>
      <c r="AE56" t="str">
        <f t="shared" si="51"/>
        <v/>
      </c>
      <c r="AF56" t="str">
        <f t="shared" si="24"/>
        <v/>
      </c>
      <c r="AG56" t="str">
        <f t="shared" si="25"/>
        <v/>
      </c>
      <c r="AH56" t="str">
        <f t="shared" si="26"/>
        <v/>
      </c>
      <c r="AI56" t="str">
        <f t="shared" si="27"/>
        <v/>
      </c>
      <c r="AJ56" t="str">
        <f t="shared" si="28"/>
        <v/>
      </c>
      <c r="AK56" t="str">
        <f t="shared" si="29"/>
        <v/>
      </c>
      <c r="AM56" t="str">
        <f t="shared" si="35"/>
        <v/>
      </c>
      <c r="AN56" t="str">
        <f t="shared" si="36"/>
        <v/>
      </c>
      <c r="AO56" t="str">
        <f t="shared" si="37"/>
        <v/>
      </c>
      <c r="AP56" t="str">
        <f t="shared" si="38"/>
        <v/>
      </c>
      <c r="AQ56" t="str">
        <f t="shared" si="39"/>
        <v/>
      </c>
      <c r="AR56" t="str">
        <f t="shared" si="40"/>
        <v/>
      </c>
      <c r="AS56" t="str">
        <f t="shared" si="41"/>
        <v/>
      </c>
      <c r="AT56" t="str">
        <f t="shared" si="42"/>
        <v/>
      </c>
      <c r="AU56" t="str">
        <f t="shared" si="43"/>
        <v/>
      </c>
      <c r="AV56" t="str">
        <f t="shared" si="30"/>
        <v/>
      </c>
      <c r="AW56" t="str">
        <f t="shared" si="31"/>
        <v/>
      </c>
      <c r="AY56" t="str">
        <f>IF($AM56="●",AT56&amp;CHAR(10)&amp;"BOX_ST"&amp;CHAR(10)&amp;";//"&amp;$B$28,"")</f>
        <v/>
      </c>
      <c r="AZ56" t="str">
        <f t="shared" si="44"/>
        <v/>
      </c>
      <c r="BA56" t="str">
        <f t="shared" si="45"/>
        <v/>
      </c>
      <c r="BB56" t="str">
        <f t="shared" si="46"/>
        <v/>
      </c>
      <c r="BC56" t="str">
        <f>IF($AM56="●",IF(LEN(BB56),BB56&amp;CHAR(10),"")&amp;";//"&amp;$B$29,"")</f>
        <v/>
      </c>
      <c r="BE56">
        <f t="shared" si="47"/>
        <v>16</v>
      </c>
      <c r="BF56">
        <f t="shared" si="48"/>
        <v>0</v>
      </c>
      <c r="BG56" t="str">
        <f t="shared" si="49"/>
        <v/>
      </c>
      <c r="BH56" t="str">
        <f t="shared" si="32"/>
        <v/>
      </c>
    </row>
    <row r="57" spans="4:60" x14ac:dyDescent="0.55000000000000004">
      <c r="D57">
        <v>49</v>
      </c>
      <c r="E57" t="str">
        <f t="shared" si="33"/>
        <v/>
      </c>
      <c r="F57" t="str">
        <f t="shared" si="50"/>
        <v/>
      </c>
      <c r="G57" t="str">
        <f t="shared" si="34"/>
        <v/>
      </c>
      <c r="Z57" t="str">
        <f t="shared" si="21"/>
        <v/>
      </c>
      <c r="AA57" t="str">
        <f t="shared" si="22"/>
        <v/>
      </c>
      <c r="AB57" t="str">
        <f t="shared" si="22"/>
        <v/>
      </c>
      <c r="AC57" t="str">
        <f t="shared" si="22"/>
        <v/>
      </c>
      <c r="AD57" t="str">
        <f t="shared" si="51"/>
        <v/>
      </c>
      <c r="AE57" t="str">
        <f t="shared" si="51"/>
        <v/>
      </c>
      <c r="AF57" t="str">
        <f t="shared" si="24"/>
        <v/>
      </c>
      <c r="AG57" t="str">
        <f t="shared" si="25"/>
        <v/>
      </c>
      <c r="AH57" t="str">
        <f t="shared" si="26"/>
        <v/>
      </c>
      <c r="AI57" t="str">
        <f t="shared" si="27"/>
        <v/>
      </c>
      <c r="AJ57" t="str">
        <f t="shared" si="28"/>
        <v/>
      </c>
      <c r="AK57" t="str">
        <f t="shared" si="29"/>
        <v/>
      </c>
      <c r="AM57" t="str">
        <f t="shared" si="35"/>
        <v/>
      </c>
      <c r="AN57" t="str">
        <f t="shared" si="36"/>
        <v/>
      </c>
      <c r="AO57" t="str">
        <f t="shared" si="37"/>
        <v/>
      </c>
      <c r="AP57" t="str">
        <f t="shared" si="38"/>
        <v/>
      </c>
      <c r="AQ57" t="str">
        <f t="shared" si="39"/>
        <v/>
      </c>
      <c r="AR57" t="str">
        <f t="shared" si="40"/>
        <v/>
      </c>
      <c r="AS57" t="str">
        <f t="shared" si="41"/>
        <v/>
      </c>
      <c r="AT57" t="str">
        <f t="shared" si="42"/>
        <v/>
      </c>
      <c r="AU57" t="str">
        <f t="shared" si="43"/>
        <v/>
      </c>
      <c r="AV57" t="str">
        <f t="shared" si="30"/>
        <v/>
      </c>
      <c r="AW57" t="str">
        <f t="shared" si="31"/>
        <v/>
      </c>
      <c r="AY57" t="str">
        <f>IF($AM57="●",AT57&amp;CHAR(10)&amp;"BOX_ST"&amp;CHAR(10)&amp;";//"&amp;$B$28,"")</f>
        <v/>
      </c>
      <c r="AZ57" t="str">
        <f t="shared" si="44"/>
        <v/>
      </c>
      <c r="BA57" t="str">
        <f t="shared" si="45"/>
        <v/>
      </c>
      <c r="BB57" t="str">
        <f t="shared" si="46"/>
        <v/>
      </c>
      <c r="BC57" t="str">
        <f>IF($AM57="●",IF(LEN(BB57),BB57&amp;CHAR(10),"")&amp;";//"&amp;$B$29,"")</f>
        <v/>
      </c>
      <c r="BE57">
        <f t="shared" si="47"/>
        <v>16</v>
      </c>
      <c r="BF57">
        <f t="shared" si="48"/>
        <v>1</v>
      </c>
      <c r="BG57" t="str">
        <f t="shared" si="49"/>
        <v/>
      </c>
      <c r="BH57" t="str">
        <f t="shared" si="32"/>
        <v/>
      </c>
    </row>
    <row r="58" spans="4:60" x14ac:dyDescent="0.55000000000000004">
      <c r="D58">
        <v>50</v>
      </c>
      <c r="E58" t="str">
        <f t="shared" si="33"/>
        <v/>
      </c>
      <c r="F58" t="str">
        <f t="shared" si="50"/>
        <v/>
      </c>
      <c r="G58" t="str">
        <f t="shared" si="34"/>
        <v/>
      </c>
      <c r="Z58" t="str">
        <f t="shared" si="21"/>
        <v/>
      </c>
      <c r="AA58" t="str">
        <f t="shared" si="22"/>
        <v/>
      </c>
      <c r="AB58" t="str">
        <f t="shared" si="22"/>
        <v/>
      </c>
      <c r="AC58" t="str">
        <f t="shared" si="22"/>
        <v/>
      </c>
      <c r="AD58" t="str">
        <f t="shared" si="51"/>
        <v/>
      </c>
      <c r="AE58" t="str">
        <f t="shared" si="51"/>
        <v/>
      </c>
      <c r="AF58" t="str">
        <f t="shared" si="24"/>
        <v/>
      </c>
      <c r="AG58" t="str">
        <f t="shared" si="25"/>
        <v/>
      </c>
      <c r="AH58" t="str">
        <f t="shared" si="26"/>
        <v/>
      </c>
      <c r="AI58" t="str">
        <f t="shared" si="27"/>
        <v/>
      </c>
      <c r="AJ58" t="str">
        <f t="shared" si="28"/>
        <v/>
      </c>
      <c r="AK58" t="str">
        <f t="shared" si="29"/>
        <v/>
      </c>
      <c r="AM58" t="str">
        <f t="shared" si="35"/>
        <v/>
      </c>
      <c r="AN58" t="str">
        <f t="shared" si="36"/>
        <v/>
      </c>
      <c r="AO58" t="str">
        <f t="shared" si="37"/>
        <v/>
      </c>
      <c r="AP58" t="str">
        <f t="shared" si="38"/>
        <v/>
      </c>
      <c r="AQ58" t="str">
        <f t="shared" si="39"/>
        <v/>
      </c>
      <c r="AR58" t="str">
        <f t="shared" si="40"/>
        <v/>
      </c>
      <c r="AS58" t="str">
        <f t="shared" si="41"/>
        <v/>
      </c>
      <c r="AT58" t="str">
        <f t="shared" si="42"/>
        <v/>
      </c>
      <c r="AU58" t="str">
        <f t="shared" si="43"/>
        <v/>
      </c>
      <c r="AV58" t="str">
        <f t="shared" si="30"/>
        <v/>
      </c>
      <c r="AW58" t="str">
        <f t="shared" si="31"/>
        <v/>
      </c>
      <c r="AY58" t="str">
        <f>IF($AM58="●",AT58&amp;CHAR(10)&amp;"BOX_ST"&amp;CHAR(10)&amp;";//"&amp;$B$28,"")</f>
        <v/>
      </c>
      <c r="AZ58" t="str">
        <f t="shared" si="44"/>
        <v/>
      </c>
      <c r="BA58" t="str">
        <f t="shared" si="45"/>
        <v/>
      </c>
      <c r="BB58" t="str">
        <f t="shared" si="46"/>
        <v/>
      </c>
      <c r="BC58" t="str">
        <f>IF($AM58="●",IF(LEN(BB58),BB58&amp;CHAR(10),"")&amp;";//"&amp;$B$29,"")</f>
        <v/>
      </c>
      <c r="BE58">
        <f t="shared" si="47"/>
        <v>16</v>
      </c>
      <c r="BF58">
        <f t="shared" si="48"/>
        <v>2</v>
      </c>
      <c r="BG58" t="str">
        <f t="shared" si="49"/>
        <v/>
      </c>
      <c r="BH58" t="str">
        <f t="shared" si="32"/>
        <v/>
      </c>
    </row>
    <row r="59" spans="4:60" x14ac:dyDescent="0.55000000000000004">
      <c r="D59">
        <v>51</v>
      </c>
      <c r="E59" t="str">
        <f t="shared" si="33"/>
        <v/>
      </c>
      <c r="F59" t="str">
        <f t="shared" si="50"/>
        <v/>
      </c>
      <c r="G59" t="str">
        <f t="shared" si="34"/>
        <v/>
      </c>
      <c r="Z59" t="str">
        <f t="shared" si="21"/>
        <v/>
      </c>
      <c r="AA59" t="str">
        <f t="shared" si="22"/>
        <v/>
      </c>
      <c r="AB59" t="str">
        <f t="shared" si="22"/>
        <v/>
      </c>
      <c r="AC59" t="str">
        <f t="shared" si="22"/>
        <v/>
      </c>
      <c r="AD59" t="str">
        <f t="shared" si="51"/>
        <v/>
      </c>
      <c r="AE59" t="str">
        <f t="shared" si="51"/>
        <v/>
      </c>
      <c r="AF59" t="str">
        <f t="shared" si="24"/>
        <v/>
      </c>
      <c r="AG59" t="str">
        <f t="shared" si="25"/>
        <v/>
      </c>
      <c r="AH59" t="str">
        <f t="shared" si="26"/>
        <v/>
      </c>
      <c r="AI59" t="str">
        <f t="shared" si="27"/>
        <v/>
      </c>
      <c r="AJ59" t="str">
        <f t="shared" si="28"/>
        <v/>
      </c>
      <c r="AK59" t="str">
        <f t="shared" si="29"/>
        <v/>
      </c>
      <c r="AM59" t="str">
        <f t="shared" si="35"/>
        <v/>
      </c>
      <c r="AN59" t="str">
        <f t="shared" si="36"/>
        <v/>
      </c>
      <c r="AO59" t="str">
        <f t="shared" si="37"/>
        <v/>
      </c>
      <c r="AP59" t="str">
        <f t="shared" si="38"/>
        <v/>
      </c>
      <c r="AQ59" t="str">
        <f t="shared" si="39"/>
        <v/>
      </c>
      <c r="AR59" t="str">
        <f t="shared" si="40"/>
        <v/>
      </c>
      <c r="AS59" t="str">
        <f t="shared" si="41"/>
        <v/>
      </c>
      <c r="AT59" t="str">
        <f t="shared" si="42"/>
        <v/>
      </c>
      <c r="AU59" t="str">
        <f t="shared" si="43"/>
        <v/>
      </c>
      <c r="AV59" t="str">
        <f t="shared" si="30"/>
        <v/>
      </c>
      <c r="AW59" t="str">
        <f t="shared" si="31"/>
        <v/>
      </c>
      <c r="AY59" t="str">
        <f>IF($AM59="●",AT59&amp;CHAR(10)&amp;"BOX_ST"&amp;CHAR(10)&amp;";//"&amp;$B$28,"")</f>
        <v/>
      </c>
      <c r="AZ59" t="str">
        <f t="shared" si="44"/>
        <v/>
      </c>
      <c r="BA59" t="str">
        <f t="shared" si="45"/>
        <v/>
      </c>
      <c r="BB59" t="str">
        <f t="shared" si="46"/>
        <v/>
      </c>
      <c r="BC59" t="str">
        <f>IF($AM59="●",IF(LEN(BB59),BB59&amp;CHAR(10),"")&amp;";//"&amp;$B$29,"")</f>
        <v/>
      </c>
      <c r="BE59">
        <f t="shared" si="47"/>
        <v>17</v>
      </c>
      <c r="BF59">
        <f t="shared" si="48"/>
        <v>0</v>
      </c>
      <c r="BG59" t="str">
        <f t="shared" si="49"/>
        <v/>
      </c>
      <c r="BH59" t="str">
        <f t="shared" si="32"/>
        <v/>
      </c>
    </row>
    <row r="60" spans="4:60" x14ac:dyDescent="0.55000000000000004">
      <c r="D60">
        <v>52</v>
      </c>
      <c r="E60" t="str">
        <f t="shared" si="33"/>
        <v/>
      </c>
      <c r="F60" t="str">
        <f t="shared" si="50"/>
        <v/>
      </c>
      <c r="G60" t="str">
        <f t="shared" si="34"/>
        <v/>
      </c>
      <c r="Z60" t="str">
        <f t="shared" si="21"/>
        <v/>
      </c>
      <c r="AA60" t="str">
        <f t="shared" si="22"/>
        <v/>
      </c>
      <c r="AB60" t="str">
        <f t="shared" si="22"/>
        <v/>
      </c>
      <c r="AC60" t="str">
        <f t="shared" si="22"/>
        <v/>
      </c>
      <c r="AD60" t="str">
        <f t="shared" si="51"/>
        <v/>
      </c>
      <c r="AE60" t="str">
        <f t="shared" si="51"/>
        <v/>
      </c>
      <c r="AF60" t="str">
        <f t="shared" si="24"/>
        <v/>
      </c>
      <c r="AG60" t="str">
        <f t="shared" si="25"/>
        <v/>
      </c>
      <c r="AH60" t="str">
        <f t="shared" si="26"/>
        <v/>
      </c>
      <c r="AI60" t="str">
        <f t="shared" si="27"/>
        <v/>
      </c>
      <c r="AJ60" t="str">
        <f t="shared" si="28"/>
        <v/>
      </c>
      <c r="AK60" t="str">
        <f t="shared" si="29"/>
        <v/>
      </c>
      <c r="AM60" t="str">
        <f t="shared" si="35"/>
        <v/>
      </c>
      <c r="AN60" t="str">
        <f t="shared" si="36"/>
        <v/>
      </c>
      <c r="AO60" t="str">
        <f t="shared" si="37"/>
        <v/>
      </c>
      <c r="AP60" t="str">
        <f t="shared" si="38"/>
        <v/>
      </c>
      <c r="AQ60" t="str">
        <f t="shared" si="39"/>
        <v/>
      </c>
      <c r="AR60" t="str">
        <f t="shared" si="40"/>
        <v/>
      </c>
      <c r="AS60" t="str">
        <f t="shared" si="41"/>
        <v/>
      </c>
      <c r="AT60" t="str">
        <f t="shared" si="42"/>
        <v/>
      </c>
      <c r="AU60" t="str">
        <f t="shared" si="43"/>
        <v/>
      </c>
      <c r="AV60" t="str">
        <f t="shared" si="30"/>
        <v/>
      </c>
      <c r="AW60" t="str">
        <f t="shared" si="31"/>
        <v/>
      </c>
      <c r="AY60" t="str">
        <f>IF($AM60="●",AT60&amp;CHAR(10)&amp;"BOX_ST"&amp;CHAR(10)&amp;";//"&amp;$B$28,"")</f>
        <v/>
      </c>
      <c r="AZ60" t="str">
        <f t="shared" si="44"/>
        <v/>
      </c>
      <c r="BA60" t="str">
        <f t="shared" si="45"/>
        <v/>
      </c>
      <c r="BB60" t="str">
        <f t="shared" si="46"/>
        <v/>
      </c>
      <c r="BC60" t="str">
        <f>IF($AM60="●",IF(LEN(BB60),BB60&amp;CHAR(10),"")&amp;";//"&amp;$B$29,"")</f>
        <v/>
      </c>
      <c r="BE60">
        <f t="shared" si="47"/>
        <v>17</v>
      </c>
      <c r="BF60">
        <f t="shared" si="48"/>
        <v>1</v>
      </c>
      <c r="BG60" t="str">
        <f t="shared" si="49"/>
        <v/>
      </c>
      <c r="BH60" t="str">
        <f t="shared" si="32"/>
        <v/>
      </c>
    </row>
    <row r="61" spans="4:60" x14ac:dyDescent="0.55000000000000004">
      <c r="D61">
        <v>53</v>
      </c>
      <c r="E61" t="str">
        <f t="shared" si="33"/>
        <v/>
      </c>
      <c r="F61" t="str">
        <f t="shared" si="50"/>
        <v/>
      </c>
      <c r="G61" t="str">
        <f t="shared" si="34"/>
        <v/>
      </c>
      <c r="Z61" t="str">
        <f t="shared" si="21"/>
        <v/>
      </c>
      <c r="AA61" t="str">
        <f t="shared" si="22"/>
        <v/>
      </c>
      <c r="AB61" t="str">
        <f t="shared" si="22"/>
        <v/>
      </c>
      <c r="AC61" t="str">
        <f t="shared" si="22"/>
        <v/>
      </c>
      <c r="AD61" t="str">
        <f t="shared" si="51"/>
        <v/>
      </c>
      <c r="AE61" t="str">
        <f t="shared" si="51"/>
        <v/>
      </c>
      <c r="AF61" t="str">
        <f t="shared" si="24"/>
        <v/>
      </c>
      <c r="AG61" t="str">
        <f t="shared" si="25"/>
        <v/>
      </c>
      <c r="AH61" t="str">
        <f t="shared" si="26"/>
        <v/>
      </c>
      <c r="AI61" t="str">
        <f t="shared" si="27"/>
        <v/>
      </c>
      <c r="AJ61" t="str">
        <f t="shared" si="28"/>
        <v/>
      </c>
      <c r="AK61" t="str">
        <f t="shared" si="29"/>
        <v/>
      </c>
      <c r="AM61" t="str">
        <f t="shared" si="35"/>
        <v/>
      </c>
      <c r="AN61" t="str">
        <f t="shared" si="36"/>
        <v/>
      </c>
      <c r="AO61" t="str">
        <f t="shared" si="37"/>
        <v/>
      </c>
      <c r="AP61" t="str">
        <f t="shared" si="38"/>
        <v/>
      </c>
      <c r="AQ61" t="str">
        <f t="shared" si="39"/>
        <v/>
      </c>
      <c r="AR61" t="str">
        <f t="shared" si="40"/>
        <v/>
      </c>
      <c r="AS61" t="str">
        <f t="shared" si="41"/>
        <v/>
      </c>
      <c r="AT61" t="str">
        <f t="shared" si="42"/>
        <v/>
      </c>
      <c r="AU61" t="str">
        <f t="shared" si="43"/>
        <v/>
      </c>
      <c r="AV61" t="str">
        <f t="shared" si="30"/>
        <v/>
      </c>
      <c r="AW61" t="str">
        <f t="shared" si="31"/>
        <v/>
      </c>
      <c r="AY61" t="str">
        <f>IF($AM61="●",AT61&amp;CHAR(10)&amp;"BOX_ST"&amp;CHAR(10)&amp;";//"&amp;$B$28,"")</f>
        <v/>
      </c>
      <c r="AZ61" t="str">
        <f t="shared" si="44"/>
        <v/>
      </c>
      <c r="BA61" t="str">
        <f t="shared" si="45"/>
        <v/>
      </c>
      <c r="BB61" t="str">
        <f t="shared" si="46"/>
        <v/>
      </c>
      <c r="BC61" t="str">
        <f>IF($AM61="●",IF(LEN(BB61),BB61&amp;CHAR(10),"")&amp;";//"&amp;$B$29,"")</f>
        <v/>
      </c>
      <c r="BE61">
        <f t="shared" si="47"/>
        <v>17</v>
      </c>
      <c r="BF61">
        <f t="shared" si="48"/>
        <v>2</v>
      </c>
      <c r="BG61" t="str">
        <f t="shared" si="49"/>
        <v/>
      </c>
      <c r="BH61" t="str">
        <f t="shared" si="32"/>
        <v/>
      </c>
    </row>
    <row r="62" spans="4:60" x14ac:dyDescent="0.55000000000000004">
      <c r="D62">
        <v>54</v>
      </c>
      <c r="E62" t="str">
        <f t="shared" si="33"/>
        <v/>
      </c>
      <c r="F62" t="str">
        <f t="shared" si="50"/>
        <v/>
      </c>
      <c r="G62" t="str">
        <f t="shared" si="34"/>
        <v/>
      </c>
      <c r="Z62" t="str">
        <f t="shared" si="21"/>
        <v/>
      </c>
      <c r="AA62" t="str">
        <f t="shared" si="22"/>
        <v/>
      </c>
      <c r="AB62" t="str">
        <f t="shared" si="22"/>
        <v/>
      </c>
      <c r="AC62" t="str">
        <f t="shared" si="22"/>
        <v/>
      </c>
      <c r="AD62" t="str">
        <f t="shared" si="51"/>
        <v/>
      </c>
      <c r="AE62" t="str">
        <f t="shared" si="51"/>
        <v/>
      </c>
      <c r="AF62" t="str">
        <f t="shared" si="24"/>
        <v/>
      </c>
      <c r="AG62" t="str">
        <f t="shared" si="25"/>
        <v/>
      </c>
      <c r="AH62" t="str">
        <f t="shared" si="26"/>
        <v/>
      </c>
      <c r="AI62" t="str">
        <f t="shared" si="27"/>
        <v/>
      </c>
      <c r="AJ62" t="str">
        <f t="shared" si="28"/>
        <v/>
      </c>
      <c r="AK62" t="str">
        <f t="shared" si="29"/>
        <v/>
      </c>
      <c r="AM62" t="str">
        <f t="shared" si="35"/>
        <v/>
      </c>
      <c r="AN62" t="str">
        <f t="shared" si="36"/>
        <v/>
      </c>
      <c r="AO62" t="str">
        <f t="shared" si="37"/>
        <v/>
      </c>
      <c r="AP62" t="str">
        <f t="shared" si="38"/>
        <v/>
      </c>
      <c r="AQ62" t="str">
        <f t="shared" si="39"/>
        <v/>
      </c>
      <c r="AR62" t="str">
        <f t="shared" si="40"/>
        <v/>
      </c>
      <c r="AS62" t="str">
        <f t="shared" si="41"/>
        <v/>
      </c>
      <c r="AT62" t="str">
        <f t="shared" si="42"/>
        <v/>
      </c>
      <c r="AU62" t="str">
        <f t="shared" si="43"/>
        <v/>
      </c>
      <c r="AV62" t="str">
        <f t="shared" si="30"/>
        <v/>
      </c>
      <c r="AW62" t="str">
        <f t="shared" si="31"/>
        <v/>
      </c>
      <c r="AY62" t="str">
        <f>IF($AM62="●",AT62&amp;CHAR(10)&amp;"BOX_ST"&amp;CHAR(10)&amp;";//"&amp;$B$28,"")</f>
        <v/>
      </c>
      <c r="AZ62" t="str">
        <f t="shared" si="44"/>
        <v/>
      </c>
      <c r="BA62" t="str">
        <f t="shared" si="45"/>
        <v/>
      </c>
      <c r="BB62" t="str">
        <f t="shared" si="46"/>
        <v/>
      </c>
      <c r="BC62" t="str">
        <f>IF($AM62="●",IF(LEN(BB62),BB62&amp;CHAR(10),"")&amp;";//"&amp;$B$29,"")</f>
        <v/>
      </c>
      <c r="BE62">
        <f t="shared" si="47"/>
        <v>18</v>
      </c>
      <c r="BF62">
        <f t="shared" si="48"/>
        <v>0</v>
      </c>
      <c r="BG62" t="str">
        <f t="shared" si="49"/>
        <v/>
      </c>
      <c r="BH62" t="str">
        <f t="shared" si="32"/>
        <v/>
      </c>
    </row>
    <row r="63" spans="4:60" x14ac:dyDescent="0.55000000000000004">
      <c r="D63">
        <v>55</v>
      </c>
      <c r="E63" t="str">
        <f t="shared" si="33"/>
        <v/>
      </c>
      <c r="F63" t="str">
        <f t="shared" si="50"/>
        <v/>
      </c>
      <c r="G63" t="str">
        <f t="shared" si="34"/>
        <v/>
      </c>
      <c r="Z63" t="str">
        <f t="shared" si="21"/>
        <v/>
      </c>
      <c r="AA63" t="str">
        <f t="shared" si="22"/>
        <v/>
      </c>
      <c r="AB63" t="str">
        <f t="shared" si="22"/>
        <v/>
      </c>
      <c r="AC63" t="str">
        <f t="shared" si="22"/>
        <v/>
      </c>
      <c r="AD63" t="str">
        <f t="shared" si="51"/>
        <v/>
      </c>
      <c r="AE63" t="str">
        <f t="shared" si="51"/>
        <v/>
      </c>
      <c r="AF63" t="str">
        <f t="shared" si="24"/>
        <v/>
      </c>
      <c r="AG63" t="str">
        <f t="shared" si="25"/>
        <v/>
      </c>
      <c r="AH63" t="str">
        <f t="shared" si="26"/>
        <v/>
      </c>
      <c r="AI63" t="str">
        <f t="shared" si="27"/>
        <v/>
      </c>
      <c r="AJ63" t="str">
        <f t="shared" si="28"/>
        <v/>
      </c>
      <c r="AK63" t="str">
        <f t="shared" si="29"/>
        <v/>
      </c>
      <c r="AM63" t="str">
        <f t="shared" si="35"/>
        <v/>
      </c>
      <c r="AN63" t="str">
        <f t="shared" si="36"/>
        <v/>
      </c>
      <c r="AO63" t="str">
        <f t="shared" si="37"/>
        <v/>
      </c>
      <c r="AP63" t="str">
        <f t="shared" si="38"/>
        <v/>
      </c>
      <c r="AQ63" t="str">
        <f t="shared" si="39"/>
        <v/>
      </c>
      <c r="AR63" t="str">
        <f t="shared" si="40"/>
        <v/>
      </c>
      <c r="AS63" t="str">
        <f t="shared" si="41"/>
        <v/>
      </c>
      <c r="AT63" t="str">
        <f t="shared" si="42"/>
        <v/>
      </c>
      <c r="AU63" t="str">
        <f t="shared" si="43"/>
        <v/>
      </c>
      <c r="AV63" t="str">
        <f t="shared" si="30"/>
        <v/>
      </c>
      <c r="AW63" t="str">
        <f t="shared" si="31"/>
        <v/>
      </c>
      <c r="AY63" t="str">
        <f>IF($AM63="●",AT63&amp;CHAR(10)&amp;"BOX_ST"&amp;CHAR(10)&amp;";//"&amp;$B$28,"")</f>
        <v/>
      </c>
      <c r="AZ63" t="str">
        <f t="shared" si="44"/>
        <v/>
      </c>
      <c r="BA63" t="str">
        <f t="shared" si="45"/>
        <v/>
      </c>
      <c r="BB63" t="str">
        <f t="shared" si="46"/>
        <v/>
      </c>
      <c r="BC63" t="str">
        <f>IF($AM63="●",IF(LEN(BB63),BB63&amp;CHAR(10),"")&amp;";//"&amp;$B$29,"")</f>
        <v/>
      </c>
      <c r="BE63">
        <f t="shared" si="47"/>
        <v>18</v>
      </c>
      <c r="BF63">
        <f t="shared" si="48"/>
        <v>1</v>
      </c>
      <c r="BG63" t="str">
        <f t="shared" si="49"/>
        <v/>
      </c>
      <c r="BH63" t="str">
        <f t="shared" si="32"/>
        <v/>
      </c>
    </row>
    <row r="64" spans="4:60" x14ac:dyDescent="0.55000000000000004">
      <c r="D64">
        <v>56</v>
      </c>
      <c r="E64" t="str">
        <f t="shared" si="33"/>
        <v/>
      </c>
      <c r="F64" t="str">
        <f t="shared" si="50"/>
        <v/>
      </c>
      <c r="G64" t="str">
        <f t="shared" si="34"/>
        <v/>
      </c>
      <c r="Z64" t="str">
        <f t="shared" si="21"/>
        <v/>
      </c>
      <c r="AA64" t="str">
        <f t="shared" si="22"/>
        <v/>
      </c>
      <c r="AB64" t="str">
        <f t="shared" si="22"/>
        <v/>
      </c>
      <c r="AC64" t="str">
        <f t="shared" si="22"/>
        <v/>
      </c>
      <c r="AD64" t="str">
        <f t="shared" si="51"/>
        <v/>
      </c>
      <c r="AE64" t="str">
        <f t="shared" si="51"/>
        <v/>
      </c>
      <c r="AF64" t="str">
        <f t="shared" si="24"/>
        <v/>
      </c>
      <c r="AG64" t="str">
        <f t="shared" si="25"/>
        <v/>
      </c>
      <c r="AH64" t="str">
        <f t="shared" si="26"/>
        <v/>
      </c>
      <c r="AI64" t="str">
        <f t="shared" si="27"/>
        <v/>
      </c>
      <c r="AJ64" t="str">
        <f t="shared" si="28"/>
        <v/>
      </c>
      <c r="AK64" t="str">
        <f t="shared" si="29"/>
        <v/>
      </c>
      <c r="AM64" t="str">
        <f t="shared" si="35"/>
        <v/>
      </c>
      <c r="AN64" t="str">
        <f t="shared" si="36"/>
        <v/>
      </c>
      <c r="AO64" t="str">
        <f t="shared" si="37"/>
        <v/>
      </c>
      <c r="AP64" t="str">
        <f t="shared" si="38"/>
        <v/>
      </c>
      <c r="AQ64" t="str">
        <f t="shared" si="39"/>
        <v/>
      </c>
      <c r="AR64" t="str">
        <f t="shared" si="40"/>
        <v/>
      </c>
      <c r="AS64" t="str">
        <f t="shared" si="41"/>
        <v/>
      </c>
      <c r="AT64" t="str">
        <f t="shared" si="42"/>
        <v/>
      </c>
      <c r="AU64" t="str">
        <f t="shared" si="43"/>
        <v/>
      </c>
      <c r="AV64" t="str">
        <f t="shared" si="30"/>
        <v/>
      </c>
      <c r="AW64" t="str">
        <f t="shared" si="31"/>
        <v/>
      </c>
      <c r="AY64" t="str">
        <f>IF($AM64="●",AT64&amp;CHAR(10)&amp;"BOX_ST"&amp;CHAR(10)&amp;";//"&amp;$B$28,"")</f>
        <v/>
      </c>
      <c r="AZ64" t="str">
        <f t="shared" si="44"/>
        <v/>
      </c>
      <c r="BA64" t="str">
        <f t="shared" si="45"/>
        <v/>
      </c>
      <c r="BB64" t="str">
        <f t="shared" si="46"/>
        <v/>
      </c>
      <c r="BC64" t="str">
        <f>IF($AM64="●",IF(LEN(BB64),BB64&amp;CHAR(10),"")&amp;";//"&amp;$B$29,"")</f>
        <v/>
      </c>
      <c r="BE64">
        <f t="shared" si="47"/>
        <v>18</v>
      </c>
      <c r="BF64">
        <f t="shared" si="48"/>
        <v>2</v>
      </c>
      <c r="BG64" t="str">
        <f t="shared" si="49"/>
        <v/>
      </c>
      <c r="BH64" t="str">
        <f t="shared" si="32"/>
        <v/>
      </c>
    </row>
    <row r="65" spans="4:60" x14ac:dyDescent="0.55000000000000004">
      <c r="D65">
        <v>57</v>
      </c>
      <c r="E65" t="str">
        <f t="shared" si="33"/>
        <v/>
      </c>
      <c r="F65" t="str">
        <f t="shared" si="50"/>
        <v/>
      </c>
      <c r="G65" t="str">
        <f t="shared" si="34"/>
        <v/>
      </c>
      <c r="Z65" t="str">
        <f t="shared" si="21"/>
        <v/>
      </c>
      <c r="AA65" t="str">
        <f t="shared" si="22"/>
        <v/>
      </c>
      <c r="AB65" t="str">
        <f t="shared" si="22"/>
        <v/>
      </c>
      <c r="AC65" t="str">
        <f t="shared" si="22"/>
        <v/>
      </c>
      <c r="AD65" t="str">
        <f t="shared" si="51"/>
        <v/>
      </c>
      <c r="AE65" t="str">
        <f t="shared" si="51"/>
        <v/>
      </c>
      <c r="AF65" t="str">
        <f t="shared" si="24"/>
        <v/>
      </c>
      <c r="AG65" t="str">
        <f t="shared" si="25"/>
        <v/>
      </c>
      <c r="AH65" t="str">
        <f t="shared" si="26"/>
        <v/>
      </c>
      <c r="AI65" t="str">
        <f t="shared" si="27"/>
        <v/>
      </c>
      <c r="AJ65" t="str">
        <f t="shared" si="28"/>
        <v/>
      </c>
      <c r="AK65" t="str">
        <f t="shared" si="29"/>
        <v/>
      </c>
      <c r="AM65" t="str">
        <f t="shared" si="35"/>
        <v/>
      </c>
      <c r="AN65" t="str">
        <f t="shared" si="36"/>
        <v/>
      </c>
      <c r="AO65" t="str">
        <f t="shared" si="37"/>
        <v/>
      </c>
      <c r="AP65" t="str">
        <f t="shared" si="38"/>
        <v/>
      </c>
      <c r="AQ65" t="str">
        <f t="shared" si="39"/>
        <v/>
      </c>
      <c r="AR65" t="str">
        <f t="shared" si="40"/>
        <v/>
      </c>
      <c r="AS65" t="str">
        <f t="shared" si="41"/>
        <v/>
      </c>
      <c r="AT65" t="str">
        <f t="shared" si="42"/>
        <v/>
      </c>
      <c r="AU65" t="str">
        <f t="shared" si="43"/>
        <v/>
      </c>
      <c r="AV65" t="str">
        <f t="shared" si="30"/>
        <v/>
      </c>
      <c r="AW65" t="str">
        <f t="shared" si="31"/>
        <v/>
      </c>
      <c r="AY65" t="str">
        <f>IF($AM65="●",AT65&amp;CHAR(10)&amp;"BOX_ST"&amp;CHAR(10)&amp;";//"&amp;$B$28,"")</f>
        <v/>
      </c>
      <c r="AZ65" t="str">
        <f t="shared" si="44"/>
        <v/>
      </c>
      <c r="BA65" t="str">
        <f t="shared" si="45"/>
        <v/>
      </c>
      <c r="BB65" t="str">
        <f t="shared" si="46"/>
        <v/>
      </c>
      <c r="BC65" t="str">
        <f>IF($AM65="●",IF(LEN(BB65),BB65&amp;CHAR(10),"")&amp;";//"&amp;$B$29,"")</f>
        <v/>
      </c>
      <c r="BE65">
        <f t="shared" si="47"/>
        <v>19</v>
      </c>
      <c r="BF65">
        <f t="shared" si="48"/>
        <v>0</v>
      </c>
      <c r="BG65" t="str">
        <f t="shared" si="49"/>
        <v/>
      </c>
      <c r="BH65" t="str">
        <f t="shared" si="32"/>
        <v/>
      </c>
    </row>
    <row r="66" spans="4:60" x14ac:dyDescent="0.55000000000000004">
      <c r="D66">
        <v>58</v>
      </c>
      <c r="E66" t="str">
        <f t="shared" si="33"/>
        <v/>
      </c>
      <c r="F66" t="str">
        <f t="shared" si="50"/>
        <v/>
      </c>
      <c r="G66" t="str">
        <f t="shared" si="34"/>
        <v/>
      </c>
      <c r="Z66" t="str">
        <f t="shared" si="21"/>
        <v/>
      </c>
      <c r="AA66" t="str">
        <f t="shared" si="22"/>
        <v/>
      </c>
      <c r="AB66" t="str">
        <f t="shared" si="22"/>
        <v/>
      </c>
      <c r="AC66" t="str">
        <f t="shared" si="22"/>
        <v/>
      </c>
      <c r="AD66" t="str">
        <f t="shared" si="51"/>
        <v/>
      </c>
      <c r="AE66" t="str">
        <f t="shared" si="51"/>
        <v/>
      </c>
      <c r="AF66" t="str">
        <f t="shared" si="24"/>
        <v/>
      </c>
      <c r="AG66" t="str">
        <f t="shared" si="25"/>
        <v/>
      </c>
      <c r="AH66" t="str">
        <f t="shared" si="26"/>
        <v/>
      </c>
      <c r="AI66" t="str">
        <f t="shared" si="27"/>
        <v/>
      </c>
      <c r="AJ66" t="str">
        <f t="shared" si="28"/>
        <v/>
      </c>
      <c r="AK66" t="str">
        <f t="shared" si="29"/>
        <v/>
      </c>
      <c r="AM66" t="str">
        <f t="shared" si="35"/>
        <v/>
      </c>
      <c r="AN66" t="str">
        <f t="shared" si="36"/>
        <v/>
      </c>
      <c r="AO66" t="str">
        <f t="shared" si="37"/>
        <v/>
      </c>
      <c r="AP66" t="str">
        <f t="shared" si="38"/>
        <v/>
      </c>
      <c r="AQ66" t="str">
        <f t="shared" si="39"/>
        <v/>
      </c>
      <c r="AR66" t="str">
        <f t="shared" si="40"/>
        <v/>
      </c>
      <c r="AS66" t="str">
        <f t="shared" si="41"/>
        <v/>
      </c>
      <c r="AT66" t="str">
        <f t="shared" si="42"/>
        <v/>
      </c>
      <c r="AU66" t="str">
        <f t="shared" si="43"/>
        <v/>
      </c>
      <c r="AV66" t="str">
        <f t="shared" si="30"/>
        <v/>
      </c>
      <c r="AW66" t="str">
        <f t="shared" si="31"/>
        <v/>
      </c>
      <c r="AY66" t="str">
        <f>IF($AM66="●",AT66&amp;CHAR(10)&amp;"BOX_ST"&amp;CHAR(10)&amp;";//"&amp;$B$28,"")</f>
        <v/>
      </c>
      <c r="AZ66" t="str">
        <f t="shared" si="44"/>
        <v/>
      </c>
      <c r="BA66" t="str">
        <f t="shared" si="45"/>
        <v/>
      </c>
      <c r="BB66" t="str">
        <f t="shared" si="46"/>
        <v/>
      </c>
      <c r="BC66" t="str">
        <f>IF($AM66="●",IF(LEN(BB66),BB66&amp;CHAR(10),"")&amp;";//"&amp;$B$29,"")</f>
        <v/>
      </c>
      <c r="BE66">
        <f t="shared" si="47"/>
        <v>19</v>
      </c>
      <c r="BF66">
        <f t="shared" si="48"/>
        <v>1</v>
      </c>
      <c r="BG66" t="str">
        <f t="shared" si="49"/>
        <v/>
      </c>
      <c r="BH66" t="str">
        <f t="shared" si="32"/>
        <v/>
      </c>
    </row>
    <row r="67" spans="4:60" x14ac:dyDescent="0.55000000000000004">
      <c r="D67">
        <v>59</v>
      </c>
      <c r="E67" t="str">
        <f t="shared" si="33"/>
        <v/>
      </c>
      <c r="F67" t="str">
        <f t="shared" si="50"/>
        <v/>
      </c>
      <c r="G67" t="str">
        <f t="shared" si="34"/>
        <v/>
      </c>
      <c r="Z67" t="str">
        <f t="shared" si="21"/>
        <v/>
      </c>
      <c r="AA67" t="str">
        <f t="shared" si="22"/>
        <v/>
      </c>
      <c r="AB67" t="str">
        <f t="shared" si="22"/>
        <v/>
      </c>
      <c r="AC67" t="str">
        <f t="shared" si="22"/>
        <v/>
      </c>
      <c r="AD67" t="str">
        <f t="shared" si="51"/>
        <v/>
      </c>
      <c r="AE67" t="str">
        <f t="shared" si="51"/>
        <v/>
      </c>
      <c r="AF67" t="str">
        <f t="shared" si="24"/>
        <v/>
      </c>
      <c r="AG67" t="str">
        <f t="shared" si="25"/>
        <v/>
      </c>
      <c r="AH67" t="str">
        <f t="shared" si="26"/>
        <v/>
      </c>
      <c r="AI67" t="str">
        <f t="shared" si="27"/>
        <v/>
      </c>
      <c r="AJ67" t="str">
        <f t="shared" si="28"/>
        <v/>
      </c>
      <c r="AK67" t="str">
        <f t="shared" si="29"/>
        <v/>
      </c>
      <c r="AM67" t="str">
        <f t="shared" si="35"/>
        <v/>
      </c>
      <c r="AN67" t="str">
        <f t="shared" si="36"/>
        <v/>
      </c>
      <c r="AO67" t="str">
        <f t="shared" si="37"/>
        <v/>
      </c>
      <c r="AP67" t="str">
        <f t="shared" si="38"/>
        <v/>
      </c>
      <c r="AQ67" t="str">
        <f t="shared" si="39"/>
        <v/>
      </c>
      <c r="AR67" t="str">
        <f t="shared" si="40"/>
        <v/>
      </c>
      <c r="AS67" t="str">
        <f t="shared" si="41"/>
        <v/>
      </c>
      <c r="AT67" t="str">
        <f t="shared" si="42"/>
        <v/>
      </c>
      <c r="AU67" t="str">
        <f t="shared" si="43"/>
        <v/>
      </c>
      <c r="AV67" t="str">
        <f t="shared" si="30"/>
        <v/>
      </c>
      <c r="AW67" t="str">
        <f t="shared" si="31"/>
        <v/>
      </c>
      <c r="AY67" t="str">
        <f>IF($AM67="●",AT67&amp;CHAR(10)&amp;"BOX_ST"&amp;CHAR(10)&amp;";//"&amp;$B$28,"")</f>
        <v/>
      </c>
      <c r="AZ67" t="str">
        <f t="shared" si="44"/>
        <v/>
      </c>
      <c r="BA67" t="str">
        <f t="shared" si="45"/>
        <v/>
      </c>
      <c r="BB67" t="str">
        <f t="shared" si="46"/>
        <v/>
      </c>
      <c r="BC67" t="str">
        <f>IF($AM67="●",IF(LEN(BB67),BB67&amp;CHAR(10),"")&amp;";//"&amp;$B$29,"")</f>
        <v/>
      </c>
      <c r="BE67">
        <f t="shared" si="47"/>
        <v>19</v>
      </c>
      <c r="BF67">
        <f t="shared" si="48"/>
        <v>2</v>
      </c>
      <c r="BG67" t="str">
        <f t="shared" si="49"/>
        <v/>
      </c>
      <c r="BH67" t="str">
        <f t="shared" si="32"/>
        <v/>
      </c>
    </row>
    <row r="68" spans="4:60" x14ac:dyDescent="0.55000000000000004">
      <c r="D68">
        <v>60</v>
      </c>
      <c r="E68" t="str">
        <f t="shared" si="33"/>
        <v/>
      </c>
      <c r="F68" t="str">
        <f t="shared" si="50"/>
        <v/>
      </c>
      <c r="G68" t="str">
        <f t="shared" si="34"/>
        <v/>
      </c>
      <c r="Z68" t="str">
        <f t="shared" si="21"/>
        <v/>
      </c>
      <c r="AA68" t="str">
        <f t="shared" si="22"/>
        <v/>
      </c>
      <c r="AB68" t="str">
        <f t="shared" si="22"/>
        <v/>
      </c>
      <c r="AC68" t="str">
        <f t="shared" si="22"/>
        <v/>
      </c>
      <c r="AD68" t="str">
        <f t="shared" si="51"/>
        <v/>
      </c>
      <c r="AE68" t="str">
        <f t="shared" si="51"/>
        <v/>
      </c>
      <c r="AF68" t="str">
        <f t="shared" si="24"/>
        <v/>
      </c>
      <c r="AG68" t="str">
        <f t="shared" si="25"/>
        <v/>
      </c>
      <c r="AH68" t="str">
        <f t="shared" si="26"/>
        <v/>
      </c>
      <c r="AI68" t="str">
        <f t="shared" si="27"/>
        <v/>
      </c>
      <c r="AJ68" t="str">
        <f t="shared" si="28"/>
        <v/>
      </c>
      <c r="AK68" t="str">
        <f t="shared" si="29"/>
        <v/>
      </c>
      <c r="AM68" t="str">
        <f t="shared" si="35"/>
        <v/>
      </c>
      <c r="AN68" t="str">
        <f t="shared" si="36"/>
        <v/>
      </c>
      <c r="AO68" t="str">
        <f t="shared" si="37"/>
        <v/>
      </c>
      <c r="AP68" t="str">
        <f t="shared" si="38"/>
        <v/>
      </c>
      <c r="AQ68" t="str">
        <f t="shared" si="39"/>
        <v/>
      </c>
      <c r="AR68" t="str">
        <f t="shared" si="40"/>
        <v/>
      </c>
      <c r="AS68" t="str">
        <f t="shared" si="41"/>
        <v/>
      </c>
      <c r="AT68" t="str">
        <f t="shared" si="42"/>
        <v/>
      </c>
      <c r="AU68" t="str">
        <f t="shared" si="43"/>
        <v/>
      </c>
      <c r="AV68" t="str">
        <f t="shared" si="30"/>
        <v/>
      </c>
      <c r="AW68" t="str">
        <f t="shared" si="31"/>
        <v/>
      </c>
      <c r="AY68" t="str">
        <f>IF($AM68="●",AT68&amp;CHAR(10)&amp;"BOX_ST"&amp;CHAR(10)&amp;";//"&amp;$B$28,"")</f>
        <v/>
      </c>
      <c r="AZ68" t="str">
        <f t="shared" si="44"/>
        <v/>
      </c>
      <c r="BA68" t="str">
        <f t="shared" si="45"/>
        <v/>
      </c>
      <c r="BB68" t="str">
        <f t="shared" si="46"/>
        <v/>
      </c>
      <c r="BC68" t="str">
        <f>IF($AM68="●",IF(LEN(BB68),BB68&amp;CHAR(10),"")&amp;";//"&amp;$B$29,"")</f>
        <v/>
      </c>
      <c r="BE68">
        <f t="shared" si="47"/>
        <v>20</v>
      </c>
      <c r="BF68">
        <f t="shared" si="48"/>
        <v>0</v>
      </c>
      <c r="BG68" t="str">
        <f t="shared" si="49"/>
        <v/>
      </c>
      <c r="BH68" t="str">
        <f t="shared" si="32"/>
        <v/>
      </c>
    </row>
    <row r="69" spans="4:60" x14ac:dyDescent="0.55000000000000004">
      <c r="D69">
        <v>61</v>
      </c>
      <c r="E69" t="str">
        <f t="shared" si="33"/>
        <v/>
      </c>
      <c r="F69" t="str">
        <f t="shared" si="50"/>
        <v/>
      </c>
      <c r="G69" t="str">
        <f t="shared" si="34"/>
        <v/>
      </c>
      <c r="Z69" t="str">
        <f t="shared" si="21"/>
        <v/>
      </c>
      <c r="AA69" t="str">
        <f t="shared" si="22"/>
        <v/>
      </c>
      <c r="AB69" t="str">
        <f t="shared" si="22"/>
        <v/>
      </c>
      <c r="AC69" t="str">
        <f t="shared" si="22"/>
        <v/>
      </c>
      <c r="AD69" t="str">
        <f t="shared" si="51"/>
        <v/>
      </c>
      <c r="AE69" t="str">
        <f t="shared" si="51"/>
        <v/>
      </c>
      <c r="AF69" t="str">
        <f t="shared" si="24"/>
        <v/>
      </c>
      <c r="AG69" t="str">
        <f t="shared" si="25"/>
        <v/>
      </c>
      <c r="AH69" t="str">
        <f t="shared" si="26"/>
        <v/>
      </c>
      <c r="AI69" t="str">
        <f t="shared" si="27"/>
        <v/>
      </c>
      <c r="AJ69" t="str">
        <f t="shared" si="28"/>
        <v/>
      </c>
      <c r="AK69" t="str">
        <f t="shared" si="29"/>
        <v/>
      </c>
      <c r="AM69" t="str">
        <f t="shared" si="35"/>
        <v/>
      </c>
      <c r="AN69" t="str">
        <f t="shared" si="36"/>
        <v/>
      </c>
      <c r="AO69" t="str">
        <f t="shared" si="37"/>
        <v/>
      </c>
      <c r="AP69" t="str">
        <f t="shared" si="38"/>
        <v/>
      </c>
      <c r="AQ69" t="str">
        <f t="shared" si="39"/>
        <v/>
      </c>
      <c r="AR69" t="str">
        <f t="shared" si="40"/>
        <v/>
      </c>
      <c r="AS69" t="str">
        <f t="shared" si="41"/>
        <v/>
      </c>
      <c r="AT69" t="str">
        <f t="shared" si="42"/>
        <v/>
      </c>
      <c r="AU69" t="str">
        <f t="shared" si="43"/>
        <v/>
      </c>
      <c r="AV69" t="str">
        <f t="shared" si="30"/>
        <v/>
      </c>
      <c r="AW69" t="str">
        <f t="shared" si="31"/>
        <v/>
      </c>
      <c r="AY69" t="str">
        <f>IF($AM69="●",AT69&amp;CHAR(10)&amp;"BOX_ST"&amp;CHAR(10)&amp;";//"&amp;$B$28,"")</f>
        <v/>
      </c>
      <c r="AZ69" t="str">
        <f t="shared" si="44"/>
        <v/>
      </c>
      <c r="BA69" t="str">
        <f t="shared" si="45"/>
        <v/>
      </c>
      <c r="BB69" t="str">
        <f t="shared" si="46"/>
        <v/>
      </c>
      <c r="BC69" t="str">
        <f>IF($AM69="●",IF(LEN(BB69),BB69&amp;CHAR(10),"")&amp;";//"&amp;$B$29,"")</f>
        <v/>
      </c>
      <c r="BE69">
        <f t="shared" si="47"/>
        <v>20</v>
      </c>
      <c r="BF69">
        <f t="shared" si="48"/>
        <v>1</v>
      </c>
      <c r="BG69" t="str">
        <f t="shared" si="49"/>
        <v/>
      </c>
      <c r="BH69" t="str">
        <f t="shared" si="32"/>
        <v/>
      </c>
    </row>
    <row r="70" spans="4:60" x14ac:dyDescent="0.55000000000000004">
      <c r="D70">
        <v>62</v>
      </c>
      <c r="E70" t="str">
        <f t="shared" si="33"/>
        <v/>
      </c>
      <c r="F70" t="str">
        <f t="shared" si="50"/>
        <v/>
      </c>
      <c r="G70" t="str">
        <f t="shared" si="34"/>
        <v/>
      </c>
      <c r="Z70" t="str">
        <f t="shared" si="21"/>
        <v/>
      </c>
      <c r="AA70" t="str">
        <f t="shared" si="22"/>
        <v/>
      </c>
      <c r="AB70" t="str">
        <f t="shared" si="22"/>
        <v/>
      </c>
      <c r="AC70" t="str">
        <f t="shared" si="22"/>
        <v/>
      </c>
      <c r="AD70" t="str">
        <f t="shared" si="51"/>
        <v/>
      </c>
      <c r="AE70" t="str">
        <f t="shared" si="51"/>
        <v/>
      </c>
      <c r="AF70" t="str">
        <f t="shared" si="24"/>
        <v/>
      </c>
      <c r="AG70" t="str">
        <f t="shared" si="25"/>
        <v/>
      </c>
      <c r="AH70" t="str">
        <f t="shared" si="26"/>
        <v/>
      </c>
      <c r="AI70" t="str">
        <f t="shared" si="27"/>
        <v/>
      </c>
      <c r="AJ70" t="str">
        <f t="shared" si="28"/>
        <v/>
      </c>
      <c r="AK70" t="str">
        <f t="shared" si="29"/>
        <v/>
      </c>
      <c r="AM70" t="str">
        <f t="shared" si="35"/>
        <v/>
      </c>
      <c r="AN70" t="str">
        <f t="shared" si="36"/>
        <v/>
      </c>
      <c r="AO70" t="str">
        <f t="shared" si="37"/>
        <v/>
      </c>
      <c r="AP70" t="str">
        <f t="shared" si="38"/>
        <v/>
      </c>
      <c r="AQ70" t="str">
        <f t="shared" si="39"/>
        <v/>
      </c>
      <c r="AR70" t="str">
        <f t="shared" si="40"/>
        <v/>
      </c>
      <c r="AS70" t="str">
        <f t="shared" si="41"/>
        <v/>
      </c>
      <c r="AT70" t="str">
        <f t="shared" si="42"/>
        <v/>
      </c>
      <c r="AU70" t="str">
        <f t="shared" si="43"/>
        <v/>
      </c>
      <c r="AV70" t="str">
        <f t="shared" si="30"/>
        <v/>
      </c>
      <c r="AW70" t="str">
        <f t="shared" si="31"/>
        <v/>
      </c>
      <c r="AY70" t="str">
        <f>IF($AM70="●",AT70&amp;CHAR(10)&amp;"BOX_ST"&amp;CHAR(10)&amp;";//"&amp;$B$28,"")</f>
        <v/>
      </c>
      <c r="AZ70" t="str">
        <f t="shared" si="44"/>
        <v/>
      </c>
      <c r="BA70" t="str">
        <f t="shared" si="45"/>
        <v/>
      </c>
      <c r="BB70" t="str">
        <f t="shared" si="46"/>
        <v/>
      </c>
      <c r="BC70" t="str">
        <f>IF($AM70="●",IF(LEN(BB70),BB70&amp;CHAR(10),"")&amp;";//"&amp;$B$29,"")</f>
        <v/>
      </c>
      <c r="BE70">
        <f t="shared" si="47"/>
        <v>20</v>
      </c>
      <c r="BF70">
        <f t="shared" si="48"/>
        <v>2</v>
      </c>
      <c r="BG70" t="str">
        <f t="shared" si="49"/>
        <v/>
      </c>
      <c r="BH70" t="str">
        <f t="shared" si="32"/>
        <v/>
      </c>
    </row>
    <row r="71" spans="4:60" x14ac:dyDescent="0.55000000000000004">
      <c r="D71">
        <v>63</v>
      </c>
      <c r="E71" t="str">
        <f t="shared" si="33"/>
        <v/>
      </c>
      <c r="F71" t="str">
        <f t="shared" si="50"/>
        <v/>
      </c>
      <c r="G71" t="str">
        <f t="shared" si="34"/>
        <v/>
      </c>
      <c r="Z71" t="str">
        <f t="shared" si="21"/>
        <v/>
      </c>
      <c r="AA71" t="str">
        <f t="shared" si="22"/>
        <v/>
      </c>
      <c r="AB71" t="str">
        <f t="shared" si="22"/>
        <v/>
      </c>
      <c r="AC71" t="str">
        <f t="shared" si="22"/>
        <v/>
      </c>
      <c r="AD71" t="str">
        <f t="shared" si="51"/>
        <v/>
      </c>
      <c r="AE71" t="str">
        <f t="shared" si="51"/>
        <v/>
      </c>
      <c r="AF71" t="str">
        <f t="shared" si="24"/>
        <v/>
      </c>
      <c r="AG71" t="str">
        <f t="shared" si="25"/>
        <v/>
      </c>
      <c r="AH71" t="str">
        <f t="shared" si="26"/>
        <v/>
      </c>
      <c r="AI71" t="str">
        <f t="shared" si="27"/>
        <v/>
      </c>
      <c r="AJ71" t="str">
        <f t="shared" si="28"/>
        <v/>
      </c>
      <c r="AK71" t="str">
        <f t="shared" si="29"/>
        <v/>
      </c>
      <c r="AM71" t="str">
        <f t="shared" si="35"/>
        <v/>
      </c>
      <c r="AN71" t="str">
        <f t="shared" si="36"/>
        <v/>
      </c>
      <c r="AO71" t="str">
        <f t="shared" si="37"/>
        <v/>
      </c>
      <c r="AP71" t="str">
        <f t="shared" si="38"/>
        <v/>
      </c>
      <c r="AQ71" t="str">
        <f t="shared" si="39"/>
        <v/>
      </c>
      <c r="AR71" t="str">
        <f t="shared" si="40"/>
        <v/>
      </c>
      <c r="AS71" t="str">
        <f t="shared" si="41"/>
        <v/>
      </c>
      <c r="AT71" t="str">
        <f t="shared" si="42"/>
        <v/>
      </c>
      <c r="AU71" t="str">
        <f t="shared" si="43"/>
        <v/>
      </c>
      <c r="AV71" t="str">
        <f t="shared" si="30"/>
        <v/>
      </c>
      <c r="AW71" t="str">
        <f t="shared" si="31"/>
        <v/>
      </c>
      <c r="AY71" t="str">
        <f>IF($AM71="●",AT71&amp;CHAR(10)&amp;"BOX_ST"&amp;CHAR(10)&amp;";//"&amp;$B$28,"")</f>
        <v/>
      </c>
      <c r="AZ71" t="str">
        <f t="shared" si="44"/>
        <v/>
      </c>
      <c r="BA71" t="str">
        <f t="shared" si="45"/>
        <v/>
      </c>
      <c r="BB71" t="str">
        <f t="shared" si="46"/>
        <v/>
      </c>
      <c r="BC71" t="str">
        <f>IF($AM71="●",IF(LEN(BB71),BB71&amp;CHAR(10),"")&amp;";//"&amp;$B$29,"")</f>
        <v/>
      </c>
      <c r="BE71">
        <f t="shared" si="47"/>
        <v>21</v>
      </c>
      <c r="BF71">
        <f t="shared" si="48"/>
        <v>0</v>
      </c>
      <c r="BG71" t="str">
        <f t="shared" si="49"/>
        <v/>
      </c>
      <c r="BH71" t="str">
        <f t="shared" si="32"/>
        <v/>
      </c>
    </row>
    <row r="72" spans="4:60" x14ac:dyDescent="0.55000000000000004">
      <c r="D72">
        <v>64</v>
      </c>
      <c r="E72" t="str">
        <f t="shared" ref="E72:E107" si="52">IF(LEN(I72),I72,IF(LEN(Q72),Q72,""))</f>
        <v/>
      </c>
      <c r="F72" t="str">
        <f t="shared" si="50"/>
        <v/>
      </c>
      <c r="G72" t="str">
        <f t="shared" ref="G72:G107" si="53">IF(LEN(O72),O72,IF(LEN(X72),X72,""))</f>
        <v/>
      </c>
      <c r="Z72" t="str">
        <f t="shared" si="21"/>
        <v/>
      </c>
      <c r="AA72" t="str">
        <f t="shared" si="22"/>
        <v/>
      </c>
      <c r="AB72" t="str">
        <f t="shared" si="22"/>
        <v/>
      </c>
      <c r="AC72" t="str">
        <f t="shared" si="22"/>
        <v/>
      </c>
      <c r="AD72" t="str">
        <f t="shared" si="51"/>
        <v/>
      </c>
      <c r="AE72" t="str">
        <f t="shared" si="51"/>
        <v/>
      </c>
      <c r="AF72" t="str">
        <f t="shared" si="24"/>
        <v/>
      </c>
      <c r="AG72" t="str">
        <f t="shared" si="25"/>
        <v/>
      </c>
      <c r="AH72" t="str">
        <f t="shared" si="26"/>
        <v/>
      </c>
      <c r="AI72" t="str">
        <f t="shared" si="27"/>
        <v/>
      </c>
      <c r="AJ72" t="str">
        <f t="shared" si="28"/>
        <v/>
      </c>
      <c r="AK72" t="str">
        <f t="shared" si="29"/>
        <v/>
      </c>
      <c r="AM72" t="str">
        <f t="shared" ref="AM72:AM107" si="54">IF(LEN(G72),IF(OR(COUNTIF(G72,"*◆*"),COUNTIF(G72,"*▼*"),COUNTIF(G72,"*■*")),"","●"),"")</f>
        <v/>
      </c>
      <c r="AN72" t="str">
        <f t="shared" ref="AN72:AN103" si="55">IF(AM72="●",(AN$4+MOD(INT(MID(E72,5,3)),AN$2))*AN$6,"")</f>
        <v/>
      </c>
      <c r="AO72" t="str">
        <f t="shared" ref="AO72:AO107" si="56">IF($AM72="●","LDP "&amp;E72&amp;"."&amp;$B$14,"")</f>
        <v/>
      </c>
      <c r="AP72" t="str">
        <f t="shared" ref="AP72:AP107" si="57">IF($AM72="●","AND=.D "&amp;$B$15&amp;" #0","")</f>
        <v/>
      </c>
      <c r="AQ72" t="str">
        <f t="shared" ref="AQ72:AQ107" si="58">IF($AM72="●","MOV.D #"&amp;AN72&amp;" "&amp;$B$15,"")</f>
        <v/>
      </c>
      <c r="AR72" t="str">
        <f t="shared" ref="AR72:AR107" si="59">IF(LEN(AK72),"MOV.D "&amp;$AK72&amp;" "&amp;$B$17,"")</f>
        <v/>
      </c>
      <c r="AS72" t="str">
        <f t="shared" ref="AS72:AS107" si="60">IF(AND(D72&lt;&gt;0,AM72="●"),CHAR(10),"")&amp;IF(LEN(AO72),AO72,"")</f>
        <v/>
      </c>
      <c r="AT72" t="str">
        <f t="shared" ref="AT72:AT103" si="61">IF(LEN(AS72),AS72&amp;CHAR(10),"")&amp;IF(LEN(AP72),AP72,"")</f>
        <v/>
      </c>
      <c r="AU72" t="str">
        <f t="shared" ref="AU72:AU103" si="62">IF(LEN(AT72),AT72&amp;CHAR(10),"")&amp;IF(LEN(AQ72),AQ72,"")</f>
        <v/>
      </c>
      <c r="AV72" t="str">
        <f t="shared" si="30"/>
        <v/>
      </c>
      <c r="AW72" t="str">
        <f t="shared" si="31"/>
        <v/>
      </c>
      <c r="AY72" t="str">
        <f>IF($AM72="●",AT72&amp;CHAR(10)&amp;"BOX_ST"&amp;CHAR(10)&amp;";//"&amp;$B$28,"")</f>
        <v/>
      </c>
      <c r="AZ72" t="str">
        <f t="shared" ref="AZ72:AZ103" si="63">IF($AM72="●",IF(LEN(AY72),AY72&amp;CHAR(10),"")&amp;";//エラーNo.を入れる"&amp;CHAR(10)&amp;";"&amp;$B$15&amp;"	:= "&amp;AN72&amp;";","")</f>
        <v/>
      </c>
      <c r="BA72" t="str">
        <f t="shared" ref="BA72:BA103" si="64">IF($AM72="●",IF(LEN(AZ72),AZ72&amp;CHAR(10),"")&amp;";//カウントする"&amp;CHAR(10)&amp;";"&amp;$B$16&amp;"	:= "&amp;$B$16&amp;" + 1;","")</f>
        <v/>
      </c>
      <c r="BB72" t="str">
        <f t="shared" ref="BB72:BB103" si="65">IF($AM72="●",IF(LEN(BA72),BA72&amp;CHAR(10),"")&amp;IF(LEN(AK72),";//エラーコードを入れる"&amp;CHAR(10)&amp;";"&amp;$B$17&amp;"	:= "&amp;AK72&amp;".udiErr;",""),"")</f>
        <v/>
      </c>
      <c r="BC72" t="str">
        <f>IF($AM72="●",IF(LEN(BB72),BB72&amp;CHAR(10),"")&amp;";//"&amp;$B$29,"")</f>
        <v/>
      </c>
      <c r="BE72">
        <f t="shared" ref="BE72:BE107" si="66">INT(D72/$BE$6)</f>
        <v>21</v>
      </c>
      <c r="BF72">
        <f t="shared" ref="BF72:BF107" si="67">MOD(D72,$BE$6)</f>
        <v>1</v>
      </c>
      <c r="BG72" t="str">
        <f t="shared" ref="BG72:BG103" si="68">IF(LEN(E72),E72&amp;".x"&amp;TEXT(BF72,"0")&amp;CHAR(9)&amp;" := FALSE;","")</f>
        <v/>
      </c>
      <c r="BH72" t="str">
        <f t="shared" si="32"/>
        <v/>
      </c>
    </row>
    <row r="73" spans="4:60" x14ac:dyDescent="0.55000000000000004">
      <c r="D73">
        <v>65</v>
      </c>
      <c r="E73" t="str">
        <f t="shared" si="52"/>
        <v/>
      </c>
      <c r="F73" t="str">
        <f t="shared" ref="F73:F107" si="69">IF(LEN(J73),J73,IF(LEN(R73),R73,""))</f>
        <v/>
      </c>
      <c r="G73" t="str">
        <f t="shared" si="53"/>
        <v/>
      </c>
      <c r="Z73" t="str">
        <f t="shared" ref="Z73:Z107" si="70">IF(COUNTIF($G73,"*"&amp;Z$7&amp;"*"),INT(MID($G73,FIND(Z$7,$G73)+LEN(Z$7)+1,2)),"")</f>
        <v/>
      </c>
      <c r="AA73" t="str">
        <f t="shared" ref="AA73:AC107" si="71">IF(COUNTIF($G73,"*"&amp;AA$7&amp;"*"),INT(MID($G73,FIND(AA$7,$G73)+LEN(AA$7),2)),"")</f>
        <v/>
      </c>
      <c r="AB73" t="str">
        <f t="shared" si="71"/>
        <v/>
      </c>
      <c r="AC73" t="str">
        <f t="shared" si="71"/>
        <v/>
      </c>
      <c r="AD73" t="str">
        <f t="shared" ref="AD73:AE107" si="72">IF(AND(LEN($Z73),AD$2&lt;=$Z73,$Z73&lt;=AD$3),AD$7&amp;"["&amp;$Z73-AD$2&amp;"]","")</f>
        <v/>
      </c>
      <c r="AE73" t="str">
        <f t="shared" si="72"/>
        <v/>
      </c>
      <c r="AF73" t="str">
        <f t="shared" ref="AF73:AF107" si="73">IF(AND(LEN($Z73),AF$2&lt;=$Z73,$Z73&lt;=AF$3),AF$7&amp;"["&amp;$Z73-AF$2&amp;"]",IF(AND(LEN($Z73),AF$4&lt;=$Z73,$Z73&lt;=AF$5),AF$7&amp;"["&amp;AF$3+$Z73-AF$4-AF$2+1&amp;"]",""))</f>
        <v/>
      </c>
      <c r="AG73" t="str">
        <f t="shared" ref="AG73:AG107" si="74">IF(AND(LEN($Z73),AG$2&lt;=$Z73,$Z73&lt;=AG$3),AG$7&amp;"["&amp;$Z73-AG$2&amp;"]",IF(AND(LEN($Z73),AG$4&lt;=$Z73,$Z73&lt;=AG$5),AG$7&amp;"["&amp;AG$3+$Z73-AG$4&amp;"]",""))</f>
        <v/>
      </c>
      <c r="AH73" t="str">
        <f t="shared" ref="AH73:AH107" si="75">IF(AND(LEN($AA73),AH$2&lt;=$AA73,$AA73&lt;=AH$3),AH$7&amp;"["&amp;$AA73-AH$2&amp;"]","")</f>
        <v/>
      </c>
      <c r="AI73" t="str">
        <f t="shared" ref="AI73:AI107" si="76">IF(AND(LEN($AB73),AI$2&lt;=$AB73,$AB73&lt;=AI$3),AI$7&amp;"["&amp;$AB73-AI$2&amp;"]","")</f>
        <v/>
      </c>
      <c r="AJ73" t="str">
        <f t="shared" ref="AJ73:AJ107" si="77">IF(AND(LEN($AC73),AJ$2&lt;=$AC73,$AC73&lt;=AJ$3),AJ$7&amp;$AC73-AJ$2&amp;"Out","")</f>
        <v/>
      </c>
      <c r="AK73" t="str">
        <f t="shared" ref="AK73:AK107" si="78">IF(LEN(_xlfn.CONCAT(AD73:AJ73)),_xlfn.CONCAT(AD73:AJ73),"")</f>
        <v/>
      </c>
      <c r="AM73" t="str">
        <f t="shared" si="54"/>
        <v/>
      </c>
      <c r="AN73" t="str">
        <f t="shared" si="55"/>
        <v/>
      </c>
      <c r="AO73" t="str">
        <f t="shared" si="56"/>
        <v/>
      </c>
      <c r="AP73" t="str">
        <f t="shared" si="57"/>
        <v/>
      </c>
      <c r="AQ73" t="str">
        <f t="shared" si="58"/>
        <v/>
      </c>
      <c r="AR73" t="str">
        <f t="shared" si="59"/>
        <v/>
      </c>
      <c r="AS73" t="str">
        <f t="shared" si="60"/>
        <v/>
      </c>
      <c r="AT73" t="str">
        <f t="shared" si="61"/>
        <v/>
      </c>
      <c r="AU73" t="str">
        <f t="shared" si="62"/>
        <v/>
      </c>
      <c r="AV73" t="str">
        <f t="shared" ref="AV73:AV107" si="79">IF(LEN(AU73),AU73&amp;CHAR(10),"")&amp;IF(LEN(AR73),AR73,"")</f>
        <v/>
      </c>
      <c r="AW73" t="str">
        <f t="shared" ref="AW73:AW107" si="80">AV73</f>
        <v/>
      </c>
      <c r="AY73" t="str">
        <f>IF($AM73="●",AT73&amp;CHAR(10)&amp;"BOX_ST"&amp;CHAR(10)&amp;";//"&amp;$B$28,"")</f>
        <v/>
      </c>
      <c r="AZ73" t="str">
        <f t="shared" si="63"/>
        <v/>
      </c>
      <c r="BA73" t="str">
        <f t="shared" si="64"/>
        <v/>
      </c>
      <c r="BB73" t="str">
        <f t="shared" si="65"/>
        <v/>
      </c>
      <c r="BC73" t="str">
        <f>IF($AM73="●",IF(LEN(BB73),BB73&amp;CHAR(10),"")&amp;";//"&amp;$B$29,"")</f>
        <v/>
      </c>
      <c r="BE73">
        <f t="shared" si="66"/>
        <v>21</v>
      </c>
      <c r="BF73">
        <f t="shared" si="67"/>
        <v>2</v>
      </c>
      <c r="BG73" t="str">
        <f t="shared" si="68"/>
        <v/>
      </c>
      <c r="BH73" t="str">
        <f t="shared" ref="BH73:BH107" si="81">IF(LEN(BG73),BG73&amp;CHAR(10),"")</f>
        <v/>
      </c>
    </row>
    <row r="74" spans="4:60" x14ac:dyDescent="0.55000000000000004">
      <c r="D74">
        <v>66</v>
      </c>
      <c r="E74" t="str">
        <f t="shared" si="52"/>
        <v/>
      </c>
      <c r="F74" t="str">
        <f t="shared" si="69"/>
        <v/>
      </c>
      <c r="G74" t="str">
        <f t="shared" si="53"/>
        <v/>
      </c>
      <c r="Z74" t="str">
        <f t="shared" si="70"/>
        <v/>
      </c>
      <c r="AA74" t="str">
        <f t="shared" si="71"/>
        <v/>
      </c>
      <c r="AB74" t="str">
        <f t="shared" si="71"/>
        <v/>
      </c>
      <c r="AC74" t="str">
        <f t="shared" si="71"/>
        <v/>
      </c>
      <c r="AD74" t="str">
        <f t="shared" si="72"/>
        <v/>
      </c>
      <c r="AE74" t="str">
        <f t="shared" si="72"/>
        <v/>
      </c>
      <c r="AF74" t="str">
        <f t="shared" si="73"/>
        <v/>
      </c>
      <c r="AG74" t="str">
        <f t="shared" si="74"/>
        <v/>
      </c>
      <c r="AH74" t="str">
        <f t="shared" si="75"/>
        <v/>
      </c>
      <c r="AI74" t="str">
        <f t="shared" si="76"/>
        <v/>
      </c>
      <c r="AJ74" t="str">
        <f t="shared" si="77"/>
        <v/>
      </c>
      <c r="AK74" t="str">
        <f t="shared" si="78"/>
        <v/>
      </c>
      <c r="AM74" t="str">
        <f t="shared" si="54"/>
        <v/>
      </c>
      <c r="AN74" t="str">
        <f t="shared" si="55"/>
        <v/>
      </c>
      <c r="AO74" t="str">
        <f t="shared" si="56"/>
        <v/>
      </c>
      <c r="AP74" t="str">
        <f t="shared" si="57"/>
        <v/>
      </c>
      <c r="AQ74" t="str">
        <f t="shared" si="58"/>
        <v/>
      </c>
      <c r="AR74" t="str">
        <f t="shared" si="59"/>
        <v/>
      </c>
      <c r="AS74" t="str">
        <f t="shared" si="60"/>
        <v/>
      </c>
      <c r="AT74" t="str">
        <f t="shared" si="61"/>
        <v/>
      </c>
      <c r="AU74" t="str">
        <f t="shared" si="62"/>
        <v/>
      </c>
      <c r="AV74" t="str">
        <f t="shared" si="79"/>
        <v/>
      </c>
      <c r="AW74" t="str">
        <f t="shared" si="80"/>
        <v/>
      </c>
      <c r="AY74" t="str">
        <f>IF($AM74="●",AT74&amp;CHAR(10)&amp;"BOX_ST"&amp;CHAR(10)&amp;";//"&amp;$B$28,"")</f>
        <v/>
      </c>
      <c r="AZ74" t="str">
        <f t="shared" si="63"/>
        <v/>
      </c>
      <c r="BA74" t="str">
        <f t="shared" si="64"/>
        <v/>
      </c>
      <c r="BB74" t="str">
        <f t="shared" si="65"/>
        <v/>
      </c>
      <c r="BC74" t="str">
        <f>IF($AM74="●",IF(LEN(BB74),BB74&amp;CHAR(10),"")&amp;";//"&amp;$B$29,"")</f>
        <v/>
      </c>
      <c r="BE74">
        <f t="shared" si="66"/>
        <v>22</v>
      </c>
      <c r="BF74">
        <f t="shared" si="67"/>
        <v>0</v>
      </c>
      <c r="BG74" t="str">
        <f t="shared" si="68"/>
        <v/>
      </c>
      <c r="BH74" t="str">
        <f t="shared" si="81"/>
        <v/>
      </c>
    </row>
    <row r="75" spans="4:60" x14ac:dyDescent="0.55000000000000004">
      <c r="D75">
        <v>67</v>
      </c>
      <c r="E75" t="str">
        <f t="shared" si="52"/>
        <v/>
      </c>
      <c r="F75" t="str">
        <f t="shared" si="69"/>
        <v/>
      </c>
      <c r="G75" t="str">
        <f t="shared" si="53"/>
        <v/>
      </c>
      <c r="Z75" t="str">
        <f t="shared" si="70"/>
        <v/>
      </c>
      <c r="AA75" t="str">
        <f t="shared" si="71"/>
        <v/>
      </c>
      <c r="AB75" t="str">
        <f t="shared" si="71"/>
        <v/>
      </c>
      <c r="AC75" t="str">
        <f t="shared" si="71"/>
        <v/>
      </c>
      <c r="AD75" t="str">
        <f t="shared" si="72"/>
        <v/>
      </c>
      <c r="AE75" t="str">
        <f t="shared" si="72"/>
        <v/>
      </c>
      <c r="AF75" t="str">
        <f t="shared" si="73"/>
        <v/>
      </c>
      <c r="AG75" t="str">
        <f t="shared" si="74"/>
        <v/>
      </c>
      <c r="AH75" t="str">
        <f t="shared" si="75"/>
        <v/>
      </c>
      <c r="AI75" t="str">
        <f t="shared" si="76"/>
        <v/>
      </c>
      <c r="AJ75" t="str">
        <f t="shared" si="77"/>
        <v/>
      </c>
      <c r="AK75" t="str">
        <f t="shared" si="78"/>
        <v/>
      </c>
      <c r="AM75" t="str">
        <f t="shared" si="54"/>
        <v/>
      </c>
      <c r="AN75" t="str">
        <f t="shared" si="55"/>
        <v/>
      </c>
      <c r="AO75" t="str">
        <f t="shared" si="56"/>
        <v/>
      </c>
      <c r="AP75" t="str">
        <f t="shared" si="57"/>
        <v/>
      </c>
      <c r="AQ75" t="str">
        <f t="shared" si="58"/>
        <v/>
      </c>
      <c r="AR75" t="str">
        <f t="shared" si="59"/>
        <v/>
      </c>
      <c r="AS75" t="str">
        <f t="shared" si="60"/>
        <v/>
      </c>
      <c r="AT75" t="str">
        <f t="shared" si="61"/>
        <v/>
      </c>
      <c r="AU75" t="str">
        <f t="shared" si="62"/>
        <v/>
      </c>
      <c r="AV75" t="str">
        <f t="shared" si="79"/>
        <v/>
      </c>
      <c r="AW75" t="str">
        <f t="shared" si="80"/>
        <v/>
      </c>
      <c r="AY75" t="str">
        <f>IF($AM75="●",AT75&amp;CHAR(10)&amp;"BOX_ST"&amp;CHAR(10)&amp;";//"&amp;$B$28,"")</f>
        <v/>
      </c>
      <c r="AZ75" t="str">
        <f t="shared" si="63"/>
        <v/>
      </c>
      <c r="BA75" t="str">
        <f t="shared" si="64"/>
        <v/>
      </c>
      <c r="BB75" t="str">
        <f t="shared" si="65"/>
        <v/>
      </c>
      <c r="BC75" t="str">
        <f>IF($AM75="●",IF(LEN(BB75),BB75&amp;CHAR(10),"")&amp;";//"&amp;$B$29,"")</f>
        <v/>
      </c>
      <c r="BE75">
        <f t="shared" si="66"/>
        <v>22</v>
      </c>
      <c r="BF75">
        <f t="shared" si="67"/>
        <v>1</v>
      </c>
      <c r="BG75" t="str">
        <f t="shared" si="68"/>
        <v/>
      </c>
      <c r="BH75" t="str">
        <f t="shared" si="81"/>
        <v/>
      </c>
    </row>
    <row r="76" spans="4:60" x14ac:dyDescent="0.55000000000000004">
      <c r="D76">
        <v>68</v>
      </c>
      <c r="E76" t="str">
        <f t="shared" si="52"/>
        <v/>
      </c>
      <c r="F76" t="str">
        <f t="shared" si="69"/>
        <v/>
      </c>
      <c r="G76" t="str">
        <f t="shared" si="53"/>
        <v/>
      </c>
      <c r="Z76" t="str">
        <f t="shared" si="70"/>
        <v/>
      </c>
      <c r="AA76" t="str">
        <f t="shared" si="71"/>
        <v/>
      </c>
      <c r="AB76" t="str">
        <f t="shared" si="71"/>
        <v/>
      </c>
      <c r="AC76" t="str">
        <f t="shared" si="71"/>
        <v/>
      </c>
      <c r="AD76" t="str">
        <f t="shared" si="72"/>
        <v/>
      </c>
      <c r="AE76" t="str">
        <f t="shared" si="72"/>
        <v/>
      </c>
      <c r="AF76" t="str">
        <f t="shared" si="73"/>
        <v/>
      </c>
      <c r="AG76" t="str">
        <f t="shared" si="74"/>
        <v/>
      </c>
      <c r="AH76" t="str">
        <f t="shared" si="75"/>
        <v/>
      </c>
      <c r="AI76" t="str">
        <f t="shared" si="76"/>
        <v/>
      </c>
      <c r="AJ76" t="str">
        <f t="shared" si="77"/>
        <v/>
      </c>
      <c r="AK76" t="str">
        <f t="shared" si="78"/>
        <v/>
      </c>
      <c r="AM76" t="str">
        <f t="shared" si="54"/>
        <v/>
      </c>
      <c r="AN76" t="str">
        <f t="shared" si="55"/>
        <v/>
      </c>
      <c r="AO76" t="str">
        <f t="shared" si="56"/>
        <v/>
      </c>
      <c r="AP76" t="str">
        <f t="shared" si="57"/>
        <v/>
      </c>
      <c r="AQ76" t="str">
        <f t="shared" si="58"/>
        <v/>
      </c>
      <c r="AR76" t="str">
        <f t="shared" si="59"/>
        <v/>
      </c>
      <c r="AS76" t="str">
        <f t="shared" si="60"/>
        <v/>
      </c>
      <c r="AT76" t="str">
        <f t="shared" si="61"/>
        <v/>
      </c>
      <c r="AU76" t="str">
        <f t="shared" si="62"/>
        <v/>
      </c>
      <c r="AV76" t="str">
        <f t="shared" si="79"/>
        <v/>
      </c>
      <c r="AW76" t="str">
        <f t="shared" si="80"/>
        <v/>
      </c>
      <c r="AY76" t="str">
        <f>IF($AM76="●",AT76&amp;CHAR(10)&amp;"BOX_ST"&amp;CHAR(10)&amp;";//"&amp;$B$28,"")</f>
        <v/>
      </c>
      <c r="AZ76" t="str">
        <f t="shared" si="63"/>
        <v/>
      </c>
      <c r="BA76" t="str">
        <f t="shared" si="64"/>
        <v/>
      </c>
      <c r="BB76" t="str">
        <f t="shared" si="65"/>
        <v/>
      </c>
      <c r="BC76" t="str">
        <f>IF($AM76="●",IF(LEN(BB76),BB76&amp;CHAR(10),"")&amp;";//"&amp;$B$29,"")</f>
        <v/>
      </c>
      <c r="BE76">
        <f t="shared" si="66"/>
        <v>22</v>
      </c>
      <c r="BF76">
        <f t="shared" si="67"/>
        <v>2</v>
      </c>
      <c r="BG76" t="str">
        <f t="shared" si="68"/>
        <v/>
      </c>
      <c r="BH76" t="str">
        <f t="shared" si="81"/>
        <v/>
      </c>
    </row>
    <row r="77" spans="4:60" x14ac:dyDescent="0.55000000000000004">
      <c r="D77">
        <v>69</v>
      </c>
      <c r="E77" t="str">
        <f t="shared" si="52"/>
        <v/>
      </c>
      <c r="F77" t="str">
        <f t="shared" si="69"/>
        <v/>
      </c>
      <c r="G77" t="str">
        <f t="shared" si="53"/>
        <v/>
      </c>
      <c r="Z77" t="str">
        <f t="shared" si="70"/>
        <v/>
      </c>
      <c r="AA77" t="str">
        <f t="shared" si="71"/>
        <v/>
      </c>
      <c r="AB77" t="str">
        <f t="shared" si="71"/>
        <v/>
      </c>
      <c r="AC77" t="str">
        <f t="shared" si="71"/>
        <v/>
      </c>
      <c r="AD77" t="str">
        <f t="shared" si="72"/>
        <v/>
      </c>
      <c r="AE77" t="str">
        <f t="shared" si="72"/>
        <v/>
      </c>
      <c r="AF77" t="str">
        <f t="shared" si="73"/>
        <v/>
      </c>
      <c r="AG77" t="str">
        <f t="shared" si="74"/>
        <v/>
      </c>
      <c r="AH77" t="str">
        <f t="shared" si="75"/>
        <v/>
      </c>
      <c r="AI77" t="str">
        <f t="shared" si="76"/>
        <v/>
      </c>
      <c r="AJ77" t="str">
        <f t="shared" si="77"/>
        <v/>
      </c>
      <c r="AK77" t="str">
        <f t="shared" si="78"/>
        <v/>
      </c>
      <c r="AM77" t="str">
        <f t="shared" si="54"/>
        <v/>
      </c>
      <c r="AN77" t="str">
        <f t="shared" si="55"/>
        <v/>
      </c>
      <c r="AO77" t="str">
        <f t="shared" si="56"/>
        <v/>
      </c>
      <c r="AP77" t="str">
        <f t="shared" si="57"/>
        <v/>
      </c>
      <c r="AQ77" t="str">
        <f t="shared" si="58"/>
        <v/>
      </c>
      <c r="AR77" t="str">
        <f t="shared" si="59"/>
        <v/>
      </c>
      <c r="AS77" t="str">
        <f t="shared" si="60"/>
        <v/>
      </c>
      <c r="AT77" t="str">
        <f t="shared" si="61"/>
        <v/>
      </c>
      <c r="AU77" t="str">
        <f t="shared" si="62"/>
        <v/>
      </c>
      <c r="AV77" t="str">
        <f t="shared" si="79"/>
        <v/>
      </c>
      <c r="AW77" t="str">
        <f t="shared" si="80"/>
        <v/>
      </c>
      <c r="AY77" t="str">
        <f>IF($AM77="●",AT77&amp;CHAR(10)&amp;"BOX_ST"&amp;CHAR(10)&amp;";//"&amp;$B$28,"")</f>
        <v/>
      </c>
      <c r="AZ77" t="str">
        <f t="shared" si="63"/>
        <v/>
      </c>
      <c r="BA77" t="str">
        <f t="shared" si="64"/>
        <v/>
      </c>
      <c r="BB77" t="str">
        <f t="shared" si="65"/>
        <v/>
      </c>
      <c r="BC77" t="str">
        <f>IF($AM77="●",IF(LEN(BB77),BB77&amp;CHAR(10),"")&amp;";//"&amp;$B$29,"")</f>
        <v/>
      </c>
      <c r="BE77">
        <f t="shared" si="66"/>
        <v>23</v>
      </c>
      <c r="BF77">
        <f t="shared" si="67"/>
        <v>0</v>
      </c>
      <c r="BG77" t="str">
        <f t="shared" si="68"/>
        <v/>
      </c>
      <c r="BH77" t="str">
        <f t="shared" si="81"/>
        <v/>
      </c>
    </row>
    <row r="78" spans="4:60" x14ac:dyDescent="0.55000000000000004">
      <c r="D78">
        <v>70</v>
      </c>
      <c r="E78" t="str">
        <f t="shared" si="52"/>
        <v/>
      </c>
      <c r="F78" t="str">
        <f t="shared" si="69"/>
        <v/>
      </c>
      <c r="G78" t="str">
        <f t="shared" si="53"/>
        <v/>
      </c>
      <c r="Z78" t="str">
        <f t="shared" si="70"/>
        <v/>
      </c>
      <c r="AA78" t="str">
        <f t="shared" si="71"/>
        <v/>
      </c>
      <c r="AB78" t="str">
        <f t="shared" si="71"/>
        <v/>
      </c>
      <c r="AC78" t="str">
        <f t="shared" si="71"/>
        <v/>
      </c>
      <c r="AD78" t="str">
        <f t="shared" si="72"/>
        <v/>
      </c>
      <c r="AE78" t="str">
        <f t="shared" si="72"/>
        <v/>
      </c>
      <c r="AF78" t="str">
        <f t="shared" si="73"/>
        <v/>
      </c>
      <c r="AG78" t="str">
        <f t="shared" si="74"/>
        <v/>
      </c>
      <c r="AH78" t="str">
        <f t="shared" si="75"/>
        <v/>
      </c>
      <c r="AI78" t="str">
        <f t="shared" si="76"/>
        <v/>
      </c>
      <c r="AJ78" t="str">
        <f t="shared" si="77"/>
        <v/>
      </c>
      <c r="AK78" t="str">
        <f t="shared" si="78"/>
        <v/>
      </c>
      <c r="AM78" t="str">
        <f t="shared" si="54"/>
        <v/>
      </c>
      <c r="AN78" t="str">
        <f t="shared" si="55"/>
        <v/>
      </c>
      <c r="AO78" t="str">
        <f t="shared" si="56"/>
        <v/>
      </c>
      <c r="AP78" t="str">
        <f t="shared" si="57"/>
        <v/>
      </c>
      <c r="AQ78" t="str">
        <f t="shared" si="58"/>
        <v/>
      </c>
      <c r="AR78" t="str">
        <f t="shared" si="59"/>
        <v/>
      </c>
      <c r="AS78" t="str">
        <f t="shared" si="60"/>
        <v/>
      </c>
      <c r="AT78" t="str">
        <f t="shared" si="61"/>
        <v/>
      </c>
      <c r="AU78" t="str">
        <f t="shared" si="62"/>
        <v/>
      </c>
      <c r="AV78" t="str">
        <f t="shared" si="79"/>
        <v/>
      </c>
      <c r="AW78" t="str">
        <f t="shared" si="80"/>
        <v/>
      </c>
      <c r="AY78" t="str">
        <f>IF($AM78="●",AT78&amp;CHAR(10)&amp;"BOX_ST"&amp;CHAR(10)&amp;";//"&amp;$B$28,"")</f>
        <v/>
      </c>
      <c r="AZ78" t="str">
        <f t="shared" si="63"/>
        <v/>
      </c>
      <c r="BA78" t="str">
        <f t="shared" si="64"/>
        <v/>
      </c>
      <c r="BB78" t="str">
        <f t="shared" si="65"/>
        <v/>
      </c>
      <c r="BC78" t="str">
        <f>IF($AM78="●",IF(LEN(BB78),BB78&amp;CHAR(10),"")&amp;";//"&amp;$B$29,"")</f>
        <v/>
      </c>
      <c r="BE78">
        <f t="shared" si="66"/>
        <v>23</v>
      </c>
      <c r="BF78">
        <f t="shared" si="67"/>
        <v>1</v>
      </c>
      <c r="BG78" t="str">
        <f t="shared" si="68"/>
        <v/>
      </c>
      <c r="BH78" t="str">
        <f t="shared" si="81"/>
        <v/>
      </c>
    </row>
    <row r="79" spans="4:60" x14ac:dyDescent="0.55000000000000004">
      <c r="D79">
        <v>71</v>
      </c>
      <c r="E79" t="str">
        <f t="shared" si="52"/>
        <v/>
      </c>
      <c r="F79" t="str">
        <f t="shared" si="69"/>
        <v/>
      </c>
      <c r="G79" t="str">
        <f t="shared" si="53"/>
        <v/>
      </c>
      <c r="Z79" t="str">
        <f t="shared" si="70"/>
        <v/>
      </c>
      <c r="AA79" t="str">
        <f t="shared" si="71"/>
        <v/>
      </c>
      <c r="AB79" t="str">
        <f t="shared" si="71"/>
        <v/>
      </c>
      <c r="AC79" t="str">
        <f t="shared" si="71"/>
        <v/>
      </c>
      <c r="AD79" t="str">
        <f t="shared" si="72"/>
        <v/>
      </c>
      <c r="AE79" t="str">
        <f t="shared" si="72"/>
        <v/>
      </c>
      <c r="AF79" t="str">
        <f t="shared" si="73"/>
        <v/>
      </c>
      <c r="AG79" t="str">
        <f t="shared" si="74"/>
        <v/>
      </c>
      <c r="AH79" t="str">
        <f t="shared" si="75"/>
        <v/>
      </c>
      <c r="AI79" t="str">
        <f t="shared" si="76"/>
        <v/>
      </c>
      <c r="AJ79" t="str">
        <f t="shared" si="77"/>
        <v/>
      </c>
      <c r="AK79" t="str">
        <f t="shared" si="78"/>
        <v/>
      </c>
      <c r="AM79" t="str">
        <f t="shared" si="54"/>
        <v/>
      </c>
      <c r="AN79" t="str">
        <f t="shared" si="55"/>
        <v/>
      </c>
      <c r="AO79" t="str">
        <f t="shared" si="56"/>
        <v/>
      </c>
      <c r="AP79" t="str">
        <f t="shared" si="57"/>
        <v/>
      </c>
      <c r="AQ79" t="str">
        <f t="shared" si="58"/>
        <v/>
      </c>
      <c r="AR79" t="str">
        <f t="shared" si="59"/>
        <v/>
      </c>
      <c r="AS79" t="str">
        <f t="shared" si="60"/>
        <v/>
      </c>
      <c r="AT79" t="str">
        <f t="shared" si="61"/>
        <v/>
      </c>
      <c r="AU79" t="str">
        <f t="shared" si="62"/>
        <v/>
      </c>
      <c r="AV79" t="str">
        <f t="shared" si="79"/>
        <v/>
      </c>
      <c r="AW79" t="str">
        <f t="shared" si="80"/>
        <v/>
      </c>
      <c r="AY79" t="str">
        <f>IF($AM79="●",AT79&amp;CHAR(10)&amp;"BOX_ST"&amp;CHAR(10)&amp;";//"&amp;$B$28,"")</f>
        <v/>
      </c>
      <c r="AZ79" t="str">
        <f t="shared" si="63"/>
        <v/>
      </c>
      <c r="BA79" t="str">
        <f t="shared" si="64"/>
        <v/>
      </c>
      <c r="BB79" t="str">
        <f t="shared" si="65"/>
        <v/>
      </c>
      <c r="BC79" t="str">
        <f>IF($AM79="●",IF(LEN(BB79),BB79&amp;CHAR(10),"")&amp;";//"&amp;$B$29,"")</f>
        <v/>
      </c>
      <c r="BE79">
        <f t="shared" si="66"/>
        <v>23</v>
      </c>
      <c r="BF79">
        <f t="shared" si="67"/>
        <v>2</v>
      </c>
      <c r="BG79" t="str">
        <f t="shared" si="68"/>
        <v/>
      </c>
      <c r="BH79" t="str">
        <f t="shared" si="81"/>
        <v/>
      </c>
    </row>
    <row r="80" spans="4:60" x14ac:dyDescent="0.55000000000000004">
      <c r="D80">
        <v>72</v>
      </c>
      <c r="E80" t="str">
        <f t="shared" si="52"/>
        <v/>
      </c>
      <c r="F80" t="str">
        <f t="shared" si="69"/>
        <v/>
      </c>
      <c r="G80" t="str">
        <f t="shared" si="53"/>
        <v/>
      </c>
      <c r="Z80" t="str">
        <f t="shared" si="70"/>
        <v/>
      </c>
      <c r="AA80" t="str">
        <f t="shared" si="71"/>
        <v/>
      </c>
      <c r="AB80" t="str">
        <f t="shared" si="71"/>
        <v/>
      </c>
      <c r="AC80" t="str">
        <f t="shared" si="71"/>
        <v/>
      </c>
      <c r="AD80" t="str">
        <f t="shared" si="72"/>
        <v/>
      </c>
      <c r="AE80" t="str">
        <f t="shared" si="72"/>
        <v/>
      </c>
      <c r="AF80" t="str">
        <f t="shared" si="73"/>
        <v/>
      </c>
      <c r="AG80" t="str">
        <f t="shared" si="74"/>
        <v/>
      </c>
      <c r="AH80" t="str">
        <f t="shared" si="75"/>
        <v/>
      </c>
      <c r="AI80" t="str">
        <f t="shared" si="76"/>
        <v/>
      </c>
      <c r="AJ80" t="str">
        <f t="shared" si="77"/>
        <v/>
      </c>
      <c r="AK80" t="str">
        <f t="shared" si="78"/>
        <v/>
      </c>
      <c r="AM80" t="str">
        <f t="shared" si="54"/>
        <v/>
      </c>
      <c r="AN80" t="str">
        <f t="shared" si="55"/>
        <v/>
      </c>
      <c r="AO80" t="str">
        <f t="shared" si="56"/>
        <v/>
      </c>
      <c r="AP80" t="str">
        <f t="shared" si="57"/>
        <v/>
      </c>
      <c r="AQ80" t="str">
        <f t="shared" si="58"/>
        <v/>
      </c>
      <c r="AR80" t="str">
        <f t="shared" si="59"/>
        <v/>
      </c>
      <c r="AS80" t="str">
        <f t="shared" si="60"/>
        <v/>
      </c>
      <c r="AT80" t="str">
        <f t="shared" si="61"/>
        <v/>
      </c>
      <c r="AU80" t="str">
        <f t="shared" si="62"/>
        <v/>
      </c>
      <c r="AV80" t="str">
        <f t="shared" si="79"/>
        <v/>
      </c>
      <c r="AW80" t="str">
        <f t="shared" si="80"/>
        <v/>
      </c>
      <c r="AY80" t="str">
        <f>IF($AM80="●",AT80&amp;CHAR(10)&amp;"BOX_ST"&amp;CHAR(10)&amp;";//"&amp;$B$28,"")</f>
        <v/>
      </c>
      <c r="AZ80" t="str">
        <f t="shared" si="63"/>
        <v/>
      </c>
      <c r="BA80" t="str">
        <f t="shared" si="64"/>
        <v/>
      </c>
      <c r="BB80" t="str">
        <f t="shared" si="65"/>
        <v/>
      </c>
      <c r="BC80" t="str">
        <f>IF($AM80="●",IF(LEN(BB80),BB80&amp;CHAR(10),"")&amp;";//"&amp;$B$29,"")</f>
        <v/>
      </c>
      <c r="BE80">
        <f t="shared" si="66"/>
        <v>24</v>
      </c>
      <c r="BF80">
        <f t="shared" si="67"/>
        <v>0</v>
      </c>
      <c r="BG80" t="str">
        <f t="shared" si="68"/>
        <v/>
      </c>
      <c r="BH80" t="str">
        <f t="shared" si="81"/>
        <v/>
      </c>
    </row>
    <row r="81" spans="4:60" x14ac:dyDescent="0.55000000000000004">
      <c r="D81">
        <v>73</v>
      </c>
      <c r="E81" t="str">
        <f t="shared" si="52"/>
        <v/>
      </c>
      <c r="F81" t="str">
        <f t="shared" si="69"/>
        <v/>
      </c>
      <c r="G81" t="str">
        <f t="shared" si="53"/>
        <v/>
      </c>
      <c r="Z81" t="str">
        <f t="shared" si="70"/>
        <v/>
      </c>
      <c r="AA81" t="str">
        <f t="shared" si="71"/>
        <v/>
      </c>
      <c r="AB81" t="str">
        <f t="shared" si="71"/>
        <v/>
      </c>
      <c r="AC81" t="str">
        <f t="shared" si="71"/>
        <v/>
      </c>
      <c r="AD81" t="str">
        <f t="shared" si="72"/>
        <v/>
      </c>
      <c r="AE81" t="str">
        <f t="shared" si="72"/>
        <v/>
      </c>
      <c r="AF81" t="str">
        <f t="shared" si="73"/>
        <v/>
      </c>
      <c r="AG81" t="str">
        <f t="shared" si="74"/>
        <v/>
      </c>
      <c r="AH81" t="str">
        <f t="shared" si="75"/>
        <v/>
      </c>
      <c r="AI81" t="str">
        <f t="shared" si="76"/>
        <v/>
      </c>
      <c r="AJ81" t="str">
        <f t="shared" si="77"/>
        <v/>
      </c>
      <c r="AK81" t="str">
        <f t="shared" si="78"/>
        <v/>
      </c>
      <c r="AM81" t="str">
        <f t="shared" si="54"/>
        <v/>
      </c>
      <c r="AN81" t="str">
        <f t="shared" si="55"/>
        <v/>
      </c>
      <c r="AO81" t="str">
        <f t="shared" si="56"/>
        <v/>
      </c>
      <c r="AP81" t="str">
        <f t="shared" si="57"/>
        <v/>
      </c>
      <c r="AQ81" t="str">
        <f t="shared" si="58"/>
        <v/>
      </c>
      <c r="AR81" t="str">
        <f t="shared" si="59"/>
        <v/>
      </c>
      <c r="AS81" t="str">
        <f t="shared" si="60"/>
        <v/>
      </c>
      <c r="AT81" t="str">
        <f t="shared" si="61"/>
        <v/>
      </c>
      <c r="AU81" t="str">
        <f t="shared" si="62"/>
        <v/>
      </c>
      <c r="AV81" t="str">
        <f t="shared" si="79"/>
        <v/>
      </c>
      <c r="AW81" t="str">
        <f t="shared" si="80"/>
        <v/>
      </c>
      <c r="AY81" t="str">
        <f>IF($AM81="●",AT81&amp;CHAR(10)&amp;"BOX_ST"&amp;CHAR(10)&amp;";//"&amp;$B$28,"")</f>
        <v/>
      </c>
      <c r="AZ81" t="str">
        <f t="shared" si="63"/>
        <v/>
      </c>
      <c r="BA81" t="str">
        <f t="shared" si="64"/>
        <v/>
      </c>
      <c r="BB81" t="str">
        <f t="shared" si="65"/>
        <v/>
      </c>
      <c r="BC81" t="str">
        <f>IF($AM81="●",IF(LEN(BB81),BB81&amp;CHAR(10),"")&amp;";//"&amp;$B$29,"")</f>
        <v/>
      </c>
      <c r="BE81">
        <f t="shared" si="66"/>
        <v>24</v>
      </c>
      <c r="BF81">
        <f t="shared" si="67"/>
        <v>1</v>
      </c>
      <c r="BG81" t="str">
        <f t="shared" si="68"/>
        <v/>
      </c>
      <c r="BH81" t="str">
        <f t="shared" si="81"/>
        <v/>
      </c>
    </row>
    <row r="82" spans="4:60" x14ac:dyDescent="0.55000000000000004">
      <c r="D82">
        <v>74</v>
      </c>
      <c r="E82" t="str">
        <f t="shared" si="52"/>
        <v/>
      </c>
      <c r="F82" t="str">
        <f t="shared" si="69"/>
        <v/>
      </c>
      <c r="G82" t="str">
        <f t="shared" si="53"/>
        <v/>
      </c>
      <c r="Z82" t="str">
        <f t="shared" si="70"/>
        <v/>
      </c>
      <c r="AA82" t="str">
        <f t="shared" si="71"/>
        <v/>
      </c>
      <c r="AB82" t="str">
        <f t="shared" si="71"/>
        <v/>
      </c>
      <c r="AC82" t="str">
        <f t="shared" si="71"/>
        <v/>
      </c>
      <c r="AD82" t="str">
        <f t="shared" si="72"/>
        <v/>
      </c>
      <c r="AE82" t="str">
        <f t="shared" si="72"/>
        <v/>
      </c>
      <c r="AF82" t="str">
        <f t="shared" si="73"/>
        <v/>
      </c>
      <c r="AG82" t="str">
        <f t="shared" si="74"/>
        <v/>
      </c>
      <c r="AH82" t="str">
        <f t="shared" si="75"/>
        <v/>
      </c>
      <c r="AI82" t="str">
        <f t="shared" si="76"/>
        <v/>
      </c>
      <c r="AJ82" t="str">
        <f t="shared" si="77"/>
        <v/>
      </c>
      <c r="AK82" t="str">
        <f t="shared" si="78"/>
        <v/>
      </c>
      <c r="AM82" t="str">
        <f t="shared" si="54"/>
        <v/>
      </c>
      <c r="AN82" t="str">
        <f t="shared" si="55"/>
        <v/>
      </c>
      <c r="AO82" t="str">
        <f t="shared" si="56"/>
        <v/>
      </c>
      <c r="AP82" t="str">
        <f t="shared" si="57"/>
        <v/>
      </c>
      <c r="AQ82" t="str">
        <f t="shared" si="58"/>
        <v/>
      </c>
      <c r="AR82" t="str">
        <f t="shared" si="59"/>
        <v/>
      </c>
      <c r="AS82" t="str">
        <f t="shared" si="60"/>
        <v/>
      </c>
      <c r="AT82" t="str">
        <f t="shared" si="61"/>
        <v/>
      </c>
      <c r="AU82" t="str">
        <f t="shared" si="62"/>
        <v/>
      </c>
      <c r="AV82" t="str">
        <f t="shared" si="79"/>
        <v/>
      </c>
      <c r="AW82" t="str">
        <f t="shared" si="80"/>
        <v/>
      </c>
      <c r="AY82" t="str">
        <f>IF($AM82="●",AT82&amp;CHAR(10)&amp;"BOX_ST"&amp;CHAR(10)&amp;";//"&amp;$B$28,"")</f>
        <v/>
      </c>
      <c r="AZ82" t="str">
        <f t="shared" si="63"/>
        <v/>
      </c>
      <c r="BA82" t="str">
        <f t="shared" si="64"/>
        <v/>
      </c>
      <c r="BB82" t="str">
        <f t="shared" si="65"/>
        <v/>
      </c>
      <c r="BC82" t="str">
        <f>IF($AM82="●",IF(LEN(BB82),BB82&amp;CHAR(10),"")&amp;";//"&amp;$B$29,"")</f>
        <v/>
      </c>
      <c r="BE82">
        <f t="shared" si="66"/>
        <v>24</v>
      </c>
      <c r="BF82">
        <f t="shared" si="67"/>
        <v>2</v>
      </c>
      <c r="BG82" t="str">
        <f t="shared" si="68"/>
        <v/>
      </c>
      <c r="BH82" t="str">
        <f t="shared" si="81"/>
        <v/>
      </c>
    </row>
    <row r="83" spans="4:60" x14ac:dyDescent="0.55000000000000004">
      <c r="D83">
        <v>75</v>
      </c>
      <c r="E83" t="str">
        <f t="shared" si="52"/>
        <v/>
      </c>
      <c r="F83" t="str">
        <f t="shared" si="69"/>
        <v/>
      </c>
      <c r="G83" t="str">
        <f t="shared" si="53"/>
        <v/>
      </c>
      <c r="Z83" t="str">
        <f t="shared" si="70"/>
        <v/>
      </c>
      <c r="AA83" t="str">
        <f t="shared" si="71"/>
        <v/>
      </c>
      <c r="AB83" t="str">
        <f t="shared" si="71"/>
        <v/>
      </c>
      <c r="AC83" t="str">
        <f t="shared" si="71"/>
        <v/>
      </c>
      <c r="AD83" t="str">
        <f t="shared" si="72"/>
        <v/>
      </c>
      <c r="AE83" t="str">
        <f t="shared" si="72"/>
        <v/>
      </c>
      <c r="AF83" t="str">
        <f t="shared" si="73"/>
        <v/>
      </c>
      <c r="AG83" t="str">
        <f t="shared" si="74"/>
        <v/>
      </c>
      <c r="AH83" t="str">
        <f t="shared" si="75"/>
        <v/>
      </c>
      <c r="AI83" t="str">
        <f t="shared" si="76"/>
        <v/>
      </c>
      <c r="AJ83" t="str">
        <f t="shared" si="77"/>
        <v/>
      </c>
      <c r="AK83" t="str">
        <f t="shared" si="78"/>
        <v/>
      </c>
      <c r="AM83" t="str">
        <f t="shared" si="54"/>
        <v/>
      </c>
      <c r="AN83" t="str">
        <f t="shared" si="55"/>
        <v/>
      </c>
      <c r="AO83" t="str">
        <f t="shared" si="56"/>
        <v/>
      </c>
      <c r="AP83" t="str">
        <f t="shared" si="57"/>
        <v/>
      </c>
      <c r="AQ83" t="str">
        <f t="shared" si="58"/>
        <v/>
      </c>
      <c r="AR83" t="str">
        <f t="shared" si="59"/>
        <v/>
      </c>
      <c r="AS83" t="str">
        <f t="shared" si="60"/>
        <v/>
      </c>
      <c r="AT83" t="str">
        <f t="shared" si="61"/>
        <v/>
      </c>
      <c r="AU83" t="str">
        <f t="shared" si="62"/>
        <v/>
      </c>
      <c r="AV83" t="str">
        <f t="shared" si="79"/>
        <v/>
      </c>
      <c r="AW83" t="str">
        <f t="shared" si="80"/>
        <v/>
      </c>
      <c r="AY83" t="str">
        <f>IF($AM83="●",AT83&amp;CHAR(10)&amp;"BOX_ST"&amp;CHAR(10)&amp;";//"&amp;$B$28,"")</f>
        <v/>
      </c>
      <c r="AZ83" t="str">
        <f t="shared" si="63"/>
        <v/>
      </c>
      <c r="BA83" t="str">
        <f t="shared" si="64"/>
        <v/>
      </c>
      <c r="BB83" t="str">
        <f t="shared" si="65"/>
        <v/>
      </c>
      <c r="BC83" t="str">
        <f>IF($AM83="●",IF(LEN(BB83),BB83&amp;CHAR(10),"")&amp;";//"&amp;$B$29,"")</f>
        <v/>
      </c>
      <c r="BE83">
        <f t="shared" si="66"/>
        <v>25</v>
      </c>
      <c r="BF83">
        <f t="shared" si="67"/>
        <v>0</v>
      </c>
      <c r="BG83" t="str">
        <f t="shared" si="68"/>
        <v/>
      </c>
      <c r="BH83" t="str">
        <f t="shared" si="81"/>
        <v/>
      </c>
    </row>
    <row r="84" spans="4:60" x14ac:dyDescent="0.55000000000000004">
      <c r="D84">
        <v>76</v>
      </c>
      <c r="E84" t="str">
        <f t="shared" si="52"/>
        <v/>
      </c>
      <c r="F84" t="str">
        <f t="shared" si="69"/>
        <v/>
      </c>
      <c r="G84" t="str">
        <f t="shared" si="53"/>
        <v/>
      </c>
      <c r="Z84" t="str">
        <f t="shared" si="70"/>
        <v/>
      </c>
      <c r="AA84" t="str">
        <f t="shared" si="71"/>
        <v/>
      </c>
      <c r="AB84" t="str">
        <f t="shared" si="71"/>
        <v/>
      </c>
      <c r="AC84" t="str">
        <f t="shared" si="71"/>
        <v/>
      </c>
      <c r="AD84" t="str">
        <f t="shared" si="72"/>
        <v/>
      </c>
      <c r="AE84" t="str">
        <f t="shared" si="72"/>
        <v/>
      </c>
      <c r="AF84" t="str">
        <f t="shared" si="73"/>
        <v/>
      </c>
      <c r="AG84" t="str">
        <f t="shared" si="74"/>
        <v/>
      </c>
      <c r="AH84" t="str">
        <f t="shared" si="75"/>
        <v/>
      </c>
      <c r="AI84" t="str">
        <f t="shared" si="76"/>
        <v/>
      </c>
      <c r="AJ84" t="str">
        <f t="shared" si="77"/>
        <v/>
      </c>
      <c r="AK84" t="str">
        <f t="shared" si="78"/>
        <v/>
      </c>
      <c r="AM84" t="str">
        <f t="shared" si="54"/>
        <v/>
      </c>
      <c r="AN84" t="str">
        <f t="shared" si="55"/>
        <v/>
      </c>
      <c r="AO84" t="str">
        <f t="shared" si="56"/>
        <v/>
      </c>
      <c r="AP84" t="str">
        <f t="shared" si="57"/>
        <v/>
      </c>
      <c r="AQ84" t="str">
        <f t="shared" si="58"/>
        <v/>
      </c>
      <c r="AR84" t="str">
        <f t="shared" si="59"/>
        <v/>
      </c>
      <c r="AS84" t="str">
        <f t="shared" si="60"/>
        <v/>
      </c>
      <c r="AT84" t="str">
        <f t="shared" si="61"/>
        <v/>
      </c>
      <c r="AU84" t="str">
        <f t="shared" si="62"/>
        <v/>
      </c>
      <c r="AV84" t="str">
        <f t="shared" si="79"/>
        <v/>
      </c>
      <c r="AW84" t="str">
        <f t="shared" si="80"/>
        <v/>
      </c>
      <c r="AY84" t="str">
        <f>IF($AM84="●",AT84&amp;CHAR(10)&amp;"BOX_ST"&amp;CHAR(10)&amp;";//"&amp;$B$28,"")</f>
        <v/>
      </c>
      <c r="AZ84" t="str">
        <f t="shared" si="63"/>
        <v/>
      </c>
      <c r="BA84" t="str">
        <f t="shared" si="64"/>
        <v/>
      </c>
      <c r="BB84" t="str">
        <f t="shared" si="65"/>
        <v/>
      </c>
      <c r="BC84" t="str">
        <f>IF($AM84="●",IF(LEN(BB84),BB84&amp;CHAR(10),"")&amp;";//"&amp;$B$29,"")</f>
        <v/>
      </c>
      <c r="BE84">
        <f t="shared" si="66"/>
        <v>25</v>
      </c>
      <c r="BF84">
        <f t="shared" si="67"/>
        <v>1</v>
      </c>
      <c r="BG84" t="str">
        <f t="shared" si="68"/>
        <v/>
      </c>
      <c r="BH84" t="str">
        <f t="shared" si="81"/>
        <v/>
      </c>
    </row>
    <row r="85" spans="4:60" x14ac:dyDescent="0.55000000000000004">
      <c r="D85">
        <v>77</v>
      </c>
      <c r="E85" t="str">
        <f t="shared" si="52"/>
        <v/>
      </c>
      <c r="F85" t="str">
        <f t="shared" si="69"/>
        <v/>
      </c>
      <c r="G85" t="str">
        <f t="shared" si="53"/>
        <v/>
      </c>
      <c r="Z85" t="str">
        <f t="shared" si="70"/>
        <v/>
      </c>
      <c r="AA85" t="str">
        <f t="shared" si="71"/>
        <v/>
      </c>
      <c r="AB85" t="str">
        <f t="shared" si="71"/>
        <v/>
      </c>
      <c r="AC85" t="str">
        <f t="shared" si="71"/>
        <v/>
      </c>
      <c r="AD85" t="str">
        <f t="shared" si="72"/>
        <v/>
      </c>
      <c r="AE85" t="str">
        <f t="shared" si="72"/>
        <v/>
      </c>
      <c r="AF85" t="str">
        <f t="shared" si="73"/>
        <v/>
      </c>
      <c r="AG85" t="str">
        <f t="shared" si="74"/>
        <v/>
      </c>
      <c r="AH85" t="str">
        <f t="shared" si="75"/>
        <v/>
      </c>
      <c r="AI85" t="str">
        <f t="shared" si="76"/>
        <v/>
      </c>
      <c r="AJ85" t="str">
        <f t="shared" si="77"/>
        <v/>
      </c>
      <c r="AK85" t="str">
        <f t="shared" si="78"/>
        <v/>
      </c>
      <c r="AM85" t="str">
        <f t="shared" si="54"/>
        <v/>
      </c>
      <c r="AN85" t="str">
        <f t="shared" si="55"/>
        <v/>
      </c>
      <c r="AO85" t="str">
        <f t="shared" si="56"/>
        <v/>
      </c>
      <c r="AP85" t="str">
        <f t="shared" si="57"/>
        <v/>
      </c>
      <c r="AQ85" t="str">
        <f t="shared" si="58"/>
        <v/>
      </c>
      <c r="AR85" t="str">
        <f t="shared" si="59"/>
        <v/>
      </c>
      <c r="AS85" t="str">
        <f t="shared" si="60"/>
        <v/>
      </c>
      <c r="AT85" t="str">
        <f t="shared" si="61"/>
        <v/>
      </c>
      <c r="AU85" t="str">
        <f t="shared" si="62"/>
        <v/>
      </c>
      <c r="AV85" t="str">
        <f t="shared" si="79"/>
        <v/>
      </c>
      <c r="AW85" t="str">
        <f t="shared" si="80"/>
        <v/>
      </c>
      <c r="AY85" t="str">
        <f>IF($AM85="●",AT85&amp;CHAR(10)&amp;"BOX_ST"&amp;CHAR(10)&amp;";//"&amp;$B$28,"")</f>
        <v/>
      </c>
      <c r="AZ85" t="str">
        <f t="shared" si="63"/>
        <v/>
      </c>
      <c r="BA85" t="str">
        <f t="shared" si="64"/>
        <v/>
      </c>
      <c r="BB85" t="str">
        <f t="shared" si="65"/>
        <v/>
      </c>
      <c r="BC85" t="str">
        <f>IF($AM85="●",IF(LEN(BB85),BB85&amp;CHAR(10),"")&amp;";//"&amp;$B$29,"")</f>
        <v/>
      </c>
      <c r="BE85">
        <f t="shared" si="66"/>
        <v>25</v>
      </c>
      <c r="BF85">
        <f t="shared" si="67"/>
        <v>2</v>
      </c>
      <c r="BG85" t="str">
        <f t="shared" si="68"/>
        <v/>
      </c>
      <c r="BH85" t="str">
        <f t="shared" si="81"/>
        <v/>
      </c>
    </row>
    <row r="86" spans="4:60" x14ac:dyDescent="0.55000000000000004">
      <c r="D86">
        <v>78</v>
      </c>
      <c r="E86" t="str">
        <f t="shared" si="52"/>
        <v/>
      </c>
      <c r="F86" t="str">
        <f t="shared" si="69"/>
        <v/>
      </c>
      <c r="G86" t="str">
        <f t="shared" si="53"/>
        <v/>
      </c>
      <c r="Z86" t="str">
        <f t="shared" si="70"/>
        <v/>
      </c>
      <c r="AA86" t="str">
        <f t="shared" si="71"/>
        <v/>
      </c>
      <c r="AB86" t="str">
        <f t="shared" si="71"/>
        <v/>
      </c>
      <c r="AC86" t="str">
        <f t="shared" si="71"/>
        <v/>
      </c>
      <c r="AD86" t="str">
        <f t="shared" si="72"/>
        <v/>
      </c>
      <c r="AE86" t="str">
        <f t="shared" si="72"/>
        <v/>
      </c>
      <c r="AF86" t="str">
        <f t="shared" si="73"/>
        <v/>
      </c>
      <c r="AG86" t="str">
        <f t="shared" si="74"/>
        <v/>
      </c>
      <c r="AH86" t="str">
        <f t="shared" si="75"/>
        <v/>
      </c>
      <c r="AI86" t="str">
        <f t="shared" si="76"/>
        <v/>
      </c>
      <c r="AJ86" t="str">
        <f t="shared" si="77"/>
        <v/>
      </c>
      <c r="AK86" t="str">
        <f t="shared" si="78"/>
        <v/>
      </c>
      <c r="AM86" t="str">
        <f t="shared" si="54"/>
        <v/>
      </c>
      <c r="AN86" t="str">
        <f t="shared" si="55"/>
        <v/>
      </c>
      <c r="AO86" t="str">
        <f t="shared" si="56"/>
        <v/>
      </c>
      <c r="AP86" t="str">
        <f t="shared" si="57"/>
        <v/>
      </c>
      <c r="AQ86" t="str">
        <f t="shared" si="58"/>
        <v/>
      </c>
      <c r="AR86" t="str">
        <f t="shared" si="59"/>
        <v/>
      </c>
      <c r="AS86" t="str">
        <f t="shared" si="60"/>
        <v/>
      </c>
      <c r="AT86" t="str">
        <f t="shared" si="61"/>
        <v/>
      </c>
      <c r="AU86" t="str">
        <f t="shared" si="62"/>
        <v/>
      </c>
      <c r="AV86" t="str">
        <f t="shared" si="79"/>
        <v/>
      </c>
      <c r="AW86" t="str">
        <f t="shared" si="80"/>
        <v/>
      </c>
      <c r="AY86" t="str">
        <f>IF($AM86="●",AT86&amp;CHAR(10)&amp;"BOX_ST"&amp;CHAR(10)&amp;";//"&amp;$B$28,"")</f>
        <v/>
      </c>
      <c r="AZ86" t="str">
        <f t="shared" si="63"/>
        <v/>
      </c>
      <c r="BA86" t="str">
        <f t="shared" si="64"/>
        <v/>
      </c>
      <c r="BB86" t="str">
        <f t="shared" si="65"/>
        <v/>
      </c>
      <c r="BC86" t="str">
        <f>IF($AM86="●",IF(LEN(BB86),BB86&amp;CHAR(10),"")&amp;";//"&amp;$B$29,"")</f>
        <v/>
      </c>
      <c r="BE86">
        <f t="shared" si="66"/>
        <v>26</v>
      </c>
      <c r="BF86">
        <f t="shared" si="67"/>
        <v>0</v>
      </c>
      <c r="BG86" t="str">
        <f t="shared" si="68"/>
        <v/>
      </c>
      <c r="BH86" t="str">
        <f t="shared" si="81"/>
        <v/>
      </c>
    </row>
    <row r="87" spans="4:60" x14ac:dyDescent="0.55000000000000004">
      <c r="D87">
        <v>79</v>
      </c>
      <c r="E87" t="str">
        <f t="shared" si="52"/>
        <v/>
      </c>
      <c r="F87" t="str">
        <f t="shared" si="69"/>
        <v/>
      </c>
      <c r="G87" t="str">
        <f t="shared" si="53"/>
        <v/>
      </c>
      <c r="Z87" t="str">
        <f t="shared" si="70"/>
        <v/>
      </c>
      <c r="AA87" t="str">
        <f t="shared" si="71"/>
        <v/>
      </c>
      <c r="AB87" t="str">
        <f t="shared" si="71"/>
        <v/>
      </c>
      <c r="AC87" t="str">
        <f t="shared" si="71"/>
        <v/>
      </c>
      <c r="AD87" t="str">
        <f t="shared" si="72"/>
        <v/>
      </c>
      <c r="AE87" t="str">
        <f t="shared" si="72"/>
        <v/>
      </c>
      <c r="AF87" t="str">
        <f t="shared" si="73"/>
        <v/>
      </c>
      <c r="AG87" t="str">
        <f t="shared" si="74"/>
        <v/>
      </c>
      <c r="AH87" t="str">
        <f t="shared" si="75"/>
        <v/>
      </c>
      <c r="AI87" t="str">
        <f t="shared" si="76"/>
        <v/>
      </c>
      <c r="AJ87" t="str">
        <f t="shared" si="77"/>
        <v/>
      </c>
      <c r="AK87" t="str">
        <f t="shared" si="78"/>
        <v/>
      </c>
      <c r="AM87" t="str">
        <f t="shared" si="54"/>
        <v/>
      </c>
      <c r="AN87" t="str">
        <f t="shared" si="55"/>
        <v/>
      </c>
      <c r="AO87" t="str">
        <f t="shared" si="56"/>
        <v/>
      </c>
      <c r="AP87" t="str">
        <f t="shared" si="57"/>
        <v/>
      </c>
      <c r="AQ87" t="str">
        <f t="shared" si="58"/>
        <v/>
      </c>
      <c r="AR87" t="str">
        <f t="shared" si="59"/>
        <v/>
      </c>
      <c r="AS87" t="str">
        <f t="shared" si="60"/>
        <v/>
      </c>
      <c r="AT87" t="str">
        <f t="shared" si="61"/>
        <v/>
      </c>
      <c r="AU87" t="str">
        <f t="shared" si="62"/>
        <v/>
      </c>
      <c r="AV87" t="str">
        <f t="shared" si="79"/>
        <v/>
      </c>
      <c r="AW87" t="str">
        <f t="shared" si="80"/>
        <v/>
      </c>
      <c r="AY87" t="str">
        <f>IF($AM87="●",AT87&amp;CHAR(10)&amp;"BOX_ST"&amp;CHAR(10)&amp;";//"&amp;$B$28,"")</f>
        <v/>
      </c>
      <c r="AZ87" t="str">
        <f t="shared" si="63"/>
        <v/>
      </c>
      <c r="BA87" t="str">
        <f t="shared" si="64"/>
        <v/>
      </c>
      <c r="BB87" t="str">
        <f t="shared" si="65"/>
        <v/>
      </c>
      <c r="BC87" t="str">
        <f>IF($AM87="●",IF(LEN(BB87),BB87&amp;CHAR(10),"")&amp;";//"&amp;$B$29,"")</f>
        <v/>
      </c>
      <c r="BE87">
        <f t="shared" si="66"/>
        <v>26</v>
      </c>
      <c r="BF87">
        <f t="shared" si="67"/>
        <v>1</v>
      </c>
      <c r="BG87" t="str">
        <f t="shared" si="68"/>
        <v/>
      </c>
      <c r="BH87" t="str">
        <f t="shared" si="81"/>
        <v/>
      </c>
    </row>
    <row r="88" spans="4:60" x14ac:dyDescent="0.55000000000000004">
      <c r="D88">
        <v>80</v>
      </c>
      <c r="E88" t="str">
        <f t="shared" si="52"/>
        <v/>
      </c>
      <c r="F88" t="str">
        <f t="shared" si="69"/>
        <v/>
      </c>
      <c r="G88" t="str">
        <f t="shared" si="53"/>
        <v/>
      </c>
      <c r="Z88" t="str">
        <f t="shared" si="70"/>
        <v/>
      </c>
      <c r="AA88" t="str">
        <f t="shared" si="71"/>
        <v/>
      </c>
      <c r="AB88" t="str">
        <f t="shared" si="71"/>
        <v/>
      </c>
      <c r="AC88" t="str">
        <f t="shared" si="71"/>
        <v/>
      </c>
      <c r="AD88" t="str">
        <f t="shared" si="72"/>
        <v/>
      </c>
      <c r="AE88" t="str">
        <f t="shared" si="72"/>
        <v/>
      </c>
      <c r="AF88" t="str">
        <f t="shared" si="73"/>
        <v/>
      </c>
      <c r="AG88" t="str">
        <f t="shared" si="74"/>
        <v/>
      </c>
      <c r="AH88" t="str">
        <f t="shared" si="75"/>
        <v/>
      </c>
      <c r="AI88" t="str">
        <f t="shared" si="76"/>
        <v/>
      </c>
      <c r="AJ88" t="str">
        <f t="shared" si="77"/>
        <v/>
      </c>
      <c r="AK88" t="str">
        <f t="shared" si="78"/>
        <v/>
      </c>
      <c r="AM88" t="str">
        <f t="shared" si="54"/>
        <v/>
      </c>
      <c r="AN88" t="str">
        <f t="shared" si="55"/>
        <v/>
      </c>
      <c r="AO88" t="str">
        <f t="shared" si="56"/>
        <v/>
      </c>
      <c r="AP88" t="str">
        <f t="shared" si="57"/>
        <v/>
      </c>
      <c r="AQ88" t="str">
        <f t="shared" si="58"/>
        <v/>
      </c>
      <c r="AR88" t="str">
        <f t="shared" si="59"/>
        <v/>
      </c>
      <c r="AS88" t="str">
        <f t="shared" si="60"/>
        <v/>
      </c>
      <c r="AT88" t="str">
        <f t="shared" si="61"/>
        <v/>
      </c>
      <c r="AU88" t="str">
        <f t="shared" si="62"/>
        <v/>
      </c>
      <c r="AV88" t="str">
        <f t="shared" si="79"/>
        <v/>
      </c>
      <c r="AW88" t="str">
        <f t="shared" si="80"/>
        <v/>
      </c>
      <c r="AY88" t="str">
        <f>IF($AM88="●",AT88&amp;CHAR(10)&amp;"BOX_ST"&amp;CHAR(10)&amp;";//"&amp;$B$28,"")</f>
        <v/>
      </c>
      <c r="AZ88" t="str">
        <f t="shared" si="63"/>
        <v/>
      </c>
      <c r="BA88" t="str">
        <f t="shared" si="64"/>
        <v/>
      </c>
      <c r="BB88" t="str">
        <f t="shared" si="65"/>
        <v/>
      </c>
      <c r="BC88" t="str">
        <f>IF($AM88="●",IF(LEN(BB88),BB88&amp;CHAR(10),"")&amp;";//"&amp;$B$29,"")</f>
        <v/>
      </c>
      <c r="BE88">
        <f t="shared" si="66"/>
        <v>26</v>
      </c>
      <c r="BF88">
        <f t="shared" si="67"/>
        <v>2</v>
      </c>
      <c r="BG88" t="str">
        <f t="shared" si="68"/>
        <v/>
      </c>
      <c r="BH88" t="str">
        <f t="shared" si="81"/>
        <v/>
      </c>
    </row>
    <row r="89" spans="4:60" x14ac:dyDescent="0.55000000000000004">
      <c r="D89">
        <v>81</v>
      </c>
      <c r="E89" t="str">
        <f t="shared" si="52"/>
        <v/>
      </c>
      <c r="F89" t="str">
        <f t="shared" si="69"/>
        <v/>
      </c>
      <c r="G89" t="str">
        <f t="shared" si="53"/>
        <v/>
      </c>
      <c r="Z89" t="str">
        <f t="shared" si="70"/>
        <v/>
      </c>
      <c r="AA89" t="str">
        <f t="shared" si="71"/>
        <v/>
      </c>
      <c r="AB89" t="str">
        <f t="shared" si="71"/>
        <v/>
      </c>
      <c r="AC89" t="str">
        <f t="shared" si="71"/>
        <v/>
      </c>
      <c r="AD89" t="str">
        <f t="shared" si="72"/>
        <v/>
      </c>
      <c r="AE89" t="str">
        <f t="shared" si="72"/>
        <v/>
      </c>
      <c r="AF89" t="str">
        <f t="shared" si="73"/>
        <v/>
      </c>
      <c r="AG89" t="str">
        <f t="shared" si="74"/>
        <v/>
      </c>
      <c r="AH89" t="str">
        <f t="shared" si="75"/>
        <v/>
      </c>
      <c r="AI89" t="str">
        <f t="shared" si="76"/>
        <v/>
      </c>
      <c r="AJ89" t="str">
        <f t="shared" si="77"/>
        <v/>
      </c>
      <c r="AK89" t="str">
        <f t="shared" si="78"/>
        <v/>
      </c>
      <c r="AM89" t="str">
        <f t="shared" si="54"/>
        <v/>
      </c>
      <c r="AN89" t="str">
        <f t="shared" si="55"/>
        <v/>
      </c>
      <c r="AO89" t="str">
        <f t="shared" si="56"/>
        <v/>
      </c>
      <c r="AP89" t="str">
        <f t="shared" si="57"/>
        <v/>
      </c>
      <c r="AQ89" t="str">
        <f t="shared" si="58"/>
        <v/>
      </c>
      <c r="AR89" t="str">
        <f t="shared" si="59"/>
        <v/>
      </c>
      <c r="AS89" t="str">
        <f t="shared" si="60"/>
        <v/>
      </c>
      <c r="AT89" t="str">
        <f t="shared" si="61"/>
        <v/>
      </c>
      <c r="AU89" t="str">
        <f t="shared" si="62"/>
        <v/>
      </c>
      <c r="AV89" t="str">
        <f t="shared" si="79"/>
        <v/>
      </c>
      <c r="AW89" t="str">
        <f t="shared" si="80"/>
        <v/>
      </c>
      <c r="AY89" t="str">
        <f>IF($AM89="●",AT89&amp;CHAR(10)&amp;"BOX_ST"&amp;CHAR(10)&amp;";//"&amp;$B$28,"")</f>
        <v/>
      </c>
      <c r="AZ89" t="str">
        <f t="shared" si="63"/>
        <v/>
      </c>
      <c r="BA89" t="str">
        <f t="shared" si="64"/>
        <v/>
      </c>
      <c r="BB89" t="str">
        <f t="shared" si="65"/>
        <v/>
      </c>
      <c r="BC89" t="str">
        <f>IF($AM89="●",IF(LEN(BB89),BB89&amp;CHAR(10),"")&amp;";//"&amp;$B$29,"")</f>
        <v/>
      </c>
      <c r="BE89">
        <f t="shared" si="66"/>
        <v>27</v>
      </c>
      <c r="BF89">
        <f t="shared" si="67"/>
        <v>0</v>
      </c>
      <c r="BG89" t="str">
        <f t="shared" si="68"/>
        <v/>
      </c>
      <c r="BH89" t="str">
        <f t="shared" si="81"/>
        <v/>
      </c>
    </row>
    <row r="90" spans="4:60" x14ac:dyDescent="0.55000000000000004">
      <c r="D90">
        <v>82</v>
      </c>
      <c r="E90" t="str">
        <f t="shared" si="52"/>
        <v/>
      </c>
      <c r="F90" t="str">
        <f t="shared" si="69"/>
        <v/>
      </c>
      <c r="G90" t="str">
        <f t="shared" si="53"/>
        <v/>
      </c>
      <c r="Z90" t="str">
        <f t="shared" si="70"/>
        <v/>
      </c>
      <c r="AA90" t="str">
        <f t="shared" si="71"/>
        <v/>
      </c>
      <c r="AB90" t="str">
        <f t="shared" si="71"/>
        <v/>
      </c>
      <c r="AC90" t="str">
        <f t="shared" si="71"/>
        <v/>
      </c>
      <c r="AD90" t="str">
        <f t="shared" si="72"/>
        <v/>
      </c>
      <c r="AE90" t="str">
        <f t="shared" si="72"/>
        <v/>
      </c>
      <c r="AF90" t="str">
        <f t="shared" si="73"/>
        <v/>
      </c>
      <c r="AG90" t="str">
        <f t="shared" si="74"/>
        <v/>
      </c>
      <c r="AH90" t="str">
        <f t="shared" si="75"/>
        <v/>
      </c>
      <c r="AI90" t="str">
        <f t="shared" si="76"/>
        <v/>
      </c>
      <c r="AJ90" t="str">
        <f t="shared" si="77"/>
        <v/>
      </c>
      <c r="AK90" t="str">
        <f t="shared" si="78"/>
        <v/>
      </c>
      <c r="AM90" t="str">
        <f t="shared" si="54"/>
        <v/>
      </c>
      <c r="AN90" t="str">
        <f t="shared" si="55"/>
        <v/>
      </c>
      <c r="AO90" t="str">
        <f t="shared" si="56"/>
        <v/>
      </c>
      <c r="AP90" t="str">
        <f t="shared" si="57"/>
        <v/>
      </c>
      <c r="AQ90" t="str">
        <f t="shared" si="58"/>
        <v/>
      </c>
      <c r="AR90" t="str">
        <f t="shared" si="59"/>
        <v/>
      </c>
      <c r="AS90" t="str">
        <f t="shared" si="60"/>
        <v/>
      </c>
      <c r="AT90" t="str">
        <f t="shared" si="61"/>
        <v/>
      </c>
      <c r="AU90" t="str">
        <f t="shared" si="62"/>
        <v/>
      </c>
      <c r="AV90" t="str">
        <f t="shared" si="79"/>
        <v/>
      </c>
      <c r="AW90" t="str">
        <f t="shared" si="80"/>
        <v/>
      </c>
      <c r="AY90" t="str">
        <f>IF($AM90="●",AT90&amp;CHAR(10)&amp;"BOX_ST"&amp;CHAR(10)&amp;";//"&amp;$B$28,"")</f>
        <v/>
      </c>
      <c r="AZ90" t="str">
        <f t="shared" si="63"/>
        <v/>
      </c>
      <c r="BA90" t="str">
        <f t="shared" si="64"/>
        <v/>
      </c>
      <c r="BB90" t="str">
        <f t="shared" si="65"/>
        <v/>
      </c>
      <c r="BC90" t="str">
        <f>IF($AM90="●",IF(LEN(BB90),BB90&amp;CHAR(10),"")&amp;";//"&amp;$B$29,"")</f>
        <v/>
      </c>
      <c r="BE90">
        <f t="shared" si="66"/>
        <v>27</v>
      </c>
      <c r="BF90">
        <f t="shared" si="67"/>
        <v>1</v>
      </c>
      <c r="BG90" t="str">
        <f t="shared" si="68"/>
        <v/>
      </c>
      <c r="BH90" t="str">
        <f t="shared" si="81"/>
        <v/>
      </c>
    </row>
    <row r="91" spans="4:60" x14ac:dyDescent="0.55000000000000004">
      <c r="D91">
        <v>83</v>
      </c>
      <c r="E91" t="str">
        <f t="shared" si="52"/>
        <v/>
      </c>
      <c r="F91" t="str">
        <f t="shared" si="69"/>
        <v/>
      </c>
      <c r="G91" t="str">
        <f t="shared" si="53"/>
        <v/>
      </c>
      <c r="Z91" t="str">
        <f t="shared" si="70"/>
        <v/>
      </c>
      <c r="AA91" t="str">
        <f t="shared" si="71"/>
        <v/>
      </c>
      <c r="AB91" t="str">
        <f t="shared" si="71"/>
        <v/>
      </c>
      <c r="AC91" t="str">
        <f t="shared" si="71"/>
        <v/>
      </c>
      <c r="AD91" t="str">
        <f t="shared" si="72"/>
        <v/>
      </c>
      <c r="AE91" t="str">
        <f t="shared" si="72"/>
        <v/>
      </c>
      <c r="AF91" t="str">
        <f t="shared" si="73"/>
        <v/>
      </c>
      <c r="AG91" t="str">
        <f t="shared" si="74"/>
        <v/>
      </c>
      <c r="AH91" t="str">
        <f t="shared" si="75"/>
        <v/>
      </c>
      <c r="AI91" t="str">
        <f t="shared" si="76"/>
        <v/>
      </c>
      <c r="AJ91" t="str">
        <f t="shared" si="77"/>
        <v/>
      </c>
      <c r="AK91" t="str">
        <f t="shared" si="78"/>
        <v/>
      </c>
      <c r="AM91" t="str">
        <f t="shared" si="54"/>
        <v/>
      </c>
      <c r="AN91" t="str">
        <f t="shared" si="55"/>
        <v/>
      </c>
      <c r="AO91" t="str">
        <f t="shared" si="56"/>
        <v/>
      </c>
      <c r="AP91" t="str">
        <f t="shared" si="57"/>
        <v/>
      </c>
      <c r="AQ91" t="str">
        <f t="shared" si="58"/>
        <v/>
      </c>
      <c r="AR91" t="str">
        <f t="shared" si="59"/>
        <v/>
      </c>
      <c r="AS91" t="str">
        <f t="shared" si="60"/>
        <v/>
      </c>
      <c r="AT91" t="str">
        <f t="shared" si="61"/>
        <v/>
      </c>
      <c r="AU91" t="str">
        <f t="shared" si="62"/>
        <v/>
      </c>
      <c r="AV91" t="str">
        <f t="shared" si="79"/>
        <v/>
      </c>
      <c r="AW91" t="str">
        <f t="shared" si="80"/>
        <v/>
      </c>
      <c r="AY91" t="str">
        <f>IF($AM91="●",AT91&amp;CHAR(10)&amp;"BOX_ST"&amp;CHAR(10)&amp;";//"&amp;$B$28,"")</f>
        <v/>
      </c>
      <c r="AZ91" t="str">
        <f t="shared" si="63"/>
        <v/>
      </c>
      <c r="BA91" t="str">
        <f t="shared" si="64"/>
        <v/>
      </c>
      <c r="BB91" t="str">
        <f t="shared" si="65"/>
        <v/>
      </c>
      <c r="BC91" t="str">
        <f>IF($AM91="●",IF(LEN(BB91),BB91&amp;CHAR(10),"")&amp;";//"&amp;$B$29,"")</f>
        <v/>
      </c>
      <c r="BE91">
        <f t="shared" si="66"/>
        <v>27</v>
      </c>
      <c r="BF91">
        <f t="shared" si="67"/>
        <v>2</v>
      </c>
      <c r="BG91" t="str">
        <f t="shared" si="68"/>
        <v/>
      </c>
      <c r="BH91" t="str">
        <f t="shared" si="81"/>
        <v/>
      </c>
    </row>
    <row r="92" spans="4:60" x14ac:dyDescent="0.55000000000000004">
      <c r="D92">
        <v>84</v>
      </c>
      <c r="E92" t="str">
        <f t="shared" si="52"/>
        <v/>
      </c>
      <c r="F92" t="str">
        <f t="shared" si="69"/>
        <v/>
      </c>
      <c r="G92" t="str">
        <f t="shared" si="53"/>
        <v/>
      </c>
      <c r="Z92" t="str">
        <f t="shared" si="70"/>
        <v/>
      </c>
      <c r="AA92" t="str">
        <f t="shared" si="71"/>
        <v/>
      </c>
      <c r="AB92" t="str">
        <f t="shared" si="71"/>
        <v/>
      </c>
      <c r="AC92" t="str">
        <f t="shared" si="71"/>
        <v/>
      </c>
      <c r="AD92" t="str">
        <f t="shared" si="72"/>
        <v/>
      </c>
      <c r="AE92" t="str">
        <f t="shared" si="72"/>
        <v/>
      </c>
      <c r="AF92" t="str">
        <f t="shared" si="73"/>
        <v/>
      </c>
      <c r="AG92" t="str">
        <f t="shared" si="74"/>
        <v/>
      </c>
      <c r="AH92" t="str">
        <f t="shared" si="75"/>
        <v/>
      </c>
      <c r="AI92" t="str">
        <f t="shared" si="76"/>
        <v/>
      </c>
      <c r="AJ92" t="str">
        <f t="shared" si="77"/>
        <v/>
      </c>
      <c r="AK92" t="str">
        <f t="shared" si="78"/>
        <v/>
      </c>
      <c r="AM92" t="str">
        <f t="shared" si="54"/>
        <v/>
      </c>
      <c r="AN92" t="str">
        <f t="shared" si="55"/>
        <v/>
      </c>
      <c r="AO92" t="str">
        <f t="shared" si="56"/>
        <v/>
      </c>
      <c r="AP92" t="str">
        <f t="shared" si="57"/>
        <v/>
      </c>
      <c r="AQ92" t="str">
        <f t="shared" si="58"/>
        <v/>
      </c>
      <c r="AR92" t="str">
        <f t="shared" si="59"/>
        <v/>
      </c>
      <c r="AS92" t="str">
        <f t="shared" si="60"/>
        <v/>
      </c>
      <c r="AT92" t="str">
        <f t="shared" si="61"/>
        <v/>
      </c>
      <c r="AU92" t="str">
        <f t="shared" si="62"/>
        <v/>
      </c>
      <c r="AV92" t="str">
        <f t="shared" si="79"/>
        <v/>
      </c>
      <c r="AW92" t="str">
        <f t="shared" si="80"/>
        <v/>
      </c>
      <c r="AY92" t="str">
        <f>IF($AM92="●",AT92&amp;CHAR(10)&amp;"BOX_ST"&amp;CHAR(10)&amp;";//"&amp;$B$28,"")</f>
        <v/>
      </c>
      <c r="AZ92" t="str">
        <f t="shared" si="63"/>
        <v/>
      </c>
      <c r="BA92" t="str">
        <f t="shared" si="64"/>
        <v/>
      </c>
      <c r="BB92" t="str">
        <f t="shared" si="65"/>
        <v/>
      </c>
      <c r="BC92" t="str">
        <f>IF($AM92="●",IF(LEN(BB92),BB92&amp;CHAR(10),"")&amp;";//"&amp;$B$29,"")</f>
        <v/>
      </c>
      <c r="BE92">
        <f t="shared" si="66"/>
        <v>28</v>
      </c>
      <c r="BF92">
        <f t="shared" si="67"/>
        <v>0</v>
      </c>
      <c r="BG92" t="str">
        <f t="shared" si="68"/>
        <v/>
      </c>
      <c r="BH92" t="str">
        <f t="shared" si="81"/>
        <v/>
      </c>
    </row>
    <row r="93" spans="4:60" x14ac:dyDescent="0.55000000000000004">
      <c r="D93">
        <v>85</v>
      </c>
      <c r="E93" t="str">
        <f t="shared" si="52"/>
        <v/>
      </c>
      <c r="F93" t="str">
        <f t="shared" si="69"/>
        <v/>
      </c>
      <c r="G93" t="str">
        <f t="shared" si="53"/>
        <v/>
      </c>
      <c r="Z93" t="str">
        <f t="shared" si="70"/>
        <v/>
      </c>
      <c r="AA93" t="str">
        <f t="shared" si="71"/>
        <v/>
      </c>
      <c r="AB93" t="str">
        <f t="shared" si="71"/>
        <v/>
      </c>
      <c r="AC93" t="str">
        <f t="shared" si="71"/>
        <v/>
      </c>
      <c r="AD93" t="str">
        <f t="shared" si="72"/>
        <v/>
      </c>
      <c r="AE93" t="str">
        <f t="shared" si="72"/>
        <v/>
      </c>
      <c r="AF93" t="str">
        <f t="shared" si="73"/>
        <v/>
      </c>
      <c r="AG93" t="str">
        <f t="shared" si="74"/>
        <v/>
      </c>
      <c r="AH93" t="str">
        <f t="shared" si="75"/>
        <v/>
      </c>
      <c r="AI93" t="str">
        <f t="shared" si="76"/>
        <v/>
      </c>
      <c r="AJ93" t="str">
        <f t="shared" si="77"/>
        <v/>
      </c>
      <c r="AK93" t="str">
        <f t="shared" si="78"/>
        <v/>
      </c>
      <c r="AM93" t="str">
        <f t="shared" si="54"/>
        <v/>
      </c>
      <c r="AN93" t="str">
        <f t="shared" si="55"/>
        <v/>
      </c>
      <c r="AO93" t="str">
        <f t="shared" si="56"/>
        <v/>
      </c>
      <c r="AP93" t="str">
        <f t="shared" si="57"/>
        <v/>
      </c>
      <c r="AQ93" t="str">
        <f t="shared" si="58"/>
        <v/>
      </c>
      <c r="AR93" t="str">
        <f t="shared" si="59"/>
        <v/>
      </c>
      <c r="AS93" t="str">
        <f t="shared" si="60"/>
        <v/>
      </c>
      <c r="AT93" t="str">
        <f t="shared" si="61"/>
        <v/>
      </c>
      <c r="AU93" t="str">
        <f t="shared" si="62"/>
        <v/>
      </c>
      <c r="AV93" t="str">
        <f t="shared" si="79"/>
        <v/>
      </c>
      <c r="AW93" t="str">
        <f t="shared" si="80"/>
        <v/>
      </c>
      <c r="AY93" t="str">
        <f>IF($AM93="●",AT93&amp;CHAR(10)&amp;"BOX_ST"&amp;CHAR(10)&amp;";//"&amp;$B$28,"")</f>
        <v/>
      </c>
      <c r="AZ93" t="str">
        <f t="shared" si="63"/>
        <v/>
      </c>
      <c r="BA93" t="str">
        <f t="shared" si="64"/>
        <v/>
      </c>
      <c r="BB93" t="str">
        <f t="shared" si="65"/>
        <v/>
      </c>
      <c r="BC93" t="str">
        <f>IF($AM93="●",IF(LEN(BB93),BB93&amp;CHAR(10),"")&amp;";//"&amp;$B$29,"")</f>
        <v/>
      </c>
      <c r="BE93">
        <f t="shared" si="66"/>
        <v>28</v>
      </c>
      <c r="BF93">
        <f t="shared" si="67"/>
        <v>1</v>
      </c>
      <c r="BG93" t="str">
        <f t="shared" si="68"/>
        <v/>
      </c>
      <c r="BH93" t="str">
        <f t="shared" si="81"/>
        <v/>
      </c>
    </row>
    <row r="94" spans="4:60" x14ac:dyDescent="0.55000000000000004">
      <c r="D94">
        <v>86</v>
      </c>
      <c r="E94" t="str">
        <f t="shared" si="52"/>
        <v/>
      </c>
      <c r="F94" t="str">
        <f t="shared" si="69"/>
        <v/>
      </c>
      <c r="G94" t="str">
        <f t="shared" si="53"/>
        <v/>
      </c>
      <c r="Z94" t="str">
        <f t="shared" si="70"/>
        <v/>
      </c>
      <c r="AA94" t="str">
        <f t="shared" si="71"/>
        <v/>
      </c>
      <c r="AB94" t="str">
        <f t="shared" si="71"/>
        <v/>
      </c>
      <c r="AC94" t="str">
        <f t="shared" si="71"/>
        <v/>
      </c>
      <c r="AD94" t="str">
        <f t="shared" si="72"/>
        <v/>
      </c>
      <c r="AE94" t="str">
        <f t="shared" si="72"/>
        <v/>
      </c>
      <c r="AF94" t="str">
        <f t="shared" si="73"/>
        <v/>
      </c>
      <c r="AG94" t="str">
        <f t="shared" si="74"/>
        <v/>
      </c>
      <c r="AH94" t="str">
        <f t="shared" si="75"/>
        <v/>
      </c>
      <c r="AI94" t="str">
        <f t="shared" si="76"/>
        <v/>
      </c>
      <c r="AJ94" t="str">
        <f t="shared" si="77"/>
        <v/>
      </c>
      <c r="AK94" t="str">
        <f t="shared" si="78"/>
        <v/>
      </c>
      <c r="AM94" t="str">
        <f t="shared" si="54"/>
        <v/>
      </c>
      <c r="AN94" t="str">
        <f t="shared" si="55"/>
        <v/>
      </c>
      <c r="AO94" t="str">
        <f t="shared" si="56"/>
        <v/>
      </c>
      <c r="AP94" t="str">
        <f t="shared" si="57"/>
        <v/>
      </c>
      <c r="AQ94" t="str">
        <f t="shared" si="58"/>
        <v/>
      </c>
      <c r="AR94" t="str">
        <f t="shared" si="59"/>
        <v/>
      </c>
      <c r="AS94" t="str">
        <f t="shared" si="60"/>
        <v/>
      </c>
      <c r="AT94" t="str">
        <f t="shared" si="61"/>
        <v/>
      </c>
      <c r="AU94" t="str">
        <f t="shared" si="62"/>
        <v/>
      </c>
      <c r="AV94" t="str">
        <f t="shared" si="79"/>
        <v/>
      </c>
      <c r="AW94" t="str">
        <f t="shared" si="80"/>
        <v/>
      </c>
      <c r="AY94" t="str">
        <f>IF($AM94="●",AT94&amp;CHAR(10)&amp;"BOX_ST"&amp;CHAR(10)&amp;";//"&amp;$B$28,"")</f>
        <v/>
      </c>
      <c r="AZ94" t="str">
        <f t="shared" si="63"/>
        <v/>
      </c>
      <c r="BA94" t="str">
        <f t="shared" si="64"/>
        <v/>
      </c>
      <c r="BB94" t="str">
        <f t="shared" si="65"/>
        <v/>
      </c>
      <c r="BC94" t="str">
        <f>IF($AM94="●",IF(LEN(BB94),BB94&amp;CHAR(10),"")&amp;";//"&amp;$B$29,"")</f>
        <v/>
      </c>
      <c r="BE94">
        <f t="shared" si="66"/>
        <v>28</v>
      </c>
      <c r="BF94">
        <f t="shared" si="67"/>
        <v>2</v>
      </c>
      <c r="BG94" t="str">
        <f t="shared" si="68"/>
        <v/>
      </c>
      <c r="BH94" t="str">
        <f t="shared" si="81"/>
        <v/>
      </c>
    </row>
    <row r="95" spans="4:60" x14ac:dyDescent="0.55000000000000004">
      <c r="D95">
        <v>87</v>
      </c>
      <c r="E95" t="str">
        <f t="shared" si="52"/>
        <v/>
      </c>
      <c r="F95" t="str">
        <f t="shared" si="69"/>
        <v/>
      </c>
      <c r="G95" t="str">
        <f t="shared" si="53"/>
        <v/>
      </c>
      <c r="Z95" t="str">
        <f t="shared" si="70"/>
        <v/>
      </c>
      <c r="AA95" t="str">
        <f t="shared" si="71"/>
        <v/>
      </c>
      <c r="AB95" t="str">
        <f t="shared" si="71"/>
        <v/>
      </c>
      <c r="AC95" t="str">
        <f t="shared" si="71"/>
        <v/>
      </c>
      <c r="AD95" t="str">
        <f t="shared" si="72"/>
        <v/>
      </c>
      <c r="AE95" t="str">
        <f t="shared" si="72"/>
        <v/>
      </c>
      <c r="AF95" t="str">
        <f t="shared" si="73"/>
        <v/>
      </c>
      <c r="AG95" t="str">
        <f t="shared" si="74"/>
        <v/>
      </c>
      <c r="AH95" t="str">
        <f t="shared" si="75"/>
        <v/>
      </c>
      <c r="AI95" t="str">
        <f t="shared" si="76"/>
        <v/>
      </c>
      <c r="AJ95" t="str">
        <f t="shared" si="77"/>
        <v/>
      </c>
      <c r="AK95" t="str">
        <f t="shared" si="78"/>
        <v/>
      </c>
      <c r="AM95" t="str">
        <f t="shared" si="54"/>
        <v/>
      </c>
      <c r="AN95" t="str">
        <f t="shared" si="55"/>
        <v/>
      </c>
      <c r="AO95" t="str">
        <f t="shared" si="56"/>
        <v/>
      </c>
      <c r="AP95" t="str">
        <f t="shared" si="57"/>
        <v/>
      </c>
      <c r="AQ95" t="str">
        <f t="shared" si="58"/>
        <v/>
      </c>
      <c r="AR95" t="str">
        <f t="shared" si="59"/>
        <v/>
      </c>
      <c r="AS95" t="str">
        <f t="shared" si="60"/>
        <v/>
      </c>
      <c r="AT95" t="str">
        <f t="shared" si="61"/>
        <v/>
      </c>
      <c r="AU95" t="str">
        <f t="shared" si="62"/>
        <v/>
      </c>
      <c r="AV95" t="str">
        <f t="shared" si="79"/>
        <v/>
      </c>
      <c r="AW95" t="str">
        <f t="shared" si="80"/>
        <v/>
      </c>
      <c r="AY95" t="str">
        <f>IF($AM95="●",AT95&amp;CHAR(10)&amp;"BOX_ST"&amp;CHAR(10)&amp;";//"&amp;$B$28,"")</f>
        <v/>
      </c>
      <c r="AZ95" t="str">
        <f t="shared" si="63"/>
        <v/>
      </c>
      <c r="BA95" t="str">
        <f t="shared" si="64"/>
        <v/>
      </c>
      <c r="BB95" t="str">
        <f t="shared" si="65"/>
        <v/>
      </c>
      <c r="BC95" t="str">
        <f>IF($AM95="●",IF(LEN(BB95),BB95&amp;CHAR(10),"")&amp;";//"&amp;$B$29,"")</f>
        <v/>
      </c>
      <c r="BE95">
        <f t="shared" si="66"/>
        <v>29</v>
      </c>
      <c r="BF95">
        <f t="shared" si="67"/>
        <v>0</v>
      </c>
      <c r="BG95" t="str">
        <f t="shared" si="68"/>
        <v/>
      </c>
      <c r="BH95" t="str">
        <f t="shared" si="81"/>
        <v/>
      </c>
    </row>
    <row r="96" spans="4:60" x14ac:dyDescent="0.55000000000000004">
      <c r="D96">
        <v>88</v>
      </c>
      <c r="E96" t="str">
        <f t="shared" si="52"/>
        <v/>
      </c>
      <c r="F96" t="str">
        <f t="shared" si="69"/>
        <v/>
      </c>
      <c r="G96" t="str">
        <f t="shared" si="53"/>
        <v/>
      </c>
      <c r="Z96" t="str">
        <f t="shared" si="70"/>
        <v/>
      </c>
      <c r="AA96" t="str">
        <f t="shared" si="71"/>
        <v/>
      </c>
      <c r="AB96" t="str">
        <f t="shared" si="71"/>
        <v/>
      </c>
      <c r="AC96" t="str">
        <f t="shared" si="71"/>
        <v/>
      </c>
      <c r="AD96" t="str">
        <f t="shared" si="72"/>
        <v/>
      </c>
      <c r="AE96" t="str">
        <f t="shared" si="72"/>
        <v/>
      </c>
      <c r="AF96" t="str">
        <f t="shared" si="73"/>
        <v/>
      </c>
      <c r="AG96" t="str">
        <f t="shared" si="74"/>
        <v/>
      </c>
      <c r="AH96" t="str">
        <f t="shared" si="75"/>
        <v/>
      </c>
      <c r="AI96" t="str">
        <f t="shared" si="76"/>
        <v/>
      </c>
      <c r="AJ96" t="str">
        <f t="shared" si="77"/>
        <v/>
      </c>
      <c r="AK96" t="str">
        <f t="shared" si="78"/>
        <v/>
      </c>
      <c r="AM96" t="str">
        <f t="shared" si="54"/>
        <v/>
      </c>
      <c r="AN96" t="str">
        <f t="shared" si="55"/>
        <v/>
      </c>
      <c r="AO96" t="str">
        <f t="shared" si="56"/>
        <v/>
      </c>
      <c r="AP96" t="str">
        <f t="shared" si="57"/>
        <v/>
      </c>
      <c r="AQ96" t="str">
        <f t="shared" si="58"/>
        <v/>
      </c>
      <c r="AR96" t="str">
        <f t="shared" si="59"/>
        <v/>
      </c>
      <c r="AS96" t="str">
        <f t="shared" si="60"/>
        <v/>
      </c>
      <c r="AT96" t="str">
        <f t="shared" si="61"/>
        <v/>
      </c>
      <c r="AU96" t="str">
        <f t="shared" si="62"/>
        <v/>
      </c>
      <c r="AV96" t="str">
        <f t="shared" si="79"/>
        <v/>
      </c>
      <c r="AW96" t="str">
        <f t="shared" si="80"/>
        <v/>
      </c>
      <c r="AY96" t="str">
        <f>IF($AM96="●",AT96&amp;CHAR(10)&amp;"BOX_ST"&amp;CHAR(10)&amp;";//"&amp;$B$28,"")</f>
        <v/>
      </c>
      <c r="AZ96" t="str">
        <f t="shared" si="63"/>
        <v/>
      </c>
      <c r="BA96" t="str">
        <f t="shared" si="64"/>
        <v/>
      </c>
      <c r="BB96" t="str">
        <f t="shared" si="65"/>
        <v/>
      </c>
      <c r="BC96" t="str">
        <f>IF($AM96="●",IF(LEN(BB96),BB96&amp;CHAR(10),"")&amp;";//"&amp;$B$29,"")</f>
        <v/>
      </c>
      <c r="BE96">
        <f t="shared" si="66"/>
        <v>29</v>
      </c>
      <c r="BF96">
        <f t="shared" si="67"/>
        <v>1</v>
      </c>
      <c r="BG96" t="str">
        <f t="shared" si="68"/>
        <v/>
      </c>
      <c r="BH96" t="str">
        <f t="shared" si="81"/>
        <v/>
      </c>
    </row>
    <row r="97" spans="4:60" x14ac:dyDescent="0.55000000000000004">
      <c r="D97">
        <v>89</v>
      </c>
      <c r="E97" t="str">
        <f t="shared" si="52"/>
        <v/>
      </c>
      <c r="F97" t="str">
        <f t="shared" si="69"/>
        <v/>
      </c>
      <c r="G97" t="str">
        <f t="shared" si="53"/>
        <v/>
      </c>
      <c r="Z97" t="str">
        <f t="shared" si="70"/>
        <v/>
      </c>
      <c r="AA97" t="str">
        <f t="shared" si="71"/>
        <v/>
      </c>
      <c r="AB97" t="str">
        <f t="shared" si="71"/>
        <v/>
      </c>
      <c r="AC97" t="str">
        <f t="shared" si="71"/>
        <v/>
      </c>
      <c r="AD97" t="str">
        <f t="shared" si="72"/>
        <v/>
      </c>
      <c r="AE97" t="str">
        <f t="shared" si="72"/>
        <v/>
      </c>
      <c r="AF97" t="str">
        <f t="shared" si="73"/>
        <v/>
      </c>
      <c r="AG97" t="str">
        <f t="shared" si="74"/>
        <v/>
      </c>
      <c r="AH97" t="str">
        <f t="shared" si="75"/>
        <v/>
      </c>
      <c r="AI97" t="str">
        <f t="shared" si="76"/>
        <v/>
      </c>
      <c r="AJ97" t="str">
        <f t="shared" si="77"/>
        <v/>
      </c>
      <c r="AK97" t="str">
        <f t="shared" si="78"/>
        <v/>
      </c>
      <c r="AM97" t="str">
        <f t="shared" si="54"/>
        <v/>
      </c>
      <c r="AN97" t="str">
        <f t="shared" si="55"/>
        <v/>
      </c>
      <c r="AO97" t="str">
        <f t="shared" si="56"/>
        <v/>
      </c>
      <c r="AP97" t="str">
        <f t="shared" si="57"/>
        <v/>
      </c>
      <c r="AQ97" t="str">
        <f t="shared" si="58"/>
        <v/>
      </c>
      <c r="AR97" t="str">
        <f t="shared" si="59"/>
        <v/>
      </c>
      <c r="AS97" t="str">
        <f t="shared" si="60"/>
        <v/>
      </c>
      <c r="AT97" t="str">
        <f t="shared" si="61"/>
        <v/>
      </c>
      <c r="AU97" t="str">
        <f t="shared" si="62"/>
        <v/>
      </c>
      <c r="AV97" t="str">
        <f t="shared" si="79"/>
        <v/>
      </c>
      <c r="AW97" t="str">
        <f t="shared" si="80"/>
        <v/>
      </c>
      <c r="AY97" t="str">
        <f>IF($AM97="●",AT97&amp;CHAR(10)&amp;"BOX_ST"&amp;CHAR(10)&amp;";//"&amp;$B$28,"")</f>
        <v/>
      </c>
      <c r="AZ97" t="str">
        <f t="shared" si="63"/>
        <v/>
      </c>
      <c r="BA97" t="str">
        <f t="shared" si="64"/>
        <v/>
      </c>
      <c r="BB97" t="str">
        <f t="shared" si="65"/>
        <v/>
      </c>
      <c r="BC97" t="str">
        <f>IF($AM97="●",IF(LEN(BB97),BB97&amp;CHAR(10),"")&amp;";//"&amp;$B$29,"")</f>
        <v/>
      </c>
      <c r="BE97">
        <f t="shared" si="66"/>
        <v>29</v>
      </c>
      <c r="BF97">
        <f t="shared" si="67"/>
        <v>2</v>
      </c>
      <c r="BG97" t="str">
        <f t="shared" si="68"/>
        <v/>
      </c>
      <c r="BH97" t="str">
        <f t="shared" si="81"/>
        <v/>
      </c>
    </row>
    <row r="98" spans="4:60" x14ac:dyDescent="0.55000000000000004">
      <c r="D98">
        <v>90</v>
      </c>
      <c r="E98" t="str">
        <f t="shared" si="52"/>
        <v/>
      </c>
      <c r="F98" t="str">
        <f t="shared" si="69"/>
        <v/>
      </c>
      <c r="G98" t="str">
        <f t="shared" si="53"/>
        <v/>
      </c>
      <c r="Z98" t="str">
        <f t="shared" si="70"/>
        <v/>
      </c>
      <c r="AA98" t="str">
        <f t="shared" si="71"/>
        <v/>
      </c>
      <c r="AB98" t="str">
        <f t="shared" si="71"/>
        <v/>
      </c>
      <c r="AC98" t="str">
        <f t="shared" si="71"/>
        <v/>
      </c>
      <c r="AD98" t="str">
        <f t="shared" si="72"/>
        <v/>
      </c>
      <c r="AE98" t="str">
        <f t="shared" si="72"/>
        <v/>
      </c>
      <c r="AF98" t="str">
        <f t="shared" si="73"/>
        <v/>
      </c>
      <c r="AG98" t="str">
        <f t="shared" si="74"/>
        <v/>
      </c>
      <c r="AH98" t="str">
        <f t="shared" si="75"/>
        <v/>
      </c>
      <c r="AI98" t="str">
        <f t="shared" si="76"/>
        <v/>
      </c>
      <c r="AJ98" t="str">
        <f t="shared" si="77"/>
        <v/>
      </c>
      <c r="AK98" t="str">
        <f t="shared" si="78"/>
        <v/>
      </c>
      <c r="AM98" t="str">
        <f t="shared" si="54"/>
        <v/>
      </c>
      <c r="AN98" t="str">
        <f t="shared" si="55"/>
        <v/>
      </c>
      <c r="AO98" t="str">
        <f t="shared" si="56"/>
        <v/>
      </c>
      <c r="AP98" t="str">
        <f t="shared" si="57"/>
        <v/>
      </c>
      <c r="AQ98" t="str">
        <f t="shared" si="58"/>
        <v/>
      </c>
      <c r="AR98" t="str">
        <f t="shared" si="59"/>
        <v/>
      </c>
      <c r="AS98" t="str">
        <f t="shared" si="60"/>
        <v/>
      </c>
      <c r="AT98" t="str">
        <f t="shared" si="61"/>
        <v/>
      </c>
      <c r="AU98" t="str">
        <f t="shared" si="62"/>
        <v/>
      </c>
      <c r="AV98" t="str">
        <f t="shared" si="79"/>
        <v/>
      </c>
      <c r="AW98" t="str">
        <f t="shared" si="80"/>
        <v/>
      </c>
      <c r="AY98" t="str">
        <f>IF($AM98="●",AT98&amp;CHAR(10)&amp;"BOX_ST"&amp;CHAR(10)&amp;";//"&amp;$B$28,"")</f>
        <v/>
      </c>
      <c r="AZ98" t="str">
        <f t="shared" si="63"/>
        <v/>
      </c>
      <c r="BA98" t="str">
        <f t="shared" si="64"/>
        <v/>
      </c>
      <c r="BB98" t="str">
        <f t="shared" si="65"/>
        <v/>
      </c>
      <c r="BC98" t="str">
        <f>IF($AM98="●",IF(LEN(BB98),BB98&amp;CHAR(10),"")&amp;";//"&amp;$B$29,"")</f>
        <v/>
      </c>
      <c r="BE98">
        <f t="shared" si="66"/>
        <v>30</v>
      </c>
      <c r="BF98">
        <f t="shared" si="67"/>
        <v>0</v>
      </c>
      <c r="BG98" t="str">
        <f t="shared" si="68"/>
        <v/>
      </c>
      <c r="BH98" t="str">
        <f t="shared" si="81"/>
        <v/>
      </c>
    </row>
    <row r="99" spans="4:60" x14ac:dyDescent="0.55000000000000004">
      <c r="D99">
        <v>91</v>
      </c>
      <c r="E99" t="str">
        <f t="shared" si="52"/>
        <v/>
      </c>
      <c r="F99" t="str">
        <f t="shared" si="69"/>
        <v/>
      </c>
      <c r="G99" t="str">
        <f t="shared" si="53"/>
        <v/>
      </c>
      <c r="Z99" t="str">
        <f t="shared" si="70"/>
        <v/>
      </c>
      <c r="AA99" t="str">
        <f t="shared" si="71"/>
        <v/>
      </c>
      <c r="AB99" t="str">
        <f t="shared" si="71"/>
        <v/>
      </c>
      <c r="AC99" t="str">
        <f t="shared" si="71"/>
        <v/>
      </c>
      <c r="AD99" t="str">
        <f t="shared" si="72"/>
        <v/>
      </c>
      <c r="AE99" t="str">
        <f t="shared" si="72"/>
        <v/>
      </c>
      <c r="AF99" t="str">
        <f t="shared" si="73"/>
        <v/>
      </c>
      <c r="AG99" t="str">
        <f t="shared" si="74"/>
        <v/>
      </c>
      <c r="AH99" t="str">
        <f t="shared" si="75"/>
        <v/>
      </c>
      <c r="AI99" t="str">
        <f t="shared" si="76"/>
        <v/>
      </c>
      <c r="AJ99" t="str">
        <f t="shared" si="77"/>
        <v/>
      </c>
      <c r="AK99" t="str">
        <f t="shared" si="78"/>
        <v/>
      </c>
      <c r="AM99" t="str">
        <f t="shared" si="54"/>
        <v/>
      </c>
      <c r="AN99" t="str">
        <f t="shared" si="55"/>
        <v/>
      </c>
      <c r="AO99" t="str">
        <f t="shared" si="56"/>
        <v/>
      </c>
      <c r="AP99" t="str">
        <f t="shared" si="57"/>
        <v/>
      </c>
      <c r="AQ99" t="str">
        <f t="shared" si="58"/>
        <v/>
      </c>
      <c r="AR99" t="str">
        <f t="shared" si="59"/>
        <v/>
      </c>
      <c r="AS99" t="str">
        <f t="shared" si="60"/>
        <v/>
      </c>
      <c r="AT99" t="str">
        <f t="shared" si="61"/>
        <v/>
      </c>
      <c r="AU99" t="str">
        <f t="shared" si="62"/>
        <v/>
      </c>
      <c r="AV99" t="str">
        <f t="shared" si="79"/>
        <v/>
      </c>
      <c r="AW99" t="str">
        <f t="shared" si="80"/>
        <v/>
      </c>
      <c r="AY99" t="str">
        <f>IF($AM99="●",AT99&amp;CHAR(10)&amp;"BOX_ST"&amp;CHAR(10)&amp;";//"&amp;$B$28,"")</f>
        <v/>
      </c>
      <c r="AZ99" t="str">
        <f t="shared" si="63"/>
        <v/>
      </c>
      <c r="BA99" t="str">
        <f t="shared" si="64"/>
        <v/>
      </c>
      <c r="BB99" t="str">
        <f t="shared" si="65"/>
        <v/>
      </c>
      <c r="BC99" t="str">
        <f>IF($AM99="●",IF(LEN(BB99),BB99&amp;CHAR(10),"")&amp;";//"&amp;$B$29,"")</f>
        <v/>
      </c>
      <c r="BE99">
        <f t="shared" si="66"/>
        <v>30</v>
      </c>
      <c r="BF99">
        <f t="shared" si="67"/>
        <v>1</v>
      </c>
      <c r="BG99" t="str">
        <f t="shared" si="68"/>
        <v/>
      </c>
      <c r="BH99" t="str">
        <f t="shared" si="81"/>
        <v/>
      </c>
    </row>
    <row r="100" spans="4:60" x14ac:dyDescent="0.55000000000000004">
      <c r="D100">
        <v>92</v>
      </c>
      <c r="E100" t="str">
        <f t="shared" si="52"/>
        <v/>
      </c>
      <c r="F100" t="str">
        <f t="shared" si="69"/>
        <v/>
      </c>
      <c r="G100" t="str">
        <f t="shared" si="53"/>
        <v/>
      </c>
      <c r="Z100" t="str">
        <f t="shared" si="70"/>
        <v/>
      </c>
      <c r="AA100" t="str">
        <f t="shared" si="71"/>
        <v/>
      </c>
      <c r="AB100" t="str">
        <f t="shared" si="71"/>
        <v/>
      </c>
      <c r="AC100" t="str">
        <f t="shared" si="71"/>
        <v/>
      </c>
      <c r="AD100" t="str">
        <f t="shared" si="72"/>
        <v/>
      </c>
      <c r="AE100" t="str">
        <f t="shared" si="72"/>
        <v/>
      </c>
      <c r="AF100" t="str">
        <f t="shared" si="73"/>
        <v/>
      </c>
      <c r="AG100" t="str">
        <f t="shared" si="74"/>
        <v/>
      </c>
      <c r="AH100" t="str">
        <f t="shared" si="75"/>
        <v/>
      </c>
      <c r="AI100" t="str">
        <f t="shared" si="76"/>
        <v/>
      </c>
      <c r="AJ100" t="str">
        <f t="shared" si="77"/>
        <v/>
      </c>
      <c r="AK100" t="str">
        <f t="shared" si="78"/>
        <v/>
      </c>
      <c r="AM100" t="str">
        <f t="shared" si="54"/>
        <v/>
      </c>
      <c r="AN100" t="str">
        <f t="shared" si="55"/>
        <v/>
      </c>
      <c r="AO100" t="str">
        <f t="shared" si="56"/>
        <v/>
      </c>
      <c r="AP100" t="str">
        <f t="shared" si="57"/>
        <v/>
      </c>
      <c r="AQ100" t="str">
        <f t="shared" si="58"/>
        <v/>
      </c>
      <c r="AR100" t="str">
        <f t="shared" si="59"/>
        <v/>
      </c>
      <c r="AS100" t="str">
        <f t="shared" si="60"/>
        <v/>
      </c>
      <c r="AT100" t="str">
        <f t="shared" si="61"/>
        <v/>
      </c>
      <c r="AU100" t="str">
        <f t="shared" si="62"/>
        <v/>
      </c>
      <c r="AV100" t="str">
        <f t="shared" si="79"/>
        <v/>
      </c>
      <c r="AW100" t="str">
        <f t="shared" si="80"/>
        <v/>
      </c>
      <c r="AY100" t="str">
        <f>IF($AM100="●",AT100&amp;CHAR(10)&amp;"BOX_ST"&amp;CHAR(10)&amp;";//"&amp;$B$28,"")</f>
        <v/>
      </c>
      <c r="AZ100" t="str">
        <f t="shared" si="63"/>
        <v/>
      </c>
      <c r="BA100" t="str">
        <f t="shared" si="64"/>
        <v/>
      </c>
      <c r="BB100" t="str">
        <f t="shared" si="65"/>
        <v/>
      </c>
      <c r="BC100" t="str">
        <f>IF($AM100="●",IF(LEN(BB100),BB100&amp;CHAR(10),"")&amp;";//"&amp;$B$29,"")</f>
        <v/>
      </c>
      <c r="BE100">
        <f t="shared" si="66"/>
        <v>30</v>
      </c>
      <c r="BF100">
        <f t="shared" si="67"/>
        <v>2</v>
      </c>
      <c r="BG100" t="str">
        <f t="shared" si="68"/>
        <v/>
      </c>
      <c r="BH100" t="str">
        <f t="shared" si="81"/>
        <v/>
      </c>
    </row>
    <row r="101" spans="4:60" x14ac:dyDescent="0.55000000000000004">
      <c r="D101">
        <v>93</v>
      </c>
      <c r="E101" t="str">
        <f t="shared" si="52"/>
        <v/>
      </c>
      <c r="F101" t="str">
        <f t="shared" si="69"/>
        <v/>
      </c>
      <c r="G101" t="str">
        <f t="shared" si="53"/>
        <v/>
      </c>
      <c r="Z101" t="str">
        <f t="shared" si="70"/>
        <v/>
      </c>
      <c r="AA101" t="str">
        <f t="shared" si="71"/>
        <v/>
      </c>
      <c r="AB101" t="str">
        <f t="shared" si="71"/>
        <v/>
      </c>
      <c r="AC101" t="str">
        <f t="shared" si="71"/>
        <v/>
      </c>
      <c r="AD101" t="str">
        <f t="shared" si="72"/>
        <v/>
      </c>
      <c r="AE101" t="str">
        <f t="shared" si="72"/>
        <v/>
      </c>
      <c r="AF101" t="str">
        <f t="shared" si="73"/>
        <v/>
      </c>
      <c r="AG101" t="str">
        <f t="shared" si="74"/>
        <v/>
      </c>
      <c r="AH101" t="str">
        <f t="shared" si="75"/>
        <v/>
      </c>
      <c r="AI101" t="str">
        <f t="shared" si="76"/>
        <v/>
      </c>
      <c r="AJ101" t="str">
        <f t="shared" si="77"/>
        <v/>
      </c>
      <c r="AK101" t="str">
        <f t="shared" si="78"/>
        <v/>
      </c>
      <c r="AM101" t="str">
        <f t="shared" si="54"/>
        <v/>
      </c>
      <c r="AN101" t="str">
        <f t="shared" si="55"/>
        <v/>
      </c>
      <c r="AO101" t="str">
        <f t="shared" si="56"/>
        <v/>
      </c>
      <c r="AP101" t="str">
        <f t="shared" si="57"/>
        <v/>
      </c>
      <c r="AQ101" t="str">
        <f t="shared" si="58"/>
        <v/>
      </c>
      <c r="AR101" t="str">
        <f t="shared" si="59"/>
        <v/>
      </c>
      <c r="AS101" t="str">
        <f t="shared" si="60"/>
        <v/>
      </c>
      <c r="AT101" t="str">
        <f t="shared" si="61"/>
        <v/>
      </c>
      <c r="AU101" t="str">
        <f t="shared" si="62"/>
        <v/>
      </c>
      <c r="AV101" t="str">
        <f t="shared" si="79"/>
        <v/>
      </c>
      <c r="AW101" t="str">
        <f t="shared" si="80"/>
        <v/>
      </c>
      <c r="AY101" t="str">
        <f>IF($AM101="●",AT101&amp;CHAR(10)&amp;"BOX_ST"&amp;CHAR(10)&amp;";//"&amp;$B$28,"")</f>
        <v/>
      </c>
      <c r="AZ101" t="str">
        <f t="shared" si="63"/>
        <v/>
      </c>
      <c r="BA101" t="str">
        <f t="shared" si="64"/>
        <v/>
      </c>
      <c r="BB101" t="str">
        <f t="shared" si="65"/>
        <v/>
      </c>
      <c r="BC101" t="str">
        <f>IF($AM101="●",IF(LEN(BB101),BB101&amp;CHAR(10),"")&amp;";//"&amp;$B$29,"")</f>
        <v/>
      </c>
      <c r="BE101">
        <f t="shared" si="66"/>
        <v>31</v>
      </c>
      <c r="BF101">
        <f t="shared" si="67"/>
        <v>0</v>
      </c>
      <c r="BG101" t="str">
        <f t="shared" si="68"/>
        <v/>
      </c>
      <c r="BH101" t="str">
        <f t="shared" si="81"/>
        <v/>
      </c>
    </row>
    <row r="102" spans="4:60" x14ac:dyDescent="0.55000000000000004">
      <c r="D102">
        <v>94</v>
      </c>
      <c r="E102" t="str">
        <f t="shared" si="52"/>
        <v/>
      </c>
      <c r="F102" t="str">
        <f t="shared" si="69"/>
        <v/>
      </c>
      <c r="G102" t="str">
        <f t="shared" si="53"/>
        <v/>
      </c>
      <c r="Z102" t="str">
        <f t="shared" si="70"/>
        <v/>
      </c>
      <c r="AA102" t="str">
        <f t="shared" si="71"/>
        <v/>
      </c>
      <c r="AB102" t="str">
        <f t="shared" si="71"/>
        <v/>
      </c>
      <c r="AC102" t="str">
        <f t="shared" si="71"/>
        <v/>
      </c>
      <c r="AD102" t="str">
        <f t="shared" si="72"/>
        <v/>
      </c>
      <c r="AE102" t="str">
        <f t="shared" si="72"/>
        <v/>
      </c>
      <c r="AF102" t="str">
        <f t="shared" si="73"/>
        <v/>
      </c>
      <c r="AG102" t="str">
        <f t="shared" si="74"/>
        <v/>
      </c>
      <c r="AH102" t="str">
        <f t="shared" si="75"/>
        <v/>
      </c>
      <c r="AI102" t="str">
        <f t="shared" si="76"/>
        <v/>
      </c>
      <c r="AJ102" t="str">
        <f t="shared" si="77"/>
        <v/>
      </c>
      <c r="AK102" t="str">
        <f t="shared" si="78"/>
        <v/>
      </c>
      <c r="AM102" t="str">
        <f t="shared" si="54"/>
        <v/>
      </c>
      <c r="AN102" t="str">
        <f t="shared" si="55"/>
        <v/>
      </c>
      <c r="AO102" t="str">
        <f t="shared" si="56"/>
        <v/>
      </c>
      <c r="AP102" t="str">
        <f t="shared" si="57"/>
        <v/>
      </c>
      <c r="AQ102" t="str">
        <f t="shared" si="58"/>
        <v/>
      </c>
      <c r="AR102" t="str">
        <f t="shared" si="59"/>
        <v/>
      </c>
      <c r="AS102" t="str">
        <f t="shared" si="60"/>
        <v/>
      </c>
      <c r="AT102" t="str">
        <f t="shared" si="61"/>
        <v/>
      </c>
      <c r="AU102" t="str">
        <f t="shared" si="62"/>
        <v/>
      </c>
      <c r="AV102" t="str">
        <f t="shared" si="79"/>
        <v/>
      </c>
      <c r="AW102" t="str">
        <f t="shared" si="80"/>
        <v/>
      </c>
      <c r="AY102" t="str">
        <f>IF($AM102="●",AT102&amp;CHAR(10)&amp;"BOX_ST"&amp;CHAR(10)&amp;";//"&amp;$B$28,"")</f>
        <v/>
      </c>
      <c r="AZ102" t="str">
        <f t="shared" si="63"/>
        <v/>
      </c>
      <c r="BA102" t="str">
        <f t="shared" si="64"/>
        <v/>
      </c>
      <c r="BB102" t="str">
        <f t="shared" si="65"/>
        <v/>
      </c>
      <c r="BC102" t="str">
        <f>IF($AM102="●",IF(LEN(BB102),BB102&amp;CHAR(10),"")&amp;";//"&amp;$B$29,"")</f>
        <v/>
      </c>
      <c r="BE102">
        <f t="shared" si="66"/>
        <v>31</v>
      </c>
      <c r="BF102">
        <f t="shared" si="67"/>
        <v>1</v>
      </c>
      <c r="BG102" t="str">
        <f t="shared" si="68"/>
        <v/>
      </c>
      <c r="BH102" t="str">
        <f t="shared" si="81"/>
        <v/>
      </c>
    </row>
    <row r="103" spans="4:60" x14ac:dyDescent="0.55000000000000004">
      <c r="D103">
        <v>95</v>
      </c>
      <c r="E103" t="str">
        <f t="shared" si="52"/>
        <v/>
      </c>
      <c r="F103" t="str">
        <f t="shared" si="69"/>
        <v/>
      </c>
      <c r="G103" t="str">
        <f t="shared" si="53"/>
        <v/>
      </c>
      <c r="Z103" t="str">
        <f t="shared" si="70"/>
        <v/>
      </c>
      <c r="AA103" t="str">
        <f t="shared" si="71"/>
        <v/>
      </c>
      <c r="AB103" t="str">
        <f t="shared" si="71"/>
        <v/>
      </c>
      <c r="AC103" t="str">
        <f t="shared" si="71"/>
        <v/>
      </c>
      <c r="AD103" t="str">
        <f t="shared" si="72"/>
        <v/>
      </c>
      <c r="AE103" t="str">
        <f t="shared" si="72"/>
        <v/>
      </c>
      <c r="AF103" t="str">
        <f t="shared" si="73"/>
        <v/>
      </c>
      <c r="AG103" t="str">
        <f t="shared" si="74"/>
        <v/>
      </c>
      <c r="AH103" t="str">
        <f t="shared" si="75"/>
        <v/>
      </c>
      <c r="AI103" t="str">
        <f t="shared" si="76"/>
        <v/>
      </c>
      <c r="AJ103" t="str">
        <f t="shared" si="77"/>
        <v/>
      </c>
      <c r="AK103" t="str">
        <f t="shared" si="78"/>
        <v/>
      </c>
      <c r="AM103" t="str">
        <f t="shared" si="54"/>
        <v/>
      </c>
      <c r="AN103" t="str">
        <f t="shared" si="55"/>
        <v/>
      </c>
      <c r="AO103" t="str">
        <f t="shared" si="56"/>
        <v/>
      </c>
      <c r="AP103" t="str">
        <f t="shared" si="57"/>
        <v/>
      </c>
      <c r="AQ103" t="str">
        <f t="shared" si="58"/>
        <v/>
      </c>
      <c r="AR103" t="str">
        <f t="shared" si="59"/>
        <v/>
      </c>
      <c r="AS103" t="str">
        <f t="shared" si="60"/>
        <v/>
      </c>
      <c r="AT103" t="str">
        <f t="shared" si="61"/>
        <v/>
      </c>
      <c r="AU103" t="str">
        <f t="shared" si="62"/>
        <v/>
      </c>
      <c r="AV103" t="str">
        <f t="shared" si="79"/>
        <v/>
      </c>
      <c r="AW103" t="str">
        <f t="shared" si="80"/>
        <v/>
      </c>
      <c r="AY103" t="str">
        <f>IF($AM103="●",AT103&amp;CHAR(10)&amp;"BOX_ST"&amp;CHAR(10)&amp;";//"&amp;$B$28,"")</f>
        <v/>
      </c>
      <c r="AZ103" t="str">
        <f t="shared" si="63"/>
        <v/>
      </c>
      <c r="BA103" t="str">
        <f t="shared" si="64"/>
        <v/>
      </c>
      <c r="BB103" t="str">
        <f t="shared" si="65"/>
        <v/>
      </c>
      <c r="BC103" t="str">
        <f>IF($AM103="●",IF(LEN(BB103),BB103&amp;CHAR(10),"")&amp;";//"&amp;$B$29,"")</f>
        <v/>
      </c>
      <c r="BE103">
        <f t="shared" si="66"/>
        <v>31</v>
      </c>
      <c r="BF103">
        <f t="shared" si="67"/>
        <v>2</v>
      </c>
      <c r="BG103" t="str">
        <f t="shared" si="68"/>
        <v/>
      </c>
      <c r="BH103" t="str">
        <f t="shared" si="81"/>
        <v/>
      </c>
    </row>
    <row r="104" spans="4:60" x14ac:dyDescent="0.55000000000000004">
      <c r="D104">
        <v>96</v>
      </c>
      <c r="E104" t="str">
        <f t="shared" si="52"/>
        <v/>
      </c>
      <c r="F104" t="str">
        <f t="shared" si="69"/>
        <v/>
      </c>
      <c r="G104" t="str">
        <f t="shared" si="53"/>
        <v/>
      </c>
      <c r="Z104" t="str">
        <f t="shared" si="70"/>
        <v/>
      </c>
      <c r="AA104" t="str">
        <f t="shared" si="71"/>
        <v/>
      </c>
      <c r="AB104" t="str">
        <f t="shared" si="71"/>
        <v/>
      </c>
      <c r="AC104" t="str">
        <f t="shared" si="71"/>
        <v/>
      </c>
      <c r="AD104" t="str">
        <f t="shared" si="72"/>
        <v/>
      </c>
      <c r="AE104" t="str">
        <f t="shared" si="72"/>
        <v/>
      </c>
      <c r="AF104" t="str">
        <f t="shared" si="73"/>
        <v/>
      </c>
      <c r="AG104" t="str">
        <f t="shared" si="74"/>
        <v/>
      </c>
      <c r="AH104" t="str">
        <f t="shared" si="75"/>
        <v/>
      </c>
      <c r="AI104" t="str">
        <f t="shared" si="76"/>
        <v/>
      </c>
      <c r="AJ104" t="str">
        <f t="shared" si="77"/>
        <v/>
      </c>
      <c r="AK104" t="str">
        <f t="shared" si="78"/>
        <v/>
      </c>
      <c r="AM104" t="str">
        <f t="shared" si="54"/>
        <v/>
      </c>
      <c r="AN104" t="str">
        <f t="shared" ref="AN104:AN135" si="82">IF(AM104="●",(AN$4+MOD(INT(MID(E104,5,3)),AN$2))*AN$6,"")</f>
        <v/>
      </c>
      <c r="AO104" t="str">
        <f t="shared" si="56"/>
        <v/>
      </c>
      <c r="AP104" t="str">
        <f t="shared" si="57"/>
        <v/>
      </c>
      <c r="AQ104" t="str">
        <f t="shared" si="58"/>
        <v/>
      </c>
      <c r="AR104" t="str">
        <f t="shared" si="59"/>
        <v/>
      </c>
      <c r="AS104" t="str">
        <f t="shared" si="60"/>
        <v/>
      </c>
      <c r="AT104" t="str">
        <f t="shared" ref="AT104:AT107" si="83">IF(LEN(AS104),AS104&amp;CHAR(10),"")&amp;IF(LEN(AP104),AP104,"")</f>
        <v/>
      </c>
      <c r="AU104" t="str">
        <f t="shared" ref="AU104:AU107" si="84">IF(LEN(AT104),AT104&amp;CHAR(10),"")&amp;IF(LEN(AQ104),AQ104,"")</f>
        <v/>
      </c>
      <c r="AV104" t="str">
        <f t="shared" si="79"/>
        <v/>
      </c>
      <c r="AW104" t="str">
        <f t="shared" si="80"/>
        <v/>
      </c>
      <c r="AY104" t="str">
        <f>IF($AM104="●",AT104&amp;CHAR(10)&amp;"BOX_ST"&amp;CHAR(10)&amp;";//"&amp;$B$28,"")</f>
        <v/>
      </c>
      <c r="AZ104" t="str">
        <f t="shared" ref="AZ104:AZ135" si="85">IF($AM104="●",IF(LEN(AY104),AY104&amp;CHAR(10),"")&amp;";//エラーNo.を入れる"&amp;CHAR(10)&amp;";"&amp;$B$15&amp;"	:= "&amp;AN104&amp;";","")</f>
        <v/>
      </c>
      <c r="BA104" t="str">
        <f t="shared" ref="BA104:BA135" si="86">IF($AM104="●",IF(LEN(AZ104),AZ104&amp;CHAR(10),"")&amp;";//カウントする"&amp;CHAR(10)&amp;";"&amp;$B$16&amp;"	:= "&amp;$B$16&amp;" + 1;","")</f>
        <v/>
      </c>
      <c r="BB104" t="str">
        <f t="shared" ref="BB104:BB135" si="87">IF($AM104="●",IF(LEN(BA104),BA104&amp;CHAR(10),"")&amp;IF(LEN(AK104),";//エラーコードを入れる"&amp;CHAR(10)&amp;";"&amp;$B$17&amp;"	:= "&amp;AK104&amp;".udiErr;",""),"")</f>
        <v/>
      </c>
      <c r="BC104" t="str">
        <f>IF($AM104="●",IF(LEN(BB104),BB104&amp;CHAR(10),"")&amp;";//"&amp;$B$29,"")</f>
        <v/>
      </c>
      <c r="BE104">
        <f t="shared" si="66"/>
        <v>32</v>
      </c>
      <c r="BF104">
        <f t="shared" si="67"/>
        <v>0</v>
      </c>
      <c r="BG104" t="str">
        <f t="shared" ref="BG104:BG135" si="88">IF(LEN(E104),E104&amp;".x"&amp;TEXT(BF104,"0")&amp;CHAR(9)&amp;" := FALSE;","")</f>
        <v/>
      </c>
      <c r="BH104" t="str">
        <f t="shared" si="81"/>
        <v/>
      </c>
    </row>
    <row r="105" spans="4:60" x14ac:dyDescent="0.55000000000000004">
      <c r="D105">
        <v>97</v>
      </c>
      <c r="E105" t="str">
        <f t="shared" si="52"/>
        <v/>
      </c>
      <c r="F105" t="str">
        <f t="shared" si="69"/>
        <v/>
      </c>
      <c r="G105" t="str">
        <f t="shared" si="53"/>
        <v/>
      </c>
      <c r="Z105" t="str">
        <f t="shared" si="70"/>
        <v/>
      </c>
      <c r="AA105" t="str">
        <f t="shared" si="71"/>
        <v/>
      </c>
      <c r="AB105" t="str">
        <f t="shared" si="71"/>
        <v/>
      </c>
      <c r="AC105" t="str">
        <f t="shared" si="71"/>
        <v/>
      </c>
      <c r="AD105" t="str">
        <f t="shared" si="72"/>
        <v/>
      </c>
      <c r="AE105" t="str">
        <f t="shared" si="72"/>
        <v/>
      </c>
      <c r="AF105" t="str">
        <f t="shared" si="73"/>
        <v/>
      </c>
      <c r="AG105" t="str">
        <f t="shared" si="74"/>
        <v/>
      </c>
      <c r="AH105" t="str">
        <f t="shared" si="75"/>
        <v/>
      </c>
      <c r="AI105" t="str">
        <f t="shared" si="76"/>
        <v/>
      </c>
      <c r="AJ105" t="str">
        <f t="shared" si="77"/>
        <v/>
      </c>
      <c r="AK105" t="str">
        <f t="shared" si="78"/>
        <v/>
      </c>
      <c r="AM105" t="str">
        <f t="shared" si="54"/>
        <v/>
      </c>
      <c r="AN105" t="str">
        <f t="shared" si="82"/>
        <v/>
      </c>
      <c r="AO105" t="str">
        <f t="shared" si="56"/>
        <v/>
      </c>
      <c r="AP105" t="str">
        <f t="shared" si="57"/>
        <v/>
      </c>
      <c r="AQ105" t="str">
        <f t="shared" si="58"/>
        <v/>
      </c>
      <c r="AR105" t="str">
        <f t="shared" si="59"/>
        <v/>
      </c>
      <c r="AS105" t="str">
        <f t="shared" si="60"/>
        <v/>
      </c>
      <c r="AT105" t="str">
        <f t="shared" si="83"/>
        <v/>
      </c>
      <c r="AU105" t="str">
        <f t="shared" si="84"/>
        <v/>
      </c>
      <c r="AV105" t="str">
        <f t="shared" si="79"/>
        <v/>
      </c>
      <c r="AW105" t="str">
        <f t="shared" si="80"/>
        <v/>
      </c>
      <c r="AY105" t="str">
        <f>IF($AM105="●",AT105&amp;CHAR(10)&amp;"BOX_ST"&amp;CHAR(10)&amp;";//"&amp;$B$28,"")</f>
        <v/>
      </c>
      <c r="AZ105" t="str">
        <f t="shared" si="85"/>
        <v/>
      </c>
      <c r="BA105" t="str">
        <f t="shared" si="86"/>
        <v/>
      </c>
      <c r="BB105" t="str">
        <f t="shared" si="87"/>
        <v/>
      </c>
      <c r="BC105" t="str">
        <f>IF($AM105="●",IF(LEN(BB105),BB105&amp;CHAR(10),"")&amp;";//"&amp;$B$29,"")</f>
        <v/>
      </c>
      <c r="BE105">
        <f t="shared" si="66"/>
        <v>32</v>
      </c>
      <c r="BF105">
        <f t="shared" si="67"/>
        <v>1</v>
      </c>
      <c r="BG105" t="str">
        <f t="shared" si="88"/>
        <v/>
      </c>
      <c r="BH105" t="str">
        <f t="shared" si="81"/>
        <v/>
      </c>
    </row>
    <row r="106" spans="4:60" x14ac:dyDescent="0.55000000000000004">
      <c r="D106">
        <v>98</v>
      </c>
      <c r="E106" t="str">
        <f t="shared" si="52"/>
        <v/>
      </c>
      <c r="F106" t="str">
        <f t="shared" si="69"/>
        <v/>
      </c>
      <c r="G106" t="str">
        <f t="shared" si="53"/>
        <v/>
      </c>
      <c r="Z106" t="str">
        <f t="shared" si="70"/>
        <v/>
      </c>
      <c r="AA106" t="str">
        <f t="shared" si="71"/>
        <v/>
      </c>
      <c r="AB106" t="str">
        <f t="shared" si="71"/>
        <v/>
      </c>
      <c r="AC106" t="str">
        <f t="shared" si="71"/>
        <v/>
      </c>
      <c r="AD106" t="str">
        <f t="shared" si="72"/>
        <v/>
      </c>
      <c r="AE106" t="str">
        <f t="shared" si="72"/>
        <v/>
      </c>
      <c r="AF106" t="str">
        <f t="shared" si="73"/>
        <v/>
      </c>
      <c r="AG106" t="str">
        <f t="shared" si="74"/>
        <v/>
      </c>
      <c r="AH106" t="str">
        <f t="shared" si="75"/>
        <v/>
      </c>
      <c r="AI106" t="str">
        <f t="shared" si="76"/>
        <v/>
      </c>
      <c r="AJ106" t="str">
        <f t="shared" si="77"/>
        <v/>
      </c>
      <c r="AK106" t="str">
        <f t="shared" si="78"/>
        <v/>
      </c>
      <c r="AM106" t="str">
        <f t="shared" si="54"/>
        <v/>
      </c>
      <c r="AN106" t="str">
        <f t="shared" si="82"/>
        <v/>
      </c>
      <c r="AO106" t="str">
        <f t="shared" si="56"/>
        <v/>
      </c>
      <c r="AP106" t="str">
        <f t="shared" si="57"/>
        <v/>
      </c>
      <c r="AQ106" t="str">
        <f t="shared" si="58"/>
        <v/>
      </c>
      <c r="AR106" t="str">
        <f t="shared" si="59"/>
        <v/>
      </c>
      <c r="AS106" t="str">
        <f t="shared" si="60"/>
        <v/>
      </c>
      <c r="AT106" t="str">
        <f t="shared" si="83"/>
        <v/>
      </c>
      <c r="AU106" t="str">
        <f t="shared" si="84"/>
        <v/>
      </c>
      <c r="AV106" t="str">
        <f t="shared" si="79"/>
        <v/>
      </c>
      <c r="AW106" t="str">
        <f t="shared" si="80"/>
        <v/>
      </c>
      <c r="AY106" t="str">
        <f>IF($AM106="●",AT106&amp;CHAR(10)&amp;"BOX_ST"&amp;CHAR(10)&amp;";//"&amp;$B$28,"")</f>
        <v/>
      </c>
      <c r="AZ106" t="str">
        <f t="shared" si="85"/>
        <v/>
      </c>
      <c r="BA106" t="str">
        <f t="shared" si="86"/>
        <v/>
      </c>
      <c r="BB106" t="str">
        <f t="shared" si="87"/>
        <v/>
      </c>
      <c r="BC106" t="str">
        <f>IF($AM106="●",IF(LEN(BB106),BB106&amp;CHAR(10),"")&amp;";//"&amp;$B$29,"")</f>
        <v/>
      </c>
      <c r="BE106">
        <f t="shared" si="66"/>
        <v>32</v>
      </c>
      <c r="BF106">
        <f t="shared" si="67"/>
        <v>2</v>
      </c>
      <c r="BG106" t="str">
        <f t="shared" si="88"/>
        <v/>
      </c>
      <c r="BH106" t="str">
        <f t="shared" si="81"/>
        <v/>
      </c>
    </row>
    <row r="107" spans="4:60" x14ac:dyDescent="0.55000000000000004">
      <c r="D107">
        <v>99</v>
      </c>
      <c r="E107" t="str">
        <f t="shared" si="52"/>
        <v/>
      </c>
      <c r="F107" t="str">
        <f t="shared" si="69"/>
        <v/>
      </c>
      <c r="G107" t="str">
        <f t="shared" si="53"/>
        <v/>
      </c>
      <c r="Z107" t="str">
        <f t="shared" si="70"/>
        <v/>
      </c>
      <c r="AA107" t="str">
        <f t="shared" si="71"/>
        <v/>
      </c>
      <c r="AB107" t="str">
        <f t="shared" si="71"/>
        <v/>
      </c>
      <c r="AC107" t="str">
        <f t="shared" si="71"/>
        <v/>
      </c>
      <c r="AD107" t="str">
        <f t="shared" si="72"/>
        <v/>
      </c>
      <c r="AE107" t="str">
        <f t="shared" si="72"/>
        <v/>
      </c>
      <c r="AF107" t="str">
        <f t="shared" si="73"/>
        <v/>
      </c>
      <c r="AG107" t="str">
        <f t="shared" si="74"/>
        <v/>
      </c>
      <c r="AH107" t="str">
        <f t="shared" si="75"/>
        <v/>
      </c>
      <c r="AI107" t="str">
        <f t="shared" si="76"/>
        <v/>
      </c>
      <c r="AJ107" t="str">
        <f t="shared" si="77"/>
        <v/>
      </c>
      <c r="AK107" t="str">
        <f t="shared" si="78"/>
        <v/>
      </c>
      <c r="AM107" t="str">
        <f t="shared" si="54"/>
        <v/>
      </c>
      <c r="AN107" t="str">
        <f t="shared" si="82"/>
        <v/>
      </c>
      <c r="AO107" t="str">
        <f t="shared" si="56"/>
        <v/>
      </c>
      <c r="AP107" t="str">
        <f t="shared" si="57"/>
        <v/>
      </c>
      <c r="AQ107" t="str">
        <f t="shared" si="58"/>
        <v/>
      </c>
      <c r="AR107" t="str">
        <f t="shared" si="59"/>
        <v/>
      </c>
      <c r="AS107" t="str">
        <f t="shared" si="60"/>
        <v/>
      </c>
      <c r="AT107" t="str">
        <f t="shared" si="83"/>
        <v/>
      </c>
      <c r="AU107" t="str">
        <f t="shared" si="84"/>
        <v/>
      </c>
      <c r="AV107" t="str">
        <f t="shared" si="79"/>
        <v/>
      </c>
      <c r="AW107" t="str">
        <f t="shared" si="80"/>
        <v/>
      </c>
      <c r="AY107" t="str">
        <f>IF($AM107="●",AT107&amp;CHAR(10)&amp;"BOX_ST"&amp;CHAR(10)&amp;";//"&amp;$B$28,"")</f>
        <v/>
      </c>
      <c r="AZ107" t="str">
        <f t="shared" si="85"/>
        <v/>
      </c>
      <c r="BA107" t="str">
        <f t="shared" si="86"/>
        <v/>
      </c>
      <c r="BB107" t="str">
        <f t="shared" si="87"/>
        <v/>
      </c>
      <c r="BC107" t="str">
        <f>IF($AM107="●",IF(LEN(BB107),BB107&amp;CHAR(10),"")&amp;";//"&amp;$B$29,"")</f>
        <v/>
      </c>
      <c r="BE107">
        <f t="shared" si="66"/>
        <v>33</v>
      </c>
      <c r="BF107">
        <f t="shared" si="67"/>
        <v>0</v>
      </c>
      <c r="BG107" t="str">
        <f t="shared" si="88"/>
        <v/>
      </c>
      <c r="BH107" t="str">
        <f t="shared" si="81"/>
        <v/>
      </c>
    </row>
    <row r="109" spans="4:60" x14ac:dyDescent="0.55000000000000004">
      <c r="AW109" t="str">
        <f>_xlfn.CONCAT(AW8:AW107)</f>
        <v xml:space="preserve">
LDP stEx301.x2
AND=.D stM.udiErrNo #0
MOV.D #3010 stM.udiErrNo
MOV.D stDevIn.astAXK[0] stM.udiSubErr
LDP stEx302.x2
AND=.D stM.udiErrNo #0
MOV.D #3020 stM.udiErrNo
MOV.D stDevIn.astAXK[0] stM.udiSubErr
LDP stEx303.x2
AND=.D stM.udiErrNo #0
MOV.D #3030 stM.udiErrNo
MOV.D stDevIn.astAXK[1] stM.udiSubErr
LDP stEx304.x2
AND=.D stM.udiErrNo #0
MOV.D #3040 stM.udiErrNo
MOV.D stDevIn.astAXK[0] stM.udiSubErr
LDP stEx305.x2
AND=.D stM.udiErrNo #0
MOV.D #3050 stM.udiErrNo
MOV.D stUni1Out stM.udiSubErr
LDP stEx306.x2
AND=.D stM.udiErrNo #0
MOV.D #3060 stM.udiErrNo
MOV.D stDevIn.astCYL[4] stM.udiSubErr
LDP stEx307.x2
AND=.D stM.udiErrNo #0
MOV.D #3070 stM.udiErrNo
MOV.D stDevIn.astCYL[5] stM.udiSubErr
LDP stEx308.x2
AND=.D stM.udiErrNo #0
MOV.D #3080 stM.udiErrNo
MOV.D stDevIn.astCYL[0] stM.udiSubErr
LDP stEx309.x2
AND=.D stM.udiErrNo #0
MOV.D #3090 stM.udiErrNo
MOV.D stDevIn.astCYL[5] stM.udiSubErr
LDP stEx310.x2
AND=.D stM.udiErrNo #0
MOV.D #3100 stM.udiErrNo
MOV.D stDevIn.astCYL[4] stM.udiSubErr
LDP stEx312.x2
AND=.D stM.udiErrNo #0
MOV.D #3120 stM.udiErrNo
MOV.D stDevIn.astAXK[0] stM.udiSubErr
LDP stEx313.x2
AND=.D stM.udiErrNo #0
MOV.D #3130 stM.udiErrNo
MOV.D stDevIn.astAXO[0] stM.udiSubErr
LDP stEx314.x2
AND=.D stM.udiErrNo #0
MOV.D #3140 stM.udiErrNo
LDP stEx315.x2
AND=.D stM.udiErrNo #0
MOV.D #3150 stM.udiErrNo
MOV.D stDevIn.astAXK[0] stM.udiSubErr
LDP stEx316.x2
AND=.D stM.udiErrNo #0
MOV.D #3160 stM.udiErrNo
MOV.D stDevIn.astAXO[0] stM.udiSubErr
LDP stEx317.x2
AND=.D stM.udiErrNo #0
MOV.D #3170 stM.udiErrNo
LDP stEx319.x2
AND=.D stM.udiErrNo #0
MOV.D #3190 stM.udiErrNo
MOV.D stUni1Out stM.udiSubErr
LDP stEx322.x2
AND=.D stM.udiErrNo #0
MOV.D #3220 stM.udiErrNo
MOV.D stUni2Out stM.udiSubErr
LDP stEx324.x2
AND=.D stM.udiErrNo #0
MOV.D #3240 stM.udiErrNo
MOV.D stDevIn.astAXK[1] stM.udiSubErr</v>
      </c>
      <c r="BC109" t="str">
        <f ca="1">_xlfn.CONCAT(BC8:BC107)</f>
        <v xml:space="preserve">
LDP stEx301.x2
AND=.D stM.udiErrNo #0
BOX_ST
;//このスクリプトは C:\tk\prj\hg-0025-0016\git\kv-x520\doc\[kv_script_exe_errno.xlsm]info_script によって生成されました。
;//エラーNo.を入れる
;stM.udiErrNo	:= 3010;
;//カウントする
;stM.uiEDCnt	:= stM.uiEDCnt + 1;
;//エラーコードを入れる
;stM.udiSubErr	:= stDevIn.astAXK[0].udiErr;
;//-----ここまで生成script-----
LDP stEx302.x2
AND=.D stM.udiErrNo #0
BOX_ST
;//このスクリプトは C:\tk\prj\hg-0025-0016\git\kv-x520\doc\[kv_script_exe_errno.xlsm]info_script によって生成されました。
;//エラーNo.を入れる
;stM.udiErrNo	:= 3020;
;//カウントする
;stM.uiEDCnt	:= stM.uiEDCnt + 1;
;//エラーコードを入れる
;stM.udiSubErr	:= stDevIn.astAXK[0].udiErr;
;//-----ここまで生成script-----
LDP stEx303.x2
AND=.D stM.udiErrNo #0
BOX_ST
;//このスクリプトは C:\tk\prj\hg-0025-0016\git\kv-x520\doc\[kv_script_exe_errno.xlsm]info_script によって生成されました。
;//エラーNo.を入れる
;stM.udiErrNo	:= 3030;
;//カウントする
;stM.uiEDCnt	:= stM.uiEDCnt + 1;
;//エラーコードを入れる
;stM.udiSubErr	:= stDevIn.astAXK[1].udiErr;
;//-----ここまで生成script-----
LDP stEx304.x2
AND=.D stM.udiErrNo #0
BOX_ST
;//このスクリプトは C:\tk\prj\hg-0025-0016\git\kv-x520\doc\[kv_script_exe_errno.xlsm]info_script によって生成されました。
;//エラーNo.を入れる
;stM.udiErrNo	:= 3040;
;//カウントする
;stM.uiEDCnt	:= stM.uiEDCnt + 1;
;//エラーコードを入れる
;stM.udiSubErr	:= stDevIn.astAXK[0].udiErr;
;//-----ここまで生成script-----
LDP stEx305.x2
AND=.D stM.udiErrNo #0
BOX_ST
;//このスクリプトは C:\tk\prj\hg-0025-0016\git\kv-x520\doc\[kv_script_exe_errno.xlsm]info_script によって生成されました。
;//エラーNo.を入れる
;stM.udiErrNo	:= 3050;
;//カウントする
;stM.uiEDCnt	:= stM.uiEDCnt + 1;
;//エラーコードを入れる
;stM.udiSubErr	:= stUni1Out.udiErr;
;//-----ここまで生成script-----
LDP stEx306.x2
AND=.D stM.udiErrNo #0
BOX_ST
;//このスクリプトは C:\tk\prj\hg-0025-0016\git\kv-x520\doc\[kv_script_exe_errno.xlsm]info_script によって生成されました。
;//エラーNo.を入れる
;stM.udiErrNo	:= 3060;
;//カウントする
;stM.uiEDCnt	:= stM.uiEDCnt + 1;
;//エラーコードを入れる
;stM.udiSubErr	:= stDevIn.astCYL[4].udiErr;
;//-----ここまで生成script-----
LDP stEx307.x2
AND=.D stM.udiErrNo #0
BOX_ST
;//このスクリプトは C:\tk\prj\hg-0025-0016\git\kv-x520\doc\[kv_script_exe_errno.xlsm]info_script によって生成されました。
;//エラーNo.を入れる
;stM.udiErrNo	:= 3070;
;//カウントする
;stM.uiEDCnt	:= stM.uiEDCnt + 1;
;//エラーコードを入れる
;stM.udiSubErr	:= stDevIn.astCYL[5].udiErr;
;//-----ここまで生成script-----
LDP stEx308.x2
AND=.D stM.udiErrNo #0
BOX_ST
;//このスクリプトは C:\tk\prj\hg-0025-0016\git\kv-x520\doc\[kv_script_exe_errno.xlsm]info_script によって生成されました。
;//エラーNo.を入れる
;stM.udiErrNo	:= 3080;
;//カウントする
;stM.uiEDCnt	:= stM.uiEDCnt + 1;
;//エラーコードを入れる
;stM.udiSubErr	:= stDevIn.astCYL[0].udiErr;
;//-----ここまで生成script-----
LDP stEx309.x2
AND=.D stM.udiErrNo #0
BOX_ST
;//このスクリプトは C:\tk\prj\hg-0025-0016\git\kv-x520\doc\[kv_script_exe_errno.xlsm]info_script によって生成されました。
;//エラーNo.を入れる
;stM.udiErrNo	:= 3090;
;//カウントする
;stM.uiEDCnt	:= stM.uiEDCnt + 1;
;//エラーコードを入れる
;stM.udiSubErr	:= stDevIn.astCYL[5].udiErr;
;//-----ここまで生成script-----
LDP stEx310.x2
AND=.D stM.udiErrNo #0
BOX_ST
;//このスクリプトは C:\tk\prj\hg-0025-0016\git\kv-x520\doc\[kv_script_exe_errno.xlsm]info_script によって生成されました。
;//エラーNo.を入れる
;stM.udiErrNo	:= 3100;
;//カウントする
;stM.uiEDCnt	:= stM.uiEDCnt + 1;
;//エラーコードを入れる
;stM.udiSubErr	:= stDevIn.astCYL[4].udiErr;
;//-----ここまで生成script-----
LDP stEx312.x2
AND=.D stM.udiErrNo #0
BOX_ST
;//このスクリプトは C:\tk\prj\hg-0025-0016\git\kv-x520\doc\[kv_script_exe_errno.xlsm]info_script によって生成されました。
;//エラーNo.を入れる
;stM.udiErrNo	:= 3120;
;//カウントする
;stM.uiEDCnt	:= stM.uiEDCnt + 1;
;//エラーコードを入れる
;stM.udiSubErr	:= stDevIn.astAXK[0].udiErr;
;//-----ここまで生成script-----
LDP stEx313.x2
AND=.D stM.udiErrNo #0
BOX_ST
;//このスクリプトは C:\tk\prj\hg-0025-0016\git\kv-x520\doc\[kv_script_exe_errno.xlsm]info_script によって生成されました。
;//エラーNo.を入れる
;stM.udiErrNo	:= 3130;
;//カウントする
;stM.uiEDCnt	:= stM.uiEDCnt + 1;
;//エラーコードを入れる
;stM.udiSubErr	:= stDevIn.astAXO[0].udiErr;
;//-----ここまで生成script-----
LDP stEx314.x2
AND=.D stM.udiErrNo #0
BOX_ST
;//このスクリプトは C:\tk\prj\hg-0025-0016\git\kv-x520\doc\[kv_script_exe_errno.xlsm]info_script によって生成されました。
;//エラーNo.を入れる
;stM.udiErrNo	:= 3140;
;//カウントする
;stM.uiEDCnt	:= stM.uiEDCnt + 1;
;//-----ここまで生成script-----
LDP stEx315.x2
AND=.D stM.udiErrNo #0
BOX_ST
;//このスクリプトは C:\tk\prj\hg-0025-0016\git\kv-x520\doc\[kv_script_exe_errno.xlsm]info_script によって生成されました。
;//エラーNo.を入れる
;stM.udiErrNo	:= 3150;
;//カウントする
;stM.uiEDCnt	:= stM.uiEDCnt + 1;
;//エラーコードを入れる
;stM.udiSubErr	:= stDevIn.astAXK[0].udiErr;
;//-----ここまで生成script-----
LDP stEx316.x2
AND=.D stM.udiErrNo #0
BOX_ST
;//このスクリプトは C:\tk\prj\hg-0025-0016\git\kv-x520\doc\[kv_script_exe_errno.xlsm]info_script によって生成されました。
;//エラーNo.を入れる
;stM.udiErrNo	:= 3160;
;//カウントする
;stM.uiEDCnt	:= stM.uiEDCnt + 1;
;//エラーコードを入れる
;stM.udiSubErr	:= stDevIn.astAXO[0].udiErr;
;//-----ここまで生成script-----
LDP stEx317.x2
AND=.D stM.udiErrNo #0
BOX_ST
;//このスクリプトは C:\tk\prj\hg-0025-0016\git\kv-x520\doc\[kv_script_exe_errno.xlsm]info_script によって生成されました。
;//エラーNo.を入れる
;stM.udiErrNo	:= 3170;
;//カウントする
;stM.uiEDCnt	:= stM.uiEDCnt + 1;
;//-----ここまで生成script-----
LDP stEx319.x2
AND=.D stM.udiErrNo #0
BOX_ST
;//このスクリプトは C:\tk\prj\hg-0025-0016\git\kv-x520\doc\[kv_script_exe_errno.xlsm]info_script によって生成されました。
;//エラーNo.を入れる
;stM.udiErrNo	:= 3190;
;//カウントする
;stM.uiEDCnt	:= stM.uiEDCnt + 1;
;//エラーコードを入れる
;stM.udiSubErr	:= stUni1Out.udiErr;
;//-----ここまで生成script-----
LDP stEx322.x2
AND=.D stM.udiErrNo #0
BOX_ST
;//このスクリプトは C:\tk\prj\hg-0025-0016\git\kv-x520\doc\[kv_script_exe_errno.xlsm]info_script によって生成されました。
;//エラーNo.を入れる
;stM.udiErrNo	:= 3220;
;//カウントする
;stM.uiEDCnt	:= stM.uiEDCnt + 1;
;//エラーコードを入れる
;stM.udiSubErr	:= stUni2Out.udiErr;
;//-----ここまで生成script-----
LDP stEx324.x2
AND=.D stM.udiErrNo #0
BOX_ST
;//このスクリプトは C:\tk\prj\hg-0025-0016\git\kv-x520\doc\[kv_script_exe_errno.xlsm]info_script によって生成されました。
;//エラーNo.を入れる
;stM.udiErrNo	:= 3240;
;//カウントする
;stM.uiEDCnt	:= stM.uiEDCnt + 1;
;//エラーコードを入れる
;stM.udiSubErr	:= stDevIn.astAXK[1].udiErr;
;//-----ここまで生成script-----</v>
      </c>
      <c r="BH109" t="str">
        <f>_xlfn.CONCAT(BH$8:BH$107)</f>
        <v xml:space="preserve">stEx300.x0	 := FALSE;
stEx301.x1	 := FALSE;
stEx302.x2	 := FALSE;
stEx303.x0	 := FALSE;
stEx304.x1	 := FALSE;
stEx305.x2	 := FALSE;
stEx306.x0	 := FALSE;
stEx307.x1	 := FALSE;
stEx308.x2	 := FALSE;
stEx309.x0	 := FALSE;
stEx310.x1	 := FALSE;
stEx311.x2	 := FALSE;
stEx312.x0	 := FALSE;
stEx313.x1	 := FALSE;
stEx314.x2	 := FALSE;
stEx315.x0	 := FALSE;
stEx316.x1	 := FALSE;
stEx317.x2	 := FALSE;
stEx318.x0	 := FALSE;
stEx319.x1	 := FALSE;
stEx320.x2	 := FALSE;
stEx321.x0	 := FALSE;
stEx322.x1	 := FALSE;
stEx323.x2	 := FALSE;
stEx324.x0	 := FALSE;
</v>
      </c>
    </row>
  </sheetData>
  <autoFilter ref="AW1:AW109" xr:uid="{072FD0F4-3707-4FCC-9D10-2DD76A7D546A}"/>
  <phoneticPr fontId="1"/>
  <conditionalFormatting sqref="A1:XFD1048576">
    <cfRule type="expression" dxfId="0" priority="1">
      <formula>_xlfn.ISFORMULA(A1)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T_KVX">
                <anchor moveWithCells="1" sizeWithCells="1">
                  <from>
                    <xdr:col>2</xdr:col>
                    <xdr:colOff>0</xdr:colOff>
                    <xdr:row>39</xdr:row>
                    <xdr:rowOff>0</xdr:rowOff>
                  </from>
                  <to>
                    <xdr:col>3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IM_CLA">
                <anchor moveWithCells="1" siz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config</vt:lpstr>
      <vt:lpstr>info_script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2026-01-06T23:36:54Z</dcterms:created>
  <dcterms:modified xsi:type="dcterms:W3CDTF">2026-02-27T09:02:03Z</dcterms:modified>
</cp:coreProperties>
</file>