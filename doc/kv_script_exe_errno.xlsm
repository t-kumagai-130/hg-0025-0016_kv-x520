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kv-x520\doc\"/>
    </mc:Choice>
  </mc:AlternateContent>
  <xr:revisionPtr revIDLastSave="0" documentId="13_ncr:1_{554342DA-C2B7-42FE-A1C3-D234422F2FA9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107" i="1" l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3" i="1"/>
  <c r="BB82" i="1"/>
  <c r="BB76" i="1"/>
  <c r="BB75" i="1"/>
  <c r="BB74" i="1"/>
  <c r="BB71" i="1"/>
  <c r="BB70" i="1"/>
  <c r="BB67" i="1"/>
  <c r="BB66" i="1"/>
  <c r="BB65" i="1"/>
  <c r="BB60" i="1"/>
  <c r="BB55" i="1"/>
  <c r="BB54" i="1"/>
  <c r="BB53" i="1"/>
  <c r="BB50" i="1"/>
  <c r="BB49" i="1"/>
  <c r="BB47" i="1"/>
  <c r="BB46" i="1"/>
  <c r="BB45" i="1"/>
  <c r="BB41" i="1"/>
  <c r="BB36" i="1"/>
  <c r="BB35" i="1"/>
  <c r="BB34" i="1"/>
  <c r="BB33" i="1"/>
  <c r="BB31" i="1"/>
  <c r="BB30" i="1"/>
  <c r="BB27" i="1"/>
  <c r="BB26" i="1"/>
  <c r="BB25" i="1"/>
  <c r="BB23" i="1"/>
  <c r="BB22" i="1"/>
  <c r="BB20" i="1"/>
  <c r="BB19" i="1"/>
  <c r="BB16" i="1"/>
  <c r="BB12" i="1"/>
  <c r="BB9" i="1"/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B39" i="1"/>
  <c r="E8" i="1"/>
  <c r="F8" i="1"/>
  <c r="G8" i="1"/>
  <c r="AM8" i="1" s="1"/>
  <c r="E9" i="1"/>
  <c r="G9" i="1"/>
  <c r="AM9" i="1" s="1"/>
  <c r="E10" i="1"/>
  <c r="G10" i="1"/>
  <c r="AM10" i="1" s="1"/>
  <c r="E11" i="1"/>
  <c r="G11" i="1"/>
  <c r="AM11" i="1" s="1"/>
  <c r="E12" i="1"/>
  <c r="G12" i="1"/>
  <c r="AM12" i="1" s="1"/>
  <c r="E13" i="1"/>
  <c r="G13" i="1"/>
  <c r="AM13" i="1" s="1"/>
  <c r="E14" i="1"/>
  <c r="G14" i="1"/>
  <c r="AM14" i="1" s="1"/>
  <c r="E15" i="1"/>
  <c r="G15" i="1"/>
  <c r="AM15" i="1" s="1"/>
  <c r="E16" i="1"/>
  <c r="G16" i="1"/>
  <c r="AM16" i="1" s="1"/>
  <c r="E17" i="1"/>
  <c r="G17" i="1"/>
  <c r="AM17" i="1" s="1"/>
  <c r="E18" i="1"/>
  <c r="G18" i="1"/>
  <c r="AM18" i="1" s="1"/>
  <c r="E19" i="1"/>
  <c r="G19" i="1"/>
  <c r="AM19" i="1" s="1"/>
  <c r="E20" i="1"/>
  <c r="G20" i="1"/>
  <c r="AM20" i="1" s="1"/>
  <c r="E21" i="1"/>
  <c r="G21" i="1"/>
  <c r="AM21" i="1" s="1"/>
  <c r="E22" i="1"/>
  <c r="G22" i="1"/>
  <c r="AM22" i="1" s="1"/>
  <c r="E23" i="1"/>
  <c r="G23" i="1"/>
  <c r="AM23" i="1" s="1"/>
  <c r="E24" i="1"/>
  <c r="G24" i="1"/>
  <c r="AM24" i="1" s="1"/>
  <c r="E25" i="1"/>
  <c r="G25" i="1"/>
  <c r="AM25" i="1" s="1"/>
  <c r="B24" i="2" a="1"/>
  <c r="B25" i="2" a="1"/>
  <c r="B5" i="2" a="1"/>
  <c r="B8" i="2" a="1"/>
  <c r="B2" i="2" a="1"/>
  <c r="B22" i="2" a="1"/>
  <c r="B26" i="2" a="1"/>
  <c r="B7" i="2" a="1"/>
  <c r="B4" i="2" a="1"/>
  <c r="B31" i="2" a="1"/>
  <c r="B23" i="2" a="1"/>
  <c r="B21" i="2" a="1"/>
  <c r="B6" i="2" a="1"/>
  <c r="B25" i="2" l="1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AM80" i="1" s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AM61" i="1" s="1"/>
  <c r="G60" i="1"/>
  <c r="G59" i="1"/>
  <c r="AM59" i="1" s="1"/>
  <c r="G58" i="1"/>
  <c r="G57" i="1"/>
  <c r="AM57" i="1" s="1"/>
  <c r="G56" i="1"/>
  <c r="G55" i="1"/>
  <c r="G54" i="1"/>
  <c r="G53" i="1"/>
  <c r="AM53" i="1" s="1"/>
  <c r="G52" i="1"/>
  <c r="G51" i="1"/>
  <c r="AM51" i="1" s="1"/>
  <c r="G50" i="1"/>
  <c r="G49" i="1"/>
  <c r="G48" i="1"/>
  <c r="G47" i="1"/>
  <c r="G46" i="1"/>
  <c r="G45" i="1"/>
  <c r="G44" i="1"/>
  <c r="G43" i="1"/>
  <c r="AM43" i="1" s="1"/>
  <c r="G42" i="1"/>
  <c r="AM42" i="1" s="1"/>
  <c r="G41" i="1"/>
  <c r="AM41" i="1" s="1"/>
  <c r="G40" i="1"/>
  <c r="AM40" i="1" s="1"/>
  <c r="G39" i="1"/>
  <c r="G38" i="1"/>
  <c r="G37" i="1"/>
  <c r="AM37" i="1" s="1"/>
  <c r="G36" i="1"/>
  <c r="G35" i="1"/>
  <c r="G34" i="1"/>
  <c r="AM34" i="1" s="1"/>
  <c r="G33" i="1"/>
  <c r="AM33" i="1" s="1"/>
  <c r="G32" i="1"/>
  <c r="AM32" i="1" s="1"/>
  <c r="G31" i="1"/>
  <c r="G30" i="1"/>
  <c r="G29" i="1"/>
  <c r="AM29" i="1" s="1"/>
  <c r="G28" i="1"/>
  <c r="AM28" i="1" s="1"/>
  <c r="G27" i="1"/>
  <c r="AM27" i="1" s="1"/>
  <c r="G26" i="1"/>
  <c r="AN19" i="1"/>
  <c r="AN18" i="1"/>
  <c r="AN15" i="1"/>
  <c r="AN14" i="1"/>
  <c r="AN11" i="1"/>
  <c r="AG7" i="1"/>
  <c r="AC39" i="1" l="1"/>
  <c r="AJ39" i="1" s="1"/>
  <c r="AM39" i="1"/>
  <c r="AC87" i="1"/>
  <c r="AJ87" i="1" s="1"/>
  <c r="AM87" i="1"/>
  <c r="AM48" i="1"/>
  <c r="AC56" i="1"/>
  <c r="AJ56" i="1" s="1"/>
  <c r="AM56" i="1"/>
  <c r="AC64" i="1"/>
  <c r="AJ64" i="1" s="1"/>
  <c r="AM64" i="1"/>
  <c r="AC72" i="1"/>
  <c r="AJ72" i="1" s="1"/>
  <c r="AM72" i="1"/>
  <c r="AC88" i="1"/>
  <c r="AJ88" i="1" s="1"/>
  <c r="AM88" i="1"/>
  <c r="AM96" i="1"/>
  <c r="AM104" i="1"/>
  <c r="AC55" i="1"/>
  <c r="AJ55" i="1" s="1"/>
  <c r="AM55" i="1"/>
  <c r="AC95" i="1"/>
  <c r="AJ95" i="1" s="1"/>
  <c r="AM95" i="1"/>
  <c r="AM49" i="1"/>
  <c r="AC65" i="1"/>
  <c r="AJ65" i="1" s="1"/>
  <c r="AM65" i="1"/>
  <c r="AC73" i="1"/>
  <c r="AJ73" i="1" s="1"/>
  <c r="AM73" i="1"/>
  <c r="AC81" i="1"/>
  <c r="AJ81" i="1" s="1"/>
  <c r="AM81" i="1"/>
  <c r="AC89" i="1"/>
  <c r="AJ89" i="1" s="1"/>
  <c r="AM89" i="1"/>
  <c r="AC97" i="1"/>
  <c r="AJ97" i="1" s="1"/>
  <c r="AM97" i="1"/>
  <c r="AC105" i="1"/>
  <c r="AJ105" i="1" s="1"/>
  <c r="AM105" i="1"/>
  <c r="AC31" i="1"/>
  <c r="AJ31" i="1" s="1"/>
  <c r="AM31" i="1"/>
  <c r="AC71" i="1"/>
  <c r="AJ71" i="1" s="1"/>
  <c r="AM71" i="1"/>
  <c r="AM50" i="1"/>
  <c r="AM58" i="1"/>
  <c r="AM66" i="1"/>
  <c r="AM74" i="1"/>
  <c r="AC82" i="1"/>
  <c r="AJ82" i="1" s="1"/>
  <c r="AM82" i="1"/>
  <c r="AC90" i="1"/>
  <c r="AJ90" i="1" s="1"/>
  <c r="AM90" i="1"/>
  <c r="AM98" i="1"/>
  <c r="AM106" i="1"/>
  <c r="AC47" i="1"/>
  <c r="AJ47" i="1" s="1"/>
  <c r="AM47" i="1"/>
  <c r="AC103" i="1"/>
  <c r="AJ103" i="1" s="1"/>
  <c r="AM103" i="1"/>
  <c r="AM35" i="1"/>
  <c r="AM67" i="1"/>
  <c r="AM75" i="1"/>
  <c r="AM83" i="1"/>
  <c r="AM91" i="1"/>
  <c r="AM99" i="1"/>
  <c r="AM107" i="1"/>
  <c r="AC63" i="1"/>
  <c r="AJ63" i="1" s="1"/>
  <c r="AM63" i="1"/>
  <c r="AM36" i="1"/>
  <c r="AM44" i="1"/>
  <c r="AM52" i="1"/>
  <c r="AM60" i="1"/>
  <c r="AM68" i="1"/>
  <c r="AM76" i="1"/>
  <c r="AM84" i="1"/>
  <c r="AM92" i="1"/>
  <c r="AM100" i="1"/>
  <c r="AC79" i="1"/>
  <c r="AJ79" i="1" s="1"/>
  <c r="AM79" i="1"/>
  <c r="AM26" i="1"/>
  <c r="AM45" i="1"/>
  <c r="AM69" i="1"/>
  <c r="AM77" i="1"/>
  <c r="AM85" i="1"/>
  <c r="AM93" i="1"/>
  <c r="AM101" i="1"/>
  <c r="AM30" i="1"/>
  <c r="AM38" i="1"/>
  <c r="AM46" i="1"/>
  <c r="AM54" i="1"/>
  <c r="AM62" i="1"/>
  <c r="AM70" i="1"/>
  <c r="AC78" i="1"/>
  <c r="AJ78" i="1" s="1"/>
  <c r="AM78" i="1"/>
  <c r="AM86" i="1"/>
  <c r="AM94" i="1"/>
  <c r="AM102" i="1"/>
  <c r="AN80" i="1"/>
  <c r="AN37" i="1"/>
  <c r="AN87" i="1"/>
  <c r="AN71" i="1"/>
  <c r="AN89" i="1"/>
  <c r="AN27" i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C41" i="1"/>
  <c r="AJ41" i="1" s="1"/>
  <c r="AC92" i="1"/>
  <c r="AJ92" i="1" s="1"/>
  <c r="AC44" i="1"/>
  <c r="AJ44" i="1" s="1"/>
  <c r="AC100" i="1"/>
  <c r="AJ100" i="1" s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N12" i="1"/>
  <c r="AN20" i="1"/>
  <c r="AN28" i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Z106" i="1"/>
  <c r="AF106" i="1" s="1"/>
  <c r="Z105" i="1"/>
  <c r="AF105" i="1" s="1"/>
  <c r="Z104" i="1"/>
  <c r="AF104" i="1" s="1"/>
  <c r="Z103" i="1"/>
  <c r="AF103" i="1" s="1"/>
  <c r="Z102" i="1"/>
  <c r="AF102" i="1" s="1"/>
  <c r="Z101" i="1"/>
  <c r="Z100" i="1"/>
  <c r="Z99" i="1"/>
  <c r="Z98" i="1"/>
  <c r="AF98" i="1" s="1"/>
  <c r="Z97" i="1"/>
  <c r="Z96" i="1"/>
  <c r="AF96" i="1" s="1"/>
  <c r="Z95" i="1"/>
  <c r="Z94" i="1"/>
  <c r="Z93" i="1"/>
  <c r="Z92" i="1"/>
  <c r="Z91" i="1"/>
  <c r="Z90" i="1"/>
  <c r="AF90" i="1" s="1"/>
  <c r="Z89" i="1"/>
  <c r="AF89" i="1" s="1"/>
  <c r="Z88" i="1"/>
  <c r="AF88" i="1" s="1"/>
  <c r="Z87" i="1"/>
  <c r="AF87" i="1" s="1"/>
  <c r="Z86" i="1"/>
  <c r="Z85" i="1"/>
  <c r="AF85" i="1" s="1"/>
  <c r="Z84" i="1"/>
  <c r="Z83" i="1"/>
  <c r="Z82" i="1"/>
  <c r="AF82" i="1" s="1"/>
  <c r="Z81" i="1"/>
  <c r="AF81" i="1" s="1"/>
  <c r="Z80" i="1"/>
  <c r="AF80" i="1" s="1"/>
  <c r="Z79" i="1"/>
  <c r="Z78" i="1"/>
  <c r="AF78" i="1" s="1"/>
  <c r="Z77" i="1"/>
  <c r="AF77" i="1" s="1"/>
  <c r="Z76" i="1"/>
  <c r="Z75" i="1"/>
  <c r="AF75" i="1" s="1"/>
  <c r="Z74" i="1"/>
  <c r="AF74" i="1" s="1"/>
  <c r="Z73" i="1"/>
  <c r="Z72" i="1"/>
  <c r="AF72" i="1" s="1"/>
  <c r="Z71" i="1"/>
  <c r="Z70" i="1"/>
  <c r="Z69" i="1"/>
  <c r="AF69" i="1" s="1"/>
  <c r="Z68" i="1"/>
  <c r="AF68" i="1" s="1"/>
  <c r="Z67" i="1"/>
  <c r="Z66" i="1"/>
  <c r="AF66" i="1" s="1"/>
  <c r="Z65" i="1"/>
  <c r="Z64" i="1"/>
  <c r="AF64" i="1" s="1"/>
  <c r="Z63" i="1"/>
  <c r="AF63" i="1" s="1"/>
  <c r="Z62" i="1"/>
  <c r="AF62" i="1" s="1"/>
  <c r="Z61" i="1"/>
  <c r="AF61" i="1" s="1"/>
  <c r="Z60" i="1"/>
  <c r="AF60" i="1" s="1"/>
  <c r="Z59" i="1"/>
  <c r="AF59" i="1" s="1"/>
  <c r="Z58" i="1"/>
  <c r="AF58" i="1" s="1"/>
  <c r="Z57" i="1"/>
  <c r="AF57" i="1" s="1"/>
  <c r="Z56" i="1"/>
  <c r="AF56" i="1" s="1"/>
  <c r="Z55" i="1"/>
  <c r="AF55" i="1" s="1"/>
  <c r="Z54" i="1"/>
  <c r="AF54" i="1" s="1"/>
  <c r="Z53" i="1"/>
  <c r="AF53" i="1" s="1"/>
  <c r="Z52" i="1"/>
  <c r="AF52" i="1" s="1"/>
  <c r="Z51" i="1"/>
  <c r="AF51" i="1" s="1"/>
  <c r="Z50" i="1"/>
  <c r="AF50" i="1" s="1"/>
  <c r="Z49" i="1"/>
  <c r="AF49" i="1" s="1"/>
  <c r="Z48" i="1"/>
  <c r="AF48" i="1" s="1"/>
  <c r="Z47" i="1"/>
  <c r="AF47" i="1" s="1"/>
  <c r="Z46" i="1"/>
  <c r="AF46" i="1" s="1"/>
  <c r="Z45" i="1"/>
  <c r="AF45" i="1" s="1"/>
  <c r="Z44" i="1"/>
  <c r="AF44" i="1" s="1"/>
  <c r="Z43" i="1"/>
  <c r="AF43" i="1" s="1"/>
  <c r="Z42" i="1"/>
  <c r="AF42" i="1" s="1"/>
  <c r="Z41" i="1"/>
  <c r="AF41" i="1" s="1"/>
  <c r="Z40" i="1"/>
  <c r="AF40" i="1" s="1"/>
  <c r="Z39" i="1"/>
  <c r="AF39" i="1" s="1"/>
  <c r="Z38" i="1"/>
  <c r="AF38" i="1" s="1"/>
  <c r="Z37" i="1"/>
  <c r="AF37" i="1" s="1"/>
  <c r="Z36" i="1"/>
  <c r="AF36" i="1" s="1"/>
  <c r="Z35" i="1"/>
  <c r="AF35" i="1" s="1"/>
  <c r="Z34" i="1"/>
  <c r="AF34" i="1" s="1"/>
  <c r="Z33" i="1"/>
  <c r="AF33" i="1" s="1"/>
  <c r="Z32" i="1"/>
  <c r="AF32" i="1" s="1"/>
  <c r="Z31" i="1"/>
  <c r="AF31" i="1" s="1"/>
  <c r="Z30" i="1"/>
  <c r="AF30" i="1" s="1"/>
  <c r="Z29" i="1"/>
  <c r="AF29" i="1" s="1"/>
  <c r="Z28" i="1"/>
  <c r="AF28" i="1" s="1"/>
  <c r="Z27" i="1"/>
  <c r="AF27" i="1" s="1"/>
  <c r="Z26" i="1"/>
  <c r="AF26" i="1" s="1"/>
  <c r="Z25" i="1"/>
  <c r="AF25" i="1" s="1"/>
  <c r="Z24" i="1"/>
  <c r="AF24" i="1" s="1"/>
  <c r="Z23" i="1"/>
  <c r="AF23" i="1" s="1"/>
  <c r="Z22" i="1"/>
  <c r="AF22" i="1" s="1"/>
  <c r="Z21" i="1"/>
  <c r="Z20" i="1"/>
  <c r="AF20" i="1" s="1"/>
  <c r="Z19" i="1"/>
  <c r="AF19" i="1" s="1"/>
  <c r="Z18" i="1"/>
  <c r="AF18" i="1" s="1"/>
  <c r="Z17" i="1"/>
  <c r="AF17" i="1" s="1"/>
  <c r="Z16" i="1"/>
  <c r="AF16" i="1" s="1"/>
  <c r="Z15" i="1"/>
  <c r="AF15" i="1" s="1"/>
  <c r="Z14" i="1"/>
  <c r="AF14" i="1" s="1"/>
  <c r="Z13" i="1"/>
  <c r="AF13" i="1" s="1"/>
  <c r="Z12" i="1"/>
  <c r="AF12" i="1" s="1"/>
  <c r="Z11" i="1"/>
  <c r="AF11" i="1" s="1"/>
  <c r="Z10" i="1"/>
  <c r="AF10" i="1" s="1"/>
  <c r="Z9" i="1"/>
  <c r="AF9" i="1" s="1"/>
  <c r="Z8" i="1"/>
  <c r="AF8" i="1" s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N102" i="1" l="1"/>
  <c r="AN46" i="1"/>
  <c r="AN45" i="1"/>
  <c r="AN68" i="1"/>
  <c r="AN99" i="1"/>
  <c r="AN47" i="1"/>
  <c r="AN74" i="1"/>
  <c r="AN105" i="1"/>
  <c r="AN73" i="1"/>
  <c r="AN94" i="1"/>
  <c r="AN38" i="1"/>
  <c r="AN26" i="1"/>
  <c r="AN60" i="1"/>
  <c r="AN91" i="1"/>
  <c r="AN66" i="1"/>
  <c r="AN104" i="1"/>
  <c r="AN56" i="1"/>
  <c r="AN86" i="1"/>
  <c r="AN30" i="1"/>
  <c r="AN79" i="1"/>
  <c r="AN52" i="1"/>
  <c r="AN83" i="1"/>
  <c r="AN106" i="1"/>
  <c r="AN58" i="1"/>
  <c r="AN97" i="1"/>
  <c r="AN65" i="1"/>
  <c r="AN96" i="1"/>
  <c r="AN78" i="1"/>
  <c r="AN101" i="1"/>
  <c r="AN44" i="1"/>
  <c r="AN75" i="1"/>
  <c r="AN98" i="1"/>
  <c r="AN50" i="1"/>
  <c r="AN88" i="1"/>
  <c r="AN48" i="1"/>
  <c r="AN93" i="1"/>
  <c r="AN100" i="1"/>
  <c r="AN36" i="1"/>
  <c r="AN67" i="1"/>
  <c r="AN90" i="1"/>
  <c r="AN49" i="1"/>
  <c r="AN70" i="1"/>
  <c r="AN85" i="1"/>
  <c r="AN92" i="1"/>
  <c r="AN63" i="1"/>
  <c r="AN35" i="1"/>
  <c r="AN95" i="1"/>
  <c r="AN72" i="1"/>
  <c r="AN62" i="1"/>
  <c r="AN77" i="1"/>
  <c r="AN84" i="1"/>
  <c r="AN103" i="1"/>
  <c r="AN82" i="1"/>
  <c r="AN31" i="1"/>
  <c r="AN81" i="1"/>
  <c r="AN39" i="1"/>
  <c r="AN54" i="1"/>
  <c r="AN69" i="1"/>
  <c r="AN76" i="1"/>
  <c r="AN107" i="1"/>
  <c r="AN55" i="1"/>
  <c r="AN64" i="1"/>
  <c r="AF21" i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E71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E79" i="1"/>
  <c r="AH15" i="1"/>
  <c r="AE9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E68" i="1"/>
  <c r="AG68" i="1"/>
  <c r="AE77" i="1"/>
  <c r="AG77" i="1"/>
  <c r="AG78" i="1"/>
  <c r="AG102" i="1"/>
  <c r="AE69" i="1"/>
  <c r="AG69" i="1"/>
  <c r="AG71" i="1"/>
  <c r="AG87" i="1"/>
  <c r="AE103" i="1"/>
  <c r="AG103" i="1"/>
  <c r="AG105" i="1"/>
  <c r="AE8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E87" i="1"/>
  <c r="AH33" i="1"/>
  <c r="AH29" i="1"/>
  <c r="AE63" i="1"/>
  <c r="AH63" i="1"/>
  <c r="AH32" i="1"/>
  <c r="AH40" i="1"/>
  <c r="AE46" i="1"/>
  <c r="AE101" i="1"/>
  <c r="AD81" i="1"/>
  <c r="AD89" i="1"/>
  <c r="AD97" i="1"/>
  <c r="AD105" i="1"/>
  <c r="AE54" i="1"/>
  <c r="AE61" i="1"/>
  <c r="AD43" i="1"/>
  <c r="AD51" i="1"/>
  <c r="AE93" i="1"/>
  <c r="AE76" i="1"/>
  <c r="AE92" i="1"/>
  <c r="AD14" i="1"/>
  <c r="AE22" i="1"/>
  <c r="AE30" i="1"/>
  <c r="AE38" i="1"/>
  <c r="AD8" i="1"/>
  <c r="AE8" i="1"/>
  <c r="AE9" i="1"/>
  <c r="AD10" i="1"/>
  <c r="AD19" i="1"/>
  <c r="AD27" i="1"/>
  <c r="AD35" i="1"/>
  <c r="AH20" i="1"/>
  <c r="AD65" i="1"/>
  <c r="AH16" i="1"/>
  <c r="AD73" i="1"/>
  <c r="AE100" i="1"/>
  <c r="AH11" i="1"/>
  <c r="AE84" i="1"/>
  <c r="BH109" i="1"/>
  <c r="AH14" i="1"/>
  <c r="AD63" i="1"/>
  <c r="AE66" i="1"/>
  <c r="AD71" i="1"/>
  <c r="AE74" i="1"/>
  <c r="AD79" i="1"/>
  <c r="AE82" i="1"/>
  <c r="AD87" i="1"/>
  <c r="AE90" i="1"/>
  <c r="AD95" i="1"/>
  <c r="AE98" i="1"/>
  <c r="AD103" i="1"/>
  <c r="AE106" i="1"/>
  <c r="AD68" i="1"/>
  <c r="AD76" i="1"/>
  <c r="AD84" i="1"/>
  <c r="AD92" i="1"/>
  <c r="AD100" i="1"/>
  <c r="AH9" i="1"/>
  <c r="AD62" i="1"/>
  <c r="AE65" i="1"/>
  <c r="AD70" i="1"/>
  <c r="AE73" i="1"/>
  <c r="AD78" i="1"/>
  <c r="AE81" i="1"/>
  <c r="AD86" i="1"/>
  <c r="AE89" i="1"/>
  <c r="AD94" i="1"/>
  <c r="AE97" i="1"/>
  <c r="AD102" i="1"/>
  <c r="AE105" i="1"/>
  <c r="AH10" i="1"/>
  <c r="AE62" i="1"/>
  <c r="AD67" i="1"/>
  <c r="AE70" i="1"/>
  <c r="AD75" i="1"/>
  <c r="AE78" i="1"/>
  <c r="AD83" i="1"/>
  <c r="AE86" i="1"/>
  <c r="AD91" i="1"/>
  <c r="AE94" i="1"/>
  <c r="AD99" i="1"/>
  <c r="AE102" i="1"/>
  <c r="AD107" i="1"/>
  <c r="AD64" i="1"/>
  <c r="AE67" i="1"/>
  <c r="AD72" i="1"/>
  <c r="AE75" i="1"/>
  <c r="AD80" i="1"/>
  <c r="AE83" i="1"/>
  <c r="AD88" i="1"/>
  <c r="AE91" i="1"/>
  <c r="AD96" i="1"/>
  <c r="AE99" i="1"/>
  <c r="AD104" i="1"/>
  <c r="AE107" i="1"/>
  <c r="AH12" i="1"/>
  <c r="AD61" i="1"/>
  <c r="AE64" i="1"/>
  <c r="AD69" i="1"/>
  <c r="AE72" i="1"/>
  <c r="AD77" i="1"/>
  <c r="AE80" i="1"/>
  <c r="AD85" i="1"/>
  <c r="AE88" i="1"/>
  <c r="AD93" i="1"/>
  <c r="AE96" i="1"/>
  <c r="AD101" i="1"/>
  <c r="AE104" i="1"/>
  <c r="AH13" i="1"/>
  <c r="AD16" i="1"/>
  <c r="AE19" i="1"/>
  <c r="AD24" i="1"/>
  <c r="AE27" i="1"/>
  <c r="AD32" i="1"/>
  <c r="AE35" i="1"/>
  <c r="AD40" i="1"/>
  <c r="AE43" i="1"/>
  <c r="AD48" i="1"/>
  <c r="AE51" i="1"/>
  <c r="AD56" i="1"/>
  <c r="AE59" i="1"/>
  <c r="AE16" i="1"/>
  <c r="AD21" i="1"/>
  <c r="AE24" i="1"/>
  <c r="AD29" i="1"/>
  <c r="AE32" i="1"/>
  <c r="AD37" i="1"/>
  <c r="AE40" i="1"/>
  <c r="AD45" i="1"/>
  <c r="AE48" i="1"/>
  <c r="AD53" i="1"/>
  <c r="AE56" i="1"/>
  <c r="AD18" i="1"/>
  <c r="AE21" i="1"/>
  <c r="AD26" i="1"/>
  <c r="AE29" i="1"/>
  <c r="AD34" i="1"/>
  <c r="AE37" i="1"/>
  <c r="AD42" i="1"/>
  <c r="AE45" i="1"/>
  <c r="AD50" i="1"/>
  <c r="AE53" i="1"/>
  <c r="AD58" i="1"/>
  <c r="AE18" i="1"/>
  <c r="AD23" i="1"/>
  <c r="AE26" i="1"/>
  <c r="AD31" i="1"/>
  <c r="AE34" i="1"/>
  <c r="AD39" i="1"/>
  <c r="AE42" i="1"/>
  <c r="AD47" i="1"/>
  <c r="AE50" i="1"/>
  <c r="AD55" i="1"/>
  <c r="AE58" i="1"/>
  <c r="AD20" i="1"/>
  <c r="AE23" i="1"/>
  <c r="AD28" i="1"/>
  <c r="AE31" i="1"/>
  <c r="AD36" i="1"/>
  <c r="AE39" i="1"/>
  <c r="AD44" i="1"/>
  <c r="AE47" i="1"/>
  <c r="AD52" i="1"/>
  <c r="AE55" i="1"/>
  <c r="AD60" i="1"/>
  <c r="AD17" i="1"/>
  <c r="AE20" i="1"/>
  <c r="AD25" i="1"/>
  <c r="AE28" i="1"/>
  <c r="AD33" i="1"/>
  <c r="AE36" i="1"/>
  <c r="AD41" i="1"/>
  <c r="AE44" i="1"/>
  <c r="AD49" i="1"/>
  <c r="AE52" i="1"/>
  <c r="AD57" i="1"/>
  <c r="AE60" i="1"/>
  <c r="AE17" i="1"/>
  <c r="AD22" i="1"/>
  <c r="AE25" i="1"/>
  <c r="AD30" i="1"/>
  <c r="AE33" i="1"/>
  <c r="AD38" i="1"/>
  <c r="AE41" i="1"/>
  <c r="AD46" i="1"/>
  <c r="AE49" i="1"/>
  <c r="AD54" i="1"/>
  <c r="AE57" i="1"/>
  <c r="AD15" i="1"/>
  <c r="AE15" i="1"/>
  <c r="AE13" i="1"/>
  <c r="AD11" i="1"/>
  <c r="AE14" i="1"/>
  <c r="AE11" i="1"/>
  <c r="AD13" i="1"/>
  <c r="AE10" i="1"/>
  <c r="AD12" i="1"/>
  <c r="AD9" i="1"/>
  <c r="AE12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BA102" i="1"/>
  <c r="BA94" i="1"/>
  <c r="AQ62" i="1"/>
  <c r="AQ54" i="1"/>
  <c r="AQ46" i="1"/>
  <c r="AQ60" i="1"/>
  <c r="BA107" i="1"/>
  <c r="BA99" i="1"/>
  <c r="BA91" i="1"/>
  <c r="AQ59" i="1"/>
  <c r="AQ51" i="1"/>
  <c r="AQ43" i="1"/>
  <c r="BA100" i="1"/>
  <c r="BA76" i="1"/>
  <c r="BA90" i="1"/>
  <c r="BA101" i="1"/>
  <c r="BA93" i="1"/>
  <c r="AQ61" i="1"/>
  <c r="AQ53" i="1"/>
  <c r="BA92" i="1"/>
  <c r="AQ44" i="1"/>
  <c r="BA106" i="1"/>
  <c r="BA98" i="1"/>
  <c r="AQ50" i="1"/>
  <c r="AQ42" i="1"/>
  <c r="BA105" i="1"/>
  <c r="BA97" i="1"/>
  <c r="AQ57" i="1"/>
  <c r="AQ49" i="1"/>
  <c r="AQ41" i="1"/>
  <c r="BA104" i="1"/>
  <c r="BA96" i="1"/>
  <c r="AQ56" i="1"/>
  <c r="AQ48" i="1"/>
  <c r="BA103" i="1"/>
  <c r="BA95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101" i="1"/>
  <c r="AY100" i="1"/>
  <c r="AY92" i="1"/>
  <c r="AY76" i="1"/>
  <c r="AY107" i="1"/>
  <c r="AY91" i="1"/>
  <c r="AY90" i="1"/>
  <c r="AY105" i="1"/>
  <c r="AY97" i="1"/>
  <c r="AY99" i="1"/>
  <c r="AY104" i="1"/>
  <c r="AY96" i="1"/>
  <c r="AY106" i="1"/>
  <c r="AY103" i="1"/>
  <c r="AY95" i="1"/>
  <c r="AY93" i="1"/>
  <c r="AY98" i="1"/>
  <c r="AY102" i="1"/>
  <c r="AY94" i="1"/>
  <c r="BC100" i="1"/>
  <c r="AZ100" i="1"/>
  <c r="AZ106" i="1"/>
  <c r="BC106" i="1"/>
  <c r="AZ90" i="1"/>
  <c r="BC90" i="1"/>
  <c r="BC105" i="1"/>
  <c r="AZ105" i="1"/>
  <c r="AP17" i="1"/>
  <c r="AQ68" i="1"/>
  <c r="AP20" i="1"/>
  <c r="BC107" i="1"/>
  <c r="AZ107" i="1"/>
  <c r="AP91" i="1"/>
  <c r="BC91" i="1"/>
  <c r="AZ91" i="1"/>
  <c r="AZ98" i="1"/>
  <c r="BC98" i="1"/>
  <c r="BC97" i="1"/>
  <c r="AZ97" i="1"/>
  <c r="BC104" i="1"/>
  <c r="AZ104" i="1"/>
  <c r="AQ96" i="1"/>
  <c r="BC96" i="1"/>
  <c r="AZ96" i="1"/>
  <c r="AQ72" i="1"/>
  <c r="AQ64" i="1"/>
  <c r="AP32" i="1"/>
  <c r="AZ103" i="1"/>
  <c r="BC103" i="1"/>
  <c r="AZ95" i="1"/>
  <c r="BC95" i="1"/>
  <c r="AZ102" i="1"/>
  <c r="BC102" i="1"/>
  <c r="AQ92" i="1"/>
  <c r="BC92" i="1"/>
  <c r="AZ92" i="1"/>
  <c r="BC76" i="1"/>
  <c r="AZ76" i="1"/>
  <c r="BC99" i="1"/>
  <c r="AZ99" i="1"/>
  <c r="AZ94" i="1"/>
  <c r="BC94" i="1"/>
  <c r="AZ101" i="1"/>
  <c r="BC101" i="1"/>
  <c r="AZ93" i="1"/>
  <c r="BC93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AT13" i="1"/>
  <c r="AY13" i="1" s="1"/>
  <c r="AZ13" i="1" s="1"/>
  <c r="BA13" i="1" s="1"/>
  <c r="BB13" i="1" s="1"/>
  <c r="AT9" i="1"/>
  <c r="AY9" i="1" s="1"/>
  <c r="AZ9" i="1" s="1"/>
  <c r="BA9" i="1" s="1"/>
  <c r="AT20" i="1"/>
  <c r="AT32" i="1"/>
  <c r="AY32" i="1" s="1"/>
  <c r="AZ32" i="1" s="1"/>
  <c r="AT91" i="1"/>
  <c r="AU91" i="1" s="1"/>
  <c r="AV91" i="1" s="1"/>
  <c r="AW91" i="1" s="1"/>
  <c r="AT97" i="1"/>
  <c r="AT80" i="1"/>
  <c r="AY80" i="1" s="1"/>
  <c r="AZ80" i="1" s="1"/>
  <c r="BA80" i="1" s="1"/>
  <c r="BB80" i="1" s="1"/>
  <c r="AT18" i="1"/>
  <c r="AT81" i="1"/>
  <c r="AT93" i="1"/>
  <c r="AT44" i="1"/>
  <c r="AT103" i="1"/>
  <c r="AT99" i="1"/>
  <c r="AT88" i="1"/>
  <c r="AY88" i="1" s="1"/>
  <c r="AZ88" i="1" s="1"/>
  <c r="BA88" i="1" s="1"/>
  <c r="BC88" i="1" s="1"/>
  <c r="AT92" i="1"/>
  <c r="AU92" i="1" s="1"/>
  <c r="AV92" i="1" s="1"/>
  <c r="AW92" i="1" s="1"/>
  <c r="AT95" i="1"/>
  <c r="AU95" i="1" s="1"/>
  <c r="AV95" i="1" s="1"/>
  <c r="AW95" i="1" s="1"/>
  <c r="AT85" i="1"/>
  <c r="AY85" i="1" s="1"/>
  <c r="AZ85" i="1" s="1"/>
  <c r="BA85" i="1" s="1"/>
  <c r="BB85" i="1" s="1"/>
  <c r="AT100" i="1"/>
  <c r="AU100" i="1" s="1"/>
  <c r="AV100" i="1" s="1"/>
  <c r="AW100" i="1" s="1"/>
  <c r="AT96" i="1"/>
  <c r="AU96" i="1" s="1"/>
  <c r="AV96" i="1" s="1"/>
  <c r="AW96" i="1" s="1"/>
  <c r="AT87" i="1"/>
  <c r="AY87" i="1" s="1"/>
  <c r="AZ87" i="1" s="1"/>
  <c r="BA87" i="1" s="1"/>
  <c r="BC87" i="1" s="1"/>
  <c r="AT105" i="1"/>
  <c r="AU105" i="1" s="1"/>
  <c r="AV105" i="1" s="1"/>
  <c r="AW105" i="1" s="1"/>
  <c r="AT89" i="1"/>
  <c r="AY89" i="1" s="1"/>
  <c r="AZ89" i="1" s="1"/>
  <c r="BA89" i="1" s="1"/>
  <c r="BC89" i="1" s="1"/>
  <c r="AT70" i="1"/>
  <c r="AT43" i="1"/>
  <c r="AY43" i="1" s="1"/>
  <c r="AZ43" i="1" s="1"/>
  <c r="AT107" i="1"/>
  <c r="AT63" i="1"/>
  <c r="AT56" i="1"/>
  <c r="AT53" i="1"/>
  <c r="AY53" i="1" s="1"/>
  <c r="AZ53" i="1" s="1"/>
  <c r="AT77" i="1"/>
  <c r="AT28" i="1"/>
  <c r="AY28" i="1" s="1"/>
  <c r="AZ28" i="1" s="1"/>
  <c r="AT29" i="1"/>
  <c r="AQ13" i="1"/>
  <c r="AT45" i="1"/>
  <c r="AT106" i="1"/>
  <c r="AT65" i="1"/>
  <c r="AT64" i="1"/>
  <c r="AY64" i="1" s="1"/>
  <c r="AZ64" i="1" s="1"/>
  <c r="BA64" i="1" s="1"/>
  <c r="BB64" i="1" s="1"/>
  <c r="AT33" i="1"/>
  <c r="AY33" i="1" s="1"/>
  <c r="AZ33" i="1" s="1"/>
  <c r="AT47" i="1"/>
  <c r="AY47" i="1" s="1"/>
  <c r="AZ47" i="1" s="1"/>
  <c r="AT71" i="1"/>
  <c r="AT31" i="1"/>
  <c r="AY31" i="1" s="1"/>
  <c r="AZ31" i="1" s="1"/>
  <c r="AT75" i="1"/>
  <c r="AY75" i="1" s="1"/>
  <c r="AZ75" i="1" s="1"/>
  <c r="BA75" i="1" s="1"/>
  <c r="BC75" i="1" s="1"/>
  <c r="AQ32" i="1"/>
  <c r="AT61" i="1"/>
  <c r="AT49" i="1"/>
  <c r="AT16" i="1"/>
  <c r="AT35" i="1"/>
  <c r="AY35" i="1" s="1"/>
  <c r="AZ35" i="1" s="1"/>
  <c r="AT51" i="1"/>
  <c r="AT84" i="1"/>
  <c r="AT79" i="1"/>
  <c r="AT101" i="1"/>
  <c r="AQ35" i="1"/>
  <c r="AT76" i="1"/>
  <c r="AU76" i="1" s="1"/>
  <c r="AV76" i="1" s="1"/>
  <c r="AW76" i="1" s="1"/>
  <c r="AT21" i="1"/>
  <c r="AT37" i="1"/>
  <c r="AT55" i="1"/>
  <c r="AY55" i="1" s="1"/>
  <c r="AZ55" i="1" s="1"/>
  <c r="AT40" i="1"/>
  <c r="AT72" i="1"/>
  <c r="AT39" i="1"/>
  <c r="AT36" i="1"/>
  <c r="AY36" i="1" s="1"/>
  <c r="AZ36" i="1" s="1"/>
  <c r="AT83" i="1"/>
  <c r="AY83" i="1" s="1"/>
  <c r="AZ83" i="1" s="1"/>
  <c r="BA83" i="1" s="1"/>
  <c r="BC83" i="1" s="1"/>
  <c r="AT24" i="1"/>
  <c r="AY24" i="1" s="1"/>
  <c r="AZ24" i="1" s="1"/>
  <c r="AT27" i="1"/>
  <c r="AY27" i="1" s="1"/>
  <c r="AZ27" i="1" s="1"/>
  <c r="AT67" i="1"/>
  <c r="AY67" i="1" s="1"/>
  <c r="AZ67" i="1" s="1"/>
  <c r="BA67" i="1" s="1"/>
  <c r="BC67" i="1" s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Y78" i="1" s="1"/>
  <c r="AZ78" i="1" s="1"/>
  <c r="BA78" i="1" s="1"/>
  <c r="BB78" i="1" s="1"/>
  <c r="AT90" i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BC66" i="1" s="1"/>
  <c r="AT98" i="1"/>
  <c r="AT58" i="1"/>
  <c r="AY58" i="1" s="1"/>
  <c r="AZ58" i="1" s="1"/>
  <c r="AT19" i="1"/>
  <c r="AY19" i="1" s="1"/>
  <c r="AZ19" i="1" s="1"/>
  <c r="AT30" i="1"/>
  <c r="AT46" i="1"/>
  <c r="AT102" i="1"/>
  <c r="AU102" i="1" s="1"/>
  <c r="AV102" i="1" s="1"/>
  <c r="AW102" i="1" s="1"/>
  <c r="AT59" i="1"/>
  <c r="AT15" i="1"/>
  <c r="AT60" i="1"/>
  <c r="AT82" i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AT11" i="1"/>
  <c r="AY11" i="1" s="1"/>
  <c r="AZ11" i="1" s="1"/>
  <c r="AT69" i="1"/>
  <c r="AY69" i="1" s="1"/>
  <c r="AZ69" i="1" s="1"/>
  <c r="BA69" i="1" s="1"/>
  <c r="BB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Y74" i="1" s="1"/>
  <c r="AZ74" i="1" s="1"/>
  <c r="BA74" i="1" s="1"/>
  <c r="BC74" i="1" s="1"/>
  <c r="AT94" i="1"/>
  <c r="AT73" i="1"/>
  <c r="AY73" i="1" s="1"/>
  <c r="AZ73" i="1" s="1"/>
  <c r="BA73" i="1" s="1"/>
  <c r="BB73" i="1" s="1"/>
  <c r="AQ34" i="1"/>
  <c r="AT86" i="1"/>
  <c r="AY86" i="1" s="1"/>
  <c r="AZ86" i="1" s="1"/>
  <c r="BA86" i="1" s="1"/>
  <c r="BB86" i="1" s="1"/>
  <c r="BC73" i="1" l="1"/>
  <c r="BC78" i="1"/>
  <c r="BC85" i="1"/>
  <c r="BC80" i="1"/>
  <c r="BC86" i="1"/>
  <c r="BC64" i="1"/>
  <c r="BC69" i="1"/>
  <c r="AU72" i="1"/>
  <c r="AV72" i="1" s="1"/>
  <c r="AW72" i="1" s="1"/>
  <c r="AY72" i="1"/>
  <c r="AZ72" i="1" s="1"/>
  <c r="BA72" i="1" s="1"/>
  <c r="BB72" i="1" s="1"/>
  <c r="BC68" i="1"/>
  <c r="AU84" i="1"/>
  <c r="AV84" i="1" s="1"/>
  <c r="AW84" i="1" s="1"/>
  <c r="AY84" i="1"/>
  <c r="AZ84" i="1" s="1"/>
  <c r="BA84" i="1" s="1"/>
  <c r="BB84" i="1" s="1"/>
  <c r="BC17" i="1"/>
  <c r="AU70" i="1"/>
  <c r="AV70" i="1" s="1"/>
  <c r="AW70" i="1" s="1"/>
  <c r="AY70" i="1"/>
  <c r="AZ70" i="1" s="1"/>
  <c r="BA70" i="1" s="1"/>
  <c r="BC70" i="1" s="1"/>
  <c r="AU71" i="1"/>
  <c r="AV71" i="1" s="1"/>
  <c r="AW71" i="1" s="1"/>
  <c r="AY71" i="1"/>
  <c r="AZ71" i="1" s="1"/>
  <c r="BA71" i="1" s="1"/>
  <c r="BC71" i="1" s="1"/>
  <c r="AU77" i="1"/>
  <c r="AV77" i="1" s="1"/>
  <c r="AW77" i="1" s="1"/>
  <c r="AY77" i="1"/>
  <c r="AZ77" i="1" s="1"/>
  <c r="BA77" i="1" s="1"/>
  <c r="BB77" i="1" s="1"/>
  <c r="AU82" i="1"/>
  <c r="AV82" i="1" s="1"/>
  <c r="AW82" i="1" s="1"/>
  <c r="AY82" i="1"/>
  <c r="AZ82" i="1" s="1"/>
  <c r="BA82" i="1" s="1"/>
  <c r="BC82" i="1" s="1"/>
  <c r="AU79" i="1"/>
  <c r="AV79" i="1" s="1"/>
  <c r="AW79" i="1" s="1"/>
  <c r="AY79" i="1"/>
  <c r="AZ79" i="1" s="1"/>
  <c r="BA79" i="1" s="1"/>
  <c r="BB79" i="1" s="1"/>
  <c r="AU81" i="1"/>
  <c r="AV81" i="1" s="1"/>
  <c r="AW81" i="1" s="1"/>
  <c r="AY81" i="1"/>
  <c r="AZ81" i="1" s="1"/>
  <c r="BA81" i="1" s="1"/>
  <c r="BB81" i="1" s="1"/>
  <c r="AU65" i="1"/>
  <c r="AV65" i="1" s="1"/>
  <c r="AW65" i="1" s="1"/>
  <c r="AY65" i="1"/>
  <c r="AZ65" i="1" s="1"/>
  <c r="BA65" i="1" s="1"/>
  <c r="BC65" i="1" s="1"/>
  <c r="AU13" i="1"/>
  <c r="AV13" i="1" s="1"/>
  <c r="AW13" i="1" s="1"/>
  <c r="BA50" i="1"/>
  <c r="BC50" i="1" s="1"/>
  <c r="BA58" i="1"/>
  <c r="BB58" i="1" s="1"/>
  <c r="BA47" i="1"/>
  <c r="BC47" i="1" s="1"/>
  <c r="BA57" i="1"/>
  <c r="BB57" i="1" s="1"/>
  <c r="AU61" i="1"/>
  <c r="AV61" i="1" s="1"/>
  <c r="AW61" i="1" s="1"/>
  <c r="AY61" i="1"/>
  <c r="AZ61" i="1" s="1"/>
  <c r="BA61" i="1" s="1"/>
  <c r="BB61" i="1" s="1"/>
  <c r="BA53" i="1"/>
  <c r="BC53" i="1" s="1"/>
  <c r="AU63" i="1"/>
  <c r="AV63" i="1" s="1"/>
  <c r="AW63" i="1" s="1"/>
  <c r="AY63" i="1"/>
  <c r="AZ63" i="1" s="1"/>
  <c r="BA63" i="1" s="1"/>
  <c r="BB63" i="1" s="1"/>
  <c r="BA43" i="1"/>
  <c r="BB43" i="1" s="1"/>
  <c r="AU62" i="1"/>
  <c r="AV62" i="1" s="1"/>
  <c r="AW62" i="1" s="1"/>
  <c r="AY62" i="1"/>
  <c r="AZ62" i="1" s="1"/>
  <c r="BA62" i="1" s="1"/>
  <c r="BB62" i="1" s="1"/>
  <c r="BA42" i="1"/>
  <c r="BB42" i="1" s="1"/>
  <c r="BA55" i="1"/>
  <c r="BC55" i="1" s="1"/>
  <c r="AU17" i="1"/>
  <c r="AV17" i="1" s="1"/>
  <c r="AW17" i="1" s="1"/>
  <c r="BA22" i="1"/>
  <c r="BC22" i="1" s="1"/>
  <c r="BA35" i="1"/>
  <c r="BC35" i="1" s="1"/>
  <c r="BA19" i="1"/>
  <c r="BA24" i="1"/>
  <c r="BB24" i="1" s="1"/>
  <c r="BA33" i="1"/>
  <c r="BC33" i="1" s="1"/>
  <c r="BA27" i="1"/>
  <c r="BC27" i="1" s="1"/>
  <c r="BA23" i="1"/>
  <c r="BA11" i="1"/>
  <c r="BB11" i="1" s="1"/>
  <c r="BA28" i="1"/>
  <c r="BB28" i="1" s="1"/>
  <c r="BA36" i="1"/>
  <c r="BC36" i="1" s="1"/>
  <c r="BA34" i="1"/>
  <c r="BC34" i="1" s="1"/>
  <c r="BA31" i="1"/>
  <c r="BC31" i="1" s="1"/>
  <c r="BA32" i="1"/>
  <c r="BB32" i="1" s="1"/>
  <c r="BA26" i="1"/>
  <c r="BC26" i="1" s="1"/>
  <c r="BA12" i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C84" i="1" l="1"/>
  <c r="BC72" i="1"/>
  <c r="BC43" i="1"/>
  <c r="BC58" i="1"/>
  <c r="BC63" i="1"/>
  <c r="BC77" i="1"/>
  <c r="BC61" i="1"/>
  <c r="BC28" i="1"/>
  <c r="BC42" i="1"/>
  <c r="BC81" i="1"/>
  <c r="BC32" i="1"/>
  <c r="BC62" i="1"/>
  <c r="BC57" i="1"/>
  <c r="BC24" i="1"/>
  <c r="BC79" i="1"/>
  <c r="BC23" i="1"/>
  <c r="BC19" i="1"/>
  <c r="BC12" i="1"/>
  <c r="BC11" i="1"/>
  <c r="BA18" i="1"/>
  <c r="BB18" i="1" s="1"/>
  <c r="BA49" i="1"/>
  <c r="BC49" i="1" s="1"/>
  <c r="BA48" i="1"/>
  <c r="BB48" i="1" s="1"/>
  <c r="BA45" i="1"/>
  <c r="BC45" i="1" s="1"/>
  <c r="BA44" i="1"/>
  <c r="BB44" i="1" s="1"/>
  <c r="BA52" i="1"/>
  <c r="BB52" i="1" s="1"/>
  <c r="BA59" i="1"/>
  <c r="BB59" i="1" s="1"/>
  <c r="BA60" i="1"/>
  <c r="BC60" i="1" s="1"/>
  <c r="BA54" i="1"/>
  <c r="BC54" i="1" s="1"/>
  <c r="BA39" i="1"/>
  <c r="BB39" i="1" s="1"/>
  <c r="BA46" i="1"/>
  <c r="BC46" i="1" s="1"/>
  <c r="BA41" i="1"/>
  <c r="BC41" i="1" s="1"/>
  <c r="BA51" i="1"/>
  <c r="BB51" i="1" s="1"/>
  <c r="BA56" i="1"/>
  <c r="BB56" i="1" s="1"/>
  <c r="BA14" i="1"/>
  <c r="BB14" i="1" s="1"/>
  <c r="BA15" i="1"/>
  <c r="BB15" i="1" s="1"/>
  <c r="BA29" i="1"/>
  <c r="BB29" i="1" s="1"/>
  <c r="BA21" i="1"/>
  <c r="BB21" i="1" s="1"/>
  <c r="BA30" i="1"/>
  <c r="BC30" i="1" s="1"/>
  <c r="BA38" i="1"/>
  <c r="BB38" i="1" s="1"/>
  <c r="BA40" i="1"/>
  <c r="BB40" i="1" s="1"/>
  <c r="BA37" i="1"/>
  <c r="BB37" i="1" s="1"/>
  <c r="BA25" i="1"/>
  <c r="BA20" i="1"/>
  <c r="BA10" i="1"/>
  <c r="BB10" i="1" s="1"/>
  <c r="BA16" i="1"/>
  <c r="AW109" i="1"/>
  <c r="B30" i="1" s="1"/>
  <c r="BC18" i="1" l="1"/>
  <c r="BC52" i="1"/>
  <c r="BC21" i="1"/>
  <c r="BC39" i="1"/>
  <c r="BC59" i="1"/>
  <c r="BC56" i="1"/>
  <c r="BC40" i="1"/>
  <c r="BC51" i="1"/>
  <c r="BC44" i="1"/>
  <c r="BC29" i="1"/>
  <c r="BC37" i="1"/>
  <c r="BC38" i="1"/>
  <c r="BC48" i="1"/>
  <c r="BC10" i="1"/>
  <c r="BC25" i="1"/>
  <c r="BC14" i="1"/>
  <c r="BC20" i="1"/>
  <c r="BC16" i="1"/>
  <c r="BC15" i="1"/>
  <c r="B32" i="2" l="1"/>
  <c r="BC109" i="1"/>
  <c r="B4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<sst xmlns="http://schemas.openxmlformats.org/spreadsheetml/2006/main" count="297" uniqueCount="212">
  <si>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</si>
  <si>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</si>
  <si>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</si>
  <si>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</si>
  <si>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</si>
  <si>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</si>
  <si>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</si>
  <si>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</si>
  <si>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</si>
  <si>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</si>
  <si>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</si>
  <si>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</si>
  <si>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</si>
  <si>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</si>
  <si>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</si>
  <si>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</si>
  <si>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</si>
  <si>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</si>
  <si>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</si>
  <si>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</si>
  <si>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</si>
  <si>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</si>
  <si>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</si>
  <si>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</si>
  <si>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</si>
  <si>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</si>
  <si>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</si>
  <si>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</si>
  <si>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</si>
  <si>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</si>
  <si>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</si>
  <si>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</si>
  <si>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</si>
  <si>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</si>
  <si>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</si>
  <si>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</si>
  <si>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</si>
  <si>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</si>
  <si>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</si>
  <si>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</si>
  <si>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</si>
  <si>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</si>
  <si>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</si>
  <si>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</si>
  <si>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</si>
  <si>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</si>
  <si>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</si>
  <si>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</si>
  <si>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</si>
  <si>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</si>
  <si>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</si>
  <si>
    <t>EXE_DIREC</t>
  </si>
  <si>
    <t>stEx400</t>
  </si>
  <si>
    <t>△●U01平板 巻き動作</t>
  </si>
  <si>
    <t>stEx401</t>
  </si>
  <si>
    <t>△◆波板軸心 送り出し 有無</t>
  </si>
  <si>
    <t>stEx402</t>
  </si>
  <si>
    <t>●AXO04波板 波板送り</t>
  </si>
  <si>
    <t>stEx403</t>
  </si>
  <si>
    <t>波板在荷確認</t>
  </si>
  <si>
    <t>stEx404</t>
  </si>
  <si>
    <t>▼波板軸心 送り出し 有無</t>
  </si>
  <si>
    <t>stEx405</t>
  </si>
  <si>
    <t>●AXO04波板 巻き動作</t>
  </si>
  <si>
    <t>stEx406</t>
  </si>
  <si>
    <t>△●U05溶接 押え</t>
  </si>
  <si>
    <t>stEx407</t>
  </si>
  <si>
    <t>△●CYL04平板補助 退避1</t>
  </si>
  <si>
    <t>stEx408</t>
  </si>
  <si>
    <t>◆平板補助 追加有無</t>
  </si>
  <si>
    <t>stEx409</t>
  </si>
  <si>
    <t>●CYL04平板補助 上昇</t>
  </si>
  <si>
    <t>stEx410</t>
  </si>
  <si>
    <t>●CYL04平板補助 退避2</t>
  </si>
  <si>
    <t>stEx411</t>
  </si>
  <si>
    <t>▼平板補助 追加有無</t>
  </si>
  <si>
    <t>stEx412</t>
  </si>
  <si>
    <t>△◆平板押え 上昇有無</t>
  </si>
  <si>
    <t>stEx413</t>
  </si>
  <si>
    <t>●波板押え 上昇</t>
  </si>
  <si>
    <t>stEx414</t>
  </si>
  <si>
    <t>▼平板押え 上昇有無</t>
  </si>
  <si>
    <t>stEx415</t>
  </si>
  <si>
    <t>△◆主軸 巻き継続判定</t>
  </si>
  <si>
    <t>stEx416</t>
  </si>
  <si>
    <t>&gt;△●AXK13主軸 巻き回転</t>
  </si>
  <si>
    <t>stEx417</t>
  </si>
  <si>
    <t>&gt;△◆整え+測定 有無</t>
  </si>
  <si>
    <t>stEx418</t>
  </si>
  <si>
    <t>&gt;&gt;△◆整え 有無</t>
  </si>
  <si>
    <t>stEx419</t>
  </si>
  <si>
    <t>&gt;&gt;&gt;◆整え繰返し 有無</t>
  </si>
  <si>
    <t>stEx420</t>
  </si>
  <si>
    <t>&gt;&gt;&gt;●AXK14調台 整え</t>
  </si>
  <si>
    <t>stEx421</t>
  </si>
  <si>
    <t>&gt;&gt;&gt;●AXK14調台 待機</t>
  </si>
  <si>
    <t>stEx422</t>
  </si>
  <si>
    <t>&gt;&gt;▼整え</t>
  </si>
  <si>
    <t>stEx423</t>
  </si>
  <si>
    <t>&gt;&gt;△◆巻き中測定 有無</t>
  </si>
  <si>
    <t>stEx424</t>
  </si>
  <si>
    <t>&gt;&gt;&gt;●U06 巻き中測定</t>
  </si>
  <si>
    <t>stEx425</t>
  </si>
  <si>
    <t>&gt;&gt;▼巻き中測定 有無</t>
  </si>
  <si>
    <t>stEx426</t>
  </si>
  <si>
    <t>&gt;&gt;▽▼整え+測定</t>
  </si>
  <si>
    <t>stEx427</t>
  </si>
  <si>
    <t>&gt;▽主軸+ 整え+測定</t>
  </si>
  <si>
    <t>stEx428</t>
  </si>
  <si>
    <t>&gt;◆平板ｶｯﾄ 有無判定</t>
  </si>
  <si>
    <t>stEx429</t>
  </si>
  <si>
    <t>&gt;&gt;△●AXI05 排出</t>
  </si>
  <si>
    <t>stEx430</t>
  </si>
  <si>
    <t>&gt;&gt;●AXI05 平板押え</t>
  </si>
  <si>
    <t>stEx431</t>
  </si>
  <si>
    <t>&gt;&gt;△●CYL07平板押え 下降</t>
  </si>
  <si>
    <t>stEx432</t>
  </si>
  <si>
    <t>&gt;&gt;●CYL19X平板押え 上昇</t>
  </si>
  <si>
    <t>stEx433</t>
  </si>
  <si>
    <t>&gt;&gt;▽主軸 +平板押え</t>
  </si>
  <si>
    <t>stEx434</t>
  </si>
  <si>
    <t>&gt;&gt;●U01平板 ｶｯﾄ</t>
  </si>
  <si>
    <t>stEx435</t>
  </si>
  <si>
    <t>&gt;&gt;△●AXI05 排出受取</t>
  </si>
  <si>
    <t>stEx436</t>
  </si>
  <si>
    <t>&gt;&gt;△●AXI06 波板検索 接近</t>
  </si>
  <si>
    <t>stEx437</t>
  </si>
  <si>
    <t>&gt;&gt;▽排出 +周長軸</t>
  </si>
  <si>
    <t>stEx438</t>
  </si>
  <si>
    <t>&gt;▼平板ｶｯﾄ</t>
  </si>
  <si>
    <t>stEx439</t>
  </si>
  <si>
    <t>&gt;◆波板ｶｯﾄ 有無判定</t>
  </si>
  <si>
    <t>stEx440</t>
  </si>
  <si>
    <t>&gt;&gt;●U02波板 ｶｯﾄ</t>
  </si>
  <si>
    <t>stEx441</t>
  </si>
  <si>
    <t>&gt;▼波板ｶｯﾄ</t>
  </si>
  <si>
    <t>stEx442</t>
  </si>
  <si>
    <t>&gt;△◆平板押え 上昇有無</t>
  </si>
  <si>
    <t>stEx443</t>
  </si>
  <si>
    <t>&gt;&gt;●CYL07平板押え 上昇</t>
  </si>
  <si>
    <t>stEx444</t>
  </si>
  <si>
    <t>&gt;&gt;巻き締まり 待機</t>
  </si>
  <si>
    <t>stEx445</t>
  </si>
  <si>
    <t>&gt;▼平板押え 下降</t>
  </si>
  <si>
    <t>stEx446</t>
  </si>
  <si>
    <t>&gt;▼ｶｯﾄ処理</t>
  </si>
  <si>
    <t>stEx447</t>
  </si>
  <si>
    <t>△◆波板ﾉﾘ 有無判定</t>
  </si>
  <si>
    <t>stEx448</t>
  </si>
  <si>
    <t>&gt;●AXO17 波板補助 退避</t>
  </si>
  <si>
    <t>stEx449</t>
  </si>
  <si>
    <t>&gt;△●CYL02波ﾉﾘ1 塗布開始</t>
  </si>
  <si>
    <t>stEx450</t>
  </si>
  <si>
    <t>&gt;△●CYL03波ﾉﾘ2 塗布開始</t>
  </si>
  <si>
    <t>stEx451</t>
  </si>
  <si>
    <t>&gt;△●OTHC03T糊軸 停止</t>
  </si>
  <si>
    <t>stEx452</t>
  </si>
  <si>
    <t>&gt;▽波板ﾉﾘ 開始</t>
  </si>
  <si>
    <t>stEx453</t>
  </si>
  <si>
    <t>&gt;△●CYL02波ﾉﾘ1 塗布終了</t>
  </si>
  <si>
    <t>stEx454</t>
  </si>
  <si>
    <t>&gt;△●CYL03波ﾉﾘ2 塗布終了</t>
  </si>
  <si>
    <t>stEx455</t>
  </si>
  <si>
    <t>&gt;△●OTHC03T糊軸 回転</t>
  </si>
  <si>
    <t>stEx456</t>
  </si>
  <si>
    <t>&gt;△●AXO17 波板補助 補助</t>
  </si>
  <si>
    <t>stEx457</t>
  </si>
  <si>
    <t>&gt;▽波板ﾉﾘ 終了</t>
  </si>
  <si>
    <t>stEx458</t>
  </si>
  <si>
    <t>▽巻き継続 (完成角度)</t>
  </si>
  <si>
    <t>stEx459</t>
  </si>
  <si>
    <t>△◆予備巻締 有無</t>
  </si>
  <si>
    <t>stEx460</t>
  </si>
  <si>
    <t>●AXK14 予備巻締</t>
  </si>
  <si>
    <t>stEx461</t>
  </si>
  <si>
    <t>●AXK14 巻き位置</t>
  </si>
  <si>
    <t>stEx462</t>
  </si>
  <si>
    <t>▼予備巻締</t>
  </si>
  <si>
    <t>stEx463</t>
  </si>
  <si>
    <t>△◆巻締 締め有無</t>
  </si>
  <si>
    <t>stEx464</t>
  </si>
  <si>
    <t>●AXK14調台 締め位置</t>
  </si>
  <si>
    <t>stEx465</t>
  </si>
  <si>
    <t>●CYL19X平板押え 下降</t>
  </si>
  <si>
    <t>stEx466</t>
  </si>
  <si>
    <t>▼巻締 締め</t>
  </si>
  <si>
    <t>stEx467</t>
  </si>
  <si>
    <t>▽平+波 +溶接+主軸</t>
  </si>
  <si>
    <t>stEx468</t>
  </si>
  <si>
    <t>◆波板端 検索有無</t>
  </si>
  <si>
    <t>stEx469</t>
  </si>
  <si>
    <t>△●AXO17 波板補助 待機</t>
  </si>
  <si>
    <t>stEx470</t>
  </si>
  <si>
    <t>△●AXI05 波板検索</t>
  </si>
  <si>
    <t>stEx471</t>
  </si>
  <si>
    <t>△●AXI06 波板検索</t>
  </si>
  <si>
    <t>stEx472</t>
  </si>
  <si>
    <t>△波板終端 検索</t>
  </si>
  <si>
    <t>stEx473</t>
  </si>
  <si>
    <t>△●AXK13 波板検索</t>
  </si>
  <si>
    <t>stEx474</t>
  </si>
  <si>
    <t>▽波板終端 検索</t>
  </si>
  <si>
    <t>stEx475</t>
  </si>
  <si>
    <t>▼波板端 検索有無</t>
  </si>
  <si>
    <t>stEx476</t>
  </si>
  <si>
    <t>●AXK13主軸 溶接位置</t>
  </si>
  <si>
    <t>stEx477</t>
  </si>
  <si>
    <t>△●AXI05 排出</t>
  </si>
  <si>
    <t>stEx478</t>
  </si>
  <si>
    <t>△●AXI06 待機</t>
  </si>
  <si>
    <t>stEx479</t>
  </si>
  <si>
    <t>▽AXI05+AXI06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</si>
</sst>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E24" sqref="E24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39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40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41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42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43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46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47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48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49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44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45</v>
      </c>
      <c r="B32">
        <f ca="1"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09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F8" sqref="F8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F4">
        <v>17</v>
      </c>
      <c r="AN4">
        <v>0</v>
      </c>
    </row>
    <row r="5" spans="1:60" x14ac:dyDescent="0.55000000000000004">
      <c r="AF5">
        <v>17</v>
      </c>
      <c r="AN5" t="s">
        <v>35</v>
      </c>
    </row>
    <row r="6" spans="1:60" x14ac:dyDescent="0.55000000000000004">
      <c r="AD6" t="s">
        <v>36</v>
      </c>
      <c r="AE6" t="s">
        <v>13</v>
      </c>
      <c r="AF6" t="s">
        <v>14</v>
      </c>
      <c r="AG6" t="s">
        <v>14</v>
      </c>
      <c r="AH6" t="s">
        <v>12</v>
      </c>
      <c r="AI6" t="s">
        <v>15</v>
      </c>
      <c r="AN6">
        <v>10</v>
      </c>
      <c r="BE6">
        <v>3</v>
      </c>
    </row>
    <row r="7" spans="1:60" x14ac:dyDescent="0.55000000000000004">
      <c r="A7" t="s">
        <v>5</v>
      </c>
      <c r="E7" s="1"/>
      <c r="F7" s="1"/>
      <c r="G7" s="1"/>
      <c r="I7" s="2" t="s">
        <v>33</v>
      </c>
      <c r="J7" s="2"/>
      <c r="K7" s="2"/>
      <c r="L7" s="2"/>
      <c r="M7" s="2"/>
      <c r="N7" s="2"/>
      <c r="O7" s="2"/>
      <c r="P7" s="1"/>
      <c r="Q7" s="4" t="s">
        <v>34</v>
      </c>
      <c r="R7" s="4"/>
      <c r="S7" s="4"/>
      <c r="T7" s="4"/>
      <c r="U7" s="4"/>
      <c r="V7" s="4"/>
      <c r="W7" s="4"/>
      <c r="X7" s="4"/>
      <c r="Z7" t="s">
        <v>10</v>
      </c>
      <c r="AA7" t="s">
        <v>11</v>
      </c>
      <c r="AB7" t="s">
        <v>18</v>
      </c>
      <c r="AC7" t="s">
        <v>37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stDevOut.astAXO</v>
      </c>
      <c r="AH7" t="str">
        <f>$Z$1&amp;"."&amp;AH6</f>
        <v>stDevOut.astCYL</v>
      </c>
      <c r="AI7" t="str">
        <f>$Z$1&amp;"."&amp;AI6</f>
        <v>stDevOut.astEC</v>
      </c>
      <c r="AJ7" t="s">
        <v>38</v>
      </c>
      <c r="AK7" t="s">
        <v>16</v>
      </c>
      <c r="AM7" t="s">
        <v>4</v>
      </c>
      <c r="AN7" t="s">
        <v>3</v>
      </c>
      <c r="AS7" t="s">
        <v>28</v>
      </c>
      <c r="AW7" t="s">
        <v>31</v>
      </c>
      <c r="AY7" t="s">
        <v>29</v>
      </c>
      <c r="BC7" t="s">
        <v>30</v>
      </c>
      <c r="BE7" t="s">
        <v>25</v>
      </c>
      <c r="BH7" t="s">
        <v>26</v>
      </c>
    </row>
    <row r="8" spans="1:60" x14ac:dyDescent="0.55000000000000004">
      <c r="A8" t="s">
        <v>6</v>
      </c>
      <c r="B8" t="str" cm="1">
        <f t="array" aca="1" ref="B8" ca="1">CELL("filename")</f>
        <v>C:\tk\prj\hg-0025-0016\git\kv-x520\doc\[kv_script_exe_errno.xlsm]info_script</v>
      </c>
      <c r="D8">
        <v>0</v>
      </c>
      <c r="E8" t="str">
        <f t="shared" ref="E8:E39" si="2">IF(LEN(I8),I8,IF(LEN(Q8),Q8,""))</f>
        <v>stEx400</v>
      </c>
      <c r="F8" t="str">
        <f>IF(LEN(J8),J8,IF(LEN(Q8),Q8,""))</f>
        <v>stEx400</v>
      </c>
      <c r="G8" t="str">
        <f t="shared" ref="G8:G39" si="3">IF(LEN(O8),O8,IF(LEN(X8),X8,""))</f>
        <v>△●U01平板 巻き動作</v>
      </c>
      <c r="Q8" t="s">
        <v>52</v>
      </c>
      <c r="R8" t="s">
        <v>51</v>
      </c>
      <c r="U8" t="b">
        <v>0</v>
      </c>
      <c r="V8" t="b">
        <v>0</v>
      </c>
      <c r="W8" t="b">
        <v>0</v>
      </c>
      <c r="X8" t="s">
        <v>53</v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 t="shared" ref="AE8:AE23" si="4">IF(AND(LEN($Z8),AE$2&lt;=$Z8,$Z8&lt;=AE$3),AE$7&amp;"["&amp;$Z8-AE$2&amp;"]","")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>IF(LEN(G8),IF(OR(COUNTIF(G8,"*◆*"),COUNTIF(G8,"*▼*"),COUNTIF(G8,"*▽*"),COUNTIF(G8,"*■*")),"","●"),"")</f>
        <v>●</v>
      </c>
      <c r="AN8">
        <f t="shared" ref="AN8:AN39" si="5">IF(AM8="●",(AN$4+MOD(INT(MID(E8,5,3)),AN$2))*AN$6,"")</f>
        <v>4000</v>
      </c>
      <c r="AO8" t="str">
        <f t="shared" ref="AO8:AO39" si="6">IF($AM8="●","LDP "&amp;E8&amp;"."&amp;$B$14,"")</f>
        <v>LDP stEx400.x2</v>
      </c>
      <c r="AP8" t="str">
        <f t="shared" ref="AP8:AP39" si="7">IF($AM8="●","AND=.D "&amp;$B$15&amp;" #0","")</f>
        <v>AND=.D stM.udiErrNo #0</v>
      </c>
      <c r="AQ8" t="str">
        <f t="shared" ref="AQ8:AQ39" si="8">IF($AM8="●","MOV.D #"&amp;AN8&amp;" "&amp;$B$15,"")</f>
        <v>MOV.D #4000 stM.udiErrNo</v>
      </c>
      <c r="AR8" t="str">
        <f t="shared" ref="AR8:AR39" si="9">IF(LEN(AK8),"MOV.D "&amp;$AK8&amp;" "&amp;$B$17,"")</f>
        <v/>
      </c>
      <c r="AS8" t="str">
        <f t="shared" ref="AS8:AS39" si="10">IF(AND(D8&lt;&gt;0,AM8="●"),CHAR(10),"")&amp;IF(LEN(AO8),AO8,"")</f>
        <v>LDP stEx400.x2</v>
      </c>
      <c r="AT8" t="str">
        <f t="shared" ref="AT8:AT39" si="11">IF(LEN(AS8),AS8&amp;CHAR(10),"")&amp;IF(LEN(AP8),AP8,"")</f>
        <v>LDP stEx400.x2
AND=.D stM.udiErrNo #0</v>
      </c>
      <c r="AU8" t="str">
        <f t="shared" ref="AU8:AU39" si="12">IF(LEN(AT8),AT8&amp;CHAR(10),"")&amp;IF(LEN(AQ8),AQ8,"")</f>
        <v>LDP stEx400.x2
AND=.D stM.udiErrNo #0
MOV.D #4000 stM.udiErrNo</v>
      </c>
      <c r="AV8" t="str">
        <f>IF(LEN(AU8),AU8&amp;CHAR(10),"")&amp;IF(LEN(AR8),AR8,"")</f>
        <v xml:space="preserve">LDP stEx400.x2
AND=.D stM.udiErrNo #0
MOV.D #4000 stM.udiErrNo
</v>
      </c>
      <c r="AW8" t="str">
        <f>AV8</f>
        <v xml:space="preserve">LDP stEx400.x2
AND=.D stM.udiErrNo #0
MOV.D #4000 stM.udiErrNo
</v>
      </c>
      <c r="AY8" t="str">
        <f t="shared" ref="AY8:AY39" ca="1" si="13">IF($AM8="●",AT8&amp;CHAR(10)&amp;"BOX_ST"&amp;CHAR(10)&amp;";//"&amp;$B$28,"")</f>
        <v>LDP stEx400.x2
AND=.D stM.udiErrNo #0
BOX_ST
;//このスクリプトは C:\tk\prj\hg-0025-0016\git\kv-x520\doc\[kv_script_exe_errno.xlsm]info_script によって生成されました。</v>
      </c>
      <c r="AZ8" t="str">
        <f t="shared" ref="AZ8:AZ39" ca="1" si="14">IF($AM8="●",IF(LEN(AY8),AY8&amp;CHAR(10),"")&amp;";//エラーNo.を入れる"&amp;CHAR(10)&amp;";"&amp;$B$15&amp;"	:= "&amp;AN8&amp;";","")</f>
        <v>LDP stEx400.x2
AND=.D stM.udiErrNo #0
BOX_ST
;//このスクリプトは C:\tk\prj\hg-0025-0016\git\kv-x520\doc\[kv_script_exe_errno.xlsm]info_script によって生成されました。
;//エラーNo.を入れる
;stM.udiErrNo	:= 4000;</v>
      </c>
      <c r="BA8" t="str">
        <f t="shared" ref="BA8:BA39" ca="1" si="15">IF($AM8="●",IF(LEN(AZ8),AZ8&amp;CHAR(10),"")&amp;";//カウントする"&amp;CHAR(10)&amp;";"&amp;$B$16&amp;"	:= "&amp;$B$16&amp;" + 1;","")</f>
        <v>LDP stEx400.x2
AND=.D stM.udiErrNo #0
BOX_ST
;//このスクリプトは C:\tk\prj\hg-0025-0016\git\kv-x520\doc\[kv_script_exe_errno.xlsm]info_script によって生成されました。
;//エラーNo.を入れる
;stM.udiErrNo	:= 4000;
;//カウントする
;stM.uiEDCnt	:= stM.uiEDCnt + 1;</v>
      </c>
      <c r="BB8" t="str">
        <f ca="1">IF($AM8="●",IF(LEN(BA8),BA8&amp;CHAR(10),"")&amp;IF(LEN(AK8),";//エラーコードを入れる"&amp;CHAR(10)&amp;";"&amp;$B$17&amp;"	:= "&amp;AK8&amp;".udiErrNo;",""),"")</f>
        <v xml:space="preserve">LDP stEx400.x2
AND=.D stM.udiErrNo #0
BOX_ST
;//このスクリプトは C:\tk\prj\hg-0025-0016\git\kv-x520\doc\[kv_script_exe_errno.xlsm]info_script によって生成されました。
;//エラーNo.を入れる
;stM.udiErrNo	:= 4000;
;//カウントする
;stM.uiEDCnt	:= stM.uiEDCnt + 1;
</v>
      </c>
      <c r="BC8" t="str">
        <f t="shared" ref="BC8:BC39" ca="1" si="16">IF($AM8="●",IF(LEN(BB8),BB8&amp;CHAR(10),"")&amp;";//"&amp;$B$29,"")</f>
        <v>LDP stEx400.x2
AND=.D stM.udiErrNo #0
BOX_ST
;//このスクリプトは C:\tk\prj\hg-0025-0016\git\kv-x520\doc\[kv_script_exe_errno.xlsm]info_script によって生成されました。
;//エラーNo.を入れる
;stM.udiErrNo	:= 4000;
;//カウントする
;stM.uiEDCnt	:= stM.uiEDCnt + 1;
;//-----ここまで生成script-----</v>
      </c>
      <c r="BE8">
        <f t="shared" ref="BE8:BE39" si="17">INT(D8/$BE$6)</f>
        <v>0</v>
      </c>
      <c r="BF8">
        <f t="shared" ref="BF8:BF39" si="18">MOD(D8,$BE$6)</f>
        <v>0</v>
      </c>
      <c r="BG8" t="str">
        <f t="shared" ref="BG8:BG39" si="19">IF(LEN(E8),E8&amp;".x"&amp;TEXT(BF8,"0")&amp;CHAR(9)&amp;" := FALSE;","")</f>
        <v>stEx400.x0	 := FALSE;</v>
      </c>
      <c r="BH8" t="str">
        <f>IF(LEN(BG8),BG8&amp;CHAR(10),"")</f>
        <v xml:space="preserve">stEx400.x0	 := FALSE;
</v>
      </c>
    </row>
    <row r="9" spans="1:60" x14ac:dyDescent="0.55000000000000004">
      <c r="D9">
        <v>1</v>
      </c>
      <c r="E9" t="str">
        <f t="shared" si="2"/>
        <v>stEx401</v>
      </c>
      <c r="F9" t="str">
        <f t="shared" ref="F9:F72" si="20">IF(LEN(J9),J9,IF(LEN(Q9),Q9,""))</f>
        <v>stEx401</v>
      </c>
      <c r="G9" t="str">
        <f t="shared" si="3"/>
        <v>△◆波板軸心 送り出し 有無</v>
      </c>
      <c r="I9" s="3"/>
      <c r="Q9" t="s">
        <v>54</v>
      </c>
      <c r="R9" t="s">
        <v>51</v>
      </c>
      <c r="U9" t="b">
        <v>0</v>
      </c>
      <c r="V9" t="b">
        <v>0</v>
      </c>
      <c r="W9" t="b">
        <v>0</v>
      </c>
      <c r="X9" t="s">
        <v>55</v>
      </c>
      <c r="Z9" t="str">
        <f t="shared" ref="Z9:Z72" si="21">IF(COUNTIF($G9,"*"&amp;Z$7&amp;"*"),INT(MID($G9,FIND(Z$7,$G9)+LEN(Z$7)+1,2)),"")</f>
        <v/>
      </c>
      <c r="AA9" t="str">
        <f t="shared" ref="AA9:AC72" si="22">IF(COUNTIF($G9,"*"&amp;AA$7&amp;"*"),INT(MID($G9,FIND(AA$7,$G9)+LEN(AA$7),2)),"")</f>
        <v/>
      </c>
      <c r="AB9" t="str">
        <f t="shared" si="22"/>
        <v/>
      </c>
      <c r="AC9" t="str">
        <f t="shared" si="22"/>
        <v/>
      </c>
      <c r="AD9" t="str">
        <f t="shared" ref="AD9:AE40" si="23">IF(AND(LEN($Z9),AD$2&lt;=$Z9,$Z9&lt;=AD$3),AD$7&amp;"["&amp;$Z9-AD$2&amp;"]","")</f>
        <v/>
      </c>
      <c r="AE9" t="str">
        <f t="shared" si="4"/>
        <v/>
      </c>
      <c r="AF9" t="str">
        <f t="shared" ref="AF9:AF72" si="24">IF(AND(LEN($Z9),AF$2&lt;=$Z9,$Z9&lt;=AF$3),AF$7&amp;"["&amp;$Z9-AF$2&amp;"]",IF(AND(LEN($Z9),AF$4&lt;=$Z9,$Z9&lt;=AF$5),AF$7&amp;"["&amp;AF$3+$Z9-AF$4-AF$2+1&amp;"]",""))</f>
        <v/>
      </c>
      <c r="AG9" t="str">
        <f t="shared" ref="AG9:AG72" si="25">IF(AND(LEN($Z9),AG$2&lt;=$Z9,$Z9&lt;=AG$3),AG$7&amp;"["&amp;$Z9-AG$2&amp;"]",IF(AND(LEN($Z9),AG$4&lt;=$Z9,$Z9&lt;=AG$5),AG$7&amp;"["&amp;AG$3+$Z9-AG$4&amp;"]",""))</f>
        <v/>
      </c>
      <c r="AH9" t="str">
        <f t="shared" ref="AH9:AH72" si="26">IF(AND(LEN($AA9),AH$2&lt;=$AA9,$AA9&lt;=AH$3),AH$7&amp;"["&amp;$AA9-AH$2&amp;"]","")</f>
        <v/>
      </c>
      <c r="AI9" t="str">
        <f t="shared" ref="AI9:AI72" si="27">IF(AND(LEN($AB9),AI$2&lt;=$AB9,$AB9&lt;=AI$3),AI$7&amp;"["&amp;$AB9-AI$2&amp;"]","")</f>
        <v/>
      </c>
      <c r="AJ9" t="str">
        <f t="shared" ref="AJ9:AJ72" si="28">IF(AND(LEN($AC9),AJ$2&lt;=$AC9,$AC9&lt;=AJ$3),AJ$7&amp;$AC9-AJ$2&amp;"Out","")</f>
        <v/>
      </c>
      <c r="AK9" t="str">
        <f t="shared" ref="AK9:AK72" si="29">IF(LEN(_xlfn.CONCAT(AD9:AJ9)),_xlfn.CONCAT(AD9:AJ9),"")</f>
        <v/>
      </c>
      <c r="AM9" t="str">
        <f t="shared" ref="AM9:AM72" si="30">IF(LEN(G9),IF(OR(COUNTIF(G9,"*◆*"),COUNTIF(G9,"*▼*"),COUNTIF(G9,"*▽*"),COUNTIF(G9,"*■*")),"","●"),"")</f>
        <v/>
      </c>
      <c r="AN9" t="str">
        <f t="shared" si="5"/>
        <v/>
      </c>
      <c r="AO9" t="str">
        <f t="shared" si="6"/>
        <v/>
      </c>
      <c r="AP9" t="str">
        <f t="shared" si="7"/>
        <v/>
      </c>
      <c r="AQ9" t="str">
        <f t="shared" si="8"/>
        <v/>
      </c>
      <c r="AR9" t="str">
        <f t="shared" si="9"/>
        <v/>
      </c>
      <c r="AS9" t="str">
        <f t="shared" si="10"/>
        <v/>
      </c>
      <c r="AT9" t="str">
        <f t="shared" si="11"/>
        <v/>
      </c>
      <c r="AU9" t="str">
        <f t="shared" si="12"/>
        <v/>
      </c>
      <c r="AV9" t="str">
        <f t="shared" ref="AV9:AV72" si="31">IF(LEN(AU9),AU9&amp;CHAR(10),"")&amp;IF(LEN(AR9),AR9,"")</f>
        <v/>
      </c>
      <c r="AW9" t="str">
        <f t="shared" ref="AW9:AW72" si="32">AV9</f>
        <v/>
      </c>
      <c r="AY9" t="str">
        <f t="shared" si="13"/>
        <v/>
      </c>
      <c r="AZ9" t="str">
        <f t="shared" si="14"/>
        <v/>
      </c>
      <c r="BA9" t="str">
        <f t="shared" si="15"/>
        <v/>
      </c>
      <c r="BB9" t="str">
        <f t="shared" ref="BB9:BB72" si="33">IF($AM9="●",IF(LEN(BA9),BA9&amp;CHAR(10),"")&amp;IF(LEN(AK9),";//エラーコードを入れる"&amp;CHAR(10)&amp;";"&amp;$B$17&amp;"	:= "&amp;AK9&amp;".udiErrNo;",""),"")</f>
        <v/>
      </c>
      <c r="BC9" t="str">
        <f t="shared" si="16"/>
        <v/>
      </c>
      <c r="BE9">
        <f t="shared" si="17"/>
        <v>0</v>
      </c>
      <c r="BF9">
        <f t="shared" si="18"/>
        <v>1</v>
      </c>
      <c r="BG9" t="str">
        <f t="shared" si="19"/>
        <v>stEx401.x1	 := FALSE;</v>
      </c>
      <c r="BH9" t="str">
        <f t="shared" ref="BH9:BH72" si="34">IF(LEN(BG9),BG9&amp;CHAR(10),"")</f>
        <v xml:space="preserve">stEx401.x1	 := FALSE;
</v>
      </c>
    </row>
    <row r="10" spans="1:60" x14ac:dyDescent="0.55000000000000004">
      <c r="D10">
        <v>2</v>
      </c>
      <c r="E10" t="str">
        <f t="shared" si="2"/>
        <v>stEx402</v>
      </c>
      <c r="F10" t="str">
        <f t="shared" si="20"/>
        <v>stEx402</v>
      </c>
      <c r="G10" t="str">
        <f t="shared" si="3"/>
        <v>●AXO04波板 波板送り</v>
      </c>
      <c r="Q10" t="s">
        <v>56</v>
      </c>
      <c r="R10" t="s">
        <v>51</v>
      </c>
      <c r="U10" t="b">
        <v>0</v>
      </c>
      <c r="V10" t="b">
        <v>0</v>
      </c>
      <c r="W10" t="b">
        <v>0</v>
      </c>
      <c r="X10" t="s">
        <v>57</v>
      </c>
      <c r="Z10">
        <f t="shared" si="21"/>
        <v>4</v>
      </c>
      <c r="AA10" t="str">
        <f t="shared" si="22"/>
        <v/>
      </c>
      <c r="AB10" t="str">
        <f t="shared" si="22"/>
        <v/>
      </c>
      <c r="AC10" t="str">
        <f t="shared" si="22"/>
        <v/>
      </c>
      <c r="AD10" t="str">
        <f t="shared" si="23"/>
        <v/>
      </c>
      <c r="AE10" t="str">
        <f t="shared" si="4"/>
        <v/>
      </c>
      <c r="AF10" t="str">
        <f t="shared" si="24"/>
        <v>stDevOut.astAXO[2]</v>
      </c>
      <c r="AG10" t="str">
        <f t="shared" si="25"/>
        <v/>
      </c>
      <c r="AH10" t="str">
        <f t="shared" si="26"/>
        <v/>
      </c>
      <c r="AI10" t="str">
        <f t="shared" si="27"/>
        <v/>
      </c>
      <c r="AJ10" t="str">
        <f t="shared" si="28"/>
        <v/>
      </c>
      <c r="AK10" t="str">
        <f t="shared" si="29"/>
        <v>stDevOut.astAXO[2]</v>
      </c>
      <c r="AM10" t="str">
        <f t="shared" si="30"/>
        <v>●</v>
      </c>
      <c r="AN10">
        <f t="shared" si="5"/>
        <v>4020</v>
      </c>
      <c r="AO10" t="str">
        <f t="shared" si="6"/>
        <v>LDP stEx402.x2</v>
      </c>
      <c r="AP10" t="str">
        <f t="shared" si="7"/>
        <v>AND=.D stM.udiErrNo #0</v>
      </c>
      <c r="AQ10" t="str">
        <f t="shared" si="8"/>
        <v>MOV.D #4020 stM.udiErrNo</v>
      </c>
      <c r="AR10" t="str">
        <f t="shared" si="9"/>
        <v>MOV.D stDevOut.astAXO[2] stM.udiSubErr</v>
      </c>
      <c r="AS10" t="str">
        <f t="shared" si="10"/>
        <v xml:space="preserve">
LDP stEx402.x2</v>
      </c>
      <c r="AT10" t="str">
        <f t="shared" si="11"/>
        <v xml:space="preserve">
LDP stEx402.x2
AND=.D stM.udiErrNo #0</v>
      </c>
      <c r="AU10" t="str">
        <f t="shared" si="12"/>
        <v xml:space="preserve">
LDP stEx402.x2
AND=.D stM.udiErrNo #0
MOV.D #4020 stM.udiErrNo</v>
      </c>
      <c r="AV10" t="str">
        <f t="shared" si="31"/>
        <v xml:space="preserve">
LDP stEx402.x2
AND=.D stM.udiErrNo #0
MOV.D #4020 stM.udiErrNo
MOV.D stDevOut.astAXO[2] stM.udiSubErr</v>
      </c>
      <c r="AW10" t="str">
        <f t="shared" si="32"/>
        <v xml:space="preserve">
LDP stEx402.x2
AND=.D stM.udiErrNo #0
MOV.D #4020 stM.udiErrNo
MOV.D stDevOut.astAXO[2] stM.udiSubErr</v>
      </c>
      <c r="AY10" t="str">
        <f t="shared" ca="1" si="13"/>
        <v xml:space="preserve">
LDP stEx402.x2
AND=.D stM.udiErrNo #0
BOX_ST
;//このスクリプトは C:\tk\prj\hg-0025-0016\git\kv-x520\doc\[kv_script_exe_errno.xlsm]info_script によって生成されました。</v>
      </c>
      <c r="AZ10" t="str">
        <f t="shared" ca="1" si="14"/>
        <v xml:space="preserve">
LDP stEx402.x2
AND=.D stM.udiErrNo #0
BOX_ST
;//このスクリプトは C:\tk\prj\hg-0025-0016\git\kv-x520\doc\[kv_script_exe_errno.xlsm]info_script によって生成されました。
;//エラーNo.を入れる
;stM.udiErrNo	:= 4020;</v>
      </c>
      <c r="BA10" t="str">
        <f t="shared" ca="1" si="15"/>
        <v xml:space="preserve">
LDP stEx402.x2
AND=.D stM.udiErrNo #0
BOX_ST
;//このスクリプトは C:\tk\prj\hg-0025-0016\git\kv-x520\doc\[kv_script_exe_errno.xlsm]info_script によって生成されました。
;//エラーNo.を入れる
;stM.udiErrNo	:= 4020;
;//カウントする
;stM.uiEDCnt	:= stM.uiEDCnt + 1;</v>
      </c>
      <c r="BB10" t="str">
        <f t="shared" ca="1" si="33"/>
        <v xml:space="preserve">
LDP stEx402.x2
AND=.D stM.udiErrNo #0
BOX_ST
;//このスクリプトは C:\tk\prj\hg-0025-0016\git\kv-x520\doc\[kv_script_exe_errno.xlsm]info_script によって生成されました。
;//エラーNo.を入れる
;stM.udiErrNo	:= 4020;
;//カウントする
;stM.uiEDCnt	:= stM.uiEDCnt + 1;
;//エラーコードを入れる
;stM.udiSubErr	:= stDevOut.astAXO[2].udiErrNo;</v>
      </c>
      <c r="BC10" t="str">
        <f t="shared" ca="1" si="16"/>
        <v xml:space="preserve">
LDP stEx402.x2
AND=.D stM.udiErrNo #0
BOX_ST
;//このスクリプトは C:\tk\prj\hg-0025-0016\git\kv-x520\doc\[kv_script_exe_errno.xlsm]info_script によって生成されました。
;//エラーNo.を入れる
;stM.udiErrNo	:= 4020;
;//カウントする
;stM.uiEDCnt	:= stM.uiEDCnt + 1;
;//エラーコードを入れる
;stM.udiSubErr	:= stDevOut.astAXO[2].udiErrNo;
;//-----ここまで生成script-----</v>
      </c>
      <c r="BE10">
        <f t="shared" si="17"/>
        <v>0</v>
      </c>
      <c r="BF10">
        <f t="shared" si="18"/>
        <v>2</v>
      </c>
      <c r="BG10" t="str">
        <f t="shared" si="19"/>
        <v>stEx402.x2	 := FALSE;</v>
      </c>
      <c r="BH10" t="str">
        <f t="shared" si="34"/>
        <v xml:space="preserve">stEx402.x2	 := FALSE;
</v>
      </c>
    </row>
    <row r="11" spans="1:60" x14ac:dyDescent="0.55000000000000004">
      <c r="D11">
        <v>3</v>
      </c>
      <c r="E11" t="str">
        <f t="shared" si="2"/>
        <v>stEx403</v>
      </c>
      <c r="F11" t="str">
        <f t="shared" si="20"/>
        <v>stEx403</v>
      </c>
      <c r="G11" t="str">
        <f t="shared" si="3"/>
        <v>波板在荷確認</v>
      </c>
      <c r="Q11" t="s">
        <v>58</v>
      </c>
      <c r="R11" t="s">
        <v>51</v>
      </c>
      <c r="U11" t="b">
        <v>0</v>
      </c>
      <c r="V11" t="b">
        <v>0</v>
      </c>
      <c r="W11" t="b">
        <v>0</v>
      </c>
      <c r="X11" t="s">
        <v>59</v>
      </c>
      <c r="Z11" t="str">
        <f t="shared" si="21"/>
        <v/>
      </c>
      <c r="AA11" t="str">
        <f t="shared" si="22"/>
        <v/>
      </c>
      <c r="AB11" t="str">
        <f t="shared" si="22"/>
        <v/>
      </c>
      <c r="AC11" t="str">
        <f t="shared" si="22"/>
        <v/>
      </c>
      <c r="AD11" t="str">
        <f t="shared" si="23"/>
        <v/>
      </c>
      <c r="AE11" t="str">
        <f t="shared" si="4"/>
        <v/>
      </c>
      <c r="AF11" t="str">
        <f t="shared" si="24"/>
        <v/>
      </c>
      <c r="AG11" t="str">
        <f t="shared" si="25"/>
        <v/>
      </c>
      <c r="AH11" t="str">
        <f t="shared" si="26"/>
        <v/>
      </c>
      <c r="AI11" t="str">
        <f t="shared" si="27"/>
        <v/>
      </c>
      <c r="AJ11" t="str">
        <f t="shared" si="28"/>
        <v/>
      </c>
      <c r="AK11" t="str">
        <f t="shared" si="29"/>
        <v/>
      </c>
      <c r="AM11" t="str">
        <f t="shared" si="30"/>
        <v>●</v>
      </c>
      <c r="AN11">
        <f t="shared" si="5"/>
        <v>4030</v>
      </c>
      <c r="AO11" t="str">
        <f t="shared" si="6"/>
        <v>LDP stEx403.x2</v>
      </c>
      <c r="AP11" t="str">
        <f t="shared" si="7"/>
        <v>AND=.D stM.udiErrNo #0</v>
      </c>
      <c r="AQ11" t="str">
        <f t="shared" si="8"/>
        <v>MOV.D #4030 stM.udiErrNo</v>
      </c>
      <c r="AR11" t="str">
        <f t="shared" si="9"/>
        <v/>
      </c>
      <c r="AS11" t="str">
        <f t="shared" si="10"/>
        <v xml:space="preserve">
LDP stEx403.x2</v>
      </c>
      <c r="AT11" t="str">
        <f t="shared" si="11"/>
        <v xml:space="preserve">
LDP stEx403.x2
AND=.D stM.udiErrNo #0</v>
      </c>
      <c r="AU11" t="str">
        <f t="shared" si="12"/>
        <v xml:space="preserve">
LDP stEx403.x2
AND=.D stM.udiErrNo #0
MOV.D #4030 stM.udiErrNo</v>
      </c>
      <c r="AV11" t="str">
        <f t="shared" si="31"/>
        <v xml:space="preserve">
LDP stEx403.x2
AND=.D stM.udiErrNo #0
MOV.D #4030 stM.udiErrNo
</v>
      </c>
      <c r="AW11" t="str">
        <f t="shared" si="32"/>
        <v xml:space="preserve">
LDP stEx403.x2
AND=.D stM.udiErrNo #0
MOV.D #4030 stM.udiErrNo
</v>
      </c>
      <c r="AY11" t="str">
        <f t="shared" ca="1" si="13"/>
        <v xml:space="preserve">
LDP stEx403.x2
AND=.D stM.udiErrNo #0
BOX_ST
;//このスクリプトは C:\tk\prj\hg-0025-0016\git\kv-x520\doc\[kv_script_exe_errno.xlsm]info_script によって生成されました。</v>
      </c>
      <c r="AZ11" t="str">
        <f t="shared" ca="1" si="14"/>
        <v xml:space="preserve">
LDP stEx403.x2
AND=.D stM.udiErrNo #0
BOX_ST
;//このスクリプトは C:\tk\prj\hg-0025-0016\git\kv-x520\doc\[kv_script_exe_errno.xlsm]info_script によって生成されました。
;//エラーNo.を入れる
;stM.udiErrNo	:= 4030;</v>
      </c>
      <c r="BA11" t="str">
        <f t="shared" ca="1" si="15"/>
        <v xml:space="preserve">
LDP stEx403.x2
AND=.D stM.udiErrNo #0
BOX_ST
;//このスクリプトは C:\tk\prj\hg-0025-0016\git\kv-x520\doc\[kv_script_exe_errno.xlsm]info_script によって生成されました。
;//エラーNo.を入れる
;stM.udiErrNo	:= 4030;
;//カウントする
;stM.uiEDCnt	:= stM.uiEDCnt + 1;</v>
      </c>
      <c r="BB11" t="str">
        <f t="shared" ca="1" si="33"/>
        <v xml:space="preserve">
LDP stEx403.x2
AND=.D stM.udiErrNo #0
BOX_ST
;//このスクリプトは C:\tk\prj\hg-0025-0016\git\kv-x520\doc\[kv_script_exe_errno.xlsm]info_script によって生成されました。
;//エラーNo.を入れる
;stM.udiErrNo	:= 4030;
;//カウントする
;stM.uiEDCnt	:= stM.uiEDCnt + 1;
</v>
      </c>
      <c r="BC11" t="str">
        <f t="shared" ca="1" si="16"/>
        <v xml:space="preserve">
LDP stEx403.x2
AND=.D stM.udiErrNo #0
BOX_ST
;//このスクリプトは C:\tk\prj\hg-0025-0016\git\kv-x520\doc\[kv_script_exe_errno.xlsm]info_script によって生成されました。
;//エラーNo.を入れる
;stM.udiErrNo	:= 4030;
;//カウントする
;stM.uiEDCnt	:= stM.uiEDCnt + 1;
;//-----ここまで生成script-----</v>
      </c>
      <c r="BE11">
        <f t="shared" si="17"/>
        <v>1</v>
      </c>
      <c r="BF11">
        <f t="shared" si="18"/>
        <v>0</v>
      </c>
      <c r="BG11" t="str">
        <f t="shared" si="19"/>
        <v>stEx403.x0	 := FALSE;</v>
      </c>
      <c r="BH11" t="str">
        <f t="shared" si="34"/>
        <v xml:space="preserve">stEx403.x0	 := FALSE;
</v>
      </c>
    </row>
    <row r="12" spans="1:60" x14ac:dyDescent="0.55000000000000004">
      <c r="D12">
        <v>4</v>
      </c>
      <c r="E12" t="str">
        <f t="shared" si="2"/>
        <v>stEx404</v>
      </c>
      <c r="F12" t="str">
        <f t="shared" si="20"/>
        <v>stEx404</v>
      </c>
      <c r="G12" t="str">
        <f t="shared" si="3"/>
        <v>▼波板軸心 送り出し 有無</v>
      </c>
      <c r="Q12" t="s">
        <v>60</v>
      </c>
      <c r="R12" t="s">
        <v>51</v>
      </c>
      <c r="U12" t="b">
        <v>0</v>
      </c>
      <c r="V12" t="b">
        <v>0</v>
      </c>
      <c r="W12" t="b">
        <v>0</v>
      </c>
      <c r="X12" t="s">
        <v>61</v>
      </c>
      <c r="Z12" t="str">
        <f t="shared" si="21"/>
        <v/>
      </c>
      <c r="AA12" t="str">
        <f t="shared" si="22"/>
        <v/>
      </c>
      <c r="AB12" t="str">
        <f t="shared" si="22"/>
        <v/>
      </c>
      <c r="AC12" t="str">
        <f t="shared" si="22"/>
        <v/>
      </c>
      <c r="AD12" t="str">
        <f t="shared" si="23"/>
        <v/>
      </c>
      <c r="AE12" t="str">
        <f t="shared" si="4"/>
        <v/>
      </c>
      <c r="AF12" t="str">
        <f t="shared" si="24"/>
        <v/>
      </c>
      <c r="AG12" t="str">
        <f t="shared" si="25"/>
        <v/>
      </c>
      <c r="AH12" t="str">
        <f t="shared" si="26"/>
        <v/>
      </c>
      <c r="AI12" t="str">
        <f t="shared" si="27"/>
        <v/>
      </c>
      <c r="AJ12" t="str">
        <f t="shared" si="28"/>
        <v/>
      </c>
      <c r="AK12" t="str">
        <f t="shared" si="29"/>
        <v/>
      </c>
      <c r="AM12" t="str">
        <f t="shared" si="30"/>
        <v/>
      </c>
      <c r="AN12" t="str">
        <f t="shared" si="5"/>
        <v/>
      </c>
      <c r="AO12" t="str">
        <f t="shared" si="6"/>
        <v/>
      </c>
      <c r="AP12" t="str">
        <f t="shared" si="7"/>
        <v/>
      </c>
      <c r="AQ12" t="str">
        <f t="shared" si="8"/>
        <v/>
      </c>
      <c r="AR12" t="str">
        <f t="shared" si="9"/>
        <v/>
      </c>
      <c r="AS12" t="str">
        <f t="shared" si="10"/>
        <v/>
      </c>
      <c r="AT12" t="str">
        <f t="shared" si="11"/>
        <v/>
      </c>
      <c r="AU12" t="str">
        <f t="shared" si="12"/>
        <v/>
      </c>
      <c r="AV12" t="str">
        <f t="shared" si="31"/>
        <v/>
      </c>
      <c r="AW12" t="str">
        <f t="shared" si="32"/>
        <v/>
      </c>
      <c r="AY12" t="str">
        <f t="shared" si="13"/>
        <v/>
      </c>
      <c r="AZ12" t="str">
        <f t="shared" si="14"/>
        <v/>
      </c>
      <c r="BA12" t="str">
        <f t="shared" si="15"/>
        <v/>
      </c>
      <c r="BB12" t="str">
        <f t="shared" si="33"/>
        <v/>
      </c>
      <c r="BC12" t="str">
        <f t="shared" si="16"/>
        <v/>
      </c>
      <c r="BE12">
        <f t="shared" si="17"/>
        <v>1</v>
      </c>
      <c r="BF12">
        <f t="shared" si="18"/>
        <v>1</v>
      </c>
      <c r="BG12" t="str">
        <f t="shared" si="19"/>
        <v>stEx404.x1	 := FALSE;</v>
      </c>
      <c r="BH12" t="str">
        <f t="shared" si="34"/>
        <v xml:space="preserve">stEx404.x1	 := FALSE;
</v>
      </c>
    </row>
    <row r="13" spans="1:60" x14ac:dyDescent="0.55000000000000004">
      <c r="D13">
        <v>5</v>
      </c>
      <c r="E13" t="str">
        <f t="shared" si="2"/>
        <v>stEx405</v>
      </c>
      <c r="F13" t="str">
        <f t="shared" si="20"/>
        <v>stEx405</v>
      </c>
      <c r="G13" t="str">
        <f t="shared" si="3"/>
        <v>●AXO04波板 巻き動作</v>
      </c>
      <c r="Q13" t="s">
        <v>62</v>
      </c>
      <c r="R13" t="s">
        <v>51</v>
      </c>
      <c r="U13" t="b">
        <v>0</v>
      </c>
      <c r="V13" t="b">
        <v>0</v>
      </c>
      <c r="W13" t="b">
        <v>0</v>
      </c>
      <c r="X13" t="s">
        <v>63</v>
      </c>
      <c r="Z13">
        <f t="shared" si="21"/>
        <v>4</v>
      </c>
      <c r="AA13" t="str">
        <f t="shared" si="22"/>
        <v/>
      </c>
      <c r="AB13" t="str">
        <f t="shared" si="22"/>
        <v/>
      </c>
      <c r="AC13" t="str">
        <f t="shared" si="22"/>
        <v/>
      </c>
      <c r="AD13" t="str">
        <f t="shared" si="23"/>
        <v/>
      </c>
      <c r="AE13" t="str">
        <f t="shared" si="4"/>
        <v/>
      </c>
      <c r="AF13" t="str">
        <f t="shared" si="24"/>
        <v>stDevOut.astAXO[2]</v>
      </c>
      <c r="AG13" t="str">
        <f t="shared" si="25"/>
        <v/>
      </c>
      <c r="AH13" t="str">
        <f t="shared" si="26"/>
        <v/>
      </c>
      <c r="AI13" t="str">
        <f t="shared" si="27"/>
        <v/>
      </c>
      <c r="AJ13" t="str">
        <f t="shared" si="28"/>
        <v/>
      </c>
      <c r="AK13" t="str">
        <f t="shared" si="29"/>
        <v>stDevOut.astAXO[2]</v>
      </c>
      <c r="AM13" t="str">
        <f t="shared" si="30"/>
        <v>●</v>
      </c>
      <c r="AN13">
        <f t="shared" si="5"/>
        <v>4050</v>
      </c>
      <c r="AO13" t="str">
        <f t="shared" si="6"/>
        <v>LDP stEx405.x2</v>
      </c>
      <c r="AP13" t="str">
        <f t="shared" si="7"/>
        <v>AND=.D stM.udiErrNo #0</v>
      </c>
      <c r="AQ13" t="str">
        <f t="shared" si="8"/>
        <v>MOV.D #4050 stM.udiErrNo</v>
      </c>
      <c r="AR13" t="str">
        <f t="shared" si="9"/>
        <v>MOV.D stDevOut.astAXO[2] stM.udiSubErr</v>
      </c>
      <c r="AS13" t="str">
        <f t="shared" si="10"/>
        <v xml:space="preserve">
LDP stEx405.x2</v>
      </c>
      <c r="AT13" t="str">
        <f t="shared" si="11"/>
        <v xml:space="preserve">
LDP stEx405.x2
AND=.D stM.udiErrNo #0</v>
      </c>
      <c r="AU13" t="str">
        <f t="shared" si="12"/>
        <v xml:space="preserve">
LDP stEx405.x2
AND=.D stM.udiErrNo #0
MOV.D #4050 stM.udiErrNo</v>
      </c>
      <c r="AV13" t="str">
        <f t="shared" si="31"/>
        <v xml:space="preserve">
LDP stEx405.x2
AND=.D stM.udiErrNo #0
MOV.D #4050 stM.udiErrNo
MOV.D stDevOut.astAXO[2] stM.udiSubErr</v>
      </c>
      <c r="AW13" t="str">
        <f t="shared" si="32"/>
        <v xml:space="preserve">
LDP stEx405.x2
AND=.D stM.udiErrNo #0
MOV.D #4050 stM.udiErrNo
MOV.D stDevOut.astAXO[2] stM.udiSubErr</v>
      </c>
      <c r="AY13" t="str">
        <f t="shared" ca="1" si="13"/>
        <v xml:space="preserve">
LDP stEx405.x2
AND=.D stM.udiErrNo #0
BOX_ST
;//このスクリプトは C:\tk\prj\hg-0025-0016\git\kv-x520\doc\[kv_script_exe_errno.xlsm]info_script によって生成されました。</v>
      </c>
      <c r="AZ13" t="str">
        <f t="shared" ca="1" si="14"/>
        <v xml:space="preserve">
LDP stEx405.x2
AND=.D stM.udiErrNo #0
BOX_ST
;//このスクリプトは C:\tk\prj\hg-0025-0016\git\kv-x520\doc\[kv_script_exe_errno.xlsm]info_script によって生成されました。
;//エラーNo.を入れる
;stM.udiErrNo	:= 4050;</v>
      </c>
      <c r="BA13" t="str">
        <f t="shared" ca="1" si="15"/>
        <v xml:space="preserve">
LDP stEx405.x2
AND=.D stM.udiErrNo #0
BOX_ST
;//このスクリプトは C:\tk\prj\hg-0025-0016\git\kv-x520\doc\[kv_script_exe_errno.xlsm]info_script によって生成されました。
;//エラーNo.を入れる
;stM.udiErrNo	:= 4050;
;//カウントする
;stM.uiEDCnt	:= stM.uiEDCnt + 1;</v>
      </c>
      <c r="BB13" t="str">
        <f t="shared" ca="1" si="33"/>
        <v xml:space="preserve">
LDP stEx405.x2
AND=.D stM.udiErrNo #0
BOX_ST
;//このスクリプトは C:\tk\prj\hg-0025-0016\git\kv-x520\doc\[kv_script_exe_errno.xlsm]info_script によって生成されました。
;//エラーNo.を入れる
;stM.udiErrNo	:= 4050;
;//カウントする
;stM.uiEDCnt	:= stM.uiEDCnt + 1;
;//エラーコードを入れる
;stM.udiSubErr	:= stDevOut.astAXO[2].udiErrNo;</v>
      </c>
      <c r="BC13" t="str">
        <f t="shared" ca="1" si="16"/>
        <v xml:space="preserve">
LDP stEx405.x2
AND=.D stM.udiErrNo #0
BOX_ST
;//このスクリプトは C:\tk\prj\hg-0025-0016\git\kv-x520\doc\[kv_script_exe_errno.xlsm]info_script によって生成されました。
;//エラーNo.を入れる
;stM.udiErrNo	:= 4050;
;//カウントする
;stM.uiEDCnt	:= stM.uiEDCnt + 1;
;//エラーコードを入れる
;stM.udiSubErr	:= stDevOut.astAXO[2].udiErrNo;
;//-----ここまで生成script-----</v>
      </c>
      <c r="BE13">
        <f t="shared" si="17"/>
        <v>1</v>
      </c>
      <c r="BF13">
        <f t="shared" si="18"/>
        <v>2</v>
      </c>
      <c r="BG13" t="str">
        <f t="shared" si="19"/>
        <v>stEx405.x2	 := FALSE;</v>
      </c>
      <c r="BH13" t="str">
        <f t="shared" si="34"/>
        <v xml:space="preserve">stEx405.x2	 := FALSE;
</v>
      </c>
    </row>
    <row r="14" spans="1:60" x14ac:dyDescent="0.55000000000000004">
      <c r="A14" t="s">
        <v>2</v>
      </c>
      <c r="B14" t="s">
        <v>1</v>
      </c>
      <c r="D14">
        <v>6</v>
      </c>
      <c r="E14" t="str">
        <f t="shared" si="2"/>
        <v>stEx406</v>
      </c>
      <c r="F14" t="str">
        <f t="shared" si="20"/>
        <v>stEx406</v>
      </c>
      <c r="G14" t="str">
        <f t="shared" si="3"/>
        <v>△●U05溶接 押え</v>
      </c>
      <c r="Q14" t="s">
        <v>64</v>
      </c>
      <c r="R14" t="s">
        <v>51</v>
      </c>
      <c r="U14" t="b">
        <v>0</v>
      </c>
      <c r="V14" t="b">
        <v>0</v>
      </c>
      <c r="W14" t="b">
        <v>0</v>
      </c>
      <c r="X14" t="s">
        <v>65</v>
      </c>
      <c r="Z14" t="str">
        <f t="shared" si="21"/>
        <v/>
      </c>
      <c r="AA14" t="str">
        <f t="shared" si="22"/>
        <v/>
      </c>
      <c r="AB14" t="str">
        <f t="shared" si="22"/>
        <v/>
      </c>
      <c r="AC14" t="str">
        <f t="shared" si="22"/>
        <v/>
      </c>
      <c r="AD14" t="str">
        <f t="shared" si="23"/>
        <v/>
      </c>
      <c r="AE14" t="str">
        <f t="shared" si="4"/>
        <v/>
      </c>
      <c r="AF14" t="str">
        <f t="shared" si="24"/>
        <v/>
      </c>
      <c r="AG14" t="str">
        <f t="shared" si="25"/>
        <v/>
      </c>
      <c r="AH14" t="str">
        <f t="shared" si="26"/>
        <v/>
      </c>
      <c r="AI14" t="str">
        <f t="shared" si="27"/>
        <v/>
      </c>
      <c r="AJ14" t="str">
        <f t="shared" si="28"/>
        <v/>
      </c>
      <c r="AK14" t="str">
        <f t="shared" si="29"/>
        <v/>
      </c>
      <c r="AM14" t="str">
        <f t="shared" si="30"/>
        <v>●</v>
      </c>
      <c r="AN14">
        <f t="shared" si="5"/>
        <v>4060</v>
      </c>
      <c r="AO14" t="str">
        <f t="shared" si="6"/>
        <v>LDP stEx406.x2</v>
      </c>
      <c r="AP14" t="str">
        <f t="shared" si="7"/>
        <v>AND=.D stM.udiErrNo #0</v>
      </c>
      <c r="AQ14" t="str">
        <f t="shared" si="8"/>
        <v>MOV.D #4060 stM.udiErrNo</v>
      </c>
      <c r="AR14" t="str">
        <f t="shared" si="9"/>
        <v/>
      </c>
      <c r="AS14" t="str">
        <f t="shared" si="10"/>
        <v xml:space="preserve">
LDP stEx406.x2</v>
      </c>
      <c r="AT14" t="str">
        <f t="shared" si="11"/>
        <v xml:space="preserve">
LDP stEx406.x2
AND=.D stM.udiErrNo #0</v>
      </c>
      <c r="AU14" t="str">
        <f t="shared" si="12"/>
        <v xml:space="preserve">
LDP stEx406.x2
AND=.D stM.udiErrNo #0
MOV.D #4060 stM.udiErrNo</v>
      </c>
      <c r="AV14" t="str">
        <f t="shared" si="31"/>
        <v xml:space="preserve">
LDP stEx406.x2
AND=.D stM.udiErrNo #0
MOV.D #4060 stM.udiErrNo
</v>
      </c>
      <c r="AW14" t="str">
        <f t="shared" si="32"/>
        <v xml:space="preserve">
LDP stEx406.x2
AND=.D stM.udiErrNo #0
MOV.D #4060 stM.udiErrNo
</v>
      </c>
      <c r="AY14" t="str">
        <f t="shared" ca="1" si="13"/>
        <v xml:space="preserve">
LDP stEx406.x2
AND=.D stM.udiErrNo #0
BOX_ST
;//このスクリプトは C:\tk\prj\hg-0025-0016\git\kv-x520\doc\[kv_script_exe_errno.xlsm]info_script によって生成されました。</v>
      </c>
      <c r="AZ14" t="str">
        <f t="shared" ca="1" si="14"/>
        <v xml:space="preserve">
LDP stEx406.x2
AND=.D stM.udiErrNo #0
BOX_ST
;//このスクリプトは C:\tk\prj\hg-0025-0016\git\kv-x520\doc\[kv_script_exe_errno.xlsm]info_script によって生成されました。
;//エラーNo.を入れる
;stM.udiErrNo	:= 4060;</v>
      </c>
      <c r="BA14" t="str">
        <f t="shared" ca="1" si="15"/>
        <v xml:space="preserve">
LDP stEx406.x2
AND=.D stM.udiErrNo #0
BOX_ST
;//このスクリプトは C:\tk\prj\hg-0025-0016\git\kv-x520\doc\[kv_script_exe_errno.xlsm]info_script によって生成されました。
;//エラーNo.を入れる
;stM.udiErrNo	:= 4060;
;//カウントする
;stM.uiEDCnt	:= stM.uiEDCnt + 1;</v>
      </c>
      <c r="BB14" t="str">
        <f t="shared" ca="1" si="33"/>
        <v xml:space="preserve">
LDP stEx406.x2
AND=.D stM.udiErrNo #0
BOX_ST
;//このスクリプトは C:\tk\prj\hg-0025-0016\git\kv-x520\doc\[kv_script_exe_errno.xlsm]info_script によって生成されました。
;//エラーNo.を入れる
;stM.udiErrNo	:= 4060;
;//カウントする
;stM.uiEDCnt	:= stM.uiEDCnt + 1;
</v>
      </c>
      <c r="BC14" t="str">
        <f t="shared" ca="1" si="16"/>
        <v xml:space="preserve">
LDP stEx406.x2
AND=.D stM.udiErrNo #0
BOX_ST
;//このスクリプトは C:\tk\prj\hg-0025-0016\git\kv-x520\doc\[kv_script_exe_errno.xlsm]info_script によって生成されました。
;//エラーNo.を入れる
;stM.udiErrNo	:= 4060;
;//カウントする
;stM.uiEDCnt	:= stM.uiEDCnt + 1;
;//-----ここまで生成script-----</v>
      </c>
      <c r="BE14">
        <f t="shared" si="17"/>
        <v>2</v>
      </c>
      <c r="BF14">
        <f t="shared" si="18"/>
        <v>0</v>
      </c>
      <c r="BG14" t="str">
        <f t="shared" si="19"/>
        <v>stEx406.x0	 := FALSE;</v>
      </c>
      <c r="BH14" t="str">
        <f t="shared" si="34"/>
        <v xml:space="preserve">stEx406.x0	 := FALSE;
</v>
      </c>
    </row>
    <row r="15" spans="1:60" x14ac:dyDescent="0.55000000000000004">
      <c r="A15" t="s">
        <v>0</v>
      </c>
      <c r="B15" t="s">
        <v>32</v>
      </c>
      <c r="D15">
        <v>7</v>
      </c>
      <c r="E15" t="str">
        <f t="shared" si="2"/>
        <v>stEx407</v>
      </c>
      <c r="F15" t="str">
        <f t="shared" si="20"/>
        <v>stEx407</v>
      </c>
      <c r="G15" t="str">
        <f t="shared" si="3"/>
        <v>△●CYL04平板補助 退避1</v>
      </c>
      <c r="Q15" t="s">
        <v>66</v>
      </c>
      <c r="R15" t="s">
        <v>51</v>
      </c>
      <c r="U15" t="b">
        <v>0</v>
      </c>
      <c r="V15" t="b">
        <v>0</v>
      </c>
      <c r="W15" t="b">
        <v>0</v>
      </c>
      <c r="X15" t="s">
        <v>67</v>
      </c>
      <c r="Z15" t="str">
        <f t="shared" si="21"/>
        <v/>
      </c>
      <c r="AA15">
        <f t="shared" si="22"/>
        <v>4</v>
      </c>
      <c r="AB15" t="str">
        <f t="shared" si="22"/>
        <v/>
      </c>
      <c r="AC15" t="str">
        <f t="shared" si="22"/>
        <v/>
      </c>
      <c r="AD15" t="str">
        <f t="shared" si="23"/>
        <v/>
      </c>
      <c r="AE15" t="str">
        <f t="shared" si="4"/>
        <v/>
      </c>
      <c r="AF15" t="str">
        <f t="shared" si="24"/>
        <v/>
      </c>
      <c r="AG15" t="str">
        <f t="shared" si="25"/>
        <v/>
      </c>
      <c r="AH15" t="str">
        <f t="shared" si="26"/>
        <v>stDevOut.astCYL[3]</v>
      </c>
      <c r="AI15" t="str">
        <f t="shared" si="27"/>
        <v/>
      </c>
      <c r="AJ15" t="str">
        <f t="shared" si="28"/>
        <v/>
      </c>
      <c r="AK15" t="str">
        <f t="shared" si="29"/>
        <v>stDevOut.astCYL[3]</v>
      </c>
      <c r="AM15" t="str">
        <f t="shared" si="30"/>
        <v>●</v>
      </c>
      <c r="AN15">
        <f t="shared" si="5"/>
        <v>4070</v>
      </c>
      <c r="AO15" t="str">
        <f t="shared" si="6"/>
        <v>LDP stEx407.x2</v>
      </c>
      <c r="AP15" t="str">
        <f t="shared" si="7"/>
        <v>AND=.D stM.udiErrNo #0</v>
      </c>
      <c r="AQ15" t="str">
        <f t="shared" si="8"/>
        <v>MOV.D #4070 stM.udiErrNo</v>
      </c>
      <c r="AR15" t="str">
        <f t="shared" si="9"/>
        <v>MOV.D stDevOut.astCYL[3] stM.udiSubErr</v>
      </c>
      <c r="AS15" t="str">
        <f t="shared" si="10"/>
        <v xml:space="preserve">
LDP stEx407.x2</v>
      </c>
      <c r="AT15" t="str">
        <f t="shared" si="11"/>
        <v xml:space="preserve">
LDP stEx407.x2
AND=.D stM.udiErrNo #0</v>
      </c>
      <c r="AU15" t="str">
        <f t="shared" si="12"/>
        <v xml:space="preserve">
LDP stEx407.x2
AND=.D stM.udiErrNo #0
MOV.D #4070 stM.udiErrNo</v>
      </c>
      <c r="AV15" t="str">
        <f t="shared" si="31"/>
        <v xml:space="preserve">
LDP stEx407.x2
AND=.D stM.udiErrNo #0
MOV.D #4070 stM.udiErrNo
MOV.D stDevOut.astCYL[3] stM.udiSubErr</v>
      </c>
      <c r="AW15" t="str">
        <f t="shared" si="32"/>
        <v xml:space="preserve">
LDP stEx407.x2
AND=.D stM.udiErrNo #0
MOV.D #4070 stM.udiErrNo
MOV.D stDevOut.astCYL[3] stM.udiSubErr</v>
      </c>
      <c r="AY15" t="str">
        <f t="shared" ca="1" si="13"/>
        <v xml:space="preserve">
LDP stEx407.x2
AND=.D stM.udiErrNo #0
BOX_ST
;//このスクリプトは C:\tk\prj\hg-0025-0016\git\kv-x520\doc\[kv_script_exe_errno.xlsm]info_script によって生成されました。</v>
      </c>
      <c r="AZ15" t="str">
        <f t="shared" ca="1" si="14"/>
        <v xml:space="preserve">
LDP stEx407.x2
AND=.D stM.udiErrNo #0
BOX_ST
;//このスクリプトは C:\tk\prj\hg-0025-0016\git\kv-x520\doc\[kv_script_exe_errno.xlsm]info_script によって生成されました。
;//エラーNo.を入れる
;stM.udiErrNo	:= 4070;</v>
      </c>
      <c r="BA15" t="str">
        <f t="shared" ca="1" si="15"/>
        <v xml:space="preserve">
LDP stEx407.x2
AND=.D stM.udiErrNo #0
BOX_ST
;//このスクリプトは C:\tk\prj\hg-0025-0016\git\kv-x520\doc\[kv_script_exe_errno.xlsm]info_script によって生成されました。
;//エラーNo.を入れる
;stM.udiErrNo	:= 4070;
;//カウントする
;stM.uiEDCnt	:= stM.uiEDCnt + 1;</v>
      </c>
      <c r="BB15" t="str">
        <f t="shared" ca="1" si="33"/>
        <v xml:space="preserve">
LDP stEx407.x2
AND=.D stM.udiErrNo #0
BOX_ST
;//このスクリプトは C:\tk\prj\hg-0025-0016\git\kv-x520\doc\[kv_script_exe_errno.xlsm]info_script によって生成されました。
;//エラーNo.を入れる
;stM.udiErrNo	:= 4070;
;//カウントする
;stM.uiEDCnt	:= stM.uiEDCnt + 1;
;//エラーコードを入れる
;stM.udiSubErr	:= stDevOut.astCYL[3].udiErrNo;</v>
      </c>
      <c r="BC15" t="str">
        <f t="shared" ca="1" si="16"/>
        <v xml:space="preserve">
LDP stEx407.x2
AND=.D stM.udiErrNo #0
BOX_ST
;//このスクリプトは C:\tk\prj\hg-0025-0016\git\kv-x520\doc\[kv_script_exe_errno.xlsm]info_script によって生成されました。
;//エラーNo.を入れる
;stM.udiErrNo	:= 4070;
;//カウントする
;stM.uiEDCnt	:= stM.uiEDCnt + 1;
;//エラーコードを入れる
;stM.udiSubErr	:= stDevOut.astCYL[3].udiErrNo;
;//-----ここまで生成script-----</v>
      </c>
      <c r="BE15">
        <f t="shared" si="17"/>
        <v>2</v>
      </c>
      <c r="BF15">
        <f t="shared" si="18"/>
        <v>1</v>
      </c>
      <c r="BG15" t="str">
        <f t="shared" si="19"/>
        <v>stEx407.x1	 := FALSE;</v>
      </c>
      <c r="BH15" t="str">
        <f t="shared" si="34"/>
        <v xml:space="preserve">stEx407.x1	 := FALSE;
</v>
      </c>
    </row>
    <row r="16" spans="1:60" x14ac:dyDescent="0.55000000000000004">
      <c r="A16" t="s">
        <v>23</v>
      </c>
      <c r="B16" t="s">
        <v>24</v>
      </c>
      <c r="D16">
        <v>8</v>
      </c>
      <c r="E16" t="str">
        <f t="shared" si="2"/>
        <v>stEx408</v>
      </c>
      <c r="F16" t="str">
        <f t="shared" si="20"/>
        <v>stEx408</v>
      </c>
      <c r="G16" t="str">
        <f t="shared" si="3"/>
        <v>◆平板補助 追加有無</v>
      </c>
      <c r="Q16" t="s">
        <v>68</v>
      </c>
      <c r="R16" t="s">
        <v>51</v>
      </c>
      <c r="U16" t="b">
        <v>0</v>
      </c>
      <c r="V16" t="b">
        <v>0</v>
      </c>
      <c r="W16" t="b">
        <v>0</v>
      </c>
      <c r="X16" t="s">
        <v>69</v>
      </c>
      <c r="Z16" t="str">
        <f t="shared" si="21"/>
        <v/>
      </c>
      <c r="AA16" t="str">
        <f t="shared" si="22"/>
        <v/>
      </c>
      <c r="AB16" t="str">
        <f t="shared" si="22"/>
        <v/>
      </c>
      <c r="AC16" t="str">
        <f t="shared" si="22"/>
        <v/>
      </c>
      <c r="AD16" t="str">
        <f t="shared" si="23"/>
        <v/>
      </c>
      <c r="AE16" t="str">
        <f t="shared" si="4"/>
        <v/>
      </c>
      <c r="AF16" t="str">
        <f t="shared" si="24"/>
        <v/>
      </c>
      <c r="AG16" t="str">
        <f t="shared" si="25"/>
        <v/>
      </c>
      <c r="AH16" t="str">
        <f t="shared" si="26"/>
        <v/>
      </c>
      <c r="AI16" t="str">
        <f t="shared" si="27"/>
        <v/>
      </c>
      <c r="AJ16" t="str">
        <f t="shared" si="28"/>
        <v/>
      </c>
      <c r="AK16" t="str">
        <f t="shared" si="29"/>
        <v/>
      </c>
      <c r="AM16" t="str">
        <f t="shared" si="30"/>
        <v/>
      </c>
      <c r="AN16" t="str">
        <f t="shared" si="5"/>
        <v/>
      </c>
      <c r="AO16" t="str">
        <f t="shared" si="6"/>
        <v/>
      </c>
      <c r="AP16" t="str">
        <f t="shared" si="7"/>
        <v/>
      </c>
      <c r="AQ16" t="str">
        <f t="shared" si="8"/>
        <v/>
      </c>
      <c r="AR16" t="str">
        <f t="shared" si="9"/>
        <v/>
      </c>
      <c r="AS16" t="str">
        <f t="shared" si="10"/>
        <v/>
      </c>
      <c r="AT16" t="str">
        <f t="shared" si="11"/>
        <v/>
      </c>
      <c r="AU16" t="str">
        <f t="shared" si="12"/>
        <v/>
      </c>
      <c r="AV16" t="str">
        <f t="shared" si="31"/>
        <v/>
      </c>
      <c r="AW16" t="str">
        <f t="shared" si="32"/>
        <v/>
      </c>
      <c r="AY16" t="str">
        <f t="shared" si="13"/>
        <v/>
      </c>
      <c r="AZ16" t="str">
        <f t="shared" si="14"/>
        <v/>
      </c>
      <c r="BA16" t="str">
        <f t="shared" si="15"/>
        <v/>
      </c>
      <c r="BB16" t="str">
        <f t="shared" si="33"/>
        <v/>
      </c>
      <c r="BC16" t="str">
        <f t="shared" si="16"/>
        <v/>
      </c>
      <c r="BE16">
        <f t="shared" si="17"/>
        <v>2</v>
      </c>
      <c r="BF16">
        <f t="shared" si="18"/>
        <v>2</v>
      </c>
      <c r="BG16" t="str">
        <f t="shared" si="19"/>
        <v>stEx408.x2	 := FALSE;</v>
      </c>
      <c r="BH16" t="str">
        <f t="shared" si="34"/>
        <v xml:space="preserve">stEx408.x2	 := FALSE;
</v>
      </c>
    </row>
    <row r="17" spans="1:60" x14ac:dyDescent="0.55000000000000004">
      <c r="A17" t="s">
        <v>17</v>
      </c>
      <c r="B17" t="s">
        <v>27</v>
      </c>
      <c r="D17">
        <v>9</v>
      </c>
      <c r="E17" t="str">
        <f t="shared" si="2"/>
        <v>stEx409</v>
      </c>
      <c r="F17" t="str">
        <f t="shared" si="20"/>
        <v>stEx409</v>
      </c>
      <c r="G17" t="str">
        <f t="shared" si="3"/>
        <v>●CYL04平板補助 上昇</v>
      </c>
      <c r="Q17" t="s">
        <v>70</v>
      </c>
      <c r="R17" t="s">
        <v>51</v>
      </c>
      <c r="U17" t="b">
        <v>0</v>
      </c>
      <c r="V17" t="b">
        <v>0</v>
      </c>
      <c r="W17" t="b">
        <v>0</v>
      </c>
      <c r="X17" t="s">
        <v>71</v>
      </c>
      <c r="Z17" t="str">
        <f t="shared" si="21"/>
        <v/>
      </c>
      <c r="AA17">
        <f t="shared" si="22"/>
        <v>4</v>
      </c>
      <c r="AB17" t="str">
        <f t="shared" si="22"/>
        <v/>
      </c>
      <c r="AC17" t="str">
        <f t="shared" si="22"/>
        <v/>
      </c>
      <c r="AD17" t="str">
        <f t="shared" si="23"/>
        <v/>
      </c>
      <c r="AE17" t="str">
        <f t="shared" si="4"/>
        <v/>
      </c>
      <c r="AF17" t="str">
        <f t="shared" si="24"/>
        <v/>
      </c>
      <c r="AG17" t="str">
        <f t="shared" si="25"/>
        <v/>
      </c>
      <c r="AH17" t="str">
        <f t="shared" si="26"/>
        <v>stDevOut.astCYL[3]</v>
      </c>
      <c r="AI17" t="str">
        <f t="shared" si="27"/>
        <v/>
      </c>
      <c r="AJ17" t="str">
        <f t="shared" si="28"/>
        <v/>
      </c>
      <c r="AK17" t="str">
        <f t="shared" si="29"/>
        <v>stDevOut.astCYL[3]</v>
      </c>
      <c r="AM17" t="str">
        <f t="shared" si="30"/>
        <v>●</v>
      </c>
      <c r="AN17">
        <f t="shared" si="5"/>
        <v>4090</v>
      </c>
      <c r="AO17" t="str">
        <f t="shared" si="6"/>
        <v>LDP stEx409.x2</v>
      </c>
      <c r="AP17" t="str">
        <f t="shared" si="7"/>
        <v>AND=.D stM.udiErrNo #0</v>
      </c>
      <c r="AQ17" t="str">
        <f t="shared" si="8"/>
        <v>MOV.D #4090 stM.udiErrNo</v>
      </c>
      <c r="AR17" t="str">
        <f t="shared" si="9"/>
        <v>MOV.D stDevOut.astCYL[3] stM.udiSubErr</v>
      </c>
      <c r="AS17" t="str">
        <f t="shared" si="10"/>
        <v xml:space="preserve">
LDP stEx409.x2</v>
      </c>
      <c r="AT17" t="str">
        <f t="shared" si="11"/>
        <v xml:space="preserve">
LDP stEx409.x2
AND=.D stM.udiErrNo #0</v>
      </c>
      <c r="AU17" t="str">
        <f t="shared" si="12"/>
        <v xml:space="preserve">
LDP stEx409.x2
AND=.D stM.udiErrNo #0
MOV.D #4090 stM.udiErrNo</v>
      </c>
      <c r="AV17" t="str">
        <f t="shared" si="31"/>
        <v xml:space="preserve">
LDP stEx409.x2
AND=.D stM.udiErrNo #0
MOV.D #4090 stM.udiErrNo
MOV.D stDevOut.astCYL[3] stM.udiSubErr</v>
      </c>
      <c r="AW17" t="str">
        <f t="shared" si="32"/>
        <v xml:space="preserve">
LDP stEx409.x2
AND=.D stM.udiErrNo #0
MOV.D #4090 stM.udiErrNo
MOV.D stDevOut.astCYL[3] stM.udiSubErr</v>
      </c>
      <c r="AY17" t="str">
        <f t="shared" ca="1" si="13"/>
        <v xml:space="preserve">
LDP stEx409.x2
AND=.D stM.udiErrNo #0
BOX_ST
;//このスクリプトは C:\tk\prj\hg-0025-0016\git\kv-x520\doc\[kv_script_exe_errno.xlsm]info_script によって生成されました。</v>
      </c>
      <c r="AZ17" t="str">
        <f t="shared" ca="1" si="14"/>
        <v xml:space="preserve">
LDP stEx409.x2
AND=.D stM.udiErrNo #0
BOX_ST
;//このスクリプトは C:\tk\prj\hg-0025-0016\git\kv-x520\doc\[kv_script_exe_errno.xlsm]info_script によって生成されました。
;//エラーNo.を入れる
;stM.udiErrNo	:= 4090;</v>
      </c>
      <c r="BA17" t="str">
        <f t="shared" ca="1" si="15"/>
        <v xml:space="preserve">
LDP stEx409.x2
AND=.D stM.udiErrNo #0
BOX_ST
;//このスクリプトは C:\tk\prj\hg-0025-0016\git\kv-x520\doc\[kv_script_exe_errno.xlsm]info_script によって生成されました。
;//エラーNo.を入れる
;stM.udiErrNo	:= 4090;
;//カウントする
;stM.uiEDCnt	:= stM.uiEDCnt + 1;</v>
      </c>
      <c r="BB17" t="str">
        <f t="shared" ca="1" si="33"/>
        <v xml:space="preserve">
LDP stEx409.x2
AND=.D stM.udiErrNo #0
BOX_ST
;//このスクリプトは C:\tk\prj\hg-0025-0016\git\kv-x520\doc\[kv_script_exe_errno.xlsm]info_script によって生成されました。
;//エラーNo.を入れる
;stM.udiErrNo	:= 4090;
;//カウントする
;stM.uiEDCnt	:= stM.uiEDCnt + 1;
;//エラーコードを入れる
;stM.udiSubErr	:= stDevOut.astCYL[3].udiErrNo;</v>
      </c>
      <c r="BC17" t="str">
        <f t="shared" ca="1" si="16"/>
        <v xml:space="preserve">
LDP stEx409.x2
AND=.D stM.udiErrNo #0
BOX_ST
;//このスクリプトは C:\tk\prj\hg-0025-0016\git\kv-x520\doc\[kv_script_exe_errno.xlsm]info_script によって生成されました。
;//エラーNo.を入れる
;stM.udiErrNo	:= 4090;
;//カウントする
;stM.uiEDCnt	:= stM.uiEDCnt + 1;
;//エラーコードを入れる
;stM.udiSubErr	:= stDevOut.astCYL[3].udiErrNo;
;//-----ここまで生成script-----</v>
      </c>
      <c r="BE17">
        <f t="shared" si="17"/>
        <v>3</v>
      </c>
      <c r="BF17">
        <f t="shared" si="18"/>
        <v>0</v>
      </c>
      <c r="BG17" t="str">
        <f t="shared" si="19"/>
        <v>stEx409.x0	 := FALSE;</v>
      </c>
      <c r="BH17" t="str">
        <f t="shared" si="34"/>
        <v xml:space="preserve">stEx409.x0	 := FALSE;
</v>
      </c>
    </row>
    <row r="18" spans="1:60" x14ac:dyDescent="0.55000000000000004">
      <c r="D18">
        <v>10</v>
      </c>
      <c r="E18" t="str">
        <f t="shared" si="2"/>
        <v>stEx410</v>
      </c>
      <c r="F18" t="str">
        <f t="shared" si="20"/>
        <v>stEx410</v>
      </c>
      <c r="G18" t="str">
        <f t="shared" si="3"/>
        <v>●CYL04平板補助 退避2</v>
      </c>
      <c r="Q18" t="s">
        <v>72</v>
      </c>
      <c r="R18" t="s">
        <v>51</v>
      </c>
      <c r="U18" t="b">
        <v>0</v>
      </c>
      <c r="V18" t="b">
        <v>0</v>
      </c>
      <c r="W18" t="b">
        <v>0</v>
      </c>
      <c r="X18" t="s">
        <v>73</v>
      </c>
      <c r="Z18" t="str">
        <f t="shared" si="21"/>
        <v/>
      </c>
      <c r="AA18">
        <f t="shared" si="22"/>
        <v>4</v>
      </c>
      <c r="AB18" t="str">
        <f t="shared" si="22"/>
        <v/>
      </c>
      <c r="AC18" t="str">
        <f t="shared" si="22"/>
        <v/>
      </c>
      <c r="AD18" t="str">
        <f t="shared" si="23"/>
        <v/>
      </c>
      <c r="AE18" t="str">
        <f t="shared" si="4"/>
        <v/>
      </c>
      <c r="AF18" t="str">
        <f t="shared" si="24"/>
        <v/>
      </c>
      <c r="AG18" t="str">
        <f t="shared" si="25"/>
        <v/>
      </c>
      <c r="AH18" t="str">
        <f t="shared" si="26"/>
        <v>stDevOut.astCYL[3]</v>
      </c>
      <c r="AI18" t="str">
        <f t="shared" si="27"/>
        <v/>
      </c>
      <c r="AJ18" t="str">
        <f t="shared" si="28"/>
        <v/>
      </c>
      <c r="AK18" t="str">
        <f t="shared" si="29"/>
        <v>stDevOut.astCYL[3]</v>
      </c>
      <c r="AM18" t="str">
        <f t="shared" si="30"/>
        <v>●</v>
      </c>
      <c r="AN18">
        <f t="shared" si="5"/>
        <v>4100</v>
      </c>
      <c r="AO18" t="str">
        <f t="shared" si="6"/>
        <v>LDP stEx410.x2</v>
      </c>
      <c r="AP18" t="str">
        <f t="shared" si="7"/>
        <v>AND=.D stM.udiErrNo #0</v>
      </c>
      <c r="AQ18" t="str">
        <f t="shared" si="8"/>
        <v>MOV.D #4100 stM.udiErrNo</v>
      </c>
      <c r="AR18" t="str">
        <f t="shared" si="9"/>
        <v>MOV.D stDevOut.astCYL[3] stM.udiSubErr</v>
      </c>
      <c r="AS18" t="str">
        <f t="shared" si="10"/>
        <v xml:space="preserve">
LDP stEx410.x2</v>
      </c>
      <c r="AT18" t="str">
        <f t="shared" si="11"/>
        <v xml:space="preserve">
LDP stEx410.x2
AND=.D stM.udiErrNo #0</v>
      </c>
      <c r="AU18" t="str">
        <f t="shared" si="12"/>
        <v xml:space="preserve">
LDP stEx410.x2
AND=.D stM.udiErrNo #0
MOV.D #4100 stM.udiErrNo</v>
      </c>
      <c r="AV18" t="str">
        <f t="shared" si="31"/>
        <v xml:space="preserve">
LDP stEx410.x2
AND=.D stM.udiErrNo #0
MOV.D #4100 stM.udiErrNo
MOV.D stDevOut.astCYL[3] stM.udiSubErr</v>
      </c>
      <c r="AW18" t="str">
        <f t="shared" si="32"/>
        <v xml:space="preserve">
LDP stEx410.x2
AND=.D stM.udiErrNo #0
MOV.D #4100 stM.udiErrNo
MOV.D stDevOut.astCYL[3] stM.udiSubErr</v>
      </c>
      <c r="AY18" t="str">
        <f t="shared" ca="1" si="13"/>
        <v xml:space="preserve">
LDP stEx410.x2
AND=.D stM.udiErrNo #0
BOX_ST
;//このスクリプトは C:\tk\prj\hg-0025-0016\git\kv-x520\doc\[kv_script_exe_errno.xlsm]info_script によって生成されました。</v>
      </c>
      <c r="AZ18" t="str">
        <f t="shared" ca="1" si="14"/>
        <v xml:space="preserve">
LDP stEx410.x2
AND=.D stM.udiErrNo #0
BOX_ST
;//このスクリプトは C:\tk\prj\hg-0025-0016\git\kv-x520\doc\[kv_script_exe_errno.xlsm]info_script によって生成されました。
;//エラーNo.を入れる
;stM.udiErrNo	:= 4100;</v>
      </c>
      <c r="BA18" t="str">
        <f t="shared" ca="1" si="15"/>
        <v xml:space="preserve">
LDP stEx410.x2
AND=.D stM.udiErrNo #0
BOX_ST
;//このスクリプトは C:\tk\prj\hg-0025-0016\git\kv-x520\doc\[kv_script_exe_errno.xlsm]info_script によって生成されました。
;//エラーNo.を入れる
;stM.udiErrNo	:= 4100;
;//カウントする
;stM.uiEDCnt	:= stM.uiEDCnt + 1;</v>
      </c>
      <c r="BB18" t="str">
        <f t="shared" ca="1" si="33"/>
        <v xml:space="preserve">
LDP stEx410.x2
AND=.D stM.udiErrNo #0
BOX_ST
;//このスクリプトは C:\tk\prj\hg-0025-0016\git\kv-x520\doc\[kv_script_exe_errno.xlsm]info_script によって生成されました。
;//エラーNo.を入れる
;stM.udiErrNo	:= 4100;
;//カウントする
;stM.uiEDCnt	:= stM.uiEDCnt + 1;
;//エラーコードを入れる
;stM.udiSubErr	:= stDevOut.astCYL[3].udiErrNo;</v>
      </c>
      <c r="BC18" t="str">
        <f t="shared" ca="1" si="16"/>
        <v xml:space="preserve">
LDP stEx410.x2
AND=.D stM.udiErrNo #0
BOX_ST
;//このスクリプトは C:\tk\prj\hg-0025-0016\git\kv-x520\doc\[kv_script_exe_errno.xlsm]info_script によって生成されました。
;//エラーNo.を入れる
;stM.udiErrNo	:= 4100;
;//カウントする
;stM.uiEDCnt	:= stM.uiEDCnt + 1;
;//エラーコードを入れる
;stM.udiSubErr	:= stDevOut.astCYL[3].udiErrNo;
;//-----ここまで生成script-----</v>
      </c>
      <c r="BE18">
        <f t="shared" si="17"/>
        <v>3</v>
      </c>
      <c r="BF18">
        <f t="shared" si="18"/>
        <v>1</v>
      </c>
      <c r="BG18" t="str">
        <f t="shared" si="19"/>
        <v>stEx410.x1	 := FALSE;</v>
      </c>
      <c r="BH18" t="str">
        <f t="shared" si="34"/>
        <v xml:space="preserve">stEx410.x1	 := FALSE;
</v>
      </c>
    </row>
    <row r="19" spans="1:60" x14ac:dyDescent="0.55000000000000004">
      <c r="D19">
        <v>11</v>
      </c>
      <c r="E19" t="str">
        <f t="shared" si="2"/>
        <v>stEx411</v>
      </c>
      <c r="F19" t="str">
        <f t="shared" si="20"/>
        <v>stEx411</v>
      </c>
      <c r="G19" t="str">
        <f t="shared" si="3"/>
        <v>▼平板補助 追加有無</v>
      </c>
      <c r="Q19" t="s">
        <v>74</v>
      </c>
      <c r="R19" t="s">
        <v>51</v>
      </c>
      <c r="U19" t="b">
        <v>0</v>
      </c>
      <c r="V19" t="b">
        <v>0</v>
      </c>
      <c r="W19" t="b">
        <v>0</v>
      </c>
      <c r="X19" t="s">
        <v>75</v>
      </c>
      <c r="Z19" t="str">
        <f t="shared" si="21"/>
        <v/>
      </c>
      <c r="AA19" t="str">
        <f t="shared" si="22"/>
        <v/>
      </c>
      <c r="AB19" t="str">
        <f t="shared" si="22"/>
        <v/>
      </c>
      <c r="AC19" t="str">
        <f t="shared" si="22"/>
        <v/>
      </c>
      <c r="AD19" t="str">
        <f t="shared" si="23"/>
        <v/>
      </c>
      <c r="AE19" t="str">
        <f t="shared" si="4"/>
        <v/>
      </c>
      <c r="AF19" t="str">
        <f t="shared" si="24"/>
        <v/>
      </c>
      <c r="AG19" t="str">
        <f t="shared" si="25"/>
        <v/>
      </c>
      <c r="AH19" t="str">
        <f t="shared" si="26"/>
        <v/>
      </c>
      <c r="AI19" t="str">
        <f t="shared" si="27"/>
        <v/>
      </c>
      <c r="AJ19" t="str">
        <f t="shared" si="28"/>
        <v/>
      </c>
      <c r="AK19" t="str">
        <f t="shared" si="29"/>
        <v/>
      </c>
      <c r="AM19" t="str">
        <f t="shared" si="30"/>
        <v/>
      </c>
      <c r="AN19" t="str">
        <f t="shared" si="5"/>
        <v/>
      </c>
      <c r="AO19" t="str">
        <f t="shared" si="6"/>
        <v/>
      </c>
      <c r="AP19" t="str">
        <f t="shared" si="7"/>
        <v/>
      </c>
      <c r="AQ19" t="str">
        <f t="shared" si="8"/>
        <v/>
      </c>
      <c r="AR19" t="str">
        <f t="shared" si="9"/>
        <v/>
      </c>
      <c r="AS19" t="str">
        <f t="shared" si="10"/>
        <v/>
      </c>
      <c r="AT19" t="str">
        <f t="shared" si="11"/>
        <v/>
      </c>
      <c r="AU19" t="str">
        <f t="shared" si="12"/>
        <v/>
      </c>
      <c r="AV19" t="str">
        <f t="shared" si="31"/>
        <v/>
      </c>
      <c r="AW19" t="str">
        <f t="shared" si="32"/>
        <v/>
      </c>
      <c r="AY19" t="str">
        <f t="shared" si="13"/>
        <v/>
      </c>
      <c r="AZ19" t="str">
        <f t="shared" si="14"/>
        <v/>
      </c>
      <c r="BA19" t="str">
        <f t="shared" si="15"/>
        <v/>
      </c>
      <c r="BB19" t="str">
        <f t="shared" si="33"/>
        <v/>
      </c>
      <c r="BC19" t="str">
        <f t="shared" si="16"/>
        <v/>
      </c>
      <c r="BE19">
        <f t="shared" si="17"/>
        <v>3</v>
      </c>
      <c r="BF19">
        <f t="shared" si="18"/>
        <v>2</v>
      </c>
      <c r="BG19" t="str">
        <f t="shared" si="19"/>
        <v>stEx411.x2	 := FALSE;</v>
      </c>
      <c r="BH19" t="str">
        <f t="shared" si="34"/>
        <v xml:space="preserve">stEx411.x2	 := FALSE;
</v>
      </c>
    </row>
    <row r="20" spans="1:60" x14ac:dyDescent="0.55000000000000004">
      <c r="D20">
        <v>12</v>
      </c>
      <c r="E20" t="str">
        <f t="shared" si="2"/>
        <v>stEx412</v>
      </c>
      <c r="F20" t="str">
        <f t="shared" si="20"/>
        <v>stEx412</v>
      </c>
      <c r="G20" t="str">
        <f t="shared" si="3"/>
        <v>△◆平板押え 上昇有無</v>
      </c>
      <c r="Q20" t="s">
        <v>76</v>
      </c>
      <c r="R20" t="s">
        <v>51</v>
      </c>
      <c r="U20" t="b">
        <v>0</v>
      </c>
      <c r="V20" t="b">
        <v>0</v>
      </c>
      <c r="W20" t="b">
        <v>0</v>
      </c>
      <c r="X20" t="s">
        <v>77</v>
      </c>
      <c r="Z20" t="str">
        <f t="shared" si="21"/>
        <v/>
      </c>
      <c r="AA20" t="str">
        <f t="shared" si="22"/>
        <v/>
      </c>
      <c r="AB20" t="str">
        <f t="shared" si="22"/>
        <v/>
      </c>
      <c r="AC20" t="str">
        <f t="shared" si="22"/>
        <v/>
      </c>
      <c r="AD20" t="str">
        <f t="shared" si="23"/>
        <v/>
      </c>
      <c r="AE20" t="str">
        <f t="shared" si="4"/>
        <v/>
      </c>
      <c r="AF20" t="str">
        <f t="shared" si="24"/>
        <v/>
      </c>
      <c r="AG20" t="str">
        <f t="shared" si="25"/>
        <v/>
      </c>
      <c r="AH20" t="str">
        <f t="shared" si="26"/>
        <v/>
      </c>
      <c r="AI20" t="str">
        <f t="shared" si="27"/>
        <v/>
      </c>
      <c r="AJ20" t="str">
        <f t="shared" si="28"/>
        <v/>
      </c>
      <c r="AK20" t="str">
        <f t="shared" si="29"/>
        <v/>
      </c>
      <c r="AM20" t="str">
        <f t="shared" si="30"/>
        <v/>
      </c>
      <c r="AN20" t="str">
        <f t="shared" si="5"/>
        <v/>
      </c>
      <c r="AO20" t="str">
        <f t="shared" si="6"/>
        <v/>
      </c>
      <c r="AP20" t="str">
        <f t="shared" si="7"/>
        <v/>
      </c>
      <c r="AQ20" t="str">
        <f t="shared" si="8"/>
        <v/>
      </c>
      <c r="AR20" t="str">
        <f t="shared" si="9"/>
        <v/>
      </c>
      <c r="AS20" t="str">
        <f t="shared" si="10"/>
        <v/>
      </c>
      <c r="AT20" t="str">
        <f t="shared" si="11"/>
        <v/>
      </c>
      <c r="AU20" t="str">
        <f t="shared" si="12"/>
        <v/>
      </c>
      <c r="AV20" t="str">
        <f t="shared" si="31"/>
        <v/>
      </c>
      <c r="AW20" t="str">
        <f t="shared" si="32"/>
        <v/>
      </c>
      <c r="AY20" t="str">
        <f t="shared" si="13"/>
        <v/>
      </c>
      <c r="AZ20" t="str">
        <f t="shared" si="14"/>
        <v/>
      </c>
      <c r="BA20" t="str">
        <f t="shared" si="15"/>
        <v/>
      </c>
      <c r="BB20" t="str">
        <f t="shared" si="33"/>
        <v/>
      </c>
      <c r="BC20" t="str">
        <f t="shared" si="16"/>
        <v/>
      </c>
      <c r="BE20">
        <f t="shared" si="17"/>
        <v>4</v>
      </c>
      <c r="BF20">
        <f t="shared" si="18"/>
        <v>0</v>
      </c>
      <c r="BG20" t="str">
        <f t="shared" si="19"/>
        <v>stEx412.x0	 := FALSE;</v>
      </c>
      <c r="BH20" t="str">
        <f t="shared" si="34"/>
        <v xml:space="preserve">stEx412.x0	 := FALSE;
</v>
      </c>
    </row>
    <row r="21" spans="1:60" x14ac:dyDescent="0.55000000000000004">
      <c r="D21">
        <v>13</v>
      </c>
      <c r="E21" t="str">
        <f t="shared" si="2"/>
        <v>stEx413</v>
      </c>
      <c r="F21" t="str">
        <f t="shared" si="20"/>
        <v>stEx413</v>
      </c>
      <c r="G21" t="str">
        <f t="shared" si="3"/>
        <v>●波板押え 上昇</v>
      </c>
      <c r="Q21" t="s">
        <v>78</v>
      </c>
      <c r="R21" t="s">
        <v>51</v>
      </c>
      <c r="U21" t="b">
        <v>0</v>
      </c>
      <c r="V21" t="b">
        <v>0</v>
      </c>
      <c r="W21" t="b">
        <v>0</v>
      </c>
      <c r="X21" t="s">
        <v>79</v>
      </c>
      <c r="Z21" t="str">
        <f t="shared" si="21"/>
        <v/>
      </c>
      <c r="AA21" t="str">
        <f t="shared" si="22"/>
        <v/>
      </c>
      <c r="AB21" t="str">
        <f t="shared" si="22"/>
        <v/>
      </c>
      <c r="AC21" t="str">
        <f t="shared" si="22"/>
        <v/>
      </c>
      <c r="AD21" t="str">
        <f t="shared" si="23"/>
        <v/>
      </c>
      <c r="AE21" t="str">
        <f t="shared" si="4"/>
        <v/>
      </c>
      <c r="AF21" t="str">
        <f t="shared" si="24"/>
        <v/>
      </c>
      <c r="AG21" t="str">
        <f t="shared" si="25"/>
        <v/>
      </c>
      <c r="AH21" t="str">
        <f t="shared" si="26"/>
        <v/>
      </c>
      <c r="AI21" t="str">
        <f t="shared" si="27"/>
        <v/>
      </c>
      <c r="AJ21" t="str">
        <f t="shared" si="28"/>
        <v/>
      </c>
      <c r="AK21" t="str">
        <f t="shared" si="29"/>
        <v/>
      </c>
      <c r="AM21" t="str">
        <f t="shared" si="30"/>
        <v>●</v>
      </c>
      <c r="AN21">
        <f t="shared" si="5"/>
        <v>4130</v>
      </c>
      <c r="AO21" t="str">
        <f t="shared" si="6"/>
        <v>LDP stEx413.x2</v>
      </c>
      <c r="AP21" t="str">
        <f t="shared" si="7"/>
        <v>AND=.D stM.udiErrNo #0</v>
      </c>
      <c r="AQ21" t="str">
        <f t="shared" si="8"/>
        <v>MOV.D #4130 stM.udiErrNo</v>
      </c>
      <c r="AR21" t="str">
        <f t="shared" si="9"/>
        <v/>
      </c>
      <c r="AS21" t="str">
        <f t="shared" si="10"/>
        <v xml:space="preserve">
LDP stEx413.x2</v>
      </c>
      <c r="AT21" t="str">
        <f t="shared" si="11"/>
        <v xml:space="preserve">
LDP stEx413.x2
AND=.D stM.udiErrNo #0</v>
      </c>
      <c r="AU21" t="str">
        <f t="shared" si="12"/>
        <v xml:space="preserve">
LDP stEx413.x2
AND=.D stM.udiErrNo #0
MOV.D #4130 stM.udiErrNo</v>
      </c>
      <c r="AV21" t="str">
        <f t="shared" si="31"/>
        <v xml:space="preserve">
LDP stEx413.x2
AND=.D stM.udiErrNo #0
MOV.D #4130 stM.udiErrNo
</v>
      </c>
      <c r="AW21" t="str">
        <f t="shared" si="32"/>
        <v xml:space="preserve">
LDP stEx413.x2
AND=.D stM.udiErrNo #0
MOV.D #4130 stM.udiErrNo
</v>
      </c>
      <c r="AY21" t="str">
        <f t="shared" ca="1" si="13"/>
        <v xml:space="preserve">
LDP stEx413.x2
AND=.D stM.udiErrNo #0
BOX_ST
;//このスクリプトは C:\tk\prj\hg-0025-0016\git\kv-x520\doc\[kv_script_exe_errno.xlsm]info_script によって生成されました。</v>
      </c>
      <c r="AZ21" t="str">
        <f t="shared" ca="1" si="14"/>
        <v xml:space="preserve">
LDP stEx413.x2
AND=.D stM.udiErrNo #0
BOX_ST
;//このスクリプトは C:\tk\prj\hg-0025-0016\git\kv-x520\doc\[kv_script_exe_errno.xlsm]info_script によって生成されました。
;//エラーNo.を入れる
;stM.udiErrNo	:= 4130;</v>
      </c>
      <c r="BA21" t="str">
        <f t="shared" ca="1" si="15"/>
        <v xml:space="preserve">
LDP stEx413.x2
AND=.D stM.udiErrNo #0
BOX_ST
;//このスクリプトは C:\tk\prj\hg-0025-0016\git\kv-x520\doc\[kv_script_exe_errno.xlsm]info_script によって生成されました。
;//エラーNo.を入れる
;stM.udiErrNo	:= 4130;
;//カウントする
;stM.uiEDCnt	:= stM.uiEDCnt + 1;</v>
      </c>
      <c r="BB21" t="str">
        <f t="shared" ca="1" si="33"/>
        <v xml:space="preserve">
LDP stEx413.x2
AND=.D stM.udiErrNo #0
BOX_ST
;//このスクリプトは C:\tk\prj\hg-0025-0016\git\kv-x520\doc\[kv_script_exe_errno.xlsm]info_script によって生成されました。
;//エラーNo.を入れる
;stM.udiErrNo	:= 4130;
;//カウントする
;stM.uiEDCnt	:= stM.uiEDCnt + 1;
</v>
      </c>
      <c r="BC21" t="str">
        <f t="shared" ca="1" si="16"/>
        <v xml:space="preserve">
LDP stEx413.x2
AND=.D stM.udiErrNo #0
BOX_ST
;//このスクリプトは C:\tk\prj\hg-0025-0016\git\kv-x520\doc\[kv_script_exe_errno.xlsm]info_script によって生成されました。
;//エラーNo.を入れる
;stM.udiErrNo	:= 4130;
;//カウントする
;stM.uiEDCnt	:= stM.uiEDCnt + 1;
;//-----ここまで生成script-----</v>
      </c>
      <c r="BE21">
        <f t="shared" si="17"/>
        <v>4</v>
      </c>
      <c r="BF21">
        <f t="shared" si="18"/>
        <v>1</v>
      </c>
      <c r="BG21" t="str">
        <f t="shared" si="19"/>
        <v>stEx413.x1	 := FALSE;</v>
      </c>
      <c r="BH21" t="str">
        <f t="shared" si="34"/>
        <v xml:space="preserve">stEx413.x1	 := FALSE;
</v>
      </c>
    </row>
    <row r="22" spans="1:60" x14ac:dyDescent="0.55000000000000004">
      <c r="D22">
        <v>14</v>
      </c>
      <c r="E22" t="str">
        <f t="shared" si="2"/>
        <v>stEx414</v>
      </c>
      <c r="F22" t="str">
        <f t="shared" si="20"/>
        <v>stEx414</v>
      </c>
      <c r="G22" t="str">
        <f t="shared" si="3"/>
        <v>▼平板押え 上昇有無</v>
      </c>
      <c r="Q22" t="s">
        <v>80</v>
      </c>
      <c r="R22" t="s">
        <v>51</v>
      </c>
      <c r="U22" t="b">
        <v>0</v>
      </c>
      <c r="V22" t="b">
        <v>0</v>
      </c>
      <c r="W22" t="b">
        <v>0</v>
      </c>
      <c r="X22" t="s">
        <v>81</v>
      </c>
      <c r="Z22" t="str">
        <f t="shared" si="21"/>
        <v/>
      </c>
      <c r="AA22" t="str">
        <f t="shared" si="22"/>
        <v/>
      </c>
      <c r="AB22" t="str">
        <f t="shared" si="22"/>
        <v/>
      </c>
      <c r="AC22" t="str">
        <f t="shared" si="22"/>
        <v/>
      </c>
      <c r="AD22" t="str">
        <f t="shared" si="23"/>
        <v/>
      </c>
      <c r="AE22" t="str">
        <f t="shared" si="4"/>
        <v/>
      </c>
      <c r="AF22" t="str">
        <f t="shared" si="24"/>
        <v/>
      </c>
      <c r="AG22" t="str">
        <f t="shared" si="25"/>
        <v/>
      </c>
      <c r="AH22" t="str">
        <f t="shared" si="26"/>
        <v/>
      </c>
      <c r="AI22" t="str">
        <f t="shared" si="27"/>
        <v/>
      </c>
      <c r="AJ22" t="str">
        <f t="shared" si="28"/>
        <v/>
      </c>
      <c r="AK22" t="str">
        <f t="shared" si="29"/>
        <v/>
      </c>
      <c r="AM22" t="str">
        <f t="shared" si="30"/>
        <v/>
      </c>
      <c r="AN22" t="str">
        <f t="shared" si="5"/>
        <v/>
      </c>
      <c r="AO22" t="str">
        <f t="shared" si="6"/>
        <v/>
      </c>
      <c r="AP22" t="str">
        <f t="shared" si="7"/>
        <v/>
      </c>
      <c r="AQ22" t="str">
        <f t="shared" si="8"/>
        <v/>
      </c>
      <c r="AR22" t="str">
        <f t="shared" si="9"/>
        <v/>
      </c>
      <c r="AS22" t="str">
        <f t="shared" si="10"/>
        <v/>
      </c>
      <c r="AT22" t="str">
        <f t="shared" si="11"/>
        <v/>
      </c>
      <c r="AU22" t="str">
        <f t="shared" si="12"/>
        <v/>
      </c>
      <c r="AV22" t="str">
        <f t="shared" si="31"/>
        <v/>
      </c>
      <c r="AW22" t="str">
        <f t="shared" si="32"/>
        <v/>
      </c>
      <c r="AY22" t="str">
        <f t="shared" si="13"/>
        <v/>
      </c>
      <c r="AZ22" t="str">
        <f t="shared" si="14"/>
        <v/>
      </c>
      <c r="BA22" t="str">
        <f t="shared" si="15"/>
        <v/>
      </c>
      <c r="BB22" t="str">
        <f t="shared" si="33"/>
        <v/>
      </c>
      <c r="BC22" t="str">
        <f t="shared" si="16"/>
        <v/>
      </c>
      <c r="BE22">
        <f t="shared" si="17"/>
        <v>4</v>
      </c>
      <c r="BF22">
        <f t="shared" si="18"/>
        <v>2</v>
      </c>
      <c r="BG22" t="str">
        <f t="shared" si="19"/>
        <v>stEx414.x2	 := FALSE;</v>
      </c>
      <c r="BH22" t="str">
        <f t="shared" si="34"/>
        <v xml:space="preserve">stEx414.x2	 := FALSE;
</v>
      </c>
    </row>
    <row r="23" spans="1:60" x14ac:dyDescent="0.55000000000000004">
      <c r="D23">
        <v>15</v>
      </c>
      <c r="E23" t="str">
        <f t="shared" si="2"/>
        <v>stEx415</v>
      </c>
      <c r="F23" t="str">
        <f t="shared" si="20"/>
        <v>stEx415</v>
      </c>
      <c r="G23" t="str">
        <f t="shared" si="3"/>
        <v>△◆主軸 巻き継続判定</v>
      </c>
      <c r="Q23" t="s">
        <v>82</v>
      </c>
      <c r="R23" t="s">
        <v>51</v>
      </c>
      <c r="U23" t="b">
        <v>0</v>
      </c>
      <c r="V23" t="b">
        <v>0</v>
      </c>
      <c r="W23" t="b">
        <v>0</v>
      </c>
      <c r="X23" t="s">
        <v>83</v>
      </c>
      <c r="Z23" t="str">
        <f t="shared" si="21"/>
        <v/>
      </c>
      <c r="AA23" t="str">
        <f t="shared" si="22"/>
        <v/>
      </c>
      <c r="AB23" t="str">
        <f t="shared" si="22"/>
        <v/>
      </c>
      <c r="AC23" t="str">
        <f t="shared" si="22"/>
        <v/>
      </c>
      <c r="AD23" t="str">
        <f t="shared" si="23"/>
        <v/>
      </c>
      <c r="AE23" t="str">
        <f t="shared" si="4"/>
        <v/>
      </c>
      <c r="AF23" t="str">
        <f t="shared" si="24"/>
        <v/>
      </c>
      <c r="AG23" t="str">
        <f t="shared" si="25"/>
        <v/>
      </c>
      <c r="AH23" t="str">
        <f t="shared" si="26"/>
        <v/>
      </c>
      <c r="AI23" t="str">
        <f t="shared" si="27"/>
        <v/>
      </c>
      <c r="AJ23" t="str">
        <f t="shared" si="28"/>
        <v/>
      </c>
      <c r="AK23" t="str">
        <f t="shared" si="29"/>
        <v/>
      </c>
      <c r="AM23" t="str">
        <f t="shared" si="30"/>
        <v/>
      </c>
      <c r="AN23" t="str">
        <f t="shared" si="5"/>
        <v/>
      </c>
      <c r="AO23" t="str">
        <f t="shared" si="6"/>
        <v/>
      </c>
      <c r="AP23" t="str">
        <f t="shared" si="7"/>
        <v/>
      </c>
      <c r="AQ23" t="str">
        <f t="shared" si="8"/>
        <v/>
      </c>
      <c r="AR23" t="str">
        <f t="shared" si="9"/>
        <v/>
      </c>
      <c r="AS23" t="str">
        <f t="shared" si="10"/>
        <v/>
      </c>
      <c r="AT23" t="str">
        <f t="shared" si="11"/>
        <v/>
      </c>
      <c r="AU23" t="str">
        <f t="shared" si="12"/>
        <v/>
      </c>
      <c r="AV23" t="str">
        <f t="shared" si="31"/>
        <v/>
      </c>
      <c r="AW23" t="str">
        <f t="shared" si="32"/>
        <v/>
      </c>
      <c r="AY23" t="str">
        <f t="shared" si="13"/>
        <v/>
      </c>
      <c r="AZ23" t="str">
        <f t="shared" si="14"/>
        <v/>
      </c>
      <c r="BA23" t="str">
        <f t="shared" si="15"/>
        <v/>
      </c>
      <c r="BB23" t="str">
        <f t="shared" si="33"/>
        <v/>
      </c>
      <c r="BC23" t="str">
        <f t="shared" si="16"/>
        <v/>
      </c>
      <c r="BE23">
        <f t="shared" si="17"/>
        <v>5</v>
      </c>
      <c r="BF23">
        <f t="shared" si="18"/>
        <v>0</v>
      </c>
      <c r="BG23" t="str">
        <f t="shared" si="19"/>
        <v>stEx415.x0	 := FALSE;</v>
      </c>
      <c r="BH23" t="str">
        <f t="shared" si="34"/>
        <v xml:space="preserve">stEx415.x0	 := FALSE;
</v>
      </c>
    </row>
    <row r="24" spans="1:60" x14ac:dyDescent="0.55000000000000004">
      <c r="D24">
        <v>16</v>
      </c>
      <c r="E24" t="str">
        <f t="shared" si="2"/>
        <v>stEx416</v>
      </c>
      <c r="F24" t="str">
        <f t="shared" si="20"/>
        <v>stEx416</v>
      </c>
      <c r="G24" t="str">
        <f t="shared" si="3"/>
        <v>&gt;△●AXK13主軸 巻き回転</v>
      </c>
      <c r="Q24" t="s">
        <v>84</v>
      </c>
      <c r="R24" t="s">
        <v>51</v>
      </c>
      <c r="U24" t="b">
        <v>0</v>
      </c>
      <c r="V24" t="b">
        <v>0</v>
      </c>
      <c r="W24" t="b">
        <v>0</v>
      </c>
      <c r="X24" t="s">
        <v>85</v>
      </c>
      <c r="Z24">
        <f t="shared" si="21"/>
        <v>13</v>
      </c>
      <c r="AA24" t="str">
        <f t="shared" si="22"/>
        <v/>
      </c>
      <c r="AB24" t="str">
        <f t="shared" si="22"/>
        <v/>
      </c>
      <c r="AC24" t="str">
        <f t="shared" si="22"/>
        <v/>
      </c>
      <c r="AD24" t="str">
        <f t="shared" si="23"/>
        <v/>
      </c>
      <c r="AE24" t="str">
        <f t="shared" si="23"/>
        <v>stDevOut.astAXK[0]</v>
      </c>
      <c r="AF24" t="str">
        <f t="shared" si="24"/>
        <v/>
      </c>
      <c r="AG24" t="str">
        <f t="shared" si="25"/>
        <v/>
      </c>
      <c r="AH24" t="str">
        <f t="shared" si="26"/>
        <v/>
      </c>
      <c r="AI24" t="str">
        <f t="shared" si="27"/>
        <v/>
      </c>
      <c r="AJ24" t="str">
        <f t="shared" si="28"/>
        <v/>
      </c>
      <c r="AK24" t="str">
        <f t="shared" si="29"/>
        <v>stDevOut.astAXK[0]</v>
      </c>
      <c r="AM24" t="str">
        <f t="shared" si="30"/>
        <v>●</v>
      </c>
      <c r="AN24">
        <f t="shared" si="5"/>
        <v>4160</v>
      </c>
      <c r="AO24" t="str">
        <f t="shared" si="6"/>
        <v>LDP stEx416.x2</v>
      </c>
      <c r="AP24" t="str">
        <f t="shared" si="7"/>
        <v>AND=.D stM.udiErrNo #0</v>
      </c>
      <c r="AQ24" t="str">
        <f t="shared" si="8"/>
        <v>MOV.D #4160 stM.udiErrNo</v>
      </c>
      <c r="AR24" t="str">
        <f t="shared" si="9"/>
        <v>MOV.D stDevOut.astAXK[0] stM.udiSubErr</v>
      </c>
      <c r="AS24" t="str">
        <f t="shared" si="10"/>
        <v xml:space="preserve">
LDP stEx416.x2</v>
      </c>
      <c r="AT24" t="str">
        <f t="shared" si="11"/>
        <v xml:space="preserve">
LDP stEx416.x2
AND=.D stM.udiErrNo #0</v>
      </c>
      <c r="AU24" t="str">
        <f t="shared" si="12"/>
        <v xml:space="preserve">
LDP stEx416.x2
AND=.D stM.udiErrNo #0
MOV.D #4160 stM.udiErrNo</v>
      </c>
      <c r="AV24" t="str">
        <f t="shared" si="31"/>
        <v xml:space="preserve">
LDP stEx416.x2
AND=.D stM.udiErrNo #0
MOV.D #4160 stM.udiErrNo
MOV.D stDevOut.astAXK[0] stM.udiSubErr</v>
      </c>
      <c r="AW24" t="str">
        <f t="shared" si="32"/>
        <v xml:space="preserve">
LDP stEx416.x2
AND=.D stM.udiErrNo #0
MOV.D #4160 stM.udiErrNo
MOV.D stDevOut.astAXK[0] stM.udiSubErr</v>
      </c>
      <c r="AY24" t="str">
        <f t="shared" ca="1" si="13"/>
        <v xml:space="preserve">
LDP stEx416.x2
AND=.D stM.udiErrNo #0
BOX_ST
;//このスクリプトは C:\tk\prj\hg-0025-0016\git\kv-x520\doc\[kv_script_exe_errno.xlsm]info_script によって生成されました。</v>
      </c>
      <c r="AZ24" t="str">
        <f t="shared" ca="1" si="14"/>
        <v xml:space="preserve">
LDP stEx416.x2
AND=.D stM.udiErrNo #0
BOX_ST
;//このスクリプトは C:\tk\prj\hg-0025-0016\git\kv-x520\doc\[kv_script_exe_errno.xlsm]info_script によって生成されました。
;//エラーNo.を入れる
;stM.udiErrNo	:= 4160;</v>
      </c>
      <c r="BA24" t="str">
        <f t="shared" ca="1" si="15"/>
        <v xml:space="preserve">
LDP stEx416.x2
AND=.D stM.udiErrNo #0
BOX_ST
;//このスクリプトは C:\tk\prj\hg-0025-0016\git\kv-x520\doc\[kv_script_exe_errno.xlsm]info_script によって生成されました。
;//エラーNo.を入れる
;stM.udiErrNo	:= 4160;
;//カウントする
;stM.uiEDCnt	:= stM.uiEDCnt + 1;</v>
      </c>
      <c r="BB24" t="str">
        <f t="shared" ca="1" si="33"/>
        <v xml:space="preserve">
LDP stEx416.x2
AND=.D stM.udiErrNo #0
BOX_ST
;//このスクリプトは C:\tk\prj\hg-0025-0016\git\kv-x520\doc\[kv_script_exe_errno.xlsm]info_script によって生成されました。
;//エラーNo.を入れる
;stM.udiErrNo	:= 4160;
;//カウントする
;stM.uiEDCnt	:= stM.uiEDCnt + 1;
;//エラーコードを入れる
;stM.udiSubErr	:= stDevOut.astAXK[0].udiErrNo;</v>
      </c>
      <c r="BC24" t="str">
        <f t="shared" ca="1" si="16"/>
        <v xml:space="preserve">
LDP stEx416.x2
AND=.D stM.udiErrNo #0
BOX_ST
;//このスクリプトは C:\tk\prj\hg-0025-0016\git\kv-x520\doc\[kv_script_exe_errno.xlsm]info_script によって生成されました。
;//エラーNo.を入れる
;stM.udiErrNo	:= 4160;
;//カウントする
;stM.uiEDCnt	:= stM.uiEDCnt + 1;
;//エラーコードを入れる
;stM.udiSubErr	:= stDevOut.astAXK[0].udiErrNo;
;//-----ここまで生成script-----</v>
      </c>
      <c r="BE24">
        <f t="shared" si="17"/>
        <v>5</v>
      </c>
      <c r="BF24">
        <f t="shared" si="18"/>
        <v>1</v>
      </c>
      <c r="BG24" t="str">
        <f t="shared" si="19"/>
        <v>stEx416.x1	 := FALSE;</v>
      </c>
      <c r="BH24" t="str">
        <f t="shared" si="34"/>
        <v xml:space="preserve">stEx416.x1	 := FALSE;
</v>
      </c>
    </row>
    <row r="25" spans="1:60" x14ac:dyDescent="0.55000000000000004">
      <c r="D25">
        <v>17</v>
      </c>
      <c r="E25" t="str">
        <f t="shared" si="2"/>
        <v>stEx417</v>
      </c>
      <c r="F25" t="str">
        <f t="shared" si="20"/>
        <v>stEx417</v>
      </c>
      <c r="G25" t="str">
        <f t="shared" si="3"/>
        <v>&gt;△◆整え+測定 有無</v>
      </c>
      <c r="Q25" t="s">
        <v>86</v>
      </c>
      <c r="R25" t="s">
        <v>51</v>
      </c>
      <c r="U25" t="b">
        <v>0</v>
      </c>
      <c r="V25" t="b">
        <v>0</v>
      </c>
      <c r="W25" t="b">
        <v>0</v>
      </c>
      <c r="X25" t="s">
        <v>87</v>
      </c>
      <c r="Z25" t="str">
        <f t="shared" si="21"/>
        <v/>
      </c>
      <c r="AA25" t="str">
        <f t="shared" si="22"/>
        <v/>
      </c>
      <c r="AB25" t="str">
        <f t="shared" si="22"/>
        <v/>
      </c>
      <c r="AC25" t="str">
        <f t="shared" si="22"/>
        <v/>
      </c>
      <c r="AD25" t="str">
        <f t="shared" si="23"/>
        <v/>
      </c>
      <c r="AE25" t="str">
        <f t="shared" si="23"/>
        <v/>
      </c>
      <c r="AF25" t="str">
        <f t="shared" si="24"/>
        <v/>
      </c>
      <c r="AG25" t="str">
        <f t="shared" si="25"/>
        <v/>
      </c>
      <c r="AH25" t="str">
        <f t="shared" si="26"/>
        <v/>
      </c>
      <c r="AI25" t="str">
        <f t="shared" si="27"/>
        <v/>
      </c>
      <c r="AJ25" t="str">
        <f t="shared" si="28"/>
        <v/>
      </c>
      <c r="AK25" t="str">
        <f t="shared" si="29"/>
        <v/>
      </c>
      <c r="AM25" t="str">
        <f t="shared" si="30"/>
        <v/>
      </c>
      <c r="AN25" t="str">
        <f t="shared" si="5"/>
        <v/>
      </c>
      <c r="AO25" t="str">
        <f t="shared" si="6"/>
        <v/>
      </c>
      <c r="AP25" t="str">
        <f t="shared" si="7"/>
        <v/>
      </c>
      <c r="AQ25" t="str">
        <f t="shared" si="8"/>
        <v/>
      </c>
      <c r="AR25" t="str">
        <f t="shared" si="9"/>
        <v/>
      </c>
      <c r="AS25" t="str">
        <f t="shared" si="10"/>
        <v/>
      </c>
      <c r="AT25" t="str">
        <f t="shared" si="11"/>
        <v/>
      </c>
      <c r="AU25" t="str">
        <f t="shared" si="12"/>
        <v/>
      </c>
      <c r="AV25" t="str">
        <f t="shared" si="31"/>
        <v/>
      </c>
      <c r="AW25" t="str">
        <f t="shared" si="32"/>
        <v/>
      </c>
      <c r="AY25" t="str">
        <f t="shared" si="13"/>
        <v/>
      </c>
      <c r="AZ25" t="str">
        <f t="shared" si="14"/>
        <v/>
      </c>
      <c r="BA25" t="str">
        <f t="shared" si="15"/>
        <v/>
      </c>
      <c r="BB25" t="str">
        <f t="shared" si="33"/>
        <v/>
      </c>
      <c r="BC25" t="str">
        <f t="shared" si="16"/>
        <v/>
      </c>
      <c r="BE25">
        <f t="shared" si="17"/>
        <v>5</v>
      </c>
      <c r="BF25">
        <f t="shared" si="18"/>
        <v>2</v>
      </c>
      <c r="BG25" t="str">
        <f t="shared" si="19"/>
        <v>stEx417.x2	 := FALSE;</v>
      </c>
      <c r="BH25" t="str">
        <f t="shared" si="34"/>
        <v xml:space="preserve">stEx417.x2	 := FALSE;
</v>
      </c>
    </row>
    <row r="26" spans="1:60" x14ac:dyDescent="0.55000000000000004">
      <c r="D26">
        <v>18</v>
      </c>
      <c r="E26" t="str">
        <f t="shared" si="2"/>
        <v>stEx418</v>
      </c>
      <c r="F26" t="str">
        <f t="shared" si="20"/>
        <v>stEx418</v>
      </c>
      <c r="G26" t="str">
        <f t="shared" si="3"/>
        <v>&gt;&gt;△◆整え 有無</v>
      </c>
      <c r="Q26" t="s">
        <v>88</v>
      </c>
      <c r="R26" t="s">
        <v>51</v>
      </c>
      <c r="U26" t="b">
        <v>0</v>
      </c>
      <c r="V26" t="b">
        <v>0</v>
      </c>
      <c r="W26" t="b">
        <v>0</v>
      </c>
      <c r="X26" t="s">
        <v>89</v>
      </c>
      <c r="Z26" t="str">
        <f t="shared" si="21"/>
        <v/>
      </c>
      <c r="AA26" t="str">
        <f t="shared" si="22"/>
        <v/>
      </c>
      <c r="AB26" t="str">
        <f t="shared" si="22"/>
        <v/>
      </c>
      <c r="AC26" t="str">
        <f t="shared" si="22"/>
        <v/>
      </c>
      <c r="AD26" t="str">
        <f t="shared" si="23"/>
        <v/>
      </c>
      <c r="AE26" t="str">
        <f t="shared" si="23"/>
        <v/>
      </c>
      <c r="AF26" t="str">
        <f t="shared" si="24"/>
        <v/>
      </c>
      <c r="AG26" t="str">
        <f t="shared" si="25"/>
        <v/>
      </c>
      <c r="AH26" t="str">
        <f t="shared" si="26"/>
        <v/>
      </c>
      <c r="AI26" t="str">
        <f t="shared" si="27"/>
        <v/>
      </c>
      <c r="AJ26" t="str">
        <f t="shared" si="28"/>
        <v/>
      </c>
      <c r="AK26" t="str">
        <f t="shared" si="29"/>
        <v/>
      </c>
      <c r="AM26" t="str">
        <f t="shared" si="30"/>
        <v/>
      </c>
      <c r="AN26" t="str">
        <f t="shared" si="5"/>
        <v/>
      </c>
      <c r="AO26" t="str">
        <f t="shared" si="6"/>
        <v/>
      </c>
      <c r="AP26" t="str">
        <f t="shared" si="7"/>
        <v/>
      </c>
      <c r="AQ26" t="str">
        <f t="shared" si="8"/>
        <v/>
      </c>
      <c r="AR26" t="str">
        <f t="shared" si="9"/>
        <v/>
      </c>
      <c r="AS26" t="str">
        <f t="shared" si="10"/>
        <v/>
      </c>
      <c r="AT26" t="str">
        <f t="shared" si="11"/>
        <v/>
      </c>
      <c r="AU26" t="str">
        <f t="shared" si="12"/>
        <v/>
      </c>
      <c r="AV26" t="str">
        <f t="shared" si="31"/>
        <v/>
      </c>
      <c r="AW26" t="str">
        <f t="shared" si="32"/>
        <v/>
      </c>
      <c r="AY26" t="str">
        <f t="shared" si="13"/>
        <v/>
      </c>
      <c r="AZ26" t="str">
        <f t="shared" si="14"/>
        <v/>
      </c>
      <c r="BA26" t="str">
        <f t="shared" si="15"/>
        <v/>
      </c>
      <c r="BB26" t="str">
        <f t="shared" si="33"/>
        <v/>
      </c>
      <c r="BC26" t="str">
        <f t="shared" si="16"/>
        <v/>
      </c>
      <c r="BE26">
        <f t="shared" si="17"/>
        <v>6</v>
      </c>
      <c r="BF26">
        <f t="shared" si="18"/>
        <v>0</v>
      </c>
      <c r="BG26" t="str">
        <f t="shared" si="19"/>
        <v>stEx418.x0	 := FALSE;</v>
      </c>
      <c r="BH26" t="str">
        <f t="shared" si="34"/>
        <v xml:space="preserve">stEx418.x0	 := FALSE;
</v>
      </c>
    </row>
    <row r="27" spans="1:60" x14ac:dyDescent="0.55000000000000004">
      <c r="D27">
        <v>19</v>
      </c>
      <c r="E27" t="str">
        <f t="shared" si="2"/>
        <v>stEx419</v>
      </c>
      <c r="F27" t="str">
        <f t="shared" si="20"/>
        <v>stEx419</v>
      </c>
      <c r="G27" t="str">
        <f t="shared" si="3"/>
        <v>&gt;&gt;&gt;◆整え繰返し 有無</v>
      </c>
      <c r="Q27" t="s">
        <v>90</v>
      </c>
      <c r="R27" t="s">
        <v>51</v>
      </c>
      <c r="U27" t="b">
        <v>0</v>
      </c>
      <c r="V27" t="b">
        <v>0</v>
      </c>
      <c r="W27" t="b">
        <v>0</v>
      </c>
      <c r="X27" t="s">
        <v>91</v>
      </c>
      <c r="Z27" t="str">
        <f t="shared" si="21"/>
        <v/>
      </c>
      <c r="AA27" t="str">
        <f t="shared" si="22"/>
        <v/>
      </c>
      <c r="AB27" t="str">
        <f t="shared" si="22"/>
        <v/>
      </c>
      <c r="AC27" t="str">
        <f t="shared" si="22"/>
        <v/>
      </c>
      <c r="AD27" t="str">
        <f t="shared" si="23"/>
        <v/>
      </c>
      <c r="AE27" t="str">
        <f t="shared" si="23"/>
        <v/>
      </c>
      <c r="AF27" t="str">
        <f t="shared" si="24"/>
        <v/>
      </c>
      <c r="AG27" t="str">
        <f t="shared" si="25"/>
        <v/>
      </c>
      <c r="AH27" t="str">
        <f t="shared" si="26"/>
        <v/>
      </c>
      <c r="AI27" t="str">
        <f t="shared" si="27"/>
        <v/>
      </c>
      <c r="AJ27" t="str">
        <f t="shared" si="28"/>
        <v/>
      </c>
      <c r="AK27" t="str">
        <f t="shared" si="29"/>
        <v/>
      </c>
      <c r="AM27" t="str">
        <f t="shared" si="30"/>
        <v/>
      </c>
      <c r="AN27" t="str">
        <f t="shared" si="5"/>
        <v/>
      </c>
      <c r="AO27" t="str">
        <f t="shared" si="6"/>
        <v/>
      </c>
      <c r="AP27" t="str">
        <f t="shared" si="7"/>
        <v/>
      </c>
      <c r="AQ27" t="str">
        <f t="shared" si="8"/>
        <v/>
      </c>
      <c r="AR27" t="str">
        <f t="shared" si="9"/>
        <v/>
      </c>
      <c r="AS27" t="str">
        <f t="shared" si="10"/>
        <v/>
      </c>
      <c r="AT27" t="str">
        <f t="shared" si="11"/>
        <v/>
      </c>
      <c r="AU27" t="str">
        <f t="shared" si="12"/>
        <v/>
      </c>
      <c r="AV27" t="str">
        <f t="shared" si="31"/>
        <v/>
      </c>
      <c r="AW27" t="str">
        <f t="shared" si="32"/>
        <v/>
      </c>
      <c r="AY27" t="str">
        <f t="shared" si="13"/>
        <v/>
      </c>
      <c r="AZ27" t="str">
        <f t="shared" si="14"/>
        <v/>
      </c>
      <c r="BA27" t="str">
        <f t="shared" si="15"/>
        <v/>
      </c>
      <c r="BB27" t="str">
        <f t="shared" si="33"/>
        <v/>
      </c>
      <c r="BC27" t="str">
        <f t="shared" si="16"/>
        <v/>
      </c>
      <c r="BE27">
        <f t="shared" si="17"/>
        <v>6</v>
      </c>
      <c r="BF27">
        <f t="shared" si="18"/>
        <v>1</v>
      </c>
      <c r="BG27" t="str">
        <f t="shared" si="19"/>
        <v>stEx419.x1	 := FALSE;</v>
      </c>
      <c r="BH27" t="str">
        <f t="shared" si="34"/>
        <v xml:space="preserve">stEx419.x1	 := FALSE;
</v>
      </c>
    </row>
    <row r="28" spans="1:60" x14ac:dyDescent="0.55000000000000004">
      <c r="A28" t="s">
        <v>7</v>
      </c>
      <c r="B28" t="str">
        <f ca="1">"このスクリプトは "&amp;$B$8&amp;" によって生成されました。"</f>
        <v>このスクリプトは C:\tk\prj\hg-0025-0016\git\kv-x520\doc\[kv_script_exe_errno.xlsm]info_script によって生成されました。</v>
      </c>
      <c r="D28">
        <v>20</v>
      </c>
      <c r="E28" t="str">
        <f t="shared" si="2"/>
        <v>stEx420</v>
      </c>
      <c r="F28" t="str">
        <f t="shared" si="20"/>
        <v>stEx420</v>
      </c>
      <c r="G28" t="str">
        <f t="shared" si="3"/>
        <v>&gt;&gt;&gt;●AXK14調台 整え</v>
      </c>
      <c r="Q28" t="s">
        <v>92</v>
      </c>
      <c r="R28" t="s">
        <v>51</v>
      </c>
      <c r="U28" t="b">
        <v>0</v>
      </c>
      <c r="V28" t="b">
        <v>0</v>
      </c>
      <c r="W28" t="b">
        <v>0</v>
      </c>
      <c r="X28" t="s">
        <v>93</v>
      </c>
      <c r="Z28">
        <f t="shared" si="21"/>
        <v>14</v>
      </c>
      <c r="AA28" t="str">
        <f t="shared" si="22"/>
        <v/>
      </c>
      <c r="AB28" t="str">
        <f t="shared" si="22"/>
        <v/>
      </c>
      <c r="AC28" t="str">
        <f t="shared" si="22"/>
        <v/>
      </c>
      <c r="AD28" t="str">
        <f t="shared" si="23"/>
        <v/>
      </c>
      <c r="AE28" t="str">
        <f t="shared" si="23"/>
        <v>stDevOut.astAXK[1]</v>
      </c>
      <c r="AF28" t="str">
        <f t="shared" si="24"/>
        <v/>
      </c>
      <c r="AG28" t="str">
        <f t="shared" si="25"/>
        <v/>
      </c>
      <c r="AH28" t="str">
        <f t="shared" si="26"/>
        <v/>
      </c>
      <c r="AI28" t="str">
        <f t="shared" si="27"/>
        <v/>
      </c>
      <c r="AJ28" t="str">
        <f t="shared" si="28"/>
        <v/>
      </c>
      <c r="AK28" t="str">
        <f t="shared" si="29"/>
        <v>stDevOut.astAXK[1]</v>
      </c>
      <c r="AM28" t="str">
        <f t="shared" si="30"/>
        <v>●</v>
      </c>
      <c r="AN28">
        <f t="shared" si="5"/>
        <v>4200</v>
      </c>
      <c r="AO28" t="str">
        <f t="shared" si="6"/>
        <v>LDP stEx420.x2</v>
      </c>
      <c r="AP28" t="str">
        <f t="shared" si="7"/>
        <v>AND=.D stM.udiErrNo #0</v>
      </c>
      <c r="AQ28" t="str">
        <f t="shared" si="8"/>
        <v>MOV.D #4200 stM.udiErrNo</v>
      </c>
      <c r="AR28" t="str">
        <f t="shared" si="9"/>
        <v>MOV.D stDevOut.astAXK[1] stM.udiSubErr</v>
      </c>
      <c r="AS28" t="str">
        <f t="shared" si="10"/>
        <v xml:space="preserve">
LDP stEx420.x2</v>
      </c>
      <c r="AT28" t="str">
        <f t="shared" si="11"/>
        <v xml:space="preserve">
LDP stEx420.x2
AND=.D stM.udiErrNo #0</v>
      </c>
      <c r="AU28" t="str">
        <f t="shared" si="12"/>
        <v xml:space="preserve">
LDP stEx420.x2
AND=.D stM.udiErrNo #0
MOV.D #4200 stM.udiErrNo</v>
      </c>
      <c r="AV28" t="str">
        <f t="shared" si="31"/>
        <v xml:space="preserve">
LDP stEx420.x2
AND=.D stM.udiErrNo #0
MOV.D #4200 stM.udiErrNo
MOV.D stDevOut.astAXK[1] stM.udiSubErr</v>
      </c>
      <c r="AW28" t="str">
        <f t="shared" si="32"/>
        <v xml:space="preserve">
LDP stEx420.x2
AND=.D stM.udiErrNo #0
MOV.D #4200 stM.udiErrNo
MOV.D stDevOut.astAXK[1] stM.udiSubErr</v>
      </c>
      <c r="AY28" t="str">
        <f t="shared" ca="1" si="13"/>
        <v xml:space="preserve">
LDP stEx420.x2
AND=.D stM.udiErrNo #0
BOX_ST
;//このスクリプトは C:\tk\prj\hg-0025-0016\git\kv-x520\doc\[kv_script_exe_errno.xlsm]info_script によって生成されました。</v>
      </c>
      <c r="AZ28" t="str">
        <f t="shared" ca="1" si="14"/>
        <v xml:space="preserve">
LDP stEx420.x2
AND=.D stM.udiErrNo #0
BOX_ST
;//このスクリプトは C:\tk\prj\hg-0025-0016\git\kv-x520\doc\[kv_script_exe_errno.xlsm]info_script によって生成されました。
;//エラーNo.を入れる
;stM.udiErrNo	:= 4200;</v>
      </c>
      <c r="BA28" t="str">
        <f t="shared" ca="1" si="15"/>
        <v xml:space="preserve">
LDP stEx420.x2
AND=.D stM.udiErrNo #0
BOX_ST
;//このスクリプトは C:\tk\prj\hg-0025-0016\git\kv-x520\doc\[kv_script_exe_errno.xlsm]info_script によって生成されました。
;//エラーNo.を入れる
;stM.udiErrNo	:= 4200;
;//カウントする
;stM.uiEDCnt	:= stM.uiEDCnt + 1;</v>
      </c>
      <c r="BB28" t="str">
        <f t="shared" ca="1" si="33"/>
        <v xml:space="preserve">
LDP stEx420.x2
AND=.D stM.udiErrNo #0
BOX_ST
;//このスクリプトは C:\tk\prj\hg-0025-0016\git\kv-x520\doc\[kv_script_exe_errno.xlsm]info_script によって生成されました。
;//エラーNo.を入れる
;stM.udiErrNo	:= 4200;
;//カウントする
;stM.uiEDCnt	:= stM.uiEDCnt + 1;
;//エラーコードを入れる
;stM.udiSubErr	:= stDevOut.astAXK[1].udiErrNo;</v>
      </c>
      <c r="BC28" t="str">
        <f t="shared" ca="1" si="16"/>
        <v xml:space="preserve">
LDP stEx420.x2
AND=.D stM.udiErrNo #0
BOX_ST
;//このスクリプトは C:\tk\prj\hg-0025-0016\git\kv-x520\doc\[kv_script_exe_errno.xlsm]info_script によって生成されました。
;//エラーNo.を入れる
;stM.udiErrNo	:= 4200;
;//カウントする
;stM.uiEDCnt	:= stM.uiEDCnt + 1;
;//エラーコードを入れる
;stM.udiSubErr	:= stDevOut.astAXK[1].udiErrNo;
;//-----ここまで生成script-----</v>
      </c>
      <c r="BE28">
        <f t="shared" si="17"/>
        <v>6</v>
      </c>
      <c r="BF28">
        <f t="shared" si="18"/>
        <v>2</v>
      </c>
      <c r="BG28" t="str">
        <f t="shared" si="19"/>
        <v>stEx420.x2	 := FALSE;</v>
      </c>
      <c r="BH28" t="str">
        <f t="shared" si="34"/>
        <v xml:space="preserve">stEx420.x2	 := FALSE;
</v>
      </c>
    </row>
    <row r="29" spans="1:60" x14ac:dyDescent="0.55000000000000004">
      <c r="A29" t="s">
        <v>8</v>
      </c>
      <c r="B29" t="s">
        <v>9</v>
      </c>
      <c r="D29">
        <v>21</v>
      </c>
      <c r="E29" t="str">
        <f t="shared" si="2"/>
        <v>stEx421</v>
      </c>
      <c r="F29" t="str">
        <f t="shared" si="20"/>
        <v>stEx421</v>
      </c>
      <c r="G29" t="str">
        <f t="shared" si="3"/>
        <v>&gt;&gt;&gt;●AXK14調台 待機</v>
      </c>
      <c r="Q29" t="s">
        <v>94</v>
      </c>
      <c r="R29" t="s">
        <v>51</v>
      </c>
      <c r="U29" t="b">
        <v>0</v>
      </c>
      <c r="V29" t="b">
        <v>0</v>
      </c>
      <c r="W29" t="b">
        <v>0</v>
      </c>
      <c r="X29" t="s">
        <v>95</v>
      </c>
      <c r="Z29">
        <f t="shared" si="21"/>
        <v>14</v>
      </c>
      <c r="AA29" t="str">
        <f t="shared" si="22"/>
        <v/>
      </c>
      <c r="AB29" t="str">
        <f t="shared" si="22"/>
        <v/>
      </c>
      <c r="AC29" t="str">
        <f t="shared" si="22"/>
        <v/>
      </c>
      <c r="AD29" t="str">
        <f t="shared" si="23"/>
        <v/>
      </c>
      <c r="AE29" t="str">
        <f t="shared" si="23"/>
        <v>stDevOut.astAXK[1]</v>
      </c>
      <c r="AF29" t="str">
        <f t="shared" si="24"/>
        <v/>
      </c>
      <c r="AG29" t="str">
        <f t="shared" si="25"/>
        <v/>
      </c>
      <c r="AH29" t="str">
        <f t="shared" si="26"/>
        <v/>
      </c>
      <c r="AI29" t="str">
        <f t="shared" si="27"/>
        <v/>
      </c>
      <c r="AJ29" t="str">
        <f t="shared" si="28"/>
        <v/>
      </c>
      <c r="AK29" t="str">
        <f t="shared" si="29"/>
        <v>stDevOut.astAXK[1]</v>
      </c>
      <c r="AM29" t="str">
        <f t="shared" si="30"/>
        <v>●</v>
      </c>
      <c r="AN29">
        <f t="shared" si="5"/>
        <v>4210</v>
      </c>
      <c r="AO29" t="str">
        <f t="shared" si="6"/>
        <v>LDP stEx421.x2</v>
      </c>
      <c r="AP29" t="str">
        <f t="shared" si="7"/>
        <v>AND=.D stM.udiErrNo #0</v>
      </c>
      <c r="AQ29" t="str">
        <f t="shared" si="8"/>
        <v>MOV.D #4210 stM.udiErrNo</v>
      </c>
      <c r="AR29" t="str">
        <f t="shared" si="9"/>
        <v>MOV.D stDevOut.astAXK[1] stM.udiSubErr</v>
      </c>
      <c r="AS29" t="str">
        <f t="shared" si="10"/>
        <v xml:space="preserve">
LDP stEx421.x2</v>
      </c>
      <c r="AT29" t="str">
        <f t="shared" si="11"/>
        <v xml:space="preserve">
LDP stEx421.x2
AND=.D stM.udiErrNo #0</v>
      </c>
      <c r="AU29" t="str">
        <f t="shared" si="12"/>
        <v xml:space="preserve">
LDP stEx421.x2
AND=.D stM.udiErrNo #0
MOV.D #4210 stM.udiErrNo</v>
      </c>
      <c r="AV29" t="str">
        <f t="shared" si="31"/>
        <v xml:space="preserve">
LDP stEx421.x2
AND=.D stM.udiErrNo #0
MOV.D #4210 stM.udiErrNo
MOV.D stDevOut.astAXK[1] stM.udiSubErr</v>
      </c>
      <c r="AW29" t="str">
        <f t="shared" si="32"/>
        <v xml:space="preserve">
LDP stEx421.x2
AND=.D stM.udiErrNo #0
MOV.D #4210 stM.udiErrNo
MOV.D stDevOut.astAXK[1] stM.udiSubErr</v>
      </c>
      <c r="AY29" t="str">
        <f t="shared" ca="1" si="13"/>
        <v xml:space="preserve">
LDP stEx421.x2
AND=.D stM.udiErrNo #0
BOX_ST
;//このスクリプトは C:\tk\prj\hg-0025-0016\git\kv-x520\doc\[kv_script_exe_errno.xlsm]info_script によって生成されました。</v>
      </c>
      <c r="AZ29" t="str">
        <f t="shared" ca="1" si="14"/>
        <v xml:space="preserve">
LDP stEx421.x2
AND=.D stM.udiErrNo #0
BOX_ST
;//このスクリプトは C:\tk\prj\hg-0025-0016\git\kv-x520\doc\[kv_script_exe_errno.xlsm]info_script によって生成されました。
;//エラーNo.を入れる
;stM.udiErrNo	:= 4210;</v>
      </c>
      <c r="BA29" t="str">
        <f t="shared" ca="1" si="15"/>
        <v xml:space="preserve">
LDP stEx421.x2
AND=.D stM.udiErrNo #0
BOX_ST
;//このスクリプトは C:\tk\prj\hg-0025-0016\git\kv-x520\doc\[kv_script_exe_errno.xlsm]info_script によって生成されました。
;//エラーNo.を入れる
;stM.udiErrNo	:= 4210;
;//カウントする
;stM.uiEDCnt	:= stM.uiEDCnt + 1;</v>
      </c>
      <c r="BB29" t="str">
        <f t="shared" ca="1" si="33"/>
        <v xml:space="preserve">
LDP stEx421.x2
AND=.D stM.udiErrNo #0
BOX_ST
;//このスクリプトは C:\tk\prj\hg-0025-0016\git\kv-x520\doc\[kv_script_exe_errno.xlsm]info_script によって生成されました。
;//エラーNo.を入れる
;stM.udiErrNo	:= 4210;
;//カウントする
;stM.uiEDCnt	:= stM.uiEDCnt + 1;
;//エラーコードを入れる
;stM.udiSubErr	:= stDevOut.astAXK[1].udiErrNo;</v>
      </c>
      <c r="BC29" t="str">
        <f t="shared" ca="1" si="16"/>
        <v xml:space="preserve">
LDP stEx421.x2
AND=.D stM.udiErrNo #0
BOX_ST
;//このスクリプトは C:\tk\prj\hg-0025-0016\git\kv-x520\doc\[kv_script_exe_errno.xlsm]info_script によって生成されました。
;//エラーNo.を入れる
;stM.udiErrNo	:= 4210;
;//カウントする
;stM.uiEDCnt	:= stM.uiEDCnt + 1;
;//エラーコードを入れる
;stM.udiSubErr	:= stDevOut.astAXK[1].udiErrNo;
;//-----ここまで生成script-----</v>
      </c>
      <c r="BE29">
        <f t="shared" si="17"/>
        <v>7</v>
      </c>
      <c r="BF29">
        <f t="shared" si="18"/>
        <v>0</v>
      </c>
      <c r="BG29" t="str">
        <f t="shared" si="19"/>
        <v>stEx421.x0	 := FALSE;</v>
      </c>
      <c r="BH29" t="str">
        <f t="shared" si="34"/>
        <v xml:space="preserve">stEx421.x0	 := FALSE;
</v>
      </c>
    </row>
    <row r="30" spans="1:60" x14ac:dyDescent="0.55000000000000004">
      <c r="A30" t="s">
        <v>20</v>
      </c>
      <c r="B30" t="str">
        <f ca="1">"RUNG_COMMENT"&amp;CHAR(10)&amp;";"&amp;B28&amp;AW109&amp;CHAR(10)&amp;"RUNG_COMMENT"&amp;CHAR(10)&amp;";"&amp;B29</f>
        <v>RUNG_COMMENT
;このスクリプトは C:\tk\prj\hg-0025-0016\git\kv-x520\doc\[kv_script_exe_errno.xlsm]info_script によって生成されました。LDP stEx400.x2
AND=.D stM.udiErrNo #0
MOV.D #4000 stM.udiErrNo
LDP stEx402.x2
AND=.D stM.udiErrNo #0
MOV.D #4020 stM.udiErrNo
MOV.D stDevOut.astAXO[2] stM.udiSubErr
LDP stEx403.x2
AND=.D stM.udiErrNo #0
MOV.D #4030 stM.udiErrNo
LDP stEx405.x2
AND=.D stM.udiErrNo #0
MOV.D #4050 stM.udiErrNo
MOV.D stDevOut.astAXO[2] stM.udiSubErr
LDP stEx406.x2
AND=.D stM.udiErrNo #0
MOV.D #4060 stM.udiErrNo
LDP stEx407.x2
AND=.D stM.udiErrNo #0
MOV.D #4070 stM.udiErrNo
MOV.D stDevOut.astCYL[3] stM.udiSubErr
LDP stEx409.x2
AND=.D stM.udiErrNo #0
MOV.D #4090 stM.udiErrNo
MOV.D stDevOut.astCYL[3] stM.udiSubErr
LDP stEx410.x2
AND=.D stM.udiErrNo #0
MOV.D #4100 stM.udiErrNo
MOV.D stDevOut.astCYL[3] stM.udiSubErr
LDP stEx413.x2
AND=.D stM.udiErrNo #0
MOV.D #4130 stM.udiErrNo
LDP stEx416.x2
AND=.D stM.udiErrNo #0
MOV.D #4160 stM.udiErrNo
MOV.D stDevOut.astAXK[0] stM.udiSubErr
LDP stEx420.x2
AND=.D stM.udiErrNo #0
MOV.D #4200 stM.udiErrNo
MOV.D stDevOut.astAXK[1] stM.udiSubErr
LDP stEx421.x2
AND=.D stM.udiErrNo #0
MOV.D #4210 stM.udiErrNo
MOV.D stDevOut.astAXK[1] stM.udiSubErr
LDP stEx424.x2
AND=.D stM.udiErrNo #0
MOV.D #4240 stM.udiErrNo
LDP stEx429.x2
AND=.D stM.udiErrNo #0
MOV.D #4290 stM.udiErrNo
MOV.D stDevOut.astAXI[0] stM.udiSubErr
LDP stEx430.x2
AND=.D stM.udiErrNo #0
MOV.D #4300 stM.udiErrNo
MOV.D stDevOut.astAXI[0] stM.udiSubErr
LDP stEx431.x2
AND=.D stM.udiErrNo #0
MOV.D #4310 stM.udiErrNo
MOV.D stDevOut.astCYL[6] stM.udiSubErr
LDP stEx432.x2
AND=.D stM.udiErrNo #0
MOV.D #4320 stM.udiErrNo
MOV.D stDevOut.astCYL[18] stM.udiSubErr
LDP stEx434.x2
AND=.D stM.udiErrNo #0
MOV.D #4340 stM.udiErrNo
LDP stEx435.x2
AND=.D stM.udiErrNo #0
MOV.D #4350 stM.udiErrNo
MOV.D stDevOut.astAXI[0] stM.udiSubErr
LDP stEx436.x2
AND=.D stM.udiErrNo #0
MOV.D #4360 stM.udiErrNo
MOV.D stDevOut.astAXI[1] stM.udiSubErr
LDP stEx440.x2
AND=.D stM.udiErrNo #0
MOV.D #4400 stM.udiErrNo
LDP stEx443.x2
AND=.D stM.udiErrNo #0
MOV.D #4430 stM.udiErrNo
MOV.D stDevOut.astCYL[6] stM.udiSubErr
LDP stEx444.x2
AND=.D stM.udiErrNo #0
MOV.D #4440 stM.udiErrNo
LDP stEx448.x2
AND=.D stM.udiErrNo #0
MOV.D #4480 stM.udiErrNo
MOV.D stDevOut.astAXO[3] stM.udiSubErr
LDP stEx449.x2
AND=.D stM.udiErrNo #0
MOV.D #4490 stM.udiErrNo
MOV.D stDevOut.astCYL[1] stM.udiSubErr
LDP stEx450.x2
AND=.D stM.udiErrNo #0
MOV.D #4500 stM.udiErrNo
MOV.D stDevOut.astCYL[2] stM.udiSubErr
LDP stEx451.x2
AND=.D stM.udiErrNo #0
MOV.D #4510 stM.udiErrNo
LDP stEx453.x2
AND=.D stM.udiErrNo #0
MOV.D #4530 stM.udiErrNo
MOV.D stDevOut.astCYL[1] stM.udiSubErr
LDP stEx454.x2
AND=.D stM.udiErrNo #0
MOV.D #4540 stM.udiErrNo
MOV.D stDevOut.astCYL[2] stM.udiSubErr
LDP stEx455.x2
AND=.D stM.udiErrNo #0
MOV.D #4550 stM.udiErrNo
LDP stEx456.x2
AND=.D stM.udiErrNo #0
MOV.D #4560 stM.udiErrNo
MOV.D stDevOut.astAXO[3] stM.udiSubErr
LDP stEx460.x2
AND=.D stM.udiErrNo #0
MOV.D #4600 stM.udiErrNo
MOV.D stDevOut.astAXK[1] stM.udiSubErr
LDP stEx461.x2
AND=.D stM.udiErrNo #0
MOV.D #4610 stM.udiErrNo
MOV.D stDevOut.astAXK[1] stM.udiSubErr
LDP stEx464.x2
AND=.D stM.udiErrNo #0
MOV.D #4640 stM.udiErrNo
MOV.D stDevOut.astAXK[1] stM.udiSubErr
LDP stEx465.x2
AND=.D stM.udiErrNo #0
MOV.D #4650 stM.udiErrNo
MOV.D stDevOut.astCYL[18] stM.udiSubErr
LDP stEx469.x2
AND=.D stM.udiErrNo #0
MOV.D #4690 stM.udiErrNo
MOV.D stDevOut.astAXO[3] stM.udiSubErr
LDP stEx470.x2
AND=.D stM.udiErrNo #0
MOV.D #4700 stM.udiErrNo
MOV.D stDevOut.astAXI[0] stM.udiSubErr
LDP stEx471.x2
AND=.D stM.udiErrNo #0
MOV.D #4710 stM.udiErrNo
MOV.D stDevOut.astAXI[1] stM.udiSubErr
LDP stEx472.x2
AND=.D stM.udiErrNo #0
MOV.D #4720 stM.udiErrNo
LDP stEx473.x2
AND=.D stM.udiErrNo #0
MOV.D #4730 stM.udiErrNo
MOV.D stDevOut.astAXK[0] stM.udiSubErr
LDP stEx476.x2
AND=.D stM.udiErrNo #0
MOV.D #4760 stM.udiErrNo
MOV.D stDevOut.astAXK[0] stM.udiSubErr
LDP stEx477.x2
AND=.D stM.udiErrNo #0
MOV.D #4770 stM.udiErrNo
MOV.D stDevOut.astAXI[0] stM.udiSubErr
LDP stEx478.x2
AND=.D stM.udiErrNo #0
MOV.D #4780 stM.udiErrNo
MOV.D stDevOut.astAXI[1] stM.udiSubErrMOV.D stDevOut.astAXI[0] stM.udiSubErr
RUNG_COMMENT
;-----ここまで生成script-----</v>
      </c>
      <c r="D30">
        <v>22</v>
      </c>
      <c r="E30" t="str">
        <f t="shared" si="2"/>
        <v>stEx422</v>
      </c>
      <c r="F30" t="str">
        <f t="shared" si="20"/>
        <v>stEx422</v>
      </c>
      <c r="G30" t="str">
        <f t="shared" si="3"/>
        <v>&gt;&gt;▼整え</v>
      </c>
      <c r="Q30" t="s">
        <v>96</v>
      </c>
      <c r="R30" t="s">
        <v>51</v>
      </c>
      <c r="U30" t="b">
        <v>0</v>
      </c>
      <c r="V30" t="b">
        <v>0</v>
      </c>
      <c r="W30" t="b">
        <v>0</v>
      </c>
      <c r="X30" t="s">
        <v>97</v>
      </c>
      <c r="Z30" t="str">
        <f t="shared" si="21"/>
        <v/>
      </c>
      <c r="AA30" t="str">
        <f t="shared" si="22"/>
        <v/>
      </c>
      <c r="AB30" t="str">
        <f t="shared" si="22"/>
        <v/>
      </c>
      <c r="AC30" t="str">
        <f t="shared" si="22"/>
        <v/>
      </c>
      <c r="AD30" t="str">
        <f t="shared" si="23"/>
        <v/>
      </c>
      <c r="AE30" t="str">
        <f t="shared" si="23"/>
        <v/>
      </c>
      <c r="AF30" t="str">
        <f t="shared" si="24"/>
        <v/>
      </c>
      <c r="AG30" t="str">
        <f t="shared" si="25"/>
        <v/>
      </c>
      <c r="AH30" t="str">
        <f t="shared" si="26"/>
        <v/>
      </c>
      <c r="AI30" t="str">
        <f t="shared" si="27"/>
        <v/>
      </c>
      <c r="AJ30" t="str">
        <f t="shared" si="28"/>
        <v/>
      </c>
      <c r="AK30" t="str">
        <f t="shared" si="29"/>
        <v/>
      </c>
      <c r="AM30" t="str">
        <f t="shared" si="30"/>
        <v/>
      </c>
      <c r="AN30" t="str">
        <f t="shared" si="5"/>
        <v/>
      </c>
      <c r="AO30" t="str">
        <f t="shared" si="6"/>
        <v/>
      </c>
      <c r="AP30" t="str">
        <f t="shared" si="7"/>
        <v/>
      </c>
      <c r="AQ30" t="str">
        <f t="shared" si="8"/>
        <v/>
      </c>
      <c r="AR30" t="str">
        <f t="shared" si="9"/>
        <v/>
      </c>
      <c r="AS30" t="str">
        <f t="shared" si="10"/>
        <v/>
      </c>
      <c r="AT30" t="str">
        <f t="shared" si="11"/>
        <v/>
      </c>
      <c r="AU30" t="str">
        <f t="shared" si="12"/>
        <v/>
      </c>
      <c r="AV30" t="str">
        <f t="shared" si="31"/>
        <v/>
      </c>
      <c r="AW30" t="str">
        <f t="shared" si="32"/>
        <v/>
      </c>
      <c r="AY30" t="str">
        <f t="shared" si="13"/>
        <v/>
      </c>
      <c r="AZ30" t="str">
        <f t="shared" si="14"/>
        <v/>
      </c>
      <c r="BA30" t="str">
        <f t="shared" si="15"/>
        <v/>
      </c>
      <c r="BB30" t="str">
        <f t="shared" si="33"/>
        <v/>
      </c>
      <c r="BC30" t="str">
        <f t="shared" si="16"/>
        <v/>
      </c>
      <c r="BE30">
        <f t="shared" si="17"/>
        <v>7</v>
      </c>
      <c r="BF30">
        <f t="shared" si="18"/>
        <v>1</v>
      </c>
      <c r="BG30" t="str">
        <f t="shared" si="19"/>
        <v>stEx422.x1	 := FALSE;</v>
      </c>
      <c r="BH30" t="str">
        <f t="shared" si="34"/>
        <v xml:space="preserve">stEx422.x1	 := FALSE;
</v>
      </c>
    </row>
    <row r="31" spans="1:60" x14ac:dyDescent="0.55000000000000004">
      <c r="D31">
        <v>23</v>
      </c>
      <c r="E31" t="str">
        <f t="shared" si="2"/>
        <v>stEx423</v>
      </c>
      <c r="F31" t="str">
        <f t="shared" si="20"/>
        <v>stEx423</v>
      </c>
      <c r="G31" t="str">
        <f t="shared" si="3"/>
        <v>&gt;&gt;△◆巻き中測定 有無</v>
      </c>
      <c r="Q31" t="s">
        <v>98</v>
      </c>
      <c r="R31" t="s">
        <v>51</v>
      </c>
      <c r="U31" t="b">
        <v>0</v>
      </c>
      <c r="V31" t="b">
        <v>0</v>
      </c>
      <c r="W31" t="b">
        <v>0</v>
      </c>
      <c r="X31" t="s">
        <v>99</v>
      </c>
      <c r="Z31" t="str">
        <f t="shared" si="21"/>
        <v/>
      </c>
      <c r="AA31" t="str">
        <f t="shared" si="22"/>
        <v/>
      </c>
      <c r="AB31" t="str">
        <f t="shared" si="22"/>
        <v/>
      </c>
      <c r="AC31" t="str">
        <f t="shared" si="22"/>
        <v/>
      </c>
      <c r="AD31" t="str">
        <f t="shared" si="23"/>
        <v/>
      </c>
      <c r="AE31" t="str">
        <f t="shared" si="23"/>
        <v/>
      </c>
      <c r="AF31" t="str">
        <f t="shared" si="24"/>
        <v/>
      </c>
      <c r="AG31" t="str">
        <f t="shared" si="25"/>
        <v/>
      </c>
      <c r="AH31" t="str">
        <f t="shared" si="26"/>
        <v/>
      </c>
      <c r="AI31" t="str">
        <f t="shared" si="27"/>
        <v/>
      </c>
      <c r="AJ31" t="str">
        <f t="shared" si="28"/>
        <v/>
      </c>
      <c r="AK31" t="str">
        <f t="shared" si="29"/>
        <v/>
      </c>
      <c r="AM31" t="str">
        <f t="shared" si="30"/>
        <v/>
      </c>
      <c r="AN31" t="str">
        <f t="shared" si="5"/>
        <v/>
      </c>
      <c r="AO31" t="str">
        <f t="shared" si="6"/>
        <v/>
      </c>
      <c r="AP31" t="str">
        <f t="shared" si="7"/>
        <v/>
      </c>
      <c r="AQ31" t="str">
        <f t="shared" si="8"/>
        <v/>
      </c>
      <c r="AR31" t="str">
        <f t="shared" si="9"/>
        <v/>
      </c>
      <c r="AS31" t="str">
        <f t="shared" si="10"/>
        <v/>
      </c>
      <c r="AT31" t="str">
        <f t="shared" si="11"/>
        <v/>
      </c>
      <c r="AU31" t="str">
        <f t="shared" si="12"/>
        <v/>
      </c>
      <c r="AV31" t="str">
        <f t="shared" si="31"/>
        <v/>
      </c>
      <c r="AW31" t="str">
        <f t="shared" si="32"/>
        <v/>
      </c>
      <c r="AY31" t="str">
        <f t="shared" si="13"/>
        <v/>
      </c>
      <c r="AZ31" t="str">
        <f t="shared" si="14"/>
        <v/>
      </c>
      <c r="BA31" t="str">
        <f t="shared" si="15"/>
        <v/>
      </c>
      <c r="BB31" t="str">
        <f t="shared" si="33"/>
        <v/>
      </c>
      <c r="BC31" t="str">
        <f t="shared" si="16"/>
        <v/>
      </c>
      <c r="BE31">
        <f t="shared" si="17"/>
        <v>7</v>
      </c>
      <c r="BF31">
        <f t="shared" si="18"/>
        <v>2</v>
      </c>
      <c r="BG31" t="str">
        <f t="shared" si="19"/>
        <v>stEx423.x2	 := FALSE;</v>
      </c>
      <c r="BH31" t="str">
        <f t="shared" si="34"/>
        <v xml:space="preserve">stEx423.x2	 := FALSE;
</v>
      </c>
    </row>
    <row r="32" spans="1:60" x14ac:dyDescent="0.55000000000000004">
      <c r="D32">
        <v>24</v>
      </c>
      <c r="E32" t="str">
        <f t="shared" si="2"/>
        <v>stEx424</v>
      </c>
      <c r="F32" t="str">
        <f t="shared" si="20"/>
        <v>stEx424</v>
      </c>
      <c r="G32" t="str">
        <f t="shared" si="3"/>
        <v>&gt;&gt;&gt;●U06 巻き中測定</v>
      </c>
      <c r="Q32" t="s">
        <v>100</v>
      </c>
      <c r="R32" t="s">
        <v>51</v>
      </c>
      <c r="U32" t="b">
        <v>0</v>
      </c>
      <c r="V32" t="b">
        <v>0</v>
      </c>
      <c r="W32" t="b">
        <v>0</v>
      </c>
      <c r="X32" t="s">
        <v>101</v>
      </c>
      <c r="Z32" t="str">
        <f t="shared" si="21"/>
        <v/>
      </c>
      <c r="AA32" t="str">
        <f t="shared" si="22"/>
        <v/>
      </c>
      <c r="AB32" t="str">
        <f t="shared" si="22"/>
        <v/>
      </c>
      <c r="AC32" t="str">
        <f t="shared" si="22"/>
        <v/>
      </c>
      <c r="AD32" t="str">
        <f t="shared" si="23"/>
        <v/>
      </c>
      <c r="AE32" t="str">
        <f t="shared" si="23"/>
        <v/>
      </c>
      <c r="AF32" t="str">
        <f t="shared" si="24"/>
        <v/>
      </c>
      <c r="AG32" t="str">
        <f t="shared" si="25"/>
        <v/>
      </c>
      <c r="AH32" t="str">
        <f t="shared" si="26"/>
        <v/>
      </c>
      <c r="AI32" t="str">
        <f t="shared" si="27"/>
        <v/>
      </c>
      <c r="AJ32" t="str">
        <f t="shared" si="28"/>
        <v/>
      </c>
      <c r="AK32" t="str">
        <f t="shared" si="29"/>
        <v/>
      </c>
      <c r="AM32" t="str">
        <f t="shared" si="30"/>
        <v>●</v>
      </c>
      <c r="AN32">
        <f t="shared" si="5"/>
        <v>4240</v>
      </c>
      <c r="AO32" t="str">
        <f t="shared" si="6"/>
        <v>LDP stEx424.x2</v>
      </c>
      <c r="AP32" t="str">
        <f t="shared" si="7"/>
        <v>AND=.D stM.udiErrNo #0</v>
      </c>
      <c r="AQ32" t="str">
        <f t="shared" si="8"/>
        <v>MOV.D #4240 stM.udiErrNo</v>
      </c>
      <c r="AR32" t="str">
        <f t="shared" si="9"/>
        <v/>
      </c>
      <c r="AS32" t="str">
        <f t="shared" si="10"/>
        <v xml:space="preserve">
LDP stEx424.x2</v>
      </c>
      <c r="AT32" t="str">
        <f t="shared" si="11"/>
        <v xml:space="preserve">
LDP stEx424.x2
AND=.D stM.udiErrNo #0</v>
      </c>
      <c r="AU32" t="str">
        <f t="shared" si="12"/>
        <v xml:space="preserve">
LDP stEx424.x2
AND=.D stM.udiErrNo #0
MOV.D #4240 stM.udiErrNo</v>
      </c>
      <c r="AV32" t="str">
        <f t="shared" si="31"/>
        <v xml:space="preserve">
LDP stEx424.x2
AND=.D stM.udiErrNo #0
MOV.D #4240 stM.udiErrNo
</v>
      </c>
      <c r="AW32" t="str">
        <f t="shared" si="32"/>
        <v xml:space="preserve">
LDP stEx424.x2
AND=.D stM.udiErrNo #0
MOV.D #4240 stM.udiErrNo
</v>
      </c>
      <c r="AY32" t="str">
        <f t="shared" ca="1" si="13"/>
        <v xml:space="preserve">
LDP stEx424.x2
AND=.D stM.udiErrNo #0
BOX_ST
;//このスクリプトは C:\tk\prj\hg-0025-0016\git\kv-x520\doc\[kv_script_exe_errno.xlsm]info_script によって生成されました。</v>
      </c>
      <c r="AZ32" t="str">
        <f t="shared" ca="1" si="14"/>
        <v xml:space="preserve">
LDP stEx424.x2
AND=.D stM.udiErrNo #0
BOX_ST
;//このスクリプトは C:\tk\prj\hg-0025-0016\git\kv-x520\doc\[kv_script_exe_errno.xlsm]info_script によって生成されました。
;//エラーNo.を入れる
;stM.udiErrNo	:= 4240;</v>
      </c>
      <c r="BA32" t="str">
        <f t="shared" ca="1" si="15"/>
        <v xml:space="preserve">
LDP stEx424.x2
AND=.D stM.udiErrNo #0
BOX_ST
;//このスクリプトは C:\tk\prj\hg-0025-0016\git\kv-x520\doc\[kv_script_exe_errno.xlsm]info_script によって生成されました。
;//エラーNo.を入れる
;stM.udiErrNo	:= 4240;
;//カウントする
;stM.uiEDCnt	:= stM.uiEDCnt + 1;</v>
      </c>
      <c r="BB32" t="str">
        <f t="shared" ca="1" si="33"/>
        <v xml:space="preserve">
LDP stEx424.x2
AND=.D stM.udiErrNo #0
BOX_ST
;//このスクリプトは C:\tk\prj\hg-0025-0016\git\kv-x520\doc\[kv_script_exe_errno.xlsm]info_script によって生成されました。
;//エラーNo.を入れる
;stM.udiErrNo	:= 4240;
;//カウントする
;stM.uiEDCnt	:= stM.uiEDCnt + 1;
</v>
      </c>
      <c r="BC32" t="str">
        <f t="shared" ca="1" si="16"/>
        <v xml:space="preserve">
LDP stEx424.x2
AND=.D stM.udiErrNo #0
BOX_ST
;//このスクリプトは C:\tk\prj\hg-0025-0016\git\kv-x520\doc\[kv_script_exe_errno.xlsm]info_script によって生成されました。
;//エラーNo.を入れる
;stM.udiErrNo	:= 4240;
;//カウントする
;stM.uiEDCnt	:= stM.uiEDCnt + 1;
;//-----ここまで生成script-----</v>
      </c>
      <c r="BE32">
        <f t="shared" si="17"/>
        <v>8</v>
      </c>
      <c r="BF32">
        <f t="shared" si="18"/>
        <v>0</v>
      </c>
      <c r="BG32" t="str">
        <f t="shared" si="19"/>
        <v>stEx424.x0	 := FALSE;</v>
      </c>
      <c r="BH32" t="str">
        <f t="shared" si="34"/>
        <v xml:space="preserve">stEx424.x0	 := FALSE;
</v>
      </c>
    </row>
    <row r="33" spans="1:60" x14ac:dyDescent="0.55000000000000004">
      <c r="D33">
        <v>25</v>
      </c>
      <c r="E33" t="str">
        <f t="shared" si="2"/>
        <v>stEx425</v>
      </c>
      <c r="F33" t="str">
        <f t="shared" si="20"/>
        <v>stEx425</v>
      </c>
      <c r="G33" t="str">
        <f t="shared" si="3"/>
        <v>&gt;&gt;▼巻き中測定 有無</v>
      </c>
      <c r="Q33" t="s">
        <v>102</v>
      </c>
      <c r="R33" t="s">
        <v>51</v>
      </c>
      <c r="U33" t="b">
        <v>0</v>
      </c>
      <c r="V33" t="b">
        <v>0</v>
      </c>
      <c r="W33" t="b">
        <v>0</v>
      </c>
      <c r="X33" t="s">
        <v>103</v>
      </c>
      <c r="Z33" t="str">
        <f t="shared" si="21"/>
        <v/>
      </c>
      <c r="AA33" t="str">
        <f t="shared" si="22"/>
        <v/>
      </c>
      <c r="AB33" t="str">
        <f t="shared" si="22"/>
        <v/>
      </c>
      <c r="AC33" t="str">
        <f t="shared" si="22"/>
        <v/>
      </c>
      <c r="AD33" t="str">
        <f t="shared" si="23"/>
        <v/>
      </c>
      <c r="AE33" t="str">
        <f t="shared" si="23"/>
        <v/>
      </c>
      <c r="AF33" t="str">
        <f t="shared" si="24"/>
        <v/>
      </c>
      <c r="AG33" t="str">
        <f t="shared" si="25"/>
        <v/>
      </c>
      <c r="AH33" t="str">
        <f t="shared" si="26"/>
        <v/>
      </c>
      <c r="AI33" t="str">
        <f t="shared" si="27"/>
        <v/>
      </c>
      <c r="AJ33" t="str">
        <f t="shared" si="28"/>
        <v/>
      </c>
      <c r="AK33" t="str">
        <f t="shared" si="29"/>
        <v/>
      </c>
      <c r="AM33" t="str">
        <f t="shared" si="30"/>
        <v/>
      </c>
      <c r="AN33" t="str">
        <f t="shared" si="5"/>
        <v/>
      </c>
      <c r="AO33" t="str">
        <f t="shared" si="6"/>
        <v/>
      </c>
      <c r="AP33" t="str">
        <f t="shared" si="7"/>
        <v/>
      </c>
      <c r="AQ33" t="str">
        <f t="shared" si="8"/>
        <v/>
      </c>
      <c r="AR33" t="str">
        <f t="shared" si="9"/>
        <v/>
      </c>
      <c r="AS33" t="str">
        <f t="shared" si="10"/>
        <v/>
      </c>
      <c r="AT33" t="str">
        <f t="shared" si="11"/>
        <v/>
      </c>
      <c r="AU33" t="str">
        <f t="shared" si="12"/>
        <v/>
      </c>
      <c r="AV33" t="str">
        <f t="shared" si="31"/>
        <v/>
      </c>
      <c r="AW33" t="str">
        <f t="shared" si="32"/>
        <v/>
      </c>
      <c r="AY33" t="str">
        <f t="shared" si="13"/>
        <v/>
      </c>
      <c r="AZ33" t="str">
        <f t="shared" si="14"/>
        <v/>
      </c>
      <c r="BA33" t="str">
        <f t="shared" si="15"/>
        <v/>
      </c>
      <c r="BB33" t="str">
        <f t="shared" si="33"/>
        <v/>
      </c>
      <c r="BC33" t="str">
        <f t="shared" si="16"/>
        <v/>
      </c>
      <c r="BE33">
        <f t="shared" si="17"/>
        <v>8</v>
      </c>
      <c r="BF33">
        <f t="shared" si="18"/>
        <v>1</v>
      </c>
      <c r="BG33" t="str">
        <f t="shared" si="19"/>
        <v>stEx425.x1	 := FALSE;</v>
      </c>
      <c r="BH33" t="str">
        <f t="shared" si="34"/>
        <v xml:space="preserve">stEx425.x1	 := FALSE;
</v>
      </c>
    </row>
    <row r="34" spans="1:60" x14ac:dyDescent="0.55000000000000004">
      <c r="D34">
        <v>26</v>
      </c>
      <c r="E34" t="str">
        <f t="shared" si="2"/>
        <v>stEx426</v>
      </c>
      <c r="F34" t="str">
        <f t="shared" si="20"/>
        <v>stEx426</v>
      </c>
      <c r="G34" t="str">
        <f t="shared" si="3"/>
        <v>&gt;&gt;▽▼整え+測定</v>
      </c>
      <c r="Q34" t="s">
        <v>104</v>
      </c>
      <c r="R34" t="s">
        <v>51</v>
      </c>
      <c r="U34" t="b">
        <v>0</v>
      </c>
      <c r="V34" t="b">
        <v>0</v>
      </c>
      <c r="W34" t="b">
        <v>0</v>
      </c>
      <c r="X34" t="s">
        <v>105</v>
      </c>
      <c r="Z34" t="str">
        <f t="shared" si="21"/>
        <v/>
      </c>
      <c r="AA34" t="str">
        <f t="shared" si="22"/>
        <v/>
      </c>
      <c r="AB34" t="str">
        <f t="shared" si="22"/>
        <v/>
      </c>
      <c r="AC34" t="str">
        <f t="shared" si="22"/>
        <v/>
      </c>
      <c r="AD34" t="str">
        <f t="shared" si="23"/>
        <v/>
      </c>
      <c r="AE34" t="str">
        <f t="shared" si="23"/>
        <v/>
      </c>
      <c r="AF34" t="str">
        <f t="shared" si="24"/>
        <v/>
      </c>
      <c r="AG34" t="str">
        <f t="shared" si="25"/>
        <v/>
      </c>
      <c r="AH34" t="str">
        <f t="shared" si="26"/>
        <v/>
      </c>
      <c r="AI34" t="str">
        <f t="shared" si="27"/>
        <v/>
      </c>
      <c r="AJ34" t="str">
        <f t="shared" si="28"/>
        <v/>
      </c>
      <c r="AK34" t="str">
        <f t="shared" si="29"/>
        <v/>
      </c>
      <c r="AM34" t="str">
        <f t="shared" si="30"/>
        <v/>
      </c>
      <c r="AN34" t="str">
        <f t="shared" si="5"/>
        <v/>
      </c>
      <c r="AO34" t="str">
        <f t="shared" si="6"/>
        <v/>
      </c>
      <c r="AP34" t="str">
        <f t="shared" si="7"/>
        <v/>
      </c>
      <c r="AQ34" t="str">
        <f t="shared" si="8"/>
        <v/>
      </c>
      <c r="AR34" t="str">
        <f t="shared" si="9"/>
        <v/>
      </c>
      <c r="AS34" t="str">
        <f t="shared" si="10"/>
        <v/>
      </c>
      <c r="AT34" t="str">
        <f t="shared" si="11"/>
        <v/>
      </c>
      <c r="AU34" t="str">
        <f t="shared" si="12"/>
        <v/>
      </c>
      <c r="AV34" t="str">
        <f t="shared" si="31"/>
        <v/>
      </c>
      <c r="AW34" t="str">
        <f t="shared" si="32"/>
        <v/>
      </c>
      <c r="AY34" t="str">
        <f t="shared" si="13"/>
        <v/>
      </c>
      <c r="AZ34" t="str">
        <f t="shared" si="14"/>
        <v/>
      </c>
      <c r="BA34" t="str">
        <f t="shared" si="15"/>
        <v/>
      </c>
      <c r="BB34" t="str">
        <f t="shared" si="33"/>
        <v/>
      </c>
      <c r="BC34" t="str">
        <f t="shared" si="16"/>
        <v/>
      </c>
      <c r="BE34">
        <f t="shared" si="17"/>
        <v>8</v>
      </c>
      <c r="BF34">
        <f t="shared" si="18"/>
        <v>2</v>
      </c>
      <c r="BG34" t="str">
        <f t="shared" si="19"/>
        <v>stEx426.x2	 := FALSE;</v>
      </c>
      <c r="BH34" t="str">
        <f t="shared" si="34"/>
        <v xml:space="preserve">stEx426.x2	 := FALSE;
</v>
      </c>
    </row>
    <row r="35" spans="1:60" x14ac:dyDescent="0.55000000000000004">
      <c r="D35">
        <v>27</v>
      </c>
      <c r="E35" t="str">
        <f t="shared" si="2"/>
        <v>stEx427</v>
      </c>
      <c r="F35" t="str">
        <f t="shared" si="20"/>
        <v>stEx427</v>
      </c>
      <c r="G35" t="str">
        <f t="shared" si="3"/>
        <v>&gt;▽主軸+ 整え+測定</v>
      </c>
      <c r="Q35" t="s">
        <v>106</v>
      </c>
      <c r="R35" t="s">
        <v>51</v>
      </c>
      <c r="U35" t="b">
        <v>0</v>
      </c>
      <c r="V35" t="b">
        <v>0</v>
      </c>
      <c r="W35" t="b">
        <v>0</v>
      </c>
      <c r="X35" t="s">
        <v>107</v>
      </c>
      <c r="Z35" t="str">
        <f t="shared" si="21"/>
        <v/>
      </c>
      <c r="AA35" t="str">
        <f t="shared" si="22"/>
        <v/>
      </c>
      <c r="AB35" t="str">
        <f t="shared" si="22"/>
        <v/>
      </c>
      <c r="AC35" t="str">
        <f t="shared" si="22"/>
        <v/>
      </c>
      <c r="AD35" t="str">
        <f t="shared" si="23"/>
        <v/>
      </c>
      <c r="AE35" t="str">
        <f t="shared" si="23"/>
        <v/>
      </c>
      <c r="AF35" t="str">
        <f t="shared" si="24"/>
        <v/>
      </c>
      <c r="AG35" t="str">
        <f t="shared" si="25"/>
        <v/>
      </c>
      <c r="AH35" t="str">
        <f t="shared" si="26"/>
        <v/>
      </c>
      <c r="AI35" t="str">
        <f t="shared" si="27"/>
        <v/>
      </c>
      <c r="AJ35" t="str">
        <f t="shared" si="28"/>
        <v/>
      </c>
      <c r="AK35" t="str">
        <f t="shared" si="29"/>
        <v/>
      </c>
      <c r="AM35" t="str">
        <f t="shared" si="30"/>
        <v/>
      </c>
      <c r="AN35" t="str">
        <f t="shared" si="5"/>
        <v/>
      </c>
      <c r="AO35" t="str">
        <f t="shared" si="6"/>
        <v/>
      </c>
      <c r="AP35" t="str">
        <f t="shared" si="7"/>
        <v/>
      </c>
      <c r="AQ35" t="str">
        <f t="shared" si="8"/>
        <v/>
      </c>
      <c r="AR35" t="str">
        <f t="shared" si="9"/>
        <v/>
      </c>
      <c r="AS35" t="str">
        <f t="shared" si="10"/>
        <v/>
      </c>
      <c r="AT35" t="str">
        <f t="shared" si="11"/>
        <v/>
      </c>
      <c r="AU35" t="str">
        <f t="shared" si="12"/>
        <v/>
      </c>
      <c r="AV35" t="str">
        <f t="shared" si="31"/>
        <v/>
      </c>
      <c r="AW35" t="str">
        <f t="shared" si="32"/>
        <v/>
      </c>
      <c r="AY35" t="str">
        <f t="shared" si="13"/>
        <v/>
      </c>
      <c r="AZ35" t="str">
        <f t="shared" si="14"/>
        <v/>
      </c>
      <c r="BA35" t="str">
        <f t="shared" si="15"/>
        <v/>
      </c>
      <c r="BB35" t="str">
        <f t="shared" si="33"/>
        <v/>
      </c>
      <c r="BC35" t="str">
        <f t="shared" si="16"/>
        <v/>
      </c>
      <c r="BE35">
        <f t="shared" si="17"/>
        <v>9</v>
      </c>
      <c r="BF35">
        <f t="shared" si="18"/>
        <v>0</v>
      </c>
      <c r="BG35" t="str">
        <f t="shared" si="19"/>
        <v>stEx427.x0	 := FALSE;</v>
      </c>
      <c r="BH35" t="str">
        <f t="shared" si="34"/>
        <v xml:space="preserve">stEx427.x0	 := FALSE;
</v>
      </c>
    </row>
    <row r="36" spans="1:60" x14ac:dyDescent="0.55000000000000004">
      <c r="D36">
        <v>28</v>
      </c>
      <c r="E36" t="str">
        <f t="shared" si="2"/>
        <v>stEx428</v>
      </c>
      <c r="F36" t="str">
        <f t="shared" si="20"/>
        <v>stEx428</v>
      </c>
      <c r="G36" t="str">
        <f t="shared" si="3"/>
        <v>&gt;◆平板ｶｯﾄ 有無判定</v>
      </c>
      <c r="Q36" t="s">
        <v>108</v>
      </c>
      <c r="R36" t="s">
        <v>51</v>
      </c>
      <c r="U36" t="b">
        <v>0</v>
      </c>
      <c r="V36" t="b">
        <v>0</v>
      </c>
      <c r="W36" t="b">
        <v>0</v>
      </c>
      <c r="X36" t="s">
        <v>109</v>
      </c>
      <c r="Z36" t="str">
        <f t="shared" si="21"/>
        <v/>
      </c>
      <c r="AA36" t="str">
        <f t="shared" si="22"/>
        <v/>
      </c>
      <c r="AB36" t="str">
        <f t="shared" si="22"/>
        <v/>
      </c>
      <c r="AC36" t="str">
        <f t="shared" si="22"/>
        <v/>
      </c>
      <c r="AD36" t="str">
        <f t="shared" si="23"/>
        <v/>
      </c>
      <c r="AE36" t="str">
        <f t="shared" si="23"/>
        <v/>
      </c>
      <c r="AF36" t="str">
        <f t="shared" si="24"/>
        <v/>
      </c>
      <c r="AG36" t="str">
        <f t="shared" si="25"/>
        <v/>
      </c>
      <c r="AH36" t="str">
        <f t="shared" si="26"/>
        <v/>
      </c>
      <c r="AI36" t="str">
        <f t="shared" si="27"/>
        <v/>
      </c>
      <c r="AJ36" t="str">
        <f t="shared" si="28"/>
        <v/>
      </c>
      <c r="AK36" t="str">
        <f t="shared" si="29"/>
        <v/>
      </c>
      <c r="AM36" t="str">
        <f t="shared" si="30"/>
        <v/>
      </c>
      <c r="AN36" t="str">
        <f t="shared" si="5"/>
        <v/>
      </c>
      <c r="AO36" t="str">
        <f t="shared" si="6"/>
        <v/>
      </c>
      <c r="AP36" t="str">
        <f t="shared" si="7"/>
        <v/>
      </c>
      <c r="AQ36" t="str">
        <f t="shared" si="8"/>
        <v/>
      </c>
      <c r="AR36" t="str">
        <f t="shared" si="9"/>
        <v/>
      </c>
      <c r="AS36" t="str">
        <f t="shared" si="10"/>
        <v/>
      </c>
      <c r="AT36" t="str">
        <f t="shared" si="11"/>
        <v/>
      </c>
      <c r="AU36" t="str">
        <f t="shared" si="12"/>
        <v/>
      </c>
      <c r="AV36" t="str">
        <f t="shared" si="31"/>
        <v/>
      </c>
      <c r="AW36" t="str">
        <f t="shared" si="32"/>
        <v/>
      </c>
      <c r="AY36" t="str">
        <f t="shared" si="13"/>
        <v/>
      </c>
      <c r="AZ36" t="str">
        <f t="shared" si="14"/>
        <v/>
      </c>
      <c r="BA36" t="str">
        <f t="shared" si="15"/>
        <v/>
      </c>
      <c r="BB36" t="str">
        <f t="shared" si="33"/>
        <v/>
      </c>
      <c r="BC36" t="str">
        <f t="shared" si="16"/>
        <v/>
      </c>
      <c r="BE36">
        <f t="shared" si="17"/>
        <v>9</v>
      </c>
      <c r="BF36">
        <f t="shared" si="18"/>
        <v>1</v>
      </c>
      <c r="BG36" t="str">
        <f t="shared" si="19"/>
        <v>stEx428.x1	 := FALSE;</v>
      </c>
      <c r="BH36" t="str">
        <f t="shared" si="34"/>
        <v xml:space="preserve">stEx428.x1	 := FALSE;
</v>
      </c>
    </row>
    <row r="37" spans="1:60" x14ac:dyDescent="0.55000000000000004">
      <c r="D37">
        <v>29</v>
      </c>
      <c r="E37" t="str">
        <f t="shared" si="2"/>
        <v>stEx429</v>
      </c>
      <c r="F37" t="str">
        <f t="shared" si="20"/>
        <v>stEx429</v>
      </c>
      <c r="G37" t="str">
        <f t="shared" si="3"/>
        <v>&gt;&gt;△●AXI05 排出</v>
      </c>
      <c r="Q37" t="s">
        <v>110</v>
      </c>
      <c r="R37" t="s">
        <v>51</v>
      </c>
      <c r="U37" t="b">
        <v>0</v>
      </c>
      <c r="V37" t="b">
        <v>0</v>
      </c>
      <c r="W37" t="b">
        <v>0</v>
      </c>
      <c r="X37" t="s">
        <v>111</v>
      </c>
      <c r="Z37">
        <f t="shared" si="21"/>
        <v>5</v>
      </c>
      <c r="AA37" t="str">
        <f t="shared" si="22"/>
        <v/>
      </c>
      <c r="AB37" t="str">
        <f t="shared" si="22"/>
        <v/>
      </c>
      <c r="AC37" t="str">
        <f t="shared" si="22"/>
        <v/>
      </c>
      <c r="AD37" t="str">
        <f t="shared" si="23"/>
        <v>stDevOut.astAXI[0]</v>
      </c>
      <c r="AE37" t="str">
        <f t="shared" si="23"/>
        <v/>
      </c>
      <c r="AF37" t="str">
        <f t="shared" si="24"/>
        <v/>
      </c>
      <c r="AG37" t="str">
        <f t="shared" si="25"/>
        <v/>
      </c>
      <c r="AH37" t="str">
        <f t="shared" si="26"/>
        <v/>
      </c>
      <c r="AI37" t="str">
        <f t="shared" si="27"/>
        <v/>
      </c>
      <c r="AJ37" t="str">
        <f t="shared" si="28"/>
        <v/>
      </c>
      <c r="AK37" t="str">
        <f t="shared" si="29"/>
        <v>stDevOut.astAXI[0]</v>
      </c>
      <c r="AM37" t="str">
        <f t="shared" si="30"/>
        <v>●</v>
      </c>
      <c r="AN37">
        <f t="shared" si="5"/>
        <v>4290</v>
      </c>
      <c r="AO37" t="str">
        <f t="shared" si="6"/>
        <v>LDP stEx429.x2</v>
      </c>
      <c r="AP37" t="str">
        <f t="shared" si="7"/>
        <v>AND=.D stM.udiErrNo #0</v>
      </c>
      <c r="AQ37" t="str">
        <f t="shared" si="8"/>
        <v>MOV.D #4290 stM.udiErrNo</v>
      </c>
      <c r="AR37" t="str">
        <f t="shared" si="9"/>
        <v>MOV.D stDevOut.astAXI[0] stM.udiSubErr</v>
      </c>
      <c r="AS37" t="str">
        <f t="shared" si="10"/>
        <v xml:space="preserve">
LDP stEx429.x2</v>
      </c>
      <c r="AT37" t="str">
        <f t="shared" si="11"/>
        <v xml:space="preserve">
LDP stEx429.x2
AND=.D stM.udiErrNo #0</v>
      </c>
      <c r="AU37" t="str">
        <f t="shared" si="12"/>
        <v xml:space="preserve">
LDP stEx429.x2
AND=.D stM.udiErrNo #0
MOV.D #4290 stM.udiErrNo</v>
      </c>
      <c r="AV37" t="str">
        <f t="shared" si="31"/>
        <v xml:space="preserve">
LDP stEx429.x2
AND=.D stM.udiErrNo #0
MOV.D #4290 stM.udiErrNo
MOV.D stDevOut.astAXI[0] stM.udiSubErr</v>
      </c>
      <c r="AW37" t="str">
        <f t="shared" si="32"/>
        <v xml:space="preserve">
LDP stEx429.x2
AND=.D stM.udiErrNo #0
MOV.D #4290 stM.udiErrNo
MOV.D stDevOut.astAXI[0] stM.udiSubErr</v>
      </c>
      <c r="AY37" t="str">
        <f t="shared" ca="1" si="13"/>
        <v xml:space="preserve">
LDP stEx429.x2
AND=.D stM.udiErrNo #0
BOX_ST
;//このスクリプトは C:\tk\prj\hg-0025-0016\git\kv-x520\doc\[kv_script_exe_errno.xlsm]info_script によって生成されました。</v>
      </c>
      <c r="AZ37" t="str">
        <f t="shared" ca="1" si="14"/>
        <v xml:space="preserve">
LDP stEx429.x2
AND=.D stM.udiErrNo #0
BOX_ST
;//このスクリプトは C:\tk\prj\hg-0025-0016\git\kv-x520\doc\[kv_script_exe_errno.xlsm]info_script によって生成されました。
;//エラーNo.を入れる
;stM.udiErrNo	:= 4290;</v>
      </c>
      <c r="BA37" t="str">
        <f t="shared" ca="1" si="15"/>
        <v xml:space="preserve">
LDP stEx429.x2
AND=.D stM.udiErrNo #0
BOX_ST
;//このスクリプトは C:\tk\prj\hg-0025-0016\git\kv-x520\doc\[kv_script_exe_errno.xlsm]info_script によって生成されました。
;//エラーNo.を入れる
;stM.udiErrNo	:= 4290;
;//カウントする
;stM.uiEDCnt	:= stM.uiEDCnt + 1;</v>
      </c>
      <c r="BB37" t="str">
        <f t="shared" ca="1" si="33"/>
        <v xml:space="preserve">
LDP stEx429.x2
AND=.D stM.udiErrNo #0
BOX_ST
;//このスクリプトは C:\tk\prj\hg-0025-0016\git\kv-x520\doc\[kv_script_exe_errno.xlsm]info_script によって生成されました。
;//エラーNo.を入れる
;stM.udiErrNo	:= 4290;
;//カウントする
;stM.uiEDCnt	:= stM.uiEDCnt + 1;
;//エラーコードを入れる
;stM.udiSubErr	:= stDevOut.astAXI[0].udiErrNo;</v>
      </c>
      <c r="BC37" t="str">
        <f t="shared" ca="1" si="16"/>
        <v xml:space="preserve">
LDP stEx429.x2
AND=.D stM.udiErrNo #0
BOX_ST
;//このスクリプトは C:\tk\prj\hg-0025-0016\git\kv-x520\doc\[kv_script_exe_errno.xlsm]info_script によって生成されました。
;//エラーNo.を入れる
;stM.udiErrNo	:= 4290;
;//カウントする
;stM.uiEDCnt	:= stM.uiEDCnt + 1;
;//エラーコードを入れる
;stM.udiSubErr	:= stDevOut.astAXI[0].udiErrNo;
;//-----ここまで生成script-----</v>
      </c>
      <c r="BE37">
        <f t="shared" si="17"/>
        <v>9</v>
      </c>
      <c r="BF37">
        <f t="shared" si="18"/>
        <v>2</v>
      </c>
      <c r="BG37" t="str">
        <f t="shared" si="19"/>
        <v>stEx429.x2	 := FALSE;</v>
      </c>
      <c r="BH37" t="str">
        <f t="shared" si="34"/>
        <v xml:space="preserve">stEx429.x2	 := FALSE;
</v>
      </c>
    </row>
    <row r="38" spans="1:60" x14ac:dyDescent="0.55000000000000004">
      <c r="A38" t="s">
        <v>7</v>
      </c>
      <c r="B38" t="str">
        <f ca="1">"RUNG_COMMENT"&amp;CHAR(10)&amp;";"&amp;"このスクリプトは "&amp;$B$8&amp;" によって生成されました。"</f>
        <v>RUNG_COMMENT
;このスクリプトは C:\tk\prj\hg-0025-0016\git\kv-x520\doc\[kv_script_exe_errno.xlsm]info_script によって生成されました。</v>
      </c>
      <c r="D38">
        <v>30</v>
      </c>
      <c r="E38" t="str">
        <f t="shared" si="2"/>
        <v>stEx430</v>
      </c>
      <c r="F38" t="str">
        <f t="shared" si="20"/>
        <v>stEx430</v>
      </c>
      <c r="G38" t="str">
        <f t="shared" si="3"/>
        <v>&gt;&gt;●AXI05 平板押え</v>
      </c>
      <c r="Q38" t="s">
        <v>112</v>
      </c>
      <c r="R38" t="s">
        <v>51</v>
      </c>
      <c r="U38" t="b">
        <v>0</v>
      </c>
      <c r="V38" t="b">
        <v>0</v>
      </c>
      <c r="W38" t="b">
        <v>0</v>
      </c>
      <c r="X38" t="s">
        <v>113</v>
      </c>
      <c r="Z38">
        <f t="shared" si="21"/>
        <v>5</v>
      </c>
      <c r="AA38" t="str">
        <f t="shared" si="22"/>
        <v/>
      </c>
      <c r="AB38" t="str">
        <f t="shared" si="22"/>
        <v/>
      </c>
      <c r="AC38" t="str">
        <f t="shared" si="22"/>
        <v/>
      </c>
      <c r="AD38" t="str">
        <f t="shared" si="23"/>
        <v>stDevOut.astAXI[0]</v>
      </c>
      <c r="AE38" t="str">
        <f t="shared" si="23"/>
        <v/>
      </c>
      <c r="AF38" t="str">
        <f t="shared" si="24"/>
        <v/>
      </c>
      <c r="AG38" t="str">
        <f t="shared" si="25"/>
        <v/>
      </c>
      <c r="AH38" t="str">
        <f t="shared" si="26"/>
        <v/>
      </c>
      <c r="AI38" t="str">
        <f t="shared" si="27"/>
        <v/>
      </c>
      <c r="AJ38" t="str">
        <f t="shared" si="28"/>
        <v/>
      </c>
      <c r="AK38" t="str">
        <f t="shared" si="29"/>
        <v>stDevOut.astAXI[0]</v>
      </c>
      <c r="AM38" t="str">
        <f t="shared" si="30"/>
        <v>●</v>
      </c>
      <c r="AN38">
        <f t="shared" si="5"/>
        <v>4300</v>
      </c>
      <c r="AO38" t="str">
        <f t="shared" si="6"/>
        <v>LDP stEx430.x2</v>
      </c>
      <c r="AP38" t="str">
        <f t="shared" si="7"/>
        <v>AND=.D stM.udiErrNo #0</v>
      </c>
      <c r="AQ38" t="str">
        <f t="shared" si="8"/>
        <v>MOV.D #4300 stM.udiErrNo</v>
      </c>
      <c r="AR38" t="str">
        <f t="shared" si="9"/>
        <v>MOV.D stDevOut.astAXI[0] stM.udiSubErr</v>
      </c>
      <c r="AS38" t="str">
        <f t="shared" si="10"/>
        <v xml:space="preserve">
LDP stEx430.x2</v>
      </c>
      <c r="AT38" t="str">
        <f t="shared" si="11"/>
        <v xml:space="preserve">
LDP stEx430.x2
AND=.D stM.udiErrNo #0</v>
      </c>
      <c r="AU38" t="str">
        <f t="shared" si="12"/>
        <v xml:space="preserve">
LDP stEx430.x2
AND=.D stM.udiErrNo #0
MOV.D #4300 stM.udiErrNo</v>
      </c>
      <c r="AV38" t="str">
        <f t="shared" si="31"/>
        <v xml:space="preserve">
LDP stEx430.x2
AND=.D stM.udiErrNo #0
MOV.D #4300 stM.udiErrNo
MOV.D stDevOut.astAXI[0] stM.udiSubErr</v>
      </c>
      <c r="AW38" t="str">
        <f t="shared" si="32"/>
        <v xml:space="preserve">
LDP stEx430.x2
AND=.D stM.udiErrNo #0
MOV.D #4300 stM.udiErrNo
MOV.D stDevOut.astAXI[0] stM.udiSubErr</v>
      </c>
      <c r="AY38" t="str">
        <f t="shared" ca="1" si="13"/>
        <v xml:space="preserve">
LDP stEx430.x2
AND=.D stM.udiErrNo #0
BOX_ST
;//このスクリプトは C:\tk\prj\hg-0025-0016\git\kv-x520\doc\[kv_script_exe_errno.xlsm]info_script によって生成されました。</v>
      </c>
      <c r="AZ38" t="str">
        <f t="shared" ca="1" si="14"/>
        <v xml:space="preserve">
LDP stEx430.x2
AND=.D stM.udiErrNo #0
BOX_ST
;//このスクリプトは C:\tk\prj\hg-0025-0016\git\kv-x520\doc\[kv_script_exe_errno.xlsm]info_script によって生成されました。
;//エラーNo.を入れる
;stM.udiErrNo	:= 4300;</v>
      </c>
      <c r="BA38" t="str">
        <f t="shared" ca="1" si="15"/>
        <v xml:space="preserve">
LDP stEx430.x2
AND=.D stM.udiErrNo #0
BOX_ST
;//このスクリプトは C:\tk\prj\hg-0025-0016\git\kv-x520\doc\[kv_script_exe_errno.xlsm]info_script によって生成されました。
;//エラーNo.を入れる
;stM.udiErrNo	:= 4300;
;//カウントする
;stM.uiEDCnt	:= stM.uiEDCnt + 1;</v>
      </c>
      <c r="BB38" t="str">
        <f t="shared" ca="1" si="33"/>
        <v xml:space="preserve">
LDP stEx430.x2
AND=.D stM.udiErrNo #0
BOX_ST
;//このスクリプトは C:\tk\prj\hg-0025-0016\git\kv-x520\doc\[kv_script_exe_errno.xlsm]info_script によって生成されました。
;//エラーNo.を入れる
;stM.udiErrNo	:= 4300;
;//カウントする
;stM.uiEDCnt	:= stM.uiEDCnt + 1;
;//エラーコードを入れる
;stM.udiSubErr	:= stDevOut.astAXI[0].udiErrNo;</v>
      </c>
      <c r="BC38" t="str">
        <f t="shared" ca="1" si="16"/>
        <v xml:space="preserve">
LDP stEx430.x2
AND=.D stM.udiErrNo #0
BOX_ST
;//このスクリプトは C:\tk\prj\hg-0025-0016\git\kv-x520\doc\[kv_script_exe_errno.xlsm]info_script によって生成されました。
;//エラーNo.を入れる
;stM.udiErrNo	:= 4300;
;//カウントする
;stM.uiEDCnt	:= stM.uiEDCnt + 1;
;//エラーコードを入れる
;stM.udiSubErr	:= stDevOut.astAXI[0].udiErrNo;
;//-----ここまで生成script-----</v>
      </c>
      <c r="BE38">
        <f t="shared" si="17"/>
        <v>10</v>
      </c>
      <c r="BF38">
        <f t="shared" si="18"/>
        <v>0</v>
      </c>
      <c r="BG38" t="str">
        <f t="shared" si="19"/>
        <v>stEx430.x0	 := FALSE;</v>
      </c>
      <c r="BH38" t="str">
        <f t="shared" si="34"/>
        <v xml:space="preserve">stEx430.x0	 := FALSE;
</v>
      </c>
    </row>
    <row r="39" spans="1:60" x14ac:dyDescent="0.55000000000000004">
      <c r="A39" t="s">
        <v>8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>stEx431</v>
      </c>
      <c r="F39" t="str">
        <f t="shared" si="20"/>
        <v>stEx431</v>
      </c>
      <c r="G39" t="str">
        <f t="shared" si="3"/>
        <v>&gt;&gt;△●CYL07平板押え 下降</v>
      </c>
      <c r="Q39" t="s">
        <v>114</v>
      </c>
      <c r="R39" t="s">
        <v>51</v>
      </c>
      <c r="U39" t="b">
        <v>0</v>
      </c>
      <c r="V39" t="b">
        <v>0</v>
      </c>
      <c r="W39" t="b">
        <v>0</v>
      </c>
      <c r="X39" t="s">
        <v>115</v>
      </c>
      <c r="Z39" t="str">
        <f t="shared" si="21"/>
        <v/>
      </c>
      <c r="AA39">
        <f t="shared" si="22"/>
        <v>7</v>
      </c>
      <c r="AB39" t="str">
        <f t="shared" si="22"/>
        <v/>
      </c>
      <c r="AC39" t="str">
        <f t="shared" si="22"/>
        <v/>
      </c>
      <c r="AD39" t="str">
        <f t="shared" si="23"/>
        <v/>
      </c>
      <c r="AE39" t="str">
        <f t="shared" si="23"/>
        <v/>
      </c>
      <c r="AF39" t="str">
        <f t="shared" si="24"/>
        <v/>
      </c>
      <c r="AG39" t="str">
        <f t="shared" si="25"/>
        <v/>
      </c>
      <c r="AH39" t="str">
        <f t="shared" si="26"/>
        <v>stDevOut.astCYL[6]</v>
      </c>
      <c r="AI39" t="str">
        <f t="shared" si="27"/>
        <v/>
      </c>
      <c r="AJ39" t="str">
        <f t="shared" si="28"/>
        <v/>
      </c>
      <c r="AK39" t="str">
        <f t="shared" si="29"/>
        <v>stDevOut.astCYL[6]</v>
      </c>
      <c r="AM39" t="str">
        <f t="shared" si="30"/>
        <v>●</v>
      </c>
      <c r="AN39">
        <f t="shared" si="5"/>
        <v>4310</v>
      </c>
      <c r="AO39" t="str">
        <f t="shared" si="6"/>
        <v>LDP stEx431.x2</v>
      </c>
      <c r="AP39" t="str">
        <f t="shared" si="7"/>
        <v>AND=.D stM.udiErrNo #0</v>
      </c>
      <c r="AQ39" t="str">
        <f t="shared" si="8"/>
        <v>MOV.D #4310 stM.udiErrNo</v>
      </c>
      <c r="AR39" t="str">
        <f t="shared" si="9"/>
        <v>MOV.D stDevOut.astCYL[6] stM.udiSubErr</v>
      </c>
      <c r="AS39" t="str">
        <f t="shared" si="10"/>
        <v xml:space="preserve">
LDP stEx431.x2</v>
      </c>
      <c r="AT39" t="str">
        <f t="shared" si="11"/>
        <v xml:space="preserve">
LDP stEx431.x2
AND=.D stM.udiErrNo #0</v>
      </c>
      <c r="AU39" t="str">
        <f t="shared" si="12"/>
        <v xml:space="preserve">
LDP stEx431.x2
AND=.D stM.udiErrNo #0
MOV.D #4310 stM.udiErrNo</v>
      </c>
      <c r="AV39" t="str">
        <f t="shared" si="31"/>
        <v xml:space="preserve">
LDP stEx431.x2
AND=.D stM.udiErrNo #0
MOV.D #4310 stM.udiErrNo
MOV.D stDevOut.astCYL[6] stM.udiSubErr</v>
      </c>
      <c r="AW39" t="str">
        <f t="shared" si="32"/>
        <v xml:space="preserve">
LDP stEx431.x2
AND=.D stM.udiErrNo #0
MOV.D #4310 stM.udiErrNo
MOV.D stDevOut.astCYL[6] stM.udiSubErr</v>
      </c>
      <c r="AY39" t="str">
        <f t="shared" ca="1" si="13"/>
        <v xml:space="preserve">
LDP stEx431.x2
AND=.D stM.udiErrNo #0
BOX_ST
;//このスクリプトは C:\tk\prj\hg-0025-0016\git\kv-x520\doc\[kv_script_exe_errno.xlsm]info_script によって生成されました。</v>
      </c>
      <c r="AZ39" t="str">
        <f t="shared" ca="1" si="14"/>
        <v xml:space="preserve">
LDP stEx431.x2
AND=.D stM.udiErrNo #0
BOX_ST
;//このスクリプトは C:\tk\prj\hg-0025-0016\git\kv-x520\doc\[kv_script_exe_errno.xlsm]info_script によって生成されました。
;//エラーNo.を入れる
;stM.udiErrNo	:= 4310;</v>
      </c>
      <c r="BA39" t="str">
        <f t="shared" ca="1" si="15"/>
        <v xml:space="preserve">
LDP stEx431.x2
AND=.D stM.udiErrNo #0
BOX_ST
;//このスクリプトは C:\tk\prj\hg-0025-0016\git\kv-x520\doc\[kv_script_exe_errno.xlsm]info_script によって生成されました。
;//エラーNo.を入れる
;stM.udiErrNo	:= 4310;
;//カウントする
;stM.uiEDCnt	:= stM.uiEDCnt + 1;</v>
      </c>
      <c r="BB39" t="str">
        <f t="shared" ca="1" si="33"/>
        <v xml:space="preserve">
LDP stEx431.x2
AND=.D stM.udiErrNo #0
BOX_ST
;//このスクリプトは C:\tk\prj\hg-0025-0016\git\kv-x520\doc\[kv_script_exe_errno.xlsm]info_script によって生成されました。
;//エラーNo.を入れる
;stM.udiErrNo	:= 4310;
;//カウントする
;stM.uiEDCnt	:= stM.uiEDCnt + 1;
;//エラーコードを入れる
;stM.udiSubErr	:= stDevOut.astCYL[6].udiErrNo;</v>
      </c>
      <c r="BC39" t="str">
        <f t="shared" ca="1" si="16"/>
        <v xml:space="preserve">
LDP stEx431.x2
AND=.D stM.udiErrNo #0
BOX_ST
;//このスクリプトは C:\tk\prj\hg-0025-0016\git\kv-x520\doc\[kv_script_exe_errno.xlsm]info_script によって生成されました。
;//エラーNo.を入れる
;stM.udiErrNo	:= 4310;
;//カウントする
;stM.uiEDCnt	:= stM.uiEDCnt + 1;
;//エラーコードを入れる
;stM.udiSubErr	:= stDevOut.astCYL[6].udiErrNo;
;//-----ここまで生成script-----</v>
      </c>
      <c r="BE39">
        <f t="shared" si="17"/>
        <v>10</v>
      </c>
      <c r="BF39">
        <f t="shared" si="18"/>
        <v>1</v>
      </c>
      <c r="BG39" t="str">
        <f t="shared" si="19"/>
        <v>stEx431.x1	 := FALSE;</v>
      </c>
      <c r="BH39" t="str">
        <f t="shared" si="34"/>
        <v xml:space="preserve">stEx431.x1	 := FALSE;
</v>
      </c>
    </row>
    <row r="40" spans="1:60" x14ac:dyDescent="0.55000000000000004">
      <c r="A40" t="s">
        <v>19</v>
      </c>
      <c r="B40" t="str">
        <f ca="1">"RUNG_COMMENT"&amp;CHAR(10)&amp;";"&amp;B28&amp;CHAR(10)&amp;BC109&amp;CHAR(10)&amp;"RUNG_COMMENT"&amp;CHAR(10)&amp;";"&amp;B29</f>
        <v>RUNG_COMMENT
;このスクリプトは C:\tk\prj\hg-0025-0016\git\kv-x520\doc\[kv_script_exe_errno.xlsm]info_script によって生成されました。
LDP stEx400.x2
AND=.D stM.udiErrNo #0
BOX_ST
;//このスクリプトは C:\tk\prj\hg-0025-0016\git\kv-x520\doc\[kv_script_exe_errno.xlsm]info_script によって生成されました。
;//エラーNo.を入れる
;stM.udiErrNo	:= 4000;
;//カウントする
;stM.uiEDCnt	:= stM.uiEDCnt + 1;
;//-----ここまで生成script-----
LDP stEx402.x2
AND=.D stM.udiErrNo #0
BOX_ST
;//このスクリプトは C:\tk\prj\hg-0025-0016\git\kv-x520\doc\[kv_script_exe_errno.xlsm]info_script によって生成されました。
;//エラーNo.を入れる
;stM.udiErrNo	:= 4020;
;//カウントする
;stM.uiEDCnt	:= stM.uiEDCnt + 1;
;//エラーコードを入れる
;stM.udiSubErr	:= stDevOut.astAXO[2].udiErrNo;
;//-----ここまで生成script-----
LDP stEx403.x2
AND=.D stM.udiErrNo #0
BOX_ST
;//このスクリプトは C:\tk\prj\hg-0025-0016\git\kv-x520\doc\[kv_script_exe_errno.xlsm]info_script によって生成されました。
;//エラーNo.を入れる
;stM.udiErrNo	:= 4030;
;//カウントする
;stM.uiEDCnt	:= stM.uiEDCnt + 1;
;//-----ここまで生成script-----
LDP stEx405.x2
AND=.D stM.udiErrNo #0
BOX_ST
;//このスクリプトは C:\tk\prj\hg-0025-0016\git\kv-x520\doc\[kv_script_exe_errno.xlsm]info_script によって生成されました。
;//エラーNo.を入れる
;stM.udiErrNo	:= 4050;
;//カウントする
;stM.uiEDCnt	:= stM.uiEDCnt + 1;
;//エラーコードを入れる
;stM.udiSubErr	:= stDevOut.astAXO[2].udiErrNo;
;//-----ここまで生成script-----
LDP stEx406.x2
AND=.D stM.udiErrNo #0
BOX_ST
;//このスクリプトは C:\tk\prj\hg-0025-0016\git\kv-x520\doc\[kv_script_exe_errno.xlsm]info_script によって生成されました。
;//エラーNo.を入れる
;stM.udiErrNo	:= 4060;
;//カウントする
;stM.uiEDCnt	:= stM.uiEDCnt + 1;
;//-----ここまで生成script-----
LDP stEx407.x2
AND=.D stM.udiErrNo #0
BOX_ST
;//このスクリプトは C:\tk\prj\hg-0025-0016\git\kv-x520\doc\[kv_script_exe_errno.xlsm]info_script によって生成されました。
;//エラーNo.を入れる
;stM.udiErrNo	:= 4070;
;//カウントする
;stM.uiEDCnt	:= stM.uiEDCnt + 1;
;//エラーコードを入れる
;stM.udiSubErr	:= stDevOut.astCYL[3].udiErrNo;
;//-----ここまで生成script-----
LDP stEx409.x2
AND=.D stM.udiErrNo #0
BOX_ST
;//このスクリプトは C:\tk\prj\hg-0025-0016\git\kv-x520\doc\[kv_script_exe_errno.xlsm]info_script によって生成されました。
;//エラーNo.を入れる
;stM.udiErrNo	:= 4090;
;//カウントする
;stM.uiEDCnt	:= stM.uiEDCnt + 1;
;//エラーコードを入れる
;stM.udiSubErr	:= stDevOut.astCYL[3].udiErrNo;
;//-----ここまで生成script-----
LDP stEx410.x2
AND=.D stM.udiErrNo #0
BOX_ST
;//このスクリプトは C:\tk\prj\hg-0025-0016\git\kv-x520\doc\[kv_script_exe_errno.xlsm]info_script によって生成されました。
;//エラーNo.を入れる
;stM.udiErrNo	:= 4100;
;//カウントする
;stM.uiEDCnt	:= stM.uiEDCnt + 1;
;//エラーコードを入れる
;stM.udiSubErr	:= stDevOut.astCYL[3].udiErrNo;
;//-----ここまで生成script-----
LDP stEx413.x2
AND=.D stM.udiErrNo #0
BOX_ST
;//このスクリプトは C:\tk\prj\hg-0025-0016\git\kv-x520\doc\[kv_script_exe_errno.xlsm]info_script によって生成されました。
;//エラーNo.を入れる
;stM.udiErrNo	:= 4130;
;//カウントする
;stM.uiEDCnt	:= stM.uiEDCnt + 1;
;//-----ここまで生成script-----
LDP stEx416.x2
AND=.D stM.udiErrNo #0
BOX_ST
;//このスクリプトは C:\tk\prj\hg-0025-0016\git\kv-x520\doc\[kv_script_exe_errno.xlsm]info_script によって生成されました。
;//エラーNo.を入れる
;stM.udiErrNo	:= 4160;
;//カウントする
;stM.uiEDCnt	:= stM.uiEDCnt + 1;
;//エラーコードを入れる
;stM.udiSubErr	:= stDevOut.astAXK[0].udiErrNo;
;//-----ここまで生成script-----
LDP stEx420.x2
AND=.D stM.udiErrNo #0
BOX_ST
;//このスクリプトは C:\tk\prj\hg-0025-0016\git\kv-x520\doc\[kv_script_exe_errno.xlsm]info_script によって生成されました。
;//エラーNo.を入れる
;stM.udiErrNo	:= 4200;
;//カウントする
;stM.uiEDCnt	:= stM.uiEDCnt + 1;
;//エラーコードを入れる
;stM.udiSubErr	:= stDevOut.astAXK[1].udiErrNo;
;//-----ここまで生成script-----
LDP stEx421.x2
AND=.D stM.udiErrNo #0
BOX_ST
;//このスクリプトは C:\tk\prj\hg-0025-0016\git\kv-x520\doc\[kv_script_exe_errno.xlsm]info_script によって生成されました。
;//エラーNo.を入れる
;stM.udiErrNo	:= 4210;
;//カウントする
;stM.uiEDCnt	:= stM.uiEDCnt + 1;
;//エラーコードを入れる
;stM.udiSubErr	:= stDevOut.astAXK[1].udiErrNo;
;//-----ここまで生成script-----
LDP stEx424.x2
AND=.D stM.udiErrNo #0
BOX_ST
;//このスクリプトは C:\tk\prj\hg-0025-0016\git\kv-x520\doc\[kv_script_exe_errno.xlsm]info_script によって生成されました。
;//エラーNo.を入れる
;stM.udiErrNo	:= 4240;
;//カウントする
;stM.uiEDCnt	:= stM.uiEDCnt + 1;
;//-----ここまで生成script-----
LDP stEx429.x2
AND=.D stM.udiErrNo #0
BOX_ST
;//このスクリプトは C:\tk\prj\hg-0025-0016\git\kv-x520\doc\[kv_script_exe_errno.xlsm]info_script によって生成されました。
;//エラーNo.を入れる
;stM.udiErrNo	:= 4290;
;//カウントする
;stM.uiEDCnt	:= stM.uiEDCnt + 1;
;//エラーコードを入れる
;stM.udiSubErr	:= stDevOut.astAXI[0].udiErrNo;
;//-----ここまで生成script-----
LDP stEx430.x2
AND=.D stM.udiErrNo #0
BOX_ST
;//このスクリプトは C:\tk\prj\hg-0025-0016\git\kv-x520\doc\[kv_script_exe_errno.xlsm]info_script によって生成されました。
;//エラーNo.を入れる
;stM.udiErrNo	:= 4300;
;//カウントする
;stM.uiEDCnt	:= stM.uiEDCnt + 1;
;//エラーコードを入れる
;stM.udiSubErr	:= stDevOut.astAXI[0].udiErrNo;
;//-----ここまで生成script-----
LDP stEx431.x2
AND=.D stM.udiErrNo #0
BOX_ST
;//このスクリプトは C:\tk\prj\hg-0025-0016\git\kv-x520\doc\[kv_script_exe_errno.xlsm]info_script によって生成されました。
;//エラーNo.を入れる
;stM.udiErrNo	:= 4310;
;//カウントする
;stM.uiEDCnt	:= stM.uiEDCnt + 1;
;//エラーコードを入れる
;stM.udiSubErr	:= stDevOut.astCYL[6].udiErrNo;
;//-----ここまで生成script-----
LDP stEx432.x2
AND=.D stM.udiErrNo #0
BOX_ST
;//このスクリプトは C:\tk\prj\hg-0025-0016\git\kv-x520\doc\[kv_script_exe_errno.xlsm]info_script によって生成されました。
;//エラーNo.を入れる
;stM.udiErrNo	:= 4320;
;//カウントする
;stM.uiEDCnt	:= stM.uiEDCnt + 1;
;//エラーコードを入れる
;stM.udiSubErr	:= stDevOut.astCYL[18].udiErrNo;
;//-----ここまで生成script-----
LDP stEx434.x2
AND=.D stM.udiErrNo #0
BOX_ST
;//このスクリプトは C:\tk\prj\hg-0025-0016\git\kv-x520\doc\[kv_script_exe_errno.xlsm]info_script によって生成されました。
;//エラーNo.を入れる
;stM.udiErrNo	:= 4340;
;//カウントする
;stM.uiEDCnt	:= stM.uiEDCnt + 1;
;//-----ここまで生成script-----
LDP stEx435.x2
AND=.D stM.udiErrNo #0
BOX_ST
;//このスクリプトは C:\tk\prj\hg-0025-0016\git\kv-x520\doc\[kv_script_exe_errno.xlsm]info_script によって生成されました。
;//エラーNo.を入れる
;stM.udiErrNo	:= 4350;
;//カウントする
;stM.uiEDCnt	:= stM.uiEDCnt + 1;
;//エラーコードを入れる
;stM.udiSubErr	:= stDevOut.astAXI[0].udiErrNo;
;//-----ここまで生成script-----
LDP stEx436.x2
AND=.D stM.udiErrNo #0
BOX_ST
;//このスクリプトは C:\tk\prj\hg-0025-0016\git\kv-x520\doc\[kv_script_exe_errno.xlsm]info_script によって生成されました。
;//エラーNo.を入れる
;stM.udiErrNo	:= 4360;
;//カウントする
;stM.uiEDCnt	:= stM.uiEDCnt + 1;
;//エラーコードを入れる
;stM.udiSubErr	:= stDevOut.astAXI[1].udiErrNo;
;//-----ここまで生成script-----
LDP stEx440.x2
AND=.D stM.udiErrNo #0
BOX_ST
;//このスクリプトは C:\tk\prj\hg-0025-0016\git\kv-x520\doc\[kv_script_exe_errno.xlsm]info_script によって生成されました。
;//エラーNo.を入れる
;stM.udiErrNo	:= 4400;
;//カウントする
;stM.uiEDCnt	:= stM.uiEDCnt + 1;
;//-----ここまで生成script-----
LDP stEx443.x2
AND=.D stM.udiErrNo #0
BOX_ST
;//このスクリプトは C:\tk\prj\hg-0025-0016\git\kv-x520\doc\[kv_script_exe_errno.xlsm]info_script によって生成されました。
;//エラーNo.を入れる
;stM.udiErrNo	:= 4430;
;//カウントする
;stM.uiEDCnt	:= stM.uiEDCnt + 1;
;//エラーコードを入れる
;stM.udiSubErr	:= stDevOut.astCYL[6].udiErrNo;
;//-----ここまで生成script-----
LDP stEx444.x2
AND=.D stM.udiErrNo #0
BOX_ST
;//このスクリプトは C:\tk\prj\hg-0025-0016\git\kv-x520\doc\[kv_script_exe_errno.xlsm]info_script によって生成されました。
;//エラーNo.を入れる
;stM.udiErrNo	:= 4440;
;//カウントする
;stM.uiEDCnt	:= stM.uiEDCnt + 1;
;//-----ここまで生成script-----
LDP stEx448.x2
AND=.D stM.udiErrNo #0
BOX_ST
;//このスクリプトは C:\tk\prj\hg-0025-0016\git\kv-x520\doc\[kv_script_exe_errno.xlsm]info_script によって生成されました。
;//エラーNo.を入れる
;stM.udiErrNo	:= 4480;
;//カウントする
;stM.uiEDCnt	:= stM.uiEDCnt + 1;
;//エラーコードを入れる
;stM.udiSubErr	:= stDevOut.astAXO[3].udiErrNo;
;//-----ここまで生成script-----
LDP stEx449.x2
AND=.D stM.udiErrNo #0
BOX_ST
;//このスクリプトは C:\tk\prj\hg-0025-0016\git\kv-x520\doc\[kv_script_exe_errno.xlsm]info_script によって生成されました。
;//エラーNo.を入れる
;stM.udiErrNo	:= 4490;
;//カウントする
;stM.uiEDCnt	:= stM.uiEDCnt + 1;
;//エラーコードを入れる
;stM.udiSubErr	:= stDevOut.astCYL[1].udiErrNo;
;//-----ここまで生成script-----
LDP stEx450.x2
AND=.D stM.udiErrNo #0
BOX_ST
;//このスクリプトは C:\tk\prj\hg-0025-0016\git\kv-x520\doc\[kv_script_exe_errno.xlsm]info_script によって生成されました。
;//エラーNo.を入れる
;stM.udiErrNo	:= 4500;
;//カウントする
;stM.uiEDCnt	:= stM.uiEDCnt + 1;
;//エラーコードを入れる
;stM.udiSubErr	:= stDevOut.astCYL[2].udiErrNo;
;//-----ここまで生成script-----
LDP stEx451.x2
AND=.D stM.udiErrNo #0
BOX_ST
;//このスクリプトは C:\tk\prj\hg-0025-0016\git\kv-x520\doc\[kv_script_exe_errno.xlsm]info_script によって生成されました。
;//エラーNo.を入れる
;stM.udiErrNo	:= 4510;
;//カウントする
;stM.uiEDCnt	:= stM.uiEDCnt + 1;
;//-----ここまで生成script-----
LDP stEx453.x2
AND=.D stM.udiErrNo #0
BOX_ST
;//このスクリプトは C:\tk\prj\hg-0025-0016\git\kv-x520\doc\[kv_script_exe_errno.xlsm]info_script によって生成されました。
;//エラーNo.を入れる
;stM.udiErrNo	:= 4530;
;//カウントする
;stM.uiEDCnt	:= stM.uiEDCnt + 1;
;//エラーコードを入れる
;stM.udiSubErr	:= stDevOut.astCYL[1].udiErrNo;
;//-----ここまで生成script-----
LDP stEx454.x2
AND=.D stM.udiErrNo #0
BOX_ST
;//このスクリプトは C:\tk\prj\hg-0025-0016\git\kv-x520\doc\[kv_script_exe_errno.xlsm]info_script によって生成されました。
;//エラーNo.を入れる
;stM.udiErrNo	:= 4540;
;//カウントする
;stM.uiEDCnt	:= stM.uiEDCnt + 1;
;//エラーコードを入れる
;stM.udiSubErr	:= stDevOut.astCYL[2].udiErrNo;
;//-----ここまで生成script-----
LDP stEx455.x2
AND=.D stM.udiErrNo #0
BOX_ST
;//このスクリプトは C:\tk\prj\hg-0025-0016\git\kv-x520\doc\[kv_script_exe_errno.xlsm]info_script によって生成されました。
;//エラーNo.を入れる
;stM.udiErrNo	:= 4550;
;//カウントする
;stM.uiEDCnt	:= stM.uiEDCnt + 1;
;//-----ここまで生成script-----
LDP stEx456.x2
AND=.D stM.udiErrNo #0
BOX_ST
;//このスクリプトは C:\tk\prj\hg-0025-0016\git\kv-x520\doc\[kv_script_exe_errno.xlsm]info_script によって生成されました。
;//エラーNo.を入れる
;stM.udiErrNo	:= 4560;
;//カウントする
;stM.uiEDCnt	:= stM.uiEDCnt + 1;
;//エラーコードを入れる
;stM.udiSubErr	:= stDevOut.astAXO[3].udiErrNo;
;//-----ここまで生成script-----
LDP stEx460.x2
AND=.D stM.udiErrNo #0
BOX_ST
;//このスクリプトは C:\tk\prj\hg-0025-0016\git\kv-x520\doc\[kv_script_exe_errno.xlsm]info_script によって生成されました。
;//エラーNo.を入れる
;stM.udiErrNo	:= 4600;
;//カウントする
;stM.uiEDCnt	:= stM.uiEDCnt + 1;
;//エラーコードを入れる
;stM.udiSubErr	:= stDevOut.astAXK[1].udiErrNo;
;//-----ここまで生成script-----
LDP stEx461.x2
AND=.D stM.udiErrNo #0
BOX_ST
;//このスクリプトは C:\tk\prj\hg-0025-0016\git\kv-x520\doc\[kv_script_exe_errno.xlsm]info_script によって生成されました。
;//エラーNo.を入れる
;stM.udiErrNo	:= 4610;
;//カウントする
;stM.uiEDCnt	:= stM.uiEDCnt + 1;
;//エラーコードを入れる
;stM.udiSubErr	:= stDevOut.astAXK[1].udiErrNo;
;//-----ここまで生成script-----
LDP stEx464.x2
AND=.D stM.udiErrNo #0
BOX_ST
;//このスクリプトは C:\tk\prj\hg-0025-0016\git\kv-x520\doc\[kv_script_exe_errno.xlsm]info_script によって生成されました。
;//エラーNo.を入れる
;stM.udiErrNo	:= 4640;
;//カウントする
;stM.uiEDCnt	:= stM.uiEDCnt + 1;
;//エラーコードを入れる
;stM.udiSubErr	:= stDevOut.astAXK[1].udiErrNo;
;//-----ここまで生成script-----
LDP stEx465.x2
AND=.D stM.udiErrNo #0
BOX_ST
;//このスクリプトは C:\tk\prj\hg-0025-0016\git\kv-x520\doc\[kv_script_exe_errno.xlsm]info_script によって生成されました。
;//エラーNo.を入れる
;stM.udiErrNo	:= 4650;
;//カウントする
;stM.uiEDCnt	:= stM.uiEDCnt + 1;
;//エラーコードを入れる
;stM.udiSubErr	:= stDevOut.astCYL[18].udiErrNo;
;//-----ここまで生成script-----
LDP stEx469.x2
AND=.D stM.udiErrNo #0
BOX_ST
;//このスクリプトは C:\tk\prj\hg-0025-0016\git\kv-x520\doc\[kv_script_exe_errno.xlsm]info_script によって生成されました。
;//エラーNo.を入れる
;stM.udiErrNo	:= 4690;
;//カウントする
;stM.uiEDCnt	:= stM.uiEDCnt + 1;
;//エラーコードを入れる
;stM.udiSubErr	:= stDevOut.astAXO[3].udiErrNo;
;//-----ここまで生成script-----
LDP stEx470.x2
AND=.D stM.udiErrNo #0
BOX_ST
;//このスクリプトは C:\tk\prj\hg-0025-0016\git\kv-x520\doc\[kv_script_exe_errno.xlsm]info_script によって生成されました。
;//エラーNo.を入れる
;stM.udiErrNo	:= 4700;
;//カウントする
;stM.uiEDCnt	:= stM.uiEDCnt + 1;
;//エラーコードを入れる
;stM.udiSubErr	:= stDevOut.astAXI[0].udiErrNo;
;//-----ここまで生成script-----
LDP stEx471.x2
AND=.D stM.udiErrNo #0
BOX_ST
;//このスクリプトは C:\tk\prj\hg-0025-0016\git\kv-x520\doc\[kv_script_exe_errno.xlsm]info_script によって生成されました。
;//エラーNo.を入れる
;stM.udiErrNo	:= 4710;
;//カウントする
;stM.uiEDCnt	:= stM.uiEDCnt + 1;
;//エラーコードを入れる
;stM.udiSubErr	:= stDevOut.astAXI[1].udiErrNo;
;//-----ここまで生成script-----
LDP stEx472.x2
AND=.D stM.udiErrNo #0
BOX_ST
;//このスクリプトは C:\tk\prj\hg-0025-0016\git\kv-x520\doc\[kv_script_exe_errno.xlsm]info_script によって生成されました。
;//エラーNo.を入れる
;stM.udiErrNo	:= 4720;
;//カウントする
;stM.uiEDCnt	:= stM.uiEDCnt + 1;
;//-----ここまで生成script-----
LDP stEx473.x2
AND=.D stM.udiErrNo #0
BOX_ST
;//このスクリプトは C:\tk\prj\hg-0025-0016\git\kv-x520\doc\[kv_script_exe_errno.xlsm]info_script によって生成されました。
;//エラーNo.を入れる
;stM.udiErrNo	:= 4730;
;//カウントする
;stM.uiEDCnt	:= stM.uiEDCnt + 1;
;//エラーコードを入れる
;stM.udiSubErr	:= stDevOut.astAXK[0].udiErrNo;
;//-----ここまで生成script-----
LDP stEx476.x2
AND=.D stM.udiErrNo #0
BOX_ST
;//このスクリプトは C:\tk\prj\hg-0025-0016\git\kv-x520\doc\[kv_script_exe_errno.xlsm]info_script によって生成されました。
;//エラーNo.を入れる
;stM.udiErrNo	:= 4760;
;//カウントする
;stM.uiEDCnt	:= stM.uiEDCnt + 1;
;//エラーコードを入れる
;stM.udiSubErr	:= stDevOut.astAXK[0].udiErrNo;
;//-----ここまで生成script-----
LDP stEx477.x2
AND=.D stM.udiErrNo #0
BOX_ST
;//このスクリプトは C:\tk\prj\hg-0025-0016\git\kv-x520\doc\[kv_script_exe_errno.xlsm]info_script によって生成されました。
;//エラーNo.を入れる
;stM.udiErrNo	:= 4770;
;//カウントする
;stM.uiEDCnt	:= stM.uiEDCnt + 1;
;//エラーコードを入れる
;stM.udiSubErr	:= stDevOut.astAXI[0].udiErrNo;
;//-----ここまで生成script-----
LDP stEx478.x2
AND=.D stM.udiErrNo #0
BOX_ST
;//このスクリプトは C:\tk\prj\hg-0025-0016\git\kv-x520\doc\[kv_script_exe_errno.xlsm]info_script によって生成されました。
;//エラーNo.を入れる
;stM.udiErrNo	:= 4780;
;//カウントする
;stM.uiEDCnt	:= stM.uiEDCnt + 1;
;//エラーコードを入れる
;stM.udiSubErr	:= stDevOut.astAXI[1].udiErrNo;
;//-----ここまで生成script-----
RUNG_COMMENT
;-----ここまで生成script-----</v>
      </c>
      <c r="D40">
        <v>32</v>
      </c>
      <c r="E40" t="str">
        <f t="shared" ref="E40:E71" si="35">IF(LEN(I40),I40,IF(LEN(Q40),Q40,""))</f>
        <v>stEx432</v>
      </c>
      <c r="F40" t="str">
        <f t="shared" si="20"/>
        <v>stEx432</v>
      </c>
      <c r="G40" t="str">
        <f t="shared" ref="G40:G71" si="36">IF(LEN(O40),O40,IF(LEN(X40),X40,""))</f>
        <v>&gt;&gt;●CYL19X平板押え 上昇</v>
      </c>
      <c r="Q40" t="s">
        <v>116</v>
      </c>
      <c r="R40" t="s">
        <v>51</v>
      </c>
      <c r="U40" t="b">
        <v>0</v>
      </c>
      <c r="V40" t="b">
        <v>0</v>
      </c>
      <c r="W40" t="b">
        <v>0</v>
      </c>
      <c r="X40" t="s">
        <v>117</v>
      </c>
      <c r="Z40" t="str">
        <f t="shared" si="21"/>
        <v/>
      </c>
      <c r="AA40">
        <f t="shared" si="22"/>
        <v>19</v>
      </c>
      <c r="AB40" t="str">
        <f t="shared" si="22"/>
        <v/>
      </c>
      <c r="AC40" t="str">
        <f t="shared" si="22"/>
        <v/>
      </c>
      <c r="AD40" t="str">
        <f t="shared" si="23"/>
        <v/>
      </c>
      <c r="AE40" t="str">
        <f t="shared" si="23"/>
        <v/>
      </c>
      <c r="AF40" t="str">
        <f t="shared" si="24"/>
        <v/>
      </c>
      <c r="AG40" t="str">
        <f t="shared" si="25"/>
        <v/>
      </c>
      <c r="AH40" t="str">
        <f t="shared" si="26"/>
        <v>stDevOut.astCYL[18]</v>
      </c>
      <c r="AI40" t="str">
        <f t="shared" si="27"/>
        <v/>
      </c>
      <c r="AJ40" t="str">
        <f t="shared" si="28"/>
        <v/>
      </c>
      <c r="AK40" t="str">
        <f t="shared" si="29"/>
        <v>stDevOut.astCYL[18]</v>
      </c>
      <c r="AM40" t="str">
        <f t="shared" si="30"/>
        <v>●</v>
      </c>
      <c r="AN40">
        <f t="shared" ref="AN40:AN71" si="37">IF(AM40="●",(AN$4+MOD(INT(MID(E40,5,3)),AN$2))*AN$6,"")</f>
        <v>4320</v>
      </c>
      <c r="AO40" t="str">
        <f t="shared" ref="AO40:AO71" si="38">IF($AM40="●","LDP "&amp;E40&amp;"."&amp;$B$14,"")</f>
        <v>LDP stEx432.x2</v>
      </c>
      <c r="AP40" t="str">
        <f t="shared" ref="AP40:AP71" si="39">IF($AM40="●","AND=.D "&amp;$B$15&amp;" #0","")</f>
        <v>AND=.D stM.udiErrNo #0</v>
      </c>
      <c r="AQ40" t="str">
        <f t="shared" ref="AQ40:AQ71" si="40">IF($AM40="●","MOV.D #"&amp;AN40&amp;" "&amp;$B$15,"")</f>
        <v>MOV.D #4320 stM.udiErrNo</v>
      </c>
      <c r="AR40" t="str">
        <f t="shared" ref="AR40:AR71" si="41">IF(LEN(AK40),"MOV.D "&amp;$AK40&amp;" "&amp;$B$17,"")</f>
        <v>MOV.D stDevOut.astCYL[18] stM.udiSubErr</v>
      </c>
      <c r="AS40" t="str">
        <f t="shared" ref="AS40:AS71" si="42">IF(AND(D40&lt;&gt;0,AM40="●"),CHAR(10),"")&amp;IF(LEN(AO40),AO40,"")</f>
        <v xml:space="preserve">
LDP stEx432.x2</v>
      </c>
      <c r="AT40" t="str">
        <f t="shared" ref="AT40:AT71" si="43">IF(LEN(AS40),AS40&amp;CHAR(10),"")&amp;IF(LEN(AP40),AP40,"")</f>
        <v xml:space="preserve">
LDP stEx432.x2
AND=.D stM.udiErrNo #0</v>
      </c>
      <c r="AU40" t="str">
        <f t="shared" ref="AU40:AU71" si="44">IF(LEN(AT40),AT40&amp;CHAR(10),"")&amp;IF(LEN(AQ40),AQ40,"")</f>
        <v xml:space="preserve">
LDP stEx432.x2
AND=.D stM.udiErrNo #0
MOV.D #4320 stM.udiErrNo</v>
      </c>
      <c r="AV40" t="str">
        <f t="shared" si="31"/>
        <v xml:space="preserve">
LDP stEx432.x2
AND=.D stM.udiErrNo #0
MOV.D #4320 stM.udiErrNo
MOV.D stDevOut.astCYL[18] stM.udiSubErr</v>
      </c>
      <c r="AW40" t="str">
        <f t="shared" si="32"/>
        <v xml:space="preserve">
LDP stEx432.x2
AND=.D stM.udiErrNo #0
MOV.D #4320 stM.udiErrNo
MOV.D stDevOut.astCYL[18] stM.udiSubErr</v>
      </c>
      <c r="AY40" t="str">
        <f t="shared" ref="AY40:AY71" ca="1" si="45">IF($AM40="●",AT40&amp;CHAR(10)&amp;"BOX_ST"&amp;CHAR(10)&amp;";//"&amp;$B$28,"")</f>
        <v xml:space="preserve">
LDP stEx432.x2
AND=.D stM.udiErrNo #0
BOX_ST
;//このスクリプトは C:\tk\prj\hg-0025-0016\git\kv-x520\doc\[kv_script_exe_errno.xlsm]info_script によって生成されました。</v>
      </c>
      <c r="AZ40" t="str">
        <f t="shared" ref="AZ40:AZ71" ca="1" si="46">IF($AM40="●",IF(LEN(AY40),AY40&amp;CHAR(10),"")&amp;";//エラーNo.を入れる"&amp;CHAR(10)&amp;";"&amp;$B$15&amp;"	:= "&amp;AN40&amp;";","")</f>
        <v xml:space="preserve">
LDP stEx432.x2
AND=.D stM.udiErrNo #0
BOX_ST
;//このスクリプトは C:\tk\prj\hg-0025-0016\git\kv-x520\doc\[kv_script_exe_errno.xlsm]info_script によって生成されました。
;//エラーNo.を入れる
;stM.udiErrNo	:= 4320;</v>
      </c>
      <c r="BA40" t="str">
        <f t="shared" ref="BA40:BA71" ca="1" si="47">IF($AM40="●",IF(LEN(AZ40),AZ40&amp;CHAR(10),"")&amp;";//カウントする"&amp;CHAR(10)&amp;";"&amp;$B$16&amp;"	:= "&amp;$B$16&amp;" + 1;","")</f>
        <v xml:space="preserve">
LDP stEx432.x2
AND=.D stM.udiErrNo #0
BOX_ST
;//このスクリプトは C:\tk\prj\hg-0025-0016\git\kv-x520\doc\[kv_script_exe_errno.xlsm]info_script によって生成されました。
;//エラーNo.を入れる
;stM.udiErrNo	:= 4320;
;//カウントする
;stM.uiEDCnt	:= stM.uiEDCnt + 1;</v>
      </c>
      <c r="BB40" t="str">
        <f t="shared" ca="1" si="33"/>
        <v xml:space="preserve">
LDP stEx432.x2
AND=.D stM.udiErrNo #0
BOX_ST
;//このスクリプトは C:\tk\prj\hg-0025-0016\git\kv-x520\doc\[kv_script_exe_errno.xlsm]info_script によって生成されました。
;//エラーNo.を入れる
;stM.udiErrNo	:= 4320;
;//カウントする
;stM.uiEDCnt	:= stM.uiEDCnt + 1;
;//エラーコードを入れる
;stM.udiSubErr	:= stDevOut.astCYL[18].udiErrNo;</v>
      </c>
      <c r="BC40" t="str">
        <f t="shared" ref="BC40:BC71" ca="1" si="48">IF($AM40="●",IF(LEN(BB40),BB40&amp;CHAR(10),"")&amp;";//"&amp;$B$29,"")</f>
        <v xml:space="preserve">
LDP stEx432.x2
AND=.D stM.udiErrNo #0
BOX_ST
;//このスクリプトは C:\tk\prj\hg-0025-0016\git\kv-x520\doc\[kv_script_exe_errno.xlsm]info_script によって生成されました。
;//エラーNo.を入れる
;stM.udiErrNo	:= 4320;
;//カウントする
;stM.uiEDCnt	:= stM.uiEDCnt + 1;
;//エラーコードを入れる
;stM.udiSubErr	:= stDevOut.astCYL[18].udiErrNo;
;//-----ここまで生成script-----</v>
      </c>
      <c r="BE40">
        <f t="shared" ref="BE40:BE71" si="49">INT(D40/$BE$6)</f>
        <v>10</v>
      </c>
      <c r="BF40">
        <f t="shared" ref="BF40:BF71" si="50">MOD(D40,$BE$6)</f>
        <v>2</v>
      </c>
      <c r="BG40" t="str">
        <f t="shared" ref="BG40:BG71" si="51">IF(LEN(E40),E40&amp;".x"&amp;TEXT(BF40,"0")&amp;CHAR(9)&amp;" := FALSE;","")</f>
        <v>stEx432.x2	 := FALSE;</v>
      </c>
      <c r="BH40" t="str">
        <f t="shared" si="34"/>
        <v xml:space="preserve">stEx432.x2	 := FALSE;
</v>
      </c>
    </row>
    <row r="41" spans="1:60" x14ac:dyDescent="0.55000000000000004">
      <c r="D41">
        <v>33</v>
      </c>
      <c r="E41" t="str">
        <f t="shared" si="35"/>
        <v>stEx433</v>
      </c>
      <c r="F41" t="str">
        <f t="shared" si="20"/>
        <v>stEx433</v>
      </c>
      <c r="G41" t="str">
        <f t="shared" si="36"/>
        <v>&gt;&gt;▽主軸 +平板押え</v>
      </c>
      <c r="Q41" t="s">
        <v>118</v>
      </c>
      <c r="R41" t="s">
        <v>51</v>
      </c>
      <c r="U41" t="b">
        <v>0</v>
      </c>
      <c r="V41" t="b">
        <v>0</v>
      </c>
      <c r="W41" t="b">
        <v>0</v>
      </c>
      <c r="X41" t="s">
        <v>119</v>
      </c>
      <c r="Z41" t="str">
        <f t="shared" si="21"/>
        <v/>
      </c>
      <c r="AA41" t="str">
        <f t="shared" si="22"/>
        <v/>
      </c>
      <c r="AB41" t="str">
        <f t="shared" si="22"/>
        <v/>
      </c>
      <c r="AC41" t="str">
        <f t="shared" si="22"/>
        <v/>
      </c>
      <c r="AD41" t="str">
        <f t="shared" ref="AD41:AE72" si="52">IF(AND(LEN($Z41),AD$2&lt;=$Z41,$Z41&lt;=AD$3),AD$7&amp;"["&amp;$Z41-AD$2&amp;"]","")</f>
        <v/>
      </c>
      <c r="AE41" t="str">
        <f t="shared" si="52"/>
        <v/>
      </c>
      <c r="AF41" t="str">
        <f t="shared" si="24"/>
        <v/>
      </c>
      <c r="AG41" t="str">
        <f t="shared" si="25"/>
        <v/>
      </c>
      <c r="AH41" t="str">
        <f t="shared" si="26"/>
        <v/>
      </c>
      <c r="AI41" t="str">
        <f t="shared" si="27"/>
        <v/>
      </c>
      <c r="AJ41" t="str">
        <f t="shared" si="28"/>
        <v/>
      </c>
      <c r="AK41" t="str">
        <f t="shared" si="29"/>
        <v/>
      </c>
      <c r="AM41" t="str">
        <f t="shared" si="30"/>
        <v/>
      </c>
      <c r="AN41" t="str">
        <f t="shared" si="37"/>
        <v/>
      </c>
      <c r="AO41" t="str">
        <f t="shared" si="38"/>
        <v/>
      </c>
      <c r="AP41" t="str">
        <f t="shared" si="39"/>
        <v/>
      </c>
      <c r="AQ41" t="str">
        <f t="shared" si="40"/>
        <v/>
      </c>
      <c r="AR41" t="str">
        <f t="shared" si="41"/>
        <v/>
      </c>
      <c r="AS41" t="str">
        <f t="shared" si="42"/>
        <v/>
      </c>
      <c r="AT41" t="str">
        <f t="shared" si="43"/>
        <v/>
      </c>
      <c r="AU41" t="str">
        <f t="shared" si="44"/>
        <v/>
      </c>
      <c r="AV41" t="str">
        <f t="shared" si="31"/>
        <v/>
      </c>
      <c r="AW41" t="str">
        <f t="shared" si="32"/>
        <v/>
      </c>
      <c r="AY41" t="str">
        <f t="shared" si="45"/>
        <v/>
      </c>
      <c r="AZ41" t="str">
        <f t="shared" si="46"/>
        <v/>
      </c>
      <c r="BA41" t="str">
        <f t="shared" si="47"/>
        <v/>
      </c>
      <c r="BB41" t="str">
        <f t="shared" si="33"/>
        <v/>
      </c>
      <c r="BC41" t="str">
        <f t="shared" si="48"/>
        <v/>
      </c>
      <c r="BE41">
        <f t="shared" si="49"/>
        <v>11</v>
      </c>
      <c r="BF41">
        <f t="shared" si="50"/>
        <v>0</v>
      </c>
      <c r="BG41" t="str">
        <f t="shared" si="51"/>
        <v>stEx433.x0	 := FALSE;</v>
      </c>
      <c r="BH41" t="str">
        <f t="shared" si="34"/>
        <v xml:space="preserve">stEx433.x0	 := FALSE;
</v>
      </c>
    </row>
    <row r="42" spans="1:60" x14ac:dyDescent="0.55000000000000004">
      <c r="D42">
        <v>34</v>
      </c>
      <c r="E42" t="str">
        <f t="shared" si="35"/>
        <v>stEx434</v>
      </c>
      <c r="F42" t="str">
        <f t="shared" si="20"/>
        <v>stEx434</v>
      </c>
      <c r="G42" t="str">
        <f t="shared" si="36"/>
        <v>&gt;&gt;●U01平板 ｶｯﾄ</v>
      </c>
      <c r="Q42" t="s">
        <v>120</v>
      </c>
      <c r="R42" t="s">
        <v>51</v>
      </c>
      <c r="U42" t="b">
        <v>0</v>
      </c>
      <c r="V42" t="b">
        <v>0</v>
      </c>
      <c r="W42" t="b">
        <v>0</v>
      </c>
      <c r="X42" t="s">
        <v>121</v>
      </c>
      <c r="Z42" t="str">
        <f t="shared" si="21"/>
        <v/>
      </c>
      <c r="AA42" t="str">
        <f t="shared" si="22"/>
        <v/>
      </c>
      <c r="AB42" t="str">
        <f t="shared" si="22"/>
        <v/>
      </c>
      <c r="AC42" t="str">
        <f t="shared" si="22"/>
        <v/>
      </c>
      <c r="AD42" t="str">
        <f t="shared" si="52"/>
        <v/>
      </c>
      <c r="AE42" t="str">
        <f t="shared" si="52"/>
        <v/>
      </c>
      <c r="AF42" t="str">
        <f t="shared" si="24"/>
        <v/>
      </c>
      <c r="AG42" t="str">
        <f t="shared" si="25"/>
        <v/>
      </c>
      <c r="AH42" t="str">
        <f t="shared" si="26"/>
        <v/>
      </c>
      <c r="AI42" t="str">
        <f t="shared" si="27"/>
        <v/>
      </c>
      <c r="AJ42" t="str">
        <f t="shared" si="28"/>
        <v/>
      </c>
      <c r="AK42" t="str">
        <f t="shared" si="29"/>
        <v/>
      </c>
      <c r="AM42" t="str">
        <f t="shared" si="30"/>
        <v>●</v>
      </c>
      <c r="AN42">
        <f t="shared" si="37"/>
        <v>4340</v>
      </c>
      <c r="AO42" t="str">
        <f t="shared" si="38"/>
        <v>LDP stEx434.x2</v>
      </c>
      <c r="AP42" t="str">
        <f t="shared" si="39"/>
        <v>AND=.D stM.udiErrNo #0</v>
      </c>
      <c r="AQ42" t="str">
        <f t="shared" si="40"/>
        <v>MOV.D #4340 stM.udiErrNo</v>
      </c>
      <c r="AR42" t="str">
        <f t="shared" si="41"/>
        <v/>
      </c>
      <c r="AS42" t="str">
        <f t="shared" si="42"/>
        <v xml:space="preserve">
LDP stEx434.x2</v>
      </c>
      <c r="AT42" t="str">
        <f t="shared" si="43"/>
        <v xml:space="preserve">
LDP stEx434.x2
AND=.D stM.udiErrNo #0</v>
      </c>
      <c r="AU42" t="str">
        <f t="shared" si="44"/>
        <v xml:space="preserve">
LDP stEx434.x2
AND=.D stM.udiErrNo #0
MOV.D #4340 stM.udiErrNo</v>
      </c>
      <c r="AV42" t="str">
        <f t="shared" si="31"/>
        <v xml:space="preserve">
LDP stEx434.x2
AND=.D stM.udiErrNo #0
MOV.D #4340 stM.udiErrNo
</v>
      </c>
      <c r="AW42" t="str">
        <f t="shared" si="32"/>
        <v xml:space="preserve">
LDP stEx434.x2
AND=.D stM.udiErrNo #0
MOV.D #4340 stM.udiErrNo
</v>
      </c>
      <c r="AY42" t="str">
        <f t="shared" ca="1" si="45"/>
        <v xml:space="preserve">
LDP stEx434.x2
AND=.D stM.udiErrNo #0
BOX_ST
;//このスクリプトは C:\tk\prj\hg-0025-0016\git\kv-x520\doc\[kv_script_exe_errno.xlsm]info_script によって生成されました。</v>
      </c>
      <c r="AZ42" t="str">
        <f t="shared" ca="1" si="46"/>
        <v xml:space="preserve">
LDP stEx434.x2
AND=.D stM.udiErrNo #0
BOX_ST
;//このスクリプトは C:\tk\prj\hg-0025-0016\git\kv-x520\doc\[kv_script_exe_errno.xlsm]info_script によって生成されました。
;//エラーNo.を入れる
;stM.udiErrNo	:= 4340;</v>
      </c>
      <c r="BA42" t="str">
        <f t="shared" ca="1" si="47"/>
        <v xml:space="preserve">
LDP stEx434.x2
AND=.D stM.udiErrNo #0
BOX_ST
;//このスクリプトは C:\tk\prj\hg-0025-0016\git\kv-x520\doc\[kv_script_exe_errno.xlsm]info_script によって生成されました。
;//エラーNo.を入れる
;stM.udiErrNo	:= 4340;
;//カウントする
;stM.uiEDCnt	:= stM.uiEDCnt + 1;</v>
      </c>
      <c r="BB42" t="str">
        <f t="shared" ca="1" si="33"/>
        <v xml:space="preserve">
LDP stEx434.x2
AND=.D stM.udiErrNo #0
BOX_ST
;//このスクリプトは C:\tk\prj\hg-0025-0016\git\kv-x520\doc\[kv_script_exe_errno.xlsm]info_script によって生成されました。
;//エラーNo.を入れる
;stM.udiErrNo	:= 4340;
;//カウントする
;stM.uiEDCnt	:= stM.uiEDCnt + 1;
</v>
      </c>
      <c r="BC42" t="str">
        <f t="shared" ca="1" si="48"/>
        <v xml:space="preserve">
LDP stEx434.x2
AND=.D stM.udiErrNo #0
BOX_ST
;//このスクリプトは C:\tk\prj\hg-0025-0016\git\kv-x520\doc\[kv_script_exe_errno.xlsm]info_script によって生成されました。
;//エラーNo.を入れる
;stM.udiErrNo	:= 4340;
;//カウントする
;stM.uiEDCnt	:= stM.uiEDCnt + 1;
;//-----ここまで生成script-----</v>
      </c>
      <c r="BE42">
        <f t="shared" si="49"/>
        <v>11</v>
      </c>
      <c r="BF42">
        <f t="shared" si="50"/>
        <v>1</v>
      </c>
      <c r="BG42" t="str">
        <f t="shared" si="51"/>
        <v>stEx434.x1	 := FALSE;</v>
      </c>
      <c r="BH42" t="str">
        <f t="shared" si="34"/>
        <v xml:space="preserve">stEx434.x1	 := FALSE;
</v>
      </c>
    </row>
    <row r="43" spans="1:60" x14ac:dyDescent="0.55000000000000004">
      <c r="D43">
        <v>35</v>
      </c>
      <c r="E43" t="str">
        <f t="shared" si="35"/>
        <v>stEx435</v>
      </c>
      <c r="F43" t="str">
        <f t="shared" si="20"/>
        <v>stEx435</v>
      </c>
      <c r="G43" t="str">
        <f t="shared" si="36"/>
        <v>&gt;&gt;△●AXI05 排出受取</v>
      </c>
      <c r="Q43" t="s">
        <v>122</v>
      </c>
      <c r="R43" t="s">
        <v>51</v>
      </c>
      <c r="U43" t="b">
        <v>0</v>
      </c>
      <c r="V43" t="b">
        <v>0</v>
      </c>
      <c r="W43" t="b">
        <v>0</v>
      </c>
      <c r="X43" t="s">
        <v>123</v>
      </c>
      <c r="Z43">
        <f t="shared" si="21"/>
        <v>5</v>
      </c>
      <c r="AA43" t="str">
        <f t="shared" si="22"/>
        <v/>
      </c>
      <c r="AB43" t="str">
        <f t="shared" si="22"/>
        <v/>
      </c>
      <c r="AC43" t="str">
        <f t="shared" si="22"/>
        <v/>
      </c>
      <c r="AD43" t="str">
        <f t="shared" si="52"/>
        <v>stDevOut.astAXI[0]</v>
      </c>
      <c r="AE43" t="str">
        <f t="shared" si="52"/>
        <v/>
      </c>
      <c r="AF43" t="str">
        <f t="shared" si="24"/>
        <v/>
      </c>
      <c r="AG43" t="str">
        <f t="shared" si="25"/>
        <v/>
      </c>
      <c r="AH43" t="str">
        <f t="shared" si="26"/>
        <v/>
      </c>
      <c r="AI43" t="str">
        <f t="shared" si="27"/>
        <v/>
      </c>
      <c r="AJ43" t="str">
        <f t="shared" si="28"/>
        <v/>
      </c>
      <c r="AK43" t="str">
        <f t="shared" si="29"/>
        <v>stDevOut.astAXI[0]</v>
      </c>
      <c r="AM43" t="str">
        <f t="shared" si="30"/>
        <v>●</v>
      </c>
      <c r="AN43">
        <f t="shared" si="37"/>
        <v>4350</v>
      </c>
      <c r="AO43" t="str">
        <f t="shared" si="38"/>
        <v>LDP stEx435.x2</v>
      </c>
      <c r="AP43" t="str">
        <f t="shared" si="39"/>
        <v>AND=.D stM.udiErrNo #0</v>
      </c>
      <c r="AQ43" t="str">
        <f t="shared" si="40"/>
        <v>MOV.D #4350 stM.udiErrNo</v>
      </c>
      <c r="AR43" t="str">
        <f t="shared" si="41"/>
        <v>MOV.D stDevOut.astAXI[0] stM.udiSubErr</v>
      </c>
      <c r="AS43" t="str">
        <f t="shared" si="42"/>
        <v xml:space="preserve">
LDP stEx435.x2</v>
      </c>
      <c r="AT43" t="str">
        <f t="shared" si="43"/>
        <v xml:space="preserve">
LDP stEx435.x2
AND=.D stM.udiErrNo #0</v>
      </c>
      <c r="AU43" t="str">
        <f t="shared" si="44"/>
        <v xml:space="preserve">
LDP stEx435.x2
AND=.D stM.udiErrNo #0
MOV.D #4350 stM.udiErrNo</v>
      </c>
      <c r="AV43" t="str">
        <f t="shared" si="31"/>
        <v xml:space="preserve">
LDP stEx435.x2
AND=.D stM.udiErrNo #0
MOV.D #4350 stM.udiErrNo
MOV.D stDevOut.astAXI[0] stM.udiSubErr</v>
      </c>
      <c r="AW43" t="str">
        <f t="shared" si="32"/>
        <v xml:space="preserve">
LDP stEx435.x2
AND=.D stM.udiErrNo #0
MOV.D #4350 stM.udiErrNo
MOV.D stDevOut.astAXI[0] stM.udiSubErr</v>
      </c>
      <c r="AY43" t="str">
        <f t="shared" ca="1" si="45"/>
        <v xml:space="preserve">
LDP stEx435.x2
AND=.D stM.udiErrNo #0
BOX_ST
;//このスクリプトは C:\tk\prj\hg-0025-0016\git\kv-x520\doc\[kv_script_exe_errno.xlsm]info_script によって生成されました。</v>
      </c>
      <c r="AZ43" t="str">
        <f t="shared" ca="1" si="46"/>
        <v xml:space="preserve">
LDP stEx435.x2
AND=.D stM.udiErrNo #0
BOX_ST
;//このスクリプトは C:\tk\prj\hg-0025-0016\git\kv-x520\doc\[kv_script_exe_errno.xlsm]info_script によって生成されました。
;//エラーNo.を入れる
;stM.udiErrNo	:= 4350;</v>
      </c>
      <c r="BA43" t="str">
        <f t="shared" ca="1" si="47"/>
        <v xml:space="preserve">
LDP stEx435.x2
AND=.D stM.udiErrNo #0
BOX_ST
;//このスクリプトは C:\tk\prj\hg-0025-0016\git\kv-x520\doc\[kv_script_exe_errno.xlsm]info_script によって生成されました。
;//エラーNo.を入れる
;stM.udiErrNo	:= 4350;
;//カウントする
;stM.uiEDCnt	:= stM.uiEDCnt + 1;</v>
      </c>
      <c r="BB43" t="str">
        <f t="shared" ca="1" si="33"/>
        <v xml:space="preserve">
LDP stEx435.x2
AND=.D stM.udiErrNo #0
BOX_ST
;//このスクリプトは C:\tk\prj\hg-0025-0016\git\kv-x520\doc\[kv_script_exe_errno.xlsm]info_script によって生成されました。
;//エラーNo.を入れる
;stM.udiErrNo	:= 4350;
;//カウントする
;stM.uiEDCnt	:= stM.uiEDCnt + 1;
;//エラーコードを入れる
;stM.udiSubErr	:= stDevOut.astAXI[0].udiErrNo;</v>
      </c>
      <c r="BC43" t="str">
        <f t="shared" ca="1" si="48"/>
        <v xml:space="preserve">
LDP stEx435.x2
AND=.D stM.udiErrNo #0
BOX_ST
;//このスクリプトは C:\tk\prj\hg-0025-0016\git\kv-x520\doc\[kv_script_exe_errno.xlsm]info_script によって生成されました。
;//エラーNo.を入れる
;stM.udiErrNo	:= 4350;
;//カウントする
;stM.uiEDCnt	:= stM.uiEDCnt + 1;
;//エラーコードを入れる
;stM.udiSubErr	:= stDevOut.astAXI[0].udiErrNo;
;//-----ここまで生成script-----</v>
      </c>
      <c r="BE43">
        <f t="shared" si="49"/>
        <v>11</v>
      </c>
      <c r="BF43">
        <f t="shared" si="50"/>
        <v>2</v>
      </c>
      <c r="BG43" t="str">
        <f t="shared" si="51"/>
        <v>stEx435.x2	 := FALSE;</v>
      </c>
      <c r="BH43" t="str">
        <f t="shared" si="34"/>
        <v xml:space="preserve">stEx435.x2	 := FALSE;
</v>
      </c>
    </row>
    <row r="44" spans="1:60" x14ac:dyDescent="0.55000000000000004">
      <c r="D44">
        <v>36</v>
      </c>
      <c r="E44" t="str">
        <f t="shared" si="35"/>
        <v>stEx436</v>
      </c>
      <c r="F44" t="str">
        <f t="shared" si="20"/>
        <v>stEx436</v>
      </c>
      <c r="G44" t="str">
        <f t="shared" si="36"/>
        <v>&gt;&gt;△●AXI06 波板検索 接近</v>
      </c>
      <c r="Q44" t="s">
        <v>124</v>
      </c>
      <c r="R44" t="s">
        <v>51</v>
      </c>
      <c r="U44" t="b">
        <v>0</v>
      </c>
      <c r="V44" t="b">
        <v>0</v>
      </c>
      <c r="W44" t="b">
        <v>0</v>
      </c>
      <c r="X44" t="s">
        <v>125</v>
      </c>
      <c r="Z44">
        <f t="shared" si="21"/>
        <v>6</v>
      </c>
      <c r="AA44" t="str">
        <f t="shared" si="22"/>
        <v/>
      </c>
      <c r="AB44" t="str">
        <f t="shared" si="22"/>
        <v/>
      </c>
      <c r="AC44" t="str">
        <f t="shared" si="22"/>
        <v/>
      </c>
      <c r="AD44" t="str">
        <f t="shared" si="52"/>
        <v>stDevOut.astAXI[1]</v>
      </c>
      <c r="AE44" t="str">
        <f t="shared" si="52"/>
        <v/>
      </c>
      <c r="AF44" t="str">
        <f t="shared" si="24"/>
        <v/>
      </c>
      <c r="AG44" t="str">
        <f t="shared" si="25"/>
        <v/>
      </c>
      <c r="AH44" t="str">
        <f t="shared" si="26"/>
        <v/>
      </c>
      <c r="AI44" t="str">
        <f t="shared" si="27"/>
        <v/>
      </c>
      <c r="AJ44" t="str">
        <f t="shared" si="28"/>
        <v/>
      </c>
      <c r="AK44" t="str">
        <f t="shared" si="29"/>
        <v>stDevOut.astAXI[1]</v>
      </c>
      <c r="AM44" t="str">
        <f t="shared" si="30"/>
        <v>●</v>
      </c>
      <c r="AN44">
        <f t="shared" si="37"/>
        <v>4360</v>
      </c>
      <c r="AO44" t="str">
        <f t="shared" si="38"/>
        <v>LDP stEx436.x2</v>
      </c>
      <c r="AP44" t="str">
        <f t="shared" si="39"/>
        <v>AND=.D stM.udiErrNo #0</v>
      </c>
      <c r="AQ44" t="str">
        <f t="shared" si="40"/>
        <v>MOV.D #4360 stM.udiErrNo</v>
      </c>
      <c r="AR44" t="str">
        <f t="shared" si="41"/>
        <v>MOV.D stDevOut.astAXI[1] stM.udiSubErr</v>
      </c>
      <c r="AS44" t="str">
        <f t="shared" si="42"/>
        <v xml:space="preserve">
LDP stEx436.x2</v>
      </c>
      <c r="AT44" t="str">
        <f t="shared" si="43"/>
        <v xml:space="preserve">
LDP stEx436.x2
AND=.D stM.udiErrNo #0</v>
      </c>
      <c r="AU44" t="str">
        <f t="shared" si="44"/>
        <v xml:space="preserve">
LDP stEx436.x2
AND=.D stM.udiErrNo #0
MOV.D #4360 stM.udiErrNo</v>
      </c>
      <c r="AV44" t="str">
        <f t="shared" si="31"/>
        <v xml:space="preserve">
LDP stEx436.x2
AND=.D stM.udiErrNo #0
MOV.D #4360 stM.udiErrNo
MOV.D stDevOut.astAXI[1] stM.udiSubErr</v>
      </c>
      <c r="AW44" t="str">
        <f t="shared" si="32"/>
        <v xml:space="preserve">
LDP stEx436.x2
AND=.D stM.udiErrNo #0
MOV.D #4360 stM.udiErrNo
MOV.D stDevOut.astAXI[1] stM.udiSubErr</v>
      </c>
      <c r="AY44" t="str">
        <f t="shared" ca="1" si="45"/>
        <v xml:space="preserve">
LDP stEx436.x2
AND=.D stM.udiErrNo #0
BOX_ST
;//このスクリプトは C:\tk\prj\hg-0025-0016\git\kv-x520\doc\[kv_script_exe_errno.xlsm]info_script によって生成されました。</v>
      </c>
      <c r="AZ44" t="str">
        <f t="shared" ca="1" si="46"/>
        <v xml:space="preserve">
LDP stEx436.x2
AND=.D stM.udiErrNo #0
BOX_ST
;//このスクリプトは C:\tk\prj\hg-0025-0016\git\kv-x520\doc\[kv_script_exe_errno.xlsm]info_script によって生成されました。
;//エラーNo.を入れる
;stM.udiErrNo	:= 4360;</v>
      </c>
      <c r="BA44" t="str">
        <f t="shared" ca="1" si="47"/>
        <v xml:space="preserve">
LDP stEx436.x2
AND=.D stM.udiErrNo #0
BOX_ST
;//このスクリプトは C:\tk\prj\hg-0025-0016\git\kv-x520\doc\[kv_script_exe_errno.xlsm]info_script によって生成されました。
;//エラーNo.を入れる
;stM.udiErrNo	:= 4360;
;//カウントする
;stM.uiEDCnt	:= stM.uiEDCnt + 1;</v>
      </c>
      <c r="BB44" t="str">
        <f t="shared" ca="1" si="33"/>
        <v xml:space="preserve">
LDP stEx436.x2
AND=.D stM.udiErrNo #0
BOX_ST
;//このスクリプトは C:\tk\prj\hg-0025-0016\git\kv-x520\doc\[kv_script_exe_errno.xlsm]info_script によって生成されました。
;//エラーNo.を入れる
;stM.udiErrNo	:= 4360;
;//カウントする
;stM.uiEDCnt	:= stM.uiEDCnt + 1;
;//エラーコードを入れる
;stM.udiSubErr	:= stDevOut.astAXI[1].udiErrNo;</v>
      </c>
      <c r="BC44" t="str">
        <f t="shared" ca="1" si="48"/>
        <v xml:space="preserve">
LDP stEx436.x2
AND=.D stM.udiErrNo #0
BOX_ST
;//このスクリプトは C:\tk\prj\hg-0025-0016\git\kv-x520\doc\[kv_script_exe_errno.xlsm]info_script によって生成されました。
;//エラーNo.を入れる
;stM.udiErrNo	:= 4360;
;//カウントする
;stM.uiEDCnt	:= stM.uiEDCnt + 1;
;//エラーコードを入れる
;stM.udiSubErr	:= stDevOut.astAXI[1].udiErrNo;
;//-----ここまで生成script-----</v>
      </c>
      <c r="BE44">
        <f t="shared" si="49"/>
        <v>12</v>
      </c>
      <c r="BF44">
        <f t="shared" si="50"/>
        <v>0</v>
      </c>
      <c r="BG44" t="str">
        <f t="shared" si="51"/>
        <v>stEx436.x0	 := FALSE;</v>
      </c>
      <c r="BH44" t="str">
        <f t="shared" si="34"/>
        <v xml:space="preserve">stEx436.x0	 := FALSE;
</v>
      </c>
    </row>
    <row r="45" spans="1:60" x14ac:dyDescent="0.55000000000000004">
      <c r="D45">
        <v>37</v>
      </c>
      <c r="E45" t="str">
        <f t="shared" si="35"/>
        <v>stEx437</v>
      </c>
      <c r="F45" t="str">
        <f t="shared" si="20"/>
        <v>stEx437</v>
      </c>
      <c r="G45" t="str">
        <f t="shared" si="36"/>
        <v>&gt;&gt;▽排出 +周長軸</v>
      </c>
      <c r="Q45" t="s">
        <v>126</v>
      </c>
      <c r="R45" t="s">
        <v>51</v>
      </c>
      <c r="U45" t="b">
        <v>0</v>
      </c>
      <c r="V45" t="b">
        <v>0</v>
      </c>
      <c r="W45" t="b">
        <v>0</v>
      </c>
      <c r="X45" t="s">
        <v>127</v>
      </c>
      <c r="Z45" t="str">
        <f t="shared" si="21"/>
        <v/>
      </c>
      <c r="AA45" t="str">
        <f t="shared" si="22"/>
        <v/>
      </c>
      <c r="AB45" t="str">
        <f t="shared" si="22"/>
        <v/>
      </c>
      <c r="AC45" t="str">
        <f t="shared" si="22"/>
        <v/>
      </c>
      <c r="AD45" t="str">
        <f t="shared" si="52"/>
        <v/>
      </c>
      <c r="AE45" t="str">
        <f t="shared" si="52"/>
        <v/>
      </c>
      <c r="AF45" t="str">
        <f t="shared" si="24"/>
        <v/>
      </c>
      <c r="AG45" t="str">
        <f t="shared" si="25"/>
        <v/>
      </c>
      <c r="AH45" t="str">
        <f t="shared" si="26"/>
        <v/>
      </c>
      <c r="AI45" t="str">
        <f t="shared" si="27"/>
        <v/>
      </c>
      <c r="AJ45" t="str">
        <f t="shared" si="28"/>
        <v/>
      </c>
      <c r="AK45" t="str">
        <f t="shared" si="29"/>
        <v/>
      </c>
      <c r="AM45" t="str">
        <f t="shared" si="30"/>
        <v/>
      </c>
      <c r="AN45" t="str">
        <f t="shared" si="37"/>
        <v/>
      </c>
      <c r="AO45" t="str">
        <f t="shared" si="38"/>
        <v/>
      </c>
      <c r="AP45" t="str">
        <f t="shared" si="39"/>
        <v/>
      </c>
      <c r="AQ45" t="str">
        <f t="shared" si="40"/>
        <v/>
      </c>
      <c r="AR45" t="str">
        <f t="shared" si="41"/>
        <v/>
      </c>
      <c r="AS45" t="str">
        <f t="shared" si="42"/>
        <v/>
      </c>
      <c r="AT45" t="str">
        <f t="shared" si="43"/>
        <v/>
      </c>
      <c r="AU45" t="str">
        <f t="shared" si="44"/>
        <v/>
      </c>
      <c r="AV45" t="str">
        <f t="shared" si="31"/>
        <v/>
      </c>
      <c r="AW45" t="str">
        <f t="shared" si="32"/>
        <v/>
      </c>
      <c r="AY45" t="str">
        <f t="shared" si="45"/>
        <v/>
      </c>
      <c r="AZ45" t="str">
        <f t="shared" si="46"/>
        <v/>
      </c>
      <c r="BA45" t="str">
        <f t="shared" si="47"/>
        <v/>
      </c>
      <c r="BB45" t="str">
        <f t="shared" si="33"/>
        <v/>
      </c>
      <c r="BC45" t="str">
        <f t="shared" si="48"/>
        <v/>
      </c>
      <c r="BE45">
        <f t="shared" si="49"/>
        <v>12</v>
      </c>
      <c r="BF45">
        <f t="shared" si="50"/>
        <v>1</v>
      </c>
      <c r="BG45" t="str">
        <f t="shared" si="51"/>
        <v>stEx437.x1	 := FALSE;</v>
      </c>
      <c r="BH45" t="str">
        <f t="shared" si="34"/>
        <v xml:space="preserve">stEx437.x1	 := FALSE;
</v>
      </c>
    </row>
    <row r="46" spans="1:60" x14ac:dyDescent="0.55000000000000004">
      <c r="D46">
        <v>38</v>
      </c>
      <c r="E46" t="str">
        <f t="shared" si="35"/>
        <v>stEx438</v>
      </c>
      <c r="F46" t="str">
        <f t="shared" si="20"/>
        <v>stEx438</v>
      </c>
      <c r="G46" t="str">
        <f t="shared" si="36"/>
        <v>&gt;▼平板ｶｯﾄ</v>
      </c>
      <c r="Q46" t="s">
        <v>128</v>
      </c>
      <c r="R46" t="s">
        <v>51</v>
      </c>
      <c r="U46" t="b">
        <v>0</v>
      </c>
      <c r="V46" t="b">
        <v>0</v>
      </c>
      <c r="W46" t="b">
        <v>0</v>
      </c>
      <c r="X46" t="s">
        <v>129</v>
      </c>
      <c r="Z46" t="str">
        <f t="shared" si="21"/>
        <v/>
      </c>
      <c r="AA46" t="str">
        <f t="shared" si="22"/>
        <v/>
      </c>
      <c r="AB46" t="str">
        <f t="shared" si="22"/>
        <v/>
      </c>
      <c r="AC46" t="str">
        <f t="shared" si="22"/>
        <v/>
      </c>
      <c r="AD46" t="str">
        <f t="shared" si="52"/>
        <v/>
      </c>
      <c r="AE46" t="str">
        <f t="shared" si="52"/>
        <v/>
      </c>
      <c r="AF46" t="str">
        <f t="shared" si="24"/>
        <v/>
      </c>
      <c r="AG46" t="str">
        <f t="shared" si="25"/>
        <v/>
      </c>
      <c r="AH46" t="str">
        <f t="shared" si="26"/>
        <v/>
      </c>
      <c r="AI46" t="str">
        <f t="shared" si="27"/>
        <v/>
      </c>
      <c r="AJ46" t="str">
        <f t="shared" si="28"/>
        <v/>
      </c>
      <c r="AK46" t="str">
        <f t="shared" si="29"/>
        <v/>
      </c>
      <c r="AM46" t="str">
        <f t="shared" si="30"/>
        <v/>
      </c>
      <c r="AN46" t="str">
        <f t="shared" si="37"/>
        <v/>
      </c>
      <c r="AO46" t="str">
        <f t="shared" si="38"/>
        <v/>
      </c>
      <c r="AP46" t="str">
        <f t="shared" si="39"/>
        <v/>
      </c>
      <c r="AQ46" t="str">
        <f t="shared" si="40"/>
        <v/>
      </c>
      <c r="AR46" t="str">
        <f t="shared" si="41"/>
        <v/>
      </c>
      <c r="AS46" t="str">
        <f t="shared" si="42"/>
        <v/>
      </c>
      <c r="AT46" t="str">
        <f t="shared" si="43"/>
        <v/>
      </c>
      <c r="AU46" t="str">
        <f t="shared" si="44"/>
        <v/>
      </c>
      <c r="AV46" t="str">
        <f t="shared" si="31"/>
        <v/>
      </c>
      <c r="AW46" t="str">
        <f t="shared" si="32"/>
        <v/>
      </c>
      <c r="AY46" t="str">
        <f t="shared" si="45"/>
        <v/>
      </c>
      <c r="AZ46" t="str">
        <f t="shared" si="46"/>
        <v/>
      </c>
      <c r="BA46" t="str">
        <f t="shared" si="47"/>
        <v/>
      </c>
      <c r="BB46" t="str">
        <f t="shared" si="33"/>
        <v/>
      </c>
      <c r="BC46" t="str">
        <f t="shared" si="48"/>
        <v/>
      </c>
      <c r="BE46">
        <f t="shared" si="49"/>
        <v>12</v>
      </c>
      <c r="BF46">
        <f t="shared" si="50"/>
        <v>2</v>
      </c>
      <c r="BG46" t="str">
        <f t="shared" si="51"/>
        <v>stEx438.x2	 := FALSE;</v>
      </c>
      <c r="BH46" t="str">
        <f t="shared" si="34"/>
        <v xml:space="preserve">stEx438.x2	 := FALSE;
</v>
      </c>
    </row>
    <row r="47" spans="1:60" x14ac:dyDescent="0.55000000000000004">
      <c r="D47">
        <v>39</v>
      </c>
      <c r="E47" t="str">
        <f t="shared" si="35"/>
        <v>stEx439</v>
      </c>
      <c r="F47" t="str">
        <f t="shared" si="20"/>
        <v>stEx439</v>
      </c>
      <c r="G47" t="str">
        <f t="shared" si="36"/>
        <v>&gt;◆波板ｶｯﾄ 有無判定</v>
      </c>
      <c r="Q47" t="s">
        <v>130</v>
      </c>
      <c r="R47" t="s">
        <v>51</v>
      </c>
      <c r="U47" t="b">
        <v>0</v>
      </c>
      <c r="V47" t="b">
        <v>0</v>
      </c>
      <c r="W47" t="b">
        <v>0</v>
      </c>
      <c r="X47" t="s">
        <v>131</v>
      </c>
      <c r="Z47" t="str">
        <f t="shared" si="21"/>
        <v/>
      </c>
      <c r="AA47" t="str">
        <f t="shared" si="22"/>
        <v/>
      </c>
      <c r="AB47" t="str">
        <f t="shared" si="22"/>
        <v/>
      </c>
      <c r="AC47" t="str">
        <f t="shared" si="22"/>
        <v/>
      </c>
      <c r="AD47" t="str">
        <f t="shared" si="52"/>
        <v/>
      </c>
      <c r="AE47" t="str">
        <f t="shared" si="52"/>
        <v/>
      </c>
      <c r="AF47" t="str">
        <f t="shared" si="24"/>
        <v/>
      </c>
      <c r="AG47" t="str">
        <f t="shared" si="25"/>
        <v/>
      </c>
      <c r="AH47" t="str">
        <f t="shared" si="26"/>
        <v/>
      </c>
      <c r="AI47" t="str">
        <f t="shared" si="27"/>
        <v/>
      </c>
      <c r="AJ47" t="str">
        <f t="shared" si="28"/>
        <v/>
      </c>
      <c r="AK47" t="str">
        <f t="shared" si="29"/>
        <v/>
      </c>
      <c r="AM47" t="str">
        <f t="shared" si="30"/>
        <v/>
      </c>
      <c r="AN47" t="str">
        <f t="shared" si="37"/>
        <v/>
      </c>
      <c r="AO47" t="str">
        <f t="shared" si="38"/>
        <v/>
      </c>
      <c r="AP47" t="str">
        <f t="shared" si="39"/>
        <v/>
      </c>
      <c r="AQ47" t="str">
        <f t="shared" si="40"/>
        <v/>
      </c>
      <c r="AR47" t="str">
        <f t="shared" si="41"/>
        <v/>
      </c>
      <c r="AS47" t="str">
        <f t="shared" si="42"/>
        <v/>
      </c>
      <c r="AT47" t="str">
        <f t="shared" si="43"/>
        <v/>
      </c>
      <c r="AU47" t="str">
        <f t="shared" si="44"/>
        <v/>
      </c>
      <c r="AV47" t="str">
        <f t="shared" si="31"/>
        <v/>
      </c>
      <c r="AW47" t="str">
        <f t="shared" si="32"/>
        <v/>
      </c>
      <c r="AY47" t="str">
        <f t="shared" si="45"/>
        <v/>
      </c>
      <c r="AZ47" t="str">
        <f t="shared" si="46"/>
        <v/>
      </c>
      <c r="BA47" t="str">
        <f t="shared" si="47"/>
        <v/>
      </c>
      <c r="BB47" t="str">
        <f t="shared" si="33"/>
        <v/>
      </c>
      <c r="BC47" t="str">
        <f t="shared" si="48"/>
        <v/>
      </c>
      <c r="BE47">
        <f t="shared" si="49"/>
        <v>13</v>
      </c>
      <c r="BF47">
        <f t="shared" si="50"/>
        <v>0</v>
      </c>
      <c r="BG47" t="str">
        <f t="shared" si="51"/>
        <v>stEx439.x0	 := FALSE;</v>
      </c>
      <c r="BH47" t="str">
        <f t="shared" si="34"/>
        <v xml:space="preserve">stEx439.x0	 := FALSE;
</v>
      </c>
    </row>
    <row r="48" spans="1:60" x14ac:dyDescent="0.55000000000000004">
      <c r="D48">
        <v>40</v>
      </c>
      <c r="E48" t="str">
        <f t="shared" si="35"/>
        <v>stEx440</v>
      </c>
      <c r="F48" t="str">
        <f t="shared" si="20"/>
        <v>stEx440</v>
      </c>
      <c r="G48" t="str">
        <f t="shared" si="36"/>
        <v>&gt;&gt;●U02波板 ｶｯﾄ</v>
      </c>
      <c r="Q48" t="s">
        <v>132</v>
      </c>
      <c r="R48" t="s">
        <v>51</v>
      </c>
      <c r="U48" t="b">
        <v>0</v>
      </c>
      <c r="V48" t="b">
        <v>0</v>
      </c>
      <c r="W48" t="b">
        <v>0</v>
      </c>
      <c r="X48" t="s">
        <v>133</v>
      </c>
      <c r="Z48" t="str">
        <f t="shared" si="21"/>
        <v/>
      </c>
      <c r="AA48" t="str">
        <f t="shared" si="22"/>
        <v/>
      </c>
      <c r="AB48" t="str">
        <f t="shared" si="22"/>
        <v/>
      </c>
      <c r="AC48" t="str">
        <f t="shared" si="22"/>
        <v/>
      </c>
      <c r="AD48" t="str">
        <f t="shared" si="52"/>
        <v/>
      </c>
      <c r="AE48" t="str">
        <f t="shared" si="52"/>
        <v/>
      </c>
      <c r="AF48" t="str">
        <f t="shared" si="24"/>
        <v/>
      </c>
      <c r="AG48" t="str">
        <f t="shared" si="25"/>
        <v/>
      </c>
      <c r="AH48" t="str">
        <f t="shared" si="26"/>
        <v/>
      </c>
      <c r="AI48" t="str">
        <f t="shared" si="27"/>
        <v/>
      </c>
      <c r="AJ48" t="str">
        <f t="shared" si="28"/>
        <v/>
      </c>
      <c r="AK48" t="str">
        <f t="shared" si="29"/>
        <v/>
      </c>
      <c r="AM48" t="str">
        <f t="shared" si="30"/>
        <v>●</v>
      </c>
      <c r="AN48">
        <f t="shared" si="37"/>
        <v>4400</v>
      </c>
      <c r="AO48" t="str">
        <f t="shared" si="38"/>
        <v>LDP stEx440.x2</v>
      </c>
      <c r="AP48" t="str">
        <f t="shared" si="39"/>
        <v>AND=.D stM.udiErrNo #0</v>
      </c>
      <c r="AQ48" t="str">
        <f t="shared" si="40"/>
        <v>MOV.D #4400 stM.udiErrNo</v>
      </c>
      <c r="AR48" t="str">
        <f t="shared" si="41"/>
        <v/>
      </c>
      <c r="AS48" t="str">
        <f t="shared" si="42"/>
        <v xml:space="preserve">
LDP stEx440.x2</v>
      </c>
      <c r="AT48" t="str">
        <f t="shared" si="43"/>
        <v xml:space="preserve">
LDP stEx440.x2
AND=.D stM.udiErrNo #0</v>
      </c>
      <c r="AU48" t="str">
        <f t="shared" si="44"/>
        <v xml:space="preserve">
LDP stEx440.x2
AND=.D stM.udiErrNo #0
MOV.D #4400 stM.udiErrNo</v>
      </c>
      <c r="AV48" t="str">
        <f t="shared" si="31"/>
        <v xml:space="preserve">
LDP stEx440.x2
AND=.D stM.udiErrNo #0
MOV.D #4400 stM.udiErrNo
</v>
      </c>
      <c r="AW48" t="str">
        <f t="shared" si="32"/>
        <v xml:space="preserve">
LDP stEx440.x2
AND=.D stM.udiErrNo #0
MOV.D #4400 stM.udiErrNo
</v>
      </c>
      <c r="AY48" t="str">
        <f t="shared" ca="1" si="45"/>
        <v xml:space="preserve">
LDP stEx440.x2
AND=.D stM.udiErrNo #0
BOX_ST
;//このスクリプトは C:\tk\prj\hg-0025-0016\git\kv-x520\doc\[kv_script_exe_errno.xlsm]info_script によって生成されました。</v>
      </c>
      <c r="AZ48" t="str">
        <f t="shared" ca="1" si="46"/>
        <v xml:space="preserve">
LDP stEx440.x2
AND=.D stM.udiErrNo #0
BOX_ST
;//このスクリプトは C:\tk\prj\hg-0025-0016\git\kv-x520\doc\[kv_script_exe_errno.xlsm]info_script によって生成されました。
;//エラーNo.を入れる
;stM.udiErrNo	:= 4400;</v>
      </c>
      <c r="BA48" t="str">
        <f t="shared" ca="1" si="47"/>
        <v xml:space="preserve">
LDP stEx440.x2
AND=.D stM.udiErrNo #0
BOX_ST
;//このスクリプトは C:\tk\prj\hg-0025-0016\git\kv-x520\doc\[kv_script_exe_errno.xlsm]info_script によって生成されました。
;//エラーNo.を入れる
;stM.udiErrNo	:= 4400;
;//カウントする
;stM.uiEDCnt	:= stM.uiEDCnt + 1;</v>
      </c>
      <c r="BB48" t="str">
        <f t="shared" ca="1" si="33"/>
        <v xml:space="preserve">
LDP stEx440.x2
AND=.D stM.udiErrNo #0
BOX_ST
;//このスクリプトは C:\tk\prj\hg-0025-0016\git\kv-x520\doc\[kv_script_exe_errno.xlsm]info_script によって生成されました。
;//エラーNo.を入れる
;stM.udiErrNo	:= 4400;
;//カウントする
;stM.uiEDCnt	:= stM.uiEDCnt + 1;
</v>
      </c>
      <c r="BC48" t="str">
        <f t="shared" ca="1" si="48"/>
        <v xml:space="preserve">
LDP stEx440.x2
AND=.D stM.udiErrNo #0
BOX_ST
;//このスクリプトは C:\tk\prj\hg-0025-0016\git\kv-x520\doc\[kv_script_exe_errno.xlsm]info_script によって生成されました。
;//エラーNo.を入れる
;stM.udiErrNo	:= 4400;
;//カウントする
;stM.uiEDCnt	:= stM.uiEDCnt + 1;
;//-----ここまで生成script-----</v>
      </c>
      <c r="BE48">
        <f t="shared" si="49"/>
        <v>13</v>
      </c>
      <c r="BF48">
        <f t="shared" si="50"/>
        <v>1</v>
      </c>
      <c r="BG48" t="str">
        <f t="shared" si="51"/>
        <v>stEx440.x1	 := FALSE;</v>
      </c>
      <c r="BH48" t="str">
        <f t="shared" si="34"/>
        <v xml:space="preserve">stEx440.x1	 := FALSE;
</v>
      </c>
    </row>
    <row r="49" spans="4:60" x14ac:dyDescent="0.55000000000000004">
      <c r="D49">
        <v>41</v>
      </c>
      <c r="E49" t="str">
        <f t="shared" si="35"/>
        <v>stEx441</v>
      </c>
      <c r="F49" t="str">
        <f t="shared" si="20"/>
        <v>stEx441</v>
      </c>
      <c r="G49" t="str">
        <f t="shared" si="36"/>
        <v>&gt;▼波板ｶｯﾄ</v>
      </c>
      <c r="Q49" t="s">
        <v>134</v>
      </c>
      <c r="R49" t="s">
        <v>51</v>
      </c>
      <c r="U49" t="b">
        <v>0</v>
      </c>
      <c r="V49" t="b">
        <v>0</v>
      </c>
      <c r="W49" t="b">
        <v>0</v>
      </c>
      <c r="X49" t="s">
        <v>135</v>
      </c>
      <c r="Z49" t="str">
        <f t="shared" si="21"/>
        <v/>
      </c>
      <c r="AA49" t="str">
        <f t="shared" si="22"/>
        <v/>
      </c>
      <c r="AB49" t="str">
        <f t="shared" si="22"/>
        <v/>
      </c>
      <c r="AC49" t="str">
        <f t="shared" si="22"/>
        <v/>
      </c>
      <c r="AD49" t="str">
        <f t="shared" si="52"/>
        <v/>
      </c>
      <c r="AE49" t="str">
        <f t="shared" si="52"/>
        <v/>
      </c>
      <c r="AF49" t="str">
        <f t="shared" si="24"/>
        <v/>
      </c>
      <c r="AG49" t="str">
        <f t="shared" si="25"/>
        <v/>
      </c>
      <c r="AH49" t="str">
        <f t="shared" si="26"/>
        <v/>
      </c>
      <c r="AI49" t="str">
        <f t="shared" si="27"/>
        <v/>
      </c>
      <c r="AJ49" t="str">
        <f t="shared" si="28"/>
        <v/>
      </c>
      <c r="AK49" t="str">
        <f t="shared" si="29"/>
        <v/>
      </c>
      <c r="AM49" t="str">
        <f t="shared" si="30"/>
        <v/>
      </c>
      <c r="AN49" t="str">
        <f t="shared" si="37"/>
        <v/>
      </c>
      <c r="AO49" t="str">
        <f t="shared" si="38"/>
        <v/>
      </c>
      <c r="AP49" t="str">
        <f t="shared" si="39"/>
        <v/>
      </c>
      <c r="AQ49" t="str">
        <f t="shared" si="40"/>
        <v/>
      </c>
      <c r="AR49" t="str">
        <f t="shared" si="41"/>
        <v/>
      </c>
      <c r="AS49" t="str">
        <f t="shared" si="42"/>
        <v/>
      </c>
      <c r="AT49" t="str">
        <f t="shared" si="43"/>
        <v/>
      </c>
      <c r="AU49" t="str">
        <f t="shared" si="44"/>
        <v/>
      </c>
      <c r="AV49" t="str">
        <f t="shared" si="31"/>
        <v/>
      </c>
      <c r="AW49" t="str">
        <f t="shared" si="32"/>
        <v/>
      </c>
      <c r="AY49" t="str">
        <f t="shared" si="45"/>
        <v/>
      </c>
      <c r="AZ49" t="str">
        <f t="shared" si="46"/>
        <v/>
      </c>
      <c r="BA49" t="str">
        <f t="shared" si="47"/>
        <v/>
      </c>
      <c r="BB49" t="str">
        <f t="shared" si="33"/>
        <v/>
      </c>
      <c r="BC49" t="str">
        <f t="shared" si="48"/>
        <v/>
      </c>
      <c r="BE49">
        <f t="shared" si="49"/>
        <v>13</v>
      </c>
      <c r="BF49">
        <f t="shared" si="50"/>
        <v>2</v>
      </c>
      <c r="BG49" t="str">
        <f t="shared" si="51"/>
        <v>stEx441.x2	 := FALSE;</v>
      </c>
      <c r="BH49" t="str">
        <f t="shared" si="34"/>
        <v xml:space="preserve">stEx441.x2	 := FALSE;
</v>
      </c>
    </row>
    <row r="50" spans="4:60" x14ac:dyDescent="0.55000000000000004">
      <c r="D50">
        <v>42</v>
      </c>
      <c r="E50" t="str">
        <f t="shared" si="35"/>
        <v>stEx442</v>
      </c>
      <c r="F50" t="str">
        <f t="shared" si="20"/>
        <v>stEx442</v>
      </c>
      <c r="G50" t="str">
        <f t="shared" si="36"/>
        <v>&gt;△◆平板押え 上昇有無</v>
      </c>
      <c r="Q50" t="s">
        <v>136</v>
      </c>
      <c r="R50" t="s">
        <v>51</v>
      </c>
      <c r="U50" t="b">
        <v>0</v>
      </c>
      <c r="V50" t="b">
        <v>0</v>
      </c>
      <c r="W50" t="b">
        <v>0</v>
      </c>
      <c r="X50" t="s">
        <v>137</v>
      </c>
      <c r="Z50" t="str">
        <f t="shared" si="21"/>
        <v/>
      </c>
      <c r="AA50" t="str">
        <f t="shared" si="22"/>
        <v/>
      </c>
      <c r="AB50" t="str">
        <f t="shared" si="22"/>
        <v/>
      </c>
      <c r="AC50" t="str">
        <f t="shared" si="22"/>
        <v/>
      </c>
      <c r="AD50" t="str">
        <f t="shared" si="52"/>
        <v/>
      </c>
      <c r="AE50" t="str">
        <f t="shared" si="52"/>
        <v/>
      </c>
      <c r="AF50" t="str">
        <f t="shared" si="24"/>
        <v/>
      </c>
      <c r="AG50" t="str">
        <f t="shared" si="25"/>
        <v/>
      </c>
      <c r="AH50" t="str">
        <f t="shared" si="26"/>
        <v/>
      </c>
      <c r="AI50" t="str">
        <f t="shared" si="27"/>
        <v/>
      </c>
      <c r="AJ50" t="str">
        <f t="shared" si="28"/>
        <v/>
      </c>
      <c r="AK50" t="str">
        <f t="shared" si="29"/>
        <v/>
      </c>
      <c r="AM50" t="str">
        <f t="shared" si="30"/>
        <v/>
      </c>
      <c r="AN50" t="str">
        <f t="shared" si="37"/>
        <v/>
      </c>
      <c r="AO50" t="str">
        <f t="shared" si="38"/>
        <v/>
      </c>
      <c r="AP50" t="str">
        <f t="shared" si="39"/>
        <v/>
      </c>
      <c r="AQ50" t="str">
        <f t="shared" si="40"/>
        <v/>
      </c>
      <c r="AR50" t="str">
        <f t="shared" si="41"/>
        <v/>
      </c>
      <c r="AS50" t="str">
        <f t="shared" si="42"/>
        <v/>
      </c>
      <c r="AT50" t="str">
        <f t="shared" si="43"/>
        <v/>
      </c>
      <c r="AU50" t="str">
        <f t="shared" si="44"/>
        <v/>
      </c>
      <c r="AV50" t="str">
        <f t="shared" si="31"/>
        <v/>
      </c>
      <c r="AW50" t="str">
        <f t="shared" si="32"/>
        <v/>
      </c>
      <c r="AY50" t="str">
        <f t="shared" si="45"/>
        <v/>
      </c>
      <c r="AZ50" t="str">
        <f t="shared" si="46"/>
        <v/>
      </c>
      <c r="BA50" t="str">
        <f t="shared" si="47"/>
        <v/>
      </c>
      <c r="BB50" t="str">
        <f t="shared" si="33"/>
        <v/>
      </c>
      <c r="BC50" t="str">
        <f t="shared" si="48"/>
        <v/>
      </c>
      <c r="BE50">
        <f t="shared" si="49"/>
        <v>14</v>
      </c>
      <c r="BF50">
        <f t="shared" si="50"/>
        <v>0</v>
      </c>
      <c r="BG50" t="str">
        <f t="shared" si="51"/>
        <v>stEx442.x0	 := FALSE;</v>
      </c>
      <c r="BH50" t="str">
        <f t="shared" si="34"/>
        <v xml:space="preserve">stEx442.x0	 := FALSE;
</v>
      </c>
    </row>
    <row r="51" spans="4:60" x14ac:dyDescent="0.55000000000000004">
      <c r="D51">
        <v>43</v>
      </c>
      <c r="E51" t="str">
        <f t="shared" si="35"/>
        <v>stEx443</v>
      </c>
      <c r="F51" t="str">
        <f t="shared" si="20"/>
        <v>stEx443</v>
      </c>
      <c r="G51" t="str">
        <f t="shared" si="36"/>
        <v>&gt;&gt;●CYL07平板押え 上昇</v>
      </c>
      <c r="Q51" t="s">
        <v>138</v>
      </c>
      <c r="R51" t="s">
        <v>51</v>
      </c>
      <c r="U51" t="b">
        <v>0</v>
      </c>
      <c r="V51" t="b">
        <v>0</v>
      </c>
      <c r="W51" t="b">
        <v>0</v>
      </c>
      <c r="X51" t="s">
        <v>139</v>
      </c>
      <c r="Z51" t="str">
        <f t="shared" si="21"/>
        <v/>
      </c>
      <c r="AA51">
        <f t="shared" si="22"/>
        <v>7</v>
      </c>
      <c r="AB51" t="str">
        <f t="shared" si="22"/>
        <v/>
      </c>
      <c r="AC51" t="str">
        <f t="shared" si="22"/>
        <v/>
      </c>
      <c r="AD51" t="str">
        <f t="shared" si="52"/>
        <v/>
      </c>
      <c r="AE51" t="str">
        <f t="shared" si="52"/>
        <v/>
      </c>
      <c r="AF51" t="str">
        <f t="shared" si="24"/>
        <v/>
      </c>
      <c r="AG51" t="str">
        <f t="shared" si="25"/>
        <v/>
      </c>
      <c r="AH51" t="str">
        <f t="shared" si="26"/>
        <v>stDevOut.astCYL[6]</v>
      </c>
      <c r="AI51" t="str">
        <f t="shared" si="27"/>
        <v/>
      </c>
      <c r="AJ51" t="str">
        <f t="shared" si="28"/>
        <v/>
      </c>
      <c r="AK51" t="str">
        <f t="shared" si="29"/>
        <v>stDevOut.astCYL[6]</v>
      </c>
      <c r="AM51" t="str">
        <f t="shared" si="30"/>
        <v>●</v>
      </c>
      <c r="AN51">
        <f t="shared" si="37"/>
        <v>4430</v>
      </c>
      <c r="AO51" t="str">
        <f t="shared" si="38"/>
        <v>LDP stEx443.x2</v>
      </c>
      <c r="AP51" t="str">
        <f t="shared" si="39"/>
        <v>AND=.D stM.udiErrNo #0</v>
      </c>
      <c r="AQ51" t="str">
        <f t="shared" si="40"/>
        <v>MOV.D #4430 stM.udiErrNo</v>
      </c>
      <c r="AR51" t="str">
        <f t="shared" si="41"/>
        <v>MOV.D stDevOut.astCYL[6] stM.udiSubErr</v>
      </c>
      <c r="AS51" t="str">
        <f t="shared" si="42"/>
        <v xml:space="preserve">
LDP stEx443.x2</v>
      </c>
      <c r="AT51" t="str">
        <f t="shared" si="43"/>
        <v xml:space="preserve">
LDP stEx443.x2
AND=.D stM.udiErrNo #0</v>
      </c>
      <c r="AU51" t="str">
        <f t="shared" si="44"/>
        <v xml:space="preserve">
LDP stEx443.x2
AND=.D stM.udiErrNo #0
MOV.D #4430 stM.udiErrNo</v>
      </c>
      <c r="AV51" t="str">
        <f t="shared" si="31"/>
        <v xml:space="preserve">
LDP stEx443.x2
AND=.D stM.udiErrNo #0
MOV.D #4430 stM.udiErrNo
MOV.D stDevOut.astCYL[6] stM.udiSubErr</v>
      </c>
      <c r="AW51" t="str">
        <f t="shared" si="32"/>
        <v xml:space="preserve">
LDP stEx443.x2
AND=.D stM.udiErrNo #0
MOV.D #4430 stM.udiErrNo
MOV.D stDevOut.astCYL[6] stM.udiSubErr</v>
      </c>
      <c r="AY51" t="str">
        <f t="shared" ca="1" si="45"/>
        <v xml:space="preserve">
LDP stEx443.x2
AND=.D stM.udiErrNo #0
BOX_ST
;//このスクリプトは C:\tk\prj\hg-0025-0016\git\kv-x520\doc\[kv_script_exe_errno.xlsm]info_script によって生成されました。</v>
      </c>
      <c r="AZ51" t="str">
        <f t="shared" ca="1" si="46"/>
        <v xml:space="preserve">
LDP stEx443.x2
AND=.D stM.udiErrNo #0
BOX_ST
;//このスクリプトは C:\tk\prj\hg-0025-0016\git\kv-x520\doc\[kv_script_exe_errno.xlsm]info_script によって生成されました。
;//エラーNo.を入れる
;stM.udiErrNo	:= 4430;</v>
      </c>
      <c r="BA51" t="str">
        <f t="shared" ca="1" si="47"/>
        <v xml:space="preserve">
LDP stEx443.x2
AND=.D stM.udiErrNo #0
BOX_ST
;//このスクリプトは C:\tk\prj\hg-0025-0016\git\kv-x520\doc\[kv_script_exe_errno.xlsm]info_script によって生成されました。
;//エラーNo.を入れる
;stM.udiErrNo	:= 4430;
;//カウントする
;stM.uiEDCnt	:= stM.uiEDCnt + 1;</v>
      </c>
      <c r="BB51" t="str">
        <f t="shared" ca="1" si="33"/>
        <v xml:space="preserve">
LDP stEx443.x2
AND=.D stM.udiErrNo #0
BOX_ST
;//このスクリプトは C:\tk\prj\hg-0025-0016\git\kv-x520\doc\[kv_script_exe_errno.xlsm]info_script によって生成されました。
;//エラーNo.を入れる
;stM.udiErrNo	:= 4430;
;//カウントする
;stM.uiEDCnt	:= stM.uiEDCnt + 1;
;//エラーコードを入れる
;stM.udiSubErr	:= stDevOut.astCYL[6].udiErrNo;</v>
      </c>
      <c r="BC51" t="str">
        <f t="shared" ca="1" si="48"/>
        <v xml:space="preserve">
LDP stEx443.x2
AND=.D stM.udiErrNo #0
BOX_ST
;//このスクリプトは C:\tk\prj\hg-0025-0016\git\kv-x520\doc\[kv_script_exe_errno.xlsm]info_script によって生成されました。
;//エラーNo.を入れる
;stM.udiErrNo	:= 4430;
;//カウントする
;stM.uiEDCnt	:= stM.uiEDCnt + 1;
;//エラーコードを入れる
;stM.udiSubErr	:= stDevOut.astCYL[6].udiErrNo;
;//-----ここまで生成script-----</v>
      </c>
      <c r="BE51">
        <f t="shared" si="49"/>
        <v>14</v>
      </c>
      <c r="BF51">
        <f t="shared" si="50"/>
        <v>1</v>
      </c>
      <c r="BG51" t="str">
        <f t="shared" si="51"/>
        <v>stEx443.x1	 := FALSE;</v>
      </c>
      <c r="BH51" t="str">
        <f t="shared" si="34"/>
        <v xml:space="preserve">stEx443.x1	 := FALSE;
</v>
      </c>
    </row>
    <row r="52" spans="4:60" x14ac:dyDescent="0.55000000000000004">
      <c r="D52">
        <v>44</v>
      </c>
      <c r="E52" t="str">
        <f t="shared" si="35"/>
        <v>stEx444</v>
      </c>
      <c r="F52" t="str">
        <f t="shared" si="20"/>
        <v>stEx444</v>
      </c>
      <c r="G52" t="str">
        <f t="shared" si="36"/>
        <v>&gt;&gt;巻き締まり 待機</v>
      </c>
      <c r="Q52" t="s">
        <v>140</v>
      </c>
      <c r="R52" t="s">
        <v>51</v>
      </c>
      <c r="U52" t="b">
        <v>0</v>
      </c>
      <c r="V52" t="b">
        <v>0</v>
      </c>
      <c r="W52" t="b">
        <v>0</v>
      </c>
      <c r="X52" t="s">
        <v>141</v>
      </c>
      <c r="Z52" t="str">
        <f t="shared" si="21"/>
        <v/>
      </c>
      <c r="AA52" t="str">
        <f t="shared" si="22"/>
        <v/>
      </c>
      <c r="AB52" t="str">
        <f t="shared" si="22"/>
        <v/>
      </c>
      <c r="AC52" t="str">
        <f t="shared" si="22"/>
        <v/>
      </c>
      <c r="AD52" t="str">
        <f t="shared" si="52"/>
        <v/>
      </c>
      <c r="AE52" t="str">
        <f t="shared" si="52"/>
        <v/>
      </c>
      <c r="AF52" t="str">
        <f t="shared" si="24"/>
        <v/>
      </c>
      <c r="AG52" t="str">
        <f t="shared" si="25"/>
        <v/>
      </c>
      <c r="AH52" t="str">
        <f t="shared" si="26"/>
        <v/>
      </c>
      <c r="AI52" t="str">
        <f t="shared" si="27"/>
        <v/>
      </c>
      <c r="AJ52" t="str">
        <f t="shared" si="28"/>
        <v/>
      </c>
      <c r="AK52" t="str">
        <f t="shared" si="29"/>
        <v/>
      </c>
      <c r="AM52" t="str">
        <f t="shared" si="30"/>
        <v>●</v>
      </c>
      <c r="AN52">
        <f t="shared" si="37"/>
        <v>4440</v>
      </c>
      <c r="AO52" t="str">
        <f t="shared" si="38"/>
        <v>LDP stEx444.x2</v>
      </c>
      <c r="AP52" t="str">
        <f t="shared" si="39"/>
        <v>AND=.D stM.udiErrNo #0</v>
      </c>
      <c r="AQ52" t="str">
        <f t="shared" si="40"/>
        <v>MOV.D #4440 stM.udiErrNo</v>
      </c>
      <c r="AR52" t="str">
        <f t="shared" si="41"/>
        <v/>
      </c>
      <c r="AS52" t="str">
        <f t="shared" si="42"/>
        <v xml:space="preserve">
LDP stEx444.x2</v>
      </c>
      <c r="AT52" t="str">
        <f t="shared" si="43"/>
        <v xml:space="preserve">
LDP stEx444.x2
AND=.D stM.udiErrNo #0</v>
      </c>
      <c r="AU52" t="str">
        <f t="shared" si="44"/>
        <v xml:space="preserve">
LDP stEx444.x2
AND=.D stM.udiErrNo #0
MOV.D #4440 stM.udiErrNo</v>
      </c>
      <c r="AV52" t="str">
        <f t="shared" si="31"/>
        <v xml:space="preserve">
LDP stEx444.x2
AND=.D stM.udiErrNo #0
MOV.D #4440 stM.udiErrNo
</v>
      </c>
      <c r="AW52" t="str">
        <f t="shared" si="32"/>
        <v xml:space="preserve">
LDP stEx444.x2
AND=.D stM.udiErrNo #0
MOV.D #4440 stM.udiErrNo
</v>
      </c>
      <c r="AY52" t="str">
        <f t="shared" ca="1" si="45"/>
        <v xml:space="preserve">
LDP stEx444.x2
AND=.D stM.udiErrNo #0
BOX_ST
;//このスクリプトは C:\tk\prj\hg-0025-0016\git\kv-x520\doc\[kv_script_exe_errno.xlsm]info_script によって生成されました。</v>
      </c>
      <c r="AZ52" t="str">
        <f t="shared" ca="1" si="46"/>
        <v xml:space="preserve">
LDP stEx444.x2
AND=.D stM.udiErrNo #0
BOX_ST
;//このスクリプトは C:\tk\prj\hg-0025-0016\git\kv-x520\doc\[kv_script_exe_errno.xlsm]info_script によって生成されました。
;//エラーNo.を入れる
;stM.udiErrNo	:= 4440;</v>
      </c>
      <c r="BA52" t="str">
        <f t="shared" ca="1" si="47"/>
        <v xml:space="preserve">
LDP stEx444.x2
AND=.D stM.udiErrNo #0
BOX_ST
;//このスクリプトは C:\tk\prj\hg-0025-0016\git\kv-x520\doc\[kv_script_exe_errno.xlsm]info_script によって生成されました。
;//エラーNo.を入れる
;stM.udiErrNo	:= 4440;
;//カウントする
;stM.uiEDCnt	:= stM.uiEDCnt + 1;</v>
      </c>
      <c r="BB52" t="str">
        <f t="shared" ca="1" si="33"/>
        <v xml:space="preserve">
LDP stEx444.x2
AND=.D stM.udiErrNo #0
BOX_ST
;//このスクリプトは C:\tk\prj\hg-0025-0016\git\kv-x520\doc\[kv_script_exe_errno.xlsm]info_script によって生成されました。
;//エラーNo.を入れる
;stM.udiErrNo	:= 4440;
;//カウントする
;stM.uiEDCnt	:= stM.uiEDCnt + 1;
</v>
      </c>
      <c r="BC52" t="str">
        <f t="shared" ca="1" si="48"/>
        <v xml:space="preserve">
LDP stEx444.x2
AND=.D stM.udiErrNo #0
BOX_ST
;//このスクリプトは C:\tk\prj\hg-0025-0016\git\kv-x520\doc\[kv_script_exe_errno.xlsm]info_script によって生成されました。
;//エラーNo.を入れる
;stM.udiErrNo	:= 4440;
;//カウントする
;stM.uiEDCnt	:= stM.uiEDCnt + 1;
;//-----ここまで生成script-----</v>
      </c>
      <c r="BE52">
        <f t="shared" si="49"/>
        <v>14</v>
      </c>
      <c r="BF52">
        <f t="shared" si="50"/>
        <v>2</v>
      </c>
      <c r="BG52" t="str">
        <f t="shared" si="51"/>
        <v>stEx444.x2	 := FALSE;</v>
      </c>
      <c r="BH52" t="str">
        <f t="shared" si="34"/>
        <v xml:space="preserve">stEx444.x2	 := FALSE;
</v>
      </c>
    </row>
    <row r="53" spans="4:60" x14ac:dyDescent="0.55000000000000004">
      <c r="D53">
        <v>45</v>
      </c>
      <c r="E53" t="str">
        <f t="shared" si="35"/>
        <v>stEx445</v>
      </c>
      <c r="F53" t="str">
        <f t="shared" si="20"/>
        <v>stEx445</v>
      </c>
      <c r="G53" t="str">
        <f t="shared" si="36"/>
        <v>&gt;▼平板押え 下降</v>
      </c>
      <c r="Q53" t="s">
        <v>142</v>
      </c>
      <c r="R53" t="s">
        <v>51</v>
      </c>
      <c r="U53" t="b">
        <v>0</v>
      </c>
      <c r="V53" t="b">
        <v>0</v>
      </c>
      <c r="W53" t="b">
        <v>0</v>
      </c>
      <c r="X53" t="s">
        <v>143</v>
      </c>
      <c r="Z53" t="str">
        <f t="shared" si="21"/>
        <v/>
      </c>
      <c r="AA53" t="str">
        <f t="shared" si="22"/>
        <v/>
      </c>
      <c r="AB53" t="str">
        <f t="shared" si="22"/>
        <v/>
      </c>
      <c r="AC53" t="str">
        <f t="shared" si="22"/>
        <v/>
      </c>
      <c r="AD53" t="str">
        <f t="shared" si="52"/>
        <v/>
      </c>
      <c r="AE53" t="str">
        <f t="shared" si="52"/>
        <v/>
      </c>
      <c r="AF53" t="str">
        <f t="shared" si="24"/>
        <v/>
      </c>
      <c r="AG53" t="str">
        <f t="shared" si="25"/>
        <v/>
      </c>
      <c r="AH53" t="str">
        <f t="shared" si="26"/>
        <v/>
      </c>
      <c r="AI53" t="str">
        <f t="shared" si="27"/>
        <v/>
      </c>
      <c r="AJ53" t="str">
        <f t="shared" si="28"/>
        <v/>
      </c>
      <c r="AK53" t="str">
        <f t="shared" si="29"/>
        <v/>
      </c>
      <c r="AM53" t="str">
        <f t="shared" si="30"/>
        <v/>
      </c>
      <c r="AN53" t="str">
        <f t="shared" si="37"/>
        <v/>
      </c>
      <c r="AO53" t="str">
        <f t="shared" si="38"/>
        <v/>
      </c>
      <c r="AP53" t="str">
        <f t="shared" si="39"/>
        <v/>
      </c>
      <c r="AQ53" t="str">
        <f t="shared" si="40"/>
        <v/>
      </c>
      <c r="AR53" t="str">
        <f t="shared" si="41"/>
        <v/>
      </c>
      <c r="AS53" t="str">
        <f t="shared" si="42"/>
        <v/>
      </c>
      <c r="AT53" t="str">
        <f t="shared" si="43"/>
        <v/>
      </c>
      <c r="AU53" t="str">
        <f t="shared" si="44"/>
        <v/>
      </c>
      <c r="AV53" t="str">
        <f t="shared" si="31"/>
        <v/>
      </c>
      <c r="AW53" t="str">
        <f t="shared" si="32"/>
        <v/>
      </c>
      <c r="AY53" t="str">
        <f t="shared" si="45"/>
        <v/>
      </c>
      <c r="AZ53" t="str">
        <f t="shared" si="46"/>
        <v/>
      </c>
      <c r="BA53" t="str">
        <f t="shared" si="47"/>
        <v/>
      </c>
      <c r="BB53" t="str">
        <f t="shared" si="33"/>
        <v/>
      </c>
      <c r="BC53" t="str">
        <f t="shared" si="48"/>
        <v/>
      </c>
      <c r="BE53">
        <f t="shared" si="49"/>
        <v>15</v>
      </c>
      <c r="BF53">
        <f t="shared" si="50"/>
        <v>0</v>
      </c>
      <c r="BG53" t="str">
        <f t="shared" si="51"/>
        <v>stEx445.x0	 := FALSE;</v>
      </c>
      <c r="BH53" t="str">
        <f t="shared" si="34"/>
        <v xml:space="preserve">stEx445.x0	 := FALSE;
</v>
      </c>
    </row>
    <row r="54" spans="4:60" x14ac:dyDescent="0.55000000000000004">
      <c r="D54">
        <v>46</v>
      </c>
      <c r="E54" t="str">
        <f t="shared" si="35"/>
        <v>stEx446</v>
      </c>
      <c r="F54" t="str">
        <f t="shared" si="20"/>
        <v>stEx446</v>
      </c>
      <c r="G54" t="str">
        <f t="shared" si="36"/>
        <v>&gt;▼ｶｯﾄ処理</v>
      </c>
      <c r="Q54" t="s">
        <v>144</v>
      </c>
      <c r="R54" t="s">
        <v>51</v>
      </c>
      <c r="U54" t="b">
        <v>0</v>
      </c>
      <c r="V54" t="b">
        <v>0</v>
      </c>
      <c r="W54" t="b">
        <v>0</v>
      </c>
      <c r="X54" t="s">
        <v>145</v>
      </c>
      <c r="Z54" t="str">
        <f t="shared" si="21"/>
        <v/>
      </c>
      <c r="AA54" t="str">
        <f t="shared" si="22"/>
        <v/>
      </c>
      <c r="AB54" t="str">
        <f t="shared" si="22"/>
        <v/>
      </c>
      <c r="AC54" t="str">
        <f t="shared" si="22"/>
        <v/>
      </c>
      <c r="AD54" t="str">
        <f t="shared" si="52"/>
        <v/>
      </c>
      <c r="AE54" t="str">
        <f t="shared" si="52"/>
        <v/>
      </c>
      <c r="AF54" t="str">
        <f t="shared" si="24"/>
        <v/>
      </c>
      <c r="AG54" t="str">
        <f t="shared" si="25"/>
        <v/>
      </c>
      <c r="AH54" t="str">
        <f t="shared" si="26"/>
        <v/>
      </c>
      <c r="AI54" t="str">
        <f t="shared" si="27"/>
        <v/>
      </c>
      <c r="AJ54" t="str">
        <f t="shared" si="28"/>
        <v/>
      </c>
      <c r="AK54" t="str">
        <f t="shared" si="29"/>
        <v/>
      </c>
      <c r="AM54" t="str">
        <f t="shared" si="30"/>
        <v/>
      </c>
      <c r="AN54" t="str">
        <f t="shared" si="37"/>
        <v/>
      </c>
      <c r="AO54" t="str">
        <f t="shared" si="38"/>
        <v/>
      </c>
      <c r="AP54" t="str">
        <f t="shared" si="39"/>
        <v/>
      </c>
      <c r="AQ54" t="str">
        <f t="shared" si="40"/>
        <v/>
      </c>
      <c r="AR54" t="str">
        <f t="shared" si="41"/>
        <v/>
      </c>
      <c r="AS54" t="str">
        <f t="shared" si="42"/>
        <v/>
      </c>
      <c r="AT54" t="str">
        <f t="shared" si="43"/>
        <v/>
      </c>
      <c r="AU54" t="str">
        <f t="shared" si="44"/>
        <v/>
      </c>
      <c r="AV54" t="str">
        <f t="shared" si="31"/>
        <v/>
      </c>
      <c r="AW54" t="str">
        <f t="shared" si="32"/>
        <v/>
      </c>
      <c r="AY54" t="str">
        <f t="shared" si="45"/>
        <v/>
      </c>
      <c r="AZ54" t="str">
        <f t="shared" si="46"/>
        <v/>
      </c>
      <c r="BA54" t="str">
        <f t="shared" si="47"/>
        <v/>
      </c>
      <c r="BB54" t="str">
        <f t="shared" si="33"/>
        <v/>
      </c>
      <c r="BC54" t="str">
        <f t="shared" si="48"/>
        <v/>
      </c>
      <c r="BE54">
        <f t="shared" si="49"/>
        <v>15</v>
      </c>
      <c r="BF54">
        <f t="shared" si="50"/>
        <v>1</v>
      </c>
      <c r="BG54" t="str">
        <f t="shared" si="51"/>
        <v>stEx446.x1	 := FALSE;</v>
      </c>
      <c r="BH54" t="str">
        <f t="shared" si="34"/>
        <v xml:space="preserve">stEx446.x1	 := FALSE;
</v>
      </c>
    </row>
    <row r="55" spans="4:60" x14ac:dyDescent="0.55000000000000004">
      <c r="D55">
        <v>47</v>
      </c>
      <c r="E55" t="str">
        <f t="shared" si="35"/>
        <v>stEx447</v>
      </c>
      <c r="F55" t="str">
        <f t="shared" si="20"/>
        <v>stEx447</v>
      </c>
      <c r="G55" t="str">
        <f t="shared" si="36"/>
        <v>△◆波板ﾉﾘ 有無判定</v>
      </c>
      <c r="Q55" t="s">
        <v>146</v>
      </c>
      <c r="R55" t="s">
        <v>51</v>
      </c>
      <c r="U55" t="b">
        <v>0</v>
      </c>
      <c r="V55" t="b">
        <v>0</v>
      </c>
      <c r="W55" t="b">
        <v>0</v>
      </c>
      <c r="X55" t="s">
        <v>147</v>
      </c>
      <c r="Z55" t="str">
        <f t="shared" si="21"/>
        <v/>
      </c>
      <c r="AA55" t="str">
        <f t="shared" si="22"/>
        <v/>
      </c>
      <c r="AB55" t="str">
        <f t="shared" si="22"/>
        <v/>
      </c>
      <c r="AC55" t="str">
        <f t="shared" si="22"/>
        <v/>
      </c>
      <c r="AD55" t="str">
        <f t="shared" si="52"/>
        <v/>
      </c>
      <c r="AE55" t="str">
        <f t="shared" si="52"/>
        <v/>
      </c>
      <c r="AF55" t="str">
        <f t="shared" si="24"/>
        <v/>
      </c>
      <c r="AG55" t="str">
        <f t="shared" si="25"/>
        <v/>
      </c>
      <c r="AH55" t="str">
        <f t="shared" si="26"/>
        <v/>
      </c>
      <c r="AI55" t="str">
        <f t="shared" si="27"/>
        <v/>
      </c>
      <c r="AJ55" t="str">
        <f t="shared" si="28"/>
        <v/>
      </c>
      <c r="AK55" t="str">
        <f t="shared" si="29"/>
        <v/>
      </c>
      <c r="AM55" t="str">
        <f t="shared" si="30"/>
        <v/>
      </c>
      <c r="AN55" t="str">
        <f t="shared" si="37"/>
        <v/>
      </c>
      <c r="AO55" t="str">
        <f t="shared" si="38"/>
        <v/>
      </c>
      <c r="AP55" t="str">
        <f t="shared" si="39"/>
        <v/>
      </c>
      <c r="AQ55" t="str">
        <f t="shared" si="40"/>
        <v/>
      </c>
      <c r="AR55" t="str">
        <f t="shared" si="41"/>
        <v/>
      </c>
      <c r="AS55" t="str">
        <f t="shared" si="42"/>
        <v/>
      </c>
      <c r="AT55" t="str">
        <f t="shared" si="43"/>
        <v/>
      </c>
      <c r="AU55" t="str">
        <f t="shared" si="44"/>
        <v/>
      </c>
      <c r="AV55" t="str">
        <f t="shared" si="31"/>
        <v/>
      </c>
      <c r="AW55" t="str">
        <f t="shared" si="32"/>
        <v/>
      </c>
      <c r="AY55" t="str">
        <f t="shared" si="45"/>
        <v/>
      </c>
      <c r="AZ55" t="str">
        <f t="shared" si="46"/>
        <v/>
      </c>
      <c r="BA55" t="str">
        <f t="shared" si="47"/>
        <v/>
      </c>
      <c r="BB55" t="str">
        <f t="shared" si="33"/>
        <v/>
      </c>
      <c r="BC55" t="str">
        <f t="shared" si="48"/>
        <v/>
      </c>
      <c r="BE55">
        <f t="shared" si="49"/>
        <v>15</v>
      </c>
      <c r="BF55">
        <f t="shared" si="50"/>
        <v>2</v>
      </c>
      <c r="BG55" t="str">
        <f t="shared" si="51"/>
        <v>stEx447.x2	 := FALSE;</v>
      </c>
      <c r="BH55" t="str">
        <f t="shared" si="34"/>
        <v xml:space="preserve">stEx447.x2	 := FALSE;
</v>
      </c>
    </row>
    <row r="56" spans="4:60" x14ac:dyDescent="0.55000000000000004">
      <c r="D56">
        <v>48</v>
      </c>
      <c r="E56" t="str">
        <f t="shared" si="35"/>
        <v>stEx448</v>
      </c>
      <c r="F56" t="str">
        <f t="shared" si="20"/>
        <v>stEx448</v>
      </c>
      <c r="G56" t="str">
        <f t="shared" si="36"/>
        <v>&gt;●AXO17 波板補助 退避</v>
      </c>
      <c r="Q56" t="s">
        <v>148</v>
      </c>
      <c r="R56" t="s">
        <v>51</v>
      </c>
      <c r="U56" t="b">
        <v>0</v>
      </c>
      <c r="V56" t="b">
        <v>0</v>
      </c>
      <c r="W56" t="b">
        <v>0</v>
      </c>
      <c r="X56" t="s">
        <v>149</v>
      </c>
      <c r="Z56">
        <f t="shared" si="21"/>
        <v>17</v>
      </c>
      <c r="AA56" t="str">
        <f t="shared" si="22"/>
        <v/>
      </c>
      <c r="AB56" t="str">
        <f t="shared" si="22"/>
        <v/>
      </c>
      <c r="AC56" t="str">
        <f t="shared" si="22"/>
        <v/>
      </c>
      <c r="AD56" t="str">
        <f t="shared" si="52"/>
        <v/>
      </c>
      <c r="AE56" t="str">
        <f t="shared" si="52"/>
        <v/>
      </c>
      <c r="AF56" t="str">
        <f t="shared" si="24"/>
        <v>stDevOut.astAXO[3]</v>
      </c>
      <c r="AG56" t="str">
        <f t="shared" si="25"/>
        <v/>
      </c>
      <c r="AH56" t="str">
        <f t="shared" si="26"/>
        <v/>
      </c>
      <c r="AI56" t="str">
        <f t="shared" si="27"/>
        <v/>
      </c>
      <c r="AJ56" t="str">
        <f t="shared" si="28"/>
        <v/>
      </c>
      <c r="AK56" t="str">
        <f t="shared" si="29"/>
        <v>stDevOut.astAXO[3]</v>
      </c>
      <c r="AM56" t="str">
        <f t="shared" si="30"/>
        <v>●</v>
      </c>
      <c r="AN56">
        <f t="shared" si="37"/>
        <v>4480</v>
      </c>
      <c r="AO56" t="str">
        <f t="shared" si="38"/>
        <v>LDP stEx448.x2</v>
      </c>
      <c r="AP56" t="str">
        <f t="shared" si="39"/>
        <v>AND=.D stM.udiErrNo #0</v>
      </c>
      <c r="AQ56" t="str">
        <f t="shared" si="40"/>
        <v>MOV.D #4480 stM.udiErrNo</v>
      </c>
      <c r="AR56" t="str">
        <f t="shared" si="41"/>
        <v>MOV.D stDevOut.astAXO[3] stM.udiSubErr</v>
      </c>
      <c r="AS56" t="str">
        <f t="shared" si="42"/>
        <v xml:space="preserve">
LDP stEx448.x2</v>
      </c>
      <c r="AT56" t="str">
        <f t="shared" si="43"/>
        <v xml:space="preserve">
LDP stEx448.x2
AND=.D stM.udiErrNo #0</v>
      </c>
      <c r="AU56" t="str">
        <f t="shared" si="44"/>
        <v xml:space="preserve">
LDP stEx448.x2
AND=.D stM.udiErrNo #0
MOV.D #4480 stM.udiErrNo</v>
      </c>
      <c r="AV56" t="str">
        <f t="shared" si="31"/>
        <v xml:space="preserve">
LDP stEx448.x2
AND=.D stM.udiErrNo #0
MOV.D #4480 stM.udiErrNo
MOV.D stDevOut.astAXO[3] stM.udiSubErr</v>
      </c>
      <c r="AW56" t="str">
        <f t="shared" si="32"/>
        <v xml:space="preserve">
LDP stEx448.x2
AND=.D stM.udiErrNo #0
MOV.D #4480 stM.udiErrNo
MOV.D stDevOut.astAXO[3] stM.udiSubErr</v>
      </c>
      <c r="AY56" t="str">
        <f t="shared" ca="1" si="45"/>
        <v xml:space="preserve">
LDP stEx448.x2
AND=.D stM.udiErrNo #0
BOX_ST
;//このスクリプトは C:\tk\prj\hg-0025-0016\git\kv-x520\doc\[kv_script_exe_errno.xlsm]info_script によって生成されました。</v>
      </c>
      <c r="AZ56" t="str">
        <f t="shared" ca="1" si="46"/>
        <v xml:space="preserve">
LDP stEx448.x2
AND=.D stM.udiErrNo #0
BOX_ST
;//このスクリプトは C:\tk\prj\hg-0025-0016\git\kv-x520\doc\[kv_script_exe_errno.xlsm]info_script によって生成されました。
;//エラーNo.を入れる
;stM.udiErrNo	:= 4480;</v>
      </c>
      <c r="BA56" t="str">
        <f t="shared" ca="1" si="47"/>
        <v xml:space="preserve">
LDP stEx448.x2
AND=.D stM.udiErrNo #0
BOX_ST
;//このスクリプトは C:\tk\prj\hg-0025-0016\git\kv-x520\doc\[kv_script_exe_errno.xlsm]info_script によって生成されました。
;//エラーNo.を入れる
;stM.udiErrNo	:= 4480;
;//カウントする
;stM.uiEDCnt	:= stM.uiEDCnt + 1;</v>
      </c>
      <c r="BB56" t="str">
        <f t="shared" ca="1" si="33"/>
        <v xml:space="preserve">
LDP stEx448.x2
AND=.D stM.udiErrNo #0
BOX_ST
;//このスクリプトは C:\tk\prj\hg-0025-0016\git\kv-x520\doc\[kv_script_exe_errno.xlsm]info_script によって生成されました。
;//エラーNo.を入れる
;stM.udiErrNo	:= 4480;
;//カウントする
;stM.uiEDCnt	:= stM.uiEDCnt + 1;
;//エラーコードを入れる
;stM.udiSubErr	:= stDevOut.astAXO[3].udiErrNo;</v>
      </c>
      <c r="BC56" t="str">
        <f t="shared" ca="1" si="48"/>
        <v xml:space="preserve">
LDP stEx448.x2
AND=.D stM.udiErrNo #0
BOX_ST
;//このスクリプトは C:\tk\prj\hg-0025-0016\git\kv-x520\doc\[kv_script_exe_errno.xlsm]info_script によって生成されました。
;//エラーNo.を入れる
;stM.udiErrNo	:= 4480;
;//カウントする
;stM.uiEDCnt	:= stM.uiEDCnt + 1;
;//エラーコードを入れる
;stM.udiSubErr	:= stDevOut.astAXO[3].udiErrNo;
;//-----ここまで生成script-----</v>
      </c>
      <c r="BE56">
        <f t="shared" si="49"/>
        <v>16</v>
      </c>
      <c r="BF56">
        <f t="shared" si="50"/>
        <v>0</v>
      </c>
      <c r="BG56" t="str">
        <f t="shared" si="51"/>
        <v>stEx448.x0	 := FALSE;</v>
      </c>
      <c r="BH56" t="str">
        <f t="shared" si="34"/>
        <v xml:space="preserve">stEx448.x0	 := FALSE;
</v>
      </c>
    </row>
    <row r="57" spans="4:60" x14ac:dyDescent="0.55000000000000004">
      <c r="D57">
        <v>49</v>
      </c>
      <c r="E57" t="str">
        <f t="shared" si="35"/>
        <v>stEx449</v>
      </c>
      <c r="F57" t="str">
        <f t="shared" si="20"/>
        <v>stEx449</v>
      </c>
      <c r="G57" t="str">
        <f t="shared" si="36"/>
        <v>&gt;△●CYL02波ﾉﾘ1 塗布開始</v>
      </c>
      <c r="Q57" t="s">
        <v>150</v>
      </c>
      <c r="R57" t="s">
        <v>51</v>
      </c>
      <c r="U57" t="b">
        <v>0</v>
      </c>
      <c r="V57" t="b">
        <v>0</v>
      </c>
      <c r="W57" t="b">
        <v>0</v>
      </c>
      <c r="X57" t="s">
        <v>151</v>
      </c>
      <c r="Z57" t="str">
        <f t="shared" si="21"/>
        <v/>
      </c>
      <c r="AA57">
        <f t="shared" si="22"/>
        <v>2</v>
      </c>
      <c r="AB57" t="str">
        <f t="shared" si="22"/>
        <v/>
      </c>
      <c r="AC57" t="str">
        <f t="shared" si="22"/>
        <v/>
      </c>
      <c r="AD57" t="str">
        <f t="shared" si="52"/>
        <v/>
      </c>
      <c r="AE57" t="str">
        <f t="shared" si="52"/>
        <v/>
      </c>
      <c r="AF57" t="str">
        <f t="shared" si="24"/>
        <v/>
      </c>
      <c r="AG57" t="str">
        <f t="shared" si="25"/>
        <v/>
      </c>
      <c r="AH57" t="str">
        <f t="shared" si="26"/>
        <v>stDevOut.astCYL[1]</v>
      </c>
      <c r="AI57" t="str">
        <f t="shared" si="27"/>
        <v/>
      </c>
      <c r="AJ57" t="str">
        <f t="shared" si="28"/>
        <v/>
      </c>
      <c r="AK57" t="str">
        <f t="shared" si="29"/>
        <v>stDevOut.astCYL[1]</v>
      </c>
      <c r="AM57" t="str">
        <f t="shared" si="30"/>
        <v>●</v>
      </c>
      <c r="AN57">
        <f t="shared" si="37"/>
        <v>4490</v>
      </c>
      <c r="AO57" t="str">
        <f t="shared" si="38"/>
        <v>LDP stEx449.x2</v>
      </c>
      <c r="AP57" t="str">
        <f t="shared" si="39"/>
        <v>AND=.D stM.udiErrNo #0</v>
      </c>
      <c r="AQ57" t="str">
        <f t="shared" si="40"/>
        <v>MOV.D #4490 stM.udiErrNo</v>
      </c>
      <c r="AR57" t="str">
        <f t="shared" si="41"/>
        <v>MOV.D stDevOut.astCYL[1] stM.udiSubErr</v>
      </c>
      <c r="AS57" t="str">
        <f t="shared" si="42"/>
        <v xml:space="preserve">
LDP stEx449.x2</v>
      </c>
      <c r="AT57" t="str">
        <f t="shared" si="43"/>
        <v xml:space="preserve">
LDP stEx449.x2
AND=.D stM.udiErrNo #0</v>
      </c>
      <c r="AU57" t="str">
        <f t="shared" si="44"/>
        <v xml:space="preserve">
LDP stEx449.x2
AND=.D stM.udiErrNo #0
MOV.D #4490 stM.udiErrNo</v>
      </c>
      <c r="AV57" t="str">
        <f t="shared" si="31"/>
        <v xml:space="preserve">
LDP stEx449.x2
AND=.D stM.udiErrNo #0
MOV.D #4490 stM.udiErrNo
MOV.D stDevOut.astCYL[1] stM.udiSubErr</v>
      </c>
      <c r="AW57" t="str">
        <f t="shared" si="32"/>
        <v xml:space="preserve">
LDP stEx449.x2
AND=.D stM.udiErrNo #0
MOV.D #4490 stM.udiErrNo
MOV.D stDevOut.astCYL[1] stM.udiSubErr</v>
      </c>
      <c r="AY57" t="str">
        <f t="shared" ca="1" si="45"/>
        <v xml:space="preserve">
LDP stEx449.x2
AND=.D stM.udiErrNo #0
BOX_ST
;//このスクリプトは C:\tk\prj\hg-0025-0016\git\kv-x520\doc\[kv_script_exe_errno.xlsm]info_script によって生成されました。</v>
      </c>
      <c r="AZ57" t="str">
        <f t="shared" ca="1" si="46"/>
        <v xml:space="preserve">
LDP stEx449.x2
AND=.D stM.udiErrNo #0
BOX_ST
;//このスクリプトは C:\tk\prj\hg-0025-0016\git\kv-x520\doc\[kv_script_exe_errno.xlsm]info_script によって生成されました。
;//エラーNo.を入れる
;stM.udiErrNo	:= 4490;</v>
      </c>
      <c r="BA57" t="str">
        <f t="shared" ca="1" si="47"/>
        <v xml:space="preserve">
LDP stEx449.x2
AND=.D stM.udiErrNo #0
BOX_ST
;//このスクリプトは C:\tk\prj\hg-0025-0016\git\kv-x520\doc\[kv_script_exe_errno.xlsm]info_script によって生成されました。
;//エラーNo.を入れる
;stM.udiErrNo	:= 4490;
;//カウントする
;stM.uiEDCnt	:= stM.uiEDCnt + 1;</v>
      </c>
      <c r="BB57" t="str">
        <f t="shared" ca="1" si="33"/>
        <v xml:space="preserve">
LDP stEx449.x2
AND=.D stM.udiErrNo #0
BOX_ST
;//このスクリプトは C:\tk\prj\hg-0025-0016\git\kv-x520\doc\[kv_script_exe_errno.xlsm]info_script によって生成されました。
;//エラーNo.を入れる
;stM.udiErrNo	:= 4490;
;//カウントする
;stM.uiEDCnt	:= stM.uiEDCnt + 1;
;//エラーコードを入れる
;stM.udiSubErr	:= stDevOut.astCYL[1].udiErrNo;</v>
      </c>
      <c r="BC57" t="str">
        <f t="shared" ca="1" si="48"/>
        <v xml:space="preserve">
LDP stEx449.x2
AND=.D stM.udiErrNo #0
BOX_ST
;//このスクリプトは C:\tk\prj\hg-0025-0016\git\kv-x520\doc\[kv_script_exe_errno.xlsm]info_script によって生成されました。
;//エラーNo.を入れる
;stM.udiErrNo	:= 4490;
;//カウントする
;stM.uiEDCnt	:= stM.uiEDCnt + 1;
;//エラーコードを入れる
;stM.udiSubErr	:= stDevOut.astCYL[1].udiErrNo;
;//-----ここまで生成script-----</v>
      </c>
      <c r="BE57">
        <f t="shared" si="49"/>
        <v>16</v>
      </c>
      <c r="BF57">
        <f t="shared" si="50"/>
        <v>1</v>
      </c>
      <c r="BG57" t="str">
        <f t="shared" si="51"/>
        <v>stEx449.x1	 := FALSE;</v>
      </c>
      <c r="BH57" t="str">
        <f t="shared" si="34"/>
        <v xml:space="preserve">stEx449.x1	 := FALSE;
</v>
      </c>
    </row>
    <row r="58" spans="4:60" x14ac:dyDescent="0.55000000000000004">
      <c r="D58">
        <v>50</v>
      </c>
      <c r="E58" t="str">
        <f t="shared" si="35"/>
        <v>stEx450</v>
      </c>
      <c r="F58" t="str">
        <f t="shared" si="20"/>
        <v>stEx450</v>
      </c>
      <c r="G58" t="str">
        <f t="shared" si="36"/>
        <v>&gt;△●CYL03波ﾉﾘ2 塗布開始</v>
      </c>
      <c r="Q58" t="s">
        <v>152</v>
      </c>
      <c r="R58" t="s">
        <v>51</v>
      </c>
      <c r="U58" t="b">
        <v>0</v>
      </c>
      <c r="V58" t="b">
        <v>0</v>
      </c>
      <c r="W58" t="b">
        <v>0</v>
      </c>
      <c r="X58" t="s">
        <v>153</v>
      </c>
      <c r="Z58" t="str">
        <f t="shared" si="21"/>
        <v/>
      </c>
      <c r="AA58">
        <f t="shared" si="22"/>
        <v>3</v>
      </c>
      <c r="AB58" t="str">
        <f t="shared" si="22"/>
        <v/>
      </c>
      <c r="AC58" t="str">
        <f t="shared" si="22"/>
        <v/>
      </c>
      <c r="AD58" t="str">
        <f t="shared" si="52"/>
        <v/>
      </c>
      <c r="AE58" t="str">
        <f t="shared" si="52"/>
        <v/>
      </c>
      <c r="AF58" t="str">
        <f t="shared" si="24"/>
        <v/>
      </c>
      <c r="AG58" t="str">
        <f t="shared" si="25"/>
        <v/>
      </c>
      <c r="AH58" t="str">
        <f t="shared" si="26"/>
        <v>stDevOut.astCYL[2]</v>
      </c>
      <c r="AI58" t="str">
        <f t="shared" si="27"/>
        <v/>
      </c>
      <c r="AJ58" t="str">
        <f t="shared" si="28"/>
        <v/>
      </c>
      <c r="AK58" t="str">
        <f t="shared" si="29"/>
        <v>stDevOut.astCYL[2]</v>
      </c>
      <c r="AM58" t="str">
        <f t="shared" si="30"/>
        <v>●</v>
      </c>
      <c r="AN58">
        <f t="shared" si="37"/>
        <v>4500</v>
      </c>
      <c r="AO58" t="str">
        <f t="shared" si="38"/>
        <v>LDP stEx450.x2</v>
      </c>
      <c r="AP58" t="str">
        <f t="shared" si="39"/>
        <v>AND=.D stM.udiErrNo #0</v>
      </c>
      <c r="AQ58" t="str">
        <f t="shared" si="40"/>
        <v>MOV.D #4500 stM.udiErrNo</v>
      </c>
      <c r="AR58" t="str">
        <f t="shared" si="41"/>
        <v>MOV.D stDevOut.astCYL[2] stM.udiSubErr</v>
      </c>
      <c r="AS58" t="str">
        <f t="shared" si="42"/>
        <v xml:space="preserve">
LDP stEx450.x2</v>
      </c>
      <c r="AT58" t="str">
        <f t="shared" si="43"/>
        <v xml:space="preserve">
LDP stEx450.x2
AND=.D stM.udiErrNo #0</v>
      </c>
      <c r="AU58" t="str">
        <f t="shared" si="44"/>
        <v xml:space="preserve">
LDP stEx450.x2
AND=.D stM.udiErrNo #0
MOV.D #4500 stM.udiErrNo</v>
      </c>
      <c r="AV58" t="str">
        <f t="shared" si="31"/>
        <v xml:space="preserve">
LDP stEx450.x2
AND=.D stM.udiErrNo #0
MOV.D #4500 stM.udiErrNo
MOV.D stDevOut.astCYL[2] stM.udiSubErr</v>
      </c>
      <c r="AW58" t="str">
        <f t="shared" si="32"/>
        <v xml:space="preserve">
LDP stEx450.x2
AND=.D stM.udiErrNo #0
MOV.D #4500 stM.udiErrNo
MOV.D stDevOut.astCYL[2] stM.udiSubErr</v>
      </c>
      <c r="AY58" t="str">
        <f t="shared" ca="1" si="45"/>
        <v xml:space="preserve">
LDP stEx450.x2
AND=.D stM.udiErrNo #0
BOX_ST
;//このスクリプトは C:\tk\prj\hg-0025-0016\git\kv-x520\doc\[kv_script_exe_errno.xlsm]info_script によって生成されました。</v>
      </c>
      <c r="AZ58" t="str">
        <f t="shared" ca="1" si="46"/>
        <v xml:space="preserve">
LDP stEx450.x2
AND=.D stM.udiErrNo #0
BOX_ST
;//このスクリプトは C:\tk\prj\hg-0025-0016\git\kv-x520\doc\[kv_script_exe_errno.xlsm]info_script によって生成されました。
;//エラーNo.を入れる
;stM.udiErrNo	:= 4500;</v>
      </c>
      <c r="BA58" t="str">
        <f t="shared" ca="1" si="47"/>
        <v xml:space="preserve">
LDP stEx450.x2
AND=.D stM.udiErrNo #0
BOX_ST
;//このスクリプトは C:\tk\prj\hg-0025-0016\git\kv-x520\doc\[kv_script_exe_errno.xlsm]info_script によって生成されました。
;//エラーNo.を入れる
;stM.udiErrNo	:= 4500;
;//カウントする
;stM.uiEDCnt	:= stM.uiEDCnt + 1;</v>
      </c>
      <c r="BB58" t="str">
        <f t="shared" ca="1" si="33"/>
        <v xml:space="preserve">
LDP stEx450.x2
AND=.D stM.udiErrNo #0
BOX_ST
;//このスクリプトは C:\tk\prj\hg-0025-0016\git\kv-x520\doc\[kv_script_exe_errno.xlsm]info_script によって生成されました。
;//エラーNo.を入れる
;stM.udiErrNo	:= 4500;
;//カウントする
;stM.uiEDCnt	:= stM.uiEDCnt + 1;
;//エラーコードを入れる
;stM.udiSubErr	:= stDevOut.astCYL[2].udiErrNo;</v>
      </c>
      <c r="BC58" t="str">
        <f t="shared" ca="1" si="48"/>
        <v xml:space="preserve">
LDP stEx450.x2
AND=.D stM.udiErrNo #0
BOX_ST
;//このスクリプトは C:\tk\prj\hg-0025-0016\git\kv-x520\doc\[kv_script_exe_errno.xlsm]info_script によって生成されました。
;//エラーNo.を入れる
;stM.udiErrNo	:= 4500;
;//カウントする
;stM.uiEDCnt	:= stM.uiEDCnt + 1;
;//エラーコードを入れる
;stM.udiSubErr	:= stDevOut.astCYL[2].udiErrNo;
;//-----ここまで生成script-----</v>
      </c>
      <c r="BE58">
        <f t="shared" si="49"/>
        <v>16</v>
      </c>
      <c r="BF58">
        <f t="shared" si="50"/>
        <v>2</v>
      </c>
      <c r="BG58" t="str">
        <f t="shared" si="51"/>
        <v>stEx450.x2	 := FALSE;</v>
      </c>
      <c r="BH58" t="str">
        <f t="shared" si="34"/>
        <v xml:space="preserve">stEx450.x2	 := FALSE;
</v>
      </c>
    </row>
    <row r="59" spans="4:60" x14ac:dyDescent="0.55000000000000004">
      <c r="D59">
        <v>51</v>
      </c>
      <c r="E59" t="str">
        <f t="shared" si="35"/>
        <v>stEx451</v>
      </c>
      <c r="F59" t="str">
        <f t="shared" si="20"/>
        <v>stEx451</v>
      </c>
      <c r="G59" t="str">
        <f t="shared" si="36"/>
        <v>&gt;△●OTHC03T糊軸 停止</v>
      </c>
      <c r="Q59" t="s">
        <v>154</v>
      </c>
      <c r="R59" t="s">
        <v>51</v>
      </c>
      <c r="U59" t="b">
        <v>0</v>
      </c>
      <c r="V59" t="b">
        <v>0</v>
      </c>
      <c r="W59" t="b">
        <v>0</v>
      </c>
      <c r="X59" t="s">
        <v>155</v>
      </c>
      <c r="Z59" t="str">
        <f t="shared" si="21"/>
        <v/>
      </c>
      <c r="AA59" t="str">
        <f t="shared" si="22"/>
        <v/>
      </c>
      <c r="AB59" t="str">
        <f t="shared" si="22"/>
        <v/>
      </c>
      <c r="AC59" t="str">
        <f t="shared" si="22"/>
        <v/>
      </c>
      <c r="AD59" t="str">
        <f t="shared" si="52"/>
        <v/>
      </c>
      <c r="AE59" t="str">
        <f t="shared" si="52"/>
        <v/>
      </c>
      <c r="AF59" t="str">
        <f t="shared" si="24"/>
        <v/>
      </c>
      <c r="AG59" t="str">
        <f t="shared" si="25"/>
        <v/>
      </c>
      <c r="AH59" t="str">
        <f t="shared" si="26"/>
        <v/>
      </c>
      <c r="AI59" t="str">
        <f t="shared" si="27"/>
        <v/>
      </c>
      <c r="AJ59" t="str">
        <f t="shared" si="28"/>
        <v/>
      </c>
      <c r="AK59" t="str">
        <f t="shared" si="29"/>
        <v/>
      </c>
      <c r="AM59" t="str">
        <f t="shared" si="30"/>
        <v>●</v>
      </c>
      <c r="AN59">
        <f t="shared" si="37"/>
        <v>4510</v>
      </c>
      <c r="AO59" t="str">
        <f t="shared" si="38"/>
        <v>LDP stEx451.x2</v>
      </c>
      <c r="AP59" t="str">
        <f t="shared" si="39"/>
        <v>AND=.D stM.udiErrNo #0</v>
      </c>
      <c r="AQ59" t="str">
        <f t="shared" si="40"/>
        <v>MOV.D #4510 stM.udiErrNo</v>
      </c>
      <c r="AR59" t="str">
        <f t="shared" si="41"/>
        <v/>
      </c>
      <c r="AS59" t="str">
        <f t="shared" si="42"/>
        <v xml:space="preserve">
LDP stEx451.x2</v>
      </c>
      <c r="AT59" t="str">
        <f t="shared" si="43"/>
        <v xml:space="preserve">
LDP stEx451.x2
AND=.D stM.udiErrNo #0</v>
      </c>
      <c r="AU59" t="str">
        <f t="shared" si="44"/>
        <v xml:space="preserve">
LDP stEx451.x2
AND=.D stM.udiErrNo #0
MOV.D #4510 stM.udiErrNo</v>
      </c>
      <c r="AV59" t="str">
        <f t="shared" si="31"/>
        <v xml:space="preserve">
LDP stEx451.x2
AND=.D stM.udiErrNo #0
MOV.D #4510 stM.udiErrNo
</v>
      </c>
      <c r="AW59" t="str">
        <f t="shared" si="32"/>
        <v xml:space="preserve">
LDP stEx451.x2
AND=.D stM.udiErrNo #0
MOV.D #4510 stM.udiErrNo
</v>
      </c>
      <c r="AY59" t="str">
        <f t="shared" ca="1" si="45"/>
        <v xml:space="preserve">
LDP stEx451.x2
AND=.D stM.udiErrNo #0
BOX_ST
;//このスクリプトは C:\tk\prj\hg-0025-0016\git\kv-x520\doc\[kv_script_exe_errno.xlsm]info_script によって生成されました。</v>
      </c>
      <c r="AZ59" t="str">
        <f t="shared" ca="1" si="46"/>
        <v xml:space="preserve">
LDP stEx451.x2
AND=.D stM.udiErrNo #0
BOX_ST
;//このスクリプトは C:\tk\prj\hg-0025-0016\git\kv-x520\doc\[kv_script_exe_errno.xlsm]info_script によって生成されました。
;//エラーNo.を入れる
;stM.udiErrNo	:= 4510;</v>
      </c>
      <c r="BA59" t="str">
        <f t="shared" ca="1" si="47"/>
        <v xml:space="preserve">
LDP stEx451.x2
AND=.D stM.udiErrNo #0
BOX_ST
;//このスクリプトは C:\tk\prj\hg-0025-0016\git\kv-x520\doc\[kv_script_exe_errno.xlsm]info_script によって生成されました。
;//エラーNo.を入れる
;stM.udiErrNo	:= 4510;
;//カウントする
;stM.uiEDCnt	:= stM.uiEDCnt + 1;</v>
      </c>
      <c r="BB59" t="str">
        <f t="shared" ca="1" si="33"/>
        <v xml:space="preserve">
LDP stEx451.x2
AND=.D stM.udiErrNo #0
BOX_ST
;//このスクリプトは C:\tk\prj\hg-0025-0016\git\kv-x520\doc\[kv_script_exe_errno.xlsm]info_script によって生成されました。
;//エラーNo.を入れる
;stM.udiErrNo	:= 4510;
;//カウントする
;stM.uiEDCnt	:= stM.uiEDCnt + 1;
</v>
      </c>
      <c r="BC59" t="str">
        <f t="shared" ca="1" si="48"/>
        <v xml:space="preserve">
LDP stEx451.x2
AND=.D stM.udiErrNo #0
BOX_ST
;//このスクリプトは C:\tk\prj\hg-0025-0016\git\kv-x520\doc\[kv_script_exe_errno.xlsm]info_script によって生成されました。
;//エラーNo.を入れる
;stM.udiErrNo	:= 4510;
;//カウントする
;stM.uiEDCnt	:= stM.uiEDCnt + 1;
;//-----ここまで生成script-----</v>
      </c>
      <c r="BE59">
        <f t="shared" si="49"/>
        <v>17</v>
      </c>
      <c r="BF59">
        <f t="shared" si="50"/>
        <v>0</v>
      </c>
      <c r="BG59" t="str">
        <f t="shared" si="51"/>
        <v>stEx451.x0	 := FALSE;</v>
      </c>
      <c r="BH59" t="str">
        <f t="shared" si="34"/>
        <v xml:space="preserve">stEx451.x0	 := FALSE;
</v>
      </c>
    </row>
    <row r="60" spans="4:60" x14ac:dyDescent="0.55000000000000004">
      <c r="D60">
        <v>52</v>
      </c>
      <c r="E60" t="str">
        <f t="shared" si="35"/>
        <v>stEx452</v>
      </c>
      <c r="F60" t="str">
        <f t="shared" si="20"/>
        <v>stEx452</v>
      </c>
      <c r="G60" t="str">
        <f t="shared" si="36"/>
        <v>&gt;▽波板ﾉﾘ 開始</v>
      </c>
      <c r="Q60" t="s">
        <v>156</v>
      </c>
      <c r="R60" t="s">
        <v>51</v>
      </c>
      <c r="U60" t="b">
        <v>0</v>
      </c>
      <c r="V60" t="b">
        <v>0</v>
      </c>
      <c r="W60" t="b">
        <v>0</v>
      </c>
      <c r="X60" t="s">
        <v>157</v>
      </c>
      <c r="Z60" t="str">
        <f t="shared" si="21"/>
        <v/>
      </c>
      <c r="AA60" t="str">
        <f t="shared" si="22"/>
        <v/>
      </c>
      <c r="AB60" t="str">
        <f t="shared" si="22"/>
        <v/>
      </c>
      <c r="AC60" t="str">
        <f t="shared" si="22"/>
        <v/>
      </c>
      <c r="AD60" t="str">
        <f t="shared" si="52"/>
        <v/>
      </c>
      <c r="AE60" t="str">
        <f t="shared" si="52"/>
        <v/>
      </c>
      <c r="AF60" t="str">
        <f t="shared" si="24"/>
        <v/>
      </c>
      <c r="AG60" t="str">
        <f t="shared" si="25"/>
        <v/>
      </c>
      <c r="AH60" t="str">
        <f t="shared" si="26"/>
        <v/>
      </c>
      <c r="AI60" t="str">
        <f t="shared" si="27"/>
        <v/>
      </c>
      <c r="AJ60" t="str">
        <f t="shared" si="28"/>
        <v/>
      </c>
      <c r="AK60" t="str">
        <f t="shared" si="29"/>
        <v/>
      </c>
      <c r="AM60" t="str">
        <f t="shared" si="30"/>
        <v/>
      </c>
      <c r="AN60" t="str">
        <f t="shared" si="37"/>
        <v/>
      </c>
      <c r="AO60" t="str">
        <f t="shared" si="38"/>
        <v/>
      </c>
      <c r="AP60" t="str">
        <f t="shared" si="39"/>
        <v/>
      </c>
      <c r="AQ60" t="str">
        <f t="shared" si="40"/>
        <v/>
      </c>
      <c r="AR60" t="str">
        <f t="shared" si="41"/>
        <v/>
      </c>
      <c r="AS60" t="str">
        <f t="shared" si="42"/>
        <v/>
      </c>
      <c r="AT60" t="str">
        <f t="shared" si="43"/>
        <v/>
      </c>
      <c r="AU60" t="str">
        <f t="shared" si="44"/>
        <v/>
      </c>
      <c r="AV60" t="str">
        <f t="shared" si="31"/>
        <v/>
      </c>
      <c r="AW60" t="str">
        <f t="shared" si="32"/>
        <v/>
      </c>
      <c r="AY60" t="str">
        <f t="shared" si="45"/>
        <v/>
      </c>
      <c r="AZ60" t="str">
        <f t="shared" si="46"/>
        <v/>
      </c>
      <c r="BA60" t="str">
        <f t="shared" si="47"/>
        <v/>
      </c>
      <c r="BB60" t="str">
        <f t="shared" si="33"/>
        <v/>
      </c>
      <c r="BC60" t="str">
        <f t="shared" si="48"/>
        <v/>
      </c>
      <c r="BE60">
        <f t="shared" si="49"/>
        <v>17</v>
      </c>
      <c r="BF60">
        <f t="shared" si="50"/>
        <v>1</v>
      </c>
      <c r="BG60" t="str">
        <f t="shared" si="51"/>
        <v>stEx452.x1	 := FALSE;</v>
      </c>
      <c r="BH60" t="str">
        <f t="shared" si="34"/>
        <v xml:space="preserve">stEx452.x1	 := FALSE;
</v>
      </c>
    </row>
    <row r="61" spans="4:60" x14ac:dyDescent="0.55000000000000004">
      <c r="D61">
        <v>53</v>
      </c>
      <c r="E61" t="str">
        <f t="shared" si="35"/>
        <v>stEx453</v>
      </c>
      <c r="F61" t="str">
        <f t="shared" si="20"/>
        <v>stEx453</v>
      </c>
      <c r="G61" t="str">
        <f t="shared" si="36"/>
        <v>&gt;△●CYL02波ﾉﾘ1 塗布終了</v>
      </c>
      <c r="Q61" t="s">
        <v>158</v>
      </c>
      <c r="R61" t="s">
        <v>51</v>
      </c>
      <c r="U61" t="b">
        <v>0</v>
      </c>
      <c r="V61" t="b">
        <v>0</v>
      </c>
      <c r="W61" t="b">
        <v>0</v>
      </c>
      <c r="X61" t="s">
        <v>159</v>
      </c>
      <c r="Z61" t="str">
        <f t="shared" si="21"/>
        <v/>
      </c>
      <c r="AA61">
        <f t="shared" si="22"/>
        <v>2</v>
      </c>
      <c r="AB61" t="str">
        <f t="shared" si="22"/>
        <v/>
      </c>
      <c r="AC61" t="str">
        <f t="shared" si="22"/>
        <v/>
      </c>
      <c r="AD61" t="str">
        <f t="shared" si="52"/>
        <v/>
      </c>
      <c r="AE61" t="str">
        <f t="shared" si="52"/>
        <v/>
      </c>
      <c r="AF61" t="str">
        <f t="shared" si="24"/>
        <v/>
      </c>
      <c r="AG61" t="str">
        <f t="shared" si="25"/>
        <v/>
      </c>
      <c r="AH61" t="str">
        <f t="shared" si="26"/>
        <v>stDevOut.astCYL[1]</v>
      </c>
      <c r="AI61" t="str">
        <f t="shared" si="27"/>
        <v/>
      </c>
      <c r="AJ61" t="str">
        <f t="shared" si="28"/>
        <v/>
      </c>
      <c r="AK61" t="str">
        <f t="shared" si="29"/>
        <v>stDevOut.astCYL[1]</v>
      </c>
      <c r="AM61" t="str">
        <f t="shared" si="30"/>
        <v>●</v>
      </c>
      <c r="AN61">
        <f t="shared" si="37"/>
        <v>4530</v>
      </c>
      <c r="AO61" t="str">
        <f t="shared" si="38"/>
        <v>LDP stEx453.x2</v>
      </c>
      <c r="AP61" t="str">
        <f t="shared" si="39"/>
        <v>AND=.D stM.udiErrNo #0</v>
      </c>
      <c r="AQ61" t="str">
        <f t="shared" si="40"/>
        <v>MOV.D #4530 stM.udiErrNo</v>
      </c>
      <c r="AR61" t="str">
        <f t="shared" si="41"/>
        <v>MOV.D stDevOut.astCYL[1] stM.udiSubErr</v>
      </c>
      <c r="AS61" t="str">
        <f t="shared" si="42"/>
        <v xml:space="preserve">
LDP stEx453.x2</v>
      </c>
      <c r="AT61" t="str">
        <f t="shared" si="43"/>
        <v xml:space="preserve">
LDP stEx453.x2
AND=.D stM.udiErrNo #0</v>
      </c>
      <c r="AU61" t="str">
        <f t="shared" si="44"/>
        <v xml:space="preserve">
LDP stEx453.x2
AND=.D stM.udiErrNo #0
MOV.D #4530 stM.udiErrNo</v>
      </c>
      <c r="AV61" t="str">
        <f t="shared" si="31"/>
        <v xml:space="preserve">
LDP stEx453.x2
AND=.D stM.udiErrNo #0
MOV.D #4530 stM.udiErrNo
MOV.D stDevOut.astCYL[1] stM.udiSubErr</v>
      </c>
      <c r="AW61" t="str">
        <f t="shared" si="32"/>
        <v xml:space="preserve">
LDP stEx453.x2
AND=.D stM.udiErrNo #0
MOV.D #4530 stM.udiErrNo
MOV.D stDevOut.astCYL[1] stM.udiSubErr</v>
      </c>
      <c r="AY61" t="str">
        <f t="shared" ca="1" si="45"/>
        <v xml:space="preserve">
LDP stEx453.x2
AND=.D stM.udiErrNo #0
BOX_ST
;//このスクリプトは C:\tk\prj\hg-0025-0016\git\kv-x520\doc\[kv_script_exe_errno.xlsm]info_script によって生成されました。</v>
      </c>
      <c r="AZ61" t="str">
        <f t="shared" ca="1" si="46"/>
        <v xml:space="preserve">
LDP stEx453.x2
AND=.D stM.udiErrNo #0
BOX_ST
;//このスクリプトは C:\tk\prj\hg-0025-0016\git\kv-x520\doc\[kv_script_exe_errno.xlsm]info_script によって生成されました。
;//エラーNo.を入れる
;stM.udiErrNo	:= 4530;</v>
      </c>
      <c r="BA61" t="str">
        <f t="shared" ca="1" si="47"/>
        <v xml:space="preserve">
LDP stEx453.x2
AND=.D stM.udiErrNo #0
BOX_ST
;//このスクリプトは C:\tk\prj\hg-0025-0016\git\kv-x520\doc\[kv_script_exe_errno.xlsm]info_script によって生成されました。
;//エラーNo.を入れる
;stM.udiErrNo	:= 4530;
;//カウントする
;stM.uiEDCnt	:= stM.uiEDCnt + 1;</v>
      </c>
      <c r="BB61" t="str">
        <f t="shared" ca="1" si="33"/>
        <v xml:space="preserve">
LDP stEx453.x2
AND=.D stM.udiErrNo #0
BOX_ST
;//このスクリプトは C:\tk\prj\hg-0025-0016\git\kv-x520\doc\[kv_script_exe_errno.xlsm]info_script によって生成されました。
;//エラーNo.を入れる
;stM.udiErrNo	:= 4530;
;//カウントする
;stM.uiEDCnt	:= stM.uiEDCnt + 1;
;//エラーコードを入れる
;stM.udiSubErr	:= stDevOut.astCYL[1].udiErrNo;</v>
      </c>
      <c r="BC61" t="str">
        <f t="shared" ca="1" si="48"/>
        <v xml:space="preserve">
LDP stEx453.x2
AND=.D stM.udiErrNo #0
BOX_ST
;//このスクリプトは C:\tk\prj\hg-0025-0016\git\kv-x520\doc\[kv_script_exe_errno.xlsm]info_script によって生成されました。
;//エラーNo.を入れる
;stM.udiErrNo	:= 4530;
;//カウントする
;stM.uiEDCnt	:= stM.uiEDCnt + 1;
;//エラーコードを入れる
;stM.udiSubErr	:= stDevOut.astCYL[1].udiErrNo;
;//-----ここまで生成script-----</v>
      </c>
      <c r="BE61">
        <f t="shared" si="49"/>
        <v>17</v>
      </c>
      <c r="BF61">
        <f t="shared" si="50"/>
        <v>2</v>
      </c>
      <c r="BG61" t="str">
        <f t="shared" si="51"/>
        <v>stEx453.x2	 := FALSE;</v>
      </c>
      <c r="BH61" t="str">
        <f t="shared" si="34"/>
        <v xml:space="preserve">stEx453.x2	 := FALSE;
</v>
      </c>
    </row>
    <row r="62" spans="4:60" x14ac:dyDescent="0.55000000000000004">
      <c r="D62">
        <v>54</v>
      </c>
      <c r="E62" t="str">
        <f t="shared" si="35"/>
        <v>stEx454</v>
      </c>
      <c r="F62" t="str">
        <f t="shared" si="20"/>
        <v>stEx454</v>
      </c>
      <c r="G62" t="str">
        <f t="shared" si="36"/>
        <v>&gt;△●CYL03波ﾉﾘ2 塗布終了</v>
      </c>
      <c r="Q62" t="s">
        <v>160</v>
      </c>
      <c r="R62" t="s">
        <v>51</v>
      </c>
      <c r="U62" t="b">
        <v>0</v>
      </c>
      <c r="V62" t="b">
        <v>0</v>
      </c>
      <c r="W62" t="b">
        <v>0</v>
      </c>
      <c r="X62" t="s">
        <v>161</v>
      </c>
      <c r="Z62" t="str">
        <f t="shared" si="21"/>
        <v/>
      </c>
      <c r="AA62">
        <f t="shared" si="22"/>
        <v>3</v>
      </c>
      <c r="AB62" t="str">
        <f t="shared" si="22"/>
        <v/>
      </c>
      <c r="AC62" t="str">
        <f t="shared" si="22"/>
        <v/>
      </c>
      <c r="AD62" t="str">
        <f t="shared" si="52"/>
        <v/>
      </c>
      <c r="AE62" t="str">
        <f t="shared" si="52"/>
        <v/>
      </c>
      <c r="AF62" t="str">
        <f t="shared" si="24"/>
        <v/>
      </c>
      <c r="AG62" t="str">
        <f t="shared" si="25"/>
        <v/>
      </c>
      <c r="AH62" t="str">
        <f t="shared" si="26"/>
        <v>stDevOut.astCYL[2]</v>
      </c>
      <c r="AI62" t="str">
        <f t="shared" si="27"/>
        <v/>
      </c>
      <c r="AJ62" t="str">
        <f t="shared" si="28"/>
        <v/>
      </c>
      <c r="AK62" t="str">
        <f t="shared" si="29"/>
        <v>stDevOut.astCYL[2]</v>
      </c>
      <c r="AM62" t="str">
        <f t="shared" si="30"/>
        <v>●</v>
      </c>
      <c r="AN62">
        <f t="shared" si="37"/>
        <v>4540</v>
      </c>
      <c r="AO62" t="str">
        <f t="shared" si="38"/>
        <v>LDP stEx454.x2</v>
      </c>
      <c r="AP62" t="str">
        <f t="shared" si="39"/>
        <v>AND=.D stM.udiErrNo #0</v>
      </c>
      <c r="AQ62" t="str">
        <f t="shared" si="40"/>
        <v>MOV.D #4540 stM.udiErrNo</v>
      </c>
      <c r="AR62" t="str">
        <f t="shared" si="41"/>
        <v>MOV.D stDevOut.astCYL[2] stM.udiSubErr</v>
      </c>
      <c r="AS62" t="str">
        <f t="shared" si="42"/>
        <v xml:space="preserve">
LDP stEx454.x2</v>
      </c>
      <c r="AT62" t="str">
        <f t="shared" si="43"/>
        <v xml:space="preserve">
LDP stEx454.x2
AND=.D stM.udiErrNo #0</v>
      </c>
      <c r="AU62" t="str">
        <f t="shared" si="44"/>
        <v xml:space="preserve">
LDP stEx454.x2
AND=.D stM.udiErrNo #0
MOV.D #4540 stM.udiErrNo</v>
      </c>
      <c r="AV62" t="str">
        <f t="shared" si="31"/>
        <v xml:space="preserve">
LDP stEx454.x2
AND=.D stM.udiErrNo #0
MOV.D #4540 stM.udiErrNo
MOV.D stDevOut.astCYL[2] stM.udiSubErr</v>
      </c>
      <c r="AW62" t="str">
        <f t="shared" si="32"/>
        <v xml:space="preserve">
LDP stEx454.x2
AND=.D stM.udiErrNo #0
MOV.D #4540 stM.udiErrNo
MOV.D stDevOut.astCYL[2] stM.udiSubErr</v>
      </c>
      <c r="AY62" t="str">
        <f t="shared" ca="1" si="45"/>
        <v xml:space="preserve">
LDP stEx454.x2
AND=.D stM.udiErrNo #0
BOX_ST
;//このスクリプトは C:\tk\prj\hg-0025-0016\git\kv-x520\doc\[kv_script_exe_errno.xlsm]info_script によって生成されました。</v>
      </c>
      <c r="AZ62" t="str">
        <f t="shared" ca="1" si="46"/>
        <v xml:space="preserve">
LDP stEx454.x2
AND=.D stM.udiErrNo #0
BOX_ST
;//このスクリプトは C:\tk\prj\hg-0025-0016\git\kv-x520\doc\[kv_script_exe_errno.xlsm]info_script によって生成されました。
;//エラーNo.を入れる
;stM.udiErrNo	:= 4540;</v>
      </c>
      <c r="BA62" t="str">
        <f t="shared" ca="1" si="47"/>
        <v xml:space="preserve">
LDP stEx454.x2
AND=.D stM.udiErrNo #0
BOX_ST
;//このスクリプトは C:\tk\prj\hg-0025-0016\git\kv-x520\doc\[kv_script_exe_errno.xlsm]info_script によって生成されました。
;//エラーNo.を入れる
;stM.udiErrNo	:= 4540;
;//カウントする
;stM.uiEDCnt	:= stM.uiEDCnt + 1;</v>
      </c>
      <c r="BB62" t="str">
        <f t="shared" ca="1" si="33"/>
        <v xml:space="preserve">
LDP stEx454.x2
AND=.D stM.udiErrNo #0
BOX_ST
;//このスクリプトは C:\tk\prj\hg-0025-0016\git\kv-x520\doc\[kv_script_exe_errno.xlsm]info_script によって生成されました。
;//エラーNo.を入れる
;stM.udiErrNo	:= 4540;
;//カウントする
;stM.uiEDCnt	:= stM.uiEDCnt + 1;
;//エラーコードを入れる
;stM.udiSubErr	:= stDevOut.astCYL[2].udiErrNo;</v>
      </c>
      <c r="BC62" t="str">
        <f t="shared" ca="1" si="48"/>
        <v xml:space="preserve">
LDP stEx454.x2
AND=.D stM.udiErrNo #0
BOX_ST
;//このスクリプトは C:\tk\prj\hg-0025-0016\git\kv-x520\doc\[kv_script_exe_errno.xlsm]info_script によって生成されました。
;//エラーNo.を入れる
;stM.udiErrNo	:= 4540;
;//カウントする
;stM.uiEDCnt	:= stM.uiEDCnt + 1;
;//エラーコードを入れる
;stM.udiSubErr	:= stDevOut.astCYL[2].udiErrNo;
;//-----ここまで生成script-----</v>
      </c>
      <c r="BE62">
        <f t="shared" si="49"/>
        <v>18</v>
      </c>
      <c r="BF62">
        <f t="shared" si="50"/>
        <v>0</v>
      </c>
      <c r="BG62" t="str">
        <f t="shared" si="51"/>
        <v>stEx454.x0	 := FALSE;</v>
      </c>
      <c r="BH62" t="str">
        <f t="shared" si="34"/>
        <v xml:space="preserve">stEx454.x0	 := FALSE;
</v>
      </c>
    </row>
    <row r="63" spans="4:60" x14ac:dyDescent="0.55000000000000004">
      <c r="D63">
        <v>55</v>
      </c>
      <c r="E63" t="str">
        <f t="shared" si="35"/>
        <v>stEx455</v>
      </c>
      <c r="F63" t="str">
        <f t="shared" si="20"/>
        <v>stEx455</v>
      </c>
      <c r="G63" t="str">
        <f t="shared" si="36"/>
        <v>&gt;△●OTHC03T糊軸 回転</v>
      </c>
      <c r="Q63" t="s">
        <v>162</v>
      </c>
      <c r="R63" t="s">
        <v>51</v>
      </c>
      <c r="U63" t="b">
        <v>0</v>
      </c>
      <c r="V63" t="b">
        <v>0</v>
      </c>
      <c r="W63" t="b">
        <v>0</v>
      </c>
      <c r="X63" t="s">
        <v>163</v>
      </c>
      <c r="Z63" t="str">
        <f t="shared" si="21"/>
        <v/>
      </c>
      <c r="AA63" t="str">
        <f t="shared" si="22"/>
        <v/>
      </c>
      <c r="AB63" t="str">
        <f t="shared" si="22"/>
        <v/>
      </c>
      <c r="AC63" t="str">
        <f t="shared" si="22"/>
        <v/>
      </c>
      <c r="AD63" t="str">
        <f t="shared" si="52"/>
        <v/>
      </c>
      <c r="AE63" t="str">
        <f t="shared" si="52"/>
        <v/>
      </c>
      <c r="AF63" t="str">
        <f t="shared" si="24"/>
        <v/>
      </c>
      <c r="AG63" t="str">
        <f t="shared" si="25"/>
        <v/>
      </c>
      <c r="AH63" t="str">
        <f t="shared" si="26"/>
        <v/>
      </c>
      <c r="AI63" t="str">
        <f t="shared" si="27"/>
        <v/>
      </c>
      <c r="AJ63" t="str">
        <f t="shared" si="28"/>
        <v/>
      </c>
      <c r="AK63" t="str">
        <f t="shared" si="29"/>
        <v/>
      </c>
      <c r="AM63" t="str">
        <f t="shared" si="30"/>
        <v>●</v>
      </c>
      <c r="AN63">
        <f t="shared" si="37"/>
        <v>4550</v>
      </c>
      <c r="AO63" t="str">
        <f t="shared" si="38"/>
        <v>LDP stEx455.x2</v>
      </c>
      <c r="AP63" t="str">
        <f t="shared" si="39"/>
        <v>AND=.D stM.udiErrNo #0</v>
      </c>
      <c r="AQ63" t="str">
        <f t="shared" si="40"/>
        <v>MOV.D #4550 stM.udiErrNo</v>
      </c>
      <c r="AR63" t="str">
        <f t="shared" si="41"/>
        <v/>
      </c>
      <c r="AS63" t="str">
        <f t="shared" si="42"/>
        <v xml:space="preserve">
LDP stEx455.x2</v>
      </c>
      <c r="AT63" t="str">
        <f t="shared" si="43"/>
        <v xml:space="preserve">
LDP stEx455.x2
AND=.D stM.udiErrNo #0</v>
      </c>
      <c r="AU63" t="str">
        <f t="shared" si="44"/>
        <v xml:space="preserve">
LDP stEx455.x2
AND=.D stM.udiErrNo #0
MOV.D #4550 stM.udiErrNo</v>
      </c>
      <c r="AV63" t="str">
        <f t="shared" si="31"/>
        <v xml:space="preserve">
LDP stEx455.x2
AND=.D stM.udiErrNo #0
MOV.D #4550 stM.udiErrNo
</v>
      </c>
      <c r="AW63" t="str">
        <f t="shared" si="32"/>
        <v xml:space="preserve">
LDP stEx455.x2
AND=.D stM.udiErrNo #0
MOV.D #4550 stM.udiErrNo
</v>
      </c>
      <c r="AY63" t="str">
        <f t="shared" ca="1" si="45"/>
        <v xml:space="preserve">
LDP stEx455.x2
AND=.D stM.udiErrNo #0
BOX_ST
;//このスクリプトは C:\tk\prj\hg-0025-0016\git\kv-x520\doc\[kv_script_exe_errno.xlsm]info_script によって生成されました。</v>
      </c>
      <c r="AZ63" t="str">
        <f t="shared" ca="1" si="46"/>
        <v xml:space="preserve">
LDP stEx455.x2
AND=.D stM.udiErrNo #0
BOX_ST
;//このスクリプトは C:\tk\prj\hg-0025-0016\git\kv-x520\doc\[kv_script_exe_errno.xlsm]info_script によって生成されました。
;//エラーNo.を入れる
;stM.udiErrNo	:= 4550;</v>
      </c>
      <c r="BA63" t="str">
        <f t="shared" ca="1" si="47"/>
        <v xml:space="preserve">
LDP stEx455.x2
AND=.D stM.udiErrNo #0
BOX_ST
;//このスクリプトは C:\tk\prj\hg-0025-0016\git\kv-x520\doc\[kv_script_exe_errno.xlsm]info_script によって生成されました。
;//エラーNo.を入れる
;stM.udiErrNo	:= 4550;
;//カウントする
;stM.uiEDCnt	:= stM.uiEDCnt + 1;</v>
      </c>
      <c r="BB63" t="str">
        <f t="shared" ca="1" si="33"/>
        <v xml:space="preserve">
LDP stEx455.x2
AND=.D stM.udiErrNo #0
BOX_ST
;//このスクリプトは C:\tk\prj\hg-0025-0016\git\kv-x520\doc\[kv_script_exe_errno.xlsm]info_script によって生成されました。
;//エラーNo.を入れる
;stM.udiErrNo	:= 4550;
;//カウントする
;stM.uiEDCnt	:= stM.uiEDCnt + 1;
</v>
      </c>
      <c r="BC63" t="str">
        <f t="shared" ca="1" si="48"/>
        <v xml:space="preserve">
LDP stEx455.x2
AND=.D stM.udiErrNo #0
BOX_ST
;//このスクリプトは C:\tk\prj\hg-0025-0016\git\kv-x520\doc\[kv_script_exe_errno.xlsm]info_script によって生成されました。
;//エラーNo.を入れる
;stM.udiErrNo	:= 4550;
;//カウントする
;stM.uiEDCnt	:= stM.uiEDCnt + 1;
;//-----ここまで生成script-----</v>
      </c>
      <c r="BE63">
        <f t="shared" si="49"/>
        <v>18</v>
      </c>
      <c r="BF63">
        <f t="shared" si="50"/>
        <v>1</v>
      </c>
      <c r="BG63" t="str">
        <f t="shared" si="51"/>
        <v>stEx455.x1	 := FALSE;</v>
      </c>
      <c r="BH63" t="str">
        <f t="shared" si="34"/>
        <v xml:space="preserve">stEx455.x1	 := FALSE;
</v>
      </c>
    </row>
    <row r="64" spans="4:60" x14ac:dyDescent="0.55000000000000004">
      <c r="D64">
        <v>56</v>
      </c>
      <c r="E64" t="str">
        <f t="shared" si="35"/>
        <v>stEx456</v>
      </c>
      <c r="F64" t="str">
        <f t="shared" si="20"/>
        <v>stEx456</v>
      </c>
      <c r="G64" t="str">
        <f t="shared" si="36"/>
        <v>&gt;△●AXO17 波板補助 補助</v>
      </c>
      <c r="Q64" t="s">
        <v>164</v>
      </c>
      <c r="R64" t="s">
        <v>51</v>
      </c>
      <c r="U64" t="b">
        <v>0</v>
      </c>
      <c r="V64" t="b">
        <v>0</v>
      </c>
      <c r="W64" t="b">
        <v>0</v>
      </c>
      <c r="X64" t="s">
        <v>165</v>
      </c>
      <c r="Z64">
        <f t="shared" si="21"/>
        <v>17</v>
      </c>
      <c r="AA64" t="str">
        <f t="shared" si="22"/>
        <v/>
      </c>
      <c r="AB64" t="str">
        <f t="shared" si="22"/>
        <v/>
      </c>
      <c r="AC64" t="str">
        <f t="shared" si="22"/>
        <v/>
      </c>
      <c r="AD64" t="str">
        <f t="shared" si="52"/>
        <v/>
      </c>
      <c r="AE64" t="str">
        <f t="shared" si="52"/>
        <v/>
      </c>
      <c r="AF64" t="str">
        <f t="shared" si="24"/>
        <v>stDevOut.astAXO[3]</v>
      </c>
      <c r="AG64" t="str">
        <f t="shared" si="25"/>
        <v/>
      </c>
      <c r="AH64" t="str">
        <f t="shared" si="26"/>
        <v/>
      </c>
      <c r="AI64" t="str">
        <f t="shared" si="27"/>
        <v/>
      </c>
      <c r="AJ64" t="str">
        <f t="shared" si="28"/>
        <v/>
      </c>
      <c r="AK64" t="str">
        <f t="shared" si="29"/>
        <v>stDevOut.astAXO[3]</v>
      </c>
      <c r="AM64" t="str">
        <f t="shared" si="30"/>
        <v>●</v>
      </c>
      <c r="AN64">
        <f t="shared" si="37"/>
        <v>4560</v>
      </c>
      <c r="AO64" t="str">
        <f t="shared" si="38"/>
        <v>LDP stEx456.x2</v>
      </c>
      <c r="AP64" t="str">
        <f t="shared" si="39"/>
        <v>AND=.D stM.udiErrNo #0</v>
      </c>
      <c r="AQ64" t="str">
        <f t="shared" si="40"/>
        <v>MOV.D #4560 stM.udiErrNo</v>
      </c>
      <c r="AR64" t="str">
        <f t="shared" si="41"/>
        <v>MOV.D stDevOut.astAXO[3] stM.udiSubErr</v>
      </c>
      <c r="AS64" t="str">
        <f t="shared" si="42"/>
        <v xml:space="preserve">
LDP stEx456.x2</v>
      </c>
      <c r="AT64" t="str">
        <f t="shared" si="43"/>
        <v xml:space="preserve">
LDP stEx456.x2
AND=.D stM.udiErrNo #0</v>
      </c>
      <c r="AU64" t="str">
        <f t="shared" si="44"/>
        <v xml:space="preserve">
LDP stEx456.x2
AND=.D stM.udiErrNo #0
MOV.D #4560 stM.udiErrNo</v>
      </c>
      <c r="AV64" t="str">
        <f t="shared" si="31"/>
        <v xml:space="preserve">
LDP stEx456.x2
AND=.D stM.udiErrNo #0
MOV.D #4560 stM.udiErrNo
MOV.D stDevOut.astAXO[3] stM.udiSubErr</v>
      </c>
      <c r="AW64" t="str">
        <f t="shared" si="32"/>
        <v xml:space="preserve">
LDP stEx456.x2
AND=.D stM.udiErrNo #0
MOV.D #4560 stM.udiErrNo
MOV.D stDevOut.astAXO[3] stM.udiSubErr</v>
      </c>
      <c r="AY64" t="str">
        <f t="shared" ca="1" si="45"/>
        <v xml:space="preserve">
LDP stEx456.x2
AND=.D stM.udiErrNo #0
BOX_ST
;//このスクリプトは C:\tk\prj\hg-0025-0016\git\kv-x520\doc\[kv_script_exe_errno.xlsm]info_script によって生成されました。</v>
      </c>
      <c r="AZ64" t="str">
        <f t="shared" ca="1" si="46"/>
        <v xml:space="preserve">
LDP stEx456.x2
AND=.D stM.udiErrNo #0
BOX_ST
;//このスクリプトは C:\tk\prj\hg-0025-0016\git\kv-x520\doc\[kv_script_exe_errno.xlsm]info_script によって生成されました。
;//エラーNo.を入れる
;stM.udiErrNo	:= 4560;</v>
      </c>
      <c r="BA64" t="str">
        <f t="shared" ca="1" si="47"/>
        <v xml:space="preserve">
LDP stEx456.x2
AND=.D stM.udiErrNo #0
BOX_ST
;//このスクリプトは C:\tk\prj\hg-0025-0016\git\kv-x520\doc\[kv_script_exe_errno.xlsm]info_script によって生成されました。
;//エラーNo.を入れる
;stM.udiErrNo	:= 4560;
;//カウントする
;stM.uiEDCnt	:= stM.uiEDCnt + 1;</v>
      </c>
      <c r="BB64" t="str">
        <f t="shared" ca="1" si="33"/>
        <v xml:space="preserve">
LDP stEx456.x2
AND=.D stM.udiErrNo #0
BOX_ST
;//このスクリプトは C:\tk\prj\hg-0025-0016\git\kv-x520\doc\[kv_script_exe_errno.xlsm]info_script によって生成されました。
;//エラーNo.を入れる
;stM.udiErrNo	:= 4560;
;//カウントする
;stM.uiEDCnt	:= stM.uiEDCnt + 1;
;//エラーコードを入れる
;stM.udiSubErr	:= stDevOut.astAXO[3].udiErrNo;</v>
      </c>
      <c r="BC64" t="str">
        <f t="shared" ca="1" si="48"/>
        <v xml:space="preserve">
LDP stEx456.x2
AND=.D stM.udiErrNo #0
BOX_ST
;//このスクリプトは C:\tk\prj\hg-0025-0016\git\kv-x520\doc\[kv_script_exe_errno.xlsm]info_script によって生成されました。
;//エラーNo.を入れる
;stM.udiErrNo	:= 4560;
;//カウントする
;stM.uiEDCnt	:= stM.uiEDCnt + 1;
;//エラーコードを入れる
;stM.udiSubErr	:= stDevOut.astAXO[3].udiErrNo;
;//-----ここまで生成script-----</v>
      </c>
      <c r="BE64">
        <f t="shared" si="49"/>
        <v>18</v>
      </c>
      <c r="BF64">
        <f t="shared" si="50"/>
        <v>2</v>
      </c>
      <c r="BG64" t="str">
        <f t="shared" si="51"/>
        <v>stEx456.x2	 := FALSE;</v>
      </c>
      <c r="BH64" t="str">
        <f t="shared" si="34"/>
        <v xml:space="preserve">stEx456.x2	 := FALSE;
</v>
      </c>
    </row>
    <row r="65" spans="4:60" x14ac:dyDescent="0.55000000000000004">
      <c r="D65">
        <v>57</v>
      </c>
      <c r="E65" t="str">
        <f t="shared" si="35"/>
        <v>stEx457</v>
      </c>
      <c r="F65" t="str">
        <f t="shared" si="20"/>
        <v>stEx457</v>
      </c>
      <c r="G65" t="str">
        <f t="shared" si="36"/>
        <v>&gt;▽波板ﾉﾘ 終了</v>
      </c>
      <c r="Q65" t="s">
        <v>166</v>
      </c>
      <c r="R65" t="s">
        <v>51</v>
      </c>
      <c r="U65" t="b">
        <v>0</v>
      </c>
      <c r="V65" t="b">
        <v>0</v>
      </c>
      <c r="W65" t="b">
        <v>0</v>
      </c>
      <c r="X65" t="s">
        <v>167</v>
      </c>
      <c r="Z65" t="str">
        <f t="shared" si="21"/>
        <v/>
      </c>
      <c r="AA65" t="str">
        <f t="shared" si="22"/>
        <v/>
      </c>
      <c r="AB65" t="str">
        <f t="shared" si="22"/>
        <v/>
      </c>
      <c r="AC65" t="str">
        <f t="shared" si="22"/>
        <v/>
      </c>
      <c r="AD65" t="str">
        <f t="shared" si="52"/>
        <v/>
      </c>
      <c r="AE65" t="str">
        <f t="shared" si="52"/>
        <v/>
      </c>
      <c r="AF65" t="str">
        <f t="shared" si="24"/>
        <v/>
      </c>
      <c r="AG65" t="str">
        <f t="shared" si="25"/>
        <v/>
      </c>
      <c r="AH65" t="str">
        <f t="shared" si="26"/>
        <v/>
      </c>
      <c r="AI65" t="str">
        <f t="shared" si="27"/>
        <v/>
      </c>
      <c r="AJ65" t="str">
        <f t="shared" si="28"/>
        <v/>
      </c>
      <c r="AK65" t="str">
        <f t="shared" si="29"/>
        <v/>
      </c>
      <c r="AM65" t="str">
        <f t="shared" si="30"/>
        <v/>
      </c>
      <c r="AN65" t="str">
        <f t="shared" si="37"/>
        <v/>
      </c>
      <c r="AO65" t="str">
        <f t="shared" si="38"/>
        <v/>
      </c>
      <c r="AP65" t="str">
        <f t="shared" si="39"/>
        <v/>
      </c>
      <c r="AQ65" t="str">
        <f t="shared" si="40"/>
        <v/>
      </c>
      <c r="AR65" t="str">
        <f t="shared" si="41"/>
        <v/>
      </c>
      <c r="AS65" t="str">
        <f t="shared" si="42"/>
        <v/>
      </c>
      <c r="AT65" t="str">
        <f t="shared" si="43"/>
        <v/>
      </c>
      <c r="AU65" t="str">
        <f t="shared" si="44"/>
        <v/>
      </c>
      <c r="AV65" t="str">
        <f t="shared" si="31"/>
        <v/>
      </c>
      <c r="AW65" t="str">
        <f t="shared" si="32"/>
        <v/>
      </c>
      <c r="AY65" t="str">
        <f t="shared" si="45"/>
        <v/>
      </c>
      <c r="AZ65" t="str">
        <f t="shared" si="46"/>
        <v/>
      </c>
      <c r="BA65" t="str">
        <f t="shared" si="47"/>
        <v/>
      </c>
      <c r="BB65" t="str">
        <f t="shared" si="33"/>
        <v/>
      </c>
      <c r="BC65" t="str">
        <f t="shared" si="48"/>
        <v/>
      </c>
      <c r="BE65">
        <f t="shared" si="49"/>
        <v>19</v>
      </c>
      <c r="BF65">
        <f t="shared" si="50"/>
        <v>0</v>
      </c>
      <c r="BG65" t="str">
        <f t="shared" si="51"/>
        <v>stEx457.x0	 := FALSE;</v>
      </c>
      <c r="BH65" t="str">
        <f t="shared" si="34"/>
        <v xml:space="preserve">stEx457.x0	 := FALSE;
</v>
      </c>
    </row>
    <row r="66" spans="4:60" x14ac:dyDescent="0.55000000000000004">
      <c r="D66">
        <v>58</v>
      </c>
      <c r="E66" t="str">
        <f t="shared" si="35"/>
        <v>stEx458</v>
      </c>
      <c r="F66" t="str">
        <f t="shared" si="20"/>
        <v>stEx458</v>
      </c>
      <c r="G66" t="str">
        <f t="shared" si="36"/>
        <v>▽巻き継続 (完成角度)</v>
      </c>
      <c r="Q66" t="s">
        <v>168</v>
      </c>
      <c r="R66" t="s">
        <v>51</v>
      </c>
      <c r="U66" t="b">
        <v>0</v>
      </c>
      <c r="V66" t="b">
        <v>0</v>
      </c>
      <c r="W66" t="b">
        <v>0</v>
      </c>
      <c r="X66" t="s">
        <v>169</v>
      </c>
      <c r="Z66" t="str">
        <f t="shared" si="21"/>
        <v/>
      </c>
      <c r="AA66" t="str">
        <f t="shared" si="22"/>
        <v/>
      </c>
      <c r="AB66" t="str">
        <f t="shared" si="22"/>
        <v/>
      </c>
      <c r="AC66" t="str">
        <f t="shared" si="22"/>
        <v/>
      </c>
      <c r="AD66" t="str">
        <f t="shared" si="52"/>
        <v/>
      </c>
      <c r="AE66" t="str">
        <f t="shared" si="52"/>
        <v/>
      </c>
      <c r="AF66" t="str">
        <f t="shared" si="24"/>
        <v/>
      </c>
      <c r="AG66" t="str">
        <f t="shared" si="25"/>
        <v/>
      </c>
      <c r="AH66" t="str">
        <f t="shared" si="26"/>
        <v/>
      </c>
      <c r="AI66" t="str">
        <f t="shared" si="27"/>
        <v/>
      </c>
      <c r="AJ66" t="str">
        <f t="shared" si="28"/>
        <v/>
      </c>
      <c r="AK66" t="str">
        <f t="shared" si="29"/>
        <v/>
      </c>
      <c r="AM66" t="str">
        <f t="shared" si="30"/>
        <v/>
      </c>
      <c r="AN66" t="str">
        <f t="shared" si="37"/>
        <v/>
      </c>
      <c r="AO66" t="str">
        <f t="shared" si="38"/>
        <v/>
      </c>
      <c r="AP66" t="str">
        <f t="shared" si="39"/>
        <v/>
      </c>
      <c r="AQ66" t="str">
        <f t="shared" si="40"/>
        <v/>
      </c>
      <c r="AR66" t="str">
        <f t="shared" si="41"/>
        <v/>
      </c>
      <c r="AS66" t="str">
        <f t="shared" si="42"/>
        <v/>
      </c>
      <c r="AT66" t="str">
        <f t="shared" si="43"/>
        <v/>
      </c>
      <c r="AU66" t="str">
        <f t="shared" si="44"/>
        <v/>
      </c>
      <c r="AV66" t="str">
        <f t="shared" si="31"/>
        <v/>
      </c>
      <c r="AW66" t="str">
        <f t="shared" si="32"/>
        <v/>
      </c>
      <c r="AY66" t="str">
        <f t="shared" si="45"/>
        <v/>
      </c>
      <c r="AZ66" t="str">
        <f t="shared" si="46"/>
        <v/>
      </c>
      <c r="BA66" t="str">
        <f t="shared" si="47"/>
        <v/>
      </c>
      <c r="BB66" t="str">
        <f t="shared" si="33"/>
        <v/>
      </c>
      <c r="BC66" t="str">
        <f t="shared" si="48"/>
        <v/>
      </c>
      <c r="BE66">
        <f t="shared" si="49"/>
        <v>19</v>
      </c>
      <c r="BF66">
        <f t="shared" si="50"/>
        <v>1</v>
      </c>
      <c r="BG66" t="str">
        <f t="shared" si="51"/>
        <v>stEx458.x1	 := FALSE;</v>
      </c>
      <c r="BH66" t="str">
        <f t="shared" si="34"/>
        <v xml:space="preserve">stEx458.x1	 := FALSE;
</v>
      </c>
    </row>
    <row r="67" spans="4:60" x14ac:dyDescent="0.55000000000000004">
      <c r="D67">
        <v>59</v>
      </c>
      <c r="E67" t="str">
        <f t="shared" si="35"/>
        <v>stEx459</v>
      </c>
      <c r="F67" t="str">
        <f t="shared" si="20"/>
        <v>stEx459</v>
      </c>
      <c r="G67" t="str">
        <f t="shared" si="36"/>
        <v>△◆予備巻締 有無</v>
      </c>
      <c r="Q67" t="s">
        <v>170</v>
      </c>
      <c r="R67" t="s">
        <v>51</v>
      </c>
      <c r="U67" t="b">
        <v>0</v>
      </c>
      <c r="V67" t="b">
        <v>0</v>
      </c>
      <c r="W67" t="b">
        <v>0</v>
      </c>
      <c r="X67" t="s">
        <v>171</v>
      </c>
      <c r="Z67" t="str">
        <f t="shared" si="21"/>
        <v/>
      </c>
      <c r="AA67" t="str">
        <f t="shared" si="22"/>
        <v/>
      </c>
      <c r="AB67" t="str">
        <f t="shared" si="22"/>
        <v/>
      </c>
      <c r="AC67" t="str">
        <f t="shared" si="22"/>
        <v/>
      </c>
      <c r="AD67" t="str">
        <f t="shared" si="52"/>
        <v/>
      </c>
      <c r="AE67" t="str">
        <f t="shared" si="52"/>
        <v/>
      </c>
      <c r="AF67" t="str">
        <f t="shared" si="24"/>
        <v/>
      </c>
      <c r="AG67" t="str">
        <f t="shared" si="25"/>
        <v/>
      </c>
      <c r="AH67" t="str">
        <f t="shared" si="26"/>
        <v/>
      </c>
      <c r="AI67" t="str">
        <f t="shared" si="27"/>
        <v/>
      </c>
      <c r="AJ67" t="str">
        <f t="shared" si="28"/>
        <v/>
      </c>
      <c r="AK67" t="str">
        <f t="shared" si="29"/>
        <v/>
      </c>
      <c r="AM67" t="str">
        <f t="shared" si="30"/>
        <v/>
      </c>
      <c r="AN67" t="str">
        <f t="shared" si="37"/>
        <v/>
      </c>
      <c r="AO67" t="str">
        <f t="shared" si="38"/>
        <v/>
      </c>
      <c r="AP67" t="str">
        <f t="shared" si="39"/>
        <v/>
      </c>
      <c r="AQ67" t="str">
        <f t="shared" si="40"/>
        <v/>
      </c>
      <c r="AR67" t="str">
        <f t="shared" si="41"/>
        <v/>
      </c>
      <c r="AS67" t="str">
        <f t="shared" si="42"/>
        <v/>
      </c>
      <c r="AT67" t="str">
        <f t="shared" si="43"/>
        <v/>
      </c>
      <c r="AU67" t="str">
        <f t="shared" si="44"/>
        <v/>
      </c>
      <c r="AV67" t="str">
        <f t="shared" si="31"/>
        <v/>
      </c>
      <c r="AW67" t="str">
        <f t="shared" si="32"/>
        <v/>
      </c>
      <c r="AY67" t="str">
        <f t="shared" si="45"/>
        <v/>
      </c>
      <c r="AZ67" t="str">
        <f t="shared" si="46"/>
        <v/>
      </c>
      <c r="BA67" t="str">
        <f t="shared" si="47"/>
        <v/>
      </c>
      <c r="BB67" t="str">
        <f t="shared" si="33"/>
        <v/>
      </c>
      <c r="BC67" t="str">
        <f t="shared" si="48"/>
        <v/>
      </c>
      <c r="BE67">
        <f t="shared" si="49"/>
        <v>19</v>
      </c>
      <c r="BF67">
        <f t="shared" si="50"/>
        <v>2</v>
      </c>
      <c r="BG67" t="str">
        <f t="shared" si="51"/>
        <v>stEx459.x2	 := FALSE;</v>
      </c>
      <c r="BH67" t="str">
        <f t="shared" si="34"/>
        <v xml:space="preserve">stEx459.x2	 := FALSE;
</v>
      </c>
    </row>
    <row r="68" spans="4:60" x14ac:dyDescent="0.55000000000000004">
      <c r="D68">
        <v>60</v>
      </c>
      <c r="E68" t="str">
        <f t="shared" si="35"/>
        <v>stEx460</v>
      </c>
      <c r="F68" t="str">
        <f t="shared" si="20"/>
        <v>stEx460</v>
      </c>
      <c r="G68" t="str">
        <f t="shared" si="36"/>
        <v>●AXK14 予備巻締</v>
      </c>
      <c r="Q68" t="s">
        <v>172</v>
      </c>
      <c r="R68" t="s">
        <v>51</v>
      </c>
      <c r="U68" t="b">
        <v>0</v>
      </c>
      <c r="V68" t="b">
        <v>0</v>
      </c>
      <c r="W68" t="b">
        <v>0</v>
      </c>
      <c r="X68" t="s">
        <v>173</v>
      </c>
      <c r="Z68">
        <f t="shared" si="21"/>
        <v>14</v>
      </c>
      <c r="AA68" t="str">
        <f t="shared" si="22"/>
        <v/>
      </c>
      <c r="AB68" t="str">
        <f t="shared" si="22"/>
        <v/>
      </c>
      <c r="AC68" t="str">
        <f t="shared" si="22"/>
        <v/>
      </c>
      <c r="AD68" t="str">
        <f t="shared" si="52"/>
        <v/>
      </c>
      <c r="AE68" t="str">
        <f t="shared" si="52"/>
        <v>stDevOut.astAXK[1]</v>
      </c>
      <c r="AF68" t="str">
        <f t="shared" si="24"/>
        <v/>
      </c>
      <c r="AG68" t="str">
        <f t="shared" si="25"/>
        <v/>
      </c>
      <c r="AH68" t="str">
        <f t="shared" si="26"/>
        <v/>
      </c>
      <c r="AI68" t="str">
        <f t="shared" si="27"/>
        <v/>
      </c>
      <c r="AJ68" t="str">
        <f t="shared" si="28"/>
        <v/>
      </c>
      <c r="AK68" t="str">
        <f t="shared" si="29"/>
        <v>stDevOut.astAXK[1]</v>
      </c>
      <c r="AM68" t="str">
        <f t="shared" si="30"/>
        <v>●</v>
      </c>
      <c r="AN68">
        <f t="shared" si="37"/>
        <v>4600</v>
      </c>
      <c r="AO68" t="str">
        <f t="shared" si="38"/>
        <v>LDP stEx460.x2</v>
      </c>
      <c r="AP68" t="str">
        <f t="shared" si="39"/>
        <v>AND=.D stM.udiErrNo #0</v>
      </c>
      <c r="AQ68" t="str">
        <f t="shared" si="40"/>
        <v>MOV.D #4600 stM.udiErrNo</v>
      </c>
      <c r="AR68" t="str">
        <f t="shared" si="41"/>
        <v>MOV.D stDevOut.astAXK[1] stM.udiSubErr</v>
      </c>
      <c r="AS68" t="str">
        <f t="shared" si="42"/>
        <v xml:space="preserve">
LDP stEx460.x2</v>
      </c>
      <c r="AT68" t="str">
        <f t="shared" si="43"/>
        <v xml:space="preserve">
LDP stEx460.x2
AND=.D stM.udiErrNo #0</v>
      </c>
      <c r="AU68" t="str">
        <f t="shared" si="44"/>
        <v xml:space="preserve">
LDP stEx460.x2
AND=.D stM.udiErrNo #0
MOV.D #4600 stM.udiErrNo</v>
      </c>
      <c r="AV68" t="str">
        <f t="shared" si="31"/>
        <v xml:space="preserve">
LDP stEx460.x2
AND=.D stM.udiErrNo #0
MOV.D #4600 stM.udiErrNo
MOV.D stDevOut.astAXK[1] stM.udiSubErr</v>
      </c>
      <c r="AW68" t="str">
        <f t="shared" si="32"/>
        <v xml:space="preserve">
LDP stEx460.x2
AND=.D stM.udiErrNo #0
MOV.D #4600 stM.udiErrNo
MOV.D stDevOut.astAXK[1] stM.udiSubErr</v>
      </c>
      <c r="AY68" t="str">
        <f t="shared" ca="1" si="45"/>
        <v xml:space="preserve">
LDP stEx460.x2
AND=.D stM.udiErrNo #0
BOX_ST
;//このスクリプトは C:\tk\prj\hg-0025-0016\git\kv-x520\doc\[kv_script_exe_errno.xlsm]info_script によって生成されました。</v>
      </c>
      <c r="AZ68" t="str">
        <f t="shared" ca="1" si="46"/>
        <v xml:space="preserve">
LDP stEx460.x2
AND=.D stM.udiErrNo #0
BOX_ST
;//このスクリプトは C:\tk\prj\hg-0025-0016\git\kv-x520\doc\[kv_script_exe_errno.xlsm]info_script によって生成されました。
;//エラーNo.を入れる
;stM.udiErrNo	:= 4600;</v>
      </c>
      <c r="BA68" t="str">
        <f t="shared" ca="1" si="47"/>
        <v xml:space="preserve">
LDP stEx460.x2
AND=.D stM.udiErrNo #0
BOX_ST
;//このスクリプトは C:\tk\prj\hg-0025-0016\git\kv-x520\doc\[kv_script_exe_errno.xlsm]info_script によって生成されました。
;//エラーNo.を入れる
;stM.udiErrNo	:= 4600;
;//カウントする
;stM.uiEDCnt	:= stM.uiEDCnt + 1;</v>
      </c>
      <c r="BB68" t="str">
        <f t="shared" ca="1" si="33"/>
        <v xml:space="preserve">
LDP stEx460.x2
AND=.D stM.udiErrNo #0
BOX_ST
;//このスクリプトは C:\tk\prj\hg-0025-0016\git\kv-x520\doc\[kv_script_exe_errno.xlsm]info_script によって生成されました。
;//エラーNo.を入れる
;stM.udiErrNo	:= 4600;
;//カウントする
;stM.uiEDCnt	:= stM.uiEDCnt + 1;
;//エラーコードを入れる
;stM.udiSubErr	:= stDevOut.astAXK[1].udiErrNo;</v>
      </c>
      <c r="BC68" t="str">
        <f t="shared" ca="1" si="48"/>
        <v xml:space="preserve">
LDP stEx460.x2
AND=.D stM.udiErrNo #0
BOX_ST
;//このスクリプトは C:\tk\prj\hg-0025-0016\git\kv-x520\doc\[kv_script_exe_errno.xlsm]info_script によって生成されました。
;//エラーNo.を入れる
;stM.udiErrNo	:= 4600;
;//カウントする
;stM.uiEDCnt	:= stM.uiEDCnt + 1;
;//エラーコードを入れる
;stM.udiSubErr	:= stDevOut.astAXK[1].udiErrNo;
;//-----ここまで生成script-----</v>
      </c>
      <c r="BE68">
        <f t="shared" si="49"/>
        <v>20</v>
      </c>
      <c r="BF68">
        <f t="shared" si="50"/>
        <v>0</v>
      </c>
      <c r="BG68" t="str">
        <f t="shared" si="51"/>
        <v>stEx460.x0	 := FALSE;</v>
      </c>
      <c r="BH68" t="str">
        <f t="shared" si="34"/>
        <v xml:space="preserve">stEx460.x0	 := FALSE;
</v>
      </c>
    </row>
    <row r="69" spans="4:60" x14ac:dyDescent="0.55000000000000004">
      <c r="D69">
        <v>61</v>
      </c>
      <c r="E69" t="str">
        <f t="shared" si="35"/>
        <v>stEx461</v>
      </c>
      <c r="F69" t="str">
        <f t="shared" si="20"/>
        <v>stEx461</v>
      </c>
      <c r="G69" t="str">
        <f t="shared" si="36"/>
        <v>●AXK14 巻き位置</v>
      </c>
      <c r="Q69" t="s">
        <v>174</v>
      </c>
      <c r="R69" t="s">
        <v>51</v>
      </c>
      <c r="U69" t="b">
        <v>0</v>
      </c>
      <c r="V69" t="b">
        <v>0</v>
      </c>
      <c r="W69" t="b">
        <v>0</v>
      </c>
      <c r="X69" t="s">
        <v>175</v>
      </c>
      <c r="Z69">
        <f t="shared" si="21"/>
        <v>14</v>
      </c>
      <c r="AA69" t="str">
        <f t="shared" si="22"/>
        <v/>
      </c>
      <c r="AB69" t="str">
        <f t="shared" si="22"/>
        <v/>
      </c>
      <c r="AC69" t="str">
        <f t="shared" si="22"/>
        <v/>
      </c>
      <c r="AD69" t="str">
        <f t="shared" si="52"/>
        <v/>
      </c>
      <c r="AE69" t="str">
        <f t="shared" si="52"/>
        <v>stDevOut.astAXK[1]</v>
      </c>
      <c r="AF69" t="str">
        <f t="shared" si="24"/>
        <v/>
      </c>
      <c r="AG69" t="str">
        <f t="shared" si="25"/>
        <v/>
      </c>
      <c r="AH69" t="str">
        <f t="shared" si="26"/>
        <v/>
      </c>
      <c r="AI69" t="str">
        <f t="shared" si="27"/>
        <v/>
      </c>
      <c r="AJ69" t="str">
        <f t="shared" si="28"/>
        <v/>
      </c>
      <c r="AK69" t="str">
        <f t="shared" si="29"/>
        <v>stDevOut.astAXK[1]</v>
      </c>
      <c r="AM69" t="str">
        <f t="shared" si="30"/>
        <v>●</v>
      </c>
      <c r="AN69">
        <f t="shared" si="37"/>
        <v>4610</v>
      </c>
      <c r="AO69" t="str">
        <f t="shared" si="38"/>
        <v>LDP stEx461.x2</v>
      </c>
      <c r="AP69" t="str">
        <f t="shared" si="39"/>
        <v>AND=.D stM.udiErrNo #0</v>
      </c>
      <c r="AQ69" t="str">
        <f t="shared" si="40"/>
        <v>MOV.D #4610 stM.udiErrNo</v>
      </c>
      <c r="AR69" t="str">
        <f t="shared" si="41"/>
        <v>MOV.D stDevOut.astAXK[1] stM.udiSubErr</v>
      </c>
      <c r="AS69" t="str">
        <f t="shared" si="42"/>
        <v xml:space="preserve">
LDP stEx461.x2</v>
      </c>
      <c r="AT69" t="str">
        <f t="shared" si="43"/>
        <v xml:space="preserve">
LDP stEx461.x2
AND=.D stM.udiErrNo #0</v>
      </c>
      <c r="AU69" t="str">
        <f t="shared" si="44"/>
        <v xml:space="preserve">
LDP stEx461.x2
AND=.D stM.udiErrNo #0
MOV.D #4610 stM.udiErrNo</v>
      </c>
      <c r="AV69" t="str">
        <f t="shared" si="31"/>
        <v xml:space="preserve">
LDP stEx461.x2
AND=.D stM.udiErrNo #0
MOV.D #4610 stM.udiErrNo
MOV.D stDevOut.astAXK[1] stM.udiSubErr</v>
      </c>
      <c r="AW69" t="str">
        <f t="shared" si="32"/>
        <v xml:space="preserve">
LDP stEx461.x2
AND=.D stM.udiErrNo #0
MOV.D #4610 stM.udiErrNo
MOV.D stDevOut.astAXK[1] stM.udiSubErr</v>
      </c>
      <c r="AY69" t="str">
        <f t="shared" ca="1" si="45"/>
        <v xml:space="preserve">
LDP stEx461.x2
AND=.D stM.udiErrNo #0
BOX_ST
;//このスクリプトは C:\tk\prj\hg-0025-0016\git\kv-x520\doc\[kv_script_exe_errno.xlsm]info_script によって生成されました。</v>
      </c>
      <c r="AZ69" t="str">
        <f t="shared" ca="1" si="46"/>
        <v xml:space="preserve">
LDP stEx461.x2
AND=.D stM.udiErrNo #0
BOX_ST
;//このスクリプトは C:\tk\prj\hg-0025-0016\git\kv-x520\doc\[kv_script_exe_errno.xlsm]info_script によって生成されました。
;//エラーNo.を入れる
;stM.udiErrNo	:= 4610;</v>
      </c>
      <c r="BA69" t="str">
        <f t="shared" ca="1" si="47"/>
        <v xml:space="preserve">
LDP stEx461.x2
AND=.D stM.udiErrNo #0
BOX_ST
;//このスクリプトは C:\tk\prj\hg-0025-0016\git\kv-x520\doc\[kv_script_exe_errno.xlsm]info_script によって生成されました。
;//エラーNo.を入れる
;stM.udiErrNo	:= 4610;
;//カウントする
;stM.uiEDCnt	:= stM.uiEDCnt + 1;</v>
      </c>
      <c r="BB69" t="str">
        <f t="shared" ca="1" si="33"/>
        <v xml:space="preserve">
LDP stEx461.x2
AND=.D stM.udiErrNo #0
BOX_ST
;//このスクリプトは C:\tk\prj\hg-0025-0016\git\kv-x520\doc\[kv_script_exe_errno.xlsm]info_script によって生成されました。
;//エラーNo.を入れる
;stM.udiErrNo	:= 4610;
;//カウントする
;stM.uiEDCnt	:= stM.uiEDCnt + 1;
;//エラーコードを入れる
;stM.udiSubErr	:= stDevOut.astAXK[1].udiErrNo;</v>
      </c>
      <c r="BC69" t="str">
        <f t="shared" ca="1" si="48"/>
        <v xml:space="preserve">
LDP stEx461.x2
AND=.D stM.udiErrNo #0
BOX_ST
;//このスクリプトは C:\tk\prj\hg-0025-0016\git\kv-x520\doc\[kv_script_exe_errno.xlsm]info_script によって生成されました。
;//エラーNo.を入れる
;stM.udiErrNo	:= 4610;
;//カウントする
;stM.uiEDCnt	:= stM.uiEDCnt + 1;
;//エラーコードを入れる
;stM.udiSubErr	:= stDevOut.astAXK[1].udiErrNo;
;//-----ここまで生成script-----</v>
      </c>
      <c r="BE69">
        <f t="shared" si="49"/>
        <v>20</v>
      </c>
      <c r="BF69">
        <f t="shared" si="50"/>
        <v>1</v>
      </c>
      <c r="BG69" t="str">
        <f t="shared" si="51"/>
        <v>stEx461.x1	 := FALSE;</v>
      </c>
      <c r="BH69" t="str">
        <f t="shared" si="34"/>
        <v xml:space="preserve">stEx461.x1	 := FALSE;
</v>
      </c>
    </row>
    <row r="70" spans="4:60" x14ac:dyDescent="0.55000000000000004">
      <c r="D70">
        <v>62</v>
      </c>
      <c r="E70" t="str">
        <f t="shared" si="35"/>
        <v>stEx462</v>
      </c>
      <c r="F70" t="str">
        <f t="shared" si="20"/>
        <v>stEx462</v>
      </c>
      <c r="G70" t="str">
        <f t="shared" si="36"/>
        <v>▼予備巻締</v>
      </c>
      <c r="Q70" t="s">
        <v>176</v>
      </c>
      <c r="R70" t="s">
        <v>51</v>
      </c>
      <c r="U70" t="b">
        <v>0</v>
      </c>
      <c r="V70" t="b">
        <v>0</v>
      </c>
      <c r="W70" t="b">
        <v>0</v>
      </c>
      <c r="X70" t="s">
        <v>177</v>
      </c>
      <c r="Z70" t="str">
        <f t="shared" si="21"/>
        <v/>
      </c>
      <c r="AA70" t="str">
        <f t="shared" si="22"/>
        <v/>
      </c>
      <c r="AB70" t="str">
        <f t="shared" si="22"/>
        <v/>
      </c>
      <c r="AC70" t="str">
        <f t="shared" si="22"/>
        <v/>
      </c>
      <c r="AD70" t="str">
        <f t="shared" si="52"/>
        <v/>
      </c>
      <c r="AE70" t="str">
        <f t="shared" si="52"/>
        <v/>
      </c>
      <c r="AF70" t="str">
        <f t="shared" si="24"/>
        <v/>
      </c>
      <c r="AG70" t="str">
        <f t="shared" si="25"/>
        <v/>
      </c>
      <c r="AH70" t="str">
        <f t="shared" si="26"/>
        <v/>
      </c>
      <c r="AI70" t="str">
        <f t="shared" si="27"/>
        <v/>
      </c>
      <c r="AJ70" t="str">
        <f t="shared" si="28"/>
        <v/>
      </c>
      <c r="AK70" t="str">
        <f t="shared" si="29"/>
        <v/>
      </c>
      <c r="AM70" t="str">
        <f t="shared" si="30"/>
        <v/>
      </c>
      <c r="AN70" t="str">
        <f t="shared" si="37"/>
        <v/>
      </c>
      <c r="AO70" t="str">
        <f t="shared" si="38"/>
        <v/>
      </c>
      <c r="AP70" t="str">
        <f t="shared" si="39"/>
        <v/>
      </c>
      <c r="AQ70" t="str">
        <f t="shared" si="40"/>
        <v/>
      </c>
      <c r="AR70" t="str">
        <f t="shared" si="41"/>
        <v/>
      </c>
      <c r="AS70" t="str">
        <f t="shared" si="42"/>
        <v/>
      </c>
      <c r="AT70" t="str">
        <f t="shared" si="43"/>
        <v/>
      </c>
      <c r="AU70" t="str">
        <f t="shared" si="44"/>
        <v/>
      </c>
      <c r="AV70" t="str">
        <f t="shared" si="31"/>
        <v/>
      </c>
      <c r="AW70" t="str">
        <f t="shared" si="32"/>
        <v/>
      </c>
      <c r="AY70" t="str">
        <f t="shared" si="45"/>
        <v/>
      </c>
      <c r="AZ70" t="str">
        <f t="shared" si="46"/>
        <v/>
      </c>
      <c r="BA70" t="str">
        <f t="shared" si="47"/>
        <v/>
      </c>
      <c r="BB70" t="str">
        <f t="shared" si="33"/>
        <v/>
      </c>
      <c r="BC70" t="str">
        <f t="shared" si="48"/>
        <v/>
      </c>
      <c r="BE70">
        <f t="shared" si="49"/>
        <v>20</v>
      </c>
      <c r="BF70">
        <f t="shared" si="50"/>
        <v>2</v>
      </c>
      <c r="BG70" t="str">
        <f t="shared" si="51"/>
        <v>stEx462.x2	 := FALSE;</v>
      </c>
      <c r="BH70" t="str">
        <f t="shared" si="34"/>
        <v xml:space="preserve">stEx462.x2	 := FALSE;
</v>
      </c>
    </row>
    <row r="71" spans="4:60" x14ac:dyDescent="0.55000000000000004">
      <c r="D71">
        <v>63</v>
      </c>
      <c r="E71" t="str">
        <f t="shared" si="35"/>
        <v>stEx463</v>
      </c>
      <c r="F71" t="str">
        <f t="shared" si="20"/>
        <v>stEx463</v>
      </c>
      <c r="G71" t="str">
        <f t="shared" si="36"/>
        <v>△◆巻締 締め有無</v>
      </c>
      <c r="Q71" t="s">
        <v>178</v>
      </c>
      <c r="R71" t="s">
        <v>51</v>
      </c>
      <c r="U71" t="b">
        <v>0</v>
      </c>
      <c r="V71" t="b">
        <v>0</v>
      </c>
      <c r="W71" t="b">
        <v>0</v>
      </c>
      <c r="X71" t="s">
        <v>179</v>
      </c>
      <c r="Z71" t="str">
        <f t="shared" si="21"/>
        <v/>
      </c>
      <c r="AA71" t="str">
        <f t="shared" si="22"/>
        <v/>
      </c>
      <c r="AB71" t="str">
        <f t="shared" si="22"/>
        <v/>
      </c>
      <c r="AC71" t="str">
        <f t="shared" si="22"/>
        <v/>
      </c>
      <c r="AD71" t="str">
        <f t="shared" si="52"/>
        <v/>
      </c>
      <c r="AE71" t="str">
        <f t="shared" si="52"/>
        <v/>
      </c>
      <c r="AF71" t="str">
        <f t="shared" si="24"/>
        <v/>
      </c>
      <c r="AG71" t="str">
        <f t="shared" si="25"/>
        <v/>
      </c>
      <c r="AH71" t="str">
        <f t="shared" si="26"/>
        <v/>
      </c>
      <c r="AI71" t="str">
        <f t="shared" si="27"/>
        <v/>
      </c>
      <c r="AJ71" t="str">
        <f t="shared" si="28"/>
        <v/>
      </c>
      <c r="AK71" t="str">
        <f t="shared" si="29"/>
        <v/>
      </c>
      <c r="AM71" t="str">
        <f t="shared" si="30"/>
        <v/>
      </c>
      <c r="AN71" t="str">
        <f t="shared" si="37"/>
        <v/>
      </c>
      <c r="AO71" t="str">
        <f t="shared" si="38"/>
        <v/>
      </c>
      <c r="AP71" t="str">
        <f t="shared" si="39"/>
        <v/>
      </c>
      <c r="AQ71" t="str">
        <f t="shared" si="40"/>
        <v/>
      </c>
      <c r="AR71" t="str">
        <f t="shared" si="41"/>
        <v/>
      </c>
      <c r="AS71" t="str">
        <f t="shared" si="42"/>
        <v/>
      </c>
      <c r="AT71" t="str">
        <f t="shared" si="43"/>
        <v/>
      </c>
      <c r="AU71" t="str">
        <f t="shared" si="44"/>
        <v/>
      </c>
      <c r="AV71" t="str">
        <f t="shared" si="31"/>
        <v/>
      </c>
      <c r="AW71" t="str">
        <f t="shared" si="32"/>
        <v/>
      </c>
      <c r="AY71" t="str">
        <f t="shared" si="45"/>
        <v/>
      </c>
      <c r="AZ71" t="str">
        <f t="shared" si="46"/>
        <v/>
      </c>
      <c r="BA71" t="str">
        <f t="shared" si="47"/>
        <v/>
      </c>
      <c r="BB71" t="str">
        <f t="shared" si="33"/>
        <v/>
      </c>
      <c r="BC71" t="str">
        <f t="shared" si="48"/>
        <v/>
      </c>
      <c r="BE71">
        <f t="shared" si="49"/>
        <v>21</v>
      </c>
      <c r="BF71">
        <f t="shared" si="50"/>
        <v>0</v>
      </c>
      <c r="BG71" t="str">
        <f t="shared" si="51"/>
        <v>stEx463.x0	 := FALSE;</v>
      </c>
      <c r="BH71" t="str">
        <f t="shared" si="34"/>
        <v xml:space="preserve">stEx463.x0	 := FALSE;
</v>
      </c>
    </row>
    <row r="72" spans="4:60" x14ac:dyDescent="0.55000000000000004">
      <c r="D72">
        <v>64</v>
      </c>
      <c r="E72" t="str">
        <f t="shared" ref="E72:E107" si="53">IF(LEN(I72),I72,IF(LEN(Q72),Q72,""))</f>
        <v>stEx464</v>
      </c>
      <c r="F72" t="str">
        <f t="shared" si="20"/>
        <v>stEx464</v>
      </c>
      <c r="G72" t="str">
        <f t="shared" ref="G72:G107" si="54">IF(LEN(O72),O72,IF(LEN(X72),X72,""))</f>
        <v>●AXK14調台 締め位置</v>
      </c>
      <c r="Q72" t="s">
        <v>180</v>
      </c>
      <c r="R72" t="s">
        <v>51</v>
      </c>
      <c r="U72" t="b">
        <v>0</v>
      </c>
      <c r="V72" t="b">
        <v>0</v>
      </c>
      <c r="W72" t="b">
        <v>0</v>
      </c>
      <c r="X72" t="s">
        <v>181</v>
      </c>
      <c r="Z72">
        <f t="shared" si="21"/>
        <v>14</v>
      </c>
      <c r="AA72" t="str">
        <f t="shared" si="22"/>
        <v/>
      </c>
      <c r="AB72" t="str">
        <f t="shared" si="22"/>
        <v/>
      </c>
      <c r="AC72" t="str">
        <f t="shared" si="22"/>
        <v/>
      </c>
      <c r="AD72" t="str">
        <f t="shared" si="52"/>
        <v/>
      </c>
      <c r="AE72" t="str">
        <f t="shared" si="52"/>
        <v>stDevOut.astAXK[1]</v>
      </c>
      <c r="AF72" t="str">
        <f t="shared" si="24"/>
        <v/>
      </c>
      <c r="AG72" t="str">
        <f t="shared" si="25"/>
        <v/>
      </c>
      <c r="AH72" t="str">
        <f t="shared" si="26"/>
        <v/>
      </c>
      <c r="AI72" t="str">
        <f t="shared" si="27"/>
        <v/>
      </c>
      <c r="AJ72" t="str">
        <f t="shared" si="28"/>
        <v/>
      </c>
      <c r="AK72" t="str">
        <f t="shared" si="29"/>
        <v>stDevOut.astAXK[1]</v>
      </c>
      <c r="AM72" t="str">
        <f t="shared" si="30"/>
        <v>●</v>
      </c>
      <c r="AN72">
        <f t="shared" ref="AN72:AN103" si="55">IF(AM72="●",(AN$4+MOD(INT(MID(E72,5,3)),AN$2))*AN$6,"")</f>
        <v>4640</v>
      </c>
      <c r="AO72" t="str">
        <f t="shared" ref="AO72:AO107" si="56">IF($AM72="●","LDP "&amp;E72&amp;"."&amp;$B$14,"")</f>
        <v>LDP stEx464.x2</v>
      </c>
      <c r="AP72" t="str">
        <f t="shared" ref="AP72:AP107" si="57">IF($AM72="●","AND=.D "&amp;$B$15&amp;" #0","")</f>
        <v>AND=.D stM.udiErrNo #0</v>
      </c>
      <c r="AQ72" t="str">
        <f t="shared" ref="AQ72:AQ107" si="58">IF($AM72="●","MOV.D #"&amp;AN72&amp;" "&amp;$B$15,"")</f>
        <v>MOV.D #4640 stM.udiErrNo</v>
      </c>
      <c r="AR72" t="str">
        <f t="shared" ref="AR72:AR107" si="59">IF(LEN(AK72),"MOV.D "&amp;$AK72&amp;" "&amp;$B$17,"")</f>
        <v>MOV.D stDevOut.astAXK[1] stM.udiSubErr</v>
      </c>
      <c r="AS72" t="str">
        <f t="shared" ref="AS72:AS107" si="60">IF(AND(D72&lt;&gt;0,AM72="●"),CHAR(10),"")&amp;IF(LEN(AO72),AO72,"")</f>
        <v xml:space="preserve">
LDP stEx464.x2</v>
      </c>
      <c r="AT72" t="str">
        <f t="shared" ref="AT72:AT103" si="61">IF(LEN(AS72),AS72&amp;CHAR(10),"")&amp;IF(LEN(AP72),AP72,"")</f>
        <v xml:space="preserve">
LDP stEx464.x2
AND=.D stM.udiErrNo #0</v>
      </c>
      <c r="AU72" t="str">
        <f t="shared" ref="AU72:AU103" si="62">IF(LEN(AT72),AT72&amp;CHAR(10),"")&amp;IF(LEN(AQ72),AQ72,"")</f>
        <v xml:space="preserve">
LDP stEx464.x2
AND=.D stM.udiErrNo #0
MOV.D #4640 stM.udiErrNo</v>
      </c>
      <c r="AV72" t="str">
        <f t="shared" si="31"/>
        <v xml:space="preserve">
LDP stEx464.x2
AND=.D stM.udiErrNo #0
MOV.D #4640 stM.udiErrNo
MOV.D stDevOut.astAXK[1] stM.udiSubErr</v>
      </c>
      <c r="AW72" t="str">
        <f t="shared" si="32"/>
        <v xml:space="preserve">
LDP stEx464.x2
AND=.D stM.udiErrNo #0
MOV.D #4640 stM.udiErrNo
MOV.D stDevOut.astAXK[1] stM.udiSubErr</v>
      </c>
      <c r="AY72" t="str">
        <f t="shared" ref="AY72:AY107" ca="1" si="63">IF($AM72="●",AT72&amp;CHAR(10)&amp;"BOX_ST"&amp;CHAR(10)&amp;";//"&amp;$B$28,"")</f>
        <v xml:space="preserve">
LDP stEx464.x2
AND=.D stM.udiErrNo #0
BOX_ST
;//このスクリプトは C:\tk\prj\hg-0025-0016\git\kv-x520\doc\[kv_script_exe_errno.xlsm]info_script によって生成されました。</v>
      </c>
      <c r="AZ72" t="str">
        <f t="shared" ref="AZ72:AZ103" ca="1" si="64">IF($AM72="●",IF(LEN(AY72),AY72&amp;CHAR(10),"")&amp;";//エラーNo.を入れる"&amp;CHAR(10)&amp;";"&amp;$B$15&amp;"	:= "&amp;AN72&amp;";","")</f>
        <v xml:space="preserve">
LDP stEx464.x2
AND=.D stM.udiErrNo #0
BOX_ST
;//このスクリプトは C:\tk\prj\hg-0025-0016\git\kv-x520\doc\[kv_script_exe_errno.xlsm]info_script によって生成されました。
;//エラーNo.を入れる
;stM.udiErrNo	:= 4640;</v>
      </c>
      <c r="BA72" t="str">
        <f t="shared" ref="BA72:BA103" ca="1" si="65">IF($AM72="●",IF(LEN(AZ72),AZ72&amp;CHAR(10),"")&amp;";//カウントする"&amp;CHAR(10)&amp;";"&amp;$B$16&amp;"	:= "&amp;$B$16&amp;" + 1;","")</f>
        <v xml:space="preserve">
LDP stEx464.x2
AND=.D stM.udiErrNo #0
BOX_ST
;//このスクリプトは C:\tk\prj\hg-0025-0016\git\kv-x520\doc\[kv_script_exe_errno.xlsm]info_script によって生成されました。
;//エラーNo.を入れる
;stM.udiErrNo	:= 4640;
;//カウントする
;stM.uiEDCnt	:= stM.uiEDCnt + 1;</v>
      </c>
      <c r="BB72" t="str">
        <f t="shared" ca="1" si="33"/>
        <v xml:space="preserve">
LDP stEx464.x2
AND=.D stM.udiErrNo #0
BOX_ST
;//このスクリプトは C:\tk\prj\hg-0025-0016\git\kv-x520\doc\[kv_script_exe_errno.xlsm]info_script によって生成されました。
;//エラーNo.を入れる
;stM.udiErrNo	:= 4640;
;//カウントする
;stM.uiEDCnt	:= stM.uiEDCnt + 1;
;//エラーコードを入れる
;stM.udiSubErr	:= stDevOut.astAXK[1].udiErrNo;</v>
      </c>
      <c r="BC72" t="str">
        <f t="shared" ref="BC72:BC103" ca="1" si="66">IF($AM72="●",IF(LEN(BB72),BB72&amp;CHAR(10),"")&amp;";//"&amp;$B$29,"")</f>
        <v xml:space="preserve">
LDP stEx464.x2
AND=.D stM.udiErrNo #0
BOX_ST
;//このスクリプトは C:\tk\prj\hg-0025-0016\git\kv-x520\doc\[kv_script_exe_errno.xlsm]info_script によって生成されました。
;//エラーNo.を入れる
;stM.udiErrNo	:= 4640;
;//カウントする
;stM.uiEDCnt	:= stM.uiEDCnt + 1;
;//エラーコードを入れる
;stM.udiSubErr	:= stDevOut.astAXK[1].udiErrNo;
;//-----ここまで生成script-----</v>
      </c>
      <c r="BE72">
        <f t="shared" ref="BE72:BE107" si="67">INT(D72/$BE$6)</f>
        <v>21</v>
      </c>
      <c r="BF72">
        <f t="shared" ref="BF72:BF107" si="68">MOD(D72,$BE$6)</f>
        <v>1</v>
      </c>
      <c r="BG72" t="str">
        <f t="shared" ref="BG72:BG103" si="69">IF(LEN(E72),E72&amp;".x"&amp;TEXT(BF72,"0")&amp;CHAR(9)&amp;" := FALSE;","")</f>
        <v>stEx464.x1	 := FALSE;</v>
      </c>
      <c r="BH72" t="str">
        <f t="shared" si="34"/>
        <v xml:space="preserve">stEx464.x1	 := FALSE;
</v>
      </c>
    </row>
    <row r="73" spans="4:60" x14ac:dyDescent="0.55000000000000004">
      <c r="D73">
        <v>65</v>
      </c>
      <c r="E73" t="str">
        <f t="shared" si="53"/>
        <v>stEx465</v>
      </c>
      <c r="F73" t="str">
        <f t="shared" ref="F73:F107" si="70">IF(LEN(J73),J73,IF(LEN(Q73),Q73,""))</f>
        <v>stEx465</v>
      </c>
      <c r="G73" t="str">
        <f t="shared" si="54"/>
        <v>●CYL19X平板押え 下降</v>
      </c>
      <c r="Q73" t="s">
        <v>182</v>
      </c>
      <c r="R73" t="s">
        <v>51</v>
      </c>
      <c r="U73" t="b">
        <v>0</v>
      </c>
      <c r="V73" t="b">
        <v>0</v>
      </c>
      <c r="W73" t="b">
        <v>0</v>
      </c>
      <c r="X73" t="s">
        <v>183</v>
      </c>
      <c r="Z73" t="str">
        <f t="shared" ref="Z73:Z107" si="71">IF(COUNTIF($G73,"*"&amp;Z$7&amp;"*"),INT(MID($G73,FIND(Z$7,$G73)+LEN(Z$7)+1,2)),"")</f>
        <v/>
      </c>
      <c r="AA73">
        <f t="shared" ref="AA73:AC107" si="72">IF(COUNTIF($G73,"*"&amp;AA$7&amp;"*"),INT(MID($G73,FIND(AA$7,$G73)+LEN(AA$7),2)),"")</f>
        <v>19</v>
      </c>
      <c r="AB73" t="str">
        <f t="shared" si="72"/>
        <v/>
      </c>
      <c r="AC73" t="str">
        <f t="shared" si="72"/>
        <v/>
      </c>
      <c r="AD73" t="str">
        <f t="shared" ref="AD73:AE107" si="73">IF(AND(LEN($Z73),AD$2&lt;=$Z73,$Z73&lt;=AD$3),AD$7&amp;"["&amp;$Z73-AD$2&amp;"]","")</f>
        <v/>
      </c>
      <c r="AE73" t="str">
        <f t="shared" si="73"/>
        <v/>
      </c>
      <c r="AF73" t="str">
        <f t="shared" ref="AF73:AF107" si="74">IF(AND(LEN($Z73),AF$2&lt;=$Z73,$Z73&lt;=AF$3),AF$7&amp;"["&amp;$Z73-AF$2&amp;"]",IF(AND(LEN($Z73),AF$4&lt;=$Z73,$Z73&lt;=AF$5),AF$7&amp;"["&amp;AF$3+$Z73-AF$4-AF$2+1&amp;"]",""))</f>
        <v/>
      </c>
      <c r="AG73" t="str">
        <f t="shared" ref="AG73:AG107" si="75">IF(AND(LEN($Z73),AG$2&lt;=$Z73,$Z73&lt;=AG$3),AG$7&amp;"["&amp;$Z73-AG$2&amp;"]",IF(AND(LEN($Z73),AG$4&lt;=$Z73,$Z73&lt;=AG$5),AG$7&amp;"["&amp;AG$3+$Z73-AG$4&amp;"]",""))</f>
        <v/>
      </c>
      <c r="AH73" t="str">
        <f t="shared" ref="AH73:AH107" si="76">IF(AND(LEN($AA73),AH$2&lt;=$AA73,$AA73&lt;=AH$3),AH$7&amp;"["&amp;$AA73-AH$2&amp;"]","")</f>
        <v>stDevOut.astCYL[18]</v>
      </c>
      <c r="AI73" t="str">
        <f t="shared" ref="AI73:AI107" si="77">IF(AND(LEN($AB73),AI$2&lt;=$AB73,$AB73&lt;=AI$3),AI$7&amp;"["&amp;$AB73-AI$2&amp;"]","")</f>
        <v/>
      </c>
      <c r="AJ73" t="str">
        <f t="shared" ref="AJ73:AJ107" si="78">IF(AND(LEN($AC73),AJ$2&lt;=$AC73,$AC73&lt;=AJ$3),AJ$7&amp;$AC73-AJ$2&amp;"Out","")</f>
        <v/>
      </c>
      <c r="AK73" t="str">
        <f t="shared" ref="AK73:AK107" si="79">IF(LEN(_xlfn.CONCAT(AD73:AJ73)),_xlfn.CONCAT(AD73:AJ73),"")</f>
        <v>stDevOut.astCYL[18]</v>
      </c>
      <c r="AM73" t="str">
        <f t="shared" ref="AM73:AM107" si="80">IF(LEN(G73),IF(OR(COUNTIF(G73,"*◆*"),COUNTIF(G73,"*▼*"),COUNTIF(G73,"*▽*"),COUNTIF(G73,"*■*")),"","●"),"")</f>
        <v>●</v>
      </c>
      <c r="AN73">
        <f t="shared" si="55"/>
        <v>4650</v>
      </c>
      <c r="AO73" t="str">
        <f t="shared" si="56"/>
        <v>LDP stEx465.x2</v>
      </c>
      <c r="AP73" t="str">
        <f t="shared" si="57"/>
        <v>AND=.D stM.udiErrNo #0</v>
      </c>
      <c r="AQ73" t="str">
        <f t="shared" si="58"/>
        <v>MOV.D #4650 stM.udiErrNo</v>
      </c>
      <c r="AR73" t="str">
        <f t="shared" si="59"/>
        <v>MOV.D stDevOut.astCYL[18] stM.udiSubErr</v>
      </c>
      <c r="AS73" t="str">
        <f t="shared" si="60"/>
        <v xml:space="preserve">
LDP stEx465.x2</v>
      </c>
      <c r="AT73" t="str">
        <f t="shared" si="61"/>
        <v xml:space="preserve">
LDP stEx465.x2
AND=.D stM.udiErrNo #0</v>
      </c>
      <c r="AU73" t="str">
        <f t="shared" si="62"/>
        <v xml:space="preserve">
LDP stEx465.x2
AND=.D stM.udiErrNo #0
MOV.D #4650 stM.udiErrNo</v>
      </c>
      <c r="AV73" t="str">
        <f t="shared" ref="AV73:AV107" si="81">IF(LEN(AU73),AU73&amp;CHAR(10),"")&amp;IF(LEN(AR73),AR73,"")</f>
        <v xml:space="preserve">
LDP stEx465.x2
AND=.D stM.udiErrNo #0
MOV.D #4650 stM.udiErrNo
MOV.D stDevOut.astCYL[18] stM.udiSubErr</v>
      </c>
      <c r="AW73" t="str">
        <f t="shared" ref="AW73:AW107" si="82">AV73</f>
        <v xml:space="preserve">
LDP stEx465.x2
AND=.D stM.udiErrNo #0
MOV.D #4650 stM.udiErrNo
MOV.D stDevOut.astCYL[18] stM.udiSubErr</v>
      </c>
      <c r="AY73" t="str">
        <f t="shared" ca="1" si="63"/>
        <v xml:space="preserve">
LDP stEx465.x2
AND=.D stM.udiErrNo #0
BOX_ST
;//このスクリプトは C:\tk\prj\hg-0025-0016\git\kv-x520\doc\[kv_script_exe_errno.xlsm]info_script によって生成されました。</v>
      </c>
      <c r="AZ73" t="str">
        <f t="shared" ca="1" si="64"/>
        <v xml:space="preserve">
LDP stEx465.x2
AND=.D stM.udiErrNo #0
BOX_ST
;//このスクリプトは C:\tk\prj\hg-0025-0016\git\kv-x520\doc\[kv_script_exe_errno.xlsm]info_script によって生成されました。
;//エラーNo.を入れる
;stM.udiErrNo	:= 4650;</v>
      </c>
      <c r="BA73" t="str">
        <f t="shared" ca="1" si="65"/>
        <v xml:space="preserve">
LDP stEx465.x2
AND=.D stM.udiErrNo #0
BOX_ST
;//このスクリプトは C:\tk\prj\hg-0025-0016\git\kv-x520\doc\[kv_script_exe_errno.xlsm]info_script によって生成されました。
;//エラーNo.を入れる
;stM.udiErrNo	:= 4650;
;//カウントする
;stM.uiEDCnt	:= stM.uiEDCnt + 1;</v>
      </c>
      <c r="BB73" t="str">
        <f t="shared" ref="BB73:BB107" ca="1" si="83">IF($AM73="●",IF(LEN(BA73),BA73&amp;CHAR(10),"")&amp;IF(LEN(AK73),";//エラーコードを入れる"&amp;CHAR(10)&amp;";"&amp;$B$17&amp;"	:= "&amp;AK73&amp;".udiErrNo;",""),"")</f>
        <v xml:space="preserve">
LDP stEx465.x2
AND=.D stM.udiErrNo #0
BOX_ST
;//このスクリプトは C:\tk\prj\hg-0025-0016\git\kv-x520\doc\[kv_script_exe_errno.xlsm]info_script によって生成されました。
;//エラーNo.を入れる
;stM.udiErrNo	:= 4650;
;//カウントする
;stM.uiEDCnt	:= stM.uiEDCnt + 1;
;//エラーコードを入れる
;stM.udiSubErr	:= stDevOut.astCYL[18].udiErrNo;</v>
      </c>
      <c r="BC73" t="str">
        <f t="shared" ca="1" si="66"/>
        <v xml:space="preserve">
LDP stEx465.x2
AND=.D stM.udiErrNo #0
BOX_ST
;//このスクリプトは C:\tk\prj\hg-0025-0016\git\kv-x520\doc\[kv_script_exe_errno.xlsm]info_script によって生成されました。
;//エラーNo.を入れる
;stM.udiErrNo	:= 4650;
;//カウントする
;stM.uiEDCnt	:= stM.uiEDCnt + 1;
;//エラーコードを入れる
;stM.udiSubErr	:= stDevOut.astCYL[18].udiErrNo;
;//-----ここまで生成script-----</v>
      </c>
      <c r="BE73">
        <f t="shared" si="67"/>
        <v>21</v>
      </c>
      <c r="BF73">
        <f t="shared" si="68"/>
        <v>2</v>
      </c>
      <c r="BG73" t="str">
        <f t="shared" si="69"/>
        <v>stEx465.x2	 := FALSE;</v>
      </c>
      <c r="BH73" t="str">
        <f t="shared" ref="BH73:BH107" si="84">IF(LEN(BG73),BG73&amp;CHAR(10),"")</f>
        <v xml:space="preserve">stEx465.x2	 := FALSE;
</v>
      </c>
    </row>
    <row r="74" spans="4:60" x14ac:dyDescent="0.55000000000000004">
      <c r="D74">
        <v>66</v>
      </c>
      <c r="E74" t="str">
        <f t="shared" si="53"/>
        <v>stEx466</v>
      </c>
      <c r="F74" t="str">
        <f t="shared" si="70"/>
        <v>stEx466</v>
      </c>
      <c r="G74" t="str">
        <f t="shared" si="54"/>
        <v>▼巻締 締め</v>
      </c>
      <c r="Q74" t="s">
        <v>184</v>
      </c>
      <c r="R74" t="s">
        <v>51</v>
      </c>
      <c r="U74" t="b">
        <v>0</v>
      </c>
      <c r="V74" t="b">
        <v>0</v>
      </c>
      <c r="W74" t="b">
        <v>0</v>
      </c>
      <c r="X74" t="s">
        <v>185</v>
      </c>
      <c r="Z74" t="str">
        <f t="shared" si="71"/>
        <v/>
      </c>
      <c r="AA74" t="str">
        <f t="shared" si="72"/>
        <v/>
      </c>
      <c r="AB74" t="str">
        <f t="shared" si="72"/>
        <v/>
      </c>
      <c r="AC74" t="str">
        <f t="shared" si="72"/>
        <v/>
      </c>
      <c r="AD74" t="str">
        <f t="shared" si="73"/>
        <v/>
      </c>
      <c r="AE74" t="str">
        <f t="shared" si="73"/>
        <v/>
      </c>
      <c r="AF74" t="str">
        <f t="shared" si="74"/>
        <v/>
      </c>
      <c r="AG74" t="str">
        <f t="shared" si="75"/>
        <v/>
      </c>
      <c r="AH74" t="str">
        <f t="shared" si="76"/>
        <v/>
      </c>
      <c r="AI74" t="str">
        <f t="shared" si="77"/>
        <v/>
      </c>
      <c r="AJ74" t="str">
        <f t="shared" si="78"/>
        <v/>
      </c>
      <c r="AK74" t="str">
        <f t="shared" si="79"/>
        <v/>
      </c>
      <c r="AM74" t="str">
        <f t="shared" si="80"/>
        <v/>
      </c>
      <c r="AN74" t="str">
        <f t="shared" si="55"/>
        <v/>
      </c>
      <c r="AO74" t="str">
        <f t="shared" si="56"/>
        <v/>
      </c>
      <c r="AP74" t="str">
        <f t="shared" si="57"/>
        <v/>
      </c>
      <c r="AQ74" t="str">
        <f t="shared" si="58"/>
        <v/>
      </c>
      <c r="AR74" t="str">
        <f t="shared" si="59"/>
        <v/>
      </c>
      <c r="AS74" t="str">
        <f t="shared" si="60"/>
        <v/>
      </c>
      <c r="AT74" t="str">
        <f t="shared" si="61"/>
        <v/>
      </c>
      <c r="AU74" t="str">
        <f t="shared" si="62"/>
        <v/>
      </c>
      <c r="AV74" t="str">
        <f t="shared" si="81"/>
        <v/>
      </c>
      <c r="AW74" t="str">
        <f t="shared" si="82"/>
        <v/>
      </c>
      <c r="AY74" t="str">
        <f t="shared" si="63"/>
        <v/>
      </c>
      <c r="AZ74" t="str">
        <f t="shared" si="64"/>
        <v/>
      </c>
      <c r="BA74" t="str">
        <f t="shared" si="65"/>
        <v/>
      </c>
      <c r="BB74" t="str">
        <f t="shared" si="83"/>
        <v/>
      </c>
      <c r="BC74" t="str">
        <f t="shared" si="66"/>
        <v/>
      </c>
      <c r="BE74">
        <f t="shared" si="67"/>
        <v>22</v>
      </c>
      <c r="BF74">
        <f t="shared" si="68"/>
        <v>0</v>
      </c>
      <c r="BG74" t="str">
        <f t="shared" si="69"/>
        <v>stEx466.x0	 := FALSE;</v>
      </c>
      <c r="BH74" t="str">
        <f t="shared" si="84"/>
        <v xml:space="preserve">stEx466.x0	 := FALSE;
</v>
      </c>
    </row>
    <row r="75" spans="4:60" x14ac:dyDescent="0.55000000000000004">
      <c r="D75">
        <v>67</v>
      </c>
      <c r="E75" t="str">
        <f t="shared" si="53"/>
        <v>stEx467</v>
      </c>
      <c r="F75" t="str">
        <f t="shared" si="70"/>
        <v>stEx467</v>
      </c>
      <c r="G75" t="str">
        <f t="shared" si="54"/>
        <v>▽平+波 +溶接+主軸</v>
      </c>
      <c r="Q75" t="s">
        <v>186</v>
      </c>
      <c r="R75" t="s">
        <v>51</v>
      </c>
      <c r="U75" t="b">
        <v>0</v>
      </c>
      <c r="V75" t="b">
        <v>0</v>
      </c>
      <c r="W75" t="b">
        <v>0</v>
      </c>
      <c r="X75" t="s">
        <v>187</v>
      </c>
      <c r="Z75" t="str">
        <f t="shared" si="71"/>
        <v/>
      </c>
      <c r="AA75" t="str">
        <f t="shared" si="72"/>
        <v/>
      </c>
      <c r="AB75" t="str">
        <f t="shared" si="72"/>
        <v/>
      </c>
      <c r="AC75" t="str">
        <f t="shared" si="72"/>
        <v/>
      </c>
      <c r="AD75" t="str">
        <f t="shared" si="73"/>
        <v/>
      </c>
      <c r="AE75" t="str">
        <f t="shared" si="73"/>
        <v/>
      </c>
      <c r="AF75" t="str">
        <f t="shared" si="74"/>
        <v/>
      </c>
      <c r="AG75" t="str">
        <f t="shared" si="75"/>
        <v/>
      </c>
      <c r="AH75" t="str">
        <f t="shared" si="76"/>
        <v/>
      </c>
      <c r="AI75" t="str">
        <f t="shared" si="77"/>
        <v/>
      </c>
      <c r="AJ75" t="str">
        <f t="shared" si="78"/>
        <v/>
      </c>
      <c r="AK75" t="str">
        <f t="shared" si="79"/>
        <v/>
      </c>
      <c r="AM75" t="str">
        <f t="shared" si="80"/>
        <v/>
      </c>
      <c r="AN75" t="str">
        <f t="shared" si="55"/>
        <v/>
      </c>
      <c r="AO75" t="str">
        <f t="shared" si="56"/>
        <v/>
      </c>
      <c r="AP75" t="str">
        <f t="shared" si="57"/>
        <v/>
      </c>
      <c r="AQ75" t="str">
        <f t="shared" si="58"/>
        <v/>
      </c>
      <c r="AR75" t="str">
        <f t="shared" si="59"/>
        <v/>
      </c>
      <c r="AS75" t="str">
        <f t="shared" si="60"/>
        <v/>
      </c>
      <c r="AT75" t="str">
        <f t="shared" si="61"/>
        <v/>
      </c>
      <c r="AU75" t="str">
        <f t="shared" si="62"/>
        <v/>
      </c>
      <c r="AV75" t="str">
        <f t="shared" si="81"/>
        <v/>
      </c>
      <c r="AW75" t="str">
        <f t="shared" si="82"/>
        <v/>
      </c>
      <c r="AY75" t="str">
        <f t="shared" si="63"/>
        <v/>
      </c>
      <c r="AZ75" t="str">
        <f t="shared" si="64"/>
        <v/>
      </c>
      <c r="BA75" t="str">
        <f t="shared" si="65"/>
        <v/>
      </c>
      <c r="BB75" t="str">
        <f t="shared" si="83"/>
        <v/>
      </c>
      <c r="BC75" t="str">
        <f t="shared" si="66"/>
        <v/>
      </c>
      <c r="BE75">
        <f t="shared" si="67"/>
        <v>22</v>
      </c>
      <c r="BF75">
        <f t="shared" si="68"/>
        <v>1</v>
      </c>
      <c r="BG75" t="str">
        <f t="shared" si="69"/>
        <v>stEx467.x1	 := FALSE;</v>
      </c>
      <c r="BH75" t="str">
        <f t="shared" si="84"/>
        <v xml:space="preserve">stEx467.x1	 := FALSE;
</v>
      </c>
    </row>
    <row r="76" spans="4:60" x14ac:dyDescent="0.55000000000000004">
      <c r="D76">
        <v>68</v>
      </c>
      <c r="E76" t="str">
        <f t="shared" si="53"/>
        <v>stEx468</v>
      </c>
      <c r="F76" t="str">
        <f t="shared" si="70"/>
        <v>stEx468</v>
      </c>
      <c r="G76" t="str">
        <f t="shared" si="54"/>
        <v>◆波板端 検索有無</v>
      </c>
      <c r="Q76" t="s">
        <v>188</v>
      </c>
      <c r="R76" t="s">
        <v>51</v>
      </c>
      <c r="U76" t="b">
        <v>0</v>
      </c>
      <c r="V76" t="b">
        <v>0</v>
      </c>
      <c r="W76" t="b">
        <v>0</v>
      </c>
      <c r="X76" t="s">
        <v>189</v>
      </c>
      <c r="Z76" t="str">
        <f t="shared" si="71"/>
        <v/>
      </c>
      <c r="AA76" t="str">
        <f t="shared" si="72"/>
        <v/>
      </c>
      <c r="AB76" t="str">
        <f t="shared" si="72"/>
        <v/>
      </c>
      <c r="AC76" t="str">
        <f t="shared" si="72"/>
        <v/>
      </c>
      <c r="AD76" t="str">
        <f t="shared" si="73"/>
        <v/>
      </c>
      <c r="AE76" t="str">
        <f t="shared" si="73"/>
        <v/>
      </c>
      <c r="AF76" t="str">
        <f t="shared" si="74"/>
        <v/>
      </c>
      <c r="AG76" t="str">
        <f t="shared" si="75"/>
        <v/>
      </c>
      <c r="AH76" t="str">
        <f t="shared" si="76"/>
        <v/>
      </c>
      <c r="AI76" t="str">
        <f t="shared" si="77"/>
        <v/>
      </c>
      <c r="AJ76" t="str">
        <f t="shared" si="78"/>
        <v/>
      </c>
      <c r="AK76" t="str">
        <f t="shared" si="79"/>
        <v/>
      </c>
      <c r="AM76" t="str">
        <f t="shared" si="80"/>
        <v/>
      </c>
      <c r="AN76" t="str">
        <f t="shared" si="55"/>
        <v/>
      </c>
      <c r="AO76" t="str">
        <f t="shared" si="56"/>
        <v/>
      </c>
      <c r="AP76" t="str">
        <f t="shared" si="57"/>
        <v/>
      </c>
      <c r="AQ76" t="str">
        <f t="shared" si="58"/>
        <v/>
      </c>
      <c r="AR76" t="str">
        <f t="shared" si="59"/>
        <v/>
      </c>
      <c r="AS76" t="str">
        <f t="shared" si="60"/>
        <v/>
      </c>
      <c r="AT76" t="str">
        <f t="shared" si="61"/>
        <v/>
      </c>
      <c r="AU76" t="str">
        <f t="shared" si="62"/>
        <v/>
      </c>
      <c r="AV76" t="str">
        <f t="shared" si="81"/>
        <v/>
      </c>
      <c r="AW76" t="str">
        <f t="shared" si="82"/>
        <v/>
      </c>
      <c r="AY76" t="str">
        <f t="shared" si="63"/>
        <v/>
      </c>
      <c r="AZ76" t="str">
        <f t="shared" si="64"/>
        <v/>
      </c>
      <c r="BA76" t="str">
        <f t="shared" si="65"/>
        <v/>
      </c>
      <c r="BB76" t="str">
        <f t="shared" si="83"/>
        <v/>
      </c>
      <c r="BC76" t="str">
        <f t="shared" si="66"/>
        <v/>
      </c>
      <c r="BE76">
        <f t="shared" si="67"/>
        <v>22</v>
      </c>
      <c r="BF76">
        <f t="shared" si="68"/>
        <v>2</v>
      </c>
      <c r="BG76" t="str">
        <f t="shared" si="69"/>
        <v>stEx468.x2	 := FALSE;</v>
      </c>
      <c r="BH76" t="str">
        <f t="shared" si="84"/>
        <v xml:space="preserve">stEx468.x2	 := FALSE;
</v>
      </c>
    </row>
    <row r="77" spans="4:60" x14ac:dyDescent="0.55000000000000004">
      <c r="D77">
        <v>69</v>
      </c>
      <c r="E77" t="str">
        <f t="shared" si="53"/>
        <v>stEx469</v>
      </c>
      <c r="F77" t="str">
        <f t="shared" si="70"/>
        <v>stEx469</v>
      </c>
      <c r="G77" t="str">
        <f t="shared" si="54"/>
        <v>△●AXO17 波板補助 待機</v>
      </c>
      <c r="Q77" t="s">
        <v>190</v>
      </c>
      <c r="R77" t="s">
        <v>51</v>
      </c>
      <c r="U77" t="b">
        <v>0</v>
      </c>
      <c r="V77" t="b">
        <v>0</v>
      </c>
      <c r="W77" t="b">
        <v>0</v>
      </c>
      <c r="X77" t="s">
        <v>191</v>
      </c>
      <c r="Z77">
        <f t="shared" si="71"/>
        <v>17</v>
      </c>
      <c r="AA77" t="str">
        <f t="shared" si="72"/>
        <v/>
      </c>
      <c r="AB77" t="str">
        <f t="shared" si="72"/>
        <v/>
      </c>
      <c r="AC77" t="str">
        <f t="shared" si="72"/>
        <v/>
      </c>
      <c r="AD77" t="str">
        <f t="shared" si="73"/>
        <v/>
      </c>
      <c r="AE77" t="str">
        <f t="shared" si="73"/>
        <v/>
      </c>
      <c r="AF77" t="str">
        <f t="shared" si="74"/>
        <v>stDevOut.astAXO[3]</v>
      </c>
      <c r="AG77" t="str">
        <f t="shared" si="75"/>
        <v/>
      </c>
      <c r="AH77" t="str">
        <f t="shared" si="76"/>
        <v/>
      </c>
      <c r="AI77" t="str">
        <f t="shared" si="77"/>
        <v/>
      </c>
      <c r="AJ77" t="str">
        <f t="shared" si="78"/>
        <v/>
      </c>
      <c r="AK77" t="str">
        <f t="shared" si="79"/>
        <v>stDevOut.astAXO[3]</v>
      </c>
      <c r="AM77" t="str">
        <f t="shared" si="80"/>
        <v>●</v>
      </c>
      <c r="AN77">
        <f t="shared" si="55"/>
        <v>4690</v>
      </c>
      <c r="AO77" t="str">
        <f t="shared" si="56"/>
        <v>LDP stEx469.x2</v>
      </c>
      <c r="AP77" t="str">
        <f t="shared" si="57"/>
        <v>AND=.D stM.udiErrNo #0</v>
      </c>
      <c r="AQ77" t="str">
        <f t="shared" si="58"/>
        <v>MOV.D #4690 stM.udiErrNo</v>
      </c>
      <c r="AR77" t="str">
        <f t="shared" si="59"/>
        <v>MOV.D stDevOut.astAXO[3] stM.udiSubErr</v>
      </c>
      <c r="AS77" t="str">
        <f t="shared" si="60"/>
        <v xml:space="preserve">
LDP stEx469.x2</v>
      </c>
      <c r="AT77" t="str">
        <f t="shared" si="61"/>
        <v xml:space="preserve">
LDP stEx469.x2
AND=.D stM.udiErrNo #0</v>
      </c>
      <c r="AU77" t="str">
        <f t="shared" si="62"/>
        <v xml:space="preserve">
LDP stEx469.x2
AND=.D stM.udiErrNo #0
MOV.D #4690 stM.udiErrNo</v>
      </c>
      <c r="AV77" t="str">
        <f t="shared" si="81"/>
        <v xml:space="preserve">
LDP stEx469.x2
AND=.D stM.udiErrNo #0
MOV.D #4690 stM.udiErrNo
MOV.D stDevOut.astAXO[3] stM.udiSubErr</v>
      </c>
      <c r="AW77" t="str">
        <f t="shared" si="82"/>
        <v xml:space="preserve">
LDP stEx469.x2
AND=.D stM.udiErrNo #0
MOV.D #4690 stM.udiErrNo
MOV.D stDevOut.astAXO[3] stM.udiSubErr</v>
      </c>
      <c r="AY77" t="str">
        <f t="shared" ca="1" si="63"/>
        <v xml:space="preserve">
LDP stEx469.x2
AND=.D stM.udiErrNo #0
BOX_ST
;//このスクリプトは C:\tk\prj\hg-0025-0016\git\kv-x520\doc\[kv_script_exe_errno.xlsm]info_script によって生成されました。</v>
      </c>
      <c r="AZ77" t="str">
        <f t="shared" ca="1" si="64"/>
        <v xml:space="preserve">
LDP stEx469.x2
AND=.D stM.udiErrNo #0
BOX_ST
;//このスクリプトは C:\tk\prj\hg-0025-0016\git\kv-x520\doc\[kv_script_exe_errno.xlsm]info_script によって生成されました。
;//エラーNo.を入れる
;stM.udiErrNo	:= 4690;</v>
      </c>
      <c r="BA77" t="str">
        <f t="shared" ca="1" si="65"/>
        <v xml:space="preserve">
LDP stEx469.x2
AND=.D stM.udiErrNo #0
BOX_ST
;//このスクリプトは C:\tk\prj\hg-0025-0016\git\kv-x520\doc\[kv_script_exe_errno.xlsm]info_script によって生成されました。
;//エラーNo.を入れる
;stM.udiErrNo	:= 4690;
;//カウントする
;stM.uiEDCnt	:= stM.uiEDCnt + 1;</v>
      </c>
      <c r="BB77" t="str">
        <f t="shared" ca="1" si="83"/>
        <v xml:space="preserve">
LDP stEx469.x2
AND=.D stM.udiErrNo #0
BOX_ST
;//このスクリプトは C:\tk\prj\hg-0025-0016\git\kv-x520\doc\[kv_script_exe_errno.xlsm]info_script によって生成されました。
;//エラーNo.を入れる
;stM.udiErrNo	:= 4690;
;//カウントする
;stM.uiEDCnt	:= stM.uiEDCnt + 1;
;//エラーコードを入れる
;stM.udiSubErr	:= stDevOut.astAXO[3].udiErrNo;</v>
      </c>
      <c r="BC77" t="str">
        <f t="shared" ca="1" si="66"/>
        <v xml:space="preserve">
LDP stEx469.x2
AND=.D stM.udiErrNo #0
BOX_ST
;//このスクリプトは C:\tk\prj\hg-0025-0016\git\kv-x520\doc\[kv_script_exe_errno.xlsm]info_script によって生成されました。
;//エラーNo.を入れる
;stM.udiErrNo	:= 4690;
;//カウントする
;stM.uiEDCnt	:= stM.uiEDCnt + 1;
;//エラーコードを入れる
;stM.udiSubErr	:= stDevOut.astAXO[3].udiErrNo;
;//-----ここまで生成script-----</v>
      </c>
      <c r="BE77">
        <f t="shared" si="67"/>
        <v>23</v>
      </c>
      <c r="BF77">
        <f t="shared" si="68"/>
        <v>0</v>
      </c>
      <c r="BG77" t="str">
        <f t="shared" si="69"/>
        <v>stEx469.x0	 := FALSE;</v>
      </c>
      <c r="BH77" t="str">
        <f t="shared" si="84"/>
        <v xml:space="preserve">stEx469.x0	 := FALSE;
</v>
      </c>
    </row>
    <row r="78" spans="4:60" x14ac:dyDescent="0.55000000000000004">
      <c r="D78">
        <v>70</v>
      </c>
      <c r="E78" t="str">
        <f t="shared" si="53"/>
        <v>stEx470</v>
      </c>
      <c r="F78" t="str">
        <f t="shared" si="70"/>
        <v>stEx470</v>
      </c>
      <c r="G78" t="str">
        <f t="shared" si="54"/>
        <v>△●AXI05 波板検索</v>
      </c>
      <c r="Q78" t="s">
        <v>192</v>
      </c>
      <c r="R78" t="s">
        <v>51</v>
      </c>
      <c r="U78" t="b">
        <v>0</v>
      </c>
      <c r="V78" t="b">
        <v>0</v>
      </c>
      <c r="W78" t="b">
        <v>0</v>
      </c>
      <c r="X78" t="s">
        <v>193</v>
      </c>
      <c r="Z78">
        <f t="shared" si="71"/>
        <v>5</v>
      </c>
      <c r="AA78" t="str">
        <f t="shared" si="72"/>
        <v/>
      </c>
      <c r="AB78" t="str">
        <f t="shared" si="72"/>
        <v/>
      </c>
      <c r="AC78" t="str">
        <f t="shared" si="72"/>
        <v/>
      </c>
      <c r="AD78" t="str">
        <f t="shared" si="73"/>
        <v>stDevOut.astAXI[0]</v>
      </c>
      <c r="AE78" t="str">
        <f t="shared" si="73"/>
        <v/>
      </c>
      <c r="AF78" t="str">
        <f t="shared" si="74"/>
        <v/>
      </c>
      <c r="AG78" t="str">
        <f t="shared" si="75"/>
        <v/>
      </c>
      <c r="AH78" t="str">
        <f t="shared" si="76"/>
        <v/>
      </c>
      <c r="AI78" t="str">
        <f t="shared" si="77"/>
        <v/>
      </c>
      <c r="AJ78" t="str">
        <f t="shared" si="78"/>
        <v/>
      </c>
      <c r="AK78" t="str">
        <f t="shared" si="79"/>
        <v>stDevOut.astAXI[0]</v>
      </c>
      <c r="AM78" t="str">
        <f t="shared" si="80"/>
        <v>●</v>
      </c>
      <c r="AN78">
        <f t="shared" si="55"/>
        <v>4700</v>
      </c>
      <c r="AO78" t="str">
        <f t="shared" si="56"/>
        <v>LDP stEx470.x2</v>
      </c>
      <c r="AP78" t="str">
        <f t="shared" si="57"/>
        <v>AND=.D stM.udiErrNo #0</v>
      </c>
      <c r="AQ78" t="str">
        <f t="shared" si="58"/>
        <v>MOV.D #4700 stM.udiErrNo</v>
      </c>
      <c r="AR78" t="str">
        <f t="shared" si="59"/>
        <v>MOV.D stDevOut.astAXI[0] stM.udiSubErr</v>
      </c>
      <c r="AS78" t="str">
        <f t="shared" si="60"/>
        <v xml:space="preserve">
LDP stEx470.x2</v>
      </c>
      <c r="AT78" t="str">
        <f t="shared" si="61"/>
        <v xml:space="preserve">
LDP stEx470.x2
AND=.D stM.udiErrNo #0</v>
      </c>
      <c r="AU78" t="str">
        <f t="shared" si="62"/>
        <v xml:space="preserve">
LDP stEx470.x2
AND=.D stM.udiErrNo #0
MOV.D #4700 stM.udiErrNo</v>
      </c>
      <c r="AV78" t="str">
        <f t="shared" si="81"/>
        <v xml:space="preserve">
LDP stEx470.x2
AND=.D stM.udiErrNo #0
MOV.D #4700 stM.udiErrNo
MOV.D stDevOut.astAXI[0] stM.udiSubErr</v>
      </c>
      <c r="AW78" t="str">
        <f t="shared" si="82"/>
        <v xml:space="preserve">
LDP stEx470.x2
AND=.D stM.udiErrNo #0
MOV.D #4700 stM.udiErrNo
MOV.D stDevOut.astAXI[0] stM.udiSubErr</v>
      </c>
      <c r="AY78" t="str">
        <f t="shared" ca="1" si="63"/>
        <v xml:space="preserve">
LDP stEx470.x2
AND=.D stM.udiErrNo #0
BOX_ST
;//このスクリプトは C:\tk\prj\hg-0025-0016\git\kv-x520\doc\[kv_script_exe_errno.xlsm]info_script によって生成されました。</v>
      </c>
      <c r="AZ78" t="str">
        <f t="shared" ca="1" si="64"/>
        <v xml:space="preserve">
LDP stEx470.x2
AND=.D stM.udiErrNo #0
BOX_ST
;//このスクリプトは C:\tk\prj\hg-0025-0016\git\kv-x520\doc\[kv_script_exe_errno.xlsm]info_script によって生成されました。
;//エラーNo.を入れる
;stM.udiErrNo	:= 4700;</v>
      </c>
      <c r="BA78" t="str">
        <f t="shared" ca="1" si="65"/>
        <v xml:space="preserve">
LDP stEx470.x2
AND=.D stM.udiErrNo #0
BOX_ST
;//このスクリプトは C:\tk\prj\hg-0025-0016\git\kv-x520\doc\[kv_script_exe_errno.xlsm]info_script によって生成されました。
;//エラーNo.を入れる
;stM.udiErrNo	:= 4700;
;//カウントする
;stM.uiEDCnt	:= stM.uiEDCnt + 1;</v>
      </c>
      <c r="BB78" t="str">
        <f t="shared" ca="1" si="83"/>
        <v xml:space="preserve">
LDP stEx470.x2
AND=.D stM.udiErrNo #0
BOX_ST
;//このスクリプトは C:\tk\prj\hg-0025-0016\git\kv-x520\doc\[kv_script_exe_errno.xlsm]info_script によって生成されました。
;//エラーNo.を入れる
;stM.udiErrNo	:= 4700;
;//カウントする
;stM.uiEDCnt	:= stM.uiEDCnt + 1;
;//エラーコードを入れる
;stM.udiSubErr	:= stDevOut.astAXI[0].udiErrNo;</v>
      </c>
      <c r="BC78" t="str">
        <f t="shared" ca="1" si="66"/>
        <v xml:space="preserve">
LDP stEx470.x2
AND=.D stM.udiErrNo #0
BOX_ST
;//このスクリプトは C:\tk\prj\hg-0025-0016\git\kv-x520\doc\[kv_script_exe_errno.xlsm]info_script によって生成されました。
;//エラーNo.を入れる
;stM.udiErrNo	:= 4700;
;//カウントする
;stM.uiEDCnt	:= stM.uiEDCnt + 1;
;//エラーコードを入れる
;stM.udiSubErr	:= stDevOut.astAXI[0].udiErrNo;
;//-----ここまで生成script-----</v>
      </c>
      <c r="BE78">
        <f t="shared" si="67"/>
        <v>23</v>
      </c>
      <c r="BF78">
        <f t="shared" si="68"/>
        <v>1</v>
      </c>
      <c r="BG78" t="str">
        <f t="shared" si="69"/>
        <v>stEx470.x1	 := FALSE;</v>
      </c>
      <c r="BH78" t="str">
        <f t="shared" si="84"/>
        <v xml:space="preserve">stEx470.x1	 := FALSE;
</v>
      </c>
    </row>
    <row r="79" spans="4:60" x14ac:dyDescent="0.55000000000000004">
      <c r="D79">
        <v>71</v>
      </c>
      <c r="E79" t="str">
        <f t="shared" si="53"/>
        <v>stEx471</v>
      </c>
      <c r="F79" t="str">
        <f t="shared" si="70"/>
        <v>stEx471</v>
      </c>
      <c r="G79" t="str">
        <f t="shared" si="54"/>
        <v>△●AXI06 波板検索</v>
      </c>
      <c r="Q79" t="s">
        <v>194</v>
      </c>
      <c r="R79" t="s">
        <v>51</v>
      </c>
      <c r="U79" t="b">
        <v>0</v>
      </c>
      <c r="V79" t="b">
        <v>0</v>
      </c>
      <c r="W79" t="b">
        <v>0</v>
      </c>
      <c r="X79" t="s">
        <v>195</v>
      </c>
      <c r="Z79">
        <f t="shared" si="71"/>
        <v>6</v>
      </c>
      <c r="AA79" t="str">
        <f t="shared" si="72"/>
        <v/>
      </c>
      <c r="AB79" t="str">
        <f t="shared" si="72"/>
        <v/>
      </c>
      <c r="AC79" t="str">
        <f t="shared" si="72"/>
        <v/>
      </c>
      <c r="AD79" t="str">
        <f t="shared" si="73"/>
        <v>stDevOut.astAXI[1]</v>
      </c>
      <c r="AE79" t="str">
        <f t="shared" si="73"/>
        <v/>
      </c>
      <c r="AF79" t="str">
        <f t="shared" si="74"/>
        <v/>
      </c>
      <c r="AG79" t="str">
        <f t="shared" si="75"/>
        <v/>
      </c>
      <c r="AH79" t="str">
        <f t="shared" si="76"/>
        <v/>
      </c>
      <c r="AI79" t="str">
        <f t="shared" si="77"/>
        <v/>
      </c>
      <c r="AJ79" t="str">
        <f t="shared" si="78"/>
        <v/>
      </c>
      <c r="AK79" t="str">
        <f t="shared" si="79"/>
        <v>stDevOut.astAXI[1]</v>
      </c>
      <c r="AM79" t="str">
        <f t="shared" si="80"/>
        <v>●</v>
      </c>
      <c r="AN79">
        <f t="shared" si="55"/>
        <v>4710</v>
      </c>
      <c r="AO79" t="str">
        <f t="shared" si="56"/>
        <v>LDP stEx471.x2</v>
      </c>
      <c r="AP79" t="str">
        <f t="shared" si="57"/>
        <v>AND=.D stM.udiErrNo #0</v>
      </c>
      <c r="AQ79" t="str">
        <f t="shared" si="58"/>
        <v>MOV.D #4710 stM.udiErrNo</v>
      </c>
      <c r="AR79" t="str">
        <f t="shared" si="59"/>
        <v>MOV.D stDevOut.astAXI[1] stM.udiSubErr</v>
      </c>
      <c r="AS79" t="str">
        <f t="shared" si="60"/>
        <v xml:space="preserve">
LDP stEx471.x2</v>
      </c>
      <c r="AT79" t="str">
        <f t="shared" si="61"/>
        <v xml:space="preserve">
LDP stEx471.x2
AND=.D stM.udiErrNo #0</v>
      </c>
      <c r="AU79" t="str">
        <f t="shared" si="62"/>
        <v xml:space="preserve">
LDP stEx471.x2
AND=.D stM.udiErrNo #0
MOV.D #4710 stM.udiErrNo</v>
      </c>
      <c r="AV79" t="str">
        <f t="shared" si="81"/>
        <v xml:space="preserve">
LDP stEx471.x2
AND=.D stM.udiErrNo #0
MOV.D #4710 stM.udiErrNo
MOV.D stDevOut.astAXI[1] stM.udiSubErr</v>
      </c>
      <c r="AW79" t="str">
        <f t="shared" si="82"/>
        <v xml:space="preserve">
LDP stEx471.x2
AND=.D stM.udiErrNo #0
MOV.D #4710 stM.udiErrNo
MOV.D stDevOut.astAXI[1] stM.udiSubErr</v>
      </c>
      <c r="AY79" t="str">
        <f t="shared" ca="1" si="63"/>
        <v xml:space="preserve">
LDP stEx471.x2
AND=.D stM.udiErrNo #0
BOX_ST
;//このスクリプトは C:\tk\prj\hg-0025-0016\git\kv-x520\doc\[kv_script_exe_errno.xlsm]info_script によって生成されました。</v>
      </c>
      <c r="AZ79" t="str">
        <f t="shared" ca="1" si="64"/>
        <v xml:space="preserve">
LDP stEx471.x2
AND=.D stM.udiErrNo #0
BOX_ST
;//このスクリプトは C:\tk\prj\hg-0025-0016\git\kv-x520\doc\[kv_script_exe_errno.xlsm]info_script によって生成されました。
;//エラーNo.を入れる
;stM.udiErrNo	:= 4710;</v>
      </c>
      <c r="BA79" t="str">
        <f t="shared" ca="1" si="65"/>
        <v xml:space="preserve">
LDP stEx471.x2
AND=.D stM.udiErrNo #0
BOX_ST
;//このスクリプトは C:\tk\prj\hg-0025-0016\git\kv-x520\doc\[kv_script_exe_errno.xlsm]info_script によって生成されました。
;//エラーNo.を入れる
;stM.udiErrNo	:= 4710;
;//カウントする
;stM.uiEDCnt	:= stM.uiEDCnt + 1;</v>
      </c>
      <c r="BB79" t="str">
        <f t="shared" ca="1" si="83"/>
        <v xml:space="preserve">
LDP stEx471.x2
AND=.D stM.udiErrNo #0
BOX_ST
;//このスクリプトは C:\tk\prj\hg-0025-0016\git\kv-x520\doc\[kv_script_exe_errno.xlsm]info_script によって生成されました。
;//エラーNo.を入れる
;stM.udiErrNo	:= 4710;
;//カウントする
;stM.uiEDCnt	:= stM.uiEDCnt + 1;
;//エラーコードを入れる
;stM.udiSubErr	:= stDevOut.astAXI[1].udiErrNo;</v>
      </c>
      <c r="BC79" t="str">
        <f t="shared" ca="1" si="66"/>
        <v xml:space="preserve">
LDP stEx471.x2
AND=.D stM.udiErrNo #0
BOX_ST
;//このスクリプトは C:\tk\prj\hg-0025-0016\git\kv-x520\doc\[kv_script_exe_errno.xlsm]info_script によって生成されました。
;//エラーNo.を入れる
;stM.udiErrNo	:= 4710;
;//カウントする
;stM.uiEDCnt	:= stM.uiEDCnt + 1;
;//エラーコードを入れる
;stM.udiSubErr	:= stDevOut.astAXI[1].udiErrNo;
;//-----ここまで生成script-----</v>
      </c>
      <c r="BE79">
        <f t="shared" si="67"/>
        <v>23</v>
      </c>
      <c r="BF79">
        <f t="shared" si="68"/>
        <v>2</v>
      </c>
      <c r="BG79" t="str">
        <f t="shared" si="69"/>
        <v>stEx471.x2	 := FALSE;</v>
      </c>
      <c r="BH79" t="str">
        <f t="shared" si="84"/>
        <v xml:space="preserve">stEx471.x2	 := FALSE;
</v>
      </c>
    </row>
    <row r="80" spans="4:60" x14ac:dyDescent="0.55000000000000004">
      <c r="D80">
        <v>72</v>
      </c>
      <c r="E80" t="str">
        <f t="shared" si="53"/>
        <v>stEx472</v>
      </c>
      <c r="F80" t="str">
        <f t="shared" si="70"/>
        <v>stEx472</v>
      </c>
      <c r="G80" t="str">
        <f t="shared" si="54"/>
        <v>△波板終端 検索</v>
      </c>
      <c r="Q80" t="s">
        <v>196</v>
      </c>
      <c r="R80" t="s">
        <v>51</v>
      </c>
      <c r="U80" t="b">
        <v>0</v>
      </c>
      <c r="V80" t="b">
        <v>0</v>
      </c>
      <c r="W80" t="b">
        <v>0</v>
      </c>
      <c r="X80" t="s">
        <v>197</v>
      </c>
      <c r="Z80" t="str">
        <f t="shared" si="71"/>
        <v/>
      </c>
      <c r="AA80" t="str">
        <f t="shared" si="72"/>
        <v/>
      </c>
      <c r="AB80" t="str">
        <f t="shared" si="72"/>
        <v/>
      </c>
      <c r="AC80" t="str">
        <f t="shared" si="72"/>
        <v/>
      </c>
      <c r="AD80" t="str">
        <f t="shared" si="73"/>
        <v/>
      </c>
      <c r="AE80" t="str">
        <f t="shared" si="73"/>
        <v/>
      </c>
      <c r="AF80" t="str">
        <f t="shared" si="74"/>
        <v/>
      </c>
      <c r="AG80" t="str">
        <f t="shared" si="75"/>
        <v/>
      </c>
      <c r="AH80" t="str">
        <f t="shared" si="76"/>
        <v/>
      </c>
      <c r="AI80" t="str">
        <f t="shared" si="77"/>
        <v/>
      </c>
      <c r="AJ80" t="str">
        <f t="shared" si="78"/>
        <v/>
      </c>
      <c r="AK80" t="str">
        <f t="shared" si="79"/>
        <v/>
      </c>
      <c r="AM80" t="str">
        <f t="shared" si="80"/>
        <v>●</v>
      </c>
      <c r="AN80">
        <f t="shared" si="55"/>
        <v>4720</v>
      </c>
      <c r="AO80" t="str">
        <f t="shared" si="56"/>
        <v>LDP stEx472.x2</v>
      </c>
      <c r="AP80" t="str">
        <f t="shared" si="57"/>
        <v>AND=.D stM.udiErrNo #0</v>
      </c>
      <c r="AQ80" t="str">
        <f t="shared" si="58"/>
        <v>MOV.D #4720 stM.udiErrNo</v>
      </c>
      <c r="AR80" t="str">
        <f t="shared" si="59"/>
        <v/>
      </c>
      <c r="AS80" t="str">
        <f t="shared" si="60"/>
        <v xml:space="preserve">
LDP stEx472.x2</v>
      </c>
      <c r="AT80" t="str">
        <f t="shared" si="61"/>
        <v xml:space="preserve">
LDP stEx472.x2
AND=.D stM.udiErrNo #0</v>
      </c>
      <c r="AU80" t="str">
        <f t="shared" si="62"/>
        <v xml:space="preserve">
LDP stEx472.x2
AND=.D stM.udiErrNo #0
MOV.D #4720 stM.udiErrNo</v>
      </c>
      <c r="AV80" t="str">
        <f t="shared" si="81"/>
        <v xml:space="preserve">
LDP stEx472.x2
AND=.D stM.udiErrNo #0
MOV.D #4720 stM.udiErrNo
</v>
      </c>
      <c r="AW80" t="str">
        <f t="shared" si="82"/>
        <v xml:space="preserve">
LDP stEx472.x2
AND=.D stM.udiErrNo #0
MOV.D #4720 stM.udiErrNo
</v>
      </c>
      <c r="AY80" t="str">
        <f t="shared" ca="1" si="63"/>
        <v xml:space="preserve">
LDP stEx472.x2
AND=.D stM.udiErrNo #0
BOX_ST
;//このスクリプトは C:\tk\prj\hg-0025-0016\git\kv-x520\doc\[kv_script_exe_errno.xlsm]info_script によって生成されました。</v>
      </c>
      <c r="AZ80" t="str">
        <f t="shared" ca="1" si="64"/>
        <v xml:space="preserve">
LDP stEx472.x2
AND=.D stM.udiErrNo #0
BOX_ST
;//このスクリプトは C:\tk\prj\hg-0025-0016\git\kv-x520\doc\[kv_script_exe_errno.xlsm]info_script によって生成されました。
;//エラーNo.を入れる
;stM.udiErrNo	:= 4720;</v>
      </c>
      <c r="BA80" t="str">
        <f t="shared" ca="1" si="65"/>
        <v xml:space="preserve">
LDP stEx472.x2
AND=.D stM.udiErrNo #0
BOX_ST
;//このスクリプトは C:\tk\prj\hg-0025-0016\git\kv-x520\doc\[kv_script_exe_errno.xlsm]info_script によって生成されました。
;//エラーNo.を入れる
;stM.udiErrNo	:= 4720;
;//カウントする
;stM.uiEDCnt	:= stM.uiEDCnt + 1;</v>
      </c>
      <c r="BB80" t="str">
        <f t="shared" ca="1" si="83"/>
        <v xml:space="preserve">
LDP stEx472.x2
AND=.D stM.udiErrNo #0
BOX_ST
;//このスクリプトは C:\tk\prj\hg-0025-0016\git\kv-x520\doc\[kv_script_exe_errno.xlsm]info_script によって生成されました。
;//エラーNo.を入れる
;stM.udiErrNo	:= 4720;
;//カウントする
;stM.uiEDCnt	:= stM.uiEDCnt + 1;
</v>
      </c>
      <c r="BC80" t="str">
        <f t="shared" ca="1" si="66"/>
        <v xml:space="preserve">
LDP stEx472.x2
AND=.D stM.udiErrNo #0
BOX_ST
;//このスクリプトは C:\tk\prj\hg-0025-0016\git\kv-x520\doc\[kv_script_exe_errno.xlsm]info_script によって生成されました。
;//エラーNo.を入れる
;stM.udiErrNo	:= 4720;
;//カウントする
;stM.uiEDCnt	:= stM.uiEDCnt + 1;
;//-----ここまで生成script-----</v>
      </c>
      <c r="BE80">
        <f t="shared" si="67"/>
        <v>24</v>
      </c>
      <c r="BF80">
        <f t="shared" si="68"/>
        <v>0</v>
      </c>
      <c r="BG80" t="str">
        <f t="shared" si="69"/>
        <v>stEx472.x0	 := FALSE;</v>
      </c>
      <c r="BH80" t="str">
        <f t="shared" si="84"/>
        <v xml:space="preserve">stEx472.x0	 := FALSE;
</v>
      </c>
    </row>
    <row r="81" spans="4:60" x14ac:dyDescent="0.55000000000000004">
      <c r="D81">
        <v>73</v>
      </c>
      <c r="E81" t="str">
        <f t="shared" si="53"/>
        <v>stEx473</v>
      </c>
      <c r="F81" t="str">
        <f t="shared" si="70"/>
        <v>stEx473</v>
      </c>
      <c r="G81" t="str">
        <f t="shared" si="54"/>
        <v>△●AXK13 波板検索</v>
      </c>
      <c r="Q81" t="s">
        <v>198</v>
      </c>
      <c r="R81" t="s">
        <v>51</v>
      </c>
      <c r="U81" t="b">
        <v>0</v>
      </c>
      <c r="V81" t="b">
        <v>0</v>
      </c>
      <c r="W81" t="b">
        <v>0</v>
      </c>
      <c r="X81" t="s">
        <v>199</v>
      </c>
      <c r="Z81">
        <f t="shared" si="71"/>
        <v>13</v>
      </c>
      <c r="AA81" t="str">
        <f t="shared" si="72"/>
        <v/>
      </c>
      <c r="AB81" t="str">
        <f t="shared" si="72"/>
        <v/>
      </c>
      <c r="AC81" t="str">
        <f t="shared" si="72"/>
        <v/>
      </c>
      <c r="AD81" t="str">
        <f t="shared" si="73"/>
        <v/>
      </c>
      <c r="AE81" t="str">
        <f t="shared" si="73"/>
        <v>stDevOut.astAXK[0]</v>
      </c>
      <c r="AF81" t="str">
        <f t="shared" si="74"/>
        <v/>
      </c>
      <c r="AG81" t="str">
        <f t="shared" si="75"/>
        <v/>
      </c>
      <c r="AH81" t="str">
        <f t="shared" si="76"/>
        <v/>
      </c>
      <c r="AI81" t="str">
        <f t="shared" si="77"/>
        <v/>
      </c>
      <c r="AJ81" t="str">
        <f t="shared" si="78"/>
        <v/>
      </c>
      <c r="AK81" t="str">
        <f t="shared" si="79"/>
        <v>stDevOut.astAXK[0]</v>
      </c>
      <c r="AM81" t="str">
        <f t="shared" si="80"/>
        <v>●</v>
      </c>
      <c r="AN81">
        <f t="shared" si="55"/>
        <v>4730</v>
      </c>
      <c r="AO81" t="str">
        <f t="shared" si="56"/>
        <v>LDP stEx473.x2</v>
      </c>
      <c r="AP81" t="str">
        <f t="shared" si="57"/>
        <v>AND=.D stM.udiErrNo #0</v>
      </c>
      <c r="AQ81" t="str">
        <f t="shared" si="58"/>
        <v>MOV.D #4730 stM.udiErrNo</v>
      </c>
      <c r="AR81" t="str">
        <f t="shared" si="59"/>
        <v>MOV.D stDevOut.astAXK[0] stM.udiSubErr</v>
      </c>
      <c r="AS81" t="str">
        <f t="shared" si="60"/>
        <v xml:space="preserve">
LDP stEx473.x2</v>
      </c>
      <c r="AT81" t="str">
        <f t="shared" si="61"/>
        <v xml:space="preserve">
LDP stEx473.x2
AND=.D stM.udiErrNo #0</v>
      </c>
      <c r="AU81" t="str">
        <f t="shared" si="62"/>
        <v xml:space="preserve">
LDP stEx473.x2
AND=.D stM.udiErrNo #0
MOV.D #4730 stM.udiErrNo</v>
      </c>
      <c r="AV81" t="str">
        <f t="shared" si="81"/>
        <v xml:space="preserve">
LDP stEx473.x2
AND=.D stM.udiErrNo #0
MOV.D #4730 stM.udiErrNo
MOV.D stDevOut.astAXK[0] stM.udiSubErr</v>
      </c>
      <c r="AW81" t="str">
        <f t="shared" si="82"/>
        <v xml:space="preserve">
LDP stEx473.x2
AND=.D stM.udiErrNo #0
MOV.D #4730 stM.udiErrNo
MOV.D stDevOut.astAXK[0] stM.udiSubErr</v>
      </c>
      <c r="AY81" t="str">
        <f t="shared" ca="1" si="63"/>
        <v xml:space="preserve">
LDP stEx473.x2
AND=.D stM.udiErrNo #0
BOX_ST
;//このスクリプトは C:\tk\prj\hg-0025-0016\git\kv-x520\doc\[kv_script_exe_errno.xlsm]info_script によって生成されました。</v>
      </c>
      <c r="AZ81" t="str">
        <f t="shared" ca="1" si="64"/>
        <v xml:space="preserve">
LDP stEx473.x2
AND=.D stM.udiErrNo #0
BOX_ST
;//このスクリプトは C:\tk\prj\hg-0025-0016\git\kv-x520\doc\[kv_script_exe_errno.xlsm]info_script によって生成されました。
;//エラーNo.を入れる
;stM.udiErrNo	:= 4730;</v>
      </c>
      <c r="BA81" t="str">
        <f t="shared" ca="1" si="65"/>
        <v xml:space="preserve">
LDP stEx473.x2
AND=.D stM.udiErrNo #0
BOX_ST
;//このスクリプトは C:\tk\prj\hg-0025-0016\git\kv-x520\doc\[kv_script_exe_errno.xlsm]info_script によって生成されました。
;//エラーNo.を入れる
;stM.udiErrNo	:= 4730;
;//カウントする
;stM.uiEDCnt	:= stM.uiEDCnt + 1;</v>
      </c>
      <c r="BB81" t="str">
        <f t="shared" ca="1" si="83"/>
        <v xml:space="preserve">
LDP stEx473.x2
AND=.D stM.udiErrNo #0
BOX_ST
;//このスクリプトは C:\tk\prj\hg-0025-0016\git\kv-x520\doc\[kv_script_exe_errno.xlsm]info_script によって生成されました。
;//エラーNo.を入れる
;stM.udiErrNo	:= 4730;
;//カウントする
;stM.uiEDCnt	:= stM.uiEDCnt + 1;
;//エラーコードを入れる
;stM.udiSubErr	:= stDevOut.astAXK[0].udiErrNo;</v>
      </c>
      <c r="BC81" t="str">
        <f t="shared" ca="1" si="66"/>
        <v xml:space="preserve">
LDP stEx473.x2
AND=.D stM.udiErrNo #0
BOX_ST
;//このスクリプトは C:\tk\prj\hg-0025-0016\git\kv-x520\doc\[kv_script_exe_errno.xlsm]info_script によって生成されました。
;//エラーNo.を入れる
;stM.udiErrNo	:= 4730;
;//カウントする
;stM.uiEDCnt	:= stM.uiEDCnt + 1;
;//エラーコードを入れる
;stM.udiSubErr	:= stDevOut.astAXK[0].udiErrNo;
;//-----ここまで生成script-----</v>
      </c>
      <c r="BE81">
        <f t="shared" si="67"/>
        <v>24</v>
      </c>
      <c r="BF81">
        <f t="shared" si="68"/>
        <v>1</v>
      </c>
      <c r="BG81" t="str">
        <f t="shared" si="69"/>
        <v>stEx473.x1	 := FALSE;</v>
      </c>
      <c r="BH81" t="str">
        <f t="shared" si="84"/>
        <v xml:space="preserve">stEx473.x1	 := FALSE;
</v>
      </c>
    </row>
    <row r="82" spans="4:60" x14ac:dyDescent="0.55000000000000004">
      <c r="D82">
        <v>74</v>
      </c>
      <c r="E82" t="str">
        <f t="shared" si="53"/>
        <v>stEx474</v>
      </c>
      <c r="F82" t="str">
        <f t="shared" si="70"/>
        <v>stEx474</v>
      </c>
      <c r="G82" t="str">
        <f t="shared" si="54"/>
        <v>▽波板終端 検索</v>
      </c>
      <c r="Q82" t="s">
        <v>200</v>
      </c>
      <c r="R82" t="s">
        <v>51</v>
      </c>
      <c r="U82" t="b">
        <v>0</v>
      </c>
      <c r="V82" t="b">
        <v>0</v>
      </c>
      <c r="W82" t="b">
        <v>0</v>
      </c>
      <c r="X82" t="s">
        <v>201</v>
      </c>
      <c r="Z82" t="str">
        <f t="shared" si="71"/>
        <v/>
      </c>
      <c r="AA82" t="str">
        <f t="shared" si="72"/>
        <v/>
      </c>
      <c r="AB82" t="str">
        <f t="shared" si="72"/>
        <v/>
      </c>
      <c r="AC82" t="str">
        <f t="shared" si="72"/>
        <v/>
      </c>
      <c r="AD82" t="str">
        <f t="shared" si="73"/>
        <v/>
      </c>
      <c r="AE82" t="str">
        <f t="shared" si="73"/>
        <v/>
      </c>
      <c r="AF82" t="str">
        <f t="shared" si="74"/>
        <v/>
      </c>
      <c r="AG82" t="str">
        <f t="shared" si="75"/>
        <v/>
      </c>
      <c r="AH82" t="str">
        <f t="shared" si="76"/>
        <v/>
      </c>
      <c r="AI82" t="str">
        <f t="shared" si="77"/>
        <v/>
      </c>
      <c r="AJ82" t="str">
        <f t="shared" si="78"/>
        <v/>
      </c>
      <c r="AK82" t="str">
        <f t="shared" si="79"/>
        <v/>
      </c>
      <c r="AM82" t="str">
        <f t="shared" si="80"/>
        <v/>
      </c>
      <c r="AN82" t="str">
        <f t="shared" si="55"/>
        <v/>
      </c>
      <c r="AO82" t="str">
        <f t="shared" si="56"/>
        <v/>
      </c>
      <c r="AP82" t="str">
        <f t="shared" si="57"/>
        <v/>
      </c>
      <c r="AQ82" t="str">
        <f t="shared" si="58"/>
        <v/>
      </c>
      <c r="AR82" t="str">
        <f t="shared" si="59"/>
        <v/>
      </c>
      <c r="AS82" t="str">
        <f t="shared" si="60"/>
        <v/>
      </c>
      <c r="AT82" t="str">
        <f t="shared" si="61"/>
        <v/>
      </c>
      <c r="AU82" t="str">
        <f t="shared" si="62"/>
        <v/>
      </c>
      <c r="AV82" t="str">
        <f t="shared" si="81"/>
        <v/>
      </c>
      <c r="AW82" t="str">
        <f t="shared" si="82"/>
        <v/>
      </c>
      <c r="AY82" t="str">
        <f t="shared" si="63"/>
        <v/>
      </c>
      <c r="AZ82" t="str">
        <f t="shared" si="64"/>
        <v/>
      </c>
      <c r="BA82" t="str">
        <f t="shared" si="65"/>
        <v/>
      </c>
      <c r="BB82" t="str">
        <f t="shared" si="83"/>
        <v/>
      </c>
      <c r="BC82" t="str">
        <f t="shared" si="66"/>
        <v/>
      </c>
      <c r="BE82">
        <f t="shared" si="67"/>
        <v>24</v>
      </c>
      <c r="BF82">
        <f t="shared" si="68"/>
        <v>2</v>
      </c>
      <c r="BG82" t="str">
        <f t="shared" si="69"/>
        <v>stEx474.x2	 := FALSE;</v>
      </c>
      <c r="BH82" t="str">
        <f t="shared" si="84"/>
        <v xml:space="preserve">stEx474.x2	 := FALSE;
</v>
      </c>
    </row>
    <row r="83" spans="4:60" x14ac:dyDescent="0.55000000000000004">
      <c r="D83">
        <v>75</v>
      </c>
      <c r="E83" t="str">
        <f t="shared" si="53"/>
        <v>stEx475</v>
      </c>
      <c r="F83" t="str">
        <f t="shared" si="70"/>
        <v>stEx475</v>
      </c>
      <c r="G83" t="str">
        <f t="shared" si="54"/>
        <v>▼波板端 検索有無</v>
      </c>
      <c r="Q83" t="s">
        <v>202</v>
      </c>
      <c r="R83" t="s">
        <v>51</v>
      </c>
      <c r="U83" t="b">
        <v>0</v>
      </c>
      <c r="V83" t="b">
        <v>0</v>
      </c>
      <c r="W83" t="b">
        <v>0</v>
      </c>
      <c r="X83" t="s">
        <v>203</v>
      </c>
      <c r="Z83" t="str">
        <f t="shared" si="71"/>
        <v/>
      </c>
      <c r="AA83" t="str">
        <f t="shared" si="72"/>
        <v/>
      </c>
      <c r="AB83" t="str">
        <f t="shared" si="72"/>
        <v/>
      </c>
      <c r="AC83" t="str">
        <f t="shared" si="72"/>
        <v/>
      </c>
      <c r="AD83" t="str">
        <f t="shared" si="73"/>
        <v/>
      </c>
      <c r="AE83" t="str">
        <f t="shared" si="73"/>
        <v/>
      </c>
      <c r="AF83" t="str">
        <f t="shared" si="74"/>
        <v/>
      </c>
      <c r="AG83" t="str">
        <f t="shared" si="75"/>
        <v/>
      </c>
      <c r="AH83" t="str">
        <f t="shared" si="76"/>
        <v/>
      </c>
      <c r="AI83" t="str">
        <f t="shared" si="77"/>
        <v/>
      </c>
      <c r="AJ83" t="str">
        <f t="shared" si="78"/>
        <v/>
      </c>
      <c r="AK83" t="str">
        <f t="shared" si="79"/>
        <v/>
      </c>
      <c r="AM83" t="str">
        <f t="shared" si="80"/>
        <v/>
      </c>
      <c r="AN83" t="str">
        <f t="shared" si="55"/>
        <v/>
      </c>
      <c r="AO83" t="str">
        <f t="shared" si="56"/>
        <v/>
      </c>
      <c r="AP83" t="str">
        <f t="shared" si="57"/>
        <v/>
      </c>
      <c r="AQ83" t="str">
        <f t="shared" si="58"/>
        <v/>
      </c>
      <c r="AR83" t="str">
        <f t="shared" si="59"/>
        <v/>
      </c>
      <c r="AS83" t="str">
        <f t="shared" si="60"/>
        <v/>
      </c>
      <c r="AT83" t="str">
        <f t="shared" si="61"/>
        <v/>
      </c>
      <c r="AU83" t="str">
        <f t="shared" si="62"/>
        <v/>
      </c>
      <c r="AV83" t="str">
        <f t="shared" si="81"/>
        <v/>
      </c>
      <c r="AW83" t="str">
        <f t="shared" si="82"/>
        <v/>
      </c>
      <c r="AY83" t="str">
        <f t="shared" si="63"/>
        <v/>
      </c>
      <c r="AZ83" t="str">
        <f t="shared" si="64"/>
        <v/>
      </c>
      <c r="BA83" t="str">
        <f t="shared" si="65"/>
        <v/>
      </c>
      <c r="BB83" t="str">
        <f t="shared" si="83"/>
        <v/>
      </c>
      <c r="BC83" t="str">
        <f t="shared" si="66"/>
        <v/>
      </c>
      <c r="BE83">
        <f t="shared" si="67"/>
        <v>25</v>
      </c>
      <c r="BF83">
        <f t="shared" si="68"/>
        <v>0</v>
      </c>
      <c r="BG83" t="str">
        <f t="shared" si="69"/>
        <v>stEx475.x0	 := FALSE;</v>
      </c>
      <c r="BH83" t="str">
        <f t="shared" si="84"/>
        <v xml:space="preserve">stEx475.x0	 := FALSE;
</v>
      </c>
    </row>
    <row r="84" spans="4:60" x14ac:dyDescent="0.55000000000000004">
      <c r="D84">
        <v>76</v>
      </c>
      <c r="E84" t="str">
        <f t="shared" si="53"/>
        <v>stEx476</v>
      </c>
      <c r="F84" t="str">
        <f t="shared" si="70"/>
        <v>stEx476</v>
      </c>
      <c r="G84" t="str">
        <f t="shared" si="54"/>
        <v>●AXK13主軸 溶接位置</v>
      </c>
      <c r="Q84" t="s">
        <v>204</v>
      </c>
      <c r="R84" t="s">
        <v>51</v>
      </c>
      <c r="U84" t="b">
        <v>0</v>
      </c>
      <c r="V84" t="b">
        <v>0</v>
      </c>
      <c r="W84" t="b">
        <v>0</v>
      </c>
      <c r="X84" t="s">
        <v>205</v>
      </c>
      <c r="Z84">
        <f t="shared" si="71"/>
        <v>13</v>
      </c>
      <c r="AA84" t="str">
        <f t="shared" si="72"/>
        <v/>
      </c>
      <c r="AB84" t="str">
        <f t="shared" si="72"/>
        <v/>
      </c>
      <c r="AC84" t="str">
        <f t="shared" si="72"/>
        <v/>
      </c>
      <c r="AD84" t="str">
        <f t="shared" si="73"/>
        <v/>
      </c>
      <c r="AE84" t="str">
        <f t="shared" si="73"/>
        <v>stDevOut.astAXK[0]</v>
      </c>
      <c r="AF84" t="str">
        <f t="shared" si="74"/>
        <v/>
      </c>
      <c r="AG84" t="str">
        <f t="shared" si="75"/>
        <v/>
      </c>
      <c r="AH84" t="str">
        <f t="shared" si="76"/>
        <v/>
      </c>
      <c r="AI84" t="str">
        <f t="shared" si="77"/>
        <v/>
      </c>
      <c r="AJ84" t="str">
        <f t="shared" si="78"/>
        <v/>
      </c>
      <c r="AK84" t="str">
        <f t="shared" si="79"/>
        <v>stDevOut.astAXK[0]</v>
      </c>
      <c r="AM84" t="str">
        <f t="shared" si="80"/>
        <v>●</v>
      </c>
      <c r="AN84">
        <f t="shared" si="55"/>
        <v>4760</v>
      </c>
      <c r="AO84" t="str">
        <f t="shared" si="56"/>
        <v>LDP stEx476.x2</v>
      </c>
      <c r="AP84" t="str">
        <f t="shared" si="57"/>
        <v>AND=.D stM.udiErrNo #0</v>
      </c>
      <c r="AQ84" t="str">
        <f t="shared" si="58"/>
        <v>MOV.D #4760 stM.udiErrNo</v>
      </c>
      <c r="AR84" t="str">
        <f t="shared" si="59"/>
        <v>MOV.D stDevOut.astAXK[0] stM.udiSubErr</v>
      </c>
      <c r="AS84" t="str">
        <f t="shared" si="60"/>
        <v xml:space="preserve">
LDP stEx476.x2</v>
      </c>
      <c r="AT84" t="str">
        <f t="shared" si="61"/>
        <v xml:space="preserve">
LDP stEx476.x2
AND=.D stM.udiErrNo #0</v>
      </c>
      <c r="AU84" t="str">
        <f t="shared" si="62"/>
        <v xml:space="preserve">
LDP stEx476.x2
AND=.D stM.udiErrNo #0
MOV.D #4760 stM.udiErrNo</v>
      </c>
      <c r="AV84" t="str">
        <f t="shared" si="81"/>
        <v xml:space="preserve">
LDP stEx476.x2
AND=.D stM.udiErrNo #0
MOV.D #4760 stM.udiErrNo
MOV.D stDevOut.astAXK[0] stM.udiSubErr</v>
      </c>
      <c r="AW84" t="str">
        <f t="shared" si="82"/>
        <v xml:space="preserve">
LDP stEx476.x2
AND=.D stM.udiErrNo #0
MOV.D #4760 stM.udiErrNo
MOV.D stDevOut.astAXK[0] stM.udiSubErr</v>
      </c>
      <c r="AY84" t="str">
        <f t="shared" ca="1" si="63"/>
        <v xml:space="preserve">
LDP stEx476.x2
AND=.D stM.udiErrNo #0
BOX_ST
;//このスクリプトは C:\tk\prj\hg-0025-0016\git\kv-x520\doc\[kv_script_exe_errno.xlsm]info_script によって生成されました。</v>
      </c>
      <c r="AZ84" t="str">
        <f t="shared" ca="1" si="64"/>
        <v xml:space="preserve">
LDP stEx476.x2
AND=.D stM.udiErrNo #0
BOX_ST
;//このスクリプトは C:\tk\prj\hg-0025-0016\git\kv-x520\doc\[kv_script_exe_errno.xlsm]info_script によって生成されました。
;//エラーNo.を入れる
;stM.udiErrNo	:= 4760;</v>
      </c>
      <c r="BA84" t="str">
        <f t="shared" ca="1" si="65"/>
        <v xml:space="preserve">
LDP stEx476.x2
AND=.D stM.udiErrNo #0
BOX_ST
;//このスクリプトは C:\tk\prj\hg-0025-0016\git\kv-x520\doc\[kv_script_exe_errno.xlsm]info_script によって生成されました。
;//エラーNo.を入れる
;stM.udiErrNo	:= 4760;
;//カウントする
;stM.uiEDCnt	:= stM.uiEDCnt + 1;</v>
      </c>
      <c r="BB84" t="str">
        <f t="shared" ca="1" si="83"/>
        <v xml:space="preserve">
LDP stEx476.x2
AND=.D stM.udiErrNo #0
BOX_ST
;//このスクリプトは C:\tk\prj\hg-0025-0016\git\kv-x520\doc\[kv_script_exe_errno.xlsm]info_script によって生成されました。
;//エラーNo.を入れる
;stM.udiErrNo	:= 4760;
;//カウントする
;stM.uiEDCnt	:= stM.uiEDCnt + 1;
;//エラーコードを入れる
;stM.udiSubErr	:= stDevOut.astAXK[0].udiErrNo;</v>
      </c>
      <c r="BC84" t="str">
        <f t="shared" ca="1" si="66"/>
        <v xml:space="preserve">
LDP stEx476.x2
AND=.D stM.udiErrNo #0
BOX_ST
;//このスクリプトは C:\tk\prj\hg-0025-0016\git\kv-x520\doc\[kv_script_exe_errno.xlsm]info_script によって生成されました。
;//エラーNo.を入れる
;stM.udiErrNo	:= 4760;
;//カウントする
;stM.uiEDCnt	:= stM.uiEDCnt + 1;
;//エラーコードを入れる
;stM.udiSubErr	:= stDevOut.astAXK[0].udiErrNo;
;//-----ここまで生成script-----</v>
      </c>
      <c r="BE84">
        <f t="shared" si="67"/>
        <v>25</v>
      </c>
      <c r="BF84">
        <f t="shared" si="68"/>
        <v>1</v>
      </c>
      <c r="BG84" t="str">
        <f t="shared" si="69"/>
        <v>stEx476.x1	 := FALSE;</v>
      </c>
      <c r="BH84" t="str">
        <f t="shared" si="84"/>
        <v xml:space="preserve">stEx476.x1	 := FALSE;
</v>
      </c>
    </row>
    <row r="85" spans="4:60" x14ac:dyDescent="0.55000000000000004">
      <c r="D85">
        <v>77</v>
      </c>
      <c r="E85" t="str">
        <f t="shared" si="53"/>
        <v>stEx477</v>
      </c>
      <c r="F85" t="str">
        <f t="shared" si="70"/>
        <v>stEx477</v>
      </c>
      <c r="G85" t="str">
        <f t="shared" si="54"/>
        <v>△●AXI05 排出</v>
      </c>
      <c r="Q85" t="s">
        <v>206</v>
      </c>
      <c r="R85" t="s">
        <v>51</v>
      </c>
      <c r="U85" t="b">
        <v>0</v>
      </c>
      <c r="V85" t="b">
        <v>0</v>
      </c>
      <c r="W85" t="b">
        <v>0</v>
      </c>
      <c r="X85" t="s">
        <v>207</v>
      </c>
      <c r="Z85">
        <f t="shared" si="71"/>
        <v>5</v>
      </c>
      <c r="AA85" t="str">
        <f t="shared" si="72"/>
        <v/>
      </c>
      <c r="AB85" t="str">
        <f t="shared" si="72"/>
        <v/>
      </c>
      <c r="AC85" t="str">
        <f t="shared" si="72"/>
        <v/>
      </c>
      <c r="AD85" t="str">
        <f t="shared" si="73"/>
        <v>stDevOut.astAXI[0]</v>
      </c>
      <c r="AE85" t="str">
        <f t="shared" si="73"/>
        <v/>
      </c>
      <c r="AF85" t="str">
        <f t="shared" si="74"/>
        <v/>
      </c>
      <c r="AG85" t="str">
        <f t="shared" si="75"/>
        <v/>
      </c>
      <c r="AH85" t="str">
        <f t="shared" si="76"/>
        <v/>
      </c>
      <c r="AI85" t="str">
        <f t="shared" si="77"/>
        <v/>
      </c>
      <c r="AJ85" t="str">
        <f t="shared" si="78"/>
        <v/>
      </c>
      <c r="AK85" t="str">
        <f t="shared" si="79"/>
        <v>stDevOut.astAXI[0]</v>
      </c>
      <c r="AM85" t="str">
        <f t="shared" si="80"/>
        <v>●</v>
      </c>
      <c r="AN85">
        <f t="shared" si="55"/>
        <v>4770</v>
      </c>
      <c r="AO85" t="str">
        <f t="shared" si="56"/>
        <v>LDP stEx477.x2</v>
      </c>
      <c r="AP85" t="str">
        <f t="shared" si="57"/>
        <v>AND=.D stM.udiErrNo #0</v>
      </c>
      <c r="AQ85" t="str">
        <f t="shared" si="58"/>
        <v>MOV.D #4770 stM.udiErrNo</v>
      </c>
      <c r="AR85" t="str">
        <f t="shared" si="59"/>
        <v>MOV.D stDevOut.astAXI[0] stM.udiSubErr</v>
      </c>
      <c r="AS85" t="str">
        <f t="shared" si="60"/>
        <v xml:space="preserve">
LDP stEx477.x2</v>
      </c>
      <c r="AT85" t="str">
        <f t="shared" si="61"/>
        <v xml:space="preserve">
LDP stEx477.x2
AND=.D stM.udiErrNo #0</v>
      </c>
      <c r="AU85" t="str">
        <f t="shared" si="62"/>
        <v xml:space="preserve">
LDP stEx477.x2
AND=.D stM.udiErrNo #0
MOV.D #4770 stM.udiErrNo</v>
      </c>
      <c r="AV85" t="str">
        <f t="shared" si="81"/>
        <v xml:space="preserve">
LDP stEx477.x2
AND=.D stM.udiErrNo #0
MOV.D #4770 stM.udiErrNo
MOV.D stDevOut.astAXI[0] stM.udiSubErr</v>
      </c>
      <c r="AW85" t="str">
        <f t="shared" si="82"/>
        <v xml:space="preserve">
LDP stEx477.x2
AND=.D stM.udiErrNo #0
MOV.D #4770 stM.udiErrNo
MOV.D stDevOut.astAXI[0] stM.udiSubErr</v>
      </c>
      <c r="AY85" t="str">
        <f t="shared" ca="1" si="63"/>
        <v xml:space="preserve">
LDP stEx477.x2
AND=.D stM.udiErrNo #0
BOX_ST
;//このスクリプトは C:\tk\prj\hg-0025-0016\git\kv-x520\doc\[kv_script_exe_errno.xlsm]info_script によって生成されました。</v>
      </c>
      <c r="AZ85" t="str">
        <f t="shared" ca="1" si="64"/>
        <v xml:space="preserve">
LDP stEx477.x2
AND=.D stM.udiErrNo #0
BOX_ST
;//このスクリプトは C:\tk\prj\hg-0025-0016\git\kv-x520\doc\[kv_script_exe_errno.xlsm]info_script によって生成されました。
;//エラーNo.を入れる
;stM.udiErrNo	:= 4770;</v>
      </c>
      <c r="BA85" t="str">
        <f t="shared" ca="1" si="65"/>
        <v xml:space="preserve">
LDP stEx477.x2
AND=.D stM.udiErrNo #0
BOX_ST
;//このスクリプトは C:\tk\prj\hg-0025-0016\git\kv-x520\doc\[kv_script_exe_errno.xlsm]info_script によって生成されました。
;//エラーNo.を入れる
;stM.udiErrNo	:= 4770;
;//カウントする
;stM.uiEDCnt	:= stM.uiEDCnt + 1;</v>
      </c>
      <c r="BB85" t="str">
        <f t="shared" ca="1" si="83"/>
        <v xml:space="preserve">
LDP stEx477.x2
AND=.D stM.udiErrNo #0
BOX_ST
;//このスクリプトは C:\tk\prj\hg-0025-0016\git\kv-x520\doc\[kv_script_exe_errno.xlsm]info_script によって生成されました。
;//エラーNo.を入れる
;stM.udiErrNo	:= 4770;
;//カウントする
;stM.uiEDCnt	:= stM.uiEDCnt + 1;
;//エラーコードを入れる
;stM.udiSubErr	:= stDevOut.astAXI[0].udiErrNo;</v>
      </c>
      <c r="BC85" t="str">
        <f t="shared" ca="1" si="66"/>
        <v xml:space="preserve">
LDP stEx477.x2
AND=.D stM.udiErrNo #0
BOX_ST
;//このスクリプトは C:\tk\prj\hg-0025-0016\git\kv-x520\doc\[kv_script_exe_errno.xlsm]info_script によって生成されました。
;//エラーNo.を入れる
;stM.udiErrNo	:= 4770;
;//カウントする
;stM.uiEDCnt	:= stM.uiEDCnt + 1;
;//エラーコードを入れる
;stM.udiSubErr	:= stDevOut.astAXI[0].udiErrNo;
;//-----ここまで生成script-----</v>
      </c>
      <c r="BE85">
        <f t="shared" si="67"/>
        <v>25</v>
      </c>
      <c r="BF85">
        <f t="shared" si="68"/>
        <v>2</v>
      </c>
      <c r="BG85" t="str">
        <f t="shared" si="69"/>
        <v>stEx477.x2	 := FALSE;</v>
      </c>
      <c r="BH85" t="str">
        <f t="shared" si="84"/>
        <v xml:space="preserve">stEx477.x2	 := FALSE;
</v>
      </c>
    </row>
    <row r="86" spans="4:60" x14ac:dyDescent="0.55000000000000004">
      <c r="D86">
        <v>78</v>
      </c>
      <c r="E86" t="str">
        <f t="shared" si="53"/>
        <v>stEx478</v>
      </c>
      <c r="F86" t="str">
        <f t="shared" si="70"/>
        <v>stEx478</v>
      </c>
      <c r="G86" t="str">
        <f t="shared" si="54"/>
        <v>△●AXI06 待機</v>
      </c>
      <c r="Q86" t="s">
        <v>208</v>
      </c>
      <c r="R86" t="s">
        <v>51</v>
      </c>
      <c r="U86" t="b">
        <v>0</v>
      </c>
      <c r="V86" t="b">
        <v>0</v>
      </c>
      <c r="W86" t="b">
        <v>0</v>
      </c>
      <c r="X86" t="s">
        <v>209</v>
      </c>
      <c r="Z86">
        <f t="shared" si="71"/>
        <v>6</v>
      </c>
      <c r="AA86" t="str">
        <f t="shared" si="72"/>
        <v/>
      </c>
      <c r="AB86" t="str">
        <f t="shared" si="72"/>
        <v/>
      </c>
      <c r="AC86" t="str">
        <f t="shared" si="72"/>
        <v/>
      </c>
      <c r="AD86" t="str">
        <f t="shared" si="73"/>
        <v>stDevOut.astAXI[1]</v>
      </c>
      <c r="AE86" t="str">
        <f t="shared" si="73"/>
        <v/>
      </c>
      <c r="AF86" t="str">
        <f t="shared" si="74"/>
        <v/>
      </c>
      <c r="AG86" t="str">
        <f t="shared" si="75"/>
        <v/>
      </c>
      <c r="AH86" t="str">
        <f t="shared" si="76"/>
        <v/>
      </c>
      <c r="AI86" t="str">
        <f t="shared" si="77"/>
        <v/>
      </c>
      <c r="AJ86" t="str">
        <f t="shared" si="78"/>
        <v/>
      </c>
      <c r="AK86" t="str">
        <f t="shared" si="79"/>
        <v>stDevOut.astAXI[1]</v>
      </c>
      <c r="AM86" t="str">
        <f t="shared" si="80"/>
        <v>●</v>
      </c>
      <c r="AN86">
        <f t="shared" si="55"/>
        <v>4780</v>
      </c>
      <c r="AO86" t="str">
        <f t="shared" si="56"/>
        <v>LDP stEx478.x2</v>
      </c>
      <c r="AP86" t="str">
        <f t="shared" si="57"/>
        <v>AND=.D stM.udiErrNo #0</v>
      </c>
      <c r="AQ86" t="str">
        <f t="shared" si="58"/>
        <v>MOV.D #4780 stM.udiErrNo</v>
      </c>
      <c r="AR86" t="str">
        <f t="shared" si="59"/>
        <v>MOV.D stDevOut.astAXI[1] stM.udiSubErr</v>
      </c>
      <c r="AS86" t="str">
        <f t="shared" si="60"/>
        <v xml:space="preserve">
LDP stEx478.x2</v>
      </c>
      <c r="AT86" t="str">
        <f t="shared" si="61"/>
        <v xml:space="preserve">
LDP stEx478.x2
AND=.D stM.udiErrNo #0</v>
      </c>
      <c r="AU86" t="str">
        <f t="shared" si="62"/>
        <v xml:space="preserve">
LDP stEx478.x2
AND=.D stM.udiErrNo #0
MOV.D #4780 stM.udiErrNo</v>
      </c>
      <c r="AV86" t="str">
        <f t="shared" si="81"/>
        <v xml:space="preserve">
LDP stEx478.x2
AND=.D stM.udiErrNo #0
MOV.D #4780 stM.udiErrNo
MOV.D stDevOut.astAXI[1] stM.udiSubErr</v>
      </c>
      <c r="AW86" t="str">
        <f t="shared" si="82"/>
        <v xml:space="preserve">
LDP stEx478.x2
AND=.D stM.udiErrNo #0
MOV.D #4780 stM.udiErrNo
MOV.D stDevOut.astAXI[1] stM.udiSubErr</v>
      </c>
      <c r="AY86" t="str">
        <f t="shared" ca="1" si="63"/>
        <v xml:space="preserve">
LDP stEx478.x2
AND=.D stM.udiErrNo #0
BOX_ST
;//このスクリプトは C:\tk\prj\hg-0025-0016\git\kv-x520\doc\[kv_script_exe_errno.xlsm]info_script によって生成されました。</v>
      </c>
      <c r="AZ86" t="str">
        <f t="shared" ca="1" si="64"/>
        <v xml:space="preserve">
LDP stEx478.x2
AND=.D stM.udiErrNo #0
BOX_ST
;//このスクリプトは C:\tk\prj\hg-0025-0016\git\kv-x520\doc\[kv_script_exe_errno.xlsm]info_script によって生成されました。
;//エラーNo.を入れる
;stM.udiErrNo	:= 4780;</v>
      </c>
      <c r="BA86" t="str">
        <f t="shared" ca="1" si="65"/>
        <v xml:space="preserve">
LDP stEx478.x2
AND=.D stM.udiErrNo #0
BOX_ST
;//このスクリプトは C:\tk\prj\hg-0025-0016\git\kv-x520\doc\[kv_script_exe_errno.xlsm]info_script によって生成されました。
;//エラーNo.を入れる
;stM.udiErrNo	:= 4780;
;//カウントする
;stM.uiEDCnt	:= stM.uiEDCnt + 1;</v>
      </c>
      <c r="BB86" t="str">
        <f t="shared" ca="1" si="83"/>
        <v xml:space="preserve">
LDP stEx478.x2
AND=.D stM.udiErrNo #0
BOX_ST
;//このスクリプトは C:\tk\prj\hg-0025-0016\git\kv-x520\doc\[kv_script_exe_errno.xlsm]info_script によって生成されました。
;//エラーNo.を入れる
;stM.udiErrNo	:= 4780;
;//カウントする
;stM.uiEDCnt	:= stM.uiEDCnt + 1;
;//エラーコードを入れる
;stM.udiSubErr	:= stDevOut.astAXI[1].udiErrNo;</v>
      </c>
      <c r="BC86" t="str">
        <f t="shared" ca="1" si="66"/>
        <v xml:space="preserve">
LDP stEx478.x2
AND=.D stM.udiErrNo #0
BOX_ST
;//このスクリプトは C:\tk\prj\hg-0025-0016\git\kv-x520\doc\[kv_script_exe_errno.xlsm]info_script によって生成されました。
;//エラーNo.を入れる
;stM.udiErrNo	:= 4780;
;//カウントする
;stM.uiEDCnt	:= stM.uiEDCnt + 1;
;//エラーコードを入れる
;stM.udiSubErr	:= stDevOut.astAXI[1].udiErrNo;
;//-----ここまで生成script-----</v>
      </c>
      <c r="BE86">
        <f t="shared" si="67"/>
        <v>26</v>
      </c>
      <c r="BF86">
        <f t="shared" si="68"/>
        <v>0</v>
      </c>
      <c r="BG86" t="str">
        <f t="shared" si="69"/>
        <v>stEx478.x0	 := FALSE;</v>
      </c>
      <c r="BH86" t="str">
        <f t="shared" si="84"/>
        <v xml:space="preserve">stEx478.x0	 := FALSE;
</v>
      </c>
    </row>
    <row r="87" spans="4:60" x14ac:dyDescent="0.55000000000000004">
      <c r="D87">
        <v>79</v>
      </c>
      <c r="E87" t="str">
        <f t="shared" si="53"/>
        <v>stEx479</v>
      </c>
      <c r="F87" t="str">
        <f t="shared" si="70"/>
        <v>stEx479</v>
      </c>
      <c r="G87" t="str">
        <f t="shared" si="54"/>
        <v>▽AXI05+AXI06</v>
      </c>
      <c r="Q87" t="s">
        <v>210</v>
      </c>
      <c r="R87" t="s">
        <v>51</v>
      </c>
      <c r="U87" t="b">
        <v>0</v>
      </c>
      <c r="V87" t="b">
        <v>0</v>
      </c>
      <c r="W87" t="b">
        <v>0</v>
      </c>
      <c r="X87" t="s">
        <v>211</v>
      </c>
      <c r="Z87">
        <f t="shared" si="71"/>
        <v>5</v>
      </c>
      <c r="AA87" t="str">
        <f t="shared" si="72"/>
        <v/>
      </c>
      <c r="AB87" t="str">
        <f t="shared" si="72"/>
        <v/>
      </c>
      <c r="AC87" t="str">
        <f t="shared" si="72"/>
        <v/>
      </c>
      <c r="AD87" t="str">
        <f t="shared" si="73"/>
        <v>stDevOut.astAXI[0]</v>
      </c>
      <c r="AE87" t="str">
        <f t="shared" si="73"/>
        <v/>
      </c>
      <c r="AF87" t="str">
        <f t="shared" si="74"/>
        <v/>
      </c>
      <c r="AG87" t="str">
        <f t="shared" si="75"/>
        <v/>
      </c>
      <c r="AH87" t="str">
        <f t="shared" si="76"/>
        <v/>
      </c>
      <c r="AI87" t="str">
        <f t="shared" si="77"/>
        <v/>
      </c>
      <c r="AJ87" t="str">
        <f t="shared" si="78"/>
        <v/>
      </c>
      <c r="AK87" t="str">
        <f t="shared" si="79"/>
        <v>stDevOut.astAXI[0]</v>
      </c>
      <c r="AM87" t="str">
        <f t="shared" si="80"/>
        <v/>
      </c>
      <c r="AN87" t="str">
        <f t="shared" si="55"/>
        <v/>
      </c>
      <c r="AO87" t="str">
        <f t="shared" si="56"/>
        <v/>
      </c>
      <c r="AP87" t="str">
        <f t="shared" si="57"/>
        <v/>
      </c>
      <c r="AQ87" t="str">
        <f t="shared" si="58"/>
        <v/>
      </c>
      <c r="AR87" t="str">
        <f t="shared" si="59"/>
        <v>MOV.D stDevOut.astAXI[0] stM.udiSubErr</v>
      </c>
      <c r="AS87" t="str">
        <f t="shared" si="60"/>
        <v/>
      </c>
      <c r="AT87" t="str">
        <f t="shared" si="61"/>
        <v/>
      </c>
      <c r="AU87" t="str">
        <f t="shared" si="62"/>
        <v/>
      </c>
      <c r="AV87" t="str">
        <f t="shared" si="81"/>
        <v>MOV.D stDevOut.astAXI[0] stM.udiSubErr</v>
      </c>
      <c r="AW87" t="str">
        <f t="shared" si="82"/>
        <v>MOV.D stDevOut.astAXI[0] stM.udiSubErr</v>
      </c>
      <c r="AY87" t="str">
        <f t="shared" si="63"/>
        <v/>
      </c>
      <c r="AZ87" t="str">
        <f t="shared" si="64"/>
        <v/>
      </c>
      <c r="BA87" t="str">
        <f t="shared" si="65"/>
        <v/>
      </c>
      <c r="BB87" t="str">
        <f t="shared" si="83"/>
        <v/>
      </c>
      <c r="BC87" t="str">
        <f t="shared" si="66"/>
        <v/>
      </c>
      <c r="BE87">
        <f t="shared" si="67"/>
        <v>26</v>
      </c>
      <c r="BF87">
        <f t="shared" si="68"/>
        <v>1</v>
      </c>
      <c r="BG87" t="str">
        <f t="shared" si="69"/>
        <v>stEx479.x1	 := FALSE;</v>
      </c>
      <c r="BH87" t="str">
        <f t="shared" si="84"/>
        <v xml:space="preserve">stEx479.x1	 := FALSE;
</v>
      </c>
    </row>
    <row r="88" spans="4:60" x14ac:dyDescent="0.55000000000000004">
      <c r="D88">
        <v>80</v>
      </c>
      <c r="E88" t="str">
        <f t="shared" si="53"/>
        <v/>
      </c>
      <c r="F88" t="str">
        <f t="shared" si="70"/>
        <v/>
      </c>
      <c r="G88" t="str">
        <f t="shared" si="54"/>
        <v/>
      </c>
      <c r="Z88" t="str">
        <f t="shared" si="71"/>
        <v/>
      </c>
      <c r="AA88" t="str">
        <f t="shared" si="72"/>
        <v/>
      </c>
      <c r="AB88" t="str">
        <f t="shared" si="72"/>
        <v/>
      </c>
      <c r="AC88" t="str">
        <f t="shared" si="72"/>
        <v/>
      </c>
      <c r="AD88" t="str">
        <f t="shared" si="73"/>
        <v/>
      </c>
      <c r="AE88" t="str">
        <f t="shared" si="73"/>
        <v/>
      </c>
      <c r="AF88" t="str">
        <f t="shared" si="74"/>
        <v/>
      </c>
      <c r="AG88" t="str">
        <f t="shared" si="75"/>
        <v/>
      </c>
      <c r="AH88" t="str">
        <f t="shared" si="76"/>
        <v/>
      </c>
      <c r="AI88" t="str">
        <f t="shared" si="77"/>
        <v/>
      </c>
      <c r="AJ88" t="str">
        <f t="shared" si="78"/>
        <v/>
      </c>
      <c r="AK88" t="str">
        <f t="shared" si="79"/>
        <v/>
      </c>
      <c r="AM88" t="str">
        <f t="shared" si="80"/>
        <v/>
      </c>
      <c r="AN88" t="str">
        <f t="shared" si="55"/>
        <v/>
      </c>
      <c r="AO88" t="str">
        <f t="shared" si="56"/>
        <v/>
      </c>
      <c r="AP88" t="str">
        <f t="shared" si="57"/>
        <v/>
      </c>
      <c r="AQ88" t="str">
        <f t="shared" si="58"/>
        <v/>
      </c>
      <c r="AR88" t="str">
        <f t="shared" si="59"/>
        <v/>
      </c>
      <c r="AS88" t="str">
        <f t="shared" si="60"/>
        <v/>
      </c>
      <c r="AT88" t="str">
        <f t="shared" si="61"/>
        <v/>
      </c>
      <c r="AU88" t="str">
        <f t="shared" si="62"/>
        <v/>
      </c>
      <c r="AV88" t="str">
        <f t="shared" si="81"/>
        <v/>
      </c>
      <c r="AW88" t="str">
        <f t="shared" si="82"/>
        <v/>
      </c>
      <c r="AY88" t="str">
        <f t="shared" si="63"/>
        <v/>
      </c>
      <c r="AZ88" t="str">
        <f t="shared" si="64"/>
        <v/>
      </c>
      <c r="BA88" t="str">
        <f t="shared" si="65"/>
        <v/>
      </c>
      <c r="BB88" t="str">
        <f t="shared" si="83"/>
        <v/>
      </c>
      <c r="BC88" t="str">
        <f t="shared" si="66"/>
        <v/>
      </c>
      <c r="BE88">
        <f t="shared" si="67"/>
        <v>26</v>
      </c>
      <c r="BF88">
        <f t="shared" si="68"/>
        <v>2</v>
      </c>
      <c r="BG88" t="str">
        <f t="shared" si="69"/>
        <v/>
      </c>
      <c r="BH88" t="str">
        <f t="shared" si="84"/>
        <v/>
      </c>
    </row>
    <row r="89" spans="4:60" x14ac:dyDescent="0.55000000000000004">
      <c r="D89">
        <v>81</v>
      </c>
      <c r="E89" t="str">
        <f t="shared" si="53"/>
        <v/>
      </c>
      <c r="F89" t="str">
        <f t="shared" si="70"/>
        <v/>
      </c>
      <c r="G89" t="str">
        <f t="shared" si="54"/>
        <v/>
      </c>
      <c r="Z89" t="str">
        <f t="shared" si="71"/>
        <v/>
      </c>
      <c r="AA89" t="str">
        <f t="shared" si="72"/>
        <v/>
      </c>
      <c r="AB89" t="str">
        <f t="shared" si="72"/>
        <v/>
      </c>
      <c r="AC89" t="str">
        <f t="shared" si="72"/>
        <v/>
      </c>
      <c r="AD89" t="str">
        <f t="shared" si="73"/>
        <v/>
      </c>
      <c r="AE89" t="str">
        <f t="shared" si="73"/>
        <v/>
      </c>
      <c r="AF89" t="str">
        <f t="shared" si="74"/>
        <v/>
      </c>
      <c r="AG89" t="str">
        <f t="shared" si="75"/>
        <v/>
      </c>
      <c r="AH89" t="str">
        <f t="shared" si="76"/>
        <v/>
      </c>
      <c r="AI89" t="str">
        <f t="shared" si="77"/>
        <v/>
      </c>
      <c r="AJ89" t="str">
        <f t="shared" si="78"/>
        <v/>
      </c>
      <c r="AK89" t="str">
        <f t="shared" si="79"/>
        <v/>
      </c>
      <c r="AM89" t="str">
        <f t="shared" si="80"/>
        <v/>
      </c>
      <c r="AN89" t="str">
        <f t="shared" si="55"/>
        <v/>
      </c>
      <c r="AO89" t="str">
        <f t="shared" si="56"/>
        <v/>
      </c>
      <c r="AP89" t="str">
        <f t="shared" si="57"/>
        <v/>
      </c>
      <c r="AQ89" t="str">
        <f t="shared" si="58"/>
        <v/>
      </c>
      <c r="AR89" t="str">
        <f t="shared" si="59"/>
        <v/>
      </c>
      <c r="AS89" t="str">
        <f t="shared" si="60"/>
        <v/>
      </c>
      <c r="AT89" t="str">
        <f t="shared" si="61"/>
        <v/>
      </c>
      <c r="AU89" t="str">
        <f t="shared" si="62"/>
        <v/>
      </c>
      <c r="AV89" t="str">
        <f t="shared" si="81"/>
        <v/>
      </c>
      <c r="AW89" t="str">
        <f t="shared" si="82"/>
        <v/>
      </c>
      <c r="AY89" t="str">
        <f t="shared" si="63"/>
        <v/>
      </c>
      <c r="AZ89" t="str">
        <f t="shared" si="64"/>
        <v/>
      </c>
      <c r="BA89" t="str">
        <f t="shared" si="65"/>
        <v/>
      </c>
      <c r="BB89" t="str">
        <f t="shared" si="83"/>
        <v/>
      </c>
      <c r="BC89" t="str">
        <f t="shared" si="66"/>
        <v/>
      </c>
      <c r="BE89">
        <f t="shared" si="67"/>
        <v>27</v>
      </c>
      <c r="BF89">
        <f t="shared" si="68"/>
        <v>0</v>
      </c>
      <c r="BG89" t="str">
        <f t="shared" si="69"/>
        <v/>
      </c>
      <c r="BH89" t="str">
        <f t="shared" si="84"/>
        <v/>
      </c>
    </row>
    <row r="90" spans="4:60" x14ac:dyDescent="0.55000000000000004">
      <c r="D90">
        <v>82</v>
      </c>
      <c r="E90" t="str">
        <f t="shared" si="53"/>
        <v/>
      </c>
      <c r="F90" t="str">
        <f t="shared" si="70"/>
        <v/>
      </c>
      <c r="G90" t="str">
        <f t="shared" si="54"/>
        <v/>
      </c>
      <c r="Z90" t="str">
        <f t="shared" si="71"/>
        <v/>
      </c>
      <c r="AA90" t="str">
        <f t="shared" si="72"/>
        <v/>
      </c>
      <c r="AB90" t="str">
        <f t="shared" si="72"/>
        <v/>
      </c>
      <c r="AC90" t="str">
        <f t="shared" si="72"/>
        <v/>
      </c>
      <c r="AD90" t="str">
        <f t="shared" si="73"/>
        <v/>
      </c>
      <c r="AE90" t="str">
        <f t="shared" si="73"/>
        <v/>
      </c>
      <c r="AF90" t="str">
        <f t="shared" si="74"/>
        <v/>
      </c>
      <c r="AG90" t="str">
        <f t="shared" si="75"/>
        <v/>
      </c>
      <c r="AH90" t="str">
        <f t="shared" si="76"/>
        <v/>
      </c>
      <c r="AI90" t="str">
        <f t="shared" si="77"/>
        <v/>
      </c>
      <c r="AJ90" t="str">
        <f t="shared" si="78"/>
        <v/>
      </c>
      <c r="AK90" t="str">
        <f t="shared" si="79"/>
        <v/>
      </c>
      <c r="AM90" t="str">
        <f t="shared" si="80"/>
        <v/>
      </c>
      <c r="AN90" t="str">
        <f t="shared" si="55"/>
        <v/>
      </c>
      <c r="AO90" t="str">
        <f t="shared" si="56"/>
        <v/>
      </c>
      <c r="AP90" t="str">
        <f t="shared" si="57"/>
        <v/>
      </c>
      <c r="AQ90" t="str">
        <f t="shared" si="58"/>
        <v/>
      </c>
      <c r="AR90" t="str">
        <f t="shared" si="59"/>
        <v/>
      </c>
      <c r="AS90" t="str">
        <f t="shared" si="60"/>
        <v/>
      </c>
      <c r="AT90" t="str">
        <f t="shared" si="61"/>
        <v/>
      </c>
      <c r="AU90" t="str">
        <f t="shared" si="62"/>
        <v/>
      </c>
      <c r="AV90" t="str">
        <f t="shared" si="81"/>
        <v/>
      </c>
      <c r="AW90" t="str">
        <f t="shared" si="82"/>
        <v/>
      </c>
      <c r="AY90" t="str">
        <f t="shared" si="63"/>
        <v/>
      </c>
      <c r="AZ90" t="str">
        <f t="shared" si="64"/>
        <v/>
      </c>
      <c r="BA90" t="str">
        <f t="shared" si="65"/>
        <v/>
      </c>
      <c r="BB90" t="str">
        <f t="shared" si="83"/>
        <v/>
      </c>
      <c r="BC90" t="str">
        <f t="shared" si="66"/>
        <v/>
      </c>
      <c r="BE90">
        <f t="shared" si="67"/>
        <v>27</v>
      </c>
      <c r="BF90">
        <f t="shared" si="68"/>
        <v>1</v>
      </c>
      <c r="BG90" t="str">
        <f t="shared" si="69"/>
        <v/>
      </c>
      <c r="BH90" t="str">
        <f t="shared" si="84"/>
        <v/>
      </c>
    </row>
    <row r="91" spans="4:60" x14ac:dyDescent="0.55000000000000004">
      <c r="D91">
        <v>83</v>
      </c>
      <c r="E91" t="str">
        <f t="shared" si="53"/>
        <v/>
      </c>
      <c r="F91" t="str">
        <f t="shared" si="70"/>
        <v/>
      </c>
      <c r="G91" t="str">
        <f t="shared" si="54"/>
        <v/>
      </c>
      <c r="Z91" t="str">
        <f t="shared" si="71"/>
        <v/>
      </c>
      <c r="AA91" t="str">
        <f t="shared" si="72"/>
        <v/>
      </c>
      <c r="AB91" t="str">
        <f t="shared" si="72"/>
        <v/>
      </c>
      <c r="AC91" t="str">
        <f t="shared" si="72"/>
        <v/>
      </c>
      <c r="AD91" t="str">
        <f t="shared" si="73"/>
        <v/>
      </c>
      <c r="AE91" t="str">
        <f t="shared" si="73"/>
        <v/>
      </c>
      <c r="AF91" t="str">
        <f t="shared" si="74"/>
        <v/>
      </c>
      <c r="AG91" t="str">
        <f t="shared" si="75"/>
        <v/>
      </c>
      <c r="AH91" t="str">
        <f t="shared" si="76"/>
        <v/>
      </c>
      <c r="AI91" t="str">
        <f t="shared" si="77"/>
        <v/>
      </c>
      <c r="AJ91" t="str">
        <f t="shared" si="78"/>
        <v/>
      </c>
      <c r="AK91" t="str">
        <f t="shared" si="79"/>
        <v/>
      </c>
      <c r="AM91" t="str">
        <f t="shared" si="80"/>
        <v/>
      </c>
      <c r="AN91" t="str">
        <f t="shared" si="55"/>
        <v/>
      </c>
      <c r="AO91" t="str">
        <f t="shared" si="56"/>
        <v/>
      </c>
      <c r="AP91" t="str">
        <f t="shared" si="57"/>
        <v/>
      </c>
      <c r="AQ91" t="str">
        <f t="shared" si="58"/>
        <v/>
      </c>
      <c r="AR91" t="str">
        <f t="shared" si="59"/>
        <v/>
      </c>
      <c r="AS91" t="str">
        <f t="shared" si="60"/>
        <v/>
      </c>
      <c r="AT91" t="str">
        <f t="shared" si="61"/>
        <v/>
      </c>
      <c r="AU91" t="str">
        <f t="shared" si="62"/>
        <v/>
      </c>
      <c r="AV91" t="str">
        <f t="shared" si="81"/>
        <v/>
      </c>
      <c r="AW91" t="str">
        <f t="shared" si="82"/>
        <v/>
      </c>
      <c r="AY91" t="str">
        <f t="shared" si="63"/>
        <v/>
      </c>
      <c r="AZ91" t="str">
        <f t="shared" si="64"/>
        <v/>
      </c>
      <c r="BA91" t="str">
        <f t="shared" si="65"/>
        <v/>
      </c>
      <c r="BB91" t="str">
        <f t="shared" si="83"/>
        <v/>
      </c>
      <c r="BC91" t="str">
        <f t="shared" si="66"/>
        <v/>
      </c>
      <c r="BE91">
        <f t="shared" si="67"/>
        <v>27</v>
      </c>
      <c r="BF91">
        <f t="shared" si="68"/>
        <v>2</v>
      </c>
      <c r="BG91" t="str">
        <f t="shared" si="69"/>
        <v/>
      </c>
      <c r="BH91" t="str">
        <f t="shared" si="84"/>
        <v/>
      </c>
    </row>
    <row r="92" spans="4:60" x14ac:dyDescent="0.55000000000000004">
      <c r="D92">
        <v>84</v>
      </c>
      <c r="E92" t="str">
        <f t="shared" si="53"/>
        <v/>
      </c>
      <c r="F92" t="str">
        <f t="shared" si="70"/>
        <v/>
      </c>
      <c r="G92" t="str">
        <f t="shared" si="54"/>
        <v/>
      </c>
      <c r="Z92" t="str">
        <f t="shared" si="71"/>
        <v/>
      </c>
      <c r="AA92" t="str">
        <f t="shared" si="72"/>
        <v/>
      </c>
      <c r="AB92" t="str">
        <f t="shared" si="72"/>
        <v/>
      </c>
      <c r="AC92" t="str">
        <f t="shared" si="72"/>
        <v/>
      </c>
      <c r="AD92" t="str">
        <f t="shared" si="73"/>
        <v/>
      </c>
      <c r="AE92" t="str">
        <f t="shared" si="73"/>
        <v/>
      </c>
      <c r="AF92" t="str">
        <f t="shared" si="74"/>
        <v/>
      </c>
      <c r="AG92" t="str">
        <f t="shared" si="75"/>
        <v/>
      </c>
      <c r="AH92" t="str">
        <f t="shared" si="76"/>
        <v/>
      </c>
      <c r="AI92" t="str">
        <f t="shared" si="77"/>
        <v/>
      </c>
      <c r="AJ92" t="str">
        <f t="shared" si="78"/>
        <v/>
      </c>
      <c r="AK92" t="str">
        <f t="shared" si="79"/>
        <v/>
      </c>
      <c r="AM92" t="str">
        <f t="shared" si="80"/>
        <v/>
      </c>
      <c r="AN92" t="str">
        <f t="shared" si="55"/>
        <v/>
      </c>
      <c r="AO92" t="str">
        <f t="shared" si="56"/>
        <v/>
      </c>
      <c r="AP92" t="str">
        <f t="shared" si="57"/>
        <v/>
      </c>
      <c r="AQ92" t="str">
        <f t="shared" si="58"/>
        <v/>
      </c>
      <c r="AR92" t="str">
        <f t="shared" si="59"/>
        <v/>
      </c>
      <c r="AS92" t="str">
        <f t="shared" si="60"/>
        <v/>
      </c>
      <c r="AT92" t="str">
        <f t="shared" si="61"/>
        <v/>
      </c>
      <c r="AU92" t="str">
        <f t="shared" si="62"/>
        <v/>
      </c>
      <c r="AV92" t="str">
        <f t="shared" si="81"/>
        <v/>
      </c>
      <c r="AW92" t="str">
        <f t="shared" si="82"/>
        <v/>
      </c>
      <c r="AY92" t="str">
        <f t="shared" si="63"/>
        <v/>
      </c>
      <c r="AZ92" t="str">
        <f t="shared" si="64"/>
        <v/>
      </c>
      <c r="BA92" t="str">
        <f t="shared" si="65"/>
        <v/>
      </c>
      <c r="BB92" t="str">
        <f t="shared" si="83"/>
        <v/>
      </c>
      <c r="BC92" t="str">
        <f t="shared" si="66"/>
        <v/>
      </c>
      <c r="BE92">
        <f t="shared" si="67"/>
        <v>28</v>
      </c>
      <c r="BF92">
        <f t="shared" si="68"/>
        <v>0</v>
      </c>
      <c r="BG92" t="str">
        <f t="shared" si="69"/>
        <v/>
      </c>
      <c r="BH92" t="str">
        <f t="shared" si="84"/>
        <v/>
      </c>
    </row>
    <row r="93" spans="4:60" x14ac:dyDescent="0.55000000000000004">
      <c r="D93">
        <v>85</v>
      </c>
      <c r="E93" t="str">
        <f t="shared" si="53"/>
        <v/>
      </c>
      <c r="F93" t="str">
        <f t="shared" si="70"/>
        <v/>
      </c>
      <c r="G93" t="str">
        <f t="shared" si="54"/>
        <v/>
      </c>
      <c r="Z93" t="str">
        <f t="shared" si="71"/>
        <v/>
      </c>
      <c r="AA93" t="str">
        <f t="shared" si="72"/>
        <v/>
      </c>
      <c r="AB93" t="str">
        <f t="shared" si="72"/>
        <v/>
      </c>
      <c r="AC93" t="str">
        <f t="shared" si="72"/>
        <v/>
      </c>
      <c r="AD93" t="str">
        <f t="shared" si="73"/>
        <v/>
      </c>
      <c r="AE93" t="str">
        <f t="shared" si="73"/>
        <v/>
      </c>
      <c r="AF93" t="str">
        <f t="shared" si="74"/>
        <v/>
      </c>
      <c r="AG93" t="str">
        <f t="shared" si="75"/>
        <v/>
      </c>
      <c r="AH93" t="str">
        <f t="shared" si="76"/>
        <v/>
      </c>
      <c r="AI93" t="str">
        <f t="shared" si="77"/>
        <v/>
      </c>
      <c r="AJ93" t="str">
        <f t="shared" si="78"/>
        <v/>
      </c>
      <c r="AK93" t="str">
        <f t="shared" si="79"/>
        <v/>
      </c>
      <c r="AM93" t="str">
        <f t="shared" si="80"/>
        <v/>
      </c>
      <c r="AN93" t="str">
        <f t="shared" si="55"/>
        <v/>
      </c>
      <c r="AO93" t="str">
        <f t="shared" si="56"/>
        <v/>
      </c>
      <c r="AP93" t="str">
        <f t="shared" si="57"/>
        <v/>
      </c>
      <c r="AQ93" t="str">
        <f t="shared" si="58"/>
        <v/>
      </c>
      <c r="AR93" t="str">
        <f t="shared" si="59"/>
        <v/>
      </c>
      <c r="AS93" t="str">
        <f t="shared" si="60"/>
        <v/>
      </c>
      <c r="AT93" t="str">
        <f t="shared" si="61"/>
        <v/>
      </c>
      <c r="AU93" t="str">
        <f t="shared" si="62"/>
        <v/>
      </c>
      <c r="AV93" t="str">
        <f t="shared" si="81"/>
        <v/>
      </c>
      <c r="AW93" t="str">
        <f t="shared" si="82"/>
        <v/>
      </c>
      <c r="AY93" t="str">
        <f t="shared" si="63"/>
        <v/>
      </c>
      <c r="AZ93" t="str">
        <f t="shared" si="64"/>
        <v/>
      </c>
      <c r="BA93" t="str">
        <f t="shared" si="65"/>
        <v/>
      </c>
      <c r="BB93" t="str">
        <f t="shared" si="83"/>
        <v/>
      </c>
      <c r="BC93" t="str">
        <f t="shared" si="66"/>
        <v/>
      </c>
      <c r="BE93">
        <f t="shared" si="67"/>
        <v>28</v>
      </c>
      <c r="BF93">
        <f t="shared" si="68"/>
        <v>1</v>
      </c>
      <c r="BG93" t="str">
        <f t="shared" si="69"/>
        <v/>
      </c>
      <c r="BH93" t="str">
        <f t="shared" si="84"/>
        <v/>
      </c>
    </row>
    <row r="94" spans="4:60" x14ac:dyDescent="0.55000000000000004">
      <c r="D94">
        <v>86</v>
      </c>
      <c r="E94" t="str">
        <f t="shared" si="53"/>
        <v/>
      </c>
      <c r="F94" t="str">
        <f t="shared" si="70"/>
        <v/>
      </c>
      <c r="G94" t="str">
        <f t="shared" si="54"/>
        <v/>
      </c>
      <c r="Z94" t="str">
        <f t="shared" si="71"/>
        <v/>
      </c>
      <c r="AA94" t="str">
        <f t="shared" si="72"/>
        <v/>
      </c>
      <c r="AB94" t="str">
        <f t="shared" si="72"/>
        <v/>
      </c>
      <c r="AC94" t="str">
        <f t="shared" si="72"/>
        <v/>
      </c>
      <c r="AD94" t="str">
        <f t="shared" si="73"/>
        <v/>
      </c>
      <c r="AE94" t="str">
        <f t="shared" si="73"/>
        <v/>
      </c>
      <c r="AF94" t="str">
        <f t="shared" si="74"/>
        <v/>
      </c>
      <c r="AG94" t="str">
        <f t="shared" si="75"/>
        <v/>
      </c>
      <c r="AH94" t="str">
        <f t="shared" si="76"/>
        <v/>
      </c>
      <c r="AI94" t="str">
        <f t="shared" si="77"/>
        <v/>
      </c>
      <c r="AJ94" t="str">
        <f t="shared" si="78"/>
        <v/>
      </c>
      <c r="AK94" t="str">
        <f t="shared" si="79"/>
        <v/>
      </c>
      <c r="AM94" t="str">
        <f t="shared" si="80"/>
        <v/>
      </c>
      <c r="AN94" t="str">
        <f t="shared" si="55"/>
        <v/>
      </c>
      <c r="AO94" t="str">
        <f t="shared" si="56"/>
        <v/>
      </c>
      <c r="AP94" t="str">
        <f t="shared" si="57"/>
        <v/>
      </c>
      <c r="AQ94" t="str">
        <f t="shared" si="58"/>
        <v/>
      </c>
      <c r="AR94" t="str">
        <f t="shared" si="59"/>
        <v/>
      </c>
      <c r="AS94" t="str">
        <f t="shared" si="60"/>
        <v/>
      </c>
      <c r="AT94" t="str">
        <f t="shared" si="61"/>
        <v/>
      </c>
      <c r="AU94" t="str">
        <f t="shared" si="62"/>
        <v/>
      </c>
      <c r="AV94" t="str">
        <f t="shared" si="81"/>
        <v/>
      </c>
      <c r="AW94" t="str">
        <f t="shared" si="82"/>
        <v/>
      </c>
      <c r="AY94" t="str">
        <f t="shared" si="63"/>
        <v/>
      </c>
      <c r="AZ94" t="str">
        <f t="shared" si="64"/>
        <v/>
      </c>
      <c r="BA94" t="str">
        <f t="shared" si="65"/>
        <v/>
      </c>
      <c r="BB94" t="str">
        <f t="shared" si="83"/>
        <v/>
      </c>
      <c r="BC94" t="str">
        <f t="shared" si="66"/>
        <v/>
      </c>
      <c r="BE94">
        <f t="shared" si="67"/>
        <v>28</v>
      </c>
      <c r="BF94">
        <f t="shared" si="68"/>
        <v>2</v>
      </c>
      <c r="BG94" t="str">
        <f t="shared" si="69"/>
        <v/>
      </c>
      <c r="BH94" t="str">
        <f t="shared" si="84"/>
        <v/>
      </c>
    </row>
    <row r="95" spans="4:60" x14ac:dyDescent="0.55000000000000004">
      <c r="D95">
        <v>87</v>
      </c>
      <c r="E95" t="str">
        <f t="shared" si="53"/>
        <v/>
      </c>
      <c r="F95" t="str">
        <f t="shared" si="70"/>
        <v/>
      </c>
      <c r="G95" t="str">
        <f t="shared" si="54"/>
        <v/>
      </c>
      <c r="Z95" t="str">
        <f t="shared" si="71"/>
        <v/>
      </c>
      <c r="AA95" t="str">
        <f t="shared" si="72"/>
        <v/>
      </c>
      <c r="AB95" t="str">
        <f t="shared" si="72"/>
        <v/>
      </c>
      <c r="AC95" t="str">
        <f t="shared" si="72"/>
        <v/>
      </c>
      <c r="AD95" t="str">
        <f t="shared" si="73"/>
        <v/>
      </c>
      <c r="AE95" t="str">
        <f t="shared" si="73"/>
        <v/>
      </c>
      <c r="AF95" t="str">
        <f t="shared" si="74"/>
        <v/>
      </c>
      <c r="AG95" t="str">
        <f t="shared" si="75"/>
        <v/>
      </c>
      <c r="AH95" t="str">
        <f t="shared" si="76"/>
        <v/>
      </c>
      <c r="AI95" t="str">
        <f t="shared" si="77"/>
        <v/>
      </c>
      <c r="AJ95" t="str">
        <f t="shared" si="78"/>
        <v/>
      </c>
      <c r="AK95" t="str">
        <f t="shared" si="79"/>
        <v/>
      </c>
      <c r="AM95" t="str">
        <f t="shared" si="80"/>
        <v/>
      </c>
      <c r="AN95" t="str">
        <f t="shared" si="55"/>
        <v/>
      </c>
      <c r="AO95" t="str">
        <f t="shared" si="56"/>
        <v/>
      </c>
      <c r="AP95" t="str">
        <f t="shared" si="57"/>
        <v/>
      </c>
      <c r="AQ95" t="str">
        <f t="shared" si="58"/>
        <v/>
      </c>
      <c r="AR95" t="str">
        <f t="shared" si="59"/>
        <v/>
      </c>
      <c r="AS95" t="str">
        <f t="shared" si="60"/>
        <v/>
      </c>
      <c r="AT95" t="str">
        <f t="shared" si="61"/>
        <v/>
      </c>
      <c r="AU95" t="str">
        <f t="shared" si="62"/>
        <v/>
      </c>
      <c r="AV95" t="str">
        <f t="shared" si="81"/>
        <v/>
      </c>
      <c r="AW95" t="str">
        <f t="shared" si="82"/>
        <v/>
      </c>
      <c r="AY95" t="str">
        <f t="shared" si="63"/>
        <v/>
      </c>
      <c r="AZ95" t="str">
        <f t="shared" si="64"/>
        <v/>
      </c>
      <c r="BA95" t="str">
        <f t="shared" si="65"/>
        <v/>
      </c>
      <c r="BB95" t="str">
        <f t="shared" si="83"/>
        <v/>
      </c>
      <c r="BC95" t="str">
        <f t="shared" si="66"/>
        <v/>
      </c>
      <c r="BE95">
        <f t="shared" si="67"/>
        <v>29</v>
      </c>
      <c r="BF95">
        <f t="shared" si="68"/>
        <v>0</v>
      </c>
      <c r="BG95" t="str">
        <f t="shared" si="69"/>
        <v/>
      </c>
      <c r="BH95" t="str">
        <f t="shared" si="84"/>
        <v/>
      </c>
    </row>
    <row r="96" spans="4:60" x14ac:dyDescent="0.55000000000000004">
      <c r="D96">
        <v>88</v>
      </c>
      <c r="E96" t="str">
        <f t="shared" si="53"/>
        <v/>
      </c>
      <c r="F96" t="str">
        <f t="shared" si="70"/>
        <v/>
      </c>
      <c r="G96" t="str">
        <f t="shared" si="54"/>
        <v/>
      </c>
      <c r="Z96" t="str">
        <f t="shared" si="71"/>
        <v/>
      </c>
      <c r="AA96" t="str">
        <f t="shared" si="72"/>
        <v/>
      </c>
      <c r="AB96" t="str">
        <f t="shared" si="72"/>
        <v/>
      </c>
      <c r="AC96" t="str">
        <f t="shared" si="72"/>
        <v/>
      </c>
      <c r="AD96" t="str">
        <f t="shared" si="73"/>
        <v/>
      </c>
      <c r="AE96" t="str">
        <f t="shared" si="73"/>
        <v/>
      </c>
      <c r="AF96" t="str">
        <f t="shared" si="74"/>
        <v/>
      </c>
      <c r="AG96" t="str">
        <f t="shared" si="75"/>
        <v/>
      </c>
      <c r="AH96" t="str">
        <f t="shared" si="76"/>
        <v/>
      </c>
      <c r="AI96" t="str">
        <f t="shared" si="77"/>
        <v/>
      </c>
      <c r="AJ96" t="str">
        <f t="shared" si="78"/>
        <v/>
      </c>
      <c r="AK96" t="str">
        <f t="shared" si="79"/>
        <v/>
      </c>
      <c r="AM96" t="str">
        <f t="shared" si="80"/>
        <v/>
      </c>
      <c r="AN96" t="str">
        <f t="shared" si="55"/>
        <v/>
      </c>
      <c r="AO96" t="str">
        <f t="shared" si="56"/>
        <v/>
      </c>
      <c r="AP96" t="str">
        <f t="shared" si="57"/>
        <v/>
      </c>
      <c r="AQ96" t="str">
        <f t="shared" si="58"/>
        <v/>
      </c>
      <c r="AR96" t="str">
        <f t="shared" si="59"/>
        <v/>
      </c>
      <c r="AS96" t="str">
        <f t="shared" si="60"/>
        <v/>
      </c>
      <c r="AT96" t="str">
        <f t="shared" si="61"/>
        <v/>
      </c>
      <c r="AU96" t="str">
        <f t="shared" si="62"/>
        <v/>
      </c>
      <c r="AV96" t="str">
        <f t="shared" si="81"/>
        <v/>
      </c>
      <c r="AW96" t="str">
        <f t="shared" si="82"/>
        <v/>
      </c>
      <c r="AY96" t="str">
        <f t="shared" si="63"/>
        <v/>
      </c>
      <c r="AZ96" t="str">
        <f t="shared" si="64"/>
        <v/>
      </c>
      <c r="BA96" t="str">
        <f t="shared" si="65"/>
        <v/>
      </c>
      <c r="BB96" t="str">
        <f t="shared" si="83"/>
        <v/>
      </c>
      <c r="BC96" t="str">
        <f t="shared" si="66"/>
        <v/>
      </c>
      <c r="BE96">
        <f t="shared" si="67"/>
        <v>29</v>
      </c>
      <c r="BF96">
        <f t="shared" si="68"/>
        <v>1</v>
      </c>
      <c r="BG96" t="str">
        <f t="shared" si="69"/>
        <v/>
      </c>
      <c r="BH96" t="str">
        <f t="shared" si="84"/>
        <v/>
      </c>
    </row>
    <row r="97" spans="4:60" x14ac:dyDescent="0.55000000000000004">
      <c r="D97">
        <v>89</v>
      </c>
      <c r="E97" t="str">
        <f t="shared" si="53"/>
        <v/>
      </c>
      <c r="F97" t="str">
        <f t="shared" si="70"/>
        <v/>
      </c>
      <c r="G97" t="str">
        <f t="shared" si="54"/>
        <v/>
      </c>
      <c r="Z97" t="str">
        <f t="shared" si="71"/>
        <v/>
      </c>
      <c r="AA97" t="str">
        <f t="shared" si="72"/>
        <v/>
      </c>
      <c r="AB97" t="str">
        <f t="shared" si="72"/>
        <v/>
      </c>
      <c r="AC97" t="str">
        <f t="shared" si="72"/>
        <v/>
      </c>
      <c r="AD97" t="str">
        <f t="shared" si="73"/>
        <v/>
      </c>
      <c r="AE97" t="str">
        <f t="shared" si="73"/>
        <v/>
      </c>
      <c r="AF97" t="str">
        <f t="shared" si="74"/>
        <v/>
      </c>
      <c r="AG97" t="str">
        <f t="shared" si="75"/>
        <v/>
      </c>
      <c r="AH97" t="str">
        <f t="shared" si="76"/>
        <v/>
      </c>
      <c r="AI97" t="str">
        <f t="shared" si="77"/>
        <v/>
      </c>
      <c r="AJ97" t="str">
        <f t="shared" si="78"/>
        <v/>
      </c>
      <c r="AK97" t="str">
        <f t="shared" si="79"/>
        <v/>
      </c>
      <c r="AM97" t="str">
        <f t="shared" si="80"/>
        <v/>
      </c>
      <c r="AN97" t="str">
        <f t="shared" si="55"/>
        <v/>
      </c>
      <c r="AO97" t="str">
        <f t="shared" si="56"/>
        <v/>
      </c>
      <c r="AP97" t="str">
        <f t="shared" si="57"/>
        <v/>
      </c>
      <c r="AQ97" t="str">
        <f t="shared" si="58"/>
        <v/>
      </c>
      <c r="AR97" t="str">
        <f t="shared" si="59"/>
        <v/>
      </c>
      <c r="AS97" t="str">
        <f t="shared" si="60"/>
        <v/>
      </c>
      <c r="AT97" t="str">
        <f t="shared" si="61"/>
        <v/>
      </c>
      <c r="AU97" t="str">
        <f t="shared" si="62"/>
        <v/>
      </c>
      <c r="AV97" t="str">
        <f t="shared" si="81"/>
        <v/>
      </c>
      <c r="AW97" t="str">
        <f t="shared" si="82"/>
        <v/>
      </c>
      <c r="AY97" t="str">
        <f t="shared" si="63"/>
        <v/>
      </c>
      <c r="AZ97" t="str">
        <f t="shared" si="64"/>
        <v/>
      </c>
      <c r="BA97" t="str">
        <f t="shared" si="65"/>
        <v/>
      </c>
      <c r="BB97" t="str">
        <f t="shared" si="83"/>
        <v/>
      </c>
      <c r="BC97" t="str">
        <f t="shared" si="66"/>
        <v/>
      </c>
      <c r="BE97">
        <f t="shared" si="67"/>
        <v>29</v>
      </c>
      <c r="BF97">
        <f t="shared" si="68"/>
        <v>2</v>
      </c>
      <c r="BG97" t="str">
        <f t="shared" si="69"/>
        <v/>
      </c>
      <c r="BH97" t="str">
        <f t="shared" si="84"/>
        <v/>
      </c>
    </row>
    <row r="98" spans="4:60" x14ac:dyDescent="0.55000000000000004">
      <c r="D98">
        <v>90</v>
      </c>
      <c r="E98" t="str">
        <f t="shared" si="53"/>
        <v/>
      </c>
      <c r="F98" t="str">
        <f t="shared" si="70"/>
        <v/>
      </c>
      <c r="G98" t="str">
        <f t="shared" si="54"/>
        <v/>
      </c>
      <c r="Z98" t="str">
        <f t="shared" si="71"/>
        <v/>
      </c>
      <c r="AA98" t="str">
        <f t="shared" si="72"/>
        <v/>
      </c>
      <c r="AB98" t="str">
        <f t="shared" si="72"/>
        <v/>
      </c>
      <c r="AC98" t="str">
        <f t="shared" si="72"/>
        <v/>
      </c>
      <c r="AD98" t="str">
        <f t="shared" si="73"/>
        <v/>
      </c>
      <c r="AE98" t="str">
        <f t="shared" si="73"/>
        <v/>
      </c>
      <c r="AF98" t="str">
        <f t="shared" si="74"/>
        <v/>
      </c>
      <c r="AG98" t="str">
        <f t="shared" si="75"/>
        <v/>
      </c>
      <c r="AH98" t="str">
        <f t="shared" si="76"/>
        <v/>
      </c>
      <c r="AI98" t="str">
        <f t="shared" si="77"/>
        <v/>
      </c>
      <c r="AJ98" t="str">
        <f t="shared" si="78"/>
        <v/>
      </c>
      <c r="AK98" t="str">
        <f t="shared" si="79"/>
        <v/>
      </c>
      <c r="AM98" t="str">
        <f t="shared" si="80"/>
        <v/>
      </c>
      <c r="AN98" t="str">
        <f t="shared" si="55"/>
        <v/>
      </c>
      <c r="AO98" t="str">
        <f t="shared" si="56"/>
        <v/>
      </c>
      <c r="AP98" t="str">
        <f t="shared" si="57"/>
        <v/>
      </c>
      <c r="AQ98" t="str">
        <f t="shared" si="58"/>
        <v/>
      </c>
      <c r="AR98" t="str">
        <f t="shared" si="59"/>
        <v/>
      </c>
      <c r="AS98" t="str">
        <f t="shared" si="60"/>
        <v/>
      </c>
      <c r="AT98" t="str">
        <f t="shared" si="61"/>
        <v/>
      </c>
      <c r="AU98" t="str">
        <f t="shared" si="62"/>
        <v/>
      </c>
      <c r="AV98" t="str">
        <f t="shared" si="81"/>
        <v/>
      </c>
      <c r="AW98" t="str">
        <f t="shared" si="82"/>
        <v/>
      </c>
      <c r="AY98" t="str">
        <f t="shared" si="63"/>
        <v/>
      </c>
      <c r="AZ98" t="str">
        <f t="shared" si="64"/>
        <v/>
      </c>
      <c r="BA98" t="str">
        <f t="shared" si="65"/>
        <v/>
      </c>
      <c r="BB98" t="str">
        <f t="shared" si="83"/>
        <v/>
      </c>
      <c r="BC98" t="str">
        <f t="shared" si="66"/>
        <v/>
      </c>
      <c r="BE98">
        <f t="shared" si="67"/>
        <v>30</v>
      </c>
      <c r="BF98">
        <f t="shared" si="68"/>
        <v>0</v>
      </c>
      <c r="BG98" t="str">
        <f t="shared" si="69"/>
        <v/>
      </c>
      <c r="BH98" t="str">
        <f t="shared" si="84"/>
        <v/>
      </c>
    </row>
    <row r="99" spans="4:60" x14ac:dyDescent="0.55000000000000004">
      <c r="D99">
        <v>91</v>
      </c>
      <c r="E99" t="str">
        <f t="shared" si="53"/>
        <v/>
      </c>
      <c r="F99" t="str">
        <f t="shared" si="70"/>
        <v/>
      </c>
      <c r="G99" t="str">
        <f t="shared" si="54"/>
        <v/>
      </c>
      <c r="Z99" t="str">
        <f t="shared" si="71"/>
        <v/>
      </c>
      <c r="AA99" t="str">
        <f t="shared" si="72"/>
        <v/>
      </c>
      <c r="AB99" t="str">
        <f t="shared" si="72"/>
        <v/>
      </c>
      <c r="AC99" t="str">
        <f t="shared" si="72"/>
        <v/>
      </c>
      <c r="AD99" t="str">
        <f t="shared" si="73"/>
        <v/>
      </c>
      <c r="AE99" t="str">
        <f t="shared" si="73"/>
        <v/>
      </c>
      <c r="AF99" t="str">
        <f t="shared" si="74"/>
        <v/>
      </c>
      <c r="AG99" t="str">
        <f t="shared" si="75"/>
        <v/>
      </c>
      <c r="AH99" t="str">
        <f t="shared" si="76"/>
        <v/>
      </c>
      <c r="AI99" t="str">
        <f t="shared" si="77"/>
        <v/>
      </c>
      <c r="AJ99" t="str">
        <f t="shared" si="78"/>
        <v/>
      </c>
      <c r="AK99" t="str">
        <f t="shared" si="79"/>
        <v/>
      </c>
      <c r="AM99" t="str">
        <f t="shared" si="80"/>
        <v/>
      </c>
      <c r="AN99" t="str">
        <f t="shared" si="55"/>
        <v/>
      </c>
      <c r="AO99" t="str">
        <f t="shared" si="56"/>
        <v/>
      </c>
      <c r="AP99" t="str">
        <f t="shared" si="57"/>
        <v/>
      </c>
      <c r="AQ99" t="str">
        <f t="shared" si="58"/>
        <v/>
      </c>
      <c r="AR99" t="str">
        <f t="shared" si="59"/>
        <v/>
      </c>
      <c r="AS99" t="str">
        <f t="shared" si="60"/>
        <v/>
      </c>
      <c r="AT99" t="str">
        <f t="shared" si="61"/>
        <v/>
      </c>
      <c r="AU99" t="str">
        <f t="shared" si="62"/>
        <v/>
      </c>
      <c r="AV99" t="str">
        <f t="shared" si="81"/>
        <v/>
      </c>
      <c r="AW99" t="str">
        <f t="shared" si="82"/>
        <v/>
      </c>
      <c r="AY99" t="str">
        <f t="shared" si="63"/>
        <v/>
      </c>
      <c r="AZ99" t="str">
        <f t="shared" si="64"/>
        <v/>
      </c>
      <c r="BA99" t="str">
        <f t="shared" si="65"/>
        <v/>
      </c>
      <c r="BB99" t="str">
        <f t="shared" si="83"/>
        <v/>
      </c>
      <c r="BC99" t="str">
        <f t="shared" si="66"/>
        <v/>
      </c>
      <c r="BE99">
        <f t="shared" si="67"/>
        <v>30</v>
      </c>
      <c r="BF99">
        <f t="shared" si="68"/>
        <v>1</v>
      </c>
      <c r="BG99" t="str">
        <f t="shared" si="69"/>
        <v/>
      </c>
      <c r="BH99" t="str">
        <f t="shared" si="84"/>
        <v/>
      </c>
    </row>
    <row r="100" spans="4:60" x14ac:dyDescent="0.55000000000000004">
      <c r="D100">
        <v>92</v>
      </c>
      <c r="E100" t="str">
        <f t="shared" si="53"/>
        <v/>
      </c>
      <c r="F100" t="str">
        <f t="shared" si="70"/>
        <v/>
      </c>
      <c r="G100" t="str">
        <f t="shared" si="54"/>
        <v/>
      </c>
      <c r="Z100" t="str">
        <f t="shared" si="71"/>
        <v/>
      </c>
      <c r="AA100" t="str">
        <f t="shared" si="72"/>
        <v/>
      </c>
      <c r="AB100" t="str">
        <f t="shared" si="72"/>
        <v/>
      </c>
      <c r="AC100" t="str">
        <f t="shared" si="72"/>
        <v/>
      </c>
      <c r="AD100" t="str">
        <f t="shared" si="73"/>
        <v/>
      </c>
      <c r="AE100" t="str">
        <f t="shared" si="73"/>
        <v/>
      </c>
      <c r="AF100" t="str">
        <f t="shared" si="74"/>
        <v/>
      </c>
      <c r="AG100" t="str">
        <f t="shared" si="75"/>
        <v/>
      </c>
      <c r="AH100" t="str">
        <f t="shared" si="76"/>
        <v/>
      </c>
      <c r="AI100" t="str">
        <f t="shared" si="77"/>
        <v/>
      </c>
      <c r="AJ100" t="str">
        <f t="shared" si="78"/>
        <v/>
      </c>
      <c r="AK100" t="str">
        <f t="shared" si="79"/>
        <v/>
      </c>
      <c r="AM100" t="str">
        <f t="shared" si="80"/>
        <v/>
      </c>
      <c r="AN100" t="str">
        <f t="shared" si="55"/>
        <v/>
      </c>
      <c r="AO100" t="str">
        <f t="shared" si="56"/>
        <v/>
      </c>
      <c r="AP100" t="str">
        <f t="shared" si="57"/>
        <v/>
      </c>
      <c r="AQ100" t="str">
        <f t="shared" si="58"/>
        <v/>
      </c>
      <c r="AR100" t="str">
        <f t="shared" si="59"/>
        <v/>
      </c>
      <c r="AS100" t="str">
        <f t="shared" si="60"/>
        <v/>
      </c>
      <c r="AT100" t="str">
        <f t="shared" si="61"/>
        <v/>
      </c>
      <c r="AU100" t="str">
        <f t="shared" si="62"/>
        <v/>
      </c>
      <c r="AV100" t="str">
        <f t="shared" si="81"/>
        <v/>
      </c>
      <c r="AW100" t="str">
        <f t="shared" si="82"/>
        <v/>
      </c>
      <c r="AY100" t="str">
        <f t="shared" si="63"/>
        <v/>
      </c>
      <c r="AZ100" t="str">
        <f t="shared" si="64"/>
        <v/>
      </c>
      <c r="BA100" t="str">
        <f t="shared" si="65"/>
        <v/>
      </c>
      <c r="BB100" t="str">
        <f t="shared" si="83"/>
        <v/>
      </c>
      <c r="BC100" t="str">
        <f t="shared" si="66"/>
        <v/>
      </c>
      <c r="BE100">
        <f t="shared" si="67"/>
        <v>30</v>
      </c>
      <c r="BF100">
        <f t="shared" si="68"/>
        <v>2</v>
      </c>
      <c r="BG100" t="str">
        <f t="shared" si="69"/>
        <v/>
      </c>
      <c r="BH100" t="str">
        <f t="shared" si="84"/>
        <v/>
      </c>
    </row>
    <row r="101" spans="4:60" x14ac:dyDescent="0.55000000000000004">
      <c r="D101">
        <v>93</v>
      </c>
      <c r="E101" t="str">
        <f t="shared" si="53"/>
        <v/>
      </c>
      <c r="F101" t="str">
        <f t="shared" si="70"/>
        <v/>
      </c>
      <c r="G101" t="str">
        <f t="shared" si="54"/>
        <v/>
      </c>
      <c r="Z101" t="str">
        <f t="shared" si="71"/>
        <v/>
      </c>
      <c r="AA101" t="str">
        <f t="shared" si="72"/>
        <v/>
      </c>
      <c r="AB101" t="str">
        <f t="shared" si="72"/>
        <v/>
      </c>
      <c r="AC101" t="str">
        <f t="shared" si="72"/>
        <v/>
      </c>
      <c r="AD101" t="str">
        <f t="shared" si="73"/>
        <v/>
      </c>
      <c r="AE101" t="str">
        <f t="shared" si="73"/>
        <v/>
      </c>
      <c r="AF101" t="str">
        <f t="shared" si="74"/>
        <v/>
      </c>
      <c r="AG101" t="str">
        <f t="shared" si="75"/>
        <v/>
      </c>
      <c r="AH101" t="str">
        <f t="shared" si="76"/>
        <v/>
      </c>
      <c r="AI101" t="str">
        <f t="shared" si="77"/>
        <v/>
      </c>
      <c r="AJ101" t="str">
        <f t="shared" si="78"/>
        <v/>
      </c>
      <c r="AK101" t="str">
        <f t="shared" si="79"/>
        <v/>
      </c>
      <c r="AM101" t="str">
        <f t="shared" si="80"/>
        <v/>
      </c>
      <c r="AN101" t="str">
        <f t="shared" si="55"/>
        <v/>
      </c>
      <c r="AO101" t="str">
        <f t="shared" si="56"/>
        <v/>
      </c>
      <c r="AP101" t="str">
        <f t="shared" si="57"/>
        <v/>
      </c>
      <c r="AQ101" t="str">
        <f t="shared" si="58"/>
        <v/>
      </c>
      <c r="AR101" t="str">
        <f t="shared" si="59"/>
        <v/>
      </c>
      <c r="AS101" t="str">
        <f t="shared" si="60"/>
        <v/>
      </c>
      <c r="AT101" t="str">
        <f t="shared" si="61"/>
        <v/>
      </c>
      <c r="AU101" t="str">
        <f t="shared" si="62"/>
        <v/>
      </c>
      <c r="AV101" t="str">
        <f t="shared" si="81"/>
        <v/>
      </c>
      <c r="AW101" t="str">
        <f t="shared" si="82"/>
        <v/>
      </c>
      <c r="AY101" t="str">
        <f t="shared" si="63"/>
        <v/>
      </c>
      <c r="AZ101" t="str">
        <f t="shared" si="64"/>
        <v/>
      </c>
      <c r="BA101" t="str">
        <f t="shared" si="65"/>
        <v/>
      </c>
      <c r="BB101" t="str">
        <f t="shared" si="83"/>
        <v/>
      </c>
      <c r="BC101" t="str">
        <f t="shared" si="66"/>
        <v/>
      </c>
      <c r="BE101">
        <f t="shared" si="67"/>
        <v>31</v>
      </c>
      <c r="BF101">
        <f t="shared" si="68"/>
        <v>0</v>
      </c>
      <c r="BG101" t="str">
        <f t="shared" si="69"/>
        <v/>
      </c>
      <c r="BH101" t="str">
        <f t="shared" si="84"/>
        <v/>
      </c>
    </row>
    <row r="102" spans="4:60" x14ac:dyDescent="0.55000000000000004">
      <c r="D102">
        <v>94</v>
      </c>
      <c r="E102" t="str">
        <f t="shared" si="53"/>
        <v/>
      </c>
      <c r="F102" t="str">
        <f t="shared" si="70"/>
        <v/>
      </c>
      <c r="G102" t="str">
        <f t="shared" si="54"/>
        <v/>
      </c>
      <c r="Z102" t="str">
        <f t="shared" si="71"/>
        <v/>
      </c>
      <c r="AA102" t="str">
        <f t="shared" si="72"/>
        <v/>
      </c>
      <c r="AB102" t="str">
        <f t="shared" si="72"/>
        <v/>
      </c>
      <c r="AC102" t="str">
        <f t="shared" si="72"/>
        <v/>
      </c>
      <c r="AD102" t="str">
        <f t="shared" si="73"/>
        <v/>
      </c>
      <c r="AE102" t="str">
        <f t="shared" si="73"/>
        <v/>
      </c>
      <c r="AF102" t="str">
        <f t="shared" si="74"/>
        <v/>
      </c>
      <c r="AG102" t="str">
        <f t="shared" si="75"/>
        <v/>
      </c>
      <c r="AH102" t="str">
        <f t="shared" si="76"/>
        <v/>
      </c>
      <c r="AI102" t="str">
        <f t="shared" si="77"/>
        <v/>
      </c>
      <c r="AJ102" t="str">
        <f t="shared" si="78"/>
        <v/>
      </c>
      <c r="AK102" t="str">
        <f t="shared" si="79"/>
        <v/>
      </c>
      <c r="AM102" t="str">
        <f t="shared" si="80"/>
        <v/>
      </c>
      <c r="AN102" t="str">
        <f t="shared" si="55"/>
        <v/>
      </c>
      <c r="AO102" t="str">
        <f t="shared" si="56"/>
        <v/>
      </c>
      <c r="AP102" t="str">
        <f t="shared" si="57"/>
        <v/>
      </c>
      <c r="AQ102" t="str">
        <f t="shared" si="58"/>
        <v/>
      </c>
      <c r="AR102" t="str">
        <f t="shared" si="59"/>
        <v/>
      </c>
      <c r="AS102" t="str">
        <f t="shared" si="60"/>
        <v/>
      </c>
      <c r="AT102" t="str">
        <f t="shared" si="61"/>
        <v/>
      </c>
      <c r="AU102" t="str">
        <f t="shared" si="62"/>
        <v/>
      </c>
      <c r="AV102" t="str">
        <f t="shared" si="81"/>
        <v/>
      </c>
      <c r="AW102" t="str">
        <f t="shared" si="82"/>
        <v/>
      </c>
      <c r="AY102" t="str">
        <f t="shared" si="63"/>
        <v/>
      </c>
      <c r="AZ102" t="str">
        <f t="shared" si="64"/>
        <v/>
      </c>
      <c r="BA102" t="str">
        <f t="shared" si="65"/>
        <v/>
      </c>
      <c r="BB102" t="str">
        <f t="shared" si="83"/>
        <v/>
      </c>
      <c r="BC102" t="str">
        <f t="shared" si="66"/>
        <v/>
      </c>
      <c r="BE102">
        <f t="shared" si="67"/>
        <v>31</v>
      </c>
      <c r="BF102">
        <f t="shared" si="68"/>
        <v>1</v>
      </c>
      <c r="BG102" t="str">
        <f t="shared" si="69"/>
        <v/>
      </c>
      <c r="BH102" t="str">
        <f t="shared" si="84"/>
        <v/>
      </c>
    </row>
    <row r="103" spans="4:60" x14ac:dyDescent="0.55000000000000004">
      <c r="D103">
        <v>95</v>
      </c>
      <c r="E103" t="str">
        <f t="shared" si="53"/>
        <v/>
      </c>
      <c r="F103" t="str">
        <f t="shared" si="70"/>
        <v/>
      </c>
      <c r="G103" t="str">
        <f t="shared" si="54"/>
        <v/>
      </c>
      <c r="Z103" t="str">
        <f t="shared" si="71"/>
        <v/>
      </c>
      <c r="AA103" t="str">
        <f t="shared" si="72"/>
        <v/>
      </c>
      <c r="AB103" t="str">
        <f t="shared" si="72"/>
        <v/>
      </c>
      <c r="AC103" t="str">
        <f t="shared" si="72"/>
        <v/>
      </c>
      <c r="AD103" t="str">
        <f t="shared" si="73"/>
        <v/>
      </c>
      <c r="AE103" t="str">
        <f t="shared" si="73"/>
        <v/>
      </c>
      <c r="AF103" t="str">
        <f t="shared" si="74"/>
        <v/>
      </c>
      <c r="AG103" t="str">
        <f t="shared" si="75"/>
        <v/>
      </c>
      <c r="AH103" t="str">
        <f t="shared" si="76"/>
        <v/>
      </c>
      <c r="AI103" t="str">
        <f t="shared" si="77"/>
        <v/>
      </c>
      <c r="AJ103" t="str">
        <f t="shared" si="78"/>
        <v/>
      </c>
      <c r="AK103" t="str">
        <f t="shared" si="79"/>
        <v/>
      </c>
      <c r="AM103" t="str">
        <f t="shared" si="80"/>
        <v/>
      </c>
      <c r="AN103" t="str">
        <f t="shared" si="55"/>
        <v/>
      </c>
      <c r="AO103" t="str">
        <f t="shared" si="56"/>
        <v/>
      </c>
      <c r="AP103" t="str">
        <f t="shared" si="57"/>
        <v/>
      </c>
      <c r="AQ103" t="str">
        <f t="shared" si="58"/>
        <v/>
      </c>
      <c r="AR103" t="str">
        <f t="shared" si="59"/>
        <v/>
      </c>
      <c r="AS103" t="str">
        <f t="shared" si="60"/>
        <v/>
      </c>
      <c r="AT103" t="str">
        <f t="shared" si="61"/>
        <v/>
      </c>
      <c r="AU103" t="str">
        <f t="shared" si="62"/>
        <v/>
      </c>
      <c r="AV103" t="str">
        <f t="shared" si="81"/>
        <v/>
      </c>
      <c r="AW103" t="str">
        <f t="shared" si="82"/>
        <v/>
      </c>
      <c r="AY103" t="str">
        <f t="shared" si="63"/>
        <v/>
      </c>
      <c r="AZ103" t="str">
        <f t="shared" si="64"/>
        <v/>
      </c>
      <c r="BA103" t="str">
        <f t="shared" si="65"/>
        <v/>
      </c>
      <c r="BB103" t="str">
        <f t="shared" si="83"/>
        <v/>
      </c>
      <c r="BC103" t="str">
        <f t="shared" si="66"/>
        <v/>
      </c>
      <c r="BE103">
        <f t="shared" si="67"/>
        <v>31</v>
      </c>
      <c r="BF103">
        <f t="shared" si="68"/>
        <v>2</v>
      </c>
      <c r="BG103" t="str">
        <f t="shared" si="69"/>
        <v/>
      </c>
      <c r="BH103" t="str">
        <f t="shared" si="84"/>
        <v/>
      </c>
    </row>
    <row r="104" spans="4:60" x14ac:dyDescent="0.55000000000000004">
      <c r="D104">
        <v>96</v>
      </c>
      <c r="E104" t="str">
        <f t="shared" si="53"/>
        <v/>
      </c>
      <c r="F104" t="str">
        <f t="shared" si="70"/>
        <v/>
      </c>
      <c r="G104" t="str">
        <f t="shared" si="54"/>
        <v/>
      </c>
      <c r="Z104" t="str">
        <f t="shared" si="71"/>
        <v/>
      </c>
      <c r="AA104" t="str">
        <f t="shared" si="72"/>
        <v/>
      </c>
      <c r="AB104" t="str">
        <f t="shared" si="72"/>
        <v/>
      </c>
      <c r="AC104" t="str">
        <f t="shared" si="72"/>
        <v/>
      </c>
      <c r="AD104" t="str">
        <f t="shared" si="73"/>
        <v/>
      </c>
      <c r="AE104" t="str">
        <f t="shared" si="73"/>
        <v/>
      </c>
      <c r="AF104" t="str">
        <f t="shared" si="74"/>
        <v/>
      </c>
      <c r="AG104" t="str">
        <f t="shared" si="75"/>
        <v/>
      </c>
      <c r="AH104" t="str">
        <f t="shared" si="76"/>
        <v/>
      </c>
      <c r="AI104" t="str">
        <f t="shared" si="77"/>
        <v/>
      </c>
      <c r="AJ104" t="str">
        <f t="shared" si="78"/>
        <v/>
      </c>
      <c r="AK104" t="str">
        <f t="shared" si="79"/>
        <v/>
      </c>
      <c r="AM104" t="str">
        <f t="shared" si="80"/>
        <v/>
      </c>
      <c r="AN104" t="str">
        <f t="shared" ref="AN104:AN107" si="85">IF(AM104="●",(AN$4+MOD(INT(MID(E104,5,3)),AN$2))*AN$6,"")</f>
        <v/>
      </c>
      <c r="AO104" t="str">
        <f t="shared" si="56"/>
        <v/>
      </c>
      <c r="AP104" t="str">
        <f t="shared" si="57"/>
        <v/>
      </c>
      <c r="AQ104" t="str">
        <f t="shared" si="58"/>
        <v/>
      </c>
      <c r="AR104" t="str">
        <f t="shared" si="59"/>
        <v/>
      </c>
      <c r="AS104" t="str">
        <f t="shared" si="60"/>
        <v/>
      </c>
      <c r="AT104" t="str">
        <f t="shared" ref="AT104:AT107" si="86">IF(LEN(AS104),AS104&amp;CHAR(10),"")&amp;IF(LEN(AP104),AP104,"")</f>
        <v/>
      </c>
      <c r="AU104" t="str">
        <f t="shared" ref="AU104:AU107" si="87">IF(LEN(AT104),AT104&amp;CHAR(10),"")&amp;IF(LEN(AQ104),AQ104,"")</f>
        <v/>
      </c>
      <c r="AV104" t="str">
        <f t="shared" si="81"/>
        <v/>
      </c>
      <c r="AW104" t="str">
        <f t="shared" si="82"/>
        <v/>
      </c>
      <c r="AY104" t="str">
        <f t="shared" si="63"/>
        <v/>
      </c>
      <c r="AZ104" t="str">
        <f t="shared" ref="AZ104:AZ107" si="88">IF($AM104="●",IF(LEN(AY104),AY104&amp;CHAR(10),"")&amp;";//エラーNo.を入れる"&amp;CHAR(10)&amp;";"&amp;$B$15&amp;"	:= "&amp;AN104&amp;";","")</f>
        <v/>
      </c>
      <c r="BA104" t="str">
        <f t="shared" ref="BA104:BA107" si="89">IF($AM104="●",IF(LEN(AZ104),AZ104&amp;CHAR(10),"")&amp;";//カウントする"&amp;CHAR(10)&amp;";"&amp;$B$16&amp;"	:= "&amp;$B$16&amp;" + 1;","")</f>
        <v/>
      </c>
      <c r="BB104" t="str">
        <f t="shared" si="83"/>
        <v/>
      </c>
      <c r="BC104" t="str">
        <f t="shared" ref="BC104:BC107" si="90">IF($AM104="●",IF(LEN(BB104),BB104&amp;CHAR(10),"")&amp;";//"&amp;$B$29,"")</f>
        <v/>
      </c>
      <c r="BE104">
        <f t="shared" si="67"/>
        <v>32</v>
      </c>
      <c r="BF104">
        <f t="shared" si="68"/>
        <v>0</v>
      </c>
      <c r="BG104" t="str">
        <f t="shared" ref="BG104:BG107" si="91">IF(LEN(E104),E104&amp;".x"&amp;TEXT(BF104,"0")&amp;CHAR(9)&amp;" := FALSE;","")</f>
        <v/>
      </c>
      <c r="BH104" t="str">
        <f t="shared" si="84"/>
        <v/>
      </c>
    </row>
    <row r="105" spans="4:60" x14ac:dyDescent="0.55000000000000004">
      <c r="D105">
        <v>97</v>
      </c>
      <c r="E105" t="str">
        <f t="shared" si="53"/>
        <v/>
      </c>
      <c r="F105" t="str">
        <f t="shared" si="70"/>
        <v/>
      </c>
      <c r="G105" t="str">
        <f t="shared" si="54"/>
        <v/>
      </c>
      <c r="Z105" t="str">
        <f t="shared" si="71"/>
        <v/>
      </c>
      <c r="AA105" t="str">
        <f t="shared" si="72"/>
        <v/>
      </c>
      <c r="AB105" t="str">
        <f t="shared" si="72"/>
        <v/>
      </c>
      <c r="AC105" t="str">
        <f t="shared" si="72"/>
        <v/>
      </c>
      <c r="AD105" t="str">
        <f t="shared" si="73"/>
        <v/>
      </c>
      <c r="AE105" t="str">
        <f t="shared" si="73"/>
        <v/>
      </c>
      <c r="AF105" t="str">
        <f t="shared" si="74"/>
        <v/>
      </c>
      <c r="AG105" t="str">
        <f t="shared" si="75"/>
        <v/>
      </c>
      <c r="AH105" t="str">
        <f t="shared" si="76"/>
        <v/>
      </c>
      <c r="AI105" t="str">
        <f t="shared" si="77"/>
        <v/>
      </c>
      <c r="AJ105" t="str">
        <f t="shared" si="78"/>
        <v/>
      </c>
      <c r="AK105" t="str">
        <f t="shared" si="79"/>
        <v/>
      </c>
      <c r="AM105" t="str">
        <f t="shared" si="80"/>
        <v/>
      </c>
      <c r="AN105" t="str">
        <f t="shared" si="85"/>
        <v/>
      </c>
      <c r="AO105" t="str">
        <f t="shared" si="56"/>
        <v/>
      </c>
      <c r="AP105" t="str">
        <f t="shared" si="57"/>
        <v/>
      </c>
      <c r="AQ105" t="str">
        <f t="shared" si="58"/>
        <v/>
      </c>
      <c r="AR105" t="str">
        <f t="shared" si="59"/>
        <v/>
      </c>
      <c r="AS105" t="str">
        <f t="shared" si="60"/>
        <v/>
      </c>
      <c r="AT105" t="str">
        <f t="shared" si="86"/>
        <v/>
      </c>
      <c r="AU105" t="str">
        <f t="shared" si="87"/>
        <v/>
      </c>
      <c r="AV105" t="str">
        <f t="shared" si="81"/>
        <v/>
      </c>
      <c r="AW105" t="str">
        <f t="shared" si="82"/>
        <v/>
      </c>
      <c r="AY105" t="str">
        <f t="shared" si="63"/>
        <v/>
      </c>
      <c r="AZ105" t="str">
        <f t="shared" si="88"/>
        <v/>
      </c>
      <c r="BA105" t="str">
        <f t="shared" si="89"/>
        <v/>
      </c>
      <c r="BB105" t="str">
        <f t="shared" si="83"/>
        <v/>
      </c>
      <c r="BC105" t="str">
        <f t="shared" si="90"/>
        <v/>
      </c>
      <c r="BE105">
        <f t="shared" si="67"/>
        <v>32</v>
      </c>
      <c r="BF105">
        <f t="shared" si="68"/>
        <v>1</v>
      </c>
      <c r="BG105" t="str">
        <f t="shared" si="91"/>
        <v/>
      </c>
      <c r="BH105" t="str">
        <f t="shared" si="84"/>
        <v/>
      </c>
    </row>
    <row r="106" spans="4:60" x14ac:dyDescent="0.55000000000000004">
      <c r="D106">
        <v>98</v>
      </c>
      <c r="E106" t="str">
        <f t="shared" si="53"/>
        <v/>
      </c>
      <c r="F106" t="str">
        <f t="shared" si="70"/>
        <v/>
      </c>
      <c r="G106" t="str">
        <f t="shared" si="54"/>
        <v/>
      </c>
      <c r="Z106" t="str">
        <f t="shared" si="71"/>
        <v/>
      </c>
      <c r="AA106" t="str">
        <f t="shared" si="72"/>
        <v/>
      </c>
      <c r="AB106" t="str">
        <f t="shared" si="72"/>
        <v/>
      </c>
      <c r="AC106" t="str">
        <f t="shared" si="72"/>
        <v/>
      </c>
      <c r="AD106" t="str">
        <f t="shared" si="73"/>
        <v/>
      </c>
      <c r="AE106" t="str">
        <f t="shared" si="73"/>
        <v/>
      </c>
      <c r="AF106" t="str">
        <f t="shared" si="74"/>
        <v/>
      </c>
      <c r="AG106" t="str">
        <f t="shared" si="75"/>
        <v/>
      </c>
      <c r="AH106" t="str">
        <f t="shared" si="76"/>
        <v/>
      </c>
      <c r="AI106" t="str">
        <f t="shared" si="77"/>
        <v/>
      </c>
      <c r="AJ106" t="str">
        <f t="shared" si="78"/>
        <v/>
      </c>
      <c r="AK106" t="str">
        <f t="shared" si="79"/>
        <v/>
      </c>
      <c r="AM106" t="str">
        <f t="shared" si="80"/>
        <v/>
      </c>
      <c r="AN106" t="str">
        <f t="shared" si="85"/>
        <v/>
      </c>
      <c r="AO106" t="str">
        <f t="shared" si="56"/>
        <v/>
      </c>
      <c r="AP106" t="str">
        <f t="shared" si="57"/>
        <v/>
      </c>
      <c r="AQ106" t="str">
        <f t="shared" si="58"/>
        <v/>
      </c>
      <c r="AR106" t="str">
        <f t="shared" si="59"/>
        <v/>
      </c>
      <c r="AS106" t="str">
        <f t="shared" si="60"/>
        <v/>
      </c>
      <c r="AT106" t="str">
        <f t="shared" si="86"/>
        <v/>
      </c>
      <c r="AU106" t="str">
        <f t="shared" si="87"/>
        <v/>
      </c>
      <c r="AV106" t="str">
        <f t="shared" si="81"/>
        <v/>
      </c>
      <c r="AW106" t="str">
        <f t="shared" si="82"/>
        <v/>
      </c>
      <c r="AY106" t="str">
        <f t="shared" si="63"/>
        <v/>
      </c>
      <c r="AZ106" t="str">
        <f t="shared" si="88"/>
        <v/>
      </c>
      <c r="BA106" t="str">
        <f t="shared" si="89"/>
        <v/>
      </c>
      <c r="BB106" t="str">
        <f t="shared" si="83"/>
        <v/>
      </c>
      <c r="BC106" t="str">
        <f t="shared" si="90"/>
        <v/>
      </c>
      <c r="BE106">
        <f t="shared" si="67"/>
        <v>32</v>
      </c>
      <c r="BF106">
        <f t="shared" si="68"/>
        <v>2</v>
      </c>
      <c r="BG106" t="str">
        <f t="shared" si="91"/>
        <v/>
      </c>
      <c r="BH106" t="str">
        <f t="shared" si="84"/>
        <v/>
      </c>
    </row>
    <row r="107" spans="4:60" x14ac:dyDescent="0.55000000000000004">
      <c r="D107">
        <v>99</v>
      </c>
      <c r="E107" t="str">
        <f t="shared" si="53"/>
        <v/>
      </c>
      <c r="F107" t="str">
        <f t="shared" si="70"/>
        <v/>
      </c>
      <c r="G107" t="str">
        <f t="shared" si="54"/>
        <v/>
      </c>
      <c r="Z107" t="str">
        <f t="shared" si="71"/>
        <v/>
      </c>
      <c r="AA107" t="str">
        <f t="shared" si="72"/>
        <v/>
      </c>
      <c r="AB107" t="str">
        <f t="shared" si="72"/>
        <v/>
      </c>
      <c r="AC107" t="str">
        <f t="shared" si="72"/>
        <v/>
      </c>
      <c r="AD107" t="str">
        <f t="shared" si="73"/>
        <v/>
      </c>
      <c r="AE107" t="str">
        <f t="shared" si="73"/>
        <v/>
      </c>
      <c r="AF107" t="str">
        <f t="shared" si="74"/>
        <v/>
      </c>
      <c r="AG107" t="str">
        <f t="shared" si="75"/>
        <v/>
      </c>
      <c r="AH107" t="str">
        <f t="shared" si="76"/>
        <v/>
      </c>
      <c r="AI107" t="str">
        <f t="shared" si="77"/>
        <v/>
      </c>
      <c r="AJ107" t="str">
        <f t="shared" si="78"/>
        <v/>
      </c>
      <c r="AK107" t="str">
        <f t="shared" si="79"/>
        <v/>
      </c>
      <c r="AM107" t="str">
        <f t="shared" si="80"/>
        <v/>
      </c>
      <c r="AN107" t="str">
        <f t="shared" si="85"/>
        <v/>
      </c>
      <c r="AO107" t="str">
        <f t="shared" si="56"/>
        <v/>
      </c>
      <c r="AP107" t="str">
        <f t="shared" si="57"/>
        <v/>
      </c>
      <c r="AQ107" t="str">
        <f t="shared" si="58"/>
        <v/>
      </c>
      <c r="AR107" t="str">
        <f t="shared" si="59"/>
        <v/>
      </c>
      <c r="AS107" t="str">
        <f t="shared" si="60"/>
        <v/>
      </c>
      <c r="AT107" t="str">
        <f t="shared" si="86"/>
        <v/>
      </c>
      <c r="AU107" t="str">
        <f t="shared" si="87"/>
        <v/>
      </c>
      <c r="AV107" t="str">
        <f t="shared" si="81"/>
        <v/>
      </c>
      <c r="AW107" t="str">
        <f t="shared" si="82"/>
        <v/>
      </c>
      <c r="AY107" t="str">
        <f t="shared" si="63"/>
        <v/>
      </c>
      <c r="AZ107" t="str">
        <f t="shared" si="88"/>
        <v/>
      </c>
      <c r="BA107" t="str">
        <f t="shared" si="89"/>
        <v/>
      </c>
      <c r="BB107" t="str">
        <f t="shared" si="83"/>
        <v/>
      </c>
      <c r="BC107" t="str">
        <f t="shared" si="90"/>
        <v/>
      </c>
      <c r="BE107">
        <f t="shared" si="67"/>
        <v>33</v>
      </c>
      <c r="BF107">
        <f t="shared" si="68"/>
        <v>0</v>
      </c>
      <c r="BG107" t="str">
        <f t="shared" si="91"/>
        <v/>
      </c>
      <c r="BH107" t="str">
        <f t="shared" si="84"/>
        <v/>
      </c>
    </row>
    <row r="109" spans="4:60" x14ac:dyDescent="0.55000000000000004">
      <c r="AW109" t="str">
        <f>_xlfn.CONCAT(AW8:AW107)</f>
        <v>LDP stEx400.x2
AND=.D stM.udiErrNo #0
MOV.D #4000 stM.udiErrNo
LDP stEx402.x2
AND=.D stM.udiErrNo #0
MOV.D #4020 stM.udiErrNo
MOV.D stDevOut.astAXO[2] stM.udiSubErr
LDP stEx403.x2
AND=.D stM.udiErrNo #0
MOV.D #4030 stM.udiErrNo
LDP stEx405.x2
AND=.D stM.udiErrNo #0
MOV.D #4050 stM.udiErrNo
MOV.D stDevOut.astAXO[2] stM.udiSubErr
LDP stEx406.x2
AND=.D stM.udiErrNo #0
MOV.D #4060 stM.udiErrNo
LDP stEx407.x2
AND=.D stM.udiErrNo #0
MOV.D #4070 stM.udiErrNo
MOV.D stDevOut.astCYL[3] stM.udiSubErr
LDP stEx409.x2
AND=.D stM.udiErrNo #0
MOV.D #4090 stM.udiErrNo
MOV.D stDevOut.astCYL[3] stM.udiSubErr
LDP stEx410.x2
AND=.D stM.udiErrNo #0
MOV.D #4100 stM.udiErrNo
MOV.D stDevOut.astCYL[3] stM.udiSubErr
LDP stEx413.x2
AND=.D stM.udiErrNo #0
MOV.D #4130 stM.udiErrNo
LDP stEx416.x2
AND=.D stM.udiErrNo #0
MOV.D #4160 stM.udiErrNo
MOV.D stDevOut.astAXK[0] stM.udiSubErr
LDP stEx420.x2
AND=.D stM.udiErrNo #0
MOV.D #4200 stM.udiErrNo
MOV.D stDevOut.astAXK[1] stM.udiSubErr
LDP stEx421.x2
AND=.D stM.udiErrNo #0
MOV.D #4210 stM.udiErrNo
MOV.D stDevOut.astAXK[1] stM.udiSubErr
LDP stEx424.x2
AND=.D stM.udiErrNo #0
MOV.D #4240 stM.udiErrNo
LDP stEx429.x2
AND=.D stM.udiErrNo #0
MOV.D #4290 stM.udiErrNo
MOV.D stDevOut.astAXI[0] stM.udiSubErr
LDP stEx430.x2
AND=.D stM.udiErrNo #0
MOV.D #4300 stM.udiErrNo
MOV.D stDevOut.astAXI[0] stM.udiSubErr
LDP stEx431.x2
AND=.D stM.udiErrNo #0
MOV.D #4310 stM.udiErrNo
MOV.D stDevOut.astCYL[6] stM.udiSubErr
LDP stEx432.x2
AND=.D stM.udiErrNo #0
MOV.D #4320 stM.udiErrNo
MOV.D stDevOut.astCYL[18] stM.udiSubErr
LDP stEx434.x2
AND=.D stM.udiErrNo #0
MOV.D #4340 stM.udiErrNo
LDP stEx435.x2
AND=.D stM.udiErrNo #0
MOV.D #4350 stM.udiErrNo
MOV.D stDevOut.astAXI[0] stM.udiSubErr
LDP stEx436.x2
AND=.D stM.udiErrNo #0
MOV.D #4360 stM.udiErrNo
MOV.D stDevOut.astAXI[1] stM.udiSubErr
LDP stEx440.x2
AND=.D stM.udiErrNo #0
MOV.D #4400 stM.udiErrNo
LDP stEx443.x2
AND=.D stM.udiErrNo #0
MOV.D #4430 stM.udiErrNo
MOV.D stDevOut.astCYL[6] stM.udiSubErr
LDP stEx444.x2
AND=.D stM.udiErrNo #0
MOV.D #4440 stM.udiErrNo
LDP stEx448.x2
AND=.D stM.udiErrNo #0
MOV.D #4480 stM.udiErrNo
MOV.D stDevOut.astAXO[3] stM.udiSubErr
LDP stEx449.x2
AND=.D stM.udiErrNo #0
MOV.D #4490 stM.udiErrNo
MOV.D stDevOut.astCYL[1] stM.udiSubErr
LDP stEx450.x2
AND=.D stM.udiErrNo #0
MOV.D #4500 stM.udiErrNo
MOV.D stDevOut.astCYL[2] stM.udiSubErr
LDP stEx451.x2
AND=.D stM.udiErrNo #0
MOV.D #4510 stM.udiErrNo
LDP stEx453.x2
AND=.D stM.udiErrNo #0
MOV.D #4530 stM.udiErrNo
MOV.D stDevOut.astCYL[1] stM.udiSubErr
LDP stEx454.x2
AND=.D stM.udiErrNo #0
MOV.D #4540 stM.udiErrNo
MOV.D stDevOut.astCYL[2] stM.udiSubErr
LDP stEx455.x2
AND=.D stM.udiErrNo #0
MOV.D #4550 stM.udiErrNo
LDP stEx456.x2
AND=.D stM.udiErrNo #0
MOV.D #4560 stM.udiErrNo
MOV.D stDevOut.astAXO[3] stM.udiSubErr
LDP stEx460.x2
AND=.D stM.udiErrNo #0
MOV.D #4600 stM.udiErrNo
MOV.D stDevOut.astAXK[1] stM.udiSubErr
LDP stEx461.x2
AND=.D stM.udiErrNo #0
MOV.D #4610 stM.udiErrNo
MOV.D stDevOut.astAXK[1] stM.udiSubErr
LDP stEx464.x2
AND=.D stM.udiErrNo #0
MOV.D #4640 stM.udiErrNo
MOV.D stDevOut.astAXK[1] stM.udiSubErr
LDP stEx465.x2
AND=.D stM.udiErrNo #0
MOV.D #4650 stM.udiErrNo
MOV.D stDevOut.astCYL[18] stM.udiSubErr
LDP stEx469.x2
AND=.D stM.udiErrNo #0
MOV.D #4690 stM.udiErrNo
MOV.D stDevOut.astAXO[3] stM.udiSubErr
LDP stEx470.x2
AND=.D stM.udiErrNo #0
MOV.D #4700 stM.udiErrNo
MOV.D stDevOut.astAXI[0] stM.udiSubErr
LDP stEx471.x2
AND=.D stM.udiErrNo #0
MOV.D #4710 stM.udiErrNo
MOV.D stDevOut.astAXI[1] stM.udiSubErr
LDP stEx472.x2
AND=.D stM.udiErrNo #0
MOV.D #4720 stM.udiErrNo
LDP stEx473.x2
AND=.D stM.udiErrNo #0
MOV.D #4730 stM.udiErrNo
MOV.D stDevOut.astAXK[0] stM.udiSubErr
LDP stEx476.x2
AND=.D stM.udiErrNo #0
MOV.D #4760 stM.udiErrNo
MOV.D stDevOut.astAXK[0] stM.udiSubErr
LDP stEx477.x2
AND=.D stM.udiErrNo #0
MOV.D #4770 stM.udiErrNo
MOV.D stDevOut.astAXI[0] stM.udiSubErr
LDP stEx478.x2
AND=.D stM.udiErrNo #0
MOV.D #4780 stM.udiErrNo
MOV.D stDevOut.astAXI[1] stM.udiSubErrMOV.D stDevOut.astAXI[0] stM.udiSubErr</v>
      </c>
      <c r="BC109" t="str">
        <f ca="1">_xlfn.CONCAT(BC8:BC107)</f>
        <v>LDP stEx400.x2
AND=.D stM.udiErrNo #0
BOX_ST
;//このスクリプトは C:\tk\prj\hg-0025-0016\git\kv-x520\doc\[kv_script_exe_errno.xlsm]info_script によって生成されました。
;//エラーNo.を入れる
;stM.udiErrNo	:= 4000;
;//カウントする
;stM.uiEDCnt	:= stM.uiEDCnt + 1;
;//-----ここまで生成script-----
LDP stEx402.x2
AND=.D stM.udiErrNo #0
BOX_ST
;//このスクリプトは C:\tk\prj\hg-0025-0016\git\kv-x520\doc\[kv_script_exe_errno.xlsm]info_script によって生成されました。
;//エラーNo.を入れる
;stM.udiErrNo	:= 4020;
;//カウントする
;stM.uiEDCnt	:= stM.uiEDCnt + 1;
;//エラーコードを入れる
;stM.udiSubErr	:= stDevOut.astAXO[2].udiErrNo;
;//-----ここまで生成script-----
LDP stEx403.x2
AND=.D stM.udiErrNo #0
BOX_ST
;//このスクリプトは C:\tk\prj\hg-0025-0016\git\kv-x520\doc\[kv_script_exe_errno.xlsm]info_script によって生成されました。
;//エラーNo.を入れる
;stM.udiErrNo	:= 4030;
;//カウントする
;stM.uiEDCnt	:= stM.uiEDCnt + 1;
;//-----ここまで生成script-----
LDP stEx405.x2
AND=.D stM.udiErrNo #0
BOX_ST
;//このスクリプトは C:\tk\prj\hg-0025-0016\git\kv-x520\doc\[kv_script_exe_errno.xlsm]info_script によって生成されました。
;//エラーNo.を入れる
;stM.udiErrNo	:= 4050;
;//カウントする
;stM.uiEDCnt	:= stM.uiEDCnt + 1;
;//エラーコードを入れる
;stM.udiSubErr	:= stDevOut.astAXO[2].udiErrNo;
;//-----ここまで生成script-----
LDP stEx406.x2
AND=.D stM.udiErrNo #0
BOX_ST
;//このスクリプトは C:\tk\prj\hg-0025-0016\git\kv-x520\doc\[kv_script_exe_errno.xlsm]info_script によって生成されました。
;//エラーNo.を入れる
;stM.udiErrNo	:= 4060;
;//カウントする
;stM.uiEDCnt	:= stM.uiEDCnt + 1;
;//-----ここまで生成script-----
LDP stEx407.x2
AND=.D stM.udiErrNo #0
BOX_ST
;//このスクリプトは C:\tk\prj\hg-0025-0016\git\kv-x520\doc\[kv_script_exe_errno.xlsm]info_script によって生成されました。
;//エラーNo.を入れる
;stM.udiErrNo	:= 4070;
;//カウントする
;stM.uiEDCnt	:= stM.uiEDCnt + 1;
;//エラーコードを入れる
;stM.udiSubErr	:= stDevOut.astCYL[3].udiErrNo;
;//-----ここまで生成script-----
LDP stEx409.x2
AND=.D stM.udiErrNo #0
BOX_ST
;//このスクリプトは C:\tk\prj\hg-0025-0016\git\kv-x520\doc\[kv_script_exe_errno.xlsm]info_script によって生成されました。
;//エラーNo.を入れる
;stM.udiErrNo	:= 4090;
;//カウントする
;stM.uiEDCnt	:= stM.uiEDCnt + 1;
;//エラーコードを入れる
;stM.udiSubErr	:= stDevOut.astCYL[3].udiErrNo;
;//-----ここまで生成script-----
LDP stEx410.x2
AND=.D stM.udiErrNo #0
BOX_ST
;//このスクリプトは C:\tk\prj\hg-0025-0016\git\kv-x520\doc\[kv_script_exe_errno.xlsm]info_script によって生成されました。
;//エラーNo.を入れる
;stM.udiErrNo	:= 4100;
;//カウントする
;stM.uiEDCnt	:= stM.uiEDCnt + 1;
;//エラーコードを入れる
;stM.udiSubErr	:= stDevOut.astCYL[3].udiErrNo;
;//-----ここまで生成script-----
LDP stEx413.x2
AND=.D stM.udiErrNo #0
BOX_ST
;//このスクリプトは C:\tk\prj\hg-0025-0016\git\kv-x520\doc\[kv_script_exe_errno.xlsm]info_script によって生成されました。
;//エラーNo.を入れる
;stM.udiErrNo	:= 4130;
;//カウントする
;stM.uiEDCnt	:= stM.uiEDCnt + 1;
;//-----ここまで生成script-----
LDP stEx416.x2
AND=.D stM.udiErrNo #0
BOX_ST
;//このスクリプトは C:\tk\prj\hg-0025-0016\git\kv-x520\doc\[kv_script_exe_errno.xlsm]info_script によって生成されました。
;//エラーNo.を入れる
;stM.udiErrNo	:= 4160;
;//カウントする
;stM.uiEDCnt	:= stM.uiEDCnt + 1;
;//エラーコードを入れる
;stM.udiSubErr	:= stDevOut.astAXK[0].udiErrNo;
;//-----ここまで生成script-----
LDP stEx420.x2
AND=.D stM.udiErrNo #0
BOX_ST
;//このスクリプトは C:\tk\prj\hg-0025-0016\git\kv-x520\doc\[kv_script_exe_errno.xlsm]info_script によって生成されました。
;//エラーNo.を入れる
;stM.udiErrNo	:= 4200;
;//カウントする
;stM.uiEDCnt	:= stM.uiEDCnt + 1;
;//エラーコードを入れる
;stM.udiSubErr	:= stDevOut.astAXK[1].udiErrNo;
;//-----ここまで生成script-----
LDP stEx421.x2
AND=.D stM.udiErrNo #0
BOX_ST
;//このスクリプトは C:\tk\prj\hg-0025-0016\git\kv-x520\doc\[kv_script_exe_errno.xlsm]info_script によって生成されました。
;//エラーNo.を入れる
;stM.udiErrNo	:= 4210;
;//カウントする
;stM.uiEDCnt	:= stM.uiEDCnt + 1;
;//エラーコードを入れる
;stM.udiSubErr	:= stDevOut.astAXK[1].udiErrNo;
;//-----ここまで生成script-----
LDP stEx424.x2
AND=.D stM.udiErrNo #0
BOX_ST
;//このスクリプトは C:\tk\prj\hg-0025-0016\git\kv-x520\doc\[kv_script_exe_errno.xlsm]info_script によって生成されました。
;//エラーNo.を入れる
;stM.udiErrNo	:= 4240;
;//カウントする
;stM.uiEDCnt	:= stM.uiEDCnt + 1;
;//-----ここまで生成script-----
LDP stEx429.x2
AND=.D stM.udiErrNo #0
BOX_ST
;//このスクリプトは C:\tk\prj\hg-0025-0016\git\kv-x520\doc\[kv_script_exe_errno.xlsm]info_script によって生成されました。
;//エラーNo.を入れる
;stM.udiErrNo	:= 4290;
;//カウントする
;stM.uiEDCnt	:= stM.uiEDCnt + 1;
;//エラーコードを入れる
;stM.udiSubErr	:= stDevOut.astAXI[0].udiErrNo;
;//-----ここまで生成script-----
LDP stEx430.x2
AND=.D stM.udiErrNo #0
BOX_ST
;//このスクリプトは C:\tk\prj\hg-0025-0016\git\kv-x520\doc\[kv_script_exe_errno.xlsm]info_script によって生成されました。
;//エラーNo.を入れる
;stM.udiErrNo	:= 4300;
;//カウントする
;stM.uiEDCnt	:= stM.uiEDCnt + 1;
;//エラーコードを入れる
;stM.udiSubErr	:= stDevOut.astAXI[0].udiErrNo;
;//-----ここまで生成script-----
LDP stEx431.x2
AND=.D stM.udiErrNo #0
BOX_ST
;//このスクリプトは C:\tk\prj\hg-0025-0016\git\kv-x520\doc\[kv_script_exe_errno.xlsm]info_script によって生成されました。
;//エラーNo.を入れる
;stM.udiErrNo	:= 4310;
;//カウントする
;stM.uiEDCnt	:= stM.uiEDCnt + 1;
;//エラーコードを入れる
;stM.udiSubErr	:= stDevOut.astCYL[6].udiErrNo;
;//-----ここまで生成script-----
LDP stEx432.x2
AND=.D stM.udiErrNo #0
BOX_ST
;//このスクリプトは C:\tk\prj\hg-0025-0016\git\kv-x520\doc\[kv_script_exe_errno.xlsm]info_script によって生成されました。
;//エラーNo.を入れる
;stM.udiErrNo	:= 4320;
;//カウントする
;stM.uiEDCnt	:= stM.uiEDCnt + 1;
;//エラーコードを入れる
;stM.udiSubErr	:= stDevOut.astCYL[18].udiErrNo;
;//-----ここまで生成script-----
LDP stEx434.x2
AND=.D stM.udiErrNo #0
BOX_ST
;//このスクリプトは C:\tk\prj\hg-0025-0016\git\kv-x520\doc\[kv_script_exe_errno.xlsm]info_script によって生成されました。
;//エラーNo.を入れる
;stM.udiErrNo	:= 4340;
;//カウントする
;stM.uiEDCnt	:= stM.uiEDCnt + 1;
;//-----ここまで生成script-----
LDP stEx435.x2
AND=.D stM.udiErrNo #0
BOX_ST
;//このスクリプトは C:\tk\prj\hg-0025-0016\git\kv-x520\doc\[kv_script_exe_errno.xlsm]info_script によって生成されました。
;//エラーNo.を入れる
;stM.udiErrNo	:= 4350;
;//カウントする
;stM.uiEDCnt	:= stM.uiEDCnt + 1;
;//エラーコードを入れる
;stM.udiSubErr	:= stDevOut.astAXI[0].udiErrNo;
;//-----ここまで生成script-----
LDP stEx436.x2
AND=.D stM.udiErrNo #0
BOX_ST
;//このスクリプトは C:\tk\prj\hg-0025-0016\git\kv-x520\doc\[kv_script_exe_errno.xlsm]info_script によって生成されました。
;//エラーNo.を入れる
;stM.udiErrNo	:= 4360;
;//カウントする
;stM.uiEDCnt	:= stM.uiEDCnt + 1;
;//エラーコードを入れる
;stM.udiSubErr	:= stDevOut.astAXI[1].udiErrNo;
;//-----ここまで生成script-----
LDP stEx440.x2
AND=.D stM.udiErrNo #0
BOX_ST
;//このスクリプトは C:\tk\prj\hg-0025-0016\git\kv-x520\doc\[kv_script_exe_errno.xlsm]info_script によって生成されました。
;//エラーNo.を入れる
;stM.udiErrNo	:= 4400;
;//カウントする
;stM.uiEDCnt	:= stM.uiEDCnt + 1;
;//-----ここまで生成script-----
LDP stEx443.x2
AND=.D stM.udiErrNo #0
BOX_ST
;//このスクリプトは C:\tk\prj\hg-0025-0016\git\kv-x520\doc\[kv_script_exe_errno.xlsm]info_script によって生成されました。
;//エラーNo.を入れる
;stM.udiErrNo	:= 4430;
;//カウントする
;stM.uiEDCnt	:= stM.uiEDCnt + 1;
;//エラーコードを入れる
;stM.udiSubErr	:= stDevOut.astCYL[6].udiErrNo;
;//-----ここまで生成script-----
LDP stEx444.x2
AND=.D stM.udiErrNo #0
BOX_ST
;//このスクリプトは C:\tk\prj\hg-0025-0016\git\kv-x520\doc\[kv_script_exe_errno.xlsm]info_script によって生成されました。
;//エラーNo.を入れる
;stM.udiErrNo	:= 4440;
;//カウントする
;stM.uiEDCnt	:= stM.uiEDCnt + 1;
;//-----ここまで生成script-----
LDP stEx448.x2
AND=.D stM.udiErrNo #0
BOX_ST
;//このスクリプトは C:\tk\prj\hg-0025-0016\git\kv-x520\doc\[kv_script_exe_errno.xlsm]info_script によって生成されました。
;//エラーNo.を入れる
;stM.udiErrNo	:= 4480;
;//カウントする
;stM.uiEDCnt	:= stM.uiEDCnt + 1;
;//エラーコードを入れる
;stM.udiSubErr	:= stDevOut.astAXO[3].udiErrNo;
;//-----ここまで生成script-----
LDP stEx449.x2
AND=.D stM.udiErrNo #0
BOX_ST
;//このスクリプトは C:\tk\prj\hg-0025-0016\git\kv-x520\doc\[kv_script_exe_errno.xlsm]info_script によって生成されました。
;//エラーNo.を入れる
;stM.udiErrNo	:= 4490;
;//カウントする
;stM.uiEDCnt	:= stM.uiEDCnt + 1;
;//エラーコードを入れる
;stM.udiSubErr	:= stDevOut.astCYL[1].udiErrNo;
;//-----ここまで生成script-----
LDP stEx450.x2
AND=.D stM.udiErrNo #0
BOX_ST
;//このスクリプトは C:\tk\prj\hg-0025-0016\git\kv-x520\doc\[kv_script_exe_errno.xlsm]info_script によって生成されました。
;//エラーNo.を入れる
;stM.udiErrNo	:= 4500;
;//カウントする
;stM.uiEDCnt	:= stM.uiEDCnt + 1;
;//エラーコードを入れる
;stM.udiSubErr	:= stDevOut.astCYL[2].udiErrNo;
;//-----ここまで生成script-----
LDP stEx451.x2
AND=.D stM.udiErrNo #0
BOX_ST
;//このスクリプトは C:\tk\prj\hg-0025-0016\git\kv-x520\doc\[kv_script_exe_errno.xlsm]info_script によって生成されました。
;//エラーNo.を入れる
;stM.udiErrNo	:= 4510;
;//カウントする
;stM.uiEDCnt	:= stM.uiEDCnt + 1;
;//-----ここまで生成script-----
LDP stEx453.x2
AND=.D stM.udiErrNo #0
BOX_ST
;//このスクリプトは C:\tk\prj\hg-0025-0016\git\kv-x520\doc\[kv_script_exe_errno.xlsm]info_script によって生成されました。
;//エラーNo.を入れる
;stM.udiErrNo	:= 4530;
;//カウントする
;stM.uiEDCnt	:= stM.uiEDCnt + 1;
;//エラーコードを入れる
;stM.udiSubErr	:= stDevOut.astCYL[1].udiErrNo;
;//-----ここまで生成script-----
LDP stEx454.x2
AND=.D stM.udiErrNo #0
BOX_ST
;//このスクリプトは C:\tk\prj\hg-0025-0016\git\kv-x520\doc\[kv_script_exe_errno.xlsm]info_script によって生成されました。
;//エラーNo.を入れる
;stM.udiErrNo	:= 4540;
;//カウントする
;stM.uiEDCnt	:= stM.uiEDCnt + 1;
;//エラーコードを入れる
;stM.udiSubErr	:= stDevOut.astCYL[2].udiErrNo;
;//-----ここまで生成script-----
LDP stEx455.x2
AND=.D stM.udiErrNo #0
BOX_ST
;//このスクリプトは C:\tk\prj\hg-0025-0016\git\kv-x520\doc\[kv_script_exe_errno.xlsm]info_script によって生成されました。
;//エラーNo.を入れる
;stM.udiErrNo	:= 4550;
;//カウントする
;stM.uiEDCnt	:= stM.uiEDCnt + 1;
;//-----ここまで生成script-----
LDP stEx456.x2
AND=.D stM.udiErrNo #0
BOX_ST
;//このスクリプトは C:\tk\prj\hg-0025-0016\git\kv-x520\doc\[kv_script_exe_errno.xlsm]info_script によって生成されました。
;//エラーNo.を入れる
;stM.udiErrNo	:= 4560;
;//カウントする
;stM.uiEDCnt	:= stM.uiEDCnt + 1;
;//エラーコードを入れる
;stM.udiSubErr	:= stDevOut.astAXO[3].udiErrNo;
;//-----ここまで生成script-----
LDP stEx460.x2
AND=.D stM.udiErrNo #0
BOX_ST
;//このスクリプトは C:\tk\prj\hg-0025-0016\git\kv-x520\doc\[kv_script_exe_errno.xlsm]info_script によって生成されました。
;//エラーNo.を入れる
;stM.udiErrNo	:= 4600;
;//カウントする
;stM.uiEDCnt	:= stM.uiEDCnt + 1;
;//エラーコードを入れる
;stM.udiSubErr	:= stDevOut.astAXK[1].udiErrNo;
;//-----ここまで生成script-----
LDP stEx461.x2
AND=.D stM.udiErrNo #0
BOX_ST
;//このスクリプトは C:\tk\prj\hg-0025-0016\git\kv-x520\doc\[kv_script_exe_errno.xlsm]info_script によって生成されました。
;//エラーNo.を入れる
;stM.udiErrNo	:= 4610;
;//カウントする
;stM.uiEDCnt	:= stM.uiEDCnt + 1;
;//エラーコードを入れる
;stM.udiSubErr	:= stDevOut.astAXK[1].udiErrNo;
;//-----ここまで生成script-----
LDP stEx464.x2
AND=.D stM.udiErrNo #0
BOX_ST
;//このスクリプトは C:\tk\prj\hg-0025-0016\git\kv-x520\doc\[kv_script_exe_errno.xlsm]info_script によって生成されました。
;//エラーNo.を入れる
;stM.udiErrNo	:= 4640;
;//カウントする
;stM.uiEDCnt	:= stM.uiEDCnt + 1;
;//エラーコードを入れる
;stM.udiSubErr	:= stDevOut.astAXK[1].udiErrNo;
;//-----ここまで生成script-----
LDP stEx465.x2
AND=.D stM.udiErrNo #0
BOX_ST
;//このスクリプトは C:\tk\prj\hg-0025-0016\git\kv-x520\doc\[kv_script_exe_errno.xlsm]info_script によって生成されました。
;//エラーNo.を入れる
;stM.udiErrNo	:= 4650;
;//カウントする
;stM.uiEDCnt	:= stM.uiEDCnt + 1;
;//エラーコードを入れる
;stM.udiSubErr	:= stDevOut.astCYL[18].udiErrNo;
;//-----ここまで生成script-----
LDP stEx469.x2
AND=.D stM.udiErrNo #0
BOX_ST
;//このスクリプトは C:\tk\prj\hg-0025-0016\git\kv-x520\doc\[kv_script_exe_errno.xlsm]info_script によって生成されました。
;//エラーNo.を入れる
;stM.udiErrNo	:= 4690;
;//カウントする
;stM.uiEDCnt	:= stM.uiEDCnt + 1;
;//エラーコードを入れる
;stM.udiSubErr	:= stDevOut.astAXO[3].udiErrNo;
;//-----ここまで生成script-----
LDP stEx470.x2
AND=.D stM.udiErrNo #0
BOX_ST
;//このスクリプトは C:\tk\prj\hg-0025-0016\git\kv-x520\doc\[kv_script_exe_errno.xlsm]info_script によって生成されました。
;//エラーNo.を入れる
;stM.udiErrNo	:= 4700;
;//カウントする
;stM.uiEDCnt	:= stM.uiEDCnt + 1;
;//エラーコードを入れる
;stM.udiSubErr	:= stDevOut.astAXI[0].udiErrNo;
;//-----ここまで生成script-----
LDP stEx471.x2
AND=.D stM.udiErrNo #0
BOX_ST
;//このスクリプトは C:\tk\prj\hg-0025-0016\git\kv-x520\doc\[kv_script_exe_errno.xlsm]info_script によって生成されました。
;//エラーNo.を入れる
;stM.udiErrNo	:= 4710;
;//カウントする
;stM.uiEDCnt	:= stM.uiEDCnt + 1;
;//エラーコードを入れる
;stM.udiSubErr	:= stDevOut.astAXI[1].udiErrNo;
;//-----ここまで生成script-----
LDP stEx472.x2
AND=.D stM.udiErrNo #0
BOX_ST
;//このスクリプトは C:\tk\prj\hg-0025-0016\git\kv-x520\doc\[kv_script_exe_errno.xlsm]info_script によって生成されました。
;//エラーNo.を入れる
;stM.udiErrNo	:= 4720;
;//カウントする
;stM.uiEDCnt	:= stM.uiEDCnt + 1;
;//-----ここまで生成script-----
LDP stEx473.x2
AND=.D stM.udiErrNo #0
BOX_ST
;//このスクリプトは C:\tk\prj\hg-0025-0016\git\kv-x520\doc\[kv_script_exe_errno.xlsm]info_script によって生成されました。
;//エラーNo.を入れる
;stM.udiErrNo	:= 4730;
;//カウントする
;stM.uiEDCnt	:= stM.uiEDCnt + 1;
;//エラーコードを入れる
;stM.udiSubErr	:= stDevOut.astAXK[0].udiErrNo;
;//-----ここまで生成script-----
LDP stEx476.x2
AND=.D stM.udiErrNo #0
BOX_ST
;//このスクリプトは C:\tk\prj\hg-0025-0016\git\kv-x520\doc\[kv_script_exe_errno.xlsm]info_script によって生成されました。
;//エラーNo.を入れる
;stM.udiErrNo	:= 4760;
;//カウントする
;stM.uiEDCnt	:= stM.uiEDCnt + 1;
;//エラーコードを入れる
;stM.udiSubErr	:= stDevOut.astAXK[0].udiErrNo;
;//-----ここまで生成script-----
LDP stEx477.x2
AND=.D stM.udiErrNo #0
BOX_ST
;//このスクリプトは C:\tk\prj\hg-0025-0016\git\kv-x520\doc\[kv_script_exe_errno.xlsm]info_script によって生成されました。
;//エラーNo.を入れる
;stM.udiErrNo	:= 4770;
;//カウントする
;stM.uiEDCnt	:= stM.uiEDCnt + 1;
;//エラーコードを入れる
;stM.udiSubErr	:= stDevOut.astAXI[0].udiErrNo;
;//-----ここまで生成script-----
LDP stEx478.x2
AND=.D stM.udiErrNo #0
BOX_ST
;//このスクリプトは C:\tk\prj\hg-0025-0016\git\kv-x520\doc\[kv_script_exe_errno.xlsm]info_script によって生成されました。
;//エラーNo.を入れる
;stM.udiErrNo	:= 4780;
;//カウントする
;stM.uiEDCnt	:= stM.uiEDCnt + 1;
;//エラーコードを入れる
;stM.udiSubErr	:= stDevOut.astAXI[1].udiErrNo;
;//-----ここまで生成script-----</v>
      </c>
      <c r="BH109" t="str">
        <f>_xlfn.CONCAT(BH$8:BH$107)</f>
        <v xml:space="preserve">stEx400.x0	 := FALSE;
stEx401.x1	 := FALSE;
stEx402.x2	 := FALSE;
stEx403.x0	 := FALSE;
stEx404.x1	 := FALSE;
stEx405.x2	 := FALSE;
stEx406.x0	 := FALSE;
stEx407.x1	 := FALSE;
stEx408.x2	 := FALSE;
stEx409.x0	 := FALSE;
stEx410.x1	 := FALSE;
stEx411.x2	 := FALSE;
stEx412.x0	 := FALSE;
stEx413.x1	 := FALSE;
stEx414.x2	 := FALSE;
stEx415.x0	 := FALSE;
stEx416.x1	 := FALSE;
stEx417.x2	 := FALSE;
stEx418.x0	 := FALSE;
stEx419.x1	 := FALSE;
stEx420.x2	 := FALSE;
stEx421.x0	 := FALSE;
stEx422.x1	 := FALSE;
stEx423.x2	 := FALSE;
stEx424.x0	 := FALSE;
stEx425.x1	 := FALSE;
stEx426.x2	 := FALSE;
stEx427.x0	 := FALSE;
stEx428.x1	 := FALSE;
stEx429.x2	 := FALSE;
stEx430.x0	 := FALSE;
stEx431.x1	 := FALSE;
stEx432.x2	 := FALSE;
stEx433.x0	 := FALSE;
stEx434.x1	 := FALSE;
stEx435.x2	 := FALSE;
stEx436.x0	 := FALSE;
stEx437.x1	 := FALSE;
stEx438.x2	 := FALSE;
stEx439.x0	 := FALSE;
stEx440.x1	 := FALSE;
stEx441.x2	 := FALSE;
stEx442.x0	 := FALSE;
stEx443.x1	 := FALSE;
stEx444.x2	 := FALSE;
stEx445.x0	 := FALSE;
stEx446.x1	 := FALSE;
stEx447.x2	 := FALSE;
stEx448.x0	 := FALSE;
stEx449.x1	 := FALSE;
stEx450.x2	 := FALSE;
stEx451.x0	 := FALSE;
stEx452.x1	 := FALSE;
stEx453.x2	 := FALSE;
stEx454.x0	 := FALSE;
stEx455.x1	 := FALSE;
stEx456.x2	 := FALSE;
stEx457.x0	 := FALSE;
stEx458.x1	 := FALSE;
stEx459.x2	 := FALSE;
stEx460.x0	 := FALSE;
stEx461.x1	 := FALSE;
stEx462.x2	 := FALSE;
stEx463.x0	 := FALSE;
stEx464.x1	 := FALSE;
stEx465.x2	 := FALSE;
stEx466.x0	 := FALSE;
stEx467.x1	 := FALSE;
stEx468.x2	 := FALSE;
stEx469.x0	 := FALSE;
stEx470.x1	 := FALSE;
stEx471.x2	 := FALSE;
stEx472.x0	 := FALSE;
stEx473.x1	 := FALSE;
stEx474.x2	 := FALSE;
stEx475.x0	 := FALSE;
stEx476.x1	 := FALSE;
stEx477.x2	 := FALSE;
stEx478.x0	 := FALSE;
stEx479.x1	 := FALSE;
</v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2026-03-17T02:33:02Z</dcterms:modified>
</cp:coreProperties>
</file>