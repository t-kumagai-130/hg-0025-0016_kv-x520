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72FD2A05-CE2B-4F06-9FBE-96E7C2E93D17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B4" i="1" s="1"/>
  <c r="N2" i="1" l="1"/>
  <c r="N3" i="1"/>
  <c r="Q3" i="1" s="1"/>
  <c r="N4" i="1"/>
  <c r="O4" i="1" s="1"/>
  <c r="R4" i="1" s="1"/>
  <c r="N5" i="1"/>
  <c r="N6" i="1"/>
  <c r="N7" i="1"/>
  <c r="Q7" i="1" s="1"/>
  <c r="N8" i="1"/>
  <c r="O8" i="1" s="1"/>
  <c r="R8" i="1" s="1"/>
  <c r="N9" i="1"/>
  <c r="N10" i="1"/>
  <c r="N11" i="1"/>
  <c r="Q11" i="1" s="1"/>
  <c r="N12" i="1"/>
  <c r="O12" i="1" s="1"/>
  <c r="N13" i="1"/>
  <c r="N14" i="1"/>
  <c r="Q14" i="1" s="1"/>
  <c r="N15" i="1"/>
  <c r="W15" i="1" s="1"/>
  <c r="N16" i="1"/>
  <c r="N17" i="1"/>
  <c r="N18" i="1"/>
  <c r="N19" i="1"/>
  <c r="O19" i="1" s="1"/>
  <c r="N20" i="1"/>
  <c r="N21" i="1"/>
  <c r="N22" i="1"/>
  <c r="N23" i="1"/>
  <c r="W23" i="1" s="1"/>
  <c r="R23" i="1"/>
  <c r="N24" i="1"/>
  <c r="N25" i="1"/>
  <c r="N26" i="1"/>
  <c r="Q26" i="1" s="1"/>
  <c r="N27" i="1"/>
  <c r="O27" i="1" s="1"/>
  <c r="R27" i="1" s="1"/>
  <c r="N28" i="1"/>
  <c r="N29" i="1"/>
  <c r="N30" i="1"/>
  <c r="N31" i="1"/>
  <c r="O31" i="1" s="1"/>
  <c r="N32" i="1"/>
  <c r="N33" i="1"/>
  <c r="N34" i="1"/>
  <c r="N35" i="1"/>
  <c r="W35" i="1" s="1"/>
  <c r="N36" i="1"/>
  <c r="N37" i="1"/>
  <c r="N38" i="1"/>
  <c r="N39" i="1"/>
  <c r="W39" i="1" s="1"/>
  <c r="N40" i="1"/>
  <c r="N41" i="1"/>
  <c r="N42" i="1"/>
  <c r="N43" i="1"/>
  <c r="W43" i="1" s="1"/>
  <c r="N44" i="1"/>
  <c r="N45" i="1"/>
  <c r="N46" i="1"/>
  <c r="N47" i="1"/>
  <c r="W47" i="1" s="1"/>
  <c r="N48" i="1"/>
  <c r="N49" i="1"/>
  <c r="N50" i="1"/>
  <c r="N51" i="1"/>
  <c r="W51" i="1" s="1"/>
  <c r="N52" i="1"/>
  <c r="W52" i="1" s="1"/>
  <c r="N53" i="1"/>
  <c r="N54" i="1"/>
  <c r="R54" i="1" s="1"/>
  <c r="N55" i="1"/>
  <c r="O55" i="1" s="1"/>
  <c r="N56" i="1"/>
  <c r="W56" i="1" s="1"/>
  <c r="N57" i="1"/>
  <c r="N58" i="1"/>
  <c r="R58" i="1"/>
  <c r="N59" i="1"/>
  <c r="W59" i="1" s="1"/>
  <c r="N60" i="1"/>
  <c r="W60" i="1" s="1"/>
  <c r="N61" i="1"/>
  <c r="N62" i="1"/>
  <c r="R62" i="1"/>
  <c r="N63" i="1"/>
  <c r="W63" i="1" s="1"/>
  <c r="N64" i="1"/>
  <c r="W64" i="1" s="1"/>
  <c r="N65" i="1"/>
  <c r="N66" i="1"/>
  <c r="R66" i="1"/>
  <c r="N67" i="1"/>
  <c r="W67" i="1" s="1"/>
  <c r="N68" i="1"/>
  <c r="W68" i="1" s="1"/>
  <c r="N69" i="1"/>
  <c r="N70" i="1"/>
  <c r="O70" i="1"/>
  <c r="R70" i="1"/>
  <c r="N71" i="1"/>
  <c r="W71" i="1" s="1"/>
  <c r="O71" i="1"/>
  <c r="N72" i="1"/>
  <c r="N73" i="1"/>
  <c r="O73" i="1" s="1"/>
  <c r="N74" i="1"/>
  <c r="O74" i="1"/>
  <c r="R74" i="1"/>
  <c r="N75" i="1"/>
  <c r="W75" i="1" s="1"/>
  <c r="O75" i="1"/>
  <c r="P75" i="1"/>
  <c r="S75" i="1" s="1"/>
  <c r="N76" i="1"/>
  <c r="W76" i="1" s="1"/>
  <c r="O76" i="1"/>
  <c r="N77" i="1"/>
  <c r="N78" i="1"/>
  <c r="O78" i="1" s="1"/>
  <c r="N79" i="1"/>
  <c r="W79" i="1" s="1"/>
  <c r="N80" i="1"/>
  <c r="W80" i="1" s="1"/>
  <c r="N81" i="1"/>
  <c r="O81" i="1"/>
  <c r="Q81" i="1"/>
  <c r="N82" i="1"/>
  <c r="N83" i="1"/>
  <c r="W83" i="1" s="1"/>
  <c r="R83" i="1"/>
  <c r="N84" i="1"/>
  <c r="W84" i="1" s="1"/>
  <c r="N85" i="1"/>
  <c r="Q85" i="1" s="1"/>
  <c r="O85" i="1"/>
  <c r="N86" i="1"/>
  <c r="R86" i="1" s="1"/>
  <c r="O86" i="1"/>
  <c r="N87" i="1"/>
  <c r="W87" i="1" s="1"/>
  <c r="N88" i="1"/>
  <c r="W88" i="1" s="1"/>
  <c r="N89" i="1"/>
  <c r="O89" i="1"/>
  <c r="N90" i="1"/>
  <c r="R90" i="1" s="1"/>
  <c r="O90" i="1"/>
  <c r="N91" i="1"/>
  <c r="W91" i="1" s="1"/>
  <c r="O91" i="1"/>
  <c r="P91" i="1"/>
  <c r="S91" i="1" s="1"/>
  <c r="Q91" i="1"/>
  <c r="R91" i="1"/>
  <c r="N92" i="1"/>
  <c r="W92" i="1" s="1"/>
  <c r="O92" i="1"/>
  <c r="N93" i="1"/>
  <c r="O93" i="1" s="1"/>
  <c r="N94" i="1"/>
  <c r="O94" i="1"/>
  <c r="N95" i="1"/>
  <c r="W95" i="1" s="1"/>
  <c r="O95" i="1"/>
  <c r="N96" i="1"/>
  <c r="W96" i="1" s="1"/>
  <c r="O96" i="1"/>
  <c r="N97" i="1"/>
  <c r="O97" i="1" s="1"/>
  <c r="N98" i="1"/>
  <c r="O98" i="1" s="1"/>
  <c r="N99" i="1"/>
  <c r="W99" i="1" s="1"/>
  <c r="O99" i="1"/>
  <c r="N100" i="1"/>
  <c r="N101" i="1"/>
  <c r="O101" i="1" s="1"/>
  <c r="R98" i="1" l="1"/>
  <c r="O88" i="1"/>
  <c r="R79" i="1"/>
  <c r="R71" i="1"/>
  <c r="Q101" i="1"/>
  <c r="Q97" i="1"/>
  <c r="P79" i="1"/>
  <c r="S79" i="1" s="1"/>
  <c r="T79" i="1" s="1"/>
  <c r="X79" i="1" s="1"/>
  <c r="Q71" i="1"/>
  <c r="T71" i="1" s="1"/>
  <c r="Q79" i="1"/>
  <c r="Q93" i="1"/>
  <c r="O79" i="1"/>
  <c r="P71" i="1"/>
  <c r="S71" i="1" s="1"/>
  <c r="O34" i="1"/>
  <c r="W34" i="1"/>
  <c r="P77" i="1"/>
  <c r="S77" i="1" s="1"/>
  <c r="W77" i="1"/>
  <c r="O69" i="1"/>
  <c r="W69" i="1"/>
  <c r="O50" i="1"/>
  <c r="W50" i="1"/>
  <c r="O30" i="1"/>
  <c r="W30" i="1"/>
  <c r="O49" i="1"/>
  <c r="W49" i="1"/>
  <c r="O37" i="1"/>
  <c r="W37" i="1"/>
  <c r="O21" i="1"/>
  <c r="W21" i="1"/>
  <c r="O14" i="1"/>
  <c r="W14" i="1"/>
  <c r="P32" i="1"/>
  <c r="S32" i="1" s="1"/>
  <c r="P20" i="1"/>
  <c r="S20" i="1" s="1"/>
  <c r="W20" i="1"/>
  <c r="P16" i="1"/>
  <c r="W16" i="1"/>
  <c r="O13" i="1"/>
  <c r="W13" i="1"/>
  <c r="R95" i="1"/>
  <c r="Q83" i="1"/>
  <c r="P74" i="1"/>
  <c r="S74" i="1" s="1"/>
  <c r="W74" i="1"/>
  <c r="R67" i="1"/>
  <c r="R63" i="1"/>
  <c r="R59" i="1"/>
  <c r="R55" i="1"/>
  <c r="R51" i="1"/>
  <c r="P48" i="1"/>
  <c r="S48" i="1" s="1"/>
  <c r="W48" i="1"/>
  <c r="P44" i="1"/>
  <c r="S44" i="1" s="1"/>
  <c r="W44" i="1"/>
  <c r="P40" i="1"/>
  <c r="W40" i="1"/>
  <c r="P36" i="1"/>
  <c r="S36" i="1" s="1"/>
  <c r="W36" i="1"/>
  <c r="P101" i="1"/>
  <c r="S101" i="1" s="1"/>
  <c r="T101" i="1" s="1"/>
  <c r="X101" i="1" s="1"/>
  <c r="W101" i="1"/>
  <c r="Q95" i="1"/>
  <c r="P86" i="1"/>
  <c r="S86" i="1" s="1"/>
  <c r="W86" i="1"/>
  <c r="P83" i="1"/>
  <c r="S83" i="1" s="1"/>
  <c r="P81" i="1"/>
  <c r="W81" i="1"/>
  <c r="R78" i="1"/>
  <c r="R75" i="1"/>
  <c r="Q73" i="1"/>
  <c r="P67" i="1"/>
  <c r="P63" i="1"/>
  <c r="P59" i="1"/>
  <c r="S59" i="1" s="1"/>
  <c r="P55" i="1"/>
  <c r="S55" i="1" s="1"/>
  <c r="P51" i="1"/>
  <c r="S51" i="1" s="1"/>
  <c r="R47" i="1"/>
  <c r="R43" i="1"/>
  <c r="R39" i="1"/>
  <c r="R35" i="1"/>
  <c r="R31" i="1"/>
  <c r="P27" i="1"/>
  <c r="S27" i="1" s="1"/>
  <c r="P23" i="1"/>
  <c r="R19" i="1"/>
  <c r="R15" i="1"/>
  <c r="O61" i="1"/>
  <c r="W61" i="1"/>
  <c r="O53" i="1"/>
  <c r="W53" i="1"/>
  <c r="O42" i="1"/>
  <c r="W42" i="1"/>
  <c r="O25" i="1"/>
  <c r="W25" i="1"/>
  <c r="P94" i="1"/>
  <c r="S94" i="1" s="1"/>
  <c r="W94" i="1"/>
  <c r="P89" i="1"/>
  <c r="W89" i="1"/>
  <c r="O45" i="1"/>
  <c r="W45" i="1"/>
  <c r="P24" i="1"/>
  <c r="S24" i="1" s="1"/>
  <c r="W24" i="1"/>
  <c r="O17" i="1"/>
  <c r="W17" i="1"/>
  <c r="P28" i="1"/>
  <c r="O100" i="1"/>
  <c r="W100" i="1"/>
  <c r="P98" i="1"/>
  <c r="S98" i="1" s="1"/>
  <c r="W98" i="1"/>
  <c r="P95" i="1"/>
  <c r="S95" i="1" s="1"/>
  <c r="P93" i="1"/>
  <c r="S93" i="1" s="1"/>
  <c r="T93" i="1" s="1"/>
  <c r="W93" i="1"/>
  <c r="R87" i="1"/>
  <c r="O83" i="1"/>
  <c r="O80" i="1"/>
  <c r="Q75" i="1"/>
  <c r="O67" i="1"/>
  <c r="O63" i="1"/>
  <c r="O59" i="1"/>
  <c r="O51" i="1"/>
  <c r="P47" i="1"/>
  <c r="P43" i="1"/>
  <c r="S43" i="1" s="1"/>
  <c r="P39" i="1"/>
  <c r="S39" i="1" s="1"/>
  <c r="P35" i="1"/>
  <c r="S35" i="1" s="1"/>
  <c r="P31" i="1"/>
  <c r="S31" i="1" s="1"/>
  <c r="O23" i="1"/>
  <c r="P19" i="1"/>
  <c r="S19" i="1" s="1"/>
  <c r="P15" i="1"/>
  <c r="Q12" i="1"/>
  <c r="W12" i="1"/>
  <c r="P82" i="1"/>
  <c r="S82" i="1" s="1"/>
  <c r="W82" i="1"/>
  <c r="O65" i="1"/>
  <c r="W65" i="1"/>
  <c r="O41" i="1"/>
  <c r="W41" i="1"/>
  <c r="Q87" i="1"/>
  <c r="P78" i="1"/>
  <c r="S78" i="1" s="1"/>
  <c r="W78" i="1"/>
  <c r="T75" i="1"/>
  <c r="U75" i="1" s="1"/>
  <c r="P73" i="1"/>
  <c r="S73" i="1" s="1"/>
  <c r="W73" i="1"/>
  <c r="W55" i="1"/>
  <c r="O47" i="1"/>
  <c r="O43" i="1"/>
  <c r="O39" i="1"/>
  <c r="O35" i="1"/>
  <c r="W27" i="1"/>
  <c r="O15" i="1"/>
  <c r="O57" i="1"/>
  <c r="W57" i="1"/>
  <c r="O46" i="1"/>
  <c r="W46" i="1"/>
  <c r="O38" i="1"/>
  <c r="W38" i="1"/>
  <c r="O22" i="1"/>
  <c r="W22" i="1"/>
  <c r="O29" i="1"/>
  <c r="W29" i="1" s="1"/>
  <c r="Q99" i="1"/>
  <c r="P90" i="1"/>
  <c r="S90" i="1" s="1"/>
  <c r="W90" i="1"/>
  <c r="P87" i="1"/>
  <c r="S87" i="1" s="1"/>
  <c r="T87" i="1" s="1"/>
  <c r="X87" i="1" s="1"/>
  <c r="O72" i="1"/>
  <c r="W72" i="1"/>
  <c r="R50" i="1"/>
  <c r="W31" i="1"/>
  <c r="R22" i="1"/>
  <c r="W19" i="1"/>
  <c r="O11" i="1"/>
  <c r="W11" i="1"/>
  <c r="O18" i="1"/>
  <c r="W18" i="1" s="1"/>
  <c r="O33" i="1"/>
  <c r="W33" i="1"/>
  <c r="R99" i="1"/>
  <c r="P85" i="1"/>
  <c r="W85" i="1"/>
  <c r="R82" i="1"/>
  <c r="Q77" i="1"/>
  <c r="P99" i="1"/>
  <c r="S99" i="1" s="1"/>
  <c r="P97" i="1"/>
  <c r="S97" i="1" s="1"/>
  <c r="T97" i="1" s="1"/>
  <c r="W97" i="1"/>
  <c r="R94" i="1"/>
  <c r="Q89" i="1"/>
  <c r="O87" i="1"/>
  <c r="O84" i="1"/>
  <c r="O82" i="1"/>
  <c r="O77" i="1"/>
  <c r="P70" i="1"/>
  <c r="S70" i="1" s="1"/>
  <c r="W70" i="1"/>
  <c r="O66" i="1"/>
  <c r="W66" i="1"/>
  <c r="O62" i="1"/>
  <c r="W62" i="1"/>
  <c r="O58" i="1"/>
  <c r="W58" i="1"/>
  <c r="O54" i="1"/>
  <c r="W54" i="1"/>
  <c r="Q50" i="1"/>
  <c r="R46" i="1"/>
  <c r="R42" i="1"/>
  <c r="R38" i="1"/>
  <c r="R34" i="1"/>
  <c r="R30" i="1"/>
  <c r="O26" i="1"/>
  <c r="W26" i="1" s="1"/>
  <c r="Q22" i="1"/>
  <c r="Q18" i="1"/>
  <c r="R14" i="1"/>
  <c r="O10" i="1"/>
  <c r="W10" i="1"/>
  <c r="O6" i="1"/>
  <c r="W6" i="1" s="1"/>
  <c r="P5" i="1"/>
  <c r="O7" i="1"/>
  <c r="W7" i="1" s="1"/>
  <c r="P9" i="1"/>
  <c r="S9" i="1" s="1"/>
  <c r="P8" i="1"/>
  <c r="S8" i="1" s="1"/>
  <c r="P4" i="1"/>
  <c r="S4" i="1" s="1"/>
  <c r="W8" i="1"/>
  <c r="W4" i="1"/>
  <c r="O3" i="1"/>
  <c r="R3" i="1" s="1"/>
  <c r="O2" i="1"/>
  <c r="W2" i="1" s="1"/>
  <c r="S47" i="1"/>
  <c r="S15" i="1"/>
  <c r="T91" i="1"/>
  <c r="X91" i="1" s="1"/>
  <c r="S23" i="1"/>
  <c r="T99" i="1"/>
  <c r="U99" i="1" s="1"/>
  <c r="T83" i="1"/>
  <c r="X83" i="1" s="1"/>
  <c r="Q100" i="1"/>
  <c r="S67" i="1"/>
  <c r="P64" i="1"/>
  <c r="S64" i="1" s="1"/>
  <c r="T64" i="1" s="1"/>
  <c r="Q64" i="1"/>
  <c r="R64" i="1"/>
  <c r="O64" i="1"/>
  <c r="P72" i="1"/>
  <c r="S72" i="1" s="1"/>
  <c r="Q72" i="1"/>
  <c r="R72" i="1"/>
  <c r="P56" i="1"/>
  <c r="S56" i="1" s="1"/>
  <c r="Q56" i="1"/>
  <c r="R56" i="1"/>
  <c r="O56" i="1"/>
  <c r="P68" i="1"/>
  <c r="Q68" i="1"/>
  <c r="R68" i="1"/>
  <c r="S68" i="1"/>
  <c r="O68" i="1"/>
  <c r="P100" i="1"/>
  <c r="S100" i="1" s="1"/>
  <c r="R100" i="1"/>
  <c r="R11" i="1"/>
  <c r="P96" i="1"/>
  <c r="S96" i="1" s="1"/>
  <c r="Q96" i="1"/>
  <c r="R96" i="1"/>
  <c r="P92" i="1"/>
  <c r="S92" i="1" s="1"/>
  <c r="Q92" i="1"/>
  <c r="R92" i="1"/>
  <c r="P88" i="1"/>
  <c r="S88" i="1" s="1"/>
  <c r="Q88" i="1"/>
  <c r="R88" i="1"/>
  <c r="P84" i="1"/>
  <c r="S84" i="1" s="1"/>
  <c r="Q84" i="1"/>
  <c r="R84" i="1"/>
  <c r="P80" i="1"/>
  <c r="S80" i="1" s="1"/>
  <c r="Q80" i="1"/>
  <c r="R80" i="1"/>
  <c r="P76" i="1"/>
  <c r="S76" i="1" s="1"/>
  <c r="Q76" i="1"/>
  <c r="R76" i="1"/>
  <c r="S63" i="1"/>
  <c r="P60" i="1"/>
  <c r="S60" i="1" s="1"/>
  <c r="Q60" i="1"/>
  <c r="R60" i="1"/>
  <c r="O60" i="1"/>
  <c r="U87" i="1"/>
  <c r="U79" i="1"/>
  <c r="P52" i="1"/>
  <c r="S52" i="1" s="1"/>
  <c r="Q52" i="1"/>
  <c r="R52" i="1"/>
  <c r="O52" i="1"/>
  <c r="Q67" i="1"/>
  <c r="Q63" i="1"/>
  <c r="Q59" i="1"/>
  <c r="Q55" i="1"/>
  <c r="Q51" i="1"/>
  <c r="O48" i="1"/>
  <c r="Q47" i="1"/>
  <c r="T47" i="1" s="1"/>
  <c r="O44" i="1"/>
  <c r="Q43" i="1"/>
  <c r="O40" i="1"/>
  <c r="Q39" i="1"/>
  <c r="O36" i="1"/>
  <c r="Q35" i="1"/>
  <c r="O32" i="1"/>
  <c r="W32" i="1" s="1"/>
  <c r="Q31" i="1"/>
  <c r="O28" i="1"/>
  <c r="W28" i="1" s="1"/>
  <c r="Q27" i="1"/>
  <c r="O24" i="1"/>
  <c r="Q23" i="1"/>
  <c r="O20" i="1"/>
  <c r="Q19" i="1"/>
  <c r="O16" i="1"/>
  <c r="Q15" i="1"/>
  <c r="P12" i="1"/>
  <c r="S12" i="1" s="1"/>
  <c r="T12" i="1" s="1"/>
  <c r="O9" i="1"/>
  <c r="R9" i="1" s="1"/>
  <c r="Q8" i="1"/>
  <c r="O5" i="1"/>
  <c r="W5" i="1" s="1"/>
  <c r="Q4" i="1"/>
  <c r="Q98" i="1"/>
  <c r="Q94" i="1"/>
  <c r="T94" i="1" s="1"/>
  <c r="Q90" i="1"/>
  <c r="T90" i="1" s="1"/>
  <c r="S89" i="1"/>
  <c r="T89" i="1" s="1"/>
  <c r="Q86" i="1"/>
  <c r="T86" i="1" s="1"/>
  <c r="S85" i="1"/>
  <c r="T85" i="1" s="1"/>
  <c r="Q82" i="1"/>
  <c r="T82" i="1" s="1"/>
  <c r="S81" i="1"/>
  <c r="T81" i="1" s="1"/>
  <c r="Q78" i="1"/>
  <c r="Q74" i="1"/>
  <c r="T74" i="1" s="1"/>
  <c r="Q70" i="1"/>
  <c r="Q66" i="1"/>
  <c r="Q62" i="1"/>
  <c r="Q58" i="1"/>
  <c r="Q54" i="1"/>
  <c r="Q46" i="1"/>
  <c r="Q42" i="1"/>
  <c r="Q38" i="1"/>
  <c r="Q34" i="1"/>
  <c r="Q30" i="1"/>
  <c r="R101" i="1"/>
  <c r="R97" i="1"/>
  <c r="R93" i="1"/>
  <c r="R89" i="1"/>
  <c r="R85" i="1"/>
  <c r="R81" i="1"/>
  <c r="R77" i="1"/>
  <c r="R73" i="1"/>
  <c r="R69" i="1"/>
  <c r="P66" i="1"/>
  <c r="S66" i="1" s="1"/>
  <c r="R65" i="1"/>
  <c r="P62" i="1"/>
  <c r="S62" i="1" s="1"/>
  <c r="R61" i="1"/>
  <c r="P58" i="1"/>
  <c r="S58" i="1" s="1"/>
  <c r="R57" i="1"/>
  <c r="P54" i="1"/>
  <c r="S54" i="1" s="1"/>
  <c r="R53" i="1"/>
  <c r="P50" i="1"/>
  <c r="S50" i="1" s="1"/>
  <c r="T50" i="1" s="1"/>
  <c r="R49" i="1"/>
  <c r="P46" i="1"/>
  <c r="S46" i="1" s="1"/>
  <c r="R45" i="1"/>
  <c r="P42" i="1"/>
  <c r="S42" i="1" s="1"/>
  <c r="R41" i="1"/>
  <c r="P38" i="1"/>
  <c r="S38" i="1" s="1"/>
  <c r="T38" i="1" s="1"/>
  <c r="R37" i="1"/>
  <c r="P34" i="1"/>
  <c r="S34" i="1" s="1"/>
  <c r="R33" i="1"/>
  <c r="P30" i="1"/>
  <c r="S30" i="1" s="1"/>
  <c r="P26" i="1"/>
  <c r="S26" i="1" s="1"/>
  <c r="T26" i="1" s="1"/>
  <c r="R25" i="1"/>
  <c r="P22" i="1"/>
  <c r="S22" i="1" s="1"/>
  <c r="R21" i="1"/>
  <c r="P18" i="1"/>
  <c r="S18" i="1" s="1"/>
  <c r="R17" i="1"/>
  <c r="P14" i="1"/>
  <c r="S14" i="1" s="1"/>
  <c r="T14" i="1" s="1"/>
  <c r="R13" i="1"/>
  <c r="P11" i="1"/>
  <c r="S11" i="1" s="1"/>
  <c r="T11" i="1" s="1"/>
  <c r="R10" i="1"/>
  <c r="P7" i="1"/>
  <c r="S7" i="1" s="1"/>
  <c r="T7" i="1" s="1"/>
  <c r="P3" i="1"/>
  <c r="S3" i="1" s="1"/>
  <c r="T3" i="1" s="1"/>
  <c r="Q69" i="1"/>
  <c r="Q65" i="1"/>
  <c r="Q61" i="1"/>
  <c r="Q57" i="1"/>
  <c r="Q53" i="1"/>
  <c r="Q49" i="1"/>
  <c r="Q45" i="1"/>
  <c r="Q41" i="1"/>
  <c r="S40" i="1"/>
  <c r="Q37" i="1"/>
  <c r="Q33" i="1"/>
  <c r="Q29" i="1"/>
  <c r="S28" i="1"/>
  <c r="Q25" i="1"/>
  <c r="Q21" i="1"/>
  <c r="Q17" i="1"/>
  <c r="S16" i="1"/>
  <c r="Q13" i="1"/>
  <c r="Q10" i="1"/>
  <c r="Q6" i="1"/>
  <c r="S5" i="1"/>
  <c r="Q2" i="1"/>
  <c r="P69" i="1"/>
  <c r="S69" i="1" s="1"/>
  <c r="P65" i="1"/>
  <c r="S65" i="1" s="1"/>
  <c r="P61" i="1"/>
  <c r="S61" i="1" s="1"/>
  <c r="P57" i="1"/>
  <c r="S57" i="1" s="1"/>
  <c r="T57" i="1" s="1"/>
  <c r="P53" i="1"/>
  <c r="S53" i="1" s="1"/>
  <c r="P49" i="1"/>
  <c r="S49" i="1" s="1"/>
  <c r="R48" i="1"/>
  <c r="P45" i="1"/>
  <c r="S45" i="1" s="1"/>
  <c r="R44" i="1"/>
  <c r="P41" i="1"/>
  <c r="S41" i="1" s="1"/>
  <c r="R40" i="1"/>
  <c r="P37" i="1"/>
  <c r="S37" i="1" s="1"/>
  <c r="T37" i="1" s="1"/>
  <c r="R36" i="1"/>
  <c r="P33" i="1"/>
  <c r="S33" i="1" s="1"/>
  <c r="R32" i="1"/>
  <c r="P29" i="1"/>
  <c r="S29" i="1" s="1"/>
  <c r="P25" i="1"/>
  <c r="S25" i="1" s="1"/>
  <c r="R24" i="1"/>
  <c r="P21" i="1"/>
  <c r="S21" i="1" s="1"/>
  <c r="R20" i="1"/>
  <c r="P17" i="1"/>
  <c r="S17" i="1" s="1"/>
  <c r="R16" i="1"/>
  <c r="P13" i="1"/>
  <c r="S13" i="1" s="1"/>
  <c r="P10" i="1"/>
  <c r="S10" i="1" s="1"/>
  <c r="P6" i="1"/>
  <c r="S6" i="1" s="1"/>
  <c r="P2" i="1"/>
  <c r="S2" i="1" s="1"/>
  <c r="Q48" i="1"/>
  <c r="Q44" i="1"/>
  <c r="Q40" i="1"/>
  <c r="Q36" i="1"/>
  <c r="Q32" i="1"/>
  <c r="Q28" i="1"/>
  <c r="Q24" i="1"/>
  <c r="Q20" i="1"/>
  <c r="Q16" i="1"/>
  <c r="R12" i="1"/>
  <c r="Q9" i="1"/>
  <c r="Q5" i="1"/>
  <c r="T22" i="1" l="1"/>
  <c r="T23" i="1"/>
  <c r="R7" i="1"/>
  <c r="U71" i="1"/>
  <c r="X71" i="1"/>
  <c r="T39" i="1"/>
  <c r="U83" i="1"/>
  <c r="T100" i="1"/>
  <c r="U101" i="1"/>
  <c r="T59" i="1"/>
  <c r="T58" i="1"/>
  <c r="X58" i="1" s="1"/>
  <c r="T27" i="1"/>
  <c r="X27" i="1" s="1"/>
  <c r="T41" i="1"/>
  <c r="T65" i="1"/>
  <c r="T25" i="1"/>
  <c r="X25" i="1" s="1"/>
  <c r="T69" i="1"/>
  <c r="X69" i="1" s="1"/>
  <c r="R26" i="1"/>
  <c r="U26" i="1" s="1"/>
  <c r="T55" i="1"/>
  <c r="U55" i="1" s="1"/>
  <c r="T43" i="1"/>
  <c r="U43" i="1" s="1"/>
  <c r="T10" i="1"/>
  <c r="T29" i="1"/>
  <c r="X29" i="1" s="1"/>
  <c r="T45" i="1"/>
  <c r="T78" i="1"/>
  <c r="U78" i="1" s="1"/>
  <c r="T73" i="1"/>
  <c r="U73" i="1" s="1"/>
  <c r="T95" i="1"/>
  <c r="R29" i="1"/>
  <c r="U91" i="1"/>
  <c r="T70" i="1"/>
  <c r="U70" i="1" s="1"/>
  <c r="T15" i="1"/>
  <c r="T31" i="1"/>
  <c r="T49" i="1"/>
  <c r="X49" i="1" s="1"/>
  <c r="T34" i="1"/>
  <c r="U34" i="1" s="1"/>
  <c r="T66" i="1"/>
  <c r="U66" i="1" s="1"/>
  <c r="T33" i="1"/>
  <c r="U33" i="1" s="1"/>
  <c r="T30" i="1"/>
  <c r="X30" i="1" s="1"/>
  <c r="T77" i="1"/>
  <c r="X77" i="1" s="1"/>
  <c r="T18" i="1"/>
  <c r="T21" i="1"/>
  <c r="X21" i="1" s="1"/>
  <c r="T61" i="1"/>
  <c r="X61" i="1" s="1"/>
  <c r="T98" i="1"/>
  <c r="U98" i="1" s="1"/>
  <c r="T19" i="1"/>
  <c r="U19" i="1" s="1"/>
  <c r="T35" i="1"/>
  <c r="U35" i="1" s="1"/>
  <c r="R18" i="1"/>
  <c r="X75" i="1"/>
  <c r="W9" i="1"/>
  <c r="R5" i="1"/>
  <c r="R6" i="1"/>
  <c r="W3" i="1"/>
  <c r="X3" i="1" s="1"/>
  <c r="T8" i="1"/>
  <c r="U8" i="1" s="1"/>
  <c r="R2" i="1"/>
  <c r="T4" i="1"/>
  <c r="U4" i="1" s="1"/>
  <c r="X99" i="1"/>
  <c r="T72" i="1"/>
  <c r="T84" i="1"/>
  <c r="T17" i="1"/>
  <c r="X17" i="1" s="1"/>
  <c r="T42" i="1"/>
  <c r="U42" i="1" s="1"/>
  <c r="T16" i="1"/>
  <c r="X16" i="1" s="1"/>
  <c r="T32" i="1"/>
  <c r="U32" i="1" s="1"/>
  <c r="T48" i="1"/>
  <c r="U48" i="1" s="1"/>
  <c r="T56" i="1"/>
  <c r="U56" i="1" s="1"/>
  <c r="T46" i="1"/>
  <c r="T60" i="1"/>
  <c r="X60" i="1" s="1"/>
  <c r="T92" i="1"/>
  <c r="X92" i="1" s="1"/>
  <c r="T52" i="1"/>
  <c r="X52" i="1" s="1"/>
  <c r="T13" i="1"/>
  <c r="X13" i="1" s="1"/>
  <c r="T24" i="1"/>
  <c r="U24" i="1" s="1"/>
  <c r="T40" i="1"/>
  <c r="U40" i="1" s="1"/>
  <c r="T96" i="1"/>
  <c r="U96" i="1" s="1"/>
  <c r="T53" i="1"/>
  <c r="T9" i="1"/>
  <c r="U9" i="1" s="1"/>
  <c r="T54" i="1"/>
  <c r="U54" i="1" s="1"/>
  <c r="T76" i="1"/>
  <c r="U76" i="1" s="1"/>
  <c r="T2" i="1"/>
  <c r="U94" i="1"/>
  <c r="X94" i="1"/>
  <c r="U12" i="1"/>
  <c r="X12" i="1"/>
  <c r="U27" i="1"/>
  <c r="U72" i="1"/>
  <c r="X72" i="1"/>
  <c r="U22" i="1"/>
  <c r="X22" i="1"/>
  <c r="U15" i="1"/>
  <c r="X15" i="1"/>
  <c r="X53" i="1"/>
  <c r="U53" i="1"/>
  <c r="U38" i="1"/>
  <c r="X38" i="1"/>
  <c r="X54" i="1"/>
  <c r="U82" i="1"/>
  <c r="X82" i="1"/>
  <c r="U31" i="1"/>
  <c r="X31" i="1"/>
  <c r="U47" i="1"/>
  <c r="X47" i="1"/>
  <c r="X57" i="1"/>
  <c r="U57" i="1"/>
  <c r="U11" i="1"/>
  <c r="X11" i="1"/>
  <c r="X26" i="1"/>
  <c r="U61" i="1"/>
  <c r="X42" i="1"/>
  <c r="U58" i="1"/>
  <c r="X70" i="1"/>
  <c r="U86" i="1"/>
  <c r="X86" i="1"/>
  <c r="X19" i="1"/>
  <c r="X41" i="1"/>
  <c r="U41" i="1"/>
  <c r="X65" i="1"/>
  <c r="U65" i="1"/>
  <c r="U3" i="1"/>
  <c r="U14" i="1"/>
  <c r="X14" i="1"/>
  <c r="U25" i="1"/>
  <c r="U69" i="1"/>
  <c r="U46" i="1"/>
  <c r="X46" i="1"/>
  <c r="U74" i="1"/>
  <c r="X74" i="1"/>
  <c r="U90" i="1"/>
  <c r="X90" i="1"/>
  <c r="U23" i="1"/>
  <c r="X23" i="1"/>
  <c r="U39" i="1"/>
  <c r="X39" i="1"/>
  <c r="U60" i="1"/>
  <c r="U29" i="1"/>
  <c r="X45" i="1"/>
  <c r="U45" i="1"/>
  <c r="T20" i="1"/>
  <c r="T36" i="1"/>
  <c r="T62" i="1"/>
  <c r="X100" i="1"/>
  <c r="U100" i="1"/>
  <c r="U92" i="1"/>
  <c r="T5" i="1"/>
  <c r="X89" i="1"/>
  <c r="U89" i="1"/>
  <c r="X55" i="1"/>
  <c r="T63" i="1"/>
  <c r="X37" i="1"/>
  <c r="U37" i="1"/>
  <c r="U7" i="1"/>
  <c r="X7" i="1"/>
  <c r="U18" i="1"/>
  <c r="X18" i="1"/>
  <c r="U50" i="1"/>
  <c r="X50" i="1"/>
  <c r="U84" i="1"/>
  <c r="X84" i="1"/>
  <c r="U64" i="1"/>
  <c r="X64" i="1"/>
  <c r="X93" i="1"/>
  <c r="U93" i="1"/>
  <c r="T51" i="1"/>
  <c r="T6" i="1"/>
  <c r="T28" i="1"/>
  <c r="T44" i="1"/>
  <c r="T68" i="1"/>
  <c r="X81" i="1"/>
  <c r="U81" i="1"/>
  <c r="U97" i="1"/>
  <c r="X97" i="1"/>
  <c r="T88" i="1"/>
  <c r="X10" i="1"/>
  <c r="U10" i="1"/>
  <c r="U59" i="1"/>
  <c r="X59" i="1"/>
  <c r="T67" i="1"/>
  <c r="R28" i="1"/>
  <c r="X85" i="1"/>
  <c r="U85" i="1"/>
  <c r="T80" i="1"/>
  <c r="U21" i="1" l="1"/>
  <c r="X34" i="1"/>
  <c r="X32" i="1"/>
  <c r="X35" i="1"/>
  <c r="X33" i="1"/>
  <c r="X98" i="1"/>
  <c r="X24" i="1"/>
  <c r="X73" i="1"/>
  <c r="U30" i="1"/>
  <c r="X43" i="1"/>
  <c r="X78" i="1"/>
  <c r="X48" i="1"/>
  <c r="X66" i="1"/>
  <c r="U17" i="1"/>
  <c r="U49" i="1"/>
  <c r="U77" i="1"/>
  <c r="X56" i="1"/>
  <c r="X96" i="1"/>
  <c r="X95" i="1"/>
  <c r="U95" i="1"/>
  <c r="X8" i="1"/>
  <c r="X4" i="1"/>
  <c r="U2" i="1"/>
  <c r="X9" i="1"/>
  <c r="U16" i="1"/>
  <c r="X76" i="1"/>
  <c r="X2" i="1"/>
  <c r="U13" i="1"/>
  <c r="X40" i="1"/>
  <c r="U52" i="1"/>
  <c r="U5" i="1"/>
  <c r="X5" i="1"/>
  <c r="X6" i="1"/>
  <c r="U6" i="1"/>
  <c r="U63" i="1"/>
  <c r="X63" i="1"/>
  <c r="U67" i="1"/>
  <c r="X67" i="1"/>
  <c r="U68" i="1"/>
  <c r="X68" i="1"/>
  <c r="U51" i="1"/>
  <c r="X51" i="1"/>
  <c r="U88" i="1"/>
  <c r="X88" i="1"/>
  <c r="U44" i="1"/>
  <c r="X44" i="1"/>
  <c r="U62" i="1"/>
  <c r="X62" i="1"/>
  <c r="U80" i="1"/>
  <c r="X80" i="1"/>
  <c r="U28" i="1"/>
  <c r="X28" i="1"/>
  <c r="U36" i="1"/>
  <c r="X36" i="1"/>
  <c r="U20" i="1"/>
  <c r="X20" i="1"/>
  <c r="U103" i="1" l="1"/>
  <c r="B12" i="1" s="1"/>
  <c r="X103" i="1"/>
  <c r="B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<sst xmlns="http://schemas.openxmlformats.org/spreadsheetml/2006/main" count="40" uniqueCount="31">
  <si>
    <t>EXE_DIREC</t>
  </si>
  <si>
    <t>ST</t>
    <phoneticPr fontId="1"/>
  </si>
  <si>
    <t>ニーモニック</t>
    <phoneticPr fontId="1"/>
  </si>
  <si>
    <t>stM.udiErrNo</t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</si>
  <si>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</si>
  <si>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</si>
  <si>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</si>
  <si>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</si>
  <si>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</si>
  <si>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変数</t>
    <rPh sb="0" eb="2">
      <t>ヘンスウ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</si>
  <si>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</si>
  <si>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</si>
  <si>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</si>
  <si>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</si>
  <si>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</si>
  <si>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stEx100</t>
  </si>
  <si>
    <t>◆平板押え 上昇有無</t>
  </si>
  <si>
    <t>stEx101</t>
  </si>
  <si>
    <t>&gt;●平板押え 上昇</t>
  </si>
  <si>
    <t>stEx107</t>
  </si>
  <si>
    <t>&gt;●Xﾛｰﾙ押え 原点</t>
  </si>
  <si>
    <t>stEx102</t>
  </si>
  <si>
    <t>▼平板押え</t>
  </si>
  <si>
    <t>stEx103</t>
  </si>
  <si>
    <t>△●平板ｶｯﾄ押出し 退避</t>
  </si>
  <si>
    <t>stEx104</t>
  </si>
  <si>
    <t>△●平板ｶｯﾄ刃 ひらき</t>
  </si>
  <si>
    <t>stEx105</t>
  </si>
  <si>
    <t>△●平板ﾌﾟﾚｰｰﾄ 後退</t>
  </si>
  <si>
    <t>stEx106</t>
  </si>
  <si>
    <t>▽押出し +刃+ﾌﾟﾚｰﾄ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</si>
</sst>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dimension ref="A1:X103"/>
  <sheetViews>
    <sheetView tabSelected="1" workbookViewId="0">
      <pane ySplit="1" topLeftCell="A2" activePane="bottomLeft" state="frozen"/>
      <selection pane="bottomLeft" activeCell="B13" sqref="B13"/>
    </sheetView>
  </sheetViews>
  <sheetFormatPr defaultRowHeight="18" x14ac:dyDescent="0.55000000000000004"/>
  <cols>
    <col min="12" max="12" width="21.08203125" bestFit="1" customWidth="1"/>
    <col min="16" max="16" width="14.75" bestFit="1" customWidth="1"/>
    <col min="17" max="17" width="23.4140625" bestFit="1" customWidth="1"/>
    <col min="18" max="18" width="24" bestFit="1" customWidth="1"/>
    <col min="23" max="23" width="24" customWidth="1"/>
  </cols>
  <sheetData>
    <row r="1" spans="1:24" x14ac:dyDescent="0.55000000000000004">
      <c r="A1" t="s">
        <v>10</v>
      </c>
      <c r="E1" t="s">
        <v>9</v>
      </c>
      <c r="N1" t="s">
        <v>8</v>
      </c>
      <c r="O1" t="s">
        <v>7</v>
      </c>
      <c r="S1" t="s">
        <v>2</v>
      </c>
      <c r="X1" t="s">
        <v>1</v>
      </c>
    </row>
    <row r="2" spans="1:24" x14ac:dyDescent="0.55000000000000004">
      <c r="A2" t="s">
        <v>11</v>
      </c>
      <c r="B2" t="str" cm="1">
        <f t="array" aca="1" ref="B2" ca="1">CELL("filename")</f>
        <v>C:\tk\prj\hg-0025-0016\git\kv-x520\doc\[kv_script_exe_errno.xlsx]Sheet6</v>
      </c>
      <c r="D2">
        <v>0</v>
      </c>
      <c r="E2" t="s">
        <v>15</v>
      </c>
      <c r="F2" t="s">
        <v>0</v>
      </c>
      <c r="I2" t="b">
        <v>0</v>
      </c>
      <c r="J2" t="b">
        <v>0</v>
      </c>
      <c r="K2" t="b">
        <v>0</v>
      </c>
      <c r="L2" t="s">
        <v>16</v>
      </c>
      <c r="N2" t="str">
        <f t="shared" ref="N2:N33" si="0">IF(LEN(L2),IF(OR(COUNTIF(L2,"*◆*"),COUNTIF(L2,"*▼*")),"","●"),"")</f>
        <v/>
      </c>
      <c r="O2" t="str">
        <f>IF(N2="●",INT(MID(E2,5,3)),"")</f>
        <v/>
      </c>
      <c r="P2" t="str">
        <f>IF($N2="●","LDP "&amp;E2&amp;"."&amp;$B$8,"")</f>
        <v/>
      </c>
      <c r="Q2" t="str">
        <f>IF($N2="●","AND=.D "&amp;$B$9&amp;" #0","")</f>
        <v/>
      </c>
      <c r="R2" t="str">
        <f>IF($N2="●","MOV.D #"&amp;O2&amp;" "&amp;$B$9,"")</f>
        <v/>
      </c>
      <c r="S2" t="str">
        <f>IF(AND(D2&lt;&gt;0,N2="●"),CHAR(10),"")&amp;IF(LEN(P2),P2,"")</f>
        <v/>
      </c>
      <c r="T2" t="str">
        <f t="shared" ref="T2:T33" si="1">IF(LEN(S2),S2&amp;CHAR(10),"")&amp;IF(LEN(Q2),Q2,"")</f>
        <v/>
      </c>
      <c r="U2" t="str">
        <f t="shared" ref="U2:U33" si="2">IF(LEN(T2),T2&amp;CHAR(10),"")&amp;IF(LEN(R2),R2,"")</f>
        <v/>
      </c>
      <c r="W2" t="str">
        <f>IF($N2="●","BOX_ST"&amp;CHAR(10)&amp;";//"&amp;$B$4&amp;CHAR(10)&amp;";//エラーNo.を入れる"&amp;CHAR(10)&amp;";"&amp;$B$9&amp;"	:= "&amp;O2&amp;";"&amp;CHAR(10)&amp;";//"&amp;$B$5,"")</f>
        <v/>
      </c>
      <c r="X2" t="str">
        <f t="shared" ref="X2:X33" si="3">IF(LEN(T2),T2&amp;CHAR(10),"")&amp;IF(LEN(W2),W2,"")</f>
        <v/>
      </c>
    </row>
    <row r="3" spans="1:24" x14ac:dyDescent="0.55000000000000004">
      <c r="D3">
        <v>1</v>
      </c>
      <c r="E3" t="s">
        <v>17</v>
      </c>
      <c r="F3" t="s">
        <v>0</v>
      </c>
      <c r="I3" t="b">
        <v>0</v>
      </c>
      <c r="J3" t="b">
        <v>0</v>
      </c>
      <c r="K3" t="b">
        <v>0</v>
      </c>
      <c r="L3" t="s">
        <v>18</v>
      </c>
      <c r="N3" t="str">
        <f t="shared" si="0"/>
        <v>●</v>
      </c>
      <c r="O3">
        <f>IF(N3="●",INT(MID(E3,5,3)),"")</f>
        <v>101</v>
      </c>
      <c r="P3" t="str">
        <f>IF($N3="●","LDP "&amp;E3&amp;"."&amp;$B$8,"")</f>
        <v>LDP stEx101.x2</v>
      </c>
      <c r="Q3" t="str">
        <f>IF($N3="●","AND=.D "&amp;$B$9&amp;" #0","")</f>
        <v>AND=.D stM.udiErrNo #0</v>
      </c>
      <c r="R3" t="str">
        <f>IF($N3="●","MOV.D #"&amp;O3&amp;" "&amp;$B$9,"")</f>
        <v>MOV.D #101 stM.udiErrNo</v>
      </c>
      <c r="S3" t="str">
        <f>IF(AND(D3&lt;&gt;0,N3="●"),CHAR(10),"")&amp;IF(LEN(P3),P3,"")</f>
        <v xml:space="preserve">
LDP stEx101.x2</v>
      </c>
      <c r="T3" t="str">
        <f t="shared" si="1"/>
        <v xml:space="preserve">
LDP stEx101.x2
AND=.D stM.udiErrNo #0</v>
      </c>
      <c r="U3" t="str">
        <f t="shared" si="2"/>
        <v xml:space="preserve">
LDP stEx101.x2
AND=.D stM.udiErrNo #0
MOV.D #101 stM.udiErrNo</v>
      </c>
      <c r="W3" t="str">
        <f ca="1">IF($N3="●","BOX_ST"&amp;CHAR(10)&amp;";//"&amp;$B$4&amp;CHAR(10)&amp;";//エラーNo.を入れる"&amp;CHAR(10)&amp;";"&amp;$B$9&amp;"	:= "&amp;O3&amp;";"&amp;CHAR(10)&amp;";//"&amp;$B$5,"")</f>
        <v>BOX_ST
;//このスクリプトは C:\tk\prj\hg-0025-0016\git\kv-x520\doc\[kv_script_exe_errno.xlsx]Sheet6 によって生成されました。
;//エラーNo.を入れる
;stM.udiErrNo	:= 101;
;//-----ここまで生成script-----</v>
      </c>
      <c r="X3" t="str">
        <f t="shared" ca="1" si="3"/>
        <v xml:space="preserve">
LDP stEx101.x2
AND=.D stM.udiErrNo #0
BOX_ST
;//このスクリプトは C:\tk\prj\hg-0025-0016\git\kv-x520\doc\[kv_script_exe_errno.xlsx]Sheet6 によって生成されました。
;//エラーNo.を入れる
;stM.udiErrNo	:= 101;
;//-----ここまで生成script-----</v>
      </c>
    </row>
    <row r="4" spans="1:24" x14ac:dyDescent="0.55000000000000004">
      <c r="A4" t="s">
        <v>12</v>
      </c>
      <c r="B4" t="str">
        <f ca="1">"このスクリプトは "&amp;B2&amp;" によって生成されました。"</f>
        <v>このスクリプトは C:\tk\prj\hg-0025-0016\git\kv-x520\doc\[kv_script_exe_errno.xlsx]Sheet6 によって生成されました。</v>
      </c>
      <c r="D4">
        <v>2</v>
      </c>
      <c r="E4" t="s">
        <v>19</v>
      </c>
      <c r="F4" t="s">
        <v>0</v>
      </c>
      <c r="I4" t="b">
        <v>0</v>
      </c>
      <c r="J4" t="b">
        <v>0</v>
      </c>
      <c r="K4" t="b">
        <v>0</v>
      </c>
      <c r="L4" t="s">
        <v>20</v>
      </c>
      <c r="N4" t="str">
        <f t="shared" si="0"/>
        <v>●</v>
      </c>
      <c r="O4">
        <f>IF(N4="●",INT(MID(E4,5,3)),"")</f>
        <v>107</v>
      </c>
      <c r="P4" t="str">
        <f>IF($N4="●","LDP "&amp;E4&amp;"."&amp;$B$8,"")</f>
        <v>LDP stEx107.x2</v>
      </c>
      <c r="Q4" t="str">
        <f>IF($N4="●","AND=.D "&amp;$B$9&amp;" #0","")</f>
        <v>AND=.D stM.udiErrNo #0</v>
      </c>
      <c r="R4" t="str">
        <f>IF($N4="●","MOV.D #"&amp;O4&amp;" "&amp;$B$9,"")</f>
        <v>MOV.D #107 stM.udiErrNo</v>
      </c>
      <c r="S4" t="str">
        <f>IF(AND(D4&lt;&gt;0,N4="●"),CHAR(10),"")&amp;IF(LEN(P4),P4,"")</f>
        <v xml:space="preserve">
LDP stEx107.x2</v>
      </c>
      <c r="T4" t="str">
        <f t="shared" si="1"/>
        <v xml:space="preserve">
LDP stEx107.x2
AND=.D stM.udiErrNo #0</v>
      </c>
      <c r="U4" t="str">
        <f t="shared" si="2"/>
        <v xml:space="preserve">
LDP stEx107.x2
AND=.D stM.udiErrNo #0
MOV.D #107 stM.udiErrNo</v>
      </c>
      <c r="W4" t="str">
        <f ca="1">IF($N4="●","BOX_ST"&amp;CHAR(10)&amp;";//"&amp;$B$4&amp;CHAR(10)&amp;";//エラーNo.を入れる"&amp;CHAR(10)&amp;";"&amp;$B$9&amp;"	:= "&amp;O4&amp;";"&amp;CHAR(10)&amp;";//"&amp;$B$5,"")</f>
        <v>BOX_ST
;//このスクリプトは C:\tk\prj\hg-0025-0016\git\kv-x520\doc\[kv_script_exe_errno.xlsx]Sheet6 によって生成されました。
;//エラーNo.を入れる
;stM.udiErrNo	:= 107;
;//-----ここまで生成script-----</v>
      </c>
      <c r="X4" t="str">
        <f t="shared" ca="1" si="3"/>
        <v xml:space="preserve">
LDP stEx107.x2
AND=.D stM.udiErrNo #0
BOX_ST
;//このスクリプトは C:\tk\prj\hg-0025-0016\git\kv-x520\doc\[kv_script_exe_errno.xlsx]Sheet6 によって生成されました。
;//エラーNo.を入れる
;stM.udiErrNo	:= 107;
;//-----ここまで生成script-----</v>
      </c>
    </row>
    <row r="5" spans="1:24" x14ac:dyDescent="0.55000000000000004">
      <c r="A5" t="s">
        <v>13</v>
      </c>
      <c r="B5" t="s">
        <v>14</v>
      </c>
      <c r="D5">
        <v>3</v>
      </c>
      <c r="E5" t="s">
        <v>21</v>
      </c>
      <c r="F5" t="s">
        <v>0</v>
      </c>
      <c r="I5" t="b">
        <v>0</v>
      </c>
      <c r="J5" t="b">
        <v>0</v>
      </c>
      <c r="K5" t="b">
        <v>0</v>
      </c>
      <c r="L5" t="s">
        <v>22</v>
      </c>
      <c r="N5" t="str">
        <f t="shared" si="0"/>
        <v/>
      </c>
      <c r="O5" t="str">
        <f>IF(N5="●",INT(MID(E5,5,3)),"")</f>
        <v/>
      </c>
      <c r="P5" t="str">
        <f>IF($N5="●","LDP "&amp;E5&amp;"."&amp;$B$8,"")</f>
        <v/>
      </c>
      <c r="Q5" t="str">
        <f>IF($N5="●","AND=.D "&amp;$B$9&amp;" #0","")</f>
        <v/>
      </c>
      <c r="R5" t="str">
        <f>IF($N5="●","MOV.D #"&amp;O5&amp;" "&amp;$B$9,"")</f>
        <v/>
      </c>
      <c r="S5" t="str">
        <f>IF(AND(D5&lt;&gt;0,N5="●"),CHAR(10),"")&amp;IF(LEN(P5),P5,"")</f>
        <v/>
      </c>
      <c r="T5" t="str">
        <f t="shared" si="1"/>
        <v/>
      </c>
      <c r="U5" t="str">
        <f t="shared" si="2"/>
        <v/>
      </c>
      <c r="W5" t="str">
        <f>IF($N5="●","BOX_ST"&amp;CHAR(10)&amp;";//"&amp;$B$4&amp;CHAR(10)&amp;";//エラーNo.を入れる"&amp;CHAR(10)&amp;";"&amp;$B$9&amp;"	:= "&amp;O5&amp;";"&amp;CHAR(10)&amp;";//"&amp;$B$5,"")</f>
        <v/>
      </c>
      <c r="X5" t="str">
        <f t="shared" si="3"/>
        <v/>
      </c>
    </row>
    <row r="6" spans="1:24" x14ac:dyDescent="0.55000000000000004">
      <c r="D6">
        <v>4</v>
      </c>
      <c r="E6" t="s">
        <v>23</v>
      </c>
      <c r="F6" t="s">
        <v>0</v>
      </c>
      <c r="I6" t="b">
        <v>0</v>
      </c>
      <c r="J6" t="b">
        <v>0</v>
      </c>
      <c r="K6" t="b">
        <v>0</v>
      </c>
      <c r="L6" t="s">
        <v>24</v>
      </c>
      <c r="N6" t="str">
        <f t="shared" si="0"/>
        <v>●</v>
      </c>
      <c r="O6">
        <f>IF(N6="●",INT(MID(E6,5,3)),"")</f>
        <v>103</v>
      </c>
      <c r="P6" t="str">
        <f>IF($N6="●","LDP "&amp;E6&amp;"."&amp;$B$8,"")</f>
        <v>LDP stEx103.x2</v>
      </c>
      <c r="Q6" t="str">
        <f>IF($N6="●","AND=.D "&amp;$B$9&amp;" #0","")</f>
        <v>AND=.D stM.udiErrNo #0</v>
      </c>
      <c r="R6" t="str">
        <f>IF($N6="●","MOV.D #"&amp;O6&amp;" "&amp;$B$9,"")</f>
        <v>MOV.D #103 stM.udiErrNo</v>
      </c>
      <c r="S6" t="str">
        <f>IF(AND(D6&lt;&gt;0,N6="●"),CHAR(10),"")&amp;IF(LEN(P6),P6,"")</f>
        <v xml:space="preserve">
LDP stEx103.x2</v>
      </c>
      <c r="T6" t="str">
        <f t="shared" si="1"/>
        <v xml:space="preserve">
LDP stEx103.x2
AND=.D stM.udiErrNo #0</v>
      </c>
      <c r="U6" t="str">
        <f t="shared" si="2"/>
        <v xml:space="preserve">
LDP stEx103.x2
AND=.D stM.udiErrNo #0
MOV.D #103 stM.udiErrNo</v>
      </c>
      <c r="W6" t="str">
        <f ca="1">IF($N6="●","BOX_ST"&amp;CHAR(10)&amp;";//"&amp;$B$4&amp;CHAR(10)&amp;";//エラーNo.を入れる"&amp;CHAR(10)&amp;";"&amp;$B$9&amp;"	:= "&amp;O6&amp;";"&amp;CHAR(10)&amp;";//"&amp;$B$5,"")</f>
        <v>BOX_ST
;//このスクリプトは C:\tk\prj\hg-0025-0016\git\kv-x520\doc\[kv_script_exe_errno.xlsx]Sheet6 によって生成されました。
;//エラーNo.を入れる
;stM.udiErrNo	:= 103;
;//-----ここまで生成script-----</v>
      </c>
      <c r="X6" t="str">
        <f t="shared" ca="1" si="3"/>
        <v xml:space="preserve">
LDP stEx103.x2
AND=.D stM.udiErrNo #0
BOX_ST
;//このスクリプトは C:\tk\prj\hg-0025-0016\git\kv-x520\doc\[kv_script_exe_errno.xlsx]Sheet6 によって生成されました。
;//エラーNo.を入れる
;stM.udiErrNo	:= 103;
;//-----ここまで生成script-----</v>
      </c>
    </row>
    <row r="7" spans="1:24" x14ac:dyDescent="0.55000000000000004">
      <c r="D7">
        <v>5</v>
      </c>
      <c r="E7" t="s">
        <v>25</v>
      </c>
      <c r="F7" t="s">
        <v>0</v>
      </c>
      <c r="I7" t="b">
        <v>0</v>
      </c>
      <c r="J7" t="b">
        <v>0</v>
      </c>
      <c r="K7" t="b">
        <v>0</v>
      </c>
      <c r="L7" t="s">
        <v>26</v>
      </c>
      <c r="N7" t="str">
        <f t="shared" si="0"/>
        <v>●</v>
      </c>
      <c r="O7">
        <f>IF(N7="●",INT(MID(E7,5,3)),"")</f>
        <v>104</v>
      </c>
      <c r="P7" t="str">
        <f>IF($N7="●","LDP "&amp;E7&amp;"."&amp;$B$8,"")</f>
        <v>LDP stEx104.x2</v>
      </c>
      <c r="Q7" t="str">
        <f>IF($N7="●","AND=.D "&amp;$B$9&amp;" #0","")</f>
        <v>AND=.D stM.udiErrNo #0</v>
      </c>
      <c r="R7" t="str">
        <f>IF($N7="●","MOV.D #"&amp;O7&amp;" "&amp;$B$9,"")</f>
        <v>MOV.D #104 stM.udiErrNo</v>
      </c>
      <c r="S7" t="str">
        <f>IF(AND(D7&lt;&gt;0,N7="●"),CHAR(10),"")&amp;IF(LEN(P7),P7,"")</f>
        <v xml:space="preserve">
LDP stEx104.x2</v>
      </c>
      <c r="T7" t="str">
        <f t="shared" si="1"/>
        <v xml:space="preserve">
LDP stEx104.x2
AND=.D stM.udiErrNo #0</v>
      </c>
      <c r="U7" t="str">
        <f t="shared" si="2"/>
        <v xml:space="preserve">
LDP stEx104.x2
AND=.D stM.udiErrNo #0
MOV.D #104 stM.udiErrNo</v>
      </c>
      <c r="W7" t="str">
        <f ca="1">IF($N7="●","BOX_ST"&amp;CHAR(10)&amp;";//"&amp;$B$4&amp;CHAR(10)&amp;";//エラーNo.を入れる"&amp;CHAR(10)&amp;";"&amp;$B$9&amp;"	:= "&amp;O7&amp;";"&amp;CHAR(10)&amp;";//"&amp;$B$5,"")</f>
        <v>BOX_ST
;//このスクリプトは C:\tk\prj\hg-0025-0016\git\kv-x520\doc\[kv_script_exe_errno.xlsx]Sheet6 によって生成されました。
;//エラーNo.を入れる
;stM.udiErrNo	:= 104;
;//-----ここまで生成script-----</v>
      </c>
      <c r="X7" t="str">
        <f t="shared" ca="1" si="3"/>
        <v xml:space="preserve">
LDP stEx104.x2
AND=.D stM.udiErrNo #0
BOX_ST
;//このスクリプトは C:\tk\prj\hg-0025-0016\git\kv-x520\doc\[kv_script_exe_errno.xlsx]Sheet6 によって生成されました。
;//エラーNo.を入れる
;stM.udiErrNo	:= 104;
;//-----ここまで生成script-----</v>
      </c>
    </row>
    <row r="8" spans="1:24" x14ac:dyDescent="0.55000000000000004">
      <c r="A8" t="s">
        <v>6</v>
      </c>
      <c r="B8" t="s">
        <v>5</v>
      </c>
      <c r="D8">
        <v>6</v>
      </c>
      <c r="E8" t="s">
        <v>27</v>
      </c>
      <c r="F8" t="s">
        <v>0</v>
      </c>
      <c r="I8" t="b">
        <v>0</v>
      </c>
      <c r="J8" t="b">
        <v>0</v>
      </c>
      <c r="K8" t="b">
        <v>0</v>
      </c>
      <c r="L8" t="s">
        <v>28</v>
      </c>
      <c r="N8" t="str">
        <f t="shared" si="0"/>
        <v>●</v>
      </c>
      <c r="O8">
        <f>IF(N8="●",INT(MID(E8,5,3)),"")</f>
        <v>105</v>
      </c>
      <c r="P8" t="str">
        <f>IF($N8="●","LDP "&amp;E8&amp;"."&amp;$B$8,"")</f>
        <v>LDP stEx105.x2</v>
      </c>
      <c r="Q8" t="str">
        <f>IF($N8="●","AND=.D "&amp;$B$9&amp;" #0","")</f>
        <v>AND=.D stM.udiErrNo #0</v>
      </c>
      <c r="R8" t="str">
        <f>IF($N8="●","MOV.D #"&amp;O8&amp;" "&amp;$B$9,"")</f>
        <v>MOV.D #105 stM.udiErrNo</v>
      </c>
      <c r="S8" t="str">
        <f>IF(AND(D8&lt;&gt;0,N8="●"),CHAR(10),"")&amp;IF(LEN(P8),P8,"")</f>
        <v xml:space="preserve">
LDP stEx105.x2</v>
      </c>
      <c r="T8" t="str">
        <f t="shared" si="1"/>
        <v xml:space="preserve">
LDP stEx105.x2
AND=.D stM.udiErrNo #0</v>
      </c>
      <c r="U8" t="str">
        <f t="shared" si="2"/>
        <v xml:space="preserve">
LDP stEx105.x2
AND=.D stM.udiErrNo #0
MOV.D #105 stM.udiErrNo</v>
      </c>
      <c r="W8" t="str">
        <f ca="1">IF($N8="●","BOX_ST"&amp;CHAR(10)&amp;";//"&amp;$B$4&amp;CHAR(10)&amp;";//エラーNo.を入れる"&amp;CHAR(10)&amp;";"&amp;$B$9&amp;"	:= "&amp;O8&amp;";"&amp;CHAR(10)&amp;";//"&amp;$B$5,"")</f>
        <v>BOX_ST
;//このスクリプトは C:\tk\prj\hg-0025-0016\git\kv-x520\doc\[kv_script_exe_errno.xlsx]Sheet6 によって生成されました。
;//エラーNo.を入れる
;stM.udiErrNo	:= 105;
;//-----ここまで生成script-----</v>
      </c>
      <c r="X8" t="str">
        <f t="shared" ca="1" si="3"/>
        <v xml:space="preserve">
LDP stEx105.x2
AND=.D stM.udiErrNo #0
BOX_ST
;//このスクリプトは C:\tk\prj\hg-0025-0016\git\kv-x520\doc\[kv_script_exe_errno.xlsx]Sheet6 によって生成されました。
;//エラーNo.を入れる
;stM.udiErrNo	:= 105;
;//-----ここまで生成script-----</v>
      </c>
    </row>
    <row r="9" spans="1:24" x14ac:dyDescent="0.55000000000000004">
      <c r="A9" t="s">
        <v>4</v>
      </c>
      <c r="B9" t="s">
        <v>3</v>
      </c>
      <c r="D9">
        <v>7</v>
      </c>
      <c r="E9" t="s">
        <v>29</v>
      </c>
      <c r="F9" t="s">
        <v>0</v>
      </c>
      <c r="I9" t="b">
        <v>0</v>
      </c>
      <c r="J9" t="b">
        <v>0</v>
      </c>
      <c r="K9" t="b">
        <v>0</v>
      </c>
      <c r="L9" t="s">
        <v>30</v>
      </c>
      <c r="N9" t="str">
        <f t="shared" si="0"/>
        <v>●</v>
      </c>
      <c r="O9">
        <f>IF(N9="●",INT(MID(E9,5,3)),"")</f>
        <v>106</v>
      </c>
      <c r="P9" t="str">
        <f>IF($N9="●","LDP "&amp;E9&amp;"."&amp;$B$8,"")</f>
        <v>LDP stEx106.x2</v>
      </c>
      <c r="Q9" t="str">
        <f>IF($N9="●","AND=.D "&amp;$B$9&amp;" #0","")</f>
        <v>AND=.D stM.udiErrNo #0</v>
      </c>
      <c r="R9" t="str">
        <f>IF($N9="●","MOV.D #"&amp;O9&amp;" "&amp;$B$9,"")</f>
        <v>MOV.D #106 stM.udiErrNo</v>
      </c>
      <c r="S9" t="str">
        <f>IF(AND(D9&lt;&gt;0,N9="●"),CHAR(10),"")&amp;IF(LEN(P9),P9,"")</f>
        <v xml:space="preserve">
LDP stEx106.x2</v>
      </c>
      <c r="T9" t="str">
        <f t="shared" si="1"/>
        <v xml:space="preserve">
LDP stEx106.x2
AND=.D stM.udiErrNo #0</v>
      </c>
      <c r="U9" t="str">
        <f t="shared" si="2"/>
        <v xml:space="preserve">
LDP stEx106.x2
AND=.D stM.udiErrNo #0
MOV.D #106 stM.udiErrNo</v>
      </c>
      <c r="W9" t="str">
        <f ca="1">IF($N9="●","BOX_ST"&amp;CHAR(10)&amp;";//"&amp;$B$4&amp;CHAR(10)&amp;";//エラーNo.を入れる"&amp;CHAR(10)&amp;";"&amp;$B$9&amp;"	:= "&amp;O9&amp;";"&amp;CHAR(10)&amp;";//"&amp;$B$5,"")</f>
        <v>BOX_ST
;//このスクリプトは C:\tk\prj\hg-0025-0016\git\kv-x520\doc\[kv_script_exe_errno.xlsx]Sheet6 によって生成されました。
;//エラーNo.を入れる
;stM.udiErrNo	:= 106;
;//-----ここまで生成script-----</v>
      </c>
      <c r="X9" t="str">
        <f t="shared" ca="1" si="3"/>
        <v xml:space="preserve">
LDP stEx106.x2
AND=.D stM.udiErrNo #0
BOX_ST
;//このスクリプトは C:\tk\prj\hg-0025-0016\git\kv-x520\doc\[kv_script_exe_errno.xlsx]Sheet6 によって生成されました。
;//エラーNo.を入れる
;stM.udiErrNo	:= 106;
;//-----ここまで生成script-----</v>
      </c>
    </row>
    <row r="10" spans="1:24" x14ac:dyDescent="0.55000000000000004">
      <c r="D10">
        <v>8</v>
      </c>
      <c r="N10" t="str">
        <f t="shared" si="0"/>
        <v/>
      </c>
      <c r="O10" t="str">
        <f>IF(N10="●",INT(MID(E10,5,3)),"")</f>
        <v/>
      </c>
      <c r="P10" t="str">
        <f>IF($N10="●","LDP "&amp;E10&amp;"."&amp;$B$8,"")</f>
        <v/>
      </c>
      <c r="Q10" t="str">
        <f>IF($N10="●","AND=.D "&amp;$B$9&amp;" #0","")</f>
        <v/>
      </c>
      <c r="R10" t="str">
        <f>IF($N10="●","MOV.D #"&amp;O10&amp;" "&amp;$B$9,"")</f>
        <v/>
      </c>
      <c r="S10" t="str">
        <f>IF(AND(D10&lt;&gt;0,N10="●"),CHAR(10),"")&amp;IF(LEN(P10),P10,"")</f>
        <v/>
      </c>
      <c r="T10" t="str">
        <f t="shared" si="1"/>
        <v/>
      </c>
      <c r="U10" t="str">
        <f t="shared" si="2"/>
        <v/>
      </c>
      <c r="W10" t="str">
        <f>IF($N10="●","BOX_ST"&amp;CHAR(10)&amp;";//"&amp;$B$4&amp;CHAR(10)&amp;";//エラーNo.を入れる"&amp;CHAR(10)&amp;";"&amp;$B$9&amp;"	:= "&amp;O10&amp;";"&amp;CHAR(10)&amp;";//"&amp;$B$5,"")</f>
        <v/>
      </c>
      <c r="X10" t="str">
        <f t="shared" si="3"/>
        <v/>
      </c>
    </row>
    <row r="11" spans="1:24" x14ac:dyDescent="0.55000000000000004">
      <c r="D11">
        <v>9</v>
      </c>
      <c r="N11" t="str">
        <f t="shared" si="0"/>
        <v/>
      </c>
      <c r="O11" t="str">
        <f>IF(N11="●",INT(MID(E11,5,3)),"")</f>
        <v/>
      </c>
      <c r="P11" t="str">
        <f>IF($N11="●","LDP "&amp;E11&amp;"."&amp;$B$8,"")</f>
        <v/>
      </c>
      <c r="Q11" t="str">
        <f>IF($N11="●","AND=.D "&amp;$B$9&amp;" #0","")</f>
        <v/>
      </c>
      <c r="R11" t="str">
        <f>IF($N11="●","MOV.D #"&amp;O11&amp;" "&amp;$B$9,"")</f>
        <v/>
      </c>
      <c r="S11" t="str">
        <f>IF(AND(D11&lt;&gt;0,N11="●"),CHAR(10),"")&amp;IF(LEN(P11),P11,"")</f>
        <v/>
      </c>
      <c r="T11" t="str">
        <f t="shared" si="1"/>
        <v/>
      </c>
      <c r="U11" t="str">
        <f t="shared" si="2"/>
        <v/>
      </c>
      <c r="W11" t="str">
        <f>IF($N11="●","BOX_ST"&amp;CHAR(10)&amp;";//"&amp;$B$4&amp;CHAR(10)&amp;";//エラーNo.を入れる"&amp;CHAR(10)&amp;";"&amp;$B$9&amp;"	:= "&amp;O11&amp;";"&amp;CHAR(10)&amp;";//"&amp;$B$5,"")</f>
        <v/>
      </c>
      <c r="X11" t="str">
        <f t="shared" si="3"/>
        <v/>
      </c>
    </row>
    <row r="12" spans="1:24" x14ac:dyDescent="0.55000000000000004">
      <c r="A12" t="s">
        <v>2</v>
      </c>
      <c r="B12" t="str">
        <f>U103</f>
        <v xml:space="preserve">
LDP stEx101.x2
AND=.D stM.udiErrNo #0
MOV.D #101 stM.udiErrNo
LDP stEx107.x2
AND=.D stM.udiErrNo #0
MOV.D #107 stM.udiErrNo
LDP stEx103.x2
AND=.D stM.udiErrNo #0
MOV.D #103 stM.udiErrNo
LDP stEx104.x2
AND=.D stM.udiErrNo #0
MOV.D #104 stM.udiErrNo
LDP stEx105.x2
AND=.D stM.udiErrNo #0
MOV.D #105 stM.udiErrNo
LDP stEx106.x2
AND=.D stM.udiErrNo #0
MOV.D #106 stM.udiErrNo</v>
      </c>
      <c r="D12">
        <v>10</v>
      </c>
      <c r="N12" t="str">
        <f t="shared" si="0"/>
        <v/>
      </c>
      <c r="O12" t="str">
        <f>IF(N12="●",INT(MID(E12,5,3)),"")</f>
        <v/>
      </c>
      <c r="P12" t="str">
        <f>IF($N12="●","LDP "&amp;E12&amp;"."&amp;$B$8,"")</f>
        <v/>
      </c>
      <c r="Q12" t="str">
        <f>IF($N12="●","AND=.D "&amp;$B$9&amp;" #0","")</f>
        <v/>
      </c>
      <c r="R12" t="str">
        <f>IF($N12="●","MOV.D #"&amp;O12&amp;" "&amp;$B$9,"")</f>
        <v/>
      </c>
      <c r="S12" t="str">
        <f>IF(AND(D12&lt;&gt;0,N12="●"),CHAR(10),"")&amp;IF(LEN(P12),P12,"")</f>
        <v/>
      </c>
      <c r="T12" t="str">
        <f t="shared" si="1"/>
        <v/>
      </c>
      <c r="U12" t="str">
        <f t="shared" si="2"/>
        <v/>
      </c>
      <c r="W12" t="str">
        <f>IF($N12="●","BOX_ST"&amp;CHAR(10)&amp;";//"&amp;$B$4&amp;CHAR(10)&amp;";//エラーNo.を入れる"&amp;CHAR(10)&amp;";"&amp;$B$9&amp;"	:= "&amp;O12&amp;";"&amp;CHAR(10)&amp;";//"&amp;$B$5,"")</f>
        <v/>
      </c>
      <c r="X12" t="str">
        <f t="shared" si="3"/>
        <v/>
      </c>
    </row>
    <row r="13" spans="1:24" x14ac:dyDescent="0.55000000000000004">
      <c r="A13" t="s">
        <v>1</v>
      </c>
      <c r="B13" t="str">
        <f ca="1">X103</f>
        <v xml:space="preserve">
LDP stEx101.x2
AND=.D stM.udiErrNo #0
BOX_ST
;//このスクリプトは C:\tk\prj\hg-0025-0016\git\kv-x520\doc\[kv_script_exe_errno.xlsx]Sheet6 によって生成されました。
;//エラーNo.を入れる
;stM.udiErrNo	:= 101;
;//-----ここまで生成script-----
LDP stEx107.x2
AND=.D stM.udiErrNo #0
BOX_ST
;//このスクリプトは C:\tk\prj\hg-0025-0016\git\kv-x520\doc\[kv_script_exe_errno.xlsx]Sheet6 によって生成されました。
;//エラーNo.を入れる
;stM.udiErrNo	:= 107;
;//-----ここまで生成script-----
LDP stEx103.x2
AND=.D stM.udiErrNo #0
BOX_ST
;//このスクリプトは C:\tk\prj\hg-0025-0016\git\kv-x520\doc\[kv_script_exe_errno.xlsx]Sheet6 によって生成されました。
;//エラーNo.を入れる
;stM.udiErrNo	:= 103;
;//-----ここまで生成script-----
LDP stEx104.x2
AND=.D stM.udiErrNo #0
BOX_ST
;//このスクリプトは C:\tk\prj\hg-0025-0016\git\kv-x520\doc\[kv_script_exe_errno.xlsx]Sheet6 によって生成されました。
;//エラーNo.を入れる
;stM.udiErrNo	:= 104;
;//-----ここまで生成script-----
LDP stEx105.x2
AND=.D stM.udiErrNo #0
BOX_ST
;//このスクリプトは C:\tk\prj\hg-0025-0016\git\kv-x520\doc\[kv_script_exe_errno.xlsx]Sheet6 によって生成されました。
;//エラーNo.を入れる
;stM.udiErrNo	:= 105;
;//-----ここまで生成script-----
LDP stEx106.x2
AND=.D stM.udiErrNo #0
BOX_ST
;//このスクリプトは C:\tk\prj\hg-0025-0016\git\kv-x520\doc\[kv_script_exe_errno.xlsx]Sheet6 によって生成されました。
;//エラーNo.を入れる
;stM.udiErrNo	:= 106;
;//-----ここまで生成script-----</v>
      </c>
      <c r="D13">
        <v>11</v>
      </c>
      <c r="N13" t="str">
        <f t="shared" si="0"/>
        <v/>
      </c>
      <c r="O13" t="str">
        <f>IF(N13="●",INT(MID(E13,5,3)),"")</f>
        <v/>
      </c>
      <c r="P13" t="str">
        <f>IF($N13="●","LDP "&amp;E13&amp;"."&amp;$B$8,"")</f>
        <v/>
      </c>
      <c r="Q13" t="str">
        <f>IF($N13="●","AND=.D "&amp;$B$9&amp;" #0","")</f>
        <v/>
      </c>
      <c r="R13" t="str">
        <f>IF($N13="●","MOV.D #"&amp;O13&amp;" "&amp;$B$9,"")</f>
        <v/>
      </c>
      <c r="S13" t="str">
        <f>IF(AND(D13&lt;&gt;0,N13="●"),CHAR(10),"")&amp;IF(LEN(P13),P13,"")</f>
        <v/>
      </c>
      <c r="T13" t="str">
        <f t="shared" si="1"/>
        <v/>
      </c>
      <c r="U13" t="str">
        <f t="shared" si="2"/>
        <v/>
      </c>
      <c r="W13" t="str">
        <f>IF($N13="●","BOX_ST"&amp;CHAR(10)&amp;";//"&amp;$B$4&amp;CHAR(10)&amp;";//エラーNo.を入れる"&amp;CHAR(10)&amp;";"&amp;$B$9&amp;"	:= "&amp;O13&amp;";"&amp;CHAR(10)&amp;";//"&amp;$B$5,"")</f>
        <v/>
      </c>
      <c r="X13" t="str">
        <f t="shared" si="3"/>
        <v/>
      </c>
    </row>
    <row r="14" spans="1:24" x14ac:dyDescent="0.55000000000000004">
      <c r="D14">
        <v>12</v>
      </c>
      <c r="N14" t="str">
        <f t="shared" si="0"/>
        <v/>
      </c>
      <c r="O14" t="str">
        <f>IF(N14="●",INT(MID(E14,5,3)),"")</f>
        <v/>
      </c>
      <c r="P14" t="str">
        <f>IF($N14="●","LDP "&amp;E14&amp;"."&amp;$B$8,"")</f>
        <v/>
      </c>
      <c r="Q14" t="str">
        <f>IF($N14="●","AND=.D "&amp;$B$9&amp;" #0","")</f>
        <v/>
      </c>
      <c r="R14" t="str">
        <f>IF($N14="●","MOV.D #"&amp;O14&amp;" "&amp;$B$9,"")</f>
        <v/>
      </c>
      <c r="S14" t="str">
        <f>IF(AND(D14&lt;&gt;0,N14="●"),CHAR(10),"")&amp;IF(LEN(P14),P14,"")</f>
        <v/>
      </c>
      <c r="T14" t="str">
        <f t="shared" si="1"/>
        <v/>
      </c>
      <c r="U14" t="str">
        <f t="shared" si="2"/>
        <v/>
      </c>
      <c r="W14" t="str">
        <f>IF($N14="●","BOX_ST"&amp;CHAR(10)&amp;";//"&amp;$B$4&amp;CHAR(10)&amp;";//エラーNo.を入れる"&amp;CHAR(10)&amp;";"&amp;$B$9&amp;"	:= "&amp;O14&amp;";"&amp;CHAR(10)&amp;";//"&amp;$B$5,"")</f>
        <v/>
      </c>
      <c r="X14" t="str">
        <f t="shared" si="3"/>
        <v/>
      </c>
    </row>
    <row r="15" spans="1:24" x14ac:dyDescent="0.55000000000000004">
      <c r="D15">
        <v>13</v>
      </c>
      <c r="N15" t="str">
        <f t="shared" si="0"/>
        <v/>
      </c>
      <c r="O15" t="str">
        <f>IF(N15="●",INT(MID(E15,5,3)),"")</f>
        <v/>
      </c>
      <c r="P15" t="str">
        <f>IF($N15="●","LDP "&amp;E15&amp;"."&amp;$B$8,"")</f>
        <v/>
      </c>
      <c r="Q15" t="str">
        <f>IF($N15="●","AND=.D "&amp;$B$9&amp;" #0","")</f>
        <v/>
      </c>
      <c r="R15" t="str">
        <f>IF($N15="●","MOV.D #"&amp;O15&amp;" "&amp;$B$9,"")</f>
        <v/>
      </c>
      <c r="S15" t="str">
        <f>IF(AND(D15&lt;&gt;0,N15="●"),CHAR(10),"")&amp;IF(LEN(P15),P15,"")</f>
        <v/>
      </c>
      <c r="T15" t="str">
        <f t="shared" si="1"/>
        <v/>
      </c>
      <c r="U15" t="str">
        <f t="shared" si="2"/>
        <v/>
      </c>
      <c r="W15" t="str">
        <f>IF($N15="●","BOX_ST"&amp;CHAR(10)&amp;";//"&amp;$B$4&amp;CHAR(10)&amp;";//エラーNo.を入れる"&amp;CHAR(10)&amp;";"&amp;$B$9&amp;"	:= "&amp;O15&amp;";"&amp;CHAR(10)&amp;";//"&amp;$B$5,"")</f>
        <v/>
      </c>
      <c r="X15" t="str">
        <f t="shared" si="3"/>
        <v/>
      </c>
    </row>
    <row r="16" spans="1:24" x14ac:dyDescent="0.55000000000000004">
      <c r="D16">
        <v>14</v>
      </c>
      <c r="N16" t="str">
        <f t="shared" si="0"/>
        <v/>
      </c>
      <c r="O16" t="str">
        <f>IF(N16="●",INT(MID(E16,5,3)),"")</f>
        <v/>
      </c>
      <c r="P16" t="str">
        <f>IF($N16="●","LDP "&amp;E16&amp;"."&amp;$B$8,"")</f>
        <v/>
      </c>
      <c r="Q16" t="str">
        <f>IF($N16="●","AND=.D "&amp;$B$9&amp;" #0","")</f>
        <v/>
      </c>
      <c r="R16" t="str">
        <f>IF($N16="●","MOV.D #"&amp;O16&amp;" "&amp;$B$9,"")</f>
        <v/>
      </c>
      <c r="S16" t="str">
        <f>IF(AND(D16&lt;&gt;0,N16="●"),CHAR(10),"")&amp;IF(LEN(P16),P16,"")</f>
        <v/>
      </c>
      <c r="T16" t="str">
        <f t="shared" si="1"/>
        <v/>
      </c>
      <c r="U16" t="str">
        <f t="shared" si="2"/>
        <v/>
      </c>
      <c r="W16" t="str">
        <f>IF($N16="●","BOX_ST"&amp;CHAR(10)&amp;";//"&amp;$B$4&amp;CHAR(10)&amp;";//エラーNo.を入れる"&amp;CHAR(10)&amp;";"&amp;$B$9&amp;"	:= "&amp;O16&amp;";"&amp;CHAR(10)&amp;";//"&amp;$B$5,"")</f>
        <v/>
      </c>
      <c r="X16" t="str">
        <f t="shared" si="3"/>
        <v/>
      </c>
    </row>
    <row r="17" spans="4:24" x14ac:dyDescent="0.55000000000000004">
      <c r="D17">
        <v>15</v>
      </c>
      <c r="N17" t="str">
        <f t="shared" si="0"/>
        <v/>
      </c>
      <c r="O17" t="str">
        <f>IF(N17="●",INT(MID(E17,5,3)),"")</f>
        <v/>
      </c>
      <c r="P17" t="str">
        <f>IF($N17="●","LDP "&amp;E17&amp;"."&amp;$B$8,"")</f>
        <v/>
      </c>
      <c r="Q17" t="str">
        <f>IF($N17="●","AND=.D "&amp;$B$9&amp;" #0","")</f>
        <v/>
      </c>
      <c r="R17" t="str">
        <f>IF($N17="●","MOV.D #"&amp;O17&amp;" "&amp;$B$9,"")</f>
        <v/>
      </c>
      <c r="S17" t="str">
        <f>IF(AND(D17&lt;&gt;0,N17="●"),CHAR(10),"")&amp;IF(LEN(P17),P17,"")</f>
        <v/>
      </c>
      <c r="T17" t="str">
        <f t="shared" si="1"/>
        <v/>
      </c>
      <c r="U17" t="str">
        <f t="shared" si="2"/>
        <v/>
      </c>
      <c r="W17" t="str">
        <f>IF($N17="●","BOX_ST"&amp;CHAR(10)&amp;";//"&amp;$B$4&amp;CHAR(10)&amp;";//エラーNo.を入れる"&amp;CHAR(10)&amp;";"&amp;$B$9&amp;"	:= "&amp;O17&amp;";"&amp;CHAR(10)&amp;";//"&amp;$B$5,"")</f>
        <v/>
      </c>
      <c r="X17" t="str">
        <f t="shared" si="3"/>
        <v/>
      </c>
    </row>
    <row r="18" spans="4:24" x14ac:dyDescent="0.55000000000000004">
      <c r="D18">
        <v>16</v>
      </c>
      <c r="N18" t="str">
        <f t="shared" si="0"/>
        <v/>
      </c>
      <c r="O18" t="str">
        <f>IF(N18="●",INT(MID(E18,5,3)),"")</f>
        <v/>
      </c>
      <c r="P18" t="str">
        <f>IF($N18="●","LDP "&amp;E18&amp;"."&amp;$B$8,"")</f>
        <v/>
      </c>
      <c r="Q18" t="str">
        <f>IF($N18="●","AND=.D "&amp;$B$9&amp;" #0","")</f>
        <v/>
      </c>
      <c r="R18" t="str">
        <f>IF($N18="●","MOV.D #"&amp;O18&amp;" "&amp;$B$9,"")</f>
        <v/>
      </c>
      <c r="S18" t="str">
        <f>IF(AND(D18&lt;&gt;0,N18="●"),CHAR(10),"")&amp;IF(LEN(P18),P18,"")</f>
        <v/>
      </c>
      <c r="T18" t="str">
        <f t="shared" si="1"/>
        <v/>
      </c>
      <c r="U18" t="str">
        <f t="shared" si="2"/>
        <v/>
      </c>
      <c r="W18" t="str">
        <f>IF($N18="●","BOX_ST"&amp;CHAR(10)&amp;";//"&amp;$B$4&amp;CHAR(10)&amp;";//エラーNo.を入れる"&amp;CHAR(10)&amp;";"&amp;$B$9&amp;"	:= "&amp;O18&amp;";"&amp;CHAR(10)&amp;";//"&amp;$B$5,"")</f>
        <v/>
      </c>
      <c r="X18" t="str">
        <f t="shared" si="3"/>
        <v/>
      </c>
    </row>
    <row r="19" spans="4:24" x14ac:dyDescent="0.55000000000000004">
      <c r="D19">
        <v>17</v>
      </c>
      <c r="N19" t="str">
        <f t="shared" si="0"/>
        <v/>
      </c>
      <c r="O19" t="str">
        <f>IF(N19="●",INT(MID(E19,5,3)),"")</f>
        <v/>
      </c>
      <c r="P19" t="str">
        <f>IF($N19="●","LDP "&amp;E19&amp;"."&amp;$B$8,"")</f>
        <v/>
      </c>
      <c r="Q19" t="str">
        <f>IF($N19="●","AND=.D "&amp;$B$9&amp;" #0","")</f>
        <v/>
      </c>
      <c r="R19" t="str">
        <f>IF($N19="●","MOV.D #"&amp;O19&amp;" "&amp;$B$9,"")</f>
        <v/>
      </c>
      <c r="S19" t="str">
        <f>IF(AND(D19&lt;&gt;0,N19="●"),CHAR(10),"")&amp;IF(LEN(P19),P19,"")</f>
        <v/>
      </c>
      <c r="T19" t="str">
        <f t="shared" si="1"/>
        <v/>
      </c>
      <c r="U19" t="str">
        <f t="shared" si="2"/>
        <v/>
      </c>
      <c r="W19" t="str">
        <f>IF($N19="●","BOX_ST"&amp;CHAR(10)&amp;";//"&amp;$B$4&amp;CHAR(10)&amp;";//エラーNo.を入れる"&amp;CHAR(10)&amp;";"&amp;$B$9&amp;"	:= "&amp;O19&amp;";"&amp;CHAR(10)&amp;";//"&amp;$B$5,"")</f>
        <v/>
      </c>
      <c r="X19" t="str">
        <f t="shared" si="3"/>
        <v/>
      </c>
    </row>
    <row r="20" spans="4:24" x14ac:dyDescent="0.55000000000000004">
      <c r="D20">
        <v>18</v>
      </c>
      <c r="N20" t="str">
        <f t="shared" si="0"/>
        <v/>
      </c>
      <c r="O20" t="str">
        <f>IF(N20="●",INT(MID(E20,5,3)),"")</f>
        <v/>
      </c>
      <c r="P20" t="str">
        <f>IF($N20="●","LDP "&amp;E20&amp;"."&amp;$B$8,"")</f>
        <v/>
      </c>
      <c r="Q20" t="str">
        <f>IF($N20="●","AND=.D "&amp;$B$9&amp;" #0","")</f>
        <v/>
      </c>
      <c r="R20" t="str">
        <f>IF($N20="●","MOV.D #"&amp;O20&amp;" "&amp;$B$9,"")</f>
        <v/>
      </c>
      <c r="S20" t="str">
        <f>IF(AND(D20&lt;&gt;0,N20="●"),CHAR(10),"")&amp;IF(LEN(P20),P20,"")</f>
        <v/>
      </c>
      <c r="T20" t="str">
        <f t="shared" si="1"/>
        <v/>
      </c>
      <c r="U20" t="str">
        <f t="shared" si="2"/>
        <v/>
      </c>
      <c r="W20" t="str">
        <f>IF($N20="●","BOX_ST"&amp;CHAR(10)&amp;";//"&amp;$B$4&amp;CHAR(10)&amp;";//エラーNo.を入れる"&amp;CHAR(10)&amp;";"&amp;$B$9&amp;"	:= "&amp;O20&amp;";"&amp;CHAR(10)&amp;";//"&amp;$B$5,"")</f>
        <v/>
      </c>
      <c r="X20" t="str">
        <f t="shared" si="3"/>
        <v/>
      </c>
    </row>
    <row r="21" spans="4:24" x14ac:dyDescent="0.55000000000000004">
      <c r="D21">
        <v>19</v>
      </c>
      <c r="N21" t="str">
        <f t="shared" si="0"/>
        <v/>
      </c>
      <c r="O21" t="str">
        <f>IF(N21="●",INT(MID(E21,5,3)),"")</f>
        <v/>
      </c>
      <c r="P21" t="str">
        <f>IF($N21="●","LDP "&amp;E21&amp;"."&amp;$B$8,"")</f>
        <v/>
      </c>
      <c r="Q21" t="str">
        <f>IF($N21="●","AND=.D "&amp;$B$9&amp;" #0","")</f>
        <v/>
      </c>
      <c r="R21" t="str">
        <f>IF($N21="●","MOV.D #"&amp;O21&amp;" "&amp;$B$9,"")</f>
        <v/>
      </c>
      <c r="S21" t="str">
        <f>IF(AND(D21&lt;&gt;0,N21="●"),CHAR(10),"")&amp;IF(LEN(P21),P21,"")</f>
        <v/>
      </c>
      <c r="T21" t="str">
        <f t="shared" si="1"/>
        <v/>
      </c>
      <c r="U21" t="str">
        <f t="shared" si="2"/>
        <v/>
      </c>
      <c r="W21" t="str">
        <f>IF($N21="●","BOX_ST"&amp;CHAR(10)&amp;";//"&amp;$B$4&amp;CHAR(10)&amp;";//エラーNo.を入れる"&amp;CHAR(10)&amp;";"&amp;$B$9&amp;"	:= "&amp;O21&amp;";"&amp;CHAR(10)&amp;";//"&amp;$B$5,"")</f>
        <v/>
      </c>
      <c r="X21" t="str">
        <f t="shared" si="3"/>
        <v/>
      </c>
    </row>
    <row r="22" spans="4:24" x14ac:dyDescent="0.55000000000000004">
      <c r="D22">
        <v>20</v>
      </c>
      <c r="N22" t="str">
        <f t="shared" si="0"/>
        <v/>
      </c>
      <c r="O22" t="str">
        <f>IF(N22="●",INT(MID(E22,5,3)),"")</f>
        <v/>
      </c>
      <c r="P22" t="str">
        <f>IF($N22="●","LDP "&amp;E22&amp;"."&amp;$B$8,"")</f>
        <v/>
      </c>
      <c r="Q22" t="str">
        <f>IF($N22="●","AND=.D "&amp;$B$9&amp;" #0","")</f>
        <v/>
      </c>
      <c r="R22" t="str">
        <f>IF($N22="●","MOV.D #"&amp;O22&amp;" "&amp;$B$9,"")</f>
        <v/>
      </c>
      <c r="S22" t="str">
        <f>IF(AND(D22&lt;&gt;0,N22="●"),CHAR(10),"")&amp;IF(LEN(P22),P22,"")</f>
        <v/>
      </c>
      <c r="T22" t="str">
        <f t="shared" si="1"/>
        <v/>
      </c>
      <c r="U22" t="str">
        <f t="shared" si="2"/>
        <v/>
      </c>
      <c r="W22" t="str">
        <f>IF($N22="●","BOX_ST"&amp;CHAR(10)&amp;";//"&amp;$B$4&amp;CHAR(10)&amp;";//エラーNo.を入れる"&amp;CHAR(10)&amp;";"&amp;$B$9&amp;"	:= "&amp;O22&amp;";"&amp;CHAR(10)&amp;";//"&amp;$B$5,"")</f>
        <v/>
      </c>
      <c r="X22" t="str">
        <f t="shared" si="3"/>
        <v/>
      </c>
    </row>
    <row r="23" spans="4:24" x14ac:dyDescent="0.55000000000000004">
      <c r="D23">
        <v>21</v>
      </c>
      <c r="N23" t="str">
        <f t="shared" si="0"/>
        <v/>
      </c>
      <c r="O23" t="str">
        <f>IF(N23="●",INT(MID(E23,5,3)),"")</f>
        <v/>
      </c>
      <c r="P23" t="str">
        <f>IF($N23="●","LDP "&amp;E23&amp;"."&amp;$B$8,"")</f>
        <v/>
      </c>
      <c r="Q23" t="str">
        <f>IF($N23="●","AND=.D "&amp;$B$9&amp;" #0","")</f>
        <v/>
      </c>
      <c r="R23" t="str">
        <f>IF($N23="●","MOV.D #"&amp;O23&amp;" "&amp;$B$9,"")</f>
        <v/>
      </c>
      <c r="S23" t="str">
        <f>IF(AND(D23&lt;&gt;0,N23="●"),CHAR(10),"")&amp;IF(LEN(P23),P23,"")</f>
        <v/>
      </c>
      <c r="T23" t="str">
        <f t="shared" si="1"/>
        <v/>
      </c>
      <c r="U23" t="str">
        <f t="shared" si="2"/>
        <v/>
      </c>
      <c r="W23" t="str">
        <f>IF($N23="●","BOX_ST"&amp;CHAR(10)&amp;";//"&amp;$B$4&amp;CHAR(10)&amp;";//エラーNo.を入れる"&amp;CHAR(10)&amp;";"&amp;$B$9&amp;"	:= "&amp;O23&amp;";"&amp;CHAR(10)&amp;";//"&amp;$B$5,"")</f>
        <v/>
      </c>
      <c r="X23" t="str">
        <f t="shared" si="3"/>
        <v/>
      </c>
    </row>
    <row r="24" spans="4:24" x14ac:dyDescent="0.55000000000000004">
      <c r="D24">
        <v>22</v>
      </c>
      <c r="N24" t="str">
        <f t="shared" si="0"/>
        <v/>
      </c>
      <c r="O24" t="str">
        <f>IF(N24="●",INT(MID(E24,5,3)),"")</f>
        <v/>
      </c>
      <c r="P24" t="str">
        <f>IF($N24="●","LDP "&amp;E24&amp;"."&amp;$B$8,"")</f>
        <v/>
      </c>
      <c r="Q24" t="str">
        <f>IF($N24="●","AND=.D "&amp;$B$9&amp;" #0","")</f>
        <v/>
      </c>
      <c r="R24" t="str">
        <f>IF($N24="●","MOV.D #"&amp;O24&amp;" "&amp;$B$9,"")</f>
        <v/>
      </c>
      <c r="S24" t="str">
        <f>IF(AND(D24&lt;&gt;0,N24="●"),CHAR(10),"")&amp;IF(LEN(P24),P24,"")</f>
        <v/>
      </c>
      <c r="T24" t="str">
        <f t="shared" si="1"/>
        <v/>
      </c>
      <c r="U24" t="str">
        <f t="shared" si="2"/>
        <v/>
      </c>
      <c r="W24" t="str">
        <f>IF($N24="●","BOX_ST"&amp;CHAR(10)&amp;";//"&amp;$B$4&amp;CHAR(10)&amp;";//エラーNo.を入れる"&amp;CHAR(10)&amp;";"&amp;$B$9&amp;"	:= "&amp;O24&amp;";"&amp;CHAR(10)&amp;";//"&amp;$B$5,"")</f>
        <v/>
      </c>
      <c r="X24" t="str">
        <f t="shared" si="3"/>
        <v/>
      </c>
    </row>
    <row r="25" spans="4:24" x14ac:dyDescent="0.55000000000000004">
      <c r="D25">
        <v>23</v>
      </c>
      <c r="N25" t="str">
        <f t="shared" si="0"/>
        <v/>
      </c>
      <c r="O25" t="str">
        <f>IF(N25="●",INT(MID(E25,5,3)),"")</f>
        <v/>
      </c>
      <c r="P25" t="str">
        <f>IF($N25="●","LDP "&amp;E25&amp;"."&amp;$B$8,"")</f>
        <v/>
      </c>
      <c r="Q25" t="str">
        <f>IF($N25="●","AND=.D "&amp;$B$9&amp;" #0","")</f>
        <v/>
      </c>
      <c r="R25" t="str">
        <f>IF($N25="●","MOV.D #"&amp;O25&amp;" "&amp;$B$9,"")</f>
        <v/>
      </c>
      <c r="S25" t="str">
        <f>IF(AND(D25&lt;&gt;0,N25="●"),CHAR(10),"")&amp;IF(LEN(P25),P25,"")</f>
        <v/>
      </c>
      <c r="T25" t="str">
        <f t="shared" si="1"/>
        <v/>
      </c>
      <c r="U25" t="str">
        <f t="shared" si="2"/>
        <v/>
      </c>
      <c r="W25" t="str">
        <f>IF($N25="●","BOX_ST"&amp;CHAR(10)&amp;";//"&amp;$B$4&amp;CHAR(10)&amp;";//エラーNo.を入れる"&amp;CHAR(10)&amp;";"&amp;$B$9&amp;"	:= "&amp;O25&amp;";"&amp;CHAR(10)&amp;";//"&amp;$B$5,"")</f>
        <v/>
      </c>
      <c r="X25" t="str">
        <f t="shared" si="3"/>
        <v/>
      </c>
    </row>
    <row r="26" spans="4:24" x14ac:dyDescent="0.55000000000000004">
      <c r="D26">
        <v>24</v>
      </c>
      <c r="N26" t="str">
        <f t="shared" si="0"/>
        <v/>
      </c>
      <c r="O26" t="str">
        <f>IF(N26="●",INT(MID(E26,5,3)),"")</f>
        <v/>
      </c>
      <c r="P26" t="str">
        <f>IF($N26="●","LDP "&amp;E26&amp;"."&amp;$B$8,"")</f>
        <v/>
      </c>
      <c r="Q26" t="str">
        <f>IF($N26="●","AND=.D "&amp;$B$9&amp;" #0","")</f>
        <v/>
      </c>
      <c r="R26" t="str">
        <f>IF($N26="●","MOV.D #"&amp;O26&amp;" "&amp;$B$9,"")</f>
        <v/>
      </c>
      <c r="S26" t="str">
        <f>IF(AND(D26&lt;&gt;0,N26="●"),CHAR(10),"")&amp;IF(LEN(P26),P26,"")</f>
        <v/>
      </c>
      <c r="T26" t="str">
        <f t="shared" si="1"/>
        <v/>
      </c>
      <c r="U26" t="str">
        <f t="shared" si="2"/>
        <v/>
      </c>
      <c r="W26" t="str">
        <f>IF($N26="●","BOX_ST"&amp;CHAR(10)&amp;";//"&amp;$B$4&amp;CHAR(10)&amp;";//エラーNo.を入れる"&amp;CHAR(10)&amp;";"&amp;$B$9&amp;"	:= "&amp;O26&amp;";"&amp;CHAR(10)&amp;";//"&amp;$B$5,"")</f>
        <v/>
      </c>
      <c r="X26" t="str">
        <f t="shared" si="3"/>
        <v/>
      </c>
    </row>
    <row r="27" spans="4:24" x14ac:dyDescent="0.55000000000000004">
      <c r="D27">
        <v>25</v>
      </c>
      <c r="N27" t="str">
        <f t="shared" si="0"/>
        <v/>
      </c>
      <c r="O27" t="str">
        <f>IF(N27="●",INT(MID(E27,5,3)),"")</f>
        <v/>
      </c>
      <c r="P27" t="str">
        <f>IF($N27="●","LDP "&amp;E27&amp;"."&amp;$B$8,"")</f>
        <v/>
      </c>
      <c r="Q27" t="str">
        <f>IF($N27="●","AND=.D "&amp;$B$9&amp;" #0","")</f>
        <v/>
      </c>
      <c r="R27" t="str">
        <f>IF($N27="●","MOV.D #"&amp;O27&amp;" "&amp;$B$9,"")</f>
        <v/>
      </c>
      <c r="S27" t="str">
        <f>IF(AND(D27&lt;&gt;0,N27="●"),CHAR(10),"")&amp;IF(LEN(P27),P27,"")</f>
        <v/>
      </c>
      <c r="T27" t="str">
        <f t="shared" si="1"/>
        <v/>
      </c>
      <c r="U27" t="str">
        <f t="shared" si="2"/>
        <v/>
      </c>
      <c r="W27" t="str">
        <f>IF($N27="●","BOX_ST"&amp;CHAR(10)&amp;";//"&amp;$B$4&amp;CHAR(10)&amp;";//エラーNo.を入れる"&amp;CHAR(10)&amp;";"&amp;$B$9&amp;"	:= "&amp;O27&amp;";"&amp;CHAR(10)&amp;";//"&amp;$B$5,"")</f>
        <v/>
      </c>
      <c r="X27" t="str">
        <f t="shared" si="3"/>
        <v/>
      </c>
    </row>
    <row r="28" spans="4:24" x14ac:dyDescent="0.55000000000000004">
      <c r="D28">
        <v>26</v>
      </c>
      <c r="N28" t="str">
        <f t="shared" si="0"/>
        <v/>
      </c>
      <c r="O28" t="str">
        <f>IF(N28="●",INT(MID(E28,5,3)),"")</f>
        <v/>
      </c>
      <c r="P28" t="str">
        <f>IF($N28="●","LDP "&amp;E28&amp;"."&amp;$B$8,"")</f>
        <v/>
      </c>
      <c r="Q28" t="str">
        <f>IF($N28="●","AND=.D "&amp;$B$9&amp;" #0","")</f>
        <v/>
      </c>
      <c r="R28" t="str">
        <f>IF($N28="●","MOV.D #"&amp;O28&amp;" "&amp;$B$9,"")</f>
        <v/>
      </c>
      <c r="S28" t="str">
        <f>IF(AND(D28&lt;&gt;0,N28="●"),CHAR(10),"")&amp;IF(LEN(P28),P28,"")</f>
        <v/>
      </c>
      <c r="T28" t="str">
        <f t="shared" si="1"/>
        <v/>
      </c>
      <c r="U28" t="str">
        <f t="shared" si="2"/>
        <v/>
      </c>
      <c r="W28" t="str">
        <f>IF($N28="●","BOX_ST"&amp;CHAR(10)&amp;";//"&amp;$B$4&amp;CHAR(10)&amp;";//エラーNo.を入れる"&amp;CHAR(10)&amp;";"&amp;$B$9&amp;"	:= "&amp;O28&amp;";"&amp;CHAR(10)&amp;";//"&amp;$B$5,"")</f>
        <v/>
      </c>
      <c r="X28" t="str">
        <f t="shared" si="3"/>
        <v/>
      </c>
    </row>
    <row r="29" spans="4:24" x14ac:dyDescent="0.55000000000000004">
      <c r="D29">
        <v>27</v>
      </c>
      <c r="N29" t="str">
        <f t="shared" si="0"/>
        <v/>
      </c>
      <c r="O29" t="str">
        <f>IF(N29="●",INT(MID(E29,5,3)),"")</f>
        <v/>
      </c>
      <c r="P29" t="str">
        <f>IF($N29="●","LDP "&amp;E29&amp;"."&amp;$B$8,"")</f>
        <v/>
      </c>
      <c r="Q29" t="str">
        <f>IF($N29="●","AND=.D "&amp;$B$9&amp;" #0","")</f>
        <v/>
      </c>
      <c r="R29" t="str">
        <f>IF($N29="●","MOV.D #"&amp;O29&amp;" "&amp;$B$9,"")</f>
        <v/>
      </c>
      <c r="S29" t="str">
        <f>IF(AND(D29&lt;&gt;0,N29="●"),CHAR(10),"")&amp;IF(LEN(P29),P29,"")</f>
        <v/>
      </c>
      <c r="T29" t="str">
        <f t="shared" si="1"/>
        <v/>
      </c>
      <c r="U29" t="str">
        <f t="shared" si="2"/>
        <v/>
      </c>
      <c r="W29" t="str">
        <f>IF($N29="●","BOX_ST"&amp;CHAR(10)&amp;";//"&amp;$B$4&amp;CHAR(10)&amp;";//エラーNo.を入れる"&amp;CHAR(10)&amp;";"&amp;$B$9&amp;"	:= "&amp;O29&amp;";"&amp;CHAR(10)&amp;";//"&amp;$B$5,"")</f>
        <v/>
      </c>
      <c r="X29" t="str">
        <f t="shared" si="3"/>
        <v/>
      </c>
    </row>
    <row r="30" spans="4:24" x14ac:dyDescent="0.55000000000000004">
      <c r="D30">
        <v>28</v>
      </c>
      <c r="N30" t="str">
        <f t="shared" si="0"/>
        <v/>
      </c>
      <c r="O30" t="str">
        <f>IF(N30="●",INT(MID(E30,5,3)),"")</f>
        <v/>
      </c>
      <c r="P30" t="str">
        <f>IF($N30="●","LDP "&amp;E30&amp;"."&amp;$B$8,"")</f>
        <v/>
      </c>
      <c r="Q30" t="str">
        <f>IF($N30="●","AND=.D "&amp;$B$9&amp;" #0","")</f>
        <v/>
      </c>
      <c r="R30" t="str">
        <f>IF($N30="●","MOV.D #"&amp;O30&amp;" "&amp;$B$9,"")</f>
        <v/>
      </c>
      <c r="S30" t="str">
        <f>IF(AND(D30&lt;&gt;0,N30="●"),CHAR(10),"")&amp;IF(LEN(P30),P30,"")</f>
        <v/>
      </c>
      <c r="T30" t="str">
        <f t="shared" si="1"/>
        <v/>
      </c>
      <c r="U30" t="str">
        <f t="shared" si="2"/>
        <v/>
      </c>
      <c r="W30" t="str">
        <f>IF($N30="●","BOX_ST"&amp;CHAR(10)&amp;";//"&amp;$B$4&amp;CHAR(10)&amp;";//エラーNo.を入れる"&amp;CHAR(10)&amp;";"&amp;$B$9&amp;"	:= "&amp;O30&amp;";"&amp;CHAR(10)&amp;";//"&amp;$B$5,"")</f>
        <v/>
      </c>
      <c r="X30" t="str">
        <f t="shared" si="3"/>
        <v/>
      </c>
    </row>
    <row r="31" spans="4:24" x14ac:dyDescent="0.55000000000000004">
      <c r="D31">
        <v>29</v>
      </c>
      <c r="N31" t="str">
        <f t="shared" si="0"/>
        <v/>
      </c>
      <c r="O31" t="str">
        <f>IF(N31="●",INT(MID(E31,5,3)),"")</f>
        <v/>
      </c>
      <c r="P31" t="str">
        <f>IF($N31="●","LDP "&amp;E31&amp;"."&amp;$B$8,"")</f>
        <v/>
      </c>
      <c r="Q31" t="str">
        <f>IF($N31="●","AND=.D "&amp;$B$9&amp;" #0","")</f>
        <v/>
      </c>
      <c r="R31" t="str">
        <f>IF($N31="●","MOV.D #"&amp;O31&amp;" "&amp;$B$9,"")</f>
        <v/>
      </c>
      <c r="S31" t="str">
        <f>IF(AND(D31&lt;&gt;0,N31="●"),CHAR(10),"")&amp;IF(LEN(P31),P31,"")</f>
        <v/>
      </c>
      <c r="T31" t="str">
        <f t="shared" si="1"/>
        <v/>
      </c>
      <c r="U31" t="str">
        <f t="shared" si="2"/>
        <v/>
      </c>
      <c r="W31" t="str">
        <f>IF($N31="●","BOX_ST"&amp;CHAR(10)&amp;";//"&amp;$B$4&amp;CHAR(10)&amp;";//エラーNo.を入れる"&amp;CHAR(10)&amp;";"&amp;$B$9&amp;"	:= "&amp;O31&amp;";"&amp;CHAR(10)&amp;";//"&amp;$B$5,"")</f>
        <v/>
      </c>
      <c r="X31" t="str">
        <f t="shared" si="3"/>
        <v/>
      </c>
    </row>
    <row r="32" spans="4:24" x14ac:dyDescent="0.55000000000000004">
      <c r="D32">
        <v>30</v>
      </c>
      <c r="N32" t="str">
        <f t="shared" si="0"/>
        <v/>
      </c>
      <c r="O32" t="str">
        <f>IF(N32="●",INT(MID(E32,5,3)),"")</f>
        <v/>
      </c>
      <c r="P32" t="str">
        <f>IF($N32="●","LDP "&amp;E32&amp;"."&amp;$B$8,"")</f>
        <v/>
      </c>
      <c r="Q32" t="str">
        <f>IF($N32="●","AND=.D "&amp;$B$9&amp;" #0","")</f>
        <v/>
      </c>
      <c r="R32" t="str">
        <f>IF($N32="●","MOV.D #"&amp;O32&amp;" "&amp;$B$9,"")</f>
        <v/>
      </c>
      <c r="S32" t="str">
        <f>IF(AND(D32&lt;&gt;0,N32="●"),CHAR(10),"")&amp;IF(LEN(P32),P32,"")</f>
        <v/>
      </c>
      <c r="T32" t="str">
        <f t="shared" si="1"/>
        <v/>
      </c>
      <c r="U32" t="str">
        <f t="shared" si="2"/>
        <v/>
      </c>
      <c r="W32" t="str">
        <f>IF($N32="●","BOX_ST"&amp;CHAR(10)&amp;";//"&amp;$B$4&amp;CHAR(10)&amp;";//エラーNo.を入れる"&amp;CHAR(10)&amp;";"&amp;$B$9&amp;"	:= "&amp;O32&amp;";"&amp;CHAR(10)&amp;";//"&amp;$B$5,"")</f>
        <v/>
      </c>
      <c r="X32" t="str">
        <f t="shared" si="3"/>
        <v/>
      </c>
    </row>
    <row r="33" spans="4:24" x14ac:dyDescent="0.55000000000000004">
      <c r="D33">
        <v>31</v>
      </c>
      <c r="N33" t="str">
        <f t="shared" si="0"/>
        <v/>
      </c>
      <c r="O33" t="str">
        <f>IF(N33="●",INT(MID(E33,5,3)),"")</f>
        <v/>
      </c>
      <c r="P33" t="str">
        <f>IF($N33="●","LDP "&amp;E33&amp;"."&amp;$B$8,"")</f>
        <v/>
      </c>
      <c r="Q33" t="str">
        <f>IF($N33="●","AND=.D "&amp;$B$9&amp;" #0","")</f>
        <v/>
      </c>
      <c r="R33" t="str">
        <f>IF($N33="●","MOV.D #"&amp;O33&amp;" "&amp;$B$9,"")</f>
        <v/>
      </c>
      <c r="S33" t="str">
        <f>IF(AND(D33&lt;&gt;0,N33="●"),CHAR(10),"")&amp;IF(LEN(P33),P33,"")</f>
        <v/>
      </c>
      <c r="T33" t="str">
        <f t="shared" si="1"/>
        <v/>
      </c>
      <c r="U33" t="str">
        <f t="shared" si="2"/>
        <v/>
      </c>
      <c r="W33" t="str">
        <f>IF($N33="●","BOX_ST"&amp;CHAR(10)&amp;";//"&amp;$B$4&amp;CHAR(10)&amp;";//エラーNo.を入れる"&amp;CHAR(10)&amp;";"&amp;$B$9&amp;"	:= "&amp;O33&amp;";"&amp;CHAR(10)&amp;";//"&amp;$B$5,"")</f>
        <v/>
      </c>
      <c r="X33" t="str">
        <f t="shared" si="3"/>
        <v/>
      </c>
    </row>
    <row r="34" spans="4:24" x14ac:dyDescent="0.55000000000000004">
      <c r="D34">
        <v>32</v>
      </c>
      <c r="N34" t="str">
        <f t="shared" ref="N34:N65" si="4">IF(LEN(L34),IF(OR(COUNTIF(L34,"*◆*"),COUNTIF(L34,"*▼*")),"","●"),"")</f>
        <v/>
      </c>
      <c r="O34" t="str">
        <f>IF(N34="●",INT(MID(E34,5,3)),"")</f>
        <v/>
      </c>
      <c r="P34" t="str">
        <f>IF($N34="●","LDP "&amp;E34&amp;"."&amp;$B$8,"")</f>
        <v/>
      </c>
      <c r="Q34" t="str">
        <f>IF($N34="●","AND=.D "&amp;$B$9&amp;" #0","")</f>
        <v/>
      </c>
      <c r="R34" t="str">
        <f>IF($N34="●","MOV.D #"&amp;O34&amp;" "&amp;$B$9,"")</f>
        <v/>
      </c>
      <c r="S34" t="str">
        <f>IF(AND(D34&lt;&gt;0,N34="●"),CHAR(10),"")&amp;IF(LEN(P34),P34,"")</f>
        <v/>
      </c>
      <c r="T34" t="str">
        <f t="shared" ref="T34:T65" si="5">IF(LEN(S34),S34&amp;CHAR(10),"")&amp;IF(LEN(Q34),Q34,"")</f>
        <v/>
      </c>
      <c r="U34" t="str">
        <f t="shared" ref="U34:U65" si="6">IF(LEN(T34),T34&amp;CHAR(10),"")&amp;IF(LEN(R34),R34,"")</f>
        <v/>
      </c>
      <c r="W34" t="str">
        <f>IF($N34="●","BOX_ST"&amp;CHAR(10)&amp;";//"&amp;$B$4&amp;CHAR(10)&amp;";//エラーNo.を入れる"&amp;CHAR(10)&amp;";"&amp;$B$9&amp;"	:= "&amp;O34&amp;";"&amp;CHAR(10)&amp;";//"&amp;$B$5,"")</f>
        <v/>
      </c>
      <c r="X34" t="str">
        <f t="shared" ref="X34:X65" si="7">IF(LEN(T34),T34&amp;CHAR(10),"")&amp;IF(LEN(W34),W34,"")</f>
        <v/>
      </c>
    </row>
    <row r="35" spans="4:24" x14ac:dyDescent="0.55000000000000004">
      <c r="D35">
        <v>33</v>
      </c>
      <c r="N35" t="str">
        <f t="shared" si="4"/>
        <v/>
      </c>
      <c r="O35" t="str">
        <f>IF(N35="●",INT(MID(E35,5,3)),"")</f>
        <v/>
      </c>
      <c r="P35" t="str">
        <f>IF($N35="●","LDP "&amp;E35&amp;"."&amp;$B$8,"")</f>
        <v/>
      </c>
      <c r="Q35" t="str">
        <f>IF($N35="●","AND=.D "&amp;$B$9&amp;" #0","")</f>
        <v/>
      </c>
      <c r="R35" t="str">
        <f>IF($N35="●","MOV.D #"&amp;O35&amp;" "&amp;$B$9,"")</f>
        <v/>
      </c>
      <c r="S35" t="str">
        <f>IF(AND(D35&lt;&gt;0,N35="●"),CHAR(10),"")&amp;IF(LEN(P35),P35,"")</f>
        <v/>
      </c>
      <c r="T35" t="str">
        <f t="shared" si="5"/>
        <v/>
      </c>
      <c r="U35" t="str">
        <f t="shared" si="6"/>
        <v/>
      </c>
      <c r="W35" t="str">
        <f>IF($N35="●","BOX_ST"&amp;CHAR(10)&amp;";//"&amp;$B$4&amp;CHAR(10)&amp;";//エラーNo.を入れる"&amp;CHAR(10)&amp;";"&amp;$B$9&amp;"	:= "&amp;O35&amp;";"&amp;CHAR(10)&amp;";//"&amp;$B$5,"")</f>
        <v/>
      </c>
      <c r="X35" t="str">
        <f t="shared" si="7"/>
        <v/>
      </c>
    </row>
    <row r="36" spans="4:24" x14ac:dyDescent="0.55000000000000004">
      <c r="D36">
        <v>34</v>
      </c>
      <c r="N36" t="str">
        <f t="shared" si="4"/>
        <v/>
      </c>
      <c r="O36" t="str">
        <f>IF(N36="●",INT(MID(E36,5,3)),"")</f>
        <v/>
      </c>
      <c r="P36" t="str">
        <f>IF($N36="●","LDP "&amp;E36&amp;"."&amp;$B$8,"")</f>
        <v/>
      </c>
      <c r="Q36" t="str">
        <f>IF($N36="●","AND=.D "&amp;$B$9&amp;" #0","")</f>
        <v/>
      </c>
      <c r="R36" t="str">
        <f>IF($N36="●","MOV.D #"&amp;O36&amp;" "&amp;$B$9,"")</f>
        <v/>
      </c>
      <c r="S36" t="str">
        <f>IF(AND(D36&lt;&gt;0,N36="●"),CHAR(10),"")&amp;IF(LEN(P36),P36,"")</f>
        <v/>
      </c>
      <c r="T36" t="str">
        <f t="shared" si="5"/>
        <v/>
      </c>
      <c r="U36" t="str">
        <f t="shared" si="6"/>
        <v/>
      </c>
      <c r="W36" t="str">
        <f>IF($N36="●","BOX_ST"&amp;CHAR(10)&amp;";//"&amp;$B$4&amp;CHAR(10)&amp;";//エラーNo.を入れる"&amp;CHAR(10)&amp;";"&amp;$B$9&amp;"	:= "&amp;O36&amp;";"&amp;CHAR(10)&amp;";//"&amp;$B$5,"")</f>
        <v/>
      </c>
      <c r="X36" t="str">
        <f t="shared" si="7"/>
        <v/>
      </c>
    </row>
    <row r="37" spans="4:24" x14ac:dyDescent="0.55000000000000004">
      <c r="D37">
        <v>35</v>
      </c>
      <c r="N37" t="str">
        <f t="shared" si="4"/>
        <v/>
      </c>
      <c r="O37" t="str">
        <f>IF(N37="●",INT(MID(E37,5,3)),"")</f>
        <v/>
      </c>
      <c r="P37" t="str">
        <f>IF($N37="●","LDP "&amp;E37&amp;"."&amp;$B$8,"")</f>
        <v/>
      </c>
      <c r="Q37" t="str">
        <f>IF($N37="●","AND=.D "&amp;$B$9&amp;" #0","")</f>
        <v/>
      </c>
      <c r="R37" t="str">
        <f>IF($N37="●","MOV.D #"&amp;O37&amp;" "&amp;$B$9,"")</f>
        <v/>
      </c>
      <c r="S37" t="str">
        <f>IF(AND(D37&lt;&gt;0,N37="●"),CHAR(10),"")&amp;IF(LEN(P37),P37,"")</f>
        <v/>
      </c>
      <c r="T37" t="str">
        <f t="shared" si="5"/>
        <v/>
      </c>
      <c r="U37" t="str">
        <f t="shared" si="6"/>
        <v/>
      </c>
      <c r="W37" t="str">
        <f>IF($N37="●","BOX_ST"&amp;CHAR(10)&amp;";//"&amp;$B$4&amp;CHAR(10)&amp;";//エラーNo.を入れる"&amp;CHAR(10)&amp;";"&amp;$B$9&amp;"	:= "&amp;O37&amp;";"&amp;CHAR(10)&amp;";//"&amp;$B$5,"")</f>
        <v/>
      </c>
      <c r="X37" t="str">
        <f t="shared" si="7"/>
        <v/>
      </c>
    </row>
    <row r="38" spans="4:24" x14ac:dyDescent="0.55000000000000004">
      <c r="D38">
        <v>36</v>
      </c>
      <c r="N38" t="str">
        <f t="shared" si="4"/>
        <v/>
      </c>
      <c r="O38" t="str">
        <f>IF(N38="●",INT(MID(E38,5,3)),"")</f>
        <v/>
      </c>
      <c r="P38" t="str">
        <f>IF($N38="●","LDP "&amp;E38&amp;"."&amp;$B$8,"")</f>
        <v/>
      </c>
      <c r="Q38" t="str">
        <f>IF($N38="●","AND=.D "&amp;$B$9&amp;" #0","")</f>
        <v/>
      </c>
      <c r="R38" t="str">
        <f>IF($N38="●","MOV.D #"&amp;O38&amp;" "&amp;$B$9,"")</f>
        <v/>
      </c>
      <c r="S38" t="str">
        <f>IF(AND(D38&lt;&gt;0,N38="●"),CHAR(10),"")&amp;IF(LEN(P38),P38,"")</f>
        <v/>
      </c>
      <c r="T38" t="str">
        <f t="shared" si="5"/>
        <v/>
      </c>
      <c r="U38" t="str">
        <f t="shared" si="6"/>
        <v/>
      </c>
      <c r="W38" t="str">
        <f>IF($N38="●","BOX_ST"&amp;CHAR(10)&amp;";//"&amp;$B$4&amp;CHAR(10)&amp;";//エラーNo.を入れる"&amp;CHAR(10)&amp;";"&amp;$B$9&amp;"	:= "&amp;O38&amp;";"&amp;CHAR(10)&amp;";//"&amp;$B$5,"")</f>
        <v/>
      </c>
      <c r="X38" t="str">
        <f t="shared" si="7"/>
        <v/>
      </c>
    </row>
    <row r="39" spans="4:24" x14ac:dyDescent="0.55000000000000004">
      <c r="D39">
        <v>37</v>
      </c>
      <c r="N39" t="str">
        <f t="shared" si="4"/>
        <v/>
      </c>
      <c r="O39" t="str">
        <f>IF(N39="●",INT(MID(E39,5,3)),"")</f>
        <v/>
      </c>
      <c r="P39" t="str">
        <f>IF($N39="●","LDP "&amp;E39&amp;"."&amp;$B$8,"")</f>
        <v/>
      </c>
      <c r="Q39" t="str">
        <f>IF($N39="●","AND=.D "&amp;$B$9&amp;" #0","")</f>
        <v/>
      </c>
      <c r="R39" t="str">
        <f>IF($N39="●","MOV.D #"&amp;O39&amp;" "&amp;$B$9,"")</f>
        <v/>
      </c>
      <c r="S39" t="str">
        <f>IF(AND(D39&lt;&gt;0,N39="●"),CHAR(10),"")&amp;IF(LEN(P39),P39,"")</f>
        <v/>
      </c>
      <c r="T39" t="str">
        <f t="shared" si="5"/>
        <v/>
      </c>
      <c r="U39" t="str">
        <f t="shared" si="6"/>
        <v/>
      </c>
      <c r="W39" t="str">
        <f>IF($N39="●","BOX_ST"&amp;CHAR(10)&amp;";//"&amp;$B$4&amp;CHAR(10)&amp;";//エラーNo.を入れる"&amp;CHAR(10)&amp;";"&amp;$B$9&amp;"	:= "&amp;O39&amp;";"&amp;CHAR(10)&amp;";//"&amp;$B$5,"")</f>
        <v/>
      </c>
      <c r="X39" t="str">
        <f t="shared" si="7"/>
        <v/>
      </c>
    </row>
    <row r="40" spans="4:24" x14ac:dyDescent="0.55000000000000004">
      <c r="D40">
        <v>38</v>
      </c>
      <c r="N40" t="str">
        <f t="shared" si="4"/>
        <v/>
      </c>
      <c r="O40" t="str">
        <f>IF(N40="●",INT(MID(E40,5,3)),"")</f>
        <v/>
      </c>
      <c r="P40" t="str">
        <f>IF($N40="●","LDP "&amp;E40&amp;"."&amp;$B$8,"")</f>
        <v/>
      </c>
      <c r="Q40" t="str">
        <f>IF($N40="●","AND=.D "&amp;$B$9&amp;" #0","")</f>
        <v/>
      </c>
      <c r="R40" t="str">
        <f>IF($N40="●","MOV.D #"&amp;O40&amp;" "&amp;$B$9,"")</f>
        <v/>
      </c>
      <c r="S40" t="str">
        <f>IF(AND(D40&lt;&gt;0,N40="●"),CHAR(10),"")&amp;IF(LEN(P40),P40,"")</f>
        <v/>
      </c>
      <c r="T40" t="str">
        <f t="shared" si="5"/>
        <v/>
      </c>
      <c r="U40" t="str">
        <f t="shared" si="6"/>
        <v/>
      </c>
      <c r="W40" t="str">
        <f>IF($N40="●","BOX_ST"&amp;CHAR(10)&amp;";//"&amp;$B$4&amp;CHAR(10)&amp;";//エラーNo.を入れる"&amp;CHAR(10)&amp;";"&amp;$B$9&amp;"	:= "&amp;O40&amp;";"&amp;CHAR(10)&amp;";//"&amp;$B$5,"")</f>
        <v/>
      </c>
      <c r="X40" t="str">
        <f t="shared" si="7"/>
        <v/>
      </c>
    </row>
    <row r="41" spans="4:24" x14ac:dyDescent="0.55000000000000004">
      <c r="D41">
        <v>39</v>
      </c>
      <c r="N41" t="str">
        <f t="shared" si="4"/>
        <v/>
      </c>
      <c r="O41" t="str">
        <f>IF(N41="●",INT(MID(E41,5,3)),"")</f>
        <v/>
      </c>
      <c r="P41" t="str">
        <f>IF($N41="●","LDP "&amp;E41&amp;"."&amp;$B$8,"")</f>
        <v/>
      </c>
      <c r="Q41" t="str">
        <f>IF($N41="●","AND=.D "&amp;$B$9&amp;" #0","")</f>
        <v/>
      </c>
      <c r="R41" t="str">
        <f>IF($N41="●","MOV.D #"&amp;O41&amp;" "&amp;$B$9,"")</f>
        <v/>
      </c>
      <c r="S41" t="str">
        <f>IF(AND(D41&lt;&gt;0,N41="●"),CHAR(10),"")&amp;IF(LEN(P41),P41,"")</f>
        <v/>
      </c>
      <c r="T41" t="str">
        <f t="shared" si="5"/>
        <v/>
      </c>
      <c r="U41" t="str">
        <f t="shared" si="6"/>
        <v/>
      </c>
      <c r="W41" t="str">
        <f>IF($N41="●","BOX_ST"&amp;CHAR(10)&amp;";//"&amp;$B$4&amp;CHAR(10)&amp;";//エラーNo.を入れる"&amp;CHAR(10)&amp;";"&amp;$B$9&amp;"	:= "&amp;O41&amp;";"&amp;CHAR(10)&amp;";//"&amp;$B$5,"")</f>
        <v/>
      </c>
      <c r="X41" t="str">
        <f t="shared" si="7"/>
        <v/>
      </c>
    </row>
    <row r="42" spans="4:24" x14ac:dyDescent="0.55000000000000004">
      <c r="D42">
        <v>40</v>
      </c>
      <c r="N42" t="str">
        <f t="shared" si="4"/>
        <v/>
      </c>
      <c r="O42" t="str">
        <f>IF(N42="●",INT(MID(E42,5,3)),"")</f>
        <v/>
      </c>
      <c r="P42" t="str">
        <f>IF($N42="●","LDP "&amp;E42&amp;"."&amp;$B$8,"")</f>
        <v/>
      </c>
      <c r="Q42" t="str">
        <f>IF($N42="●","AND=.D "&amp;$B$9&amp;" #0","")</f>
        <v/>
      </c>
      <c r="R42" t="str">
        <f>IF($N42="●","MOV.D #"&amp;O42&amp;" "&amp;$B$9,"")</f>
        <v/>
      </c>
      <c r="S42" t="str">
        <f>IF(AND(D42&lt;&gt;0,N42="●"),CHAR(10),"")&amp;IF(LEN(P42),P42,"")</f>
        <v/>
      </c>
      <c r="T42" t="str">
        <f t="shared" si="5"/>
        <v/>
      </c>
      <c r="U42" t="str">
        <f t="shared" si="6"/>
        <v/>
      </c>
      <c r="W42" t="str">
        <f>IF($N42="●","BOX_ST"&amp;CHAR(10)&amp;";//"&amp;$B$4&amp;CHAR(10)&amp;";//エラーNo.を入れる"&amp;CHAR(10)&amp;";"&amp;$B$9&amp;"	:= "&amp;O42&amp;";"&amp;CHAR(10)&amp;";//"&amp;$B$5,"")</f>
        <v/>
      </c>
      <c r="X42" t="str">
        <f t="shared" si="7"/>
        <v/>
      </c>
    </row>
    <row r="43" spans="4:24" x14ac:dyDescent="0.55000000000000004">
      <c r="D43">
        <v>41</v>
      </c>
      <c r="N43" t="str">
        <f t="shared" si="4"/>
        <v/>
      </c>
      <c r="O43" t="str">
        <f>IF(N43="●",INT(MID(E43,5,3)),"")</f>
        <v/>
      </c>
      <c r="P43" t="str">
        <f>IF($N43="●","LDP "&amp;E43&amp;"."&amp;$B$8,"")</f>
        <v/>
      </c>
      <c r="Q43" t="str">
        <f>IF($N43="●","AND=.D "&amp;$B$9&amp;" #0","")</f>
        <v/>
      </c>
      <c r="R43" t="str">
        <f>IF($N43="●","MOV.D #"&amp;O43&amp;" "&amp;$B$9,"")</f>
        <v/>
      </c>
      <c r="S43" t="str">
        <f>IF(AND(D43&lt;&gt;0,N43="●"),CHAR(10),"")&amp;IF(LEN(P43),P43,"")</f>
        <v/>
      </c>
      <c r="T43" t="str">
        <f t="shared" si="5"/>
        <v/>
      </c>
      <c r="U43" t="str">
        <f t="shared" si="6"/>
        <v/>
      </c>
      <c r="W43" t="str">
        <f>IF($N43="●","BOX_ST"&amp;CHAR(10)&amp;";//"&amp;$B$4&amp;CHAR(10)&amp;";//エラーNo.を入れる"&amp;CHAR(10)&amp;";"&amp;$B$9&amp;"	:= "&amp;O43&amp;";"&amp;CHAR(10)&amp;";//"&amp;$B$5,"")</f>
        <v/>
      </c>
      <c r="X43" t="str">
        <f t="shared" si="7"/>
        <v/>
      </c>
    </row>
    <row r="44" spans="4:24" x14ac:dyDescent="0.55000000000000004">
      <c r="D44">
        <v>42</v>
      </c>
      <c r="N44" t="str">
        <f t="shared" si="4"/>
        <v/>
      </c>
      <c r="O44" t="str">
        <f>IF(N44="●",INT(MID(E44,5,3)),"")</f>
        <v/>
      </c>
      <c r="P44" t="str">
        <f>IF($N44="●","LDP "&amp;E44&amp;"."&amp;$B$8,"")</f>
        <v/>
      </c>
      <c r="Q44" t="str">
        <f>IF($N44="●","AND=.D "&amp;$B$9&amp;" #0","")</f>
        <v/>
      </c>
      <c r="R44" t="str">
        <f>IF($N44="●","MOV.D #"&amp;O44&amp;" "&amp;$B$9,"")</f>
        <v/>
      </c>
      <c r="S44" t="str">
        <f>IF(AND(D44&lt;&gt;0,N44="●"),CHAR(10),"")&amp;IF(LEN(P44),P44,"")</f>
        <v/>
      </c>
      <c r="T44" t="str">
        <f t="shared" si="5"/>
        <v/>
      </c>
      <c r="U44" t="str">
        <f t="shared" si="6"/>
        <v/>
      </c>
      <c r="W44" t="str">
        <f>IF($N44="●","BOX_ST"&amp;CHAR(10)&amp;";//"&amp;$B$4&amp;CHAR(10)&amp;";//エラーNo.を入れる"&amp;CHAR(10)&amp;";"&amp;$B$9&amp;"	:= "&amp;O44&amp;";"&amp;CHAR(10)&amp;";//"&amp;$B$5,"")</f>
        <v/>
      </c>
      <c r="X44" t="str">
        <f t="shared" si="7"/>
        <v/>
      </c>
    </row>
    <row r="45" spans="4:24" x14ac:dyDescent="0.55000000000000004">
      <c r="D45">
        <v>43</v>
      </c>
      <c r="N45" t="str">
        <f t="shared" si="4"/>
        <v/>
      </c>
      <c r="O45" t="str">
        <f>IF(N45="●",INT(MID(E45,5,3)),"")</f>
        <v/>
      </c>
      <c r="P45" t="str">
        <f>IF($N45="●","LDP "&amp;E45&amp;"."&amp;$B$8,"")</f>
        <v/>
      </c>
      <c r="Q45" t="str">
        <f>IF($N45="●","AND=.D "&amp;$B$9&amp;" #0","")</f>
        <v/>
      </c>
      <c r="R45" t="str">
        <f>IF($N45="●","MOV.D #"&amp;O45&amp;" "&amp;$B$9,"")</f>
        <v/>
      </c>
      <c r="S45" t="str">
        <f>IF(AND(D45&lt;&gt;0,N45="●"),CHAR(10),"")&amp;IF(LEN(P45),P45,"")</f>
        <v/>
      </c>
      <c r="T45" t="str">
        <f t="shared" si="5"/>
        <v/>
      </c>
      <c r="U45" t="str">
        <f t="shared" si="6"/>
        <v/>
      </c>
      <c r="W45" t="str">
        <f>IF($N45="●","BOX_ST"&amp;CHAR(10)&amp;";//"&amp;$B$4&amp;CHAR(10)&amp;";//エラーNo.を入れる"&amp;CHAR(10)&amp;";"&amp;$B$9&amp;"	:= "&amp;O45&amp;";"&amp;CHAR(10)&amp;";//"&amp;$B$5,"")</f>
        <v/>
      </c>
      <c r="X45" t="str">
        <f t="shared" si="7"/>
        <v/>
      </c>
    </row>
    <row r="46" spans="4:24" x14ac:dyDescent="0.55000000000000004">
      <c r="D46">
        <v>44</v>
      </c>
      <c r="N46" t="str">
        <f t="shared" si="4"/>
        <v/>
      </c>
      <c r="O46" t="str">
        <f>IF(N46="●",INT(MID(E46,5,3)),"")</f>
        <v/>
      </c>
      <c r="P46" t="str">
        <f>IF($N46="●","LDP "&amp;E46&amp;"."&amp;$B$8,"")</f>
        <v/>
      </c>
      <c r="Q46" t="str">
        <f>IF($N46="●","AND=.D "&amp;$B$9&amp;" #0","")</f>
        <v/>
      </c>
      <c r="R46" t="str">
        <f>IF($N46="●","MOV.D #"&amp;O46&amp;" "&amp;$B$9,"")</f>
        <v/>
      </c>
      <c r="S46" t="str">
        <f>IF(AND(D46&lt;&gt;0,N46="●"),CHAR(10),"")&amp;IF(LEN(P46),P46,"")</f>
        <v/>
      </c>
      <c r="T46" t="str">
        <f t="shared" si="5"/>
        <v/>
      </c>
      <c r="U46" t="str">
        <f t="shared" si="6"/>
        <v/>
      </c>
      <c r="W46" t="str">
        <f>IF($N46="●","BOX_ST"&amp;CHAR(10)&amp;";//"&amp;$B$4&amp;CHAR(10)&amp;";//エラーNo.を入れる"&amp;CHAR(10)&amp;";"&amp;$B$9&amp;"	:= "&amp;O46&amp;";"&amp;CHAR(10)&amp;";//"&amp;$B$5,"")</f>
        <v/>
      </c>
      <c r="X46" t="str">
        <f t="shared" si="7"/>
        <v/>
      </c>
    </row>
    <row r="47" spans="4:24" x14ac:dyDescent="0.55000000000000004">
      <c r="D47">
        <v>45</v>
      </c>
      <c r="N47" t="str">
        <f t="shared" si="4"/>
        <v/>
      </c>
      <c r="O47" t="str">
        <f>IF(N47="●",INT(MID(E47,5,3)),"")</f>
        <v/>
      </c>
      <c r="P47" t="str">
        <f>IF($N47="●","LDP "&amp;E47&amp;"."&amp;$B$8,"")</f>
        <v/>
      </c>
      <c r="Q47" t="str">
        <f>IF($N47="●","AND=.D "&amp;$B$9&amp;" #0","")</f>
        <v/>
      </c>
      <c r="R47" t="str">
        <f>IF($N47="●","MOV.D #"&amp;O47&amp;" "&amp;$B$9,"")</f>
        <v/>
      </c>
      <c r="S47" t="str">
        <f>IF(AND(D47&lt;&gt;0,N47="●"),CHAR(10),"")&amp;IF(LEN(P47),P47,"")</f>
        <v/>
      </c>
      <c r="T47" t="str">
        <f t="shared" si="5"/>
        <v/>
      </c>
      <c r="U47" t="str">
        <f t="shared" si="6"/>
        <v/>
      </c>
      <c r="W47" t="str">
        <f>IF($N47="●","BOX_ST"&amp;CHAR(10)&amp;";//"&amp;$B$4&amp;CHAR(10)&amp;";//エラーNo.を入れる"&amp;CHAR(10)&amp;";"&amp;$B$9&amp;"	:= "&amp;O47&amp;";"&amp;CHAR(10)&amp;";//"&amp;$B$5,"")</f>
        <v/>
      </c>
      <c r="X47" t="str">
        <f t="shared" si="7"/>
        <v/>
      </c>
    </row>
    <row r="48" spans="4:24" x14ac:dyDescent="0.55000000000000004">
      <c r="D48">
        <v>46</v>
      </c>
      <c r="N48" t="str">
        <f t="shared" si="4"/>
        <v/>
      </c>
      <c r="O48" t="str">
        <f>IF(N48="●",INT(MID(E48,5,3)),"")</f>
        <v/>
      </c>
      <c r="P48" t="str">
        <f>IF($N48="●","LDP "&amp;E48&amp;"."&amp;$B$8,"")</f>
        <v/>
      </c>
      <c r="Q48" t="str">
        <f>IF($N48="●","AND=.D "&amp;$B$9&amp;" #0","")</f>
        <v/>
      </c>
      <c r="R48" t="str">
        <f>IF($N48="●","MOV.D #"&amp;O48&amp;" "&amp;$B$9,"")</f>
        <v/>
      </c>
      <c r="S48" t="str">
        <f>IF(AND(D48&lt;&gt;0,N48="●"),CHAR(10),"")&amp;IF(LEN(P48),P48,"")</f>
        <v/>
      </c>
      <c r="T48" t="str">
        <f t="shared" si="5"/>
        <v/>
      </c>
      <c r="U48" t="str">
        <f t="shared" si="6"/>
        <v/>
      </c>
      <c r="W48" t="str">
        <f>IF($N48="●","BOX_ST"&amp;CHAR(10)&amp;";//"&amp;$B$4&amp;CHAR(10)&amp;";//エラーNo.を入れる"&amp;CHAR(10)&amp;";"&amp;$B$9&amp;"	:= "&amp;O48&amp;";"&amp;CHAR(10)&amp;";//"&amp;$B$5,"")</f>
        <v/>
      </c>
      <c r="X48" t="str">
        <f t="shared" si="7"/>
        <v/>
      </c>
    </row>
    <row r="49" spans="4:24" x14ac:dyDescent="0.55000000000000004">
      <c r="D49">
        <v>47</v>
      </c>
      <c r="N49" t="str">
        <f t="shared" si="4"/>
        <v/>
      </c>
      <c r="O49" t="str">
        <f>IF(N49="●",INT(MID(E49,5,3)),"")</f>
        <v/>
      </c>
      <c r="P49" t="str">
        <f>IF($N49="●","LDP "&amp;E49&amp;"."&amp;$B$8,"")</f>
        <v/>
      </c>
      <c r="Q49" t="str">
        <f>IF($N49="●","AND=.D "&amp;$B$9&amp;" #0","")</f>
        <v/>
      </c>
      <c r="R49" t="str">
        <f>IF($N49="●","MOV.D #"&amp;O49&amp;" "&amp;$B$9,"")</f>
        <v/>
      </c>
      <c r="S49" t="str">
        <f>IF(AND(D49&lt;&gt;0,N49="●"),CHAR(10),"")&amp;IF(LEN(P49),P49,"")</f>
        <v/>
      </c>
      <c r="T49" t="str">
        <f t="shared" si="5"/>
        <v/>
      </c>
      <c r="U49" t="str">
        <f t="shared" si="6"/>
        <v/>
      </c>
      <c r="W49" t="str">
        <f>IF($N49="●","BOX_ST"&amp;CHAR(10)&amp;";//"&amp;$B$4&amp;CHAR(10)&amp;";//エラーNo.を入れる"&amp;CHAR(10)&amp;";"&amp;$B$9&amp;"	:= "&amp;O49&amp;";"&amp;CHAR(10)&amp;";//"&amp;$B$5,"")</f>
        <v/>
      </c>
      <c r="X49" t="str">
        <f t="shared" si="7"/>
        <v/>
      </c>
    </row>
    <row r="50" spans="4:24" x14ac:dyDescent="0.55000000000000004">
      <c r="D50">
        <v>48</v>
      </c>
      <c r="N50" t="str">
        <f t="shared" si="4"/>
        <v/>
      </c>
      <c r="O50" t="str">
        <f>IF(N50="●",INT(MID(E50,5,3)),"")</f>
        <v/>
      </c>
      <c r="P50" t="str">
        <f>IF($N50="●","LDP "&amp;E50&amp;"."&amp;$B$8,"")</f>
        <v/>
      </c>
      <c r="Q50" t="str">
        <f>IF($N50="●","AND=.D "&amp;$B$9&amp;" #0","")</f>
        <v/>
      </c>
      <c r="R50" t="str">
        <f>IF($N50="●","MOV.D #"&amp;O50&amp;" "&amp;$B$9,"")</f>
        <v/>
      </c>
      <c r="S50" t="str">
        <f>IF(AND(D50&lt;&gt;0,N50="●"),CHAR(10),"")&amp;IF(LEN(P50),P50,"")</f>
        <v/>
      </c>
      <c r="T50" t="str">
        <f t="shared" si="5"/>
        <v/>
      </c>
      <c r="U50" t="str">
        <f t="shared" si="6"/>
        <v/>
      </c>
      <c r="W50" t="str">
        <f>IF($N50="●","BOX_ST"&amp;CHAR(10)&amp;";//"&amp;$B$4&amp;CHAR(10)&amp;";//エラーNo.を入れる"&amp;CHAR(10)&amp;";"&amp;$B$9&amp;"	:= "&amp;O50&amp;";"&amp;CHAR(10)&amp;";//"&amp;$B$5,"")</f>
        <v/>
      </c>
      <c r="X50" t="str">
        <f t="shared" si="7"/>
        <v/>
      </c>
    </row>
    <row r="51" spans="4:24" x14ac:dyDescent="0.55000000000000004">
      <c r="D51">
        <v>49</v>
      </c>
      <c r="N51" t="str">
        <f t="shared" si="4"/>
        <v/>
      </c>
      <c r="O51" t="str">
        <f>IF(N51="●",INT(MID(E51,5,3)),"")</f>
        <v/>
      </c>
      <c r="P51" t="str">
        <f>IF($N51="●","LDP "&amp;E51&amp;"."&amp;$B$8,"")</f>
        <v/>
      </c>
      <c r="Q51" t="str">
        <f>IF($N51="●","AND=.D "&amp;$B$9&amp;" #0","")</f>
        <v/>
      </c>
      <c r="R51" t="str">
        <f>IF($N51="●","MOV.D #"&amp;O51&amp;" "&amp;$B$9,"")</f>
        <v/>
      </c>
      <c r="S51" t="str">
        <f>IF(AND(D51&lt;&gt;0,N51="●"),CHAR(10),"")&amp;IF(LEN(P51),P51,"")</f>
        <v/>
      </c>
      <c r="T51" t="str">
        <f t="shared" si="5"/>
        <v/>
      </c>
      <c r="U51" t="str">
        <f t="shared" si="6"/>
        <v/>
      </c>
      <c r="W51" t="str">
        <f>IF($N51="●","BOX_ST"&amp;CHAR(10)&amp;";//"&amp;$B$4&amp;CHAR(10)&amp;";//エラーNo.を入れる"&amp;CHAR(10)&amp;";"&amp;$B$9&amp;"	:= "&amp;O51&amp;";"&amp;CHAR(10)&amp;";//"&amp;$B$5,"")</f>
        <v/>
      </c>
      <c r="X51" t="str">
        <f t="shared" si="7"/>
        <v/>
      </c>
    </row>
    <row r="52" spans="4:24" x14ac:dyDescent="0.55000000000000004">
      <c r="D52">
        <v>50</v>
      </c>
      <c r="N52" t="str">
        <f t="shared" si="4"/>
        <v/>
      </c>
      <c r="O52" t="str">
        <f>IF(N52="●",INT(MID(E52,5,3)),"")</f>
        <v/>
      </c>
      <c r="P52" t="str">
        <f>IF($N52="●","LDP "&amp;E52&amp;"."&amp;$B$8,"")</f>
        <v/>
      </c>
      <c r="Q52" t="str">
        <f>IF($N52="●","AND=.D "&amp;$B$9&amp;" #0","")</f>
        <v/>
      </c>
      <c r="R52" t="str">
        <f>IF($N52="●","MOV.D #"&amp;O52&amp;" "&amp;$B$9,"")</f>
        <v/>
      </c>
      <c r="S52" t="str">
        <f>IF(AND(D52&lt;&gt;0,N52="●"),CHAR(10),"")&amp;IF(LEN(P52),P52,"")</f>
        <v/>
      </c>
      <c r="T52" t="str">
        <f t="shared" si="5"/>
        <v/>
      </c>
      <c r="U52" t="str">
        <f t="shared" si="6"/>
        <v/>
      </c>
      <c r="W52" t="str">
        <f>IF($N52="●","BOX_ST"&amp;CHAR(10)&amp;";//"&amp;$B$4&amp;CHAR(10)&amp;";//エラーNo.を入れる"&amp;CHAR(10)&amp;";"&amp;$B$9&amp;"	:= "&amp;O52&amp;";"&amp;CHAR(10)&amp;";//"&amp;$B$5,"")</f>
        <v/>
      </c>
      <c r="X52" t="str">
        <f t="shared" si="7"/>
        <v/>
      </c>
    </row>
    <row r="53" spans="4:24" x14ac:dyDescent="0.55000000000000004">
      <c r="D53">
        <v>51</v>
      </c>
      <c r="N53" t="str">
        <f t="shared" si="4"/>
        <v/>
      </c>
      <c r="O53" t="str">
        <f>IF(N53="●",INT(MID(E53,5,3)),"")</f>
        <v/>
      </c>
      <c r="P53" t="str">
        <f>IF($N53="●","LDP "&amp;E53&amp;"."&amp;$B$8,"")</f>
        <v/>
      </c>
      <c r="Q53" t="str">
        <f>IF($N53="●","AND=.D "&amp;$B$9&amp;" #0","")</f>
        <v/>
      </c>
      <c r="R53" t="str">
        <f>IF($N53="●","MOV.D #"&amp;O53&amp;" "&amp;$B$9,"")</f>
        <v/>
      </c>
      <c r="S53" t="str">
        <f>IF(AND(D53&lt;&gt;0,N53="●"),CHAR(10),"")&amp;IF(LEN(P53),P53,"")</f>
        <v/>
      </c>
      <c r="T53" t="str">
        <f t="shared" si="5"/>
        <v/>
      </c>
      <c r="U53" t="str">
        <f t="shared" si="6"/>
        <v/>
      </c>
      <c r="W53" t="str">
        <f>IF($N53="●","BOX_ST"&amp;CHAR(10)&amp;";//"&amp;$B$4&amp;CHAR(10)&amp;";//エラーNo.を入れる"&amp;CHAR(10)&amp;";"&amp;$B$9&amp;"	:= "&amp;O53&amp;";"&amp;CHAR(10)&amp;";//"&amp;$B$5,"")</f>
        <v/>
      </c>
      <c r="X53" t="str">
        <f t="shared" si="7"/>
        <v/>
      </c>
    </row>
    <row r="54" spans="4:24" x14ac:dyDescent="0.55000000000000004">
      <c r="D54">
        <v>52</v>
      </c>
      <c r="N54" t="str">
        <f t="shared" si="4"/>
        <v/>
      </c>
      <c r="O54" t="str">
        <f>IF(N54="●",INT(MID(E54,5,3)),"")</f>
        <v/>
      </c>
      <c r="P54" t="str">
        <f>IF($N54="●","LDP "&amp;E54&amp;"."&amp;$B$8,"")</f>
        <v/>
      </c>
      <c r="Q54" t="str">
        <f>IF($N54="●","AND=.D "&amp;$B$9&amp;" #0","")</f>
        <v/>
      </c>
      <c r="R54" t="str">
        <f>IF($N54="●","MOV.D #"&amp;O54&amp;" "&amp;$B$9,"")</f>
        <v/>
      </c>
      <c r="S54" t="str">
        <f>IF(AND(D54&lt;&gt;0,N54="●"),CHAR(10),"")&amp;IF(LEN(P54),P54,"")</f>
        <v/>
      </c>
      <c r="T54" t="str">
        <f t="shared" si="5"/>
        <v/>
      </c>
      <c r="U54" t="str">
        <f t="shared" si="6"/>
        <v/>
      </c>
      <c r="W54" t="str">
        <f>IF($N54="●","BOX_ST"&amp;CHAR(10)&amp;";//"&amp;$B$4&amp;CHAR(10)&amp;";//エラーNo.を入れる"&amp;CHAR(10)&amp;";"&amp;$B$9&amp;"	:= "&amp;O54&amp;";"&amp;CHAR(10)&amp;";//"&amp;$B$5,"")</f>
        <v/>
      </c>
      <c r="X54" t="str">
        <f t="shared" si="7"/>
        <v/>
      </c>
    </row>
    <row r="55" spans="4:24" x14ac:dyDescent="0.55000000000000004">
      <c r="D55">
        <v>53</v>
      </c>
      <c r="N55" t="str">
        <f t="shared" si="4"/>
        <v/>
      </c>
      <c r="O55" t="str">
        <f>IF(N55="●",INT(MID(E55,5,3)),"")</f>
        <v/>
      </c>
      <c r="P55" t="str">
        <f>IF($N55="●","LDP "&amp;E55&amp;"."&amp;$B$8,"")</f>
        <v/>
      </c>
      <c r="Q55" t="str">
        <f>IF($N55="●","AND=.D "&amp;$B$9&amp;" #0","")</f>
        <v/>
      </c>
      <c r="R55" t="str">
        <f>IF($N55="●","MOV.D #"&amp;O55&amp;" "&amp;$B$9,"")</f>
        <v/>
      </c>
      <c r="S55" t="str">
        <f>IF(AND(D55&lt;&gt;0,N55="●"),CHAR(10),"")&amp;IF(LEN(P55),P55,"")</f>
        <v/>
      </c>
      <c r="T55" t="str">
        <f t="shared" si="5"/>
        <v/>
      </c>
      <c r="U55" t="str">
        <f t="shared" si="6"/>
        <v/>
      </c>
      <c r="W55" t="str">
        <f>IF($N55="●","BOX_ST"&amp;CHAR(10)&amp;";//"&amp;$B$4&amp;CHAR(10)&amp;";//エラーNo.を入れる"&amp;CHAR(10)&amp;";"&amp;$B$9&amp;"	:= "&amp;O55&amp;";"&amp;CHAR(10)&amp;";//"&amp;$B$5,"")</f>
        <v/>
      </c>
      <c r="X55" t="str">
        <f t="shared" si="7"/>
        <v/>
      </c>
    </row>
    <row r="56" spans="4:24" x14ac:dyDescent="0.55000000000000004">
      <c r="D56">
        <v>54</v>
      </c>
      <c r="N56" t="str">
        <f t="shared" si="4"/>
        <v/>
      </c>
      <c r="O56" t="str">
        <f>IF(N56="●",INT(MID(E56,5,3)),"")</f>
        <v/>
      </c>
      <c r="P56" t="str">
        <f>IF($N56="●","LDP "&amp;E56&amp;"."&amp;$B$8,"")</f>
        <v/>
      </c>
      <c r="Q56" t="str">
        <f>IF($N56="●","AND=.D "&amp;$B$9&amp;" #0","")</f>
        <v/>
      </c>
      <c r="R56" t="str">
        <f>IF($N56="●","MOV.D #"&amp;O56&amp;" "&amp;$B$9,"")</f>
        <v/>
      </c>
      <c r="S56" t="str">
        <f>IF(AND(D56&lt;&gt;0,N56="●"),CHAR(10),"")&amp;IF(LEN(P56),P56,"")</f>
        <v/>
      </c>
      <c r="T56" t="str">
        <f t="shared" si="5"/>
        <v/>
      </c>
      <c r="U56" t="str">
        <f t="shared" si="6"/>
        <v/>
      </c>
      <c r="W56" t="str">
        <f>IF($N56="●","BOX_ST"&amp;CHAR(10)&amp;";//"&amp;$B$4&amp;CHAR(10)&amp;";//エラーNo.を入れる"&amp;CHAR(10)&amp;";"&amp;$B$9&amp;"	:= "&amp;O56&amp;";"&amp;CHAR(10)&amp;";//"&amp;$B$5,"")</f>
        <v/>
      </c>
      <c r="X56" t="str">
        <f t="shared" si="7"/>
        <v/>
      </c>
    </row>
    <row r="57" spans="4:24" x14ac:dyDescent="0.55000000000000004">
      <c r="D57">
        <v>55</v>
      </c>
      <c r="N57" t="str">
        <f t="shared" si="4"/>
        <v/>
      </c>
      <c r="O57" t="str">
        <f>IF(N57="●",INT(MID(E57,5,3)),"")</f>
        <v/>
      </c>
      <c r="P57" t="str">
        <f>IF($N57="●","LDP "&amp;E57&amp;"."&amp;$B$8,"")</f>
        <v/>
      </c>
      <c r="Q57" t="str">
        <f>IF($N57="●","AND=.D "&amp;$B$9&amp;" #0","")</f>
        <v/>
      </c>
      <c r="R57" t="str">
        <f>IF($N57="●","MOV.D #"&amp;O57&amp;" "&amp;$B$9,"")</f>
        <v/>
      </c>
      <c r="S57" t="str">
        <f>IF(AND(D57&lt;&gt;0,N57="●"),CHAR(10),"")&amp;IF(LEN(P57),P57,"")</f>
        <v/>
      </c>
      <c r="T57" t="str">
        <f t="shared" si="5"/>
        <v/>
      </c>
      <c r="U57" t="str">
        <f t="shared" si="6"/>
        <v/>
      </c>
      <c r="W57" t="str">
        <f>IF($N57="●","BOX_ST"&amp;CHAR(10)&amp;";//"&amp;$B$4&amp;CHAR(10)&amp;";//エラーNo.を入れる"&amp;CHAR(10)&amp;";"&amp;$B$9&amp;"	:= "&amp;O57&amp;";"&amp;CHAR(10)&amp;";//"&amp;$B$5,"")</f>
        <v/>
      </c>
      <c r="X57" t="str">
        <f t="shared" si="7"/>
        <v/>
      </c>
    </row>
    <row r="58" spans="4:24" x14ac:dyDescent="0.55000000000000004">
      <c r="D58">
        <v>56</v>
      </c>
      <c r="N58" t="str">
        <f t="shared" si="4"/>
        <v/>
      </c>
      <c r="O58" t="str">
        <f>IF(N58="●",INT(MID(E58,5,3)),"")</f>
        <v/>
      </c>
      <c r="P58" t="str">
        <f>IF($N58="●","LDP "&amp;E58&amp;"."&amp;$B$8,"")</f>
        <v/>
      </c>
      <c r="Q58" t="str">
        <f>IF($N58="●","AND=.D "&amp;$B$9&amp;" #0","")</f>
        <v/>
      </c>
      <c r="R58" t="str">
        <f>IF($N58="●","MOV.D #"&amp;O58&amp;" "&amp;$B$9,"")</f>
        <v/>
      </c>
      <c r="S58" t="str">
        <f>IF(AND(D58&lt;&gt;0,N58="●"),CHAR(10),"")&amp;IF(LEN(P58),P58,"")</f>
        <v/>
      </c>
      <c r="T58" t="str">
        <f t="shared" si="5"/>
        <v/>
      </c>
      <c r="U58" t="str">
        <f t="shared" si="6"/>
        <v/>
      </c>
      <c r="W58" t="str">
        <f>IF($N58="●","BOX_ST"&amp;CHAR(10)&amp;";//"&amp;$B$4&amp;CHAR(10)&amp;";//エラーNo.を入れる"&amp;CHAR(10)&amp;";"&amp;$B$9&amp;"	:= "&amp;O58&amp;";"&amp;CHAR(10)&amp;";//"&amp;$B$5,"")</f>
        <v/>
      </c>
      <c r="X58" t="str">
        <f t="shared" si="7"/>
        <v/>
      </c>
    </row>
    <row r="59" spans="4:24" x14ac:dyDescent="0.55000000000000004">
      <c r="D59">
        <v>57</v>
      </c>
      <c r="N59" t="str">
        <f t="shared" si="4"/>
        <v/>
      </c>
      <c r="O59" t="str">
        <f>IF(N59="●",INT(MID(E59,5,3)),"")</f>
        <v/>
      </c>
      <c r="P59" t="str">
        <f>IF($N59="●","LDP "&amp;E59&amp;"."&amp;$B$8,"")</f>
        <v/>
      </c>
      <c r="Q59" t="str">
        <f>IF($N59="●","AND=.D "&amp;$B$9&amp;" #0","")</f>
        <v/>
      </c>
      <c r="R59" t="str">
        <f>IF($N59="●","MOV.D #"&amp;O59&amp;" "&amp;$B$9,"")</f>
        <v/>
      </c>
      <c r="S59" t="str">
        <f>IF(AND(D59&lt;&gt;0,N59="●"),CHAR(10),"")&amp;IF(LEN(P59),P59,"")</f>
        <v/>
      </c>
      <c r="T59" t="str">
        <f t="shared" si="5"/>
        <v/>
      </c>
      <c r="U59" t="str">
        <f t="shared" si="6"/>
        <v/>
      </c>
      <c r="W59" t="str">
        <f>IF($N59="●","BOX_ST"&amp;CHAR(10)&amp;";//"&amp;$B$4&amp;CHAR(10)&amp;";//エラーNo.を入れる"&amp;CHAR(10)&amp;";"&amp;$B$9&amp;"	:= "&amp;O59&amp;";"&amp;CHAR(10)&amp;";//"&amp;$B$5,"")</f>
        <v/>
      </c>
      <c r="X59" t="str">
        <f t="shared" si="7"/>
        <v/>
      </c>
    </row>
    <row r="60" spans="4:24" x14ac:dyDescent="0.55000000000000004">
      <c r="D60">
        <v>58</v>
      </c>
      <c r="N60" t="str">
        <f t="shared" si="4"/>
        <v/>
      </c>
      <c r="O60" t="str">
        <f>IF(N60="●",INT(MID(E60,5,3)),"")</f>
        <v/>
      </c>
      <c r="P60" t="str">
        <f>IF($N60="●","LDP "&amp;E60&amp;"."&amp;$B$8,"")</f>
        <v/>
      </c>
      <c r="Q60" t="str">
        <f>IF($N60="●","AND=.D "&amp;$B$9&amp;" #0","")</f>
        <v/>
      </c>
      <c r="R60" t="str">
        <f>IF($N60="●","MOV.D #"&amp;O60&amp;" "&amp;$B$9,"")</f>
        <v/>
      </c>
      <c r="S60" t="str">
        <f>IF(AND(D60&lt;&gt;0,N60="●"),CHAR(10),"")&amp;IF(LEN(P60),P60,"")</f>
        <v/>
      </c>
      <c r="T60" t="str">
        <f t="shared" si="5"/>
        <v/>
      </c>
      <c r="U60" t="str">
        <f t="shared" si="6"/>
        <v/>
      </c>
      <c r="W60" t="str">
        <f>IF($N60="●","BOX_ST"&amp;CHAR(10)&amp;";//"&amp;$B$4&amp;CHAR(10)&amp;";//エラーNo.を入れる"&amp;CHAR(10)&amp;";"&amp;$B$9&amp;"	:= "&amp;O60&amp;";"&amp;CHAR(10)&amp;";//"&amp;$B$5,"")</f>
        <v/>
      </c>
      <c r="X60" t="str">
        <f t="shared" si="7"/>
        <v/>
      </c>
    </row>
    <row r="61" spans="4:24" x14ac:dyDescent="0.55000000000000004">
      <c r="D61">
        <v>59</v>
      </c>
      <c r="N61" t="str">
        <f t="shared" si="4"/>
        <v/>
      </c>
      <c r="O61" t="str">
        <f>IF(N61="●",INT(MID(E61,5,3)),"")</f>
        <v/>
      </c>
      <c r="P61" t="str">
        <f>IF($N61="●","LDP "&amp;E61&amp;"."&amp;$B$8,"")</f>
        <v/>
      </c>
      <c r="Q61" t="str">
        <f>IF($N61="●","AND=.D "&amp;$B$9&amp;" #0","")</f>
        <v/>
      </c>
      <c r="R61" t="str">
        <f>IF($N61="●","MOV.D #"&amp;O61&amp;" "&amp;$B$9,"")</f>
        <v/>
      </c>
      <c r="S61" t="str">
        <f>IF(AND(D61&lt;&gt;0,N61="●"),CHAR(10),"")&amp;IF(LEN(P61),P61,"")</f>
        <v/>
      </c>
      <c r="T61" t="str">
        <f t="shared" si="5"/>
        <v/>
      </c>
      <c r="U61" t="str">
        <f t="shared" si="6"/>
        <v/>
      </c>
      <c r="W61" t="str">
        <f>IF($N61="●","BOX_ST"&amp;CHAR(10)&amp;";//"&amp;$B$4&amp;CHAR(10)&amp;";//エラーNo.を入れる"&amp;CHAR(10)&amp;";"&amp;$B$9&amp;"	:= "&amp;O61&amp;";"&amp;CHAR(10)&amp;";//"&amp;$B$5,"")</f>
        <v/>
      </c>
      <c r="X61" t="str">
        <f t="shared" si="7"/>
        <v/>
      </c>
    </row>
    <row r="62" spans="4:24" x14ac:dyDescent="0.55000000000000004">
      <c r="D62">
        <v>60</v>
      </c>
      <c r="N62" t="str">
        <f t="shared" si="4"/>
        <v/>
      </c>
      <c r="O62" t="str">
        <f>IF(N62="●",INT(MID(E62,5,3)),"")</f>
        <v/>
      </c>
      <c r="P62" t="str">
        <f>IF($N62="●","LDP "&amp;E62&amp;"."&amp;$B$8,"")</f>
        <v/>
      </c>
      <c r="Q62" t="str">
        <f>IF($N62="●","AND=.D "&amp;$B$9&amp;" #0","")</f>
        <v/>
      </c>
      <c r="R62" t="str">
        <f>IF($N62="●","MOV.D #"&amp;O62&amp;" "&amp;$B$9,"")</f>
        <v/>
      </c>
      <c r="S62" t="str">
        <f>IF(AND(D62&lt;&gt;0,N62="●"),CHAR(10),"")&amp;IF(LEN(P62),P62,"")</f>
        <v/>
      </c>
      <c r="T62" t="str">
        <f t="shared" si="5"/>
        <v/>
      </c>
      <c r="U62" t="str">
        <f t="shared" si="6"/>
        <v/>
      </c>
      <c r="W62" t="str">
        <f>IF($N62="●","BOX_ST"&amp;CHAR(10)&amp;";//"&amp;$B$4&amp;CHAR(10)&amp;";//エラーNo.を入れる"&amp;CHAR(10)&amp;";"&amp;$B$9&amp;"	:= "&amp;O62&amp;";"&amp;CHAR(10)&amp;";//"&amp;$B$5,"")</f>
        <v/>
      </c>
      <c r="X62" t="str">
        <f t="shared" si="7"/>
        <v/>
      </c>
    </row>
    <row r="63" spans="4:24" x14ac:dyDescent="0.55000000000000004">
      <c r="D63">
        <v>61</v>
      </c>
      <c r="N63" t="str">
        <f t="shared" si="4"/>
        <v/>
      </c>
      <c r="O63" t="str">
        <f>IF(N63="●",INT(MID(E63,5,3)),"")</f>
        <v/>
      </c>
      <c r="P63" t="str">
        <f>IF($N63="●","LDP "&amp;E63&amp;"."&amp;$B$8,"")</f>
        <v/>
      </c>
      <c r="Q63" t="str">
        <f>IF($N63="●","AND=.D "&amp;$B$9&amp;" #0","")</f>
        <v/>
      </c>
      <c r="R63" t="str">
        <f>IF($N63="●","MOV.D #"&amp;O63&amp;" "&amp;$B$9,"")</f>
        <v/>
      </c>
      <c r="S63" t="str">
        <f>IF(AND(D63&lt;&gt;0,N63="●"),CHAR(10),"")&amp;IF(LEN(P63),P63,"")</f>
        <v/>
      </c>
      <c r="T63" t="str">
        <f t="shared" si="5"/>
        <v/>
      </c>
      <c r="U63" t="str">
        <f t="shared" si="6"/>
        <v/>
      </c>
      <c r="W63" t="str">
        <f>IF($N63="●","BOX_ST"&amp;CHAR(10)&amp;";//"&amp;$B$4&amp;CHAR(10)&amp;";//エラーNo.を入れる"&amp;CHAR(10)&amp;";"&amp;$B$9&amp;"	:= "&amp;O63&amp;";"&amp;CHAR(10)&amp;";//"&amp;$B$5,"")</f>
        <v/>
      </c>
      <c r="X63" t="str">
        <f t="shared" si="7"/>
        <v/>
      </c>
    </row>
    <row r="64" spans="4:24" x14ac:dyDescent="0.55000000000000004">
      <c r="D64">
        <v>62</v>
      </c>
      <c r="N64" t="str">
        <f t="shared" si="4"/>
        <v/>
      </c>
      <c r="O64" t="str">
        <f>IF(N64="●",INT(MID(E64,5,3)),"")</f>
        <v/>
      </c>
      <c r="P64" t="str">
        <f>IF($N64="●","LDP "&amp;E64&amp;"."&amp;$B$8,"")</f>
        <v/>
      </c>
      <c r="Q64" t="str">
        <f>IF($N64="●","AND=.D "&amp;$B$9&amp;" #0","")</f>
        <v/>
      </c>
      <c r="R64" t="str">
        <f>IF($N64="●","MOV.D #"&amp;O64&amp;" "&amp;$B$9,"")</f>
        <v/>
      </c>
      <c r="S64" t="str">
        <f>IF(AND(D64&lt;&gt;0,N64="●"),CHAR(10),"")&amp;IF(LEN(P64),P64,"")</f>
        <v/>
      </c>
      <c r="T64" t="str">
        <f t="shared" si="5"/>
        <v/>
      </c>
      <c r="U64" t="str">
        <f t="shared" si="6"/>
        <v/>
      </c>
      <c r="W64" t="str">
        <f>IF($N64="●","BOX_ST"&amp;CHAR(10)&amp;";//"&amp;$B$4&amp;CHAR(10)&amp;";//エラーNo.を入れる"&amp;CHAR(10)&amp;";"&amp;$B$9&amp;"	:= "&amp;O64&amp;";"&amp;CHAR(10)&amp;";//"&amp;$B$5,"")</f>
        <v/>
      </c>
      <c r="X64" t="str">
        <f t="shared" si="7"/>
        <v/>
      </c>
    </row>
    <row r="65" spans="4:24" x14ac:dyDescent="0.55000000000000004">
      <c r="D65">
        <v>63</v>
      </c>
      <c r="N65" t="str">
        <f t="shared" si="4"/>
        <v/>
      </c>
      <c r="O65" t="str">
        <f>IF(N65="●",INT(MID(E65,5,3)),"")</f>
        <v/>
      </c>
      <c r="P65" t="str">
        <f>IF($N65="●","LDP "&amp;E65&amp;"."&amp;$B$8,"")</f>
        <v/>
      </c>
      <c r="Q65" t="str">
        <f>IF($N65="●","AND=.D "&amp;$B$9&amp;" #0","")</f>
        <v/>
      </c>
      <c r="R65" t="str">
        <f>IF($N65="●","MOV.D #"&amp;O65&amp;" "&amp;$B$9,"")</f>
        <v/>
      </c>
      <c r="S65" t="str">
        <f>IF(AND(D65&lt;&gt;0,N65="●"),CHAR(10),"")&amp;IF(LEN(P65),P65,"")</f>
        <v/>
      </c>
      <c r="T65" t="str">
        <f t="shared" si="5"/>
        <v/>
      </c>
      <c r="U65" t="str">
        <f t="shared" si="6"/>
        <v/>
      </c>
      <c r="W65" t="str">
        <f>IF($N65="●","BOX_ST"&amp;CHAR(10)&amp;";//"&amp;$B$4&amp;CHAR(10)&amp;";//エラーNo.を入れる"&amp;CHAR(10)&amp;";"&amp;$B$9&amp;"	:= "&amp;O65&amp;";"&amp;CHAR(10)&amp;";//"&amp;$B$5,"")</f>
        <v/>
      </c>
      <c r="X65" t="str">
        <f t="shared" si="7"/>
        <v/>
      </c>
    </row>
    <row r="66" spans="4:24" x14ac:dyDescent="0.55000000000000004">
      <c r="D66">
        <v>64</v>
      </c>
      <c r="N66" t="str">
        <f t="shared" ref="N66:N101" si="8">IF(LEN(L66),IF(OR(COUNTIF(L66,"*◆*"),COUNTIF(L66,"*▼*")),"","●"),"")</f>
        <v/>
      </c>
      <c r="O66" t="str">
        <f>IF(N66="●",INT(MID(E66,5,3)),"")</f>
        <v/>
      </c>
      <c r="P66" t="str">
        <f>IF($N66="●","LDP "&amp;E66&amp;"."&amp;$B$8,"")</f>
        <v/>
      </c>
      <c r="Q66" t="str">
        <f>IF($N66="●","AND=.D "&amp;$B$9&amp;" #0","")</f>
        <v/>
      </c>
      <c r="R66" t="str">
        <f>IF($N66="●","MOV.D #"&amp;O66&amp;" "&amp;$B$9,"")</f>
        <v/>
      </c>
      <c r="S66" t="str">
        <f>IF(AND(D66&lt;&gt;0,N66="●"),CHAR(10),"")&amp;IF(LEN(P66),P66,"")</f>
        <v/>
      </c>
      <c r="T66" t="str">
        <f t="shared" ref="T66:T97" si="9">IF(LEN(S66),S66&amp;CHAR(10),"")&amp;IF(LEN(Q66),Q66,"")</f>
        <v/>
      </c>
      <c r="U66" t="str">
        <f t="shared" ref="U66:U97" si="10">IF(LEN(T66),T66&amp;CHAR(10),"")&amp;IF(LEN(R66),R66,"")</f>
        <v/>
      </c>
      <c r="W66" t="str">
        <f>IF($N66="●","BOX_ST"&amp;CHAR(10)&amp;";//"&amp;$B$4&amp;CHAR(10)&amp;";//エラーNo.を入れる"&amp;CHAR(10)&amp;";"&amp;$B$9&amp;"	:= "&amp;O66&amp;";"&amp;CHAR(10)&amp;";//"&amp;$B$5,"")</f>
        <v/>
      </c>
      <c r="X66" t="str">
        <f t="shared" ref="X66:X97" si="11">IF(LEN(T66),T66&amp;CHAR(10),"")&amp;IF(LEN(W66),W66,"")</f>
        <v/>
      </c>
    </row>
    <row r="67" spans="4:24" x14ac:dyDescent="0.55000000000000004">
      <c r="D67">
        <v>65</v>
      </c>
      <c r="N67" t="str">
        <f t="shared" si="8"/>
        <v/>
      </c>
      <c r="O67" t="str">
        <f>IF(N67="●",INT(MID(E67,5,3)),"")</f>
        <v/>
      </c>
      <c r="P67" t="str">
        <f>IF($N67="●","LDP "&amp;E67&amp;"."&amp;$B$8,"")</f>
        <v/>
      </c>
      <c r="Q67" t="str">
        <f>IF($N67="●","AND=.D "&amp;$B$9&amp;" #0","")</f>
        <v/>
      </c>
      <c r="R67" t="str">
        <f>IF($N67="●","MOV.D #"&amp;O67&amp;" "&amp;$B$9,"")</f>
        <v/>
      </c>
      <c r="S67" t="str">
        <f>IF(AND(D67&lt;&gt;0,N67="●"),CHAR(10),"")&amp;IF(LEN(P67),P67,"")</f>
        <v/>
      </c>
      <c r="T67" t="str">
        <f t="shared" si="9"/>
        <v/>
      </c>
      <c r="U67" t="str">
        <f t="shared" si="10"/>
        <v/>
      </c>
      <c r="W67" t="str">
        <f>IF($N67="●","BOX_ST"&amp;CHAR(10)&amp;";//"&amp;$B$4&amp;CHAR(10)&amp;";//エラーNo.を入れる"&amp;CHAR(10)&amp;";"&amp;$B$9&amp;"	:= "&amp;O67&amp;";"&amp;CHAR(10)&amp;";//"&amp;$B$5,"")</f>
        <v/>
      </c>
      <c r="X67" t="str">
        <f t="shared" si="11"/>
        <v/>
      </c>
    </row>
    <row r="68" spans="4:24" x14ac:dyDescent="0.55000000000000004">
      <c r="D68">
        <v>66</v>
      </c>
      <c r="N68" t="str">
        <f t="shared" si="8"/>
        <v/>
      </c>
      <c r="O68" t="str">
        <f>IF(N68="●",INT(MID(E68,5,3)),"")</f>
        <v/>
      </c>
      <c r="P68" t="str">
        <f>IF($N68="●","LDP "&amp;E68&amp;"."&amp;$B$8,"")</f>
        <v/>
      </c>
      <c r="Q68" t="str">
        <f>IF($N68="●","AND=.D "&amp;$B$9&amp;" #0","")</f>
        <v/>
      </c>
      <c r="R68" t="str">
        <f>IF($N68="●","MOV.D #"&amp;O68&amp;" "&amp;$B$9,"")</f>
        <v/>
      </c>
      <c r="S68" t="str">
        <f>IF(AND(D68&lt;&gt;0,N68="●"),CHAR(10),"")&amp;IF(LEN(P68),P68,"")</f>
        <v/>
      </c>
      <c r="T68" t="str">
        <f t="shared" si="9"/>
        <v/>
      </c>
      <c r="U68" t="str">
        <f t="shared" si="10"/>
        <v/>
      </c>
      <c r="W68" t="str">
        <f>IF($N68="●","BOX_ST"&amp;CHAR(10)&amp;";//"&amp;$B$4&amp;CHAR(10)&amp;";//エラーNo.を入れる"&amp;CHAR(10)&amp;";"&amp;$B$9&amp;"	:= "&amp;O68&amp;";"&amp;CHAR(10)&amp;";//"&amp;$B$5,"")</f>
        <v/>
      </c>
      <c r="X68" t="str">
        <f t="shared" si="11"/>
        <v/>
      </c>
    </row>
    <row r="69" spans="4:24" x14ac:dyDescent="0.55000000000000004">
      <c r="D69">
        <v>67</v>
      </c>
      <c r="N69" t="str">
        <f t="shared" si="8"/>
        <v/>
      </c>
      <c r="O69" t="str">
        <f>IF(N69="●",INT(MID(E69,5,3)),"")</f>
        <v/>
      </c>
      <c r="P69" t="str">
        <f>IF($N69="●","LDP "&amp;E69&amp;"."&amp;$B$8,"")</f>
        <v/>
      </c>
      <c r="Q69" t="str">
        <f>IF($N69="●","AND=.D "&amp;$B$9&amp;" #0","")</f>
        <v/>
      </c>
      <c r="R69" t="str">
        <f>IF($N69="●","MOV.D #"&amp;O69&amp;" "&amp;$B$9,"")</f>
        <v/>
      </c>
      <c r="S69" t="str">
        <f>IF(AND(D69&lt;&gt;0,N69="●"),CHAR(10),"")&amp;IF(LEN(P69),P69,"")</f>
        <v/>
      </c>
      <c r="T69" t="str">
        <f t="shared" si="9"/>
        <v/>
      </c>
      <c r="U69" t="str">
        <f t="shared" si="10"/>
        <v/>
      </c>
      <c r="W69" t="str">
        <f>IF($N69="●","BOX_ST"&amp;CHAR(10)&amp;";//"&amp;$B$4&amp;CHAR(10)&amp;";//エラーNo.を入れる"&amp;CHAR(10)&amp;";"&amp;$B$9&amp;"	:= "&amp;O69&amp;";"&amp;CHAR(10)&amp;";//"&amp;$B$5,"")</f>
        <v/>
      </c>
      <c r="X69" t="str">
        <f t="shared" si="11"/>
        <v/>
      </c>
    </row>
    <row r="70" spans="4:24" x14ac:dyDescent="0.55000000000000004">
      <c r="D70">
        <v>68</v>
      </c>
      <c r="N70" t="str">
        <f t="shared" si="8"/>
        <v/>
      </c>
      <c r="O70" t="str">
        <f>IF(N70="●",INT(MID(E70,5,3)),"")</f>
        <v/>
      </c>
      <c r="P70" t="str">
        <f>IF($N70="●","LDP "&amp;E70&amp;"."&amp;$B$8,"")</f>
        <v/>
      </c>
      <c r="Q70" t="str">
        <f>IF($N70="●","AND=.D "&amp;$B$9&amp;" #0","")</f>
        <v/>
      </c>
      <c r="R70" t="str">
        <f>IF($N70="●","MOV.D #"&amp;O70&amp;" "&amp;$B$9,"")</f>
        <v/>
      </c>
      <c r="S70" t="str">
        <f>IF(AND(D70&lt;&gt;0,N70="●"),CHAR(10),"")&amp;IF(LEN(P70),P70,"")</f>
        <v/>
      </c>
      <c r="T70" t="str">
        <f t="shared" si="9"/>
        <v/>
      </c>
      <c r="U70" t="str">
        <f t="shared" si="10"/>
        <v/>
      </c>
      <c r="W70" t="str">
        <f>IF($N70="●","BOX_ST"&amp;CHAR(10)&amp;";//"&amp;$B$4&amp;CHAR(10)&amp;";//エラーNo.を入れる"&amp;CHAR(10)&amp;";"&amp;$B$9&amp;"	:= "&amp;O70&amp;";"&amp;CHAR(10)&amp;";//"&amp;$B$5,"")</f>
        <v/>
      </c>
      <c r="X70" t="str">
        <f t="shared" si="11"/>
        <v/>
      </c>
    </row>
    <row r="71" spans="4:24" x14ac:dyDescent="0.55000000000000004">
      <c r="D71">
        <v>69</v>
      </c>
      <c r="N71" t="str">
        <f t="shared" si="8"/>
        <v/>
      </c>
      <c r="O71" t="str">
        <f>IF(N71="●",INT(MID(E71,5,3)),"")</f>
        <v/>
      </c>
      <c r="P71" t="str">
        <f>IF($N71="●","LDP "&amp;E71&amp;"."&amp;$B$8,"")</f>
        <v/>
      </c>
      <c r="Q71" t="str">
        <f>IF($N71="●","AND=.D "&amp;$B$9&amp;" #0","")</f>
        <v/>
      </c>
      <c r="R71" t="str">
        <f>IF($N71="●","MOV.D #"&amp;O71&amp;" "&amp;$B$9,"")</f>
        <v/>
      </c>
      <c r="S71" t="str">
        <f>IF(AND(D71&lt;&gt;0,N71="●"),CHAR(10),"")&amp;IF(LEN(P71),P71,"")</f>
        <v/>
      </c>
      <c r="T71" t="str">
        <f t="shared" si="9"/>
        <v/>
      </c>
      <c r="U71" t="str">
        <f t="shared" si="10"/>
        <v/>
      </c>
      <c r="W71" t="str">
        <f>IF($N71="●","BOX_ST"&amp;CHAR(10)&amp;";//"&amp;$B$4&amp;CHAR(10)&amp;";//エラーNo.を入れる"&amp;CHAR(10)&amp;";"&amp;$B$9&amp;"	:= "&amp;O71&amp;";"&amp;CHAR(10)&amp;";//"&amp;$B$5,"")</f>
        <v/>
      </c>
      <c r="X71" t="str">
        <f t="shared" si="11"/>
        <v/>
      </c>
    </row>
    <row r="72" spans="4:24" x14ac:dyDescent="0.55000000000000004">
      <c r="D72">
        <v>70</v>
      </c>
      <c r="N72" t="str">
        <f t="shared" si="8"/>
        <v/>
      </c>
      <c r="O72" t="str">
        <f>IF(N72="●",INT(MID(E72,5,3)),"")</f>
        <v/>
      </c>
      <c r="P72" t="str">
        <f>IF($N72="●","LDP "&amp;E72&amp;"."&amp;$B$8,"")</f>
        <v/>
      </c>
      <c r="Q72" t="str">
        <f>IF($N72="●","AND=.D "&amp;$B$9&amp;" #0","")</f>
        <v/>
      </c>
      <c r="R72" t="str">
        <f>IF($N72="●","MOV.D #"&amp;O72&amp;" "&amp;$B$9,"")</f>
        <v/>
      </c>
      <c r="S72" t="str">
        <f>IF(AND(D72&lt;&gt;0,N72="●"),CHAR(10),"")&amp;IF(LEN(P72),P72,"")</f>
        <v/>
      </c>
      <c r="T72" t="str">
        <f t="shared" si="9"/>
        <v/>
      </c>
      <c r="U72" t="str">
        <f t="shared" si="10"/>
        <v/>
      </c>
      <c r="W72" t="str">
        <f>IF($N72="●","BOX_ST"&amp;CHAR(10)&amp;";//"&amp;$B$4&amp;CHAR(10)&amp;";//エラーNo.を入れる"&amp;CHAR(10)&amp;";"&amp;$B$9&amp;"	:= "&amp;O72&amp;";"&amp;CHAR(10)&amp;";//"&amp;$B$5,"")</f>
        <v/>
      </c>
      <c r="X72" t="str">
        <f t="shared" si="11"/>
        <v/>
      </c>
    </row>
    <row r="73" spans="4:24" x14ac:dyDescent="0.55000000000000004">
      <c r="D73">
        <v>71</v>
      </c>
      <c r="N73" t="str">
        <f t="shared" si="8"/>
        <v/>
      </c>
      <c r="O73" t="str">
        <f>IF(N73="●",INT(MID(E73,5,3)),"")</f>
        <v/>
      </c>
      <c r="P73" t="str">
        <f>IF($N73="●","LDP "&amp;E73&amp;"."&amp;$B$8,"")</f>
        <v/>
      </c>
      <c r="Q73" t="str">
        <f>IF($N73="●","AND=.D "&amp;$B$9&amp;" #0","")</f>
        <v/>
      </c>
      <c r="R73" t="str">
        <f>IF($N73="●","MOV.D #"&amp;O73&amp;" "&amp;$B$9,"")</f>
        <v/>
      </c>
      <c r="S73" t="str">
        <f>IF(AND(D73&lt;&gt;0,N73="●"),CHAR(10),"")&amp;IF(LEN(P73),P73,"")</f>
        <v/>
      </c>
      <c r="T73" t="str">
        <f t="shared" si="9"/>
        <v/>
      </c>
      <c r="U73" t="str">
        <f t="shared" si="10"/>
        <v/>
      </c>
      <c r="W73" t="str">
        <f>IF($N73="●","BOX_ST"&amp;CHAR(10)&amp;";//"&amp;$B$4&amp;CHAR(10)&amp;";//エラーNo.を入れる"&amp;CHAR(10)&amp;";"&amp;$B$9&amp;"	:= "&amp;O73&amp;";"&amp;CHAR(10)&amp;";//"&amp;$B$5,"")</f>
        <v/>
      </c>
      <c r="X73" t="str">
        <f t="shared" si="11"/>
        <v/>
      </c>
    </row>
    <row r="74" spans="4:24" x14ac:dyDescent="0.55000000000000004">
      <c r="D74">
        <v>72</v>
      </c>
      <c r="N74" t="str">
        <f t="shared" si="8"/>
        <v/>
      </c>
      <c r="O74" t="str">
        <f>IF(N74="●",INT(MID(E74,5,3)),"")</f>
        <v/>
      </c>
      <c r="P74" t="str">
        <f>IF($N74="●","LDP "&amp;E74&amp;"."&amp;$B$8,"")</f>
        <v/>
      </c>
      <c r="Q74" t="str">
        <f>IF($N74="●","AND=.D "&amp;$B$9&amp;" #0","")</f>
        <v/>
      </c>
      <c r="R74" t="str">
        <f>IF($N74="●","MOV.D #"&amp;O74&amp;" "&amp;$B$9,"")</f>
        <v/>
      </c>
      <c r="S74" t="str">
        <f>IF(AND(D74&lt;&gt;0,N74="●"),CHAR(10),"")&amp;IF(LEN(P74),P74,"")</f>
        <v/>
      </c>
      <c r="T74" t="str">
        <f t="shared" si="9"/>
        <v/>
      </c>
      <c r="U74" t="str">
        <f t="shared" si="10"/>
        <v/>
      </c>
      <c r="W74" t="str">
        <f>IF($N74="●","BOX_ST"&amp;CHAR(10)&amp;";//"&amp;$B$4&amp;CHAR(10)&amp;";//エラーNo.を入れる"&amp;CHAR(10)&amp;";"&amp;$B$9&amp;"	:= "&amp;O74&amp;";"&amp;CHAR(10)&amp;";//"&amp;$B$5,"")</f>
        <v/>
      </c>
      <c r="X74" t="str">
        <f t="shared" si="11"/>
        <v/>
      </c>
    </row>
    <row r="75" spans="4:24" x14ac:dyDescent="0.55000000000000004">
      <c r="D75">
        <v>73</v>
      </c>
      <c r="N75" t="str">
        <f t="shared" si="8"/>
        <v/>
      </c>
      <c r="O75" t="str">
        <f>IF(N75="●",INT(MID(E75,5,3)),"")</f>
        <v/>
      </c>
      <c r="P75" t="str">
        <f>IF($N75="●","LDP "&amp;E75&amp;"."&amp;$B$8,"")</f>
        <v/>
      </c>
      <c r="Q75" t="str">
        <f>IF($N75="●","AND=.D "&amp;$B$9&amp;" #0","")</f>
        <v/>
      </c>
      <c r="R75" t="str">
        <f>IF($N75="●","MOV.D #"&amp;O75&amp;" "&amp;$B$9,"")</f>
        <v/>
      </c>
      <c r="S75" t="str">
        <f>IF(AND(D75&lt;&gt;0,N75="●"),CHAR(10),"")&amp;IF(LEN(P75),P75,"")</f>
        <v/>
      </c>
      <c r="T75" t="str">
        <f t="shared" si="9"/>
        <v/>
      </c>
      <c r="U75" t="str">
        <f t="shared" si="10"/>
        <v/>
      </c>
      <c r="W75" t="str">
        <f>IF($N75="●","BOX_ST"&amp;CHAR(10)&amp;";//"&amp;$B$4&amp;CHAR(10)&amp;";//エラーNo.を入れる"&amp;CHAR(10)&amp;";"&amp;$B$9&amp;"	:= "&amp;O75&amp;";"&amp;CHAR(10)&amp;";//"&amp;$B$5,"")</f>
        <v/>
      </c>
      <c r="X75" t="str">
        <f t="shared" si="11"/>
        <v/>
      </c>
    </row>
    <row r="76" spans="4:24" x14ac:dyDescent="0.55000000000000004">
      <c r="D76">
        <v>74</v>
      </c>
      <c r="N76" t="str">
        <f t="shared" si="8"/>
        <v/>
      </c>
      <c r="O76" t="str">
        <f>IF(N76="●",INT(MID(E76,5,3)),"")</f>
        <v/>
      </c>
      <c r="P76" t="str">
        <f>IF($N76="●","LDP "&amp;E76&amp;"."&amp;$B$8,"")</f>
        <v/>
      </c>
      <c r="Q76" t="str">
        <f>IF($N76="●","AND=.D "&amp;$B$9&amp;" #0","")</f>
        <v/>
      </c>
      <c r="R76" t="str">
        <f>IF($N76="●","MOV.D #"&amp;O76&amp;" "&amp;$B$9,"")</f>
        <v/>
      </c>
      <c r="S76" t="str">
        <f>IF(AND(D76&lt;&gt;0,N76="●"),CHAR(10),"")&amp;IF(LEN(P76),P76,"")</f>
        <v/>
      </c>
      <c r="T76" t="str">
        <f t="shared" si="9"/>
        <v/>
      </c>
      <c r="U76" t="str">
        <f t="shared" si="10"/>
        <v/>
      </c>
      <c r="W76" t="str">
        <f>IF($N76="●","BOX_ST"&amp;CHAR(10)&amp;";//"&amp;$B$4&amp;CHAR(10)&amp;";//エラーNo.を入れる"&amp;CHAR(10)&amp;";"&amp;$B$9&amp;"	:= "&amp;O76&amp;";"&amp;CHAR(10)&amp;";//"&amp;$B$5,"")</f>
        <v/>
      </c>
      <c r="X76" t="str">
        <f t="shared" si="11"/>
        <v/>
      </c>
    </row>
    <row r="77" spans="4:24" x14ac:dyDescent="0.55000000000000004">
      <c r="D77">
        <v>75</v>
      </c>
      <c r="N77" t="str">
        <f t="shared" si="8"/>
        <v/>
      </c>
      <c r="O77" t="str">
        <f>IF(N77="●",INT(MID(E77,5,3)),"")</f>
        <v/>
      </c>
      <c r="P77" t="str">
        <f>IF($N77="●","LDP "&amp;E77&amp;"."&amp;$B$8,"")</f>
        <v/>
      </c>
      <c r="Q77" t="str">
        <f>IF($N77="●","AND=.D "&amp;$B$9&amp;" #0","")</f>
        <v/>
      </c>
      <c r="R77" t="str">
        <f>IF($N77="●","MOV.D #"&amp;O77&amp;" "&amp;$B$9,"")</f>
        <v/>
      </c>
      <c r="S77" t="str">
        <f>IF(AND(D77&lt;&gt;0,N77="●"),CHAR(10),"")&amp;IF(LEN(P77),P77,"")</f>
        <v/>
      </c>
      <c r="T77" t="str">
        <f t="shared" si="9"/>
        <v/>
      </c>
      <c r="U77" t="str">
        <f t="shared" si="10"/>
        <v/>
      </c>
      <c r="W77" t="str">
        <f>IF($N77="●","BOX_ST"&amp;CHAR(10)&amp;";//"&amp;$B$4&amp;CHAR(10)&amp;";//エラーNo.を入れる"&amp;CHAR(10)&amp;";"&amp;$B$9&amp;"	:= "&amp;O77&amp;";"&amp;CHAR(10)&amp;";//"&amp;$B$5,"")</f>
        <v/>
      </c>
      <c r="X77" t="str">
        <f t="shared" si="11"/>
        <v/>
      </c>
    </row>
    <row r="78" spans="4:24" x14ac:dyDescent="0.55000000000000004">
      <c r="D78">
        <v>76</v>
      </c>
      <c r="N78" t="str">
        <f t="shared" si="8"/>
        <v/>
      </c>
      <c r="O78" t="str">
        <f>IF(N78="●",INT(MID(E78,5,3)),"")</f>
        <v/>
      </c>
      <c r="P78" t="str">
        <f>IF($N78="●","LDP "&amp;E78&amp;"."&amp;$B$8,"")</f>
        <v/>
      </c>
      <c r="Q78" t="str">
        <f>IF($N78="●","AND=.D "&amp;$B$9&amp;" #0","")</f>
        <v/>
      </c>
      <c r="R78" t="str">
        <f>IF($N78="●","MOV.D #"&amp;O78&amp;" "&amp;$B$9,"")</f>
        <v/>
      </c>
      <c r="S78" t="str">
        <f>IF(AND(D78&lt;&gt;0,N78="●"),CHAR(10),"")&amp;IF(LEN(P78),P78,"")</f>
        <v/>
      </c>
      <c r="T78" t="str">
        <f t="shared" si="9"/>
        <v/>
      </c>
      <c r="U78" t="str">
        <f t="shared" si="10"/>
        <v/>
      </c>
      <c r="W78" t="str">
        <f>IF($N78="●","BOX_ST"&amp;CHAR(10)&amp;";//"&amp;$B$4&amp;CHAR(10)&amp;";//エラーNo.を入れる"&amp;CHAR(10)&amp;";"&amp;$B$9&amp;"	:= "&amp;O78&amp;";"&amp;CHAR(10)&amp;";//"&amp;$B$5,"")</f>
        <v/>
      </c>
      <c r="X78" t="str">
        <f t="shared" si="11"/>
        <v/>
      </c>
    </row>
    <row r="79" spans="4:24" x14ac:dyDescent="0.55000000000000004">
      <c r="D79">
        <v>77</v>
      </c>
      <c r="N79" t="str">
        <f t="shared" si="8"/>
        <v/>
      </c>
      <c r="O79" t="str">
        <f>IF(N79="●",INT(MID(E79,5,3)),"")</f>
        <v/>
      </c>
      <c r="P79" t="str">
        <f>IF($N79="●","LDP "&amp;E79&amp;"."&amp;$B$8,"")</f>
        <v/>
      </c>
      <c r="Q79" t="str">
        <f>IF($N79="●","AND=.D "&amp;$B$9&amp;" #0","")</f>
        <v/>
      </c>
      <c r="R79" t="str">
        <f>IF($N79="●","MOV.D #"&amp;O79&amp;" "&amp;$B$9,"")</f>
        <v/>
      </c>
      <c r="S79" t="str">
        <f>IF(AND(D79&lt;&gt;0,N79="●"),CHAR(10),"")&amp;IF(LEN(P79),P79,"")</f>
        <v/>
      </c>
      <c r="T79" t="str">
        <f t="shared" si="9"/>
        <v/>
      </c>
      <c r="U79" t="str">
        <f t="shared" si="10"/>
        <v/>
      </c>
      <c r="W79" t="str">
        <f>IF($N79="●","BOX_ST"&amp;CHAR(10)&amp;";//"&amp;$B$4&amp;CHAR(10)&amp;";//エラーNo.を入れる"&amp;CHAR(10)&amp;";"&amp;$B$9&amp;"	:= "&amp;O79&amp;";"&amp;CHAR(10)&amp;";//"&amp;$B$5,"")</f>
        <v/>
      </c>
      <c r="X79" t="str">
        <f t="shared" si="11"/>
        <v/>
      </c>
    </row>
    <row r="80" spans="4:24" x14ac:dyDescent="0.55000000000000004">
      <c r="D80">
        <v>78</v>
      </c>
      <c r="N80" t="str">
        <f t="shared" si="8"/>
        <v/>
      </c>
      <c r="O80" t="str">
        <f>IF(N80="●",INT(MID(E80,5,3)),"")</f>
        <v/>
      </c>
      <c r="P80" t="str">
        <f>IF($N80="●","LDP "&amp;E80&amp;"."&amp;$B$8,"")</f>
        <v/>
      </c>
      <c r="Q80" t="str">
        <f>IF($N80="●","AND=.D "&amp;$B$9&amp;" #0","")</f>
        <v/>
      </c>
      <c r="R80" t="str">
        <f>IF($N80="●","MOV.D #"&amp;O80&amp;" "&amp;$B$9,"")</f>
        <v/>
      </c>
      <c r="S80" t="str">
        <f>IF(AND(D80&lt;&gt;0,N80="●"),CHAR(10),"")&amp;IF(LEN(P80),P80,"")</f>
        <v/>
      </c>
      <c r="T80" t="str">
        <f t="shared" si="9"/>
        <v/>
      </c>
      <c r="U80" t="str">
        <f t="shared" si="10"/>
        <v/>
      </c>
      <c r="W80" t="str">
        <f>IF($N80="●","BOX_ST"&amp;CHAR(10)&amp;";//"&amp;$B$4&amp;CHAR(10)&amp;";//エラーNo.を入れる"&amp;CHAR(10)&amp;";"&amp;$B$9&amp;"	:= "&amp;O80&amp;";"&amp;CHAR(10)&amp;";//"&amp;$B$5,"")</f>
        <v/>
      </c>
      <c r="X80" t="str">
        <f t="shared" si="11"/>
        <v/>
      </c>
    </row>
    <row r="81" spans="4:24" x14ac:dyDescent="0.55000000000000004">
      <c r="D81">
        <v>79</v>
      </c>
      <c r="N81" t="str">
        <f t="shared" si="8"/>
        <v/>
      </c>
      <c r="O81" t="str">
        <f>IF(N81="●",INT(MID(E81,5,3)),"")</f>
        <v/>
      </c>
      <c r="P81" t="str">
        <f>IF($N81="●","LDP "&amp;E81&amp;"."&amp;$B$8,"")</f>
        <v/>
      </c>
      <c r="Q81" t="str">
        <f>IF($N81="●","AND=.D "&amp;$B$9&amp;" #0","")</f>
        <v/>
      </c>
      <c r="R81" t="str">
        <f>IF($N81="●","MOV.D #"&amp;O81&amp;" "&amp;$B$9,"")</f>
        <v/>
      </c>
      <c r="S81" t="str">
        <f>IF(AND(D81&lt;&gt;0,N81="●"),CHAR(10),"")&amp;IF(LEN(P81),P81,"")</f>
        <v/>
      </c>
      <c r="T81" t="str">
        <f t="shared" si="9"/>
        <v/>
      </c>
      <c r="U81" t="str">
        <f t="shared" si="10"/>
        <v/>
      </c>
      <c r="W81" t="str">
        <f>IF($N81="●","BOX_ST"&amp;CHAR(10)&amp;";//"&amp;$B$4&amp;CHAR(10)&amp;";//エラーNo.を入れる"&amp;CHAR(10)&amp;";"&amp;$B$9&amp;"	:= "&amp;O81&amp;";"&amp;CHAR(10)&amp;";//"&amp;$B$5,"")</f>
        <v/>
      </c>
      <c r="X81" t="str">
        <f t="shared" si="11"/>
        <v/>
      </c>
    </row>
    <row r="82" spans="4:24" x14ac:dyDescent="0.55000000000000004">
      <c r="D82">
        <v>80</v>
      </c>
      <c r="N82" t="str">
        <f t="shared" si="8"/>
        <v/>
      </c>
      <c r="O82" t="str">
        <f>IF(N82="●",INT(MID(E82,5,3)),"")</f>
        <v/>
      </c>
      <c r="P82" t="str">
        <f>IF($N82="●","LDP "&amp;E82&amp;"."&amp;$B$8,"")</f>
        <v/>
      </c>
      <c r="Q82" t="str">
        <f>IF($N82="●","AND=.D "&amp;$B$9&amp;" #0","")</f>
        <v/>
      </c>
      <c r="R82" t="str">
        <f>IF($N82="●","MOV.D #"&amp;O82&amp;" "&amp;$B$9,"")</f>
        <v/>
      </c>
      <c r="S82" t="str">
        <f>IF(AND(D82&lt;&gt;0,N82="●"),CHAR(10),"")&amp;IF(LEN(P82),P82,"")</f>
        <v/>
      </c>
      <c r="T82" t="str">
        <f t="shared" si="9"/>
        <v/>
      </c>
      <c r="U82" t="str">
        <f t="shared" si="10"/>
        <v/>
      </c>
      <c r="W82" t="str">
        <f>IF($N82="●","BOX_ST"&amp;CHAR(10)&amp;";//"&amp;$B$4&amp;CHAR(10)&amp;";//エラーNo.を入れる"&amp;CHAR(10)&amp;";"&amp;$B$9&amp;"	:= "&amp;O82&amp;";"&amp;CHAR(10)&amp;";//"&amp;$B$5,"")</f>
        <v/>
      </c>
      <c r="X82" t="str">
        <f t="shared" si="11"/>
        <v/>
      </c>
    </row>
    <row r="83" spans="4:24" x14ac:dyDescent="0.55000000000000004">
      <c r="D83">
        <v>81</v>
      </c>
      <c r="N83" t="str">
        <f t="shared" si="8"/>
        <v/>
      </c>
      <c r="O83" t="str">
        <f>IF(N83="●",INT(MID(E83,5,3)),"")</f>
        <v/>
      </c>
      <c r="P83" t="str">
        <f>IF($N83="●","LDP "&amp;E83&amp;"."&amp;$B$8,"")</f>
        <v/>
      </c>
      <c r="Q83" t="str">
        <f>IF($N83="●","AND=.D "&amp;$B$9&amp;" #0","")</f>
        <v/>
      </c>
      <c r="R83" t="str">
        <f>IF($N83="●","MOV.D #"&amp;O83&amp;" "&amp;$B$9,"")</f>
        <v/>
      </c>
      <c r="S83" t="str">
        <f>IF(AND(D83&lt;&gt;0,N83="●"),CHAR(10),"")&amp;IF(LEN(P83),P83,"")</f>
        <v/>
      </c>
      <c r="T83" t="str">
        <f t="shared" si="9"/>
        <v/>
      </c>
      <c r="U83" t="str">
        <f t="shared" si="10"/>
        <v/>
      </c>
      <c r="W83" t="str">
        <f>IF($N83="●","BOX_ST"&amp;CHAR(10)&amp;";//"&amp;$B$4&amp;CHAR(10)&amp;";//エラーNo.を入れる"&amp;CHAR(10)&amp;";"&amp;$B$9&amp;"	:= "&amp;O83&amp;";"&amp;CHAR(10)&amp;";//"&amp;$B$5,"")</f>
        <v/>
      </c>
      <c r="X83" t="str">
        <f t="shared" si="11"/>
        <v/>
      </c>
    </row>
    <row r="84" spans="4:24" x14ac:dyDescent="0.55000000000000004">
      <c r="D84">
        <v>82</v>
      </c>
      <c r="N84" t="str">
        <f t="shared" si="8"/>
        <v/>
      </c>
      <c r="O84" t="str">
        <f>IF(N84="●",INT(MID(E84,5,3)),"")</f>
        <v/>
      </c>
      <c r="P84" t="str">
        <f>IF($N84="●","LDP "&amp;E84&amp;"."&amp;$B$8,"")</f>
        <v/>
      </c>
      <c r="Q84" t="str">
        <f>IF($N84="●","AND=.D "&amp;$B$9&amp;" #0","")</f>
        <v/>
      </c>
      <c r="R84" t="str">
        <f>IF($N84="●","MOV.D #"&amp;O84&amp;" "&amp;$B$9,"")</f>
        <v/>
      </c>
      <c r="S84" t="str">
        <f>IF(AND(D84&lt;&gt;0,N84="●"),CHAR(10),"")&amp;IF(LEN(P84),P84,"")</f>
        <v/>
      </c>
      <c r="T84" t="str">
        <f t="shared" si="9"/>
        <v/>
      </c>
      <c r="U84" t="str">
        <f t="shared" si="10"/>
        <v/>
      </c>
      <c r="W84" t="str">
        <f>IF($N84="●","BOX_ST"&amp;CHAR(10)&amp;";//"&amp;$B$4&amp;CHAR(10)&amp;";//エラーNo.を入れる"&amp;CHAR(10)&amp;";"&amp;$B$9&amp;"	:= "&amp;O84&amp;";"&amp;CHAR(10)&amp;";//"&amp;$B$5,"")</f>
        <v/>
      </c>
      <c r="X84" t="str">
        <f t="shared" si="11"/>
        <v/>
      </c>
    </row>
    <row r="85" spans="4:24" x14ac:dyDescent="0.55000000000000004">
      <c r="D85">
        <v>83</v>
      </c>
      <c r="N85" t="str">
        <f t="shared" si="8"/>
        <v/>
      </c>
      <c r="O85" t="str">
        <f>IF(N85="●",INT(MID(E85,5,3)),"")</f>
        <v/>
      </c>
      <c r="P85" t="str">
        <f>IF($N85="●","LDP "&amp;E85&amp;"."&amp;$B$8,"")</f>
        <v/>
      </c>
      <c r="Q85" t="str">
        <f>IF($N85="●","AND=.D "&amp;$B$9&amp;" #0","")</f>
        <v/>
      </c>
      <c r="R85" t="str">
        <f>IF($N85="●","MOV.D #"&amp;O85&amp;" "&amp;$B$9,"")</f>
        <v/>
      </c>
      <c r="S85" t="str">
        <f>IF(AND(D85&lt;&gt;0,N85="●"),CHAR(10),"")&amp;IF(LEN(P85),P85,"")</f>
        <v/>
      </c>
      <c r="T85" t="str">
        <f t="shared" si="9"/>
        <v/>
      </c>
      <c r="U85" t="str">
        <f t="shared" si="10"/>
        <v/>
      </c>
      <c r="W85" t="str">
        <f>IF($N85="●","BOX_ST"&amp;CHAR(10)&amp;";//"&amp;$B$4&amp;CHAR(10)&amp;";//エラーNo.を入れる"&amp;CHAR(10)&amp;";"&amp;$B$9&amp;"	:= "&amp;O85&amp;";"&amp;CHAR(10)&amp;";//"&amp;$B$5,"")</f>
        <v/>
      </c>
      <c r="X85" t="str">
        <f t="shared" si="11"/>
        <v/>
      </c>
    </row>
    <row r="86" spans="4:24" x14ac:dyDescent="0.55000000000000004">
      <c r="D86">
        <v>84</v>
      </c>
      <c r="N86" t="str">
        <f t="shared" si="8"/>
        <v/>
      </c>
      <c r="O86" t="str">
        <f>IF(N86="●",INT(MID(E86,5,3)),"")</f>
        <v/>
      </c>
      <c r="P86" t="str">
        <f>IF($N86="●","LDP "&amp;E86&amp;"."&amp;$B$8,"")</f>
        <v/>
      </c>
      <c r="Q86" t="str">
        <f>IF($N86="●","AND=.D "&amp;$B$9&amp;" #0","")</f>
        <v/>
      </c>
      <c r="R86" t="str">
        <f>IF($N86="●","MOV.D #"&amp;O86&amp;" "&amp;$B$9,"")</f>
        <v/>
      </c>
      <c r="S86" t="str">
        <f>IF(AND(D86&lt;&gt;0,N86="●"),CHAR(10),"")&amp;IF(LEN(P86),P86,"")</f>
        <v/>
      </c>
      <c r="T86" t="str">
        <f t="shared" si="9"/>
        <v/>
      </c>
      <c r="U86" t="str">
        <f t="shared" si="10"/>
        <v/>
      </c>
      <c r="W86" t="str">
        <f>IF($N86="●","BOX_ST"&amp;CHAR(10)&amp;";//"&amp;$B$4&amp;CHAR(10)&amp;";//エラーNo.を入れる"&amp;CHAR(10)&amp;";"&amp;$B$9&amp;"	:= "&amp;O86&amp;";"&amp;CHAR(10)&amp;";//"&amp;$B$5,"")</f>
        <v/>
      </c>
      <c r="X86" t="str">
        <f t="shared" si="11"/>
        <v/>
      </c>
    </row>
    <row r="87" spans="4:24" x14ac:dyDescent="0.55000000000000004">
      <c r="D87">
        <v>85</v>
      </c>
      <c r="N87" t="str">
        <f t="shared" si="8"/>
        <v/>
      </c>
      <c r="O87" t="str">
        <f>IF(N87="●",INT(MID(E87,5,3)),"")</f>
        <v/>
      </c>
      <c r="P87" t="str">
        <f>IF($N87="●","LDP "&amp;E87&amp;"."&amp;$B$8,"")</f>
        <v/>
      </c>
      <c r="Q87" t="str">
        <f>IF($N87="●","AND=.D "&amp;$B$9&amp;" #0","")</f>
        <v/>
      </c>
      <c r="R87" t="str">
        <f>IF($N87="●","MOV.D #"&amp;O87&amp;" "&amp;$B$9,"")</f>
        <v/>
      </c>
      <c r="S87" t="str">
        <f>IF(AND(D87&lt;&gt;0,N87="●"),CHAR(10),"")&amp;IF(LEN(P87),P87,"")</f>
        <v/>
      </c>
      <c r="T87" t="str">
        <f t="shared" si="9"/>
        <v/>
      </c>
      <c r="U87" t="str">
        <f t="shared" si="10"/>
        <v/>
      </c>
      <c r="W87" t="str">
        <f>IF($N87="●","BOX_ST"&amp;CHAR(10)&amp;";//"&amp;$B$4&amp;CHAR(10)&amp;";//エラーNo.を入れる"&amp;CHAR(10)&amp;";"&amp;$B$9&amp;"	:= "&amp;O87&amp;";"&amp;CHAR(10)&amp;";//"&amp;$B$5,"")</f>
        <v/>
      </c>
      <c r="X87" t="str">
        <f t="shared" si="11"/>
        <v/>
      </c>
    </row>
    <row r="88" spans="4:24" x14ac:dyDescent="0.55000000000000004">
      <c r="D88">
        <v>86</v>
      </c>
      <c r="N88" t="str">
        <f t="shared" si="8"/>
        <v/>
      </c>
      <c r="O88" t="str">
        <f>IF(N88="●",INT(MID(E88,5,3)),"")</f>
        <v/>
      </c>
      <c r="P88" t="str">
        <f>IF($N88="●","LDP "&amp;E88&amp;"."&amp;$B$8,"")</f>
        <v/>
      </c>
      <c r="Q88" t="str">
        <f>IF($N88="●","AND=.D "&amp;$B$9&amp;" #0","")</f>
        <v/>
      </c>
      <c r="R88" t="str">
        <f>IF($N88="●","MOV.D #"&amp;O88&amp;" "&amp;$B$9,"")</f>
        <v/>
      </c>
      <c r="S88" t="str">
        <f>IF(AND(D88&lt;&gt;0,N88="●"),CHAR(10),"")&amp;IF(LEN(P88),P88,"")</f>
        <v/>
      </c>
      <c r="T88" t="str">
        <f t="shared" si="9"/>
        <v/>
      </c>
      <c r="U88" t="str">
        <f t="shared" si="10"/>
        <v/>
      </c>
      <c r="W88" t="str">
        <f>IF($N88="●","BOX_ST"&amp;CHAR(10)&amp;";//"&amp;$B$4&amp;CHAR(10)&amp;";//エラーNo.を入れる"&amp;CHAR(10)&amp;";"&amp;$B$9&amp;"	:= "&amp;O88&amp;";"&amp;CHAR(10)&amp;";//"&amp;$B$5,"")</f>
        <v/>
      </c>
      <c r="X88" t="str">
        <f t="shared" si="11"/>
        <v/>
      </c>
    </row>
    <row r="89" spans="4:24" x14ac:dyDescent="0.55000000000000004">
      <c r="D89">
        <v>87</v>
      </c>
      <c r="N89" t="str">
        <f t="shared" si="8"/>
        <v/>
      </c>
      <c r="O89" t="str">
        <f>IF(N89="●",INT(MID(E89,5,3)),"")</f>
        <v/>
      </c>
      <c r="P89" t="str">
        <f>IF($N89="●","LDP "&amp;E89&amp;"."&amp;$B$8,"")</f>
        <v/>
      </c>
      <c r="Q89" t="str">
        <f>IF($N89="●","AND=.D "&amp;$B$9&amp;" #0","")</f>
        <v/>
      </c>
      <c r="R89" t="str">
        <f>IF($N89="●","MOV.D #"&amp;O89&amp;" "&amp;$B$9,"")</f>
        <v/>
      </c>
      <c r="S89" t="str">
        <f>IF(AND(D89&lt;&gt;0,N89="●"),CHAR(10),"")&amp;IF(LEN(P89),P89,"")</f>
        <v/>
      </c>
      <c r="T89" t="str">
        <f t="shared" si="9"/>
        <v/>
      </c>
      <c r="U89" t="str">
        <f t="shared" si="10"/>
        <v/>
      </c>
      <c r="W89" t="str">
        <f>IF($N89="●","BOX_ST"&amp;CHAR(10)&amp;";//"&amp;$B$4&amp;CHAR(10)&amp;";//エラーNo.を入れる"&amp;CHAR(10)&amp;";"&amp;$B$9&amp;"	:= "&amp;O89&amp;";"&amp;CHAR(10)&amp;";//"&amp;$B$5,"")</f>
        <v/>
      </c>
      <c r="X89" t="str">
        <f t="shared" si="11"/>
        <v/>
      </c>
    </row>
    <row r="90" spans="4:24" x14ac:dyDescent="0.55000000000000004">
      <c r="D90">
        <v>88</v>
      </c>
      <c r="N90" t="str">
        <f t="shared" si="8"/>
        <v/>
      </c>
      <c r="O90" t="str">
        <f>IF(N90="●",INT(MID(E90,5,3)),"")</f>
        <v/>
      </c>
      <c r="P90" t="str">
        <f>IF($N90="●","LDP "&amp;E90&amp;"."&amp;$B$8,"")</f>
        <v/>
      </c>
      <c r="Q90" t="str">
        <f>IF($N90="●","AND=.D "&amp;$B$9&amp;" #0","")</f>
        <v/>
      </c>
      <c r="R90" t="str">
        <f>IF($N90="●","MOV.D #"&amp;O90&amp;" "&amp;$B$9,"")</f>
        <v/>
      </c>
      <c r="S90" t="str">
        <f>IF(AND(D90&lt;&gt;0,N90="●"),CHAR(10),"")&amp;IF(LEN(P90),P90,"")</f>
        <v/>
      </c>
      <c r="T90" t="str">
        <f t="shared" si="9"/>
        <v/>
      </c>
      <c r="U90" t="str">
        <f t="shared" si="10"/>
        <v/>
      </c>
      <c r="W90" t="str">
        <f>IF($N90="●","BOX_ST"&amp;CHAR(10)&amp;";//"&amp;$B$4&amp;CHAR(10)&amp;";//エラーNo.を入れる"&amp;CHAR(10)&amp;";"&amp;$B$9&amp;"	:= "&amp;O90&amp;";"&amp;CHAR(10)&amp;";//"&amp;$B$5,"")</f>
        <v/>
      </c>
      <c r="X90" t="str">
        <f t="shared" si="11"/>
        <v/>
      </c>
    </row>
    <row r="91" spans="4:24" x14ac:dyDescent="0.55000000000000004">
      <c r="D91">
        <v>89</v>
      </c>
      <c r="N91" t="str">
        <f t="shared" si="8"/>
        <v/>
      </c>
      <c r="O91" t="str">
        <f>IF(N91="●",INT(MID(E91,5,3)),"")</f>
        <v/>
      </c>
      <c r="P91" t="str">
        <f>IF($N91="●","LDP "&amp;E91&amp;"."&amp;$B$8,"")</f>
        <v/>
      </c>
      <c r="Q91" t="str">
        <f>IF($N91="●","AND=.D "&amp;$B$9&amp;" #0","")</f>
        <v/>
      </c>
      <c r="R91" t="str">
        <f>IF($N91="●","MOV.D #"&amp;O91&amp;" "&amp;$B$9,"")</f>
        <v/>
      </c>
      <c r="S91" t="str">
        <f>IF(AND(D91&lt;&gt;0,N91="●"),CHAR(10),"")&amp;IF(LEN(P91),P91,"")</f>
        <v/>
      </c>
      <c r="T91" t="str">
        <f t="shared" si="9"/>
        <v/>
      </c>
      <c r="U91" t="str">
        <f t="shared" si="10"/>
        <v/>
      </c>
      <c r="W91" t="str">
        <f>IF($N91="●","BOX_ST"&amp;CHAR(10)&amp;";//"&amp;$B$4&amp;CHAR(10)&amp;";//エラーNo.を入れる"&amp;CHAR(10)&amp;";"&amp;$B$9&amp;"	:= "&amp;O91&amp;";"&amp;CHAR(10)&amp;";//"&amp;$B$5,"")</f>
        <v/>
      </c>
      <c r="X91" t="str">
        <f t="shared" si="11"/>
        <v/>
      </c>
    </row>
    <row r="92" spans="4:24" x14ac:dyDescent="0.55000000000000004">
      <c r="D92">
        <v>90</v>
      </c>
      <c r="N92" t="str">
        <f t="shared" si="8"/>
        <v/>
      </c>
      <c r="O92" t="str">
        <f>IF(N92="●",INT(MID(E92,5,3)),"")</f>
        <v/>
      </c>
      <c r="P92" t="str">
        <f>IF($N92="●","LDP "&amp;E92&amp;"."&amp;$B$8,"")</f>
        <v/>
      </c>
      <c r="Q92" t="str">
        <f>IF($N92="●","AND=.D "&amp;$B$9&amp;" #0","")</f>
        <v/>
      </c>
      <c r="R92" t="str">
        <f>IF($N92="●","MOV.D #"&amp;O92&amp;" "&amp;$B$9,"")</f>
        <v/>
      </c>
      <c r="S92" t="str">
        <f>IF(AND(D92&lt;&gt;0,N92="●"),CHAR(10),"")&amp;IF(LEN(P92),P92,"")</f>
        <v/>
      </c>
      <c r="T92" t="str">
        <f t="shared" si="9"/>
        <v/>
      </c>
      <c r="U92" t="str">
        <f t="shared" si="10"/>
        <v/>
      </c>
      <c r="W92" t="str">
        <f>IF($N92="●","BOX_ST"&amp;CHAR(10)&amp;";//"&amp;$B$4&amp;CHAR(10)&amp;";//エラーNo.を入れる"&amp;CHAR(10)&amp;";"&amp;$B$9&amp;"	:= "&amp;O92&amp;";"&amp;CHAR(10)&amp;";//"&amp;$B$5,"")</f>
        <v/>
      </c>
      <c r="X92" t="str">
        <f t="shared" si="11"/>
        <v/>
      </c>
    </row>
    <row r="93" spans="4:24" x14ac:dyDescent="0.55000000000000004">
      <c r="D93">
        <v>91</v>
      </c>
      <c r="N93" t="str">
        <f t="shared" si="8"/>
        <v/>
      </c>
      <c r="O93" t="str">
        <f>IF(N93="●",INT(MID(E93,5,3)),"")</f>
        <v/>
      </c>
      <c r="P93" t="str">
        <f>IF($N93="●","LDP "&amp;E93&amp;"."&amp;$B$8,"")</f>
        <v/>
      </c>
      <c r="Q93" t="str">
        <f>IF($N93="●","AND=.D "&amp;$B$9&amp;" #0","")</f>
        <v/>
      </c>
      <c r="R93" t="str">
        <f>IF($N93="●","MOV.D #"&amp;O93&amp;" "&amp;$B$9,"")</f>
        <v/>
      </c>
      <c r="S93" t="str">
        <f>IF(AND(D93&lt;&gt;0,N93="●"),CHAR(10),"")&amp;IF(LEN(P93),P93,"")</f>
        <v/>
      </c>
      <c r="T93" t="str">
        <f t="shared" si="9"/>
        <v/>
      </c>
      <c r="U93" t="str">
        <f t="shared" si="10"/>
        <v/>
      </c>
      <c r="W93" t="str">
        <f>IF($N93="●","BOX_ST"&amp;CHAR(10)&amp;";//"&amp;$B$4&amp;CHAR(10)&amp;";//エラーNo.を入れる"&amp;CHAR(10)&amp;";"&amp;$B$9&amp;"	:= "&amp;O93&amp;";"&amp;CHAR(10)&amp;";//"&amp;$B$5,"")</f>
        <v/>
      </c>
      <c r="X93" t="str">
        <f t="shared" si="11"/>
        <v/>
      </c>
    </row>
    <row r="94" spans="4:24" x14ac:dyDescent="0.55000000000000004">
      <c r="D94">
        <v>92</v>
      </c>
      <c r="N94" t="str">
        <f t="shared" si="8"/>
        <v/>
      </c>
      <c r="O94" t="str">
        <f>IF(N94="●",INT(MID(E94,5,3)),"")</f>
        <v/>
      </c>
      <c r="P94" t="str">
        <f>IF($N94="●","LDP "&amp;E94&amp;"."&amp;$B$8,"")</f>
        <v/>
      </c>
      <c r="Q94" t="str">
        <f>IF($N94="●","AND=.D "&amp;$B$9&amp;" #0","")</f>
        <v/>
      </c>
      <c r="R94" t="str">
        <f>IF($N94="●","MOV.D #"&amp;O94&amp;" "&amp;$B$9,"")</f>
        <v/>
      </c>
      <c r="S94" t="str">
        <f>IF(AND(D94&lt;&gt;0,N94="●"),CHAR(10),"")&amp;IF(LEN(P94),P94,"")</f>
        <v/>
      </c>
      <c r="T94" t="str">
        <f t="shared" si="9"/>
        <v/>
      </c>
      <c r="U94" t="str">
        <f t="shared" si="10"/>
        <v/>
      </c>
      <c r="W94" t="str">
        <f>IF($N94="●","BOX_ST"&amp;CHAR(10)&amp;";//"&amp;$B$4&amp;CHAR(10)&amp;";//エラーNo.を入れる"&amp;CHAR(10)&amp;";"&amp;$B$9&amp;"	:= "&amp;O94&amp;";"&amp;CHAR(10)&amp;";//"&amp;$B$5,"")</f>
        <v/>
      </c>
      <c r="X94" t="str">
        <f t="shared" si="11"/>
        <v/>
      </c>
    </row>
    <row r="95" spans="4:24" x14ac:dyDescent="0.55000000000000004">
      <c r="D95">
        <v>93</v>
      </c>
      <c r="N95" t="str">
        <f t="shared" si="8"/>
        <v/>
      </c>
      <c r="O95" t="str">
        <f>IF(N95="●",INT(MID(E95,5,3)),"")</f>
        <v/>
      </c>
      <c r="P95" t="str">
        <f>IF($N95="●","LDP "&amp;E95&amp;"."&amp;$B$8,"")</f>
        <v/>
      </c>
      <c r="Q95" t="str">
        <f>IF($N95="●","AND=.D "&amp;$B$9&amp;" #0","")</f>
        <v/>
      </c>
      <c r="R95" t="str">
        <f>IF($N95="●","MOV.D #"&amp;O95&amp;" "&amp;$B$9,"")</f>
        <v/>
      </c>
      <c r="S95" t="str">
        <f>IF(AND(D95&lt;&gt;0,N95="●"),CHAR(10),"")&amp;IF(LEN(P95),P95,"")</f>
        <v/>
      </c>
      <c r="T95" t="str">
        <f t="shared" si="9"/>
        <v/>
      </c>
      <c r="U95" t="str">
        <f t="shared" si="10"/>
        <v/>
      </c>
      <c r="W95" t="str">
        <f>IF($N95="●","BOX_ST"&amp;CHAR(10)&amp;";//"&amp;$B$4&amp;CHAR(10)&amp;";//エラーNo.を入れる"&amp;CHAR(10)&amp;";"&amp;$B$9&amp;"	:= "&amp;O95&amp;";"&amp;CHAR(10)&amp;";//"&amp;$B$5,"")</f>
        <v/>
      </c>
      <c r="X95" t="str">
        <f t="shared" si="11"/>
        <v/>
      </c>
    </row>
    <row r="96" spans="4:24" x14ac:dyDescent="0.55000000000000004">
      <c r="D96">
        <v>94</v>
      </c>
      <c r="N96" t="str">
        <f t="shared" si="8"/>
        <v/>
      </c>
      <c r="O96" t="str">
        <f>IF(N96="●",INT(MID(E96,5,3)),"")</f>
        <v/>
      </c>
      <c r="P96" t="str">
        <f>IF($N96="●","LDP "&amp;E96&amp;"."&amp;$B$8,"")</f>
        <v/>
      </c>
      <c r="Q96" t="str">
        <f>IF($N96="●","AND=.D "&amp;$B$9&amp;" #0","")</f>
        <v/>
      </c>
      <c r="R96" t="str">
        <f>IF($N96="●","MOV.D #"&amp;O96&amp;" "&amp;$B$9,"")</f>
        <v/>
      </c>
      <c r="S96" t="str">
        <f>IF(AND(D96&lt;&gt;0,N96="●"),CHAR(10),"")&amp;IF(LEN(P96),P96,"")</f>
        <v/>
      </c>
      <c r="T96" t="str">
        <f t="shared" si="9"/>
        <v/>
      </c>
      <c r="U96" t="str">
        <f t="shared" si="10"/>
        <v/>
      </c>
      <c r="W96" t="str">
        <f>IF($N96="●","BOX_ST"&amp;CHAR(10)&amp;";//"&amp;$B$4&amp;CHAR(10)&amp;";//エラーNo.を入れる"&amp;CHAR(10)&amp;";"&amp;$B$9&amp;"	:= "&amp;O96&amp;";"&amp;CHAR(10)&amp;";//"&amp;$B$5,"")</f>
        <v/>
      </c>
      <c r="X96" t="str">
        <f t="shared" si="11"/>
        <v/>
      </c>
    </row>
    <row r="97" spans="4:24" x14ac:dyDescent="0.55000000000000004">
      <c r="D97">
        <v>95</v>
      </c>
      <c r="N97" t="str">
        <f t="shared" si="8"/>
        <v/>
      </c>
      <c r="O97" t="str">
        <f>IF(N97="●",INT(MID(E97,5,3)),"")</f>
        <v/>
      </c>
      <c r="P97" t="str">
        <f>IF($N97="●","LDP "&amp;E97&amp;"."&amp;$B$8,"")</f>
        <v/>
      </c>
      <c r="Q97" t="str">
        <f>IF($N97="●","AND=.D "&amp;$B$9&amp;" #0","")</f>
        <v/>
      </c>
      <c r="R97" t="str">
        <f>IF($N97="●","MOV.D #"&amp;O97&amp;" "&amp;$B$9,"")</f>
        <v/>
      </c>
      <c r="S97" t="str">
        <f>IF(AND(D97&lt;&gt;0,N97="●"),CHAR(10),"")&amp;IF(LEN(P97),P97,"")</f>
        <v/>
      </c>
      <c r="T97" t="str">
        <f t="shared" si="9"/>
        <v/>
      </c>
      <c r="U97" t="str">
        <f t="shared" si="10"/>
        <v/>
      </c>
      <c r="W97" t="str">
        <f>IF($N97="●","BOX_ST"&amp;CHAR(10)&amp;";//"&amp;$B$4&amp;CHAR(10)&amp;";//エラーNo.を入れる"&amp;CHAR(10)&amp;";"&amp;$B$9&amp;"	:= "&amp;O97&amp;";"&amp;CHAR(10)&amp;";//"&amp;$B$5,"")</f>
        <v/>
      </c>
      <c r="X97" t="str">
        <f t="shared" si="11"/>
        <v/>
      </c>
    </row>
    <row r="98" spans="4:24" x14ac:dyDescent="0.55000000000000004">
      <c r="D98">
        <v>96</v>
      </c>
      <c r="N98" t="str">
        <f t="shared" si="8"/>
        <v/>
      </c>
      <c r="O98" t="str">
        <f>IF(N98="●",INT(MID(E98,5,3)),"")</f>
        <v/>
      </c>
      <c r="P98" t="str">
        <f>IF($N98="●","LDP "&amp;E98&amp;"."&amp;$B$8,"")</f>
        <v/>
      </c>
      <c r="Q98" t="str">
        <f>IF($N98="●","AND=.D "&amp;$B$9&amp;" #0","")</f>
        <v/>
      </c>
      <c r="R98" t="str">
        <f>IF($N98="●","MOV.D #"&amp;O98&amp;" "&amp;$B$9,"")</f>
        <v/>
      </c>
      <c r="S98" t="str">
        <f>IF(AND(D98&lt;&gt;0,N98="●"),CHAR(10),"")&amp;IF(LEN(P98),P98,"")</f>
        <v/>
      </c>
      <c r="T98" t="str">
        <f t="shared" ref="T98:T129" si="12">IF(LEN(S98),S98&amp;CHAR(10),"")&amp;IF(LEN(Q98),Q98,"")</f>
        <v/>
      </c>
      <c r="U98" t="str">
        <f t="shared" ref="U98:U129" si="13">IF(LEN(T98),T98&amp;CHAR(10),"")&amp;IF(LEN(R98),R98,"")</f>
        <v/>
      </c>
      <c r="W98" t="str">
        <f>IF($N98="●","BOX_ST"&amp;CHAR(10)&amp;";//"&amp;$B$4&amp;CHAR(10)&amp;";//エラーNo.を入れる"&amp;CHAR(10)&amp;";"&amp;$B$9&amp;"	:= "&amp;O98&amp;";"&amp;CHAR(10)&amp;";//"&amp;$B$5,"")</f>
        <v/>
      </c>
      <c r="X98" t="str">
        <f t="shared" ref="X98:X129" si="14">IF(LEN(T98),T98&amp;CHAR(10),"")&amp;IF(LEN(W98),W98,"")</f>
        <v/>
      </c>
    </row>
    <row r="99" spans="4:24" x14ac:dyDescent="0.55000000000000004">
      <c r="D99">
        <v>97</v>
      </c>
      <c r="N99" t="str">
        <f t="shared" si="8"/>
        <v/>
      </c>
      <c r="O99" t="str">
        <f>IF(N99="●",INT(MID(E99,5,3)),"")</f>
        <v/>
      </c>
      <c r="P99" t="str">
        <f>IF($N99="●","LDP "&amp;E99&amp;"."&amp;$B$8,"")</f>
        <v/>
      </c>
      <c r="Q99" t="str">
        <f>IF($N99="●","AND=.D "&amp;$B$9&amp;" #0","")</f>
        <v/>
      </c>
      <c r="R99" t="str">
        <f>IF($N99="●","MOV.D #"&amp;O99&amp;" "&amp;$B$9,"")</f>
        <v/>
      </c>
      <c r="S99" t="str">
        <f>IF(AND(D99&lt;&gt;0,N99="●"),CHAR(10),"")&amp;IF(LEN(P99),P99,"")</f>
        <v/>
      </c>
      <c r="T99" t="str">
        <f t="shared" si="12"/>
        <v/>
      </c>
      <c r="U99" t="str">
        <f t="shared" si="13"/>
        <v/>
      </c>
      <c r="W99" t="str">
        <f>IF($N99="●","BOX_ST"&amp;CHAR(10)&amp;";//"&amp;$B$4&amp;CHAR(10)&amp;";//エラーNo.を入れる"&amp;CHAR(10)&amp;";"&amp;$B$9&amp;"	:= "&amp;O99&amp;";"&amp;CHAR(10)&amp;";//"&amp;$B$5,"")</f>
        <v/>
      </c>
      <c r="X99" t="str">
        <f t="shared" si="14"/>
        <v/>
      </c>
    </row>
    <row r="100" spans="4:24" x14ac:dyDescent="0.55000000000000004">
      <c r="D100">
        <v>98</v>
      </c>
      <c r="N100" t="str">
        <f t="shared" si="8"/>
        <v/>
      </c>
      <c r="O100" t="str">
        <f>IF(N100="●",INT(MID(E100,5,3)),"")</f>
        <v/>
      </c>
      <c r="P100" t="str">
        <f>IF($N100="●","LDP "&amp;E100&amp;"."&amp;$B$8,"")</f>
        <v/>
      </c>
      <c r="Q100" t="str">
        <f>IF($N100="●","AND=.D "&amp;$B$9&amp;" #0","")</f>
        <v/>
      </c>
      <c r="R100" t="str">
        <f>IF($N100="●","MOV.D #"&amp;O100&amp;" "&amp;$B$9,"")</f>
        <v/>
      </c>
      <c r="S100" t="str">
        <f>IF(AND(D100&lt;&gt;0,N100="●"),CHAR(10),"")&amp;IF(LEN(P100),P100,"")</f>
        <v/>
      </c>
      <c r="T100" t="str">
        <f t="shared" si="12"/>
        <v/>
      </c>
      <c r="U100" t="str">
        <f t="shared" si="13"/>
        <v/>
      </c>
      <c r="W100" t="str">
        <f>IF($N100="●","BOX_ST"&amp;CHAR(10)&amp;";//"&amp;$B$4&amp;CHAR(10)&amp;";//エラーNo.を入れる"&amp;CHAR(10)&amp;";"&amp;$B$9&amp;"	:= "&amp;O100&amp;";"&amp;CHAR(10)&amp;";//"&amp;$B$5,"")</f>
        <v/>
      </c>
      <c r="X100" t="str">
        <f t="shared" si="14"/>
        <v/>
      </c>
    </row>
    <row r="101" spans="4:24" x14ac:dyDescent="0.55000000000000004">
      <c r="D101">
        <v>99</v>
      </c>
      <c r="N101" t="str">
        <f t="shared" si="8"/>
        <v/>
      </c>
      <c r="O101" t="str">
        <f>IF(N101="●",INT(MID(E101,5,3)),"")</f>
        <v/>
      </c>
      <c r="P101" t="str">
        <f>IF($N101="●","LDP "&amp;E101&amp;"."&amp;$B$8,"")</f>
        <v/>
      </c>
      <c r="Q101" t="str">
        <f>IF($N101="●","AND=.D "&amp;$B$9&amp;" #0","")</f>
        <v/>
      </c>
      <c r="R101" t="str">
        <f>IF($N101="●","MOV.D #"&amp;O101&amp;" "&amp;$B$9,"")</f>
        <v/>
      </c>
      <c r="S101" t="str">
        <f>IF(AND(D101&lt;&gt;0,N101="●"),CHAR(10),"")&amp;IF(LEN(P101),P101,"")</f>
        <v/>
      </c>
      <c r="T101" t="str">
        <f t="shared" si="12"/>
        <v/>
      </c>
      <c r="U101" t="str">
        <f t="shared" si="13"/>
        <v/>
      </c>
      <c r="W101" t="str">
        <f>IF($N101="●","BOX_ST"&amp;CHAR(10)&amp;";//"&amp;$B$4&amp;CHAR(10)&amp;";//エラーNo.を入れる"&amp;CHAR(10)&amp;";"&amp;$B$9&amp;"	:= "&amp;O101&amp;";"&amp;CHAR(10)&amp;";//"&amp;$B$5,"")</f>
        <v/>
      </c>
      <c r="X101" t="str">
        <f t="shared" si="14"/>
        <v/>
      </c>
    </row>
    <row r="103" spans="4:24" x14ac:dyDescent="0.55000000000000004">
      <c r="U103" t="str">
        <f>_xlfn.CONCAT(U2:U101)</f>
        <v xml:space="preserve">
LDP stEx101.x2
AND=.D stM.udiErrNo #0
MOV.D #101 stM.udiErrNo
LDP stEx107.x2
AND=.D stM.udiErrNo #0
MOV.D #107 stM.udiErrNo
LDP stEx103.x2
AND=.D stM.udiErrNo #0
MOV.D #103 stM.udiErrNo
LDP stEx104.x2
AND=.D stM.udiErrNo #0
MOV.D #104 stM.udiErrNo
LDP stEx105.x2
AND=.D stM.udiErrNo #0
MOV.D #105 stM.udiErrNo
LDP stEx106.x2
AND=.D stM.udiErrNo #0
MOV.D #106 stM.udiErrNo</v>
      </c>
      <c r="X103" t="str">
        <f ca="1">_xlfn.CONCAT(X2:X101)</f>
        <v xml:space="preserve">
LDP stEx101.x2
AND=.D stM.udiErrNo #0
BOX_ST
;//このスクリプトは C:\tk\prj\hg-0025-0016\git\kv-x520\doc\[kv_script_exe_errno.xlsx]Sheet6 によって生成されました。
;//エラーNo.を入れる
;stM.udiErrNo	:= 101;
;//-----ここまで生成script-----
LDP stEx107.x2
AND=.D stM.udiErrNo #0
BOX_ST
;//このスクリプトは C:\tk\prj\hg-0025-0016\git\kv-x520\doc\[kv_script_exe_errno.xlsx]Sheet6 によって生成されました。
;//エラーNo.を入れる
;stM.udiErrNo	:= 107;
;//-----ここまで生成script-----
LDP stEx103.x2
AND=.D stM.udiErrNo #0
BOX_ST
;//このスクリプトは C:\tk\prj\hg-0025-0016\git\kv-x520\doc\[kv_script_exe_errno.xlsx]Sheet6 によって生成されました。
;//エラーNo.を入れる
;stM.udiErrNo	:= 103;
;//-----ここまで生成script-----
LDP stEx104.x2
AND=.D stM.udiErrNo #0
BOX_ST
;//このスクリプトは C:\tk\prj\hg-0025-0016\git\kv-x520\doc\[kv_script_exe_errno.xlsx]Sheet6 によって生成されました。
;//エラーNo.を入れる
;stM.udiErrNo	:= 104;
;//-----ここまで生成script-----
LDP stEx105.x2
AND=.D stM.udiErrNo #0
BOX_ST
;//このスクリプトは C:\tk\prj\hg-0025-0016\git\kv-x520\doc\[kv_script_exe_errno.xlsx]Sheet6 によって生成されました。
;//エラーNo.を入れる
;stM.udiErrNo	:= 105;
;//-----ここまで生成script-----
LDP stEx106.x2
AND=.D stM.udiErrNo #0
BOX_ST
;//このスクリプトは C:\tk\prj\hg-0025-0016\git\kv-x520\doc\[kv_script_exe_errno.xlsx]Sheet6 によって生成されました。
;//エラーNo.を入れる
;stM.udiErrNo	:= 106;
;//-----ここまで生成script-----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2026-01-21T11:41:16Z</dcterms:modified>
</cp:coreProperties>
</file>