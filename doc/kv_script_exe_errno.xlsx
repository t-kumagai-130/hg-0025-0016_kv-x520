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A529079B-6B69-4E63-8C8B-8CDCA68A2E73}" xr6:coauthVersionLast="47" xr6:coauthVersionMax="47" xr10:uidLastSave="{00000000-0000-0000-0000-000000000000}"/>
  <bookViews>
    <workbookView xWindow="-110" yWindow="-110" windowWidth="38620" windowHeight="21100" xr2:uid="{AD60251E-E67F-4F92-A6A0-C1D334A3EF53}"/>
  </bookViews>
  <sheets>
    <sheet name="Sheet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  <c r="B4" i="1" s="1"/>
  <c r="N2" i="1" l="1"/>
  <c r="N3" i="1"/>
  <c r="Q3" i="1" s="1"/>
  <c r="N4" i="1"/>
  <c r="O4" i="1" s="1"/>
  <c r="R4" i="1" s="1"/>
  <c r="N5" i="1"/>
  <c r="N6" i="1"/>
  <c r="N7" i="1"/>
  <c r="Q7" i="1" s="1"/>
  <c r="N8" i="1"/>
  <c r="O8" i="1" s="1"/>
  <c r="R8" i="1" s="1"/>
  <c r="N9" i="1"/>
  <c r="N10" i="1"/>
  <c r="N11" i="1"/>
  <c r="Q11" i="1" s="1"/>
  <c r="N12" i="1"/>
  <c r="O12" i="1" s="1"/>
  <c r="N13" i="1"/>
  <c r="N14" i="1"/>
  <c r="Q14" i="1" s="1"/>
  <c r="N15" i="1"/>
  <c r="W15" i="1" s="1"/>
  <c r="N16" i="1"/>
  <c r="N17" i="1"/>
  <c r="N18" i="1"/>
  <c r="N19" i="1"/>
  <c r="O19" i="1" s="1"/>
  <c r="N20" i="1"/>
  <c r="N21" i="1"/>
  <c r="N22" i="1"/>
  <c r="N23" i="1"/>
  <c r="W23" i="1" s="1"/>
  <c r="R23" i="1"/>
  <c r="N24" i="1"/>
  <c r="N25" i="1"/>
  <c r="N26" i="1"/>
  <c r="Q26" i="1" s="1"/>
  <c r="N27" i="1"/>
  <c r="O27" i="1" s="1"/>
  <c r="R27" i="1" s="1"/>
  <c r="N28" i="1"/>
  <c r="N29" i="1"/>
  <c r="N30" i="1"/>
  <c r="N31" i="1"/>
  <c r="O31" i="1" s="1"/>
  <c r="N32" i="1"/>
  <c r="N33" i="1"/>
  <c r="N34" i="1"/>
  <c r="N35" i="1"/>
  <c r="W35" i="1" s="1"/>
  <c r="N36" i="1"/>
  <c r="N37" i="1"/>
  <c r="N38" i="1"/>
  <c r="N39" i="1"/>
  <c r="W39" i="1" s="1"/>
  <c r="N40" i="1"/>
  <c r="N41" i="1"/>
  <c r="N42" i="1"/>
  <c r="N43" i="1"/>
  <c r="W43" i="1" s="1"/>
  <c r="N44" i="1"/>
  <c r="N45" i="1"/>
  <c r="N46" i="1"/>
  <c r="N47" i="1"/>
  <c r="W47" i="1" s="1"/>
  <c r="N48" i="1"/>
  <c r="N49" i="1"/>
  <c r="N50" i="1"/>
  <c r="N51" i="1"/>
  <c r="W51" i="1" s="1"/>
  <c r="N52" i="1"/>
  <c r="W52" i="1" s="1"/>
  <c r="N53" i="1"/>
  <c r="N54" i="1"/>
  <c r="R54" i="1" s="1"/>
  <c r="N55" i="1"/>
  <c r="O55" i="1" s="1"/>
  <c r="N56" i="1"/>
  <c r="W56" i="1" s="1"/>
  <c r="N57" i="1"/>
  <c r="N58" i="1"/>
  <c r="R58" i="1"/>
  <c r="N59" i="1"/>
  <c r="W59" i="1" s="1"/>
  <c r="N60" i="1"/>
  <c r="W60" i="1" s="1"/>
  <c r="N61" i="1"/>
  <c r="N62" i="1"/>
  <c r="R62" i="1"/>
  <c r="N63" i="1"/>
  <c r="W63" i="1" s="1"/>
  <c r="N64" i="1"/>
  <c r="W64" i="1" s="1"/>
  <c r="N65" i="1"/>
  <c r="N66" i="1"/>
  <c r="R66" i="1"/>
  <c r="N67" i="1"/>
  <c r="W67" i="1" s="1"/>
  <c r="N68" i="1"/>
  <c r="W68" i="1" s="1"/>
  <c r="N69" i="1"/>
  <c r="N70" i="1"/>
  <c r="O70" i="1"/>
  <c r="R70" i="1"/>
  <c r="N71" i="1"/>
  <c r="W71" i="1" s="1"/>
  <c r="O71" i="1"/>
  <c r="N72" i="1"/>
  <c r="N73" i="1"/>
  <c r="O73" i="1" s="1"/>
  <c r="N74" i="1"/>
  <c r="O74" i="1"/>
  <c r="R74" i="1"/>
  <c r="N75" i="1"/>
  <c r="W75" i="1" s="1"/>
  <c r="O75" i="1"/>
  <c r="P75" i="1"/>
  <c r="S75" i="1" s="1"/>
  <c r="N76" i="1"/>
  <c r="W76" i="1" s="1"/>
  <c r="O76" i="1"/>
  <c r="N77" i="1"/>
  <c r="N78" i="1"/>
  <c r="O78" i="1" s="1"/>
  <c r="N79" i="1"/>
  <c r="W79" i="1" s="1"/>
  <c r="N80" i="1"/>
  <c r="W80" i="1" s="1"/>
  <c r="N81" i="1"/>
  <c r="O81" i="1"/>
  <c r="Q81" i="1"/>
  <c r="N82" i="1"/>
  <c r="N83" i="1"/>
  <c r="W83" i="1" s="1"/>
  <c r="R83" i="1"/>
  <c r="N84" i="1"/>
  <c r="W84" i="1" s="1"/>
  <c r="N85" i="1"/>
  <c r="Q85" i="1" s="1"/>
  <c r="O85" i="1"/>
  <c r="N86" i="1"/>
  <c r="R86" i="1" s="1"/>
  <c r="O86" i="1"/>
  <c r="N87" i="1"/>
  <c r="W87" i="1" s="1"/>
  <c r="N88" i="1"/>
  <c r="W88" i="1" s="1"/>
  <c r="N89" i="1"/>
  <c r="O89" i="1"/>
  <c r="N90" i="1"/>
  <c r="R90" i="1" s="1"/>
  <c r="O90" i="1"/>
  <c r="N91" i="1"/>
  <c r="W91" i="1" s="1"/>
  <c r="O91" i="1"/>
  <c r="P91" i="1"/>
  <c r="S91" i="1" s="1"/>
  <c r="Q91" i="1"/>
  <c r="R91" i="1"/>
  <c r="N92" i="1"/>
  <c r="W92" i="1" s="1"/>
  <c r="O92" i="1"/>
  <c r="N93" i="1"/>
  <c r="O93" i="1" s="1"/>
  <c r="N94" i="1"/>
  <c r="O94" i="1"/>
  <c r="N95" i="1"/>
  <c r="W95" i="1" s="1"/>
  <c r="O95" i="1"/>
  <c r="N96" i="1"/>
  <c r="W96" i="1" s="1"/>
  <c r="O96" i="1"/>
  <c r="N97" i="1"/>
  <c r="O97" i="1" s="1"/>
  <c r="N98" i="1"/>
  <c r="O98" i="1" s="1"/>
  <c r="N99" i="1"/>
  <c r="W99" i="1" s="1"/>
  <c r="O99" i="1"/>
  <c r="N100" i="1"/>
  <c r="N101" i="1"/>
  <c r="O101" i="1" s="1"/>
  <c r="R98" i="1" l="1"/>
  <c r="O88" i="1"/>
  <c r="R79" i="1"/>
  <c r="R71" i="1"/>
  <c r="Q101" i="1"/>
  <c r="Q97" i="1"/>
  <c r="P79" i="1"/>
  <c r="S79" i="1" s="1"/>
  <c r="T79" i="1" s="1"/>
  <c r="X79" i="1" s="1"/>
  <c r="Q71" i="1"/>
  <c r="T71" i="1" s="1"/>
  <c r="Q79" i="1"/>
  <c r="Q93" i="1"/>
  <c r="O79" i="1"/>
  <c r="P71" i="1"/>
  <c r="S71" i="1" s="1"/>
  <c r="O34" i="1"/>
  <c r="W34" i="1"/>
  <c r="P77" i="1"/>
  <c r="S77" i="1" s="1"/>
  <c r="W77" i="1"/>
  <c r="O69" i="1"/>
  <c r="W69" i="1"/>
  <c r="O50" i="1"/>
  <c r="W50" i="1"/>
  <c r="O30" i="1"/>
  <c r="W30" i="1"/>
  <c r="O49" i="1"/>
  <c r="W49" i="1"/>
  <c r="O37" i="1"/>
  <c r="W37" i="1"/>
  <c r="O21" i="1"/>
  <c r="W21" i="1"/>
  <c r="O14" i="1"/>
  <c r="W14" i="1"/>
  <c r="P32" i="1"/>
  <c r="S32" i="1" s="1"/>
  <c r="P20" i="1"/>
  <c r="S20" i="1" s="1"/>
  <c r="W20" i="1"/>
  <c r="P16" i="1"/>
  <c r="W16" i="1"/>
  <c r="O13" i="1"/>
  <c r="W13" i="1"/>
  <c r="R95" i="1"/>
  <c r="Q83" i="1"/>
  <c r="P74" i="1"/>
  <c r="S74" i="1" s="1"/>
  <c r="W74" i="1"/>
  <c r="R67" i="1"/>
  <c r="R63" i="1"/>
  <c r="R59" i="1"/>
  <c r="R55" i="1"/>
  <c r="R51" i="1"/>
  <c r="P48" i="1"/>
  <c r="S48" i="1" s="1"/>
  <c r="W48" i="1"/>
  <c r="P44" i="1"/>
  <c r="S44" i="1" s="1"/>
  <c r="W44" i="1"/>
  <c r="P40" i="1"/>
  <c r="W40" i="1"/>
  <c r="P36" i="1"/>
  <c r="S36" i="1" s="1"/>
  <c r="W36" i="1"/>
  <c r="P101" i="1"/>
  <c r="S101" i="1" s="1"/>
  <c r="T101" i="1" s="1"/>
  <c r="X101" i="1" s="1"/>
  <c r="W101" i="1"/>
  <c r="Q95" i="1"/>
  <c r="P86" i="1"/>
  <c r="S86" i="1" s="1"/>
  <c r="W86" i="1"/>
  <c r="P83" i="1"/>
  <c r="S83" i="1" s="1"/>
  <c r="P81" i="1"/>
  <c r="W81" i="1"/>
  <c r="R78" i="1"/>
  <c r="R75" i="1"/>
  <c r="Q73" i="1"/>
  <c r="P67" i="1"/>
  <c r="P63" i="1"/>
  <c r="P59" i="1"/>
  <c r="S59" i="1" s="1"/>
  <c r="P55" i="1"/>
  <c r="S55" i="1" s="1"/>
  <c r="P51" i="1"/>
  <c r="S51" i="1" s="1"/>
  <c r="R47" i="1"/>
  <c r="R43" i="1"/>
  <c r="R39" i="1"/>
  <c r="R35" i="1"/>
  <c r="R31" i="1"/>
  <c r="P27" i="1"/>
  <c r="S27" i="1" s="1"/>
  <c r="P23" i="1"/>
  <c r="R19" i="1"/>
  <c r="R15" i="1"/>
  <c r="O61" i="1"/>
  <c r="W61" i="1"/>
  <c r="O53" i="1"/>
  <c r="W53" i="1"/>
  <c r="O42" i="1"/>
  <c r="W42" i="1"/>
  <c r="O25" i="1"/>
  <c r="W25" i="1"/>
  <c r="P94" i="1"/>
  <c r="S94" i="1" s="1"/>
  <c r="W94" i="1"/>
  <c r="P89" i="1"/>
  <c r="W89" i="1"/>
  <c r="O45" i="1"/>
  <c r="W45" i="1"/>
  <c r="P24" i="1"/>
  <c r="S24" i="1" s="1"/>
  <c r="W24" i="1"/>
  <c r="O17" i="1"/>
  <c r="W17" i="1"/>
  <c r="P28" i="1"/>
  <c r="O100" i="1"/>
  <c r="W100" i="1"/>
  <c r="P98" i="1"/>
  <c r="S98" i="1" s="1"/>
  <c r="W98" i="1"/>
  <c r="P95" i="1"/>
  <c r="S95" i="1" s="1"/>
  <c r="P93" i="1"/>
  <c r="S93" i="1" s="1"/>
  <c r="T93" i="1" s="1"/>
  <c r="W93" i="1"/>
  <c r="R87" i="1"/>
  <c r="O83" i="1"/>
  <c r="O80" i="1"/>
  <c r="Q75" i="1"/>
  <c r="O67" i="1"/>
  <c r="O63" i="1"/>
  <c r="O59" i="1"/>
  <c r="O51" i="1"/>
  <c r="P47" i="1"/>
  <c r="P43" i="1"/>
  <c r="S43" i="1" s="1"/>
  <c r="P39" i="1"/>
  <c r="S39" i="1" s="1"/>
  <c r="P35" i="1"/>
  <c r="S35" i="1" s="1"/>
  <c r="P31" i="1"/>
  <c r="S31" i="1" s="1"/>
  <c r="O23" i="1"/>
  <c r="P19" i="1"/>
  <c r="S19" i="1" s="1"/>
  <c r="P15" i="1"/>
  <c r="Q12" i="1"/>
  <c r="W12" i="1"/>
  <c r="P82" i="1"/>
  <c r="S82" i="1" s="1"/>
  <c r="W82" i="1"/>
  <c r="O65" i="1"/>
  <c r="W65" i="1"/>
  <c r="O41" i="1"/>
  <c r="W41" i="1"/>
  <c r="Q87" i="1"/>
  <c r="P78" i="1"/>
  <c r="S78" i="1" s="1"/>
  <c r="W78" i="1"/>
  <c r="T75" i="1"/>
  <c r="U75" i="1" s="1"/>
  <c r="P73" i="1"/>
  <c r="S73" i="1" s="1"/>
  <c r="W73" i="1"/>
  <c r="W55" i="1"/>
  <c r="O47" i="1"/>
  <c r="O43" i="1"/>
  <c r="O39" i="1"/>
  <c r="O35" i="1"/>
  <c r="W27" i="1"/>
  <c r="O15" i="1"/>
  <c r="O57" i="1"/>
  <c r="W57" i="1"/>
  <c r="O46" i="1"/>
  <c r="W46" i="1"/>
  <c r="O38" i="1"/>
  <c r="W38" i="1"/>
  <c r="O22" i="1"/>
  <c r="W22" i="1"/>
  <c r="O29" i="1"/>
  <c r="W29" i="1" s="1"/>
  <c r="Q99" i="1"/>
  <c r="P90" i="1"/>
  <c r="S90" i="1" s="1"/>
  <c r="W90" i="1"/>
  <c r="P87" i="1"/>
  <c r="S87" i="1" s="1"/>
  <c r="T87" i="1" s="1"/>
  <c r="X87" i="1" s="1"/>
  <c r="O72" i="1"/>
  <c r="W72" i="1"/>
  <c r="R50" i="1"/>
  <c r="W31" i="1"/>
  <c r="R22" i="1"/>
  <c r="W19" i="1"/>
  <c r="O11" i="1"/>
  <c r="W11" i="1"/>
  <c r="O18" i="1"/>
  <c r="W18" i="1" s="1"/>
  <c r="O33" i="1"/>
  <c r="W33" i="1"/>
  <c r="R99" i="1"/>
  <c r="P85" i="1"/>
  <c r="W85" i="1"/>
  <c r="R82" i="1"/>
  <c r="Q77" i="1"/>
  <c r="P99" i="1"/>
  <c r="S99" i="1" s="1"/>
  <c r="P97" i="1"/>
  <c r="S97" i="1" s="1"/>
  <c r="T97" i="1" s="1"/>
  <c r="W97" i="1"/>
  <c r="R94" i="1"/>
  <c r="Q89" i="1"/>
  <c r="O87" i="1"/>
  <c r="O84" i="1"/>
  <c r="O82" i="1"/>
  <c r="O77" i="1"/>
  <c r="P70" i="1"/>
  <c r="S70" i="1" s="1"/>
  <c r="W70" i="1"/>
  <c r="O66" i="1"/>
  <c r="W66" i="1"/>
  <c r="O62" i="1"/>
  <c r="W62" i="1"/>
  <c r="O58" i="1"/>
  <c r="W58" i="1"/>
  <c r="O54" i="1"/>
  <c r="W54" i="1"/>
  <c r="Q50" i="1"/>
  <c r="R46" i="1"/>
  <c r="R42" i="1"/>
  <c r="R38" i="1"/>
  <c r="R34" i="1"/>
  <c r="R30" i="1"/>
  <c r="O26" i="1"/>
  <c r="W26" i="1" s="1"/>
  <c r="Q22" i="1"/>
  <c r="Q18" i="1"/>
  <c r="R14" i="1"/>
  <c r="O10" i="1"/>
  <c r="W10" i="1"/>
  <c r="O6" i="1"/>
  <c r="W6" i="1" s="1"/>
  <c r="P5" i="1"/>
  <c r="O7" i="1"/>
  <c r="W7" i="1" s="1"/>
  <c r="P9" i="1"/>
  <c r="S9" i="1" s="1"/>
  <c r="P8" i="1"/>
  <c r="S8" i="1" s="1"/>
  <c r="P4" i="1"/>
  <c r="S4" i="1" s="1"/>
  <c r="W8" i="1"/>
  <c r="W4" i="1"/>
  <c r="O3" i="1"/>
  <c r="R3" i="1" s="1"/>
  <c r="O2" i="1"/>
  <c r="W2" i="1" s="1"/>
  <c r="S47" i="1"/>
  <c r="S15" i="1"/>
  <c r="T91" i="1"/>
  <c r="X91" i="1" s="1"/>
  <c r="S23" i="1"/>
  <c r="T99" i="1"/>
  <c r="U99" i="1" s="1"/>
  <c r="T83" i="1"/>
  <c r="X83" i="1" s="1"/>
  <c r="Q100" i="1"/>
  <c r="S67" i="1"/>
  <c r="P64" i="1"/>
  <c r="S64" i="1" s="1"/>
  <c r="T64" i="1" s="1"/>
  <c r="Q64" i="1"/>
  <c r="R64" i="1"/>
  <c r="O64" i="1"/>
  <c r="P72" i="1"/>
  <c r="S72" i="1" s="1"/>
  <c r="Q72" i="1"/>
  <c r="R72" i="1"/>
  <c r="P56" i="1"/>
  <c r="S56" i="1" s="1"/>
  <c r="Q56" i="1"/>
  <c r="R56" i="1"/>
  <c r="O56" i="1"/>
  <c r="P68" i="1"/>
  <c r="Q68" i="1"/>
  <c r="R68" i="1"/>
  <c r="S68" i="1"/>
  <c r="O68" i="1"/>
  <c r="P100" i="1"/>
  <c r="S100" i="1" s="1"/>
  <c r="R100" i="1"/>
  <c r="R11" i="1"/>
  <c r="P96" i="1"/>
  <c r="S96" i="1" s="1"/>
  <c r="Q96" i="1"/>
  <c r="R96" i="1"/>
  <c r="P92" i="1"/>
  <c r="S92" i="1" s="1"/>
  <c r="Q92" i="1"/>
  <c r="R92" i="1"/>
  <c r="P88" i="1"/>
  <c r="S88" i="1" s="1"/>
  <c r="Q88" i="1"/>
  <c r="R88" i="1"/>
  <c r="P84" i="1"/>
  <c r="S84" i="1" s="1"/>
  <c r="Q84" i="1"/>
  <c r="R84" i="1"/>
  <c r="P80" i="1"/>
  <c r="S80" i="1" s="1"/>
  <c r="Q80" i="1"/>
  <c r="R80" i="1"/>
  <c r="P76" i="1"/>
  <c r="S76" i="1" s="1"/>
  <c r="Q76" i="1"/>
  <c r="R76" i="1"/>
  <c r="S63" i="1"/>
  <c r="P60" i="1"/>
  <c r="S60" i="1" s="1"/>
  <c r="Q60" i="1"/>
  <c r="R60" i="1"/>
  <c r="O60" i="1"/>
  <c r="U87" i="1"/>
  <c r="U79" i="1"/>
  <c r="P52" i="1"/>
  <c r="S52" i="1" s="1"/>
  <c r="Q52" i="1"/>
  <c r="R52" i="1"/>
  <c r="O52" i="1"/>
  <c r="Q67" i="1"/>
  <c r="Q63" i="1"/>
  <c r="Q59" i="1"/>
  <c r="Q55" i="1"/>
  <c r="Q51" i="1"/>
  <c r="O48" i="1"/>
  <c r="Q47" i="1"/>
  <c r="T47" i="1" s="1"/>
  <c r="O44" i="1"/>
  <c r="Q43" i="1"/>
  <c r="O40" i="1"/>
  <c r="Q39" i="1"/>
  <c r="O36" i="1"/>
  <c r="Q35" i="1"/>
  <c r="O32" i="1"/>
  <c r="W32" i="1" s="1"/>
  <c r="Q31" i="1"/>
  <c r="O28" i="1"/>
  <c r="W28" i="1" s="1"/>
  <c r="Q27" i="1"/>
  <c r="O24" i="1"/>
  <c r="Q23" i="1"/>
  <c r="O20" i="1"/>
  <c r="Q19" i="1"/>
  <c r="O16" i="1"/>
  <c r="Q15" i="1"/>
  <c r="P12" i="1"/>
  <c r="S12" i="1" s="1"/>
  <c r="T12" i="1" s="1"/>
  <c r="O9" i="1"/>
  <c r="R9" i="1" s="1"/>
  <c r="Q8" i="1"/>
  <c r="O5" i="1"/>
  <c r="W5" i="1" s="1"/>
  <c r="Q4" i="1"/>
  <c r="Q98" i="1"/>
  <c r="Q94" i="1"/>
  <c r="T94" i="1" s="1"/>
  <c r="Q90" i="1"/>
  <c r="T90" i="1" s="1"/>
  <c r="S89" i="1"/>
  <c r="T89" i="1" s="1"/>
  <c r="Q86" i="1"/>
  <c r="T86" i="1" s="1"/>
  <c r="S85" i="1"/>
  <c r="T85" i="1" s="1"/>
  <c r="Q82" i="1"/>
  <c r="T82" i="1" s="1"/>
  <c r="S81" i="1"/>
  <c r="T81" i="1" s="1"/>
  <c r="Q78" i="1"/>
  <c r="Q74" i="1"/>
  <c r="T74" i="1" s="1"/>
  <c r="Q70" i="1"/>
  <c r="Q66" i="1"/>
  <c r="Q62" i="1"/>
  <c r="Q58" i="1"/>
  <c r="Q54" i="1"/>
  <c r="Q46" i="1"/>
  <c r="Q42" i="1"/>
  <c r="Q38" i="1"/>
  <c r="Q34" i="1"/>
  <c r="Q30" i="1"/>
  <c r="R101" i="1"/>
  <c r="R97" i="1"/>
  <c r="R93" i="1"/>
  <c r="R89" i="1"/>
  <c r="R85" i="1"/>
  <c r="R81" i="1"/>
  <c r="R77" i="1"/>
  <c r="R73" i="1"/>
  <c r="R69" i="1"/>
  <c r="P66" i="1"/>
  <c r="S66" i="1" s="1"/>
  <c r="R65" i="1"/>
  <c r="P62" i="1"/>
  <c r="S62" i="1" s="1"/>
  <c r="R61" i="1"/>
  <c r="P58" i="1"/>
  <c r="S58" i="1" s="1"/>
  <c r="R57" i="1"/>
  <c r="P54" i="1"/>
  <c r="S54" i="1" s="1"/>
  <c r="R53" i="1"/>
  <c r="P50" i="1"/>
  <c r="S50" i="1" s="1"/>
  <c r="T50" i="1" s="1"/>
  <c r="R49" i="1"/>
  <c r="P46" i="1"/>
  <c r="S46" i="1" s="1"/>
  <c r="R45" i="1"/>
  <c r="P42" i="1"/>
  <c r="S42" i="1" s="1"/>
  <c r="R41" i="1"/>
  <c r="P38" i="1"/>
  <c r="S38" i="1" s="1"/>
  <c r="T38" i="1" s="1"/>
  <c r="R37" i="1"/>
  <c r="P34" i="1"/>
  <c r="S34" i="1" s="1"/>
  <c r="R33" i="1"/>
  <c r="P30" i="1"/>
  <c r="S30" i="1" s="1"/>
  <c r="P26" i="1"/>
  <c r="S26" i="1" s="1"/>
  <c r="T26" i="1" s="1"/>
  <c r="R25" i="1"/>
  <c r="P22" i="1"/>
  <c r="S22" i="1" s="1"/>
  <c r="R21" i="1"/>
  <c r="P18" i="1"/>
  <c r="S18" i="1" s="1"/>
  <c r="R17" i="1"/>
  <c r="P14" i="1"/>
  <c r="S14" i="1" s="1"/>
  <c r="T14" i="1" s="1"/>
  <c r="R13" i="1"/>
  <c r="P11" i="1"/>
  <c r="S11" i="1" s="1"/>
  <c r="T11" i="1" s="1"/>
  <c r="R10" i="1"/>
  <c r="P7" i="1"/>
  <c r="S7" i="1" s="1"/>
  <c r="T7" i="1" s="1"/>
  <c r="P3" i="1"/>
  <c r="S3" i="1" s="1"/>
  <c r="T3" i="1" s="1"/>
  <c r="Q69" i="1"/>
  <c r="Q65" i="1"/>
  <c r="Q61" i="1"/>
  <c r="Q57" i="1"/>
  <c r="Q53" i="1"/>
  <c r="Q49" i="1"/>
  <c r="Q45" i="1"/>
  <c r="Q41" i="1"/>
  <c r="S40" i="1"/>
  <c r="Q37" i="1"/>
  <c r="Q33" i="1"/>
  <c r="Q29" i="1"/>
  <c r="S28" i="1"/>
  <c r="Q25" i="1"/>
  <c r="Q21" i="1"/>
  <c r="Q17" i="1"/>
  <c r="S16" i="1"/>
  <c r="Q13" i="1"/>
  <c r="Q10" i="1"/>
  <c r="Q6" i="1"/>
  <c r="S5" i="1"/>
  <c r="Q2" i="1"/>
  <c r="P69" i="1"/>
  <c r="S69" i="1" s="1"/>
  <c r="P65" i="1"/>
  <c r="S65" i="1" s="1"/>
  <c r="P61" i="1"/>
  <c r="S61" i="1" s="1"/>
  <c r="P57" i="1"/>
  <c r="S57" i="1" s="1"/>
  <c r="T57" i="1" s="1"/>
  <c r="P53" i="1"/>
  <c r="S53" i="1" s="1"/>
  <c r="P49" i="1"/>
  <c r="S49" i="1" s="1"/>
  <c r="R48" i="1"/>
  <c r="P45" i="1"/>
  <c r="S45" i="1" s="1"/>
  <c r="R44" i="1"/>
  <c r="P41" i="1"/>
  <c r="S41" i="1" s="1"/>
  <c r="R40" i="1"/>
  <c r="P37" i="1"/>
  <c r="S37" i="1" s="1"/>
  <c r="T37" i="1" s="1"/>
  <c r="R36" i="1"/>
  <c r="P33" i="1"/>
  <c r="S33" i="1" s="1"/>
  <c r="R32" i="1"/>
  <c r="P29" i="1"/>
  <c r="S29" i="1" s="1"/>
  <c r="P25" i="1"/>
  <c r="S25" i="1" s="1"/>
  <c r="R24" i="1"/>
  <c r="P21" i="1"/>
  <c r="S21" i="1" s="1"/>
  <c r="R20" i="1"/>
  <c r="P17" i="1"/>
  <c r="S17" i="1" s="1"/>
  <c r="R16" i="1"/>
  <c r="P13" i="1"/>
  <c r="S13" i="1" s="1"/>
  <c r="P10" i="1"/>
  <c r="S10" i="1" s="1"/>
  <c r="P6" i="1"/>
  <c r="S6" i="1" s="1"/>
  <c r="P2" i="1"/>
  <c r="S2" i="1" s="1"/>
  <c r="Q48" i="1"/>
  <c r="Q44" i="1"/>
  <c r="Q40" i="1"/>
  <c r="Q36" i="1"/>
  <c r="Q32" i="1"/>
  <c r="Q28" i="1"/>
  <c r="Q24" i="1"/>
  <c r="Q20" i="1"/>
  <c r="Q16" i="1"/>
  <c r="R12" i="1"/>
  <c r="Q9" i="1"/>
  <c r="Q5" i="1"/>
  <c r="T22" i="1" l="1"/>
  <c r="T23" i="1"/>
  <c r="R7" i="1"/>
  <c r="U71" i="1"/>
  <c r="X71" i="1"/>
  <c r="T39" i="1"/>
  <c r="U83" i="1"/>
  <c r="T100" i="1"/>
  <c r="U101" i="1"/>
  <c r="T59" i="1"/>
  <c r="T58" i="1"/>
  <c r="X58" i="1" s="1"/>
  <c r="T27" i="1"/>
  <c r="X27" i="1" s="1"/>
  <c r="T41" i="1"/>
  <c r="T65" i="1"/>
  <c r="T25" i="1"/>
  <c r="X25" i="1" s="1"/>
  <c r="T69" i="1"/>
  <c r="X69" i="1" s="1"/>
  <c r="R26" i="1"/>
  <c r="U26" i="1" s="1"/>
  <c r="T55" i="1"/>
  <c r="U55" i="1" s="1"/>
  <c r="T43" i="1"/>
  <c r="U43" i="1" s="1"/>
  <c r="T10" i="1"/>
  <c r="T29" i="1"/>
  <c r="X29" i="1" s="1"/>
  <c r="T45" i="1"/>
  <c r="T78" i="1"/>
  <c r="U78" i="1" s="1"/>
  <c r="T73" i="1"/>
  <c r="U73" i="1" s="1"/>
  <c r="T95" i="1"/>
  <c r="R29" i="1"/>
  <c r="U91" i="1"/>
  <c r="T70" i="1"/>
  <c r="U70" i="1" s="1"/>
  <c r="T15" i="1"/>
  <c r="T31" i="1"/>
  <c r="T49" i="1"/>
  <c r="X49" i="1" s="1"/>
  <c r="T34" i="1"/>
  <c r="U34" i="1" s="1"/>
  <c r="T66" i="1"/>
  <c r="U66" i="1" s="1"/>
  <c r="T33" i="1"/>
  <c r="U33" i="1" s="1"/>
  <c r="T30" i="1"/>
  <c r="X30" i="1" s="1"/>
  <c r="T77" i="1"/>
  <c r="X77" i="1" s="1"/>
  <c r="T18" i="1"/>
  <c r="T21" i="1"/>
  <c r="X21" i="1" s="1"/>
  <c r="T61" i="1"/>
  <c r="X61" i="1" s="1"/>
  <c r="T98" i="1"/>
  <c r="U98" i="1" s="1"/>
  <c r="T19" i="1"/>
  <c r="U19" i="1" s="1"/>
  <c r="T35" i="1"/>
  <c r="U35" i="1" s="1"/>
  <c r="R18" i="1"/>
  <c r="X75" i="1"/>
  <c r="W9" i="1"/>
  <c r="R5" i="1"/>
  <c r="R6" i="1"/>
  <c r="W3" i="1"/>
  <c r="X3" i="1" s="1"/>
  <c r="T8" i="1"/>
  <c r="U8" i="1" s="1"/>
  <c r="R2" i="1"/>
  <c r="T4" i="1"/>
  <c r="U4" i="1" s="1"/>
  <c r="X99" i="1"/>
  <c r="T72" i="1"/>
  <c r="T84" i="1"/>
  <c r="T17" i="1"/>
  <c r="X17" i="1" s="1"/>
  <c r="T42" i="1"/>
  <c r="U42" i="1" s="1"/>
  <c r="T16" i="1"/>
  <c r="X16" i="1" s="1"/>
  <c r="T32" i="1"/>
  <c r="U32" i="1" s="1"/>
  <c r="T48" i="1"/>
  <c r="U48" i="1" s="1"/>
  <c r="T56" i="1"/>
  <c r="U56" i="1" s="1"/>
  <c r="T46" i="1"/>
  <c r="T60" i="1"/>
  <c r="X60" i="1" s="1"/>
  <c r="T92" i="1"/>
  <c r="X92" i="1" s="1"/>
  <c r="T52" i="1"/>
  <c r="X52" i="1" s="1"/>
  <c r="T13" i="1"/>
  <c r="X13" i="1" s="1"/>
  <c r="T24" i="1"/>
  <c r="U24" i="1" s="1"/>
  <c r="T40" i="1"/>
  <c r="U40" i="1" s="1"/>
  <c r="T96" i="1"/>
  <c r="U96" i="1" s="1"/>
  <c r="T53" i="1"/>
  <c r="T9" i="1"/>
  <c r="U9" i="1" s="1"/>
  <c r="T54" i="1"/>
  <c r="U54" i="1" s="1"/>
  <c r="T76" i="1"/>
  <c r="U76" i="1" s="1"/>
  <c r="T2" i="1"/>
  <c r="U94" i="1"/>
  <c r="X94" i="1"/>
  <c r="U12" i="1"/>
  <c r="X12" i="1"/>
  <c r="U27" i="1"/>
  <c r="U72" i="1"/>
  <c r="X72" i="1"/>
  <c r="U22" i="1"/>
  <c r="X22" i="1"/>
  <c r="U15" i="1"/>
  <c r="X15" i="1"/>
  <c r="X53" i="1"/>
  <c r="U53" i="1"/>
  <c r="U38" i="1"/>
  <c r="X38" i="1"/>
  <c r="X54" i="1"/>
  <c r="U82" i="1"/>
  <c r="X82" i="1"/>
  <c r="U31" i="1"/>
  <c r="X31" i="1"/>
  <c r="U47" i="1"/>
  <c r="X47" i="1"/>
  <c r="X57" i="1"/>
  <c r="U57" i="1"/>
  <c r="U11" i="1"/>
  <c r="X11" i="1"/>
  <c r="X26" i="1"/>
  <c r="U61" i="1"/>
  <c r="X42" i="1"/>
  <c r="U58" i="1"/>
  <c r="X70" i="1"/>
  <c r="U86" i="1"/>
  <c r="X86" i="1"/>
  <c r="X19" i="1"/>
  <c r="X41" i="1"/>
  <c r="U41" i="1"/>
  <c r="X65" i="1"/>
  <c r="U65" i="1"/>
  <c r="U3" i="1"/>
  <c r="U14" i="1"/>
  <c r="X14" i="1"/>
  <c r="U25" i="1"/>
  <c r="U69" i="1"/>
  <c r="U46" i="1"/>
  <c r="X46" i="1"/>
  <c r="U74" i="1"/>
  <c r="X74" i="1"/>
  <c r="U90" i="1"/>
  <c r="X90" i="1"/>
  <c r="U23" i="1"/>
  <c r="X23" i="1"/>
  <c r="U39" i="1"/>
  <c r="X39" i="1"/>
  <c r="U60" i="1"/>
  <c r="U29" i="1"/>
  <c r="X45" i="1"/>
  <c r="U45" i="1"/>
  <c r="T20" i="1"/>
  <c r="T36" i="1"/>
  <c r="T62" i="1"/>
  <c r="X100" i="1"/>
  <c r="U100" i="1"/>
  <c r="U92" i="1"/>
  <c r="T5" i="1"/>
  <c r="X89" i="1"/>
  <c r="U89" i="1"/>
  <c r="X55" i="1"/>
  <c r="T63" i="1"/>
  <c r="X37" i="1"/>
  <c r="U37" i="1"/>
  <c r="U7" i="1"/>
  <c r="X7" i="1"/>
  <c r="U18" i="1"/>
  <c r="X18" i="1"/>
  <c r="U50" i="1"/>
  <c r="X50" i="1"/>
  <c r="U84" i="1"/>
  <c r="X84" i="1"/>
  <c r="U64" i="1"/>
  <c r="X64" i="1"/>
  <c r="X93" i="1"/>
  <c r="U93" i="1"/>
  <c r="T51" i="1"/>
  <c r="T6" i="1"/>
  <c r="T28" i="1"/>
  <c r="T44" i="1"/>
  <c r="T68" i="1"/>
  <c r="X81" i="1"/>
  <c r="U81" i="1"/>
  <c r="U97" i="1"/>
  <c r="X97" i="1"/>
  <c r="T88" i="1"/>
  <c r="X10" i="1"/>
  <c r="U10" i="1"/>
  <c r="U59" i="1"/>
  <c r="X59" i="1"/>
  <c r="T67" i="1"/>
  <c r="R28" i="1"/>
  <c r="X85" i="1"/>
  <c r="U85" i="1"/>
  <c r="T80" i="1"/>
  <c r="U21" i="1" l="1"/>
  <c r="X34" i="1"/>
  <c r="X32" i="1"/>
  <c r="X35" i="1"/>
  <c r="X33" i="1"/>
  <c r="X98" i="1"/>
  <c r="X24" i="1"/>
  <c r="X73" i="1"/>
  <c r="U30" i="1"/>
  <c r="X43" i="1"/>
  <c r="X78" i="1"/>
  <c r="X48" i="1"/>
  <c r="X66" i="1"/>
  <c r="U17" i="1"/>
  <c r="U49" i="1"/>
  <c r="U77" i="1"/>
  <c r="X56" i="1"/>
  <c r="X96" i="1"/>
  <c r="X95" i="1"/>
  <c r="U95" i="1"/>
  <c r="X8" i="1"/>
  <c r="X4" i="1"/>
  <c r="U2" i="1"/>
  <c r="X9" i="1"/>
  <c r="U16" i="1"/>
  <c r="X76" i="1"/>
  <c r="X2" i="1"/>
  <c r="U13" i="1"/>
  <c r="X40" i="1"/>
  <c r="U52" i="1"/>
  <c r="U5" i="1"/>
  <c r="X5" i="1"/>
  <c r="X6" i="1"/>
  <c r="U6" i="1"/>
  <c r="U63" i="1"/>
  <c r="X63" i="1"/>
  <c r="U67" i="1"/>
  <c r="X67" i="1"/>
  <c r="U68" i="1"/>
  <c r="X68" i="1"/>
  <c r="U51" i="1"/>
  <c r="X51" i="1"/>
  <c r="U88" i="1"/>
  <c r="X88" i="1"/>
  <c r="U44" i="1"/>
  <c r="X44" i="1"/>
  <c r="U62" i="1"/>
  <c r="X62" i="1"/>
  <c r="U80" i="1"/>
  <c r="X80" i="1"/>
  <c r="U28" i="1"/>
  <c r="X28" i="1"/>
  <c r="U36" i="1"/>
  <c r="X36" i="1"/>
  <c r="U20" i="1"/>
  <c r="X20" i="1"/>
  <c r="U103" i="1" l="1"/>
  <c r="B12" i="1" s="1"/>
  <c r="X103" i="1"/>
  <c r="B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<sst xmlns="http://schemas.openxmlformats.org/spreadsheetml/2006/main" count="40" uniqueCount="31">
  <si>
    <t>EXE_DIREC</t>
  </si>
  <si>
    <t>ST</t>
    <phoneticPr fontId="1"/>
  </si>
  <si>
    <t>ニーモニック</t>
    <phoneticPr fontId="1"/>
  </si>
  <si>
    <t>stM.udiErrNo</t>
  </si>
  <si>
    <t>エラーデバイス</t>
    <phoneticPr fontId="1"/>
  </si>
  <si>
    <t>x2</t>
    <phoneticPr fontId="1"/>
  </si>
  <si>
    <t>サブデバイス</t>
    <phoneticPr fontId="1"/>
  </si>
  <si>
    <t>エラーNo.</t>
    <phoneticPr fontId="1"/>
  </si>
  <si>
    <t>有効</t>
    <rPh sb="0" eb="2">
      <t>ユウコウ</t>
    </rPh>
    <phoneticPr fontId="1"/>
  </si>
  <si>
    <t>変数</t>
    <rPh sb="0" eb="2">
      <t>ヘンスウ</t>
    </rPh>
    <phoneticPr fontId="1"/>
  </si>
  <si>
    <t>緒言</t>
    <rPh sb="0" eb="2">
      <t>ショゲン</t>
    </rPh>
    <phoneticPr fontId="1"/>
  </si>
  <si>
    <t>ファイル</t>
  </si>
  <si>
    <t>先頭注記</t>
  </si>
  <si>
    <t>末尾注記</t>
  </si>
  <si>
    <t>-----ここまで生成script-----</t>
  </si>
  <si>
    <t>stEx100</t>
  </si>
  <si>
    <t>◆平板押え 上昇有無</t>
  </si>
  <si>
    <t>stEx101</t>
  </si>
  <si>
    <t>&gt;●平板押え 上昇</t>
  </si>
  <si>
    <t>stEx107</t>
  </si>
  <si>
    <t>&gt;●Xﾛｰﾙ押え 原点</t>
  </si>
  <si>
    <t>stEx102</t>
  </si>
  <si>
    <t>▼平板押え</t>
  </si>
  <si>
    <t>stEx103</t>
  </si>
  <si>
    <t>△●平板ｶｯﾄ押出し 退避</t>
  </si>
  <si>
    <t>stEx104</t>
  </si>
  <si>
    <t>△●平板ｶｯﾄ刃 ひらき</t>
  </si>
  <si>
    <t>stEx105</t>
  </si>
  <si>
    <t>△●平板ﾌﾟﾚｰｰﾄ 後退</t>
  </si>
  <si>
    <t>stEx106</t>
  </si>
  <si>
    <t>▽押出し +刃+ﾌﾟﾚｰﾄ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</si>
</sst>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">
    <dxf>
      <fill>
        <patternFill patternType="lightUp">
          <fgColor rgb="FF33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FD0F4-3707-4FCC-9D10-2DD76A7D546A}">
  <dimension ref="A1:X103"/>
  <sheetViews>
    <sheetView tabSelected="1" workbookViewId="0">
      <pane ySplit="1" topLeftCell="A2" activePane="bottomLeft" state="frozen"/>
      <selection pane="bottomLeft" activeCell="I13" sqref="I13"/>
    </sheetView>
  </sheetViews>
  <sheetFormatPr defaultRowHeight="18" x14ac:dyDescent="0.55000000000000004"/>
  <cols>
    <col min="12" max="12" width="21.08203125" bestFit="1" customWidth="1"/>
    <col min="16" max="16" width="14.75" bestFit="1" customWidth="1"/>
    <col min="17" max="17" width="23.4140625" bestFit="1" customWidth="1"/>
    <col min="18" max="18" width="24" bestFit="1" customWidth="1"/>
    <col min="23" max="23" width="24" customWidth="1"/>
  </cols>
  <sheetData>
    <row r="1" spans="1:24" x14ac:dyDescent="0.55000000000000004">
      <c r="A1" t="s">
        <v>10</v>
      </c>
      <c r="E1" t="s">
        <v>9</v>
      </c>
      <c r="N1" t="s">
        <v>8</v>
      </c>
      <c r="O1" t="s">
        <v>7</v>
      </c>
      <c r="S1" t="s">
        <v>2</v>
      </c>
      <c r="X1" t="s">
        <v>1</v>
      </c>
    </row>
    <row r="2" spans="1:24" x14ac:dyDescent="0.55000000000000004">
      <c r="A2" t="s">
        <v>11</v>
      </c>
      <c r="B2" t="str" cm="1">
        <f t="array" aca="1" ref="B2" ca="1">CELL("filename")</f>
        <v>C:\tk\prj\hg-0025-0016\git\vt5-w10\[TP_メッセージ.xlsx]warning</v>
      </c>
      <c r="D2">
        <v>0</v>
      </c>
      <c r="E2" t="s">
        <v>15</v>
      </c>
      <c r="F2" t="s">
        <v>0</v>
      </c>
      <c r="I2" t="b">
        <v>0</v>
      </c>
      <c r="J2" t="b">
        <v>0</v>
      </c>
      <c r="K2" t="b">
        <v>0</v>
      </c>
      <c r="L2" t="s">
        <v>16</v>
      </c>
      <c r="N2" t="str">
        <f t="shared" ref="N2:N33" si="0">IF(LEN(L2),IF(OR(COUNTIF(L2,"*◆*"),COUNTIF(L2,"*▼*")),"","●"),"")</f>
        <v/>
      </c>
      <c r="O2" t="str">
        <f t="shared" ref="O2:O33" si="1">IF(N2="●",INT(MID(E2,5,3)),"")</f>
        <v/>
      </c>
      <c r="P2" t="str">
        <f t="shared" ref="P2:P33" si="2">IF($N2="●","LDP "&amp;E2&amp;"."&amp;$B$8,"")</f>
        <v/>
      </c>
      <c r="Q2" t="str">
        <f t="shared" ref="Q2:Q33" si="3">IF($N2="●","AND=.D "&amp;$B$9&amp;" #0","")</f>
        <v/>
      </c>
      <c r="R2" t="str">
        <f t="shared" ref="R2:R33" si="4">IF($N2="●","MOV.D #"&amp;O2&amp;" "&amp;$B$9,"")</f>
        <v/>
      </c>
      <c r="S2" t="str">
        <f t="shared" ref="S2:S33" si="5">IF(AND(D2&lt;&gt;0,N2="●"),CHAR(10),"")&amp;IF(LEN(P2),P2,"")</f>
        <v/>
      </c>
      <c r="T2" t="str">
        <f t="shared" ref="T2:T33" si="6">IF(LEN(S2),S2&amp;CHAR(10),"")&amp;IF(LEN(Q2),Q2,"")</f>
        <v/>
      </c>
      <c r="U2" t="str">
        <f t="shared" ref="U2:U33" si="7">IF(LEN(T2),T2&amp;CHAR(10),"")&amp;IF(LEN(R2),R2,"")</f>
        <v/>
      </c>
      <c r="W2" t="str">
        <f t="shared" ref="W2:W33" si="8">IF($N2="●","BOX_ST"&amp;CHAR(10)&amp;";//"&amp;$B$4&amp;CHAR(10)&amp;";//エラーNo.を入れる"&amp;CHAR(10)&amp;";"&amp;$B$9&amp;"	:= "&amp;O2&amp;";"&amp;CHAR(10)&amp;";//"&amp;$B$5,"")</f>
        <v/>
      </c>
      <c r="X2" t="str">
        <f t="shared" ref="X2:X33" si="9">IF(LEN(T2),T2&amp;CHAR(10),"")&amp;IF(LEN(W2),W2,"")</f>
        <v/>
      </c>
    </row>
    <row r="3" spans="1:24" x14ac:dyDescent="0.55000000000000004">
      <c r="D3">
        <v>1</v>
      </c>
      <c r="E3" t="s">
        <v>17</v>
      </c>
      <c r="F3" t="s">
        <v>0</v>
      </c>
      <c r="I3" t="b">
        <v>0</v>
      </c>
      <c r="J3" t="b">
        <v>0</v>
      </c>
      <c r="K3" t="b">
        <v>0</v>
      </c>
      <c r="L3" t="s">
        <v>18</v>
      </c>
      <c r="N3" t="str">
        <f t="shared" si="0"/>
        <v>●</v>
      </c>
      <c r="O3">
        <f t="shared" si="1"/>
        <v>101</v>
      </c>
      <c r="P3" t="str">
        <f t="shared" si="2"/>
        <v>LDP stEx101.x2</v>
      </c>
      <c r="Q3" t="str">
        <f t="shared" si="3"/>
        <v>AND=.D stM.udiErrNo #0</v>
      </c>
      <c r="R3" t="str">
        <f t="shared" si="4"/>
        <v>MOV.D #101 stM.udiErrNo</v>
      </c>
      <c r="S3" t="str">
        <f t="shared" si="5"/>
        <v xml:space="preserve">
LDP stEx101.x2</v>
      </c>
      <c r="T3" t="str">
        <f t="shared" si="6"/>
        <v xml:space="preserve">
LDP stEx101.x2
AND=.D stM.udiErrNo #0</v>
      </c>
      <c r="U3" t="str">
        <f t="shared" si="7"/>
        <v xml:space="preserve">
LDP stEx101.x2
AND=.D stM.udiErrNo #0
MOV.D #101 stM.udiErrNo</v>
      </c>
      <c r="W3" t="str">
        <f t="shared" ca="1" si="8"/>
        <v>BOX_ST
;//このスクリプトは C:\tk\prj\hg-0025-0016\git\vt5-w10\[TP_メッセージ.xlsx]warning によって生成されました。
;//エラーNo.を入れる
;stM.udiErrNo	:= 101;
;//-----ここまで生成script-----</v>
      </c>
      <c r="X3" t="str">
        <f t="shared" ca="1" si="9"/>
        <v xml:space="preserve">
LDP stEx101.x2
AND=.D stM.udiErrNo #0
BOX_ST
;//このスクリプトは C:\tk\prj\hg-0025-0016\git\vt5-w10\[TP_メッセージ.xlsx]warning によって生成されました。
;//エラーNo.を入れる
;stM.udiErrNo	:= 101;
;//-----ここまで生成script-----</v>
      </c>
    </row>
    <row r="4" spans="1:24" x14ac:dyDescent="0.55000000000000004">
      <c r="A4" t="s">
        <v>12</v>
      </c>
      <c r="B4" t="str">
        <f ca="1">"このスクリプトは "&amp;B2&amp;" によって生成されました。"</f>
        <v>このスクリプトは C:\tk\prj\hg-0025-0016\git\vt5-w10\[TP_メッセージ.xlsx]warning によって生成されました。</v>
      </c>
      <c r="D4">
        <v>2</v>
      </c>
      <c r="E4" t="s">
        <v>19</v>
      </c>
      <c r="F4" t="s">
        <v>0</v>
      </c>
      <c r="I4" t="b">
        <v>0</v>
      </c>
      <c r="J4" t="b">
        <v>0</v>
      </c>
      <c r="K4" t="b">
        <v>0</v>
      </c>
      <c r="L4" t="s">
        <v>20</v>
      </c>
      <c r="N4" t="str">
        <f t="shared" si="0"/>
        <v>●</v>
      </c>
      <c r="O4">
        <f t="shared" si="1"/>
        <v>107</v>
      </c>
      <c r="P4" t="str">
        <f t="shared" si="2"/>
        <v>LDP stEx107.x2</v>
      </c>
      <c r="Q4" t="str">
        <f t="shared" si="3"/>
        <v>AND=.D stM.udiErrNo #0</v>
      </c>
      <c r="R4" t="str">
        <f t="shared" si="4"/>
        <v>MOV.D #107 stM.udiErrNo</v>
      </c>
      <c r="S4" t="str">
        <f t="shared" si="5"/>
        <v xml:space="preserve">
LDP stEx107.x2</v>
      </c>
      <c r="T4" t="str">
        <f t="shared" si="6"/>
        <v xml:space="preserve">
LDP stEx107.x2
AND=.D stM.udiErrNo #0</v>
      </c>
      <c r="U4" t="str">
        <f t="shared" si="7"/>
        <v xml:space="preserve">
LDP stEx107.x2
AND=.D stM.udiErrNo #0
MOV.D #107 stM.udiErrNo</v>
      </c>
      <c r="W4" t="str">
        <f t="shared" ca="1" si="8"/>
        <v>BOX_ST
;//このスクリプトは C:\tk\prj\hg-0025-0016\git\vt5-w10\[TP_メッセージ.xlsx]warning によって生成されました。
;//エラーNo.を入れる
;stM.udiErrNo	:= 107;
;//-----ここまで生成script-----</v>
      </c>
      <c r="X4" t="str">
        <f t="shared" ca="1" si="9"/>
        <v xml:space="preserve">
LDP stEx107.x2
AND=.D stM.udiErrNo #0
BOX_ST
;//このスクリプトは C:\tk\prj\hg-0025-0016\git\vt5-w10\[TP_メッセージ.xlsx]warning によって生成されました。
;//エラーNo.を入れる
;stM.udiErrNo	:= 107;
;//-----ここまで生成script-----</v>
      </c>
    </row>
    <row r="5" spans="1:24" x14ac:dyDescent="0.55000000000000004">
      <c r="A5" t="s">
        <v>13</v>
      </c>
      <c r="B5" t="s">
        <v>14</v>
      </c>
      <c r="D5">
        <v>3</v>
      </c>
      <c r="E5" t="s">
        <v>21</v>
      </c>
      <c r="F5" t="s">
        <v>0</v>
      </c>
      <c r="I5" t="b">
        <v>0</v>
      </c>
      <c r="J5" t="b">
        <v>0</v>
      </c>
      <c r="K5" t="b">
        <v>0</v>
      </c>
      <c r="L5" t="s">
        <v>22</v>
      </c>
      <c r="N5" t="str">
        <f t="shared" si="0"/>
        <v/>
      </c>
      <c r="O5" t="str">
        <f t="shared" si="1"/>
        <v/>
      </c>
      <c r="P5" t="str">
        <f t="shared" si="2"/>
        <v/>
      </c>
      <c r="Q5" t="str">
        <f t="shared" si="3"/>
        <v/>
      </c>
      <c r="R5" t="str">
        <f t="shared" si="4"/>
        <v/>
      </c>
      <c r="S5" t="str">
        <f t="shared" si="5"/>
        <v/>
      </c>
      <c r="T5" t="str">
        <f t="shared" si="6"/>
        <v/>
      </c>
      <c r="U5" t="str">
        <f t="shared" si="7"/>
        <v/>
      </c>
      <c r="W5" t="str">
        <f t="shared" si="8"/>
        <v/>
      </c>
      <c r="X5" t="str">
        <f t="shared" si="9"/>
        <v/>
      </c>
    </row>
    <row r="6" spans="1:24" x14ac:dyDescent="0.55000000000000004">
      <c r="D6">
        <v>4</v>
      </c>
      <c r="E6" t="s">
        <v>23</v>
      </c>
      <c r="F6" t="s">
        <v>0</v>
      </c>
      <c r="I6" t="b">
        <v>0</v>
      </c>
      <c r="J6" t="b">
        <v>0</v>
      </c>
      <c r="K6" t="b">
        <v>0</v>
      </c>
      <c r="L6" t="s">
        <v>24</v>
      </c>
      <c r="N6" t="str">
        <f t="shared" si="0"/>
        <v>●</v>
      </c>
      <c r="O6">
        <f t="shared" si="1"/>
        <v>103</v>
      </c>
      <c r="P6" t="str">
        <f t="shared" si="2"/>
        <v>LDP stEx103.x2</v>
      </c>
      <c r="Q6" t="str">
        <f t="shared" si="3"/>
        <v>AND=.D stM.udiErrNo #0</v>
      </c>
      <c r="R6" t="str">
        <f t="shared" si="4"/>
        <v>MOV.D #103 stM.udiErrNo</v>
      </c>
      <c r="S6" t="str">
        <f t="shared" si="5"/>
        <v xml:space="preserve">
LDP stEx103.x2</v>
      </c>
      <c r="T6" t="str">
        <f t="shared" si="6"/>
        <v xml:space="preserve">
LDP stEx103.x2
AND=.D stM.udiErrNo #0</v>
      </c>
      <c r="U6" t="str">
        <f t="shared" si="7"/>
        <v xml:space="preserve">
LDP stEx103.x2
AND=.D stM.udiErrNo #0
MOV.D #103 stM.udiErrNo</v>
      </c>
      <c r="W6" t="str">
        <f t="shared" ca="1" si="8"/>
        <v>BOX_ST
;//このスクリプトは C:\tk\prj\hg-0025-0016\git\vt5-w10\[TP_メッセージ.xlsx]warning によって生成されました。
;//エラーNo.を入れる
;stM.udiErrNo	:= 103;
;//-----ここまで生成script-----</v>
      </c>
      <c r="X6" t="str">
        <f t="shared" ca="1" si="9"/>
        <v xml:space="preserve">
LDP stEx103.x2
AND=.D stM.udiErrNo #0
BOX_ST
;//このスクリプトは C:\tk\prj\hg-0025-0016\git\vt5-w10\[TP_メッセージ.xlsx]warning によって生成されました。
;//エラーNo.を入れる
;stM.udiErrNo	:= 103;
;//-----ここまで生成script-----</v>
      </c>
    </row>
    <row r="7" spans="1:24" x14ac:dyDescent="0.55000000000000004">
      <c r="D7">
        <v>5</v>
      </c>
      <c r="E7" t="s">
        <v>25</v>
      </c>
      <c r="F7" t="s">
        <v>0</v>
      </c>
      <c r="I7" t="b">
        <v>0</v>
      </c>
      <c r="J7" t="b">
        <v>0</v>
      </c>
      <c r="K7" t="b">
        <v>0</v>
      </c>
      <c r="L7" t="s">
        <v>26</v>
      </c>
      <c r="N7" t="str">
        <f t="shared" si="0"/>
        <v>●</v>
      </c>
      <c r="O7">
        <f t="shared" si="1"/>
        <v>104</v>
      </c>
      <c r="P7" t="str">
        <f t="shared" si="2"/>
        <v>LDP stEx104.x2</v>
      </c>
      <c r="Q7" t="str">
        <f t="shared" si="3"/>
        <v>AND=.D stM.udiErrNo #0</v>
      </c>
      <c r="R7" t="str">
        <f t="shared" si="4"/>
        <v>MOV.D #104 stM.udiErrNo</v>
      </c>
      <c r="S7" t="str">
        <f t="shared" si="5"/>
        <v xml:space="preserve">
LDP stEx104.x2</v>
      </c>
      <c r="T7" t="str">
        <f t="shared" si="6"/>
        <v xml:space="preserve">
LDP stEx104.x2
AND=.D stM.udiErrNo #0</v>
      </c>
      <c r="U7" t="str">
        <f t="shared" si="7"/>
        <v xml:space="preserve">
LDP stEx104.x2
AND=.D stM.udiErrNo #0
MOV.D #104 stM.udiErrNo</v>
      </c>
      <c r="W7" t="str">
        <f t="shared" ca="1" si="8"/>
        <v>BOX_ST
;//このスクリプトは C:\tk\prj\hg-0025-0016\git\vt5-w10\[TP_メッセージ.xlsx]warning によって生成されました。
;//エラーNo.を入れる
;stM.udiErrNo	:= 104;
;//-----ここまで生成script-----</v>
      </c>
      <c r="X7" t="str">
        <f t="shared" ca="1" si="9"/>
        <v xml:space="preserve">
LDP stEx104.x2
AND=.D stM.udiErrNo #0
BOX_ST
;//このスクリプトは C:\tk\prj\hg-0025-0016\git\vt5-w10\[TP_メッセージ.xlsx]warning によって生成されました。
;//エラーNo.を入れる
;stM.udiErrNo	:= 104;
;//-----ここまで生成script-----</v>
      </c>
    </row>
    <row r="8" spans="1:24" x14ac:dyDescent="0.55000000000000004">
      <c r="A8" t="s">
        <v>6</v>
      </c>
      <c r="B8" t="s">
        <v>5</v>
      </c>
      <c r="D8">
        <v>6</v>
      </c>
      <c r="E8" t="s">
        <v>27</v>
      </c>
      <c r="F8" t="s">
        <v>0</v>
      </c>
      <c r="I8" t="b">
        <v>0</v>
      </c>
      <c r="J8" t="b">
        <v>0</v>
      </c>
      <c r="K8" t="b">
        <v>0</v>
      </c>
      <c r="L8" t="s">
        <v>28</v>
      </c>
      <c r="N8" t="str">
        <f t="shared" si="0"/>
        <v>●</v>
      </c>
      <c r="O8">
        <f t="shared" si="1"/>
        <v>105</v>
      </c>
      <c r="P8" t="str">
        <f t="shared" si="2"/>
        <v>LDP stEx105.x2</v>
      </c>
      <c r="Q8" t="str">
        <f t="shared" si="3"/>
        <v>AND=.D stM.udiErrNo #0</v>
      </c>
      <c r="R8" t="str">
        <f t="shared" si="4"/>
        <v>MOV.D #105 stM.udiErrNo</v>
      </c>
      <c r="S8" t="str">
        <f t="shared" si="5"/>
        <v xml:space="preserve">
LDP stEx105.x2</v>
      </c>
      <c r="T8" t="str">
        <f t="shared" si="6"/>
        <v xml:space="preserve">
LDP stEx105.x2
AND=.D stM.udiErrNo #0</v>
      </c>
      <c r="U8" t="str">
        <f t="shared" si="7"/>
        <v xml:space="preserve">
LDP stEx105.x2
AND=.D stM.udiErrNo #0
MOV.D #105 stM.udiErrNo</v>
      </c>
      <c r="W8" t="str">
        <f t="shared" ca="1" si="8"/>
        <v>BOX_ST
;//このスクリプトは C:\tk\prj\hg-0025-0016\git\vt5-w10\[TP_メッセージ.xlsx]warning によって生成されました。
;//エラーNo.を入れる
;stM.udiErrNo	:= 105;
;//-----ここまで生成script-----</v>
      </c>
      <c r="X8" t="str">
        <f t="shared" ca="1" si="9"/>
        <v xml:space="preserve">
LDP stEx105.x2
AND=.D stM.udiErrNo #0
BOX_ST
;//このスクリプトは C:\tk\prj\hg-0025-0016\git\vt5-w10\[TP_メッセージ.xlsx]warning によって生成されました。
;//エラーNo.を入れる
;stM.udiErrNo	:= 105;
;//-----ここまで生成script-----</v>
      </c>
    </row>
    <row r="9" spans="1:24" x14ac:dyDescent="0.55000000000000004">
      <c r="A9" t="s">
        <v>4</v>
      </c>
      <c r="B9" t="s">
        <v>3</v>
      </c>
      <c r="D9">
        <v>7</v>
      </c>
      <c r="E9" t="s">
        <v>29</v>
      </c>
      <c r="F9" t="s">
        <v>0</v>
      </c>
      <c r="I9" t="b">
        <v>0</v>
      </c>
      <c r="J9" t="b">
        <v>0</v>
      </c>
      <c r="K9" t="b">
        <v>0</v>
      </c>
      <c r="L9" t="s">
        <v>30</v>
      </c>
      <c r="N9" t="str">
        <f t="shared" si="0"/>
        <v>●</v>
      </c>
      <c r="O9">
        <f t="shared" si="1"/>
        <v>106</v>
      </c>
      <c r="P9" t="str">
        <f t="shared" si="2"/>
        <v>LDP stEx106.x2</v>
      </c>
      <c r="Q9" t="str">
        <f t="shared" si="3"/>
        <v>AND=.D stM.udiErrNo #0</v>
      </c>
      <c r="R9" t="str">
        <f t="shared" si="4"/>
        <v>MOV.D #106 stM.udiErrNo</v>
      </c>
      <c r="S9" t="str">
        <f t="shared" si="5"/>
        <v xml:space="preserve">
LDP stEx106.x2</v>
      </c>
      <c r="T9" t="str">
        <f t="shared" si="6"/>
        <v xml:space="preserve">
LDP stEx106.x2
AND=.D stM.udiErrNo #0</v>
      </c>
      <c r="U9" t="str">
        <f t="shared" si="7"/>
        <v xml:space="preserve">
LDP stEx106.x2
AND=.D stM.udiErrNo #0
MOV.D #106 stM.udiErrNo</v>
      </c>
      <c r="W9" t="str">
        <f t="shared" ca="1" si="8"/>
        <v>BOX_ST
;//このスクリプトは C:\tk\prj\hg-0025-0016\git\vt5-w10\[TP_メッセージ.xlsx]warning によって生成されました。
;//エラーNo.を入れる
;stM.udiErrNo	:= 106;
;//-----ここまで生成script-----</v>
      </c>
      <c r="X9" t="str">
        <f t="shared" ca="1" si="9"/>
        <v xml:space="preserve">
LDP stEx106.x2
AND=.D stM.udiErrNo #0
BOX_ST
;//このスクリプトは C:\tk\prj\hg-0025-0016\git\vt5-w10\[TP_メッセージ.xlsx]warning によって生成されました。
;//エラーNo.を入れる
;stM.udiErrNo	:= 106;
;//-----ここまで生成script-----</v>
      </c>
    </row>
    <row r="10" spans="1:24" x14ac:dyDescent="0.55000000000000004">
      <c r="D10">
        <v>8</v>
      </c>
      <c r="N10" t="str">
        <f t="shared" si="0"/>
        <v/>
      </c>
      <c r="O10" t="str">
        <f t="shared" si="1"/>
        <v/>
      </c>
      <c r="P10" t="str">
        <f t="shared" si="2"/>
        <v/>
      </c>
      <c r="Q10" t="str">
        <f t="shared" si="3"/>
        <v/>
      </c>
      <c r="R10" t="str">
        <f t="shared" si="4"/>
        <v/>
      </c>
      <c r="S10" t="str">
        <f t="shared" si="5"/>
        <v/>
      </c>
      <c r="T10" t="str">
        <f t="shared" si="6"/>
        <v/>
      </c>
      <c r="U10" t="str">
        <f t="shared" si="7"/>
        <v/>
      </c>
      <c r="W10" t="str">
        <f t="shared" si="8"/>
        <v/>
      </c>
      <c r="X10" t="str">
        <f t="shared" si="9"/>
        <v/>
      </c>
    </row>
    <row r="11" spans="1:24" x14ac:dyDescent="0.55000000000000004">
      <c r="D11">
        <v>9</v>
      </c>
      <c r="N11" t="str">
        <f t="shared" si="0"/>
        <v/>
      </c>
      <c r="O11" t="str">
        <f t="shared" si="1"/>
        <v/>
      </c>
      <c r="P11" t="str">
        <f t="shared" si="2"/>
        <v/>
      </c>
      <c r="Q11" t="str">
        <f t="shared" si="3"/>
        <v/>
      </c>
      <c r="R11" t="str">
        <f t="shared" si="4"/>
        <v/>
      </c>
      <c r="S11" t="str">
        <f t="shared" si="5"/>
        <v/>
      </c>
      <c r="T11" t="str">
        <f t="shared" si="6"/>
        <v/>
      </c>
      <c r="U11" t="str">
        <f t="shared" si="7"/>
        <v/>
      </c>
      <c r="W11" t="str">
        <f t="shared" si="8"/>
        <v/>
      </c>
      <c r="X11" t="str">
        <f t="shared" si="9"/>
        <v/>
      </c>
    </row>
    <row r="12" spans="1:24" x14ac:dyDescent="0.55000000000000004">
      <c r="A12" t="s">
        <v>2</v>
      </c>
      <c r="B12" t="str">
        <f>U103</f>
        <v xml:space="preserve">
LDP stEx101.x2
AND=.D stM.udiErrNo #0
MOV.D #101 stM.udiErrNo
LDP stEx107.x2
AND=.D stM.udiErrNo #0
MOV.D #107 stM.udiErrNo
LDP stEx103.x2
AND=.D stM.udiErrNo #0
MOV.D #103 stM.udiErrNo
LDP stEx104.x2
AND=.D stM.udiErrNo #0
MOV.D #104 stM.udiErrNo
LDP stEx105.x2
AND=.D stM.udiErrNo #0
MOV.D #105 stM.udiErrNo
LDP stEx106.x2
AND=.D stM.udiErrNo #0
MOV.D #106 stM.udiErrNo</v>
      </c>
      <c r="D12">
        <v>10</v>
      </c>
      <c r="N12" t="str">
        <f t="shared" si="0"/>
        <v/>
      </c>
      <c r="O12" t="str">
        <f t="shared" si="1"/>
        <v/>
      </c>
      <c r="P12" t="str">
        <f t="shared" si="2"/>
        <v/>
      </c>
      <c r="Q12" t="str">
        <f t="shared" si="3"/>
        <v/>
      </c>
      <c r="R12" t="str">
        <f t="shared" si="4"/>
        <v/>
      </c>
      <c r="S12" t="str">
        <f t="shared" si="5"/>
        <v/>
      </c>
      <c r="T12" t="str">
        <f t="shared" si="6"/>
        <v/>
      </c>
      <c r="U12" t="str">
        <f t="shared" si="7"/>
        <v/>
      </c>
      <c r="W12" t="str">
        <f t="shared" si="8"/>
        <v/>
      </c>
      <c r="X12" t="str">
        <f t="shared" si="9"/>
        <v/>
      </c>
    </row>
    <row r="13" spans="1:24" x14ac:dyDescent="0.55000000000000004">
      <c r="A13" t="s">
        <v>1</v>
      </c>
      <c r="B13" t="str">
        <f ca="1">X103</f>
        <v xml:space="preserve">
LDP stEx101.x2
AND=.D stM.udiErrNo #0
BOX_ST
;//このスクリプトは C:\tk\prj\hg-0025-0016\git\vt5-w10\[TP_メッセージ.xlsx]warning によって生成されました。
;//エラーNo.を入れる
;stM.udiErrNo	:= 101;
;//-----ここまで生成script-----
LDP stEx107.x2
AND=.D stM.udiErrNo #0
BOX_ST
;//このスクリプトは C:\tk\prj\hg-0025-0016\git\vt5-w10\[TP_メッセージ.xlsx]warning によって生成されました。
;//エラーNo.を入れる
;stM.udiErrNo	:= 107;
;//-----ここまで生成script-----
LDP stEx103.x2
AND=.D stM.udiErrNo #0
BOX_ST
;//このスクリプトは C:\tk\prj\hg-0025-0016\git\vt5-w10\[TP_メッセージ.xlsx]warning によって生成されました。
;//エラーNo.を入れる
;stM.udiErrNo	:= 103;
;//-----ここまで生成script-----
LDP stEx104.x2
AND=.D stM.udiErrNo #0
BOX_ST
;//このスクリプトは C:\tk\prj\hg-0025-0016\git\vt5-w10\[TP_メッセージ.xlsx]warning によって生成されました。
;//エラーNo.を入れる
;stM.udiErrNo	:= 104;
;//-----ここまで生成script-----
LDP stEx105.x2
AND=.D stM.udiErrNo #0
BOX_ST
;//このスクリプトは C:\tk\prj\hg-0025-0016\git\vt5-w10\[TP_メッセージ.xlsx]warning によって生成されました。
;//エラーNo.を入れる
;stM.udiErrNo	:= 105;
;//-----ここまで生成script-----
LDP stEx106.x2
AND=.D stM.udiErrNo #0
BOX_ST
;//このスクリプトは C:\tk\prj\hg-0025-0016\git\vt5-w10\[TP_メッセージ.xlsx]warning によって生成されました。
;//エラーNo.を入れる
;stM.udiErrNo	:= 106;
;//-----ここまで生成script-----</v>
      </c>
      <c r="D13">
        <v>11</v>
      </c>
      <c r="N13" t="str">
        <f t="shared" si="0"/>
        <v/>
      </c>
      <c r="O13" t="str">
        <f t="shared" si="1"/>
        <v/>
      </c>
      <c r="P13" t="str">
        <f t="shared" si="2"/>
        <v/>
      </c>
      <c r="Q13" t="str">
        <f t="shared" si="3"/>
        <v/>
      </c>
      <c r="R13" t="str">
        <f t="shared" si="4"/>
        <v/>
      </c>
      <c r="S13" t="str">
        <f t="shared" si="5"/>
        <v/>
      </c>
      <c r="T13" t="str">
        <f t="shared" si="6"/>
        <v/>
      </c>
      <c r="U13" t="str">
        <f t="shared" si="7"/>
        <v/>
      </c>
      <c r="W13" t="str">
        <f t="shared" si="8"/>
        <v/>
      </c>
      <c r="X13" t="str">
        <f t="shared" si="9"/>
        <v/>
      </c>
    </row>
    <row r="14" spans="1:24" x14ac:dyDescent="0.55000000000000004">
      <c r="D14">
        <v>12</v>
      </c>
      <c r="N14" t="str">
        <f t="shared" si="0"/>
        <v/>
      </c>
      <c r="O14" t="str">
        <f t="shared" si="1"/>
        <v/>
      </c>
      <c r="P14" t="str">
        <f t="shared" si="2"/>
        <v/>
      </c>
      <c r="Q14" t="str">
        <f t="shared" si="3"/>
        <v/>
      </c>
      <c r="R14" t="str">
        <f t="shared" si="4"/>
        <v/>
      </c>
      <c r="S14" t="str">
        <f t="shared" si="5"/>
        <v/>
      </c>
      <c r="T14" t="str">
        <f t="shared" si="6"/>
        <v/>
      </c>
      <c r="U14" t="str">
        <f t="shared" si="7"/>
        <v/>
      </c>
      <c r="W14" t="str">
        <f t="shared" si="8"/>
        <v/>
      </c>
      <c r="X14" t="str">
        <f t="shared" si="9"/>
        <v/>
      </c>
    </row>
    <row r="15" spans="1:24" x14ac:dyDescent="0.55000000000000004">
      <c r="D15">
        <v>13</v>
      </c>
      <c r="N15" t="str">
        <f t="shared" si="0"/>
        <v/>
      </c>
      <c r="O15" t="str">
        <f t="shared" si="1"/>
        <v/>
      </c>
      <c r="P15" t="str">
        <f t="shared" si="2"/>
        <v/>
      </c>
      <c r="Q15" t="str">
        <f t="shared" si="3"/>
        <v/>
      </c>
      <c r="R15" t="str">
        <f t="shared" si="4"/>
        <v/>
      </c>
      <c r="S15" t="str">
        <f t="shared" si="5"/>
        <v/>
      </c>
      <c r="T15" t="str">
        <f t="shared" si="6"/>
        <v/>
      </c>
      <c r="U15" t="str">
        <f t="shared" si="7"/>
        <v/>
      </c>
      <c r="W15" t="str">
        <f t="shared" si="8"/>
        <v/>
      </c>
      <c r="X15" t="str">
        <f t="shared" si="9"/>
        <v/>
      </c>
    </row>
    <row r="16" spans="1:24" x14ac:dyDescent="0.55000000000000004">
      <c r="D16">
        <v>14</v>
      </c>
      <c r="N16" t="str">
        <f t="shared" si="0"/>
        <v/>
      </c>
      <c r="O16" t="str">
        <f t="shared" si="1"/>
        <v/>
      </c>
      <c r="P16" t="str">
        <f t="shared" si="2"/>
        <v/>
      </c>
      <c r="Q16" t="str">
        <f t="shared" si="3"/>
        <v/>
      </c>
      <c r="R16" t="str">
        <f t="shared" si="4"/>
        <v/>
      </c>
      <c r="S16" t="str">
        <f t="shared" si="5"/>
        <v/>
      </c>
      <c r="T16" t="str">
        <f t="shared" si="6"/>
        <v/>
      </c>
      <c r="U16" t="str">
        <f t="shared" si="7"/>
        <v/>
      </c>
      <c r="W16" t="str">
        <f t="shared" si="8"/>
        <v/>
      </c>
      <c r="X16" t="str">
        <f t="shared" si="9"/>
        <v/>
      </c>
    </row>
    <row r="17" spans="4:24" x14ac:dyDescent="0.55000000000000004">
      <c r="D17">
        <v>15</v>
      </c>
      <c r="N17" t="str">
        <f t="shared" si="0"/>
        <v/>
      </c>
      <c r="O17" t="str">
        <f t="shared" si="1"/>
        <v/>
      </c>
      <c r="P17" t="str">
        <f t="shared" si="2"/>
        <v/>
      </c>
      <c r="Q17" t="str">
        <f t="shared" si="3"/>
        <v/>
      </c>
      <c r="R17" t="str">
        <f t="shared" si="4"/>
        <v/>
      </c>
      <c r="S17" t="str">
        <f t="shared" si="5"/>
        <v/>
      </c>
      <c r="T17" t="str">
        <f t="shared" si="6"/>
        <v/>
      </c>
      <c r="U17" t="str">
        <f t="shared" si="7"/>
        <v/>
      </c>
      <c r="W17" t="str">
        <f t="shared" si="8"/>
        <v/>
      </c>
      <c r="X17" t="str">
        <f t="shared" si="9"/>
        <v/>
      </c>
    </row>
    <row r="18" spans="4:24" x14ac:dyDescent="0.55000000000000004">
      <c r="D18">
        <v>16</v>
      </c>
      <c r="N18" t="str">
        <f t="shared" si="0"/>
        <v/>
      </c>
      <c r="O18" t="str">
        <f t="shared" si="1"/>
        <v/>
      </c>
      <c r="P18" t="str">
        <f t="shared" si="2"/>
        <v/>
      </c>
      <c r="Q18" t="str">
        <f t="shared" si="3"/>
        <v/>
      </c>
      <c r="R18" t="str">
        <f t="shared" si="4"/>
        <v/>
      </c>
      <c r="S18" t="str">
        <f t="shared" si="5"/>
        <v/>
      </c>
      <c r="T18" t="str">
        <f t="shared" si="6"/>
        <v/>
      </c>
      <c r="U18" t="str">
        <f t="shared" si="7"/>
        <v/>
      </c>
      <c r="W18" t="str">
        <f t="shared" si="8"/>
        <v/>
      </c>
      <c r="X18" t="str">
        <f t="shared" si="9"/>
        <v/>
      </c>
    </row>
    <row r="19" spans="4:24" x14ac:dyDescent="0.55000000000000004">
      <c r="D19">
        <v>17</v>
      </c>
      <c r="N19" t="str">
        <f t="shared" si="0"/>
        <v/>
      </c>
      <c r="O19" t="str">
        <f t="shared" si="1"/>
        <v/>
      </c>
      <c r="P19" t="str">
        <f t="shared" si="2"/>
        <v/>
      </c>
      <c r="Q19" t="str">
        <f t="shared" si="3"/>
        <v/>
      </c>
      <c r="R19" t="str">
        <f t="shared" si="4"/>
        <v/>
      </c>
      <c r="S19" t="str">
        <f t="shared" si="5"/>
        <v/>
      </c>
      <c r="T19" t="str">
        <f t="shared" si="6"/>
        <v/>
      </c>
      <c r="U19" t="str">
        <f t="shared" si="7"/>
        <v/>
      </c>
      <c r="W19" t="str">
        <f t="shared" si="8"/>
        <v/>
      </c>
      <c r="X19" t="str">
        <f t="shared" si="9"/>
        <v/>
      </c>
    </row>
    <row r="20" spans="4:24" x14ac:dyDescent="0.55000000000000004">
      <c r="D20">
        <v>18</v>
      </c>
      <c r="N20" t="str">
        <f t="shared" si="0"/>
        <v/>
      </c>
      <c r="O20" t="str">
        <f t="shared" si="1"/>
        <v/>
      </c>
      <c r="P20" t="str">
        <f t="shared" si="2"/>
        <v/>
      </c>
      <c r="Q20" t="str">
        <f t="shared" si="3"/>
        <v/>
      </c>
      <c r="R20" t="str">
        <f t="shared" si="4"/>
        <v/>
      </c>
      <c r="S20" t="str">
        <f t="shared" si="5"/>
        <v/>
      </c>
      <c r="T20" t="str">
        <f t="shared" si="6"/>
        <v/>
      </c>
      <c r="U20" t="str">
        <f t="shared" si="7"/>
        <v/>
      </c>
      <c r="W20" t="str">
        <f t="shared" si="8"/>
        <v/>
      </c>
      <c r="X20" t="str">
        <f t="shared" si="9"/>
        <v/>
      </c>
    </row>
    <row r="21" spans="4:24" x14ac:dyDescent="0.55000000000000004">
      <c r="D21">
        <v>19</v>
      </c>
      <c r="N21" t="str">
        <f t="shared" si="0"/>
        <v/>
      </c>
      <c r="O21" t="str">
        <f t="shared" si="1"/>
        <v/>
      </c>
      <c r="P21" t="str">
        <f t="shared" si="2"/>
        <v/>
      </c>
      <c r="Q21" t="str">
        <f t="shared" si="3"/>
        <v/>
      </c>
      <c r="R21" t="str">
        <f t="shared" si="4"/>
        <v/>
      </c>
      <c r="S21" t="str">
        <f t="shared" si="5"/>
        <v/>
      </c>
      <c r="T21" t="str">
        <f t="shared" si="6"/>
        <v/>
      </c>
      <c r="U21" t="str">
        <f t="shared" si="7"/>
        <v/>
      </c>
      <c r="W21" t="str">
        <f t="shared" si="8"/>
        <v/>
      </c>
      <c r="X21" t="str">
        <f t="shared" si="9"/>
        <v/>
      </c>
    </row>
    <row r="22" spans="4:24" x14ac:dyDescent="0.55000000000000004">
      <c r="D22">
        <v>20</v>
      </c>
      <c r="N22" t="str">
        <f t="shared" si="0"/>
        <v/>
      </c>
      <c r="O22" t="str">
        <f t="shared" si="1"/>
        <v/>
      </c>
      <c r="P22" t="str">
        <f t="shared" si="2"/>
        <v/>
      </c>
      <c r="Q22" t="str">
        <f t="shared" si="3"/>
        <v/>
      </c>
      <c r="R22" t="str">
        <f t="shared" si="4"/>
        <v/>
      </c>
      <c r="S22" t="str">
        <f t="shared" si="5"/>
        <v/>
      </c>
      <c r="T22" t="str">
        <f t="shared" si="6"/>
        <v/>
      </c>
      <c r="U22" t="str">
        <f t="shared" si="7"/>
        <v/>
      </c>
      <c r="W22" t="str">
        <f t="shared" si="8"/>
        <v/>
      </c>
      <c r="X22" t="str">
        <f t="shared" si="9"/>
        <v/>
      </c>
    </row>
    <row r="23" spans="4:24" x14ac:dyDescent="0.55000000000000004">
      <c r="D23">
        <v>21</v>
      </c>
      <c r="N23" t="str">
        <f t="shared" si="0"/>
        <v/>
      </c>
      <c r="O23" t="str">
        <f t="shared" si="1"/>
        <v/>
      </c>
      <c r="P23" t="str">
        <f t="shared" si="2"/>
        <v/>
      </c>
      <c r="Q23" t="str">
        <f t="shared" si="3"/>
        <v/>
      </c>
      <c r="R23" t="str">
        <f t="shared" si="4"/>
        <v/>
      </c>
      <c r="S23" t="str">
        <f t="shared" si="5"/>
        <v/>
      </c>
      <c r="T23" t="str">
        <f t="shared" si="6"/>
        <v/>
      </c>
      <c r="U23" t="str">
        <f t="shared" si="7"/>
        <v/>
      </c>
      <c r="W23" t="str">
        <f t="shared" si="8"/>
        <v/>
      </c>
      <c r="X23" t="str">
        <f t="shared" si="9"/>
        <v/>
      </c>
    </row>
    <row r="24" spans="4:24" x14ac:dyDescent="0.55000000000000004">
      <c r="D24">
        <v>22</v>
      </c>
      <c r="N24" t="str">
        <f t="shared" si="0"/>
        <v/>
      </c>
      <c r="O24" t="str">
        <f t="shared" si="1"/>
        <v/>
      </c>
      <c r="P24" t="str">
        <f t="shared" si="2"/>
        <v/>
      </c>
      <c r="Q24" t="str">
        <f t="shared" si="3"/>
        <v/>
      </c>
      <c r="R24" t="str">
        <f t="shared" si="4"/>
        <v/>
      </c>
      <c r="S24" t="str">
        <f t="shared" si="5"/>
        <v/>
      </c>
      <c r="T24" t="str">
        <f t="shared" si="6"/>
        <v/>
      </c>
      <c r="U24" t="str">
        <f t="shared" si="7"/>
        <v/>
      </c>
      <c r="W24" t="str">
        <f t="shared" si="8"/>
        <v/>
      </c>
      <c r="X24" t="str">
        <f t="shared" si="9"/>
        <v/>
      </c>
    </row>
    <row r="25" spans="4:24" x14ac:dyDescent="0.55000000000000004">
      <c r="D25">
        <v>23</v>
      </c>
      <c r="N25" t="str">
        <f t="shared" si="0"/>
        <v/>
      </c>
      <c r="O25" t="str">
        <f t="shared" si="1"/>
        <v/>
      </c>
      <c r="P25" t="str">
        <f t="shared" si="2"/>
        <v/>
      </c>
      <c r="Q25" t="str">
        <f t="shared" si="3"/>
        <v/>
      </c>
      <c r="R25" t="str">
        <f t="shared" si="4"/>
        <v/>
      </c>
      <c r="S25" t="str">
        <f t="shared" si="5"/>
        <v/>
      </c>
      <c r="T25" t="str">
        <f t="shared" si="6"/>
        <v/>
      </c>
      <c r="U25" t="str">
        <f t="shared" si="7"/>
        <v/>
      </c>
      <c r="W25" t="str">
        <f t="shared" si="8"/>
        <v/>
      </c>
      <c r="X25" t="str">
        <f t="shared" si="9"/>
        <v/>
      </c>
    </row>
    <row r="26" spans="4:24" x14ac:dyDescent="0.55000000000000004">
      <c r="D26">
        <v>24</v>
      </c>
      <c r="N26" t="str">
        <f t="shared" si="0"/>
        <v/>
      </c>
      <c r="O26" t="str">
        <f t="shared" si="1"/>
        <v/>
      </c>
      <c r="P26" t="str">
        <f t="shared" si="2"/>
        <v/>
      </c>
      <c r="Q26" t="str">
        <f t="shared" si="3"/>
        <v/>
      </c>
      <c r="R26" t="str">
        <f t="shared" si="4"/>
        <v/>
      </c>
      <c r="S26" t="str">
        <f t="shared" si="5"/>
        <v/>
      </c>
      <c r="T26" t="str">
        <f t="shared" si="6"/>
        <v/>
      </c>
      <c r="U26" t="str">
        <f t="shared" si="7"/>
        <v/>
      </c>
      <c r="W26" t="str">
        <f t="shared" si="8"/>
        <v/>
      </c>
      <c r="X26" t="str">
        <f t="shared" si="9"/>
        <v/>
      </c>
    </row>
    <row r="27" spans="4:24" x14ac:dyDescent="0.55000000000000004">
      <c r="D27">
        <v>25</v>
      </c>
      <c r="N27" t="str">
        <f t="shared" si="0"/>
        <v/>
      </c>
      <c r="O27" t="str">
        <f t="shared" si="1"/>
        <v/>
      </c>
      <c r="P27" t="str">
        <f t="shared" si="2"/>
        <v/>
      </c>
      <c r="Q27" t="str">
        <f t="shared" si="3"/>
        <v/>
      </c>
      <c r="R27" t="str">
        <f t="shared" si="4"/>
        <v/>
      </c>
      <c r="S27" t="str">
        <f t="shared" si="5"/>
        <v/>
      </c>
      <c r="T27" t="str">
        <f t="shared" si="6"/>
        <v/>
      </c>
      <c r="U27" t="str">
        <f t="shared" si="7"/>
        <v/>
      </c>
      <c r="W27" t="str">
        <f t="shared" si="8"/>
        <v/>
      </c>
      <c r="X27" t="str">
        <f t="shared" si="9"/>
        <v/>
      </c>
    </row>
    <row r="28" spans="4:24" x14ac:dyDescent="0.55000000000000004">
      <c r="D28">
        <v>26</v>
      </c>
      <c r="N28" t="str">
        <f t="shared" si="0"/>
        <v/>
      </c>
      <c r="O28" t="str">
        <f t="shared" si="1"/>
        <v/>
      </c>
      <c r="P28" t="str">
        <f t="shared" si="2"/>
        <v/>
      </c>
      <c r="Q28" t="str">
        <f t="shared" si="3"/>
        <v/>
      </c>
      <c r="R28" t="str">
        <f t="shared" si="4"/>
        <v/>
      </c>
      <c r="S28" t="str">
        <f t="shared" si="5"/>
        <v/>
      </c>
      <c r="T28" t="str">
        <f t="shared" si="6"/>
        <v/>
      </c>
      <c r="U28" t="str">
        <f t="shared" si="7"/>
        <v/>
      </c>
      <c r="W28" t="str">
        <f t="shared" si="8"/>
        <v/>
      </c>
      <c r="X28" t="str">
        <f t="shared" si="9"/>
        <v/>
      </c>
    </row>
    <row r="29" spans="4:24" x14ac:dyDescent="0.55000000000000004">
      <c r="D29">
        <v>27</v>
      </c>
      <c r="N29" t="str">
        <f t="shared" si="0"/>
        <v/>
      </c>
      <c r="O29" t="str">
        <f t="shared" si="1"/>
        <v/>
      </c>
      <c r="P29" t="str">
        <f t="shared" si="2"/>
        <v/>
      </c>
      <c r="Q29" t="str">
        <f t="shared" si="3"/>
        <v/>
      </c>
      <c r="R29" t="str">
        <f t="shared" si="4"/>
        <v/>
      </c>
      <c r="S29" t="str">
        <f t="shared" si="5"/>
        <v/>
      </c>
      <c r="T29" t="str">
        <f t="shared" si="6"/>
        <v/>
      </c>
      <c r="U29" t="str">
        <f t="shared" si="7"/>
        <v/>
      </c>
      <c r="W29" t="str">
        <f t="shared" si="8"/>
        <v/>
      </c>
      <c r="X29" t="str">
        <f t="shared" si="9"/>
        <v/>
      </c>
    </row>
    <row r="30" spans="4:24" x14ac:dyDescent="0.55000000000000004">
      <c r="D30">
        <v>28</v>
      </c>
      <c r="N30" t="str">
        <f t="shared" si="0"/>
        <v/>
      </c>
      <c r="O30" t="str">
        <f t="shared" si="1"/>
        <v/>
      </c>
      <c r="P30" t="str">
        <f t="shared" si="2"/>
        <v/>
      </c>
      <c r="Q30" t="str">
        <f t="shared" si="3"/>
        <v/>
      </c>
      <c r="R30" t="str">
        <f t="shared" si="4"/>
        <v/>
      </c>
      <c r="S30" t="str">
        <f t="shared" si="5"/>
        <v/>
      </c>
      <c r="T30" t="str">
        <f t="shared" si="6"/>
        <v/>
      </c>
      <c r="U30" t="str">
        <f t="shared" si="7"/>
        <v/>
      </c>
      <c r="W30" t="str">
        <f t="shared" si="8"/>
        <v/>
      </c>
      <c r="X30" t="str">
        <f t="shared" si="9"/>
        <v/>
      </c>
    </row>
    <row r="31" spans="4:24" x14ac:dyDescent="0.55000000000000004">
      <c r="D31">
        <v>29</v>
      </c>
      <c r="N31" t="str">
        <f t="shared" si="0"/>
        <v/>
      </c>
      <c r="O31" t="str">
        <f t="shared" si="1"/>
        <v/>
      </c>
      <c r="P31" t="str">
        <f t="shared" si="2"/>
        <v/>
      </c>
      <c r="Q31" t="str">
        <f t="shared" si="3"/>
        <v/>
      </c>
      <c r="R31" t="str">
        <f t="shared" si="4"/>
        <v/>
      </c>
      <c r="S31" t="str">
        <f t="shared" si="5"/>
        <v/>
      </c>
      <c r="T31" t="str">
        <f t="shared" si="6"/>
        <v/>
      </c>
      <c r="U31" t="str">
        <f t="shared" si="7"/>
        <v/>
      </c>
      <c r="W31" t="str">
        <f t="shared" si="8"/>
        <v/>
      </c>
      <c r="X31" t="str">
        <f t="shared" si="9"/>
        <v/>
      </c>
    </row>
    <row r="32" spans="4:24" x14ac:dyDescent="0.55000000000000004">
      <c r="D32">
        <v>30</v>
      </c>
      <c r="N32" t="str">
        <f t="shared" si="0"/>
        <v/>
      </c>
      <c r="O32" t="str">
        <f t="shared" si="1"/>
        <v/>
      </c>
      <c r="P32" t="str">
        <f t="shared" si="2"/>
        <v/>
      </c>
      <c r="Q32" t="str">
        <f t="shared" si="3"/>
        <v/>
      </c>
      <c r="R32" t="str">
        <f t="shared" si="4"/>
        <v/>
      </c>
      <c r="S32" t="str">
        <f t="shared" si="5"/>
        <v/>
      </c>
      <c r="T32" t="str">
        <f t="shared" si="6"/>
        <v/>
      </c>
      <c r="U32" t="str">
        <f t="shared" si="7"/>
        <v/>
      </c>
      <c r="W32" t="str">
        <f t="shared" si="8"/>
        <v/>
      </c>
      <c r="X32" t="str">
        <f t="shared" si="9"/>
        <v/>
      </c>
    </row>
    <row r="33" spans="4:24" x14ac:dyDescent="0.55000000000000004">
      <c r="D33">
        <v>31</v>
      </c>
      <c r="N33" t="str">
        <f t="shared" si="0"/>
        <v/>
      </c>
      <c r="O33" t="str">
        <f t="shared" si="1"/>
        <v/>
      </c>
      <c r="P33" t="str">
        <f t="shared" si="2"/>
        <v/>
      </c>
      <c r="Q33" t="str">
        <f t="shared" si="3"/>
        <v/>
      </c>
      <c r="R33" t="str">
        <f t="shared" si="4"/>
        <v/>
      </c>
      <c r="S33" t="str">
        <f t="shared" si="5"/>
        <v/>
      </c>
      <c r="T33" t="str">
        <f t="shared" si="6"/>
        <v/>
      </c>
      <c r="U33" t="str">
        <f t="shared" si="7"/>
        <v/>
      </c>
      <c r="W33" t="str">
        <f t="shared" si="8"/>
        <v/>
      </c>
      <c r="X33" t="str">
        <f t="shared" si="9"/>
        <v/>
      </c>
    </row>
    <row r="34" spans="4:24" x14ac:dyDescent="0.55000000000000004">
      <c r="D34">
        <v>32</v>
      </c>
      <c r="N34" t="str">
        <f t="shared" ref="N34:N65" si="10">IF(LEN(L34),IF(OR(COUNTIF(L34,"*◆*"),COUNTIF(L34,"*▼*")),"","●"),"")</f>
        <v/>
      </c>
      <c r="O34" t="str">
        <f t="shared" ref="O34:O65" si="11">IF(N34="●",INT(MID(E34,5,3)),"")</f>
        <v/>
      </c>
      <c r="P34" t="str">
        <f t="shared" ref="P34:P65" si="12">IF($N34="●","LDP "&amp;E34&amp;"."&amp;$B$8,"")</f>
        <v/>
      </c>
      <c r="Q34" t="str">
        <f t="shared" ref="Q34:Q65" si="13">IF($N34="●","AND=.D "&amp;$B$9&amp;" #0","")</f>
        <v/>
      </c>
      <c r="R34" t="str">
        <f t="shared" ref="R34:R65" si="14">IF($N34="●","MOV.D #"&amp;O34&amp;" "&amp;$B$9,"")</f>
        <v/>
      </c>
      <c r="S34" t="str">
        <f t="shared" ref="S34:S65" si="15">IF(AND(D34&lt;&gt;0,N34="●"),CHAR(10),"")&amp;IF(LEN(P34),P34,"")</f>
        <v/>
      </c>
      <c r="T34" t="str">
        <f t="shared" ref="T34:T65" si="16">IF(LEN(S34),S34&amp;CHAR(10),"")&amp;IF(LEN(Q34),Q34,"")</f>
        <v/>
      </c>
      <c r="U34" t="str">
        <f t="shared" ref="U34:U65" si="17">IF(LEN(T34),T34&amp;CHAR(10),"")&amp;IF(LEN(R34),R34,"")</f>
        <v/>
      </c>
      <c r="W34" t="str">
        <f t="shared" ref="W34:W65" si="18">IF($N34="●","BOX_ST"&amp;CHAR(10)&amp;";//"&amp;$B$4&amp;CHAR(10)&amp;";//エラーNo.を入れる"&amp;CHAR(10)&amp;";"&amp;$B$9&amp;"	:= "&amp;O34&amp;";"&amp;CHAR(10)&amp;";//"&amp;$B$5,"")</f>
        <v/>
      </c>
      <c r="X34" t="str">
        <f t="shared" ref="X34:X65" si="19">IF(LEN(T34),T34&amp;CHAR(10),"")&amp;IF(LEN(W34),W34,"")</f>
        <v/>
      </c>
    </row>
    <row r="35" spans="4:24" x14ac:dyDescent="0.55000000000000004">
      <c r="D35">
        <v>33</v>
      </c>
      <c r="N35" t="str">
        <f t="shared" si="10"/>
        <v/>
      </c>
      <c r="O35" t="str">
        <f t="shared" si="11"/>
        <v/>
      </c>
      <c r="P35" t="str">
        <f t="shared" si="12"/>
        <v/>
      </c>
      <c r="Q35" t="str">
        <f t="shared" si="13"/>
        <v/>
      </c>
      <c r="R35" t="str">
        <f t="shared" si="14"/>
        <v/>
      </c>
      <c r="S35" t="str">
        <f t="shared" si="15"/>
        <v/>
      </c>
      <c r="T35" t="str">
        <f t="shared" si="16"/>
        <v/>
      </c>
      <c r="U35" t="str">
        <f t="shared" si="17"/>
        <v/>
      </c>
      <c r="W35" t="str">
        <f t="shared" si="18"/>
        <v/>
      </c>
      <c r="X35" t="str">
        <f t="shared" si="19"/>
        <v/>
      </c>
    </row>
    <row r="36" spans="4:24" x14ac:dyDescent="0.55000000000000004">
      <c r="D36">
        <v>34</v>
      </c>
      <c r="N36" t="str">
        <f t="shared" si="10"/>
        <v/>
      </c>
      <c r="O36" t="str">
        <f t="shared" si="11"/>
        <v/>
      </c>
      <c r="P36" t="str">
        <f t="shared" si="12"/>
        <v/>
      </c>
      <c r="Q36" t="str">
        <f t="shared" si="13"/>
        <v/>
      </c>
      <c r="R36" t="str">
        <f t="shared" si="14"/>
        <v/>
      </c>
      <c r="S36" t="str">
        <f t="shared" si="15"/>
        <v/>
      </c>
      <c r="T36" t="str">
        <f t="shared" si="16"/>
        <v/>
      </c>
      <c r="U36" t="str">
        <f t="shared" si="17"/>
        <v/>
      </c>
      <c r="W36" t="str">
        <f t="shared" si="18"/>
        <v/>
      </c>
      <c r="X36" t="str">
        <f t="shared" si="19"/>
        <v/>
      </c>
    </row>
    <row r="37" spans="4:24" x14ac:dyDescent="0.55000000000000004">
      <c r="D37">
        <v>35</v>
      </c>
      <c r="N37" t="str">
        <f t="shared" si="10"/>
        <v/>
      </c>
      <c r="O37" t="str">
        <f t="shared" si="11"/>
        <v/>
      </c>
      <c r="P37" t="str">
        <f t="shared" si="12"/>
        <v/>
      </c>
      <c r="Q37" t="str">
        <f t="shared" si="13"/>
        <v/>
      </c>
      <c r="R37" t="str">
        <f t="shared" si="14"/>
        <v/>
      </c>
      <c r="S37" t="str">
        <f t="shared" si="15"/>
        <v/>
      </c>
      <c r="T37" t="str">
        <f t="shared" si="16"/>
        <v/>
      </c>
      <c r="U37" t="str">
        <f t="shared" si="17"/>
        <v/>
      </c>
      <c r="W37" t="str">
        <f t="shared" si="18"/>
        <v/>
      </c>
      <c r="X37" t="str">
        <f t="shared" si="19"/>
        <v/>
      </c>
    </row>
    <row r="38" spans="4:24" x14ac:dyDescent="0.55000000000000004">
      <c r="D38">
        <v>36</v>
      </c>
      <c r="N38" t="str">
        <f t="shared" si="10"/>
        <v/>
      </c>
      <c r="O38" t="str">
        <f t="shared" si="11"/>
        <v/>
      </c>
      <c r="P38" t="str">
        <f t="shared" si="12"/>
        <v/>
      </c>
      <c r="Q38" t="str">
        <f t="shared" si="13"/>
        <v/>
      </c>
      <c r="R38" t="str">
        <f t="shared" si="14"/>
        <v/>
      </c>
      <c r="S38" t="str">
        <f t="shared" si="15"/>
        <v/>
      </c>
      <c r="T38" t="str">
        <f t="shared" si="16"/>
        <v/>
      </c>
      <c r="U38" t="str">
        <f t="shared" si="17"/>
        <v/>
      </c>
      <c r="W38" t="str">
        <f t="shared" si="18"/>
        <v/>
      </c>
      <c r="X38" t="str">
        <f t="shared" si="19"/>
        <v/>
      </c>
    </row>
    <row r="39" spans="4:24" x14ac:dyDescent="0.55000000000000004">
      <c r="D39">
        <v>37</v>
      </c>
      <c r="N39" t="str">
        <f t="shared" si="10"/>
        <v/>
      </c>
      <c r="O39" t="str">
        <f t="shared" si="11"/>
        <v/>
      </c>
      <c r="P39" t="str">
        <f t="shared" si="12"/>
        <v/>
      </c>
      <c r="Q39" t="str">
        <f t="shared" si="13"/>
        <v/>
      </c>
      <c r="R39" t="str">
        <f t="shared" si="14"/>
        <v/>
      </c>
      <c r="S39" t="str">
        <f t="shared" si="15"/>
        <v/>
      </c>
      <c r="T39" t="str">
        <f t="shared" si="16"/>
        <v/>
      </c>
      <c r="U39" t="str">
        <f t="shared" si="17"/>
        <v/>
      </c>
      <c r="W39" t="str">
        <f t="shared" si="18"/>
        <v/>
      </c>
      <c r="X39" t="str">
        <f t="shared" si="19"/>
        <v/>
      </c>
    </row>
    <row r="40" spans="4:24" x14ac:dyDescent="0.55000000000000004">
      <c r="D40">
        <v>38</v>
      </c>
      <c r="N40" t="str">
        <f t="shared" si="10"/>
        <v/>
      </c>
      <c r="O40" t="str">
        <f t="shared" si="11"/>
        <v/>
      </c>
      <c r="P40" t="str">
        <f t="shared" si="12"/>
        <v/>
      </c>
      <c r="Q40" t="str">
        <f t="shared" si="13"/>
        <v/>
      </c>
      <c r="R40" t="str">
        <f t="shared" si="14"/>
        <v/>
      </c>
      <c r="S40" t="str">
        <f t="shared" si="15"/>
        <v/>
      </c>
      <c r="T40" t="str">
        <f t="shared" si="16"/>
        <v/>
      </c>
      <c r="U40" t="str">
        <f t="shared" si="17"/>
        <v/>
      </c>
      <c r="W40" t="str">
        <f t="shared" si="18"/>
        <v/>
      </c>
      <c r="X40" t="str">
        <f t="shared" si="19"/>
        <v/>
      </c>
    </row>
    <row r="41" spans="4:24" x14ac:dyDescent="0.55000000000000004">
      <c r="D41">
        <v>39</v>
      </c>
      <c r="N41" t="str">
        <f t="shared" si="10"/>
        <v/>
      </c>
      <c r="O41" t="str">
        <f t="shared" si="11"/>
        <v/>
      </c>
      <c r="P41" t="str">
        <f t="shared" si="12"/>
        <v/>
      </c>
      <c r="Q41" t="str">
        <f t="shared" si="13"/>
        <v/>
      </c>
      <c r="R41" t="str">
        <f t="shared" si="14"/>
        <v/>
      </c>
      <c r="S41" t="str">
        <f t="shared" si="15"/>
        <v/>
      </c>
      <c r="T41" t="str">
        <f t="shared" si="16"/>
        <v/>
      </c>
      <c r="U41" t="str">
        <f t="shared" si="17"/>
        <v/>
      </c>
      <c r="W41" t="str">
        <f t="shared" si="18"/>
        <v/>
      </c>
      <c r="X41" t="str">
        <f t="shared" si="19"/>
        <v/>
      </c>
    </row>
    <row r="42" spans="4:24" x14ac:dyDescent="0.55000000000000004">
      <c r="D42">
        <v>40</v>
      </c>
      <c r="N42" t="str">
        <f t="shared" si="10"/>
        <v/>
      </c>
      <c r="O42" t="str">
        <f t="shared" si="11"/>
        <v/>
      </c>
      <c r="P42" t="str">
        <f t="shared" si="12"/>
        <v/>
      </c>
      <c r="Q42" t="str">
        <f t="shared" si="13"/>
        <v/>
      </c>
      <c r="R42" t="str">
        <f t="shared" si="14"/>
        <v/>
      </c>
      <c r="S42" t="str">
        <f t="shared" si="15"/>
        <v/>
      </c>
      <c r="T42" t="str">
        <f t="shared" si="16"/>
        <v/>
      </c>
      <c r="U42" t="str">
        <f t="shared" si="17"/>
        <v/>
      </c>
      <c r="W42" t="str">
        <f t="shared" si="18"/>
        <v/>
      </c>
      <c r="X42" t="str">
        <f t="shared" si="19"/>
        <v/>
      </c>
    </row>
    <row r="43" spans="4:24" x14ac:dyDescent="0.55000000000000004">
      <c r="D43">
        <v>41</v>
      </c>
      <c r="N43" t="str">
        <f t="shared" si="10"/>
        <v/>
      </c>
      <c r="O43" t="str">
        <f t="shared" si="11"/>
        <v/>
      </c>
      <c r="P43" t="str">
        <f t="shared" si="12"/>
        <v/>
      </c>
      <c r="Q43" t="str">
        <f t="shared" si="13"/>
        <v/>
      </c>
      <c r="R43" t="str">
        <f t="shared" si="14"/>
        <v/>
      </c>
      <c r="S43" t="str">
        <f t="shared" si="15"/>
        <v/>
      </c>
      <c r="T43" t="str">
        <f t="shared" si="16"/>
        <v/>
      </c>
      <c r="U43" t="str">
        <f t="shared" si="17"/>
        <v/>
      </c>
      <c r="W43" t="str">
        <f t="shared" si="18"/>
        <v/>
      </c>
      <c r="X43" t="str">
        <f t="shared" si="19"/>
        <v/>
      </c>
    </row>
    <row r="44" spans="4:24" x14ac:dyDescent="0.55000000000000004">
      <c r="D44">
        <v>42</v>
      </c>
      <c r="N44" t="str">
        <f t="shared" si="10"/>
        <v/>
      </c>
      <c r="O44" t="str">
        <f t="shared" si="11"/>
        <v/>
      </c>
      <c r="P44" t="str">
        <f t="shared" si="12"/>
        <v/>
      </c>
      <c r="Q44" t="str">
        <f t="shared" si="13"/>
        <v/>
      </c>
      <c r="R44" t="str">
        <f t="shared" si="14"/>
        <v/>
      </c>
      <c r="S44" t="str">
        <f t="shared" si="15"/>
        <v/>
      </c>
      <c r="T44" t="str">
        <f t="shared" si="16"/>
        <v/>
      </c>
      <c r="U44" t="str">
        <f t="shared" si="17"/>
        <v/>
      </c>
      <c r="W44" t="str">
        <f t="shared" si="18"/>
        <v/>
      </c>
      <c r="X44" t="str">
        <f t="shared" si="19"/>
        <v/>
      </c>
    </row>
    <row r="45" spans="4:24" x14ac:dyDescent="0.55000000000000004">
      <c r="D45">
        <v>43</v>
      </c>
      <c r="N45" t="str">
        <f t="shared" si="10"/>
        <v/>
      </c>
      <c r="O45" t="str">
        <f t="shared" si="11"/>
        <v/>
      </c>
      <c r="P45" t="str">
        <f t="shared" si="12"/>
        <v/>
      </c>
      <c r="Q45" t="str">
        <f t="shared" si="13"/>
        <v/>
      </c>
      <c r="R45" t="str">
        <f t="shared" si="14"/>
        <v/>
      </c>
      <c r="S45" t="str">
        <f t="shared" si="15"/>
        <v/>
      </c>
      <c r="T45" t="str">
        <f t="shared" si="16"/>
        <v/>
      </c>
      <c r="U45" t="str">
        <f t="shared" si="17"/>
        <v/>
      </c>
      <c r="W45" t="str">
        <f t="shared" si="18"/>
        <v/>
      </c>
      <c r="X45" t="str">
        <f t="shared" si="19"/>
        <v/>
      </c>
    </row>
    <row r="46" spans="4:24" x14ac:dyDescent="0.55000000000000004">
      <c r="D46">
        <v>44</v>
      </c>
      <c r="N46" t="str">
        <f t="shared" si="10"/>
        <v/>
      </c>
      <c r="O46" t="str">
        <f t="shared" si="11"/>
        <v/>
      </c>
      <c r="P46" t="str">
        <f t="shared" si="12"/>
        <v/>
      </c>
      <c r="Q46" t="str">
        <f t="shared" si="13"/>
        <v/>
      </c>
      <c r="R46" t="str">
        <f t="shared" si="14"/>
        <v/>
      </c>
      <c r="S46" t="str">
        <f t="shared" si="15"/>
        <v/>
      </c>
      <c r="T46" t="str">
        <f t="shared" si="16"/>
        <v/>
      </c>
      <c r="U46" t="str">
        <f t="shared" si="17"/>
        <v/>
      </c>
      <c r="W46" t="str">
        <f t="shared" si="18"/>
        <v/>
      </c>
      <c r="X46" t="str">
        <f t="shared" si="19"/>
        <v/>
      </c>
    </row>
    <row r="47" spans="4:24" x14ac:dyDescent="0.55000000000000004">
      <c r="D47">
        <v>45</v>
      </c>
      <c r="N47" t="str">
        <f t="shared" si="10"/>
        <v/>
      </c>
      <c r="O47" t="str">
        <f t="shared" si="11"/>
        <v/>
      </c>
      <c r="P47" t="str">
        <f t="shared" si="12"/>
        <v/>
      </c>
      <c r="Q47" t="str">
        <f t="shared" si="13"/>
        <v/>
      </c>
      <c r="R47" t="str">
        <f t="shared" si="14"/>
        <v/>
      </c>
      <c r="S47" t="str">
        <f t="shared" si="15"/>
        <v/>
      </c>
      <c r="T47" t="str">
        <f t="shared" si="16"/>
        <v/>
      </c>
      <c r="U47" t="str">
        <f t="shared" si="17"/>
        <v/>
      </c>
      <c r="W47" t="str">
        <f t="shared" si="18"/>
        <v/>
      </c>
      <c r="X47" t="str">
        <f t="shared" si="19"/>
        <v/>
      </c>
    </row>
    <row r="48" spans="4:24" x14ac:dyDescent="0.55000000000000004">
      <c r="D48">
        <v>46</v>
      </c>
      <c r="N48" t="str">
        <f t="shared" si="10"/>
        <v/>
      </c>
      <c r="O48" t="str">
        <f t="shared" si="11"/>
        <v/>
      </c>
      <c r="P48" t="str">
        <f t="shared" si="12"/>
        <v/>
      </c>
      <c r="Q48" t="str">
        <f t="shared" si="13"/>
        <v/>
      </c>
      <c r="R48" t="str">
        <f t="shared" si="14"/>
        <v/>
      </c>
      <c r="S48" t="str">
        <f t="shared" si="15"/>
        <v/>
      </c>
      <c r="T48" t="str">
        <f t="shared" si="16"/>
        <v/>
      </c>
      <c r="U48" t="str">
        <f t="shared" si="17"/>
        <v/>
      </c>
      <c r="W48" t="str">
        <f t="shared" si="18"/>
        <v/>
      </c>
      <c r="X48" t="str">
        <f t="shared" si="19"/>
        <v/>
      </c>
    </row>
    <row r="49" spans="4:24" x14ac:dyDescent="0.55000000000000004">
      <c r="D49">
        <v>47</v>
      </c>
      <c r="N49" t="str">
        <f t="shared" si="10"/>
        <v/>
      </c>
      <c r="O49" t="str">
        <f t="shared" si="11"/>
        <v/>
      </c>
      <c r="P49" t="str">
        <f t="shared" si="12"/>
        <v/>
      </c>
      <c r="Q49" t="str">
        <f t="shared" si="13"/>
        <v/>
      </c>
      <c r="R49" t="str">
        <f t="shared" si="14"/>
        <v/>
      </c>
      <c r="S49" t="str">
        <f t="shared" si="15"/>
        <v/>
      </c>
      <c r="T49" t="str">
        <f t="shared" si="16"/>
        <v/>
      </c>
      <c r="U49" t="str">
        <f t="shared" si="17"/>
        <v/>
      </c>
      <c r="W49" t="str">
        <f t="shared" si="18"/>
        <v/>
      </c>
      <c r="X49" t="str">
        <f t="shared" si="19"/>
        <v/>
      </c>
    </row>
    <row r="50" spans="4:24" x14ac:dyDescent="0.55000000000000004">
      <c r="D50">
        <v>48</v>
      </c>
      <c r="N50" t="str">
        <f t="shared" si="10"/>
        <v/>
      </c>
      <c r="O50" t="str">
        <f t="shared" si="11"/>
        <v/>
      </c>
      <c r="P50" t="str">
        <f t="shared" si="12"/>
        <v/>
      </c>
      <c r="Q50" t="str">
        <f t="shared" si="13"/>
        <v/>
      </c>
      <c r="R50" t="str">
        <f t="shared" si="14"/>
        <v/>
      </c>
      <c r="S50" t="str">
        <f t="shared" si="15"/>
        <v/>
      </c>
      <c r="T50" t="str">
        <f t="shared" si="16"/>
        <v/>
      </c>
      <c r="U50" t="str">
        <f t="shared" si="17"/>
        <v/>
      </c>
      <c r="W50" t="str">
        <f t="shared" si="18"/>
        <v/>
      </c>
      <c r="X50" t="str">
        <f t="shared" si="19"/>
        <v/>
      </c>
    </row>
    <row r="51" spans="4:24" x14ac:dyDescent="0.55000000000000004">
      <c r="D51">
        <v>49</v>
      </c>
      <c r="N51" t="str">
        <f t="shared" si="10"/>
        <v/>
      </c>
      <c r="O51" t="str">
        <f t="shared" si="11"/>
        <v/>
      </c>
      <c r="P51" t="str">
        <f t="shared" si="12"/>
        <v/>
      </c>
      <c r="Q51" t="str">
        <f t="shared" si="13"/>
        <v/>
      </c>
      <c r="R51" t="str">
        <f t="shared" si="14"/>
        <v/>
      </c>
      <c r="S51" t="str">
        <f t="shared" si="15"/>
        <v/>
      </c>
      <c r="T51" t="str">
        <f t="shared" si="16"/>
        <v/>
      </c>
      <c r="U51" t="str">
        <f t="shared" si="17"/>
        <v/>
      </c>
      <c r="W51" t="str">
        <f t="shared" si="18"/>
        <v/>
      </c>
      <c r="X51" t="str">
        <f t="shared" si="19"/>
        <v/>
      </c>
    </row>
    <row r="52" spans="4:24" x14ac:dyDescent="0.55000000000000004">
      <c r="D52">
        <v>50</v>
      </c>
      <c r="N52" t="str">
        <f t="shared" si="10"/>
        <v/>
      </c>
      <c r="O52" t="str">
        <f t="shared" si="11"/>
        <v/>
      </c>
      <c r="P52" t="str">
        <f t="shared" si="12"/>
        <v/>
      </c>
      <c r="Q52" t="str">
        <f t="shared" si="13"/>
        <v/>
      </c>
      <c r="R52" t="str">
        <f t="shared" si="14"/>
        <v/>
      </c>
      <c r="S52" t="str">
        <f t="shared" si="15"/>
        <v/>
      </c>
      <c r="T52" t="str">
        <f t="shared" si="16"/>
        <v/>
      </c>
      <c r="U52" t="str">
        <f t="shared" si="17"/>
        <v/>
      </c>
      <c r="W52" t="str">
        <f t="shared" si="18"/>
        <v/>
      </c>
      <c r="X52" t="str">
        <f t="shared" si="19"/>
        <v/>
      </c>
    </row>
    <row r="53" spans="4:24" x14ac:dyDescent="0.55000000000000004">
      <c r="D53">
        <v>51</v>
      </c>
      <c r="N53" t="str">
        <f t="shared" si="10"/>
        <v/>
      </c>
      <c r="O53" t="str">
        <f t="shared" si="11"/>
        <v/>
      </c>
      <c r="P53" t="str">
        <f t="shared" si="12"/>
        <v/>
      </c>
      <c r="Q53" t="str">
        <f t="shared" si="13"/>
        <v/>
      </c>
      <c r="R53" t="str">
        <f t="shared" si="14"/>
        <v/>
      </c>
      <c r="S53" t="str">
        <f t="shared" si="15"/>
        <v/>
      </c>
      <c r="T53" t="str">
        <f t="shared" si="16"/>
        <v/>
      </c>
      <c r="U53" t="str">
        <f t="shared" si="17"/>
        <v/>
      </c>
      <c r="W53" t="str">
        <f t="shared" si="18"/>
        <v/>
      </c>
      <c r="X53" t="str">
        <f t="shared" si="19"/>
        <v/>
      </c>
    </row>
    <row r="54" spans="4:24" x14ac:dyDescent="0.55000000000000004">
      <c r="D54">
        <v>52</v>
      </c>
      <c r="N54" t="str">
        <f t="shared" si="10"/>
        <v/>
      </c>
      <c r="O54" t="str">
        <f t="shared" si="11"/>
        <v/>
      </c>
      <c r="P54" t="str">
        <f t="shared" si="12"/>
        <v/>
      </c>
      <c r="Q54" t="str">
        <f t="shared" si="13"/>
        <v/>
      </c>
      <c r="R54" t="str">
        <f t="shared" si="14"/>
        <v/>
      </c>
      <c r="S54" t="str">
        <f t="shared" si="15"/>
        <v/>
      </c>
      <c r="T54" t="str">
        <f t="shared" si="16"/>
        <v/>
      </c>
      <c r="U54" t="str">
        <f t="shared" si="17"/>
        <v/>
      </c>
      <c r="W54" t="str">
        <f t="shared" si="18"/>
        <v/>
      </c>
      <c r="X54" t="str">
        <f t="shared" si="19"/>
        <v/>
      </c>
    </row>
    <row r="55" spans="4:24" x14ac:dyDescent="0.55000000000000004">
      <c r="D55">
        <v>53</v>
      </c>
      <c r="N55" t="str">
        <f t="shared" si="10"/>
        <v/>
      </c>
      <c r="O55" t="str">
        <f t="shared" si="11"/>
        <v/>
      </c>
      <c r="P55" t="str">
        <f t="shared" si="12"/>
        <v/>
      </c>
      <c r="Q55" t="str">
        <f t="shared" si="13"/>
        <v/>
      </c>
      <c r="R55" t="str">
        <f t="shared" si="14"/>
        <v/>
      </c>
      <c r="S55" t="str">
        <f t="shared" si="15"/>
        <v/>
      </c>
      <c r="T55" t="str">
        <f t="shared" si="16"/>
        <v/>
      </c>
      <c r="U55" t="str">
        <f t="shared" si="17"/>
        <v/>
      </c>
      <c r="W55" t="str">
        <f t="shared" si="18"/>
        <v/>
      </c>
      <c r="X55" t="str">
        <f t="shared" si="19"/>
        <v/>
      </c>
    </row>
    <row r="56" spans="4:24" x14ac:dyDescent="0.55000000000000004">
      <c r="D56">
        <v>54</v>
      </c>
      <c r="N56" t="str">
        <f t="shared" si="10"/>
        <v/>
      </c>
      <c r="O56" t="str">
        <f t="shared" si="11"/>
        <v/>
      </c>
      <c r="P56" t="str">
        <f t="shared" si="12"/>
        <v/>
      </c>
      <c r="Q56" t="str">
        <f t="shared" si="13"/>
        <v/>
      </c>
      <c r="R56" t="str">
        <f t="shared" si="14"/>
        <v/>
      </c>
      <c r="S56" t="str">
        <f t="shared" si="15"/>
        <v/>
      </c>
      <c r="T56" t="str">
        <f t="shared" si="16"/>
        <v/>
      </c>
      <c r="U56" t="str">
        <f t="shared" si="17"/>
        <v/>
      </c>
      <c r="W56" t="str">
        <f t="shared" si="18"/>
        <v/>
      </c>
      <c r="X56" t="str">
        <f t="shared" si="19"/>
        <v/>
      </c>
    </row>
    <row r="57" spans="4:24" x14ac:dyDescent="0.55000000000000004">
      <c r="D57">
        <v>55</v>
      </c>
      <c r="N57" t="str">
        <f t="shared" si="10"/>
        <v/>
      </c>
      <c r="O57" t="str">
        <f t="shared" si="11"/>
        <v/>
      </c>
      <c r="P57" t="str">
        <f t="shared" si="12"/>
        <v/>
      </c>
      <c r="Q57" t="str">
        <f t="shared" si="13"/>
        <v/>
      </c>
      <c r="R57" t="str">
        <f t="shared" si="14"/>
        <v/>
      </c>
      <c r="S57" t="str">
        <f t="shared" si="15"/>
        <v/>
      </c>
      <c r="T57" t="str">
        <f t="shared" si="16"/>
        <v/>
      </c>
      <c r="U57" t="str">
        <f t="shared" si="17"/>
        <v/>
      </c>
      <c r="W57" t="str">
        <f t="shared" si="18"/>
        <v/>
      </c>
      <c r="X57" t="str">
        <f t="shared" si="19"/>
        <v/>
      </c>
    </row>
    <row r="58" spans="4:24" x14ac:dyDescent="0.55000000000000004">
      <c r="D58">
        <v>56</v>
      </c>
      <c r="N58" t="str">
        <f t="shared" si="10"/>
        <v/>
      </c>
      <c r="O58" t="str">
        <f t="shared" si="11"/>
        <v/>
      </c>
      <c r="P58" t="str">
        <f t="shared" si="12"/>
        <v/>
      </c>
      <c r="Q58" t="str">
        <f t="shared" si="13"/>
        <v/>
      </c>
      <c r="R58" t="str">
        <f t="shared" si="14"/>
        <v/>
      </c>
      <c r="S58" t="str">
        <f t="shared" si="15"/>
        <v/>
      </c>
      <c r="T58" t="str">
        <f t="shared" si="16"/>
        <v/>
      </c>
      <c r="U58" t="str">
        <f t="shared" si="17"/>
        <v/>
      </c>
      <c r="W58" t="str">
        <f t="shared" si="18"/>
        <v/>
      </c>
      <c r="X58" t="str">
        <f t="shared" si="19"/>
        <v/>
      </c>
    </row>
    <row r="59" spans="4:24" x14ac:dyDescent="0.55000000000000004">
      <c r="D59">
        <v>57</v>
      </c>
      <c r="N59" t="str">
        <f t="shared" si="10"/>
        <v/>
      </c>
      <c r="O59" t="str">
        <f t="shared" si="11"/>
        <v/>
      </c>
      <c r="P59" t="str">
        <f t="shared" si="12"/>
        <v/>
      </c>
      <c r="Q59" t="str">
        <f t="shared" si="13"/>
        <v/>
      </c>
      <c r="R59" t="str">
        <f t="shared" si="14"/>
        <v/>
      </c>
      <c r="S59" t="str">
        <f t="shared" si="15"/>
        <v/>
      </c>
      <c r="T59" t="str">
        <f t="shared" si="16"/>
        <v/>
      </c>
      <c r="U59" t="str">
        <f t="shared" si="17"/>
        <v/>
      </c>
      <c r="W59" t="str">
        <f t="shared" si="18"/>
        <v/>
      </c>
      <c r="X59" t="str">
        <f t="shared" si="19"/>
        <v/>
      </c>
    </row>
    <row r="60" spans="4:24" x14ac:dyDescent="0.55000000000000004">
      <c r="D60">
        <v>58</v>
      </c>
      <c r="N60" t="str">
        <f t="shared" si="10"/>
        <v/>
      </c>
      <c r="O60" t="str">
        <f t="shared" si="11"/>
        <v/>
      </c>
      <c r="P60" t="str">
        <f t="shared" si="12"/>
        <v/>
      </c>
      <c r="Q60" t="str">
        <f t="shared" si="13"/>
        <v/>
      </c>
      <c r="R60" t="str">
        <f t="shared" si="14"/>
        <v/>
      </c>
      <c r="S60" t="str">
        <f t="shared" si="15"/>
        <v/>
      </c>
      <c r="T60" t="str">
        <f t="shared" si="16"/>
        <v/>
      </c>
      <c r="U60" t="str">
        <f t="shared" si="17"/>
        <v/>
      </c>
      <c r="W60" t="str">
        <f t="shared" si="18"/>
        <v/>
      </c>
      <c r="X60" t="str">
        <f t="shared" si="19"/>
        <v/>
      </c>
    </row>
    <row r="61" spans="4:24" x14ac:dyDescent="0.55000000000000004">
      <c r="D61">
        <v>59</v>
      </c>
      <c r="N61" t="str">
        <f t="shared" si="10"/>
        <v/>
      </c>
      <c r="O61" t="str">
        <f t="shared" si="11"/>
        <v/>
      </c>
      <c r="P61" t="str">
        <f t="shared" si="12"/>
        <v/>
      </c>
      <c r="Q61" t="str">
        <f t="shared" si="13"/>
        <v/>
      </c>
      <c r="R61" t="str">
        <f t="shared" si="14"/>
        <v/>
      </c>
      <c r="S61" t="str">
        <f t="shared" si="15"/>
        <v/>
      </c>
      <c r="T61" t="str">
        <f t="shared" si="16"/>
        <v/>
      </c>
      <c r="U61" t="str">
        <f t="shared" si="17"/>
        <v/>
      </c>
      <c r="W61" t="str">
        <f t="shared" si="18"/>
        <v/>
      </c>
      <c r="X61" t="str">
        <f t="shared" si="19"/>
        <v/>
      </c>
    </row>
    <row r="62" spans="4:24" x14ac:dyDescent="0.55000000000000004">
      <c r="D62">
        <v>60</v>
      </c>
      <c r="N62" t="str">
        <f t="shared" si="10"/>
        <v/>
      </c>
      <c r="O62" t="str">
        <f t="shared" si="11"/>
        <v/>
      </c>
      <c r="P62" t="str">
        <f t="shared" si="12"/>
        <v/>
      </c>
      <c r="Q62" t="str">
        <f t="shared" si="13"/>
        <v/>
      </c>
      <c r="R62" t="str">
        <f t="shared" si="14"/>
        <v/>
      </c>
      <c r="S62" t="str">
        <f t="shared" si="15"/>
        <v/>
      </c>
      <c r="T62" t="str">
        <f t="shared" si="16"/>
        <v/>
      </c>
      <c r="U62" t="str">
        <f t="shared" si="17"/>
        <v/>
      </c>
      <c r="W62" t="str">
        <f t="shared" si="18"/>
        <v/>
      </c>
      <c r="X62" t="str">
        <f t="shared" si="19"/>
        <v/>
      </c>
    </row>
    <row r="63" spans="4:24" x14ac:dyDescent="0.55000000000000004">
      <c r="D63">
        <v>61</v>
      </c>
      <c r="N63" t="str">
        <f t="shared" si="10"/>
        <v/>
      </c>
      <c r="O63" t="str">
        <f t="shared" si="11"/>
        <v/>
      </c>
      <c r="P63" t="str">
        <f t="shared" si="12"/>
        <v/>
      </c>
      <c r="Q63" t="str">
        <f t="shared" si="13"/>
        <v/>
      </c>
      <c r="R63" t="str">
        <f t="shared" si="14"/>
        <v/>
      </c>
      <c r="S63" t="str">
        <f t="shared" si="15"/>
        <v/>
      </c>
      <c r="T63" t="str">
        <f t="shared" si="16"/>
        <v/>
      </c>
      <c r="U63" t="str">
        <f t="shared" si="17"/>
        <v/>
      </c>
      <c r="W63" t="str">
        <f t="shared" si="18"/>
        <v/>
      </c>
      <c r="X63" t="str">
        <f t="shared" si="19"/>
        <v/>
      </c>
    </row>
    <row r="64" spans="4:24" x14ac:dyDescent="0.55000000000000004">
      <c r="D64">
        <v>62</v>
      </c>
      <c r="N64" t="str">
        <f t="shared" si="10"/>
        <v/>
      </c>
      <c r="O64" t="str">
        <f t="shared" si="11"/>
        <v/>
      </c>
      <c r="P64" t="str">
        <f t="shared" si="12"/>
        <v/>
      </c>
      <c r="Q64" t="str">
        <f t="shared" si="13"/>
        <v/>
      </c>
      <c r="R64" t="str">
        <f t="shared" si="14"/>
        <v/>
      </c>
      <c r="S64" t="str">
        <f t="shared" si="15"/>
        <v/>
      </c>
      <c r="T64" t="str">
        <f t="shared" si="16"/>
        <v/>
      </c>
      <c r="U64" t="str">
        <f t="shared" si="17"/>
        <v/>
      </c>
      <c r="W64" t="str">
        <f t="shared" si="18"/>
        <v/>
      </c>
      <c r="X64" t="str">
        <f t="shared" si="19"/>
        <v/>
      </c>
    </row>
    <row r="65" spans="4:24" x14ac:dyDescent="0.55000000000000004">
      <c r="D65">
        <v>63</v>
      </c>
      <c r="N65" t="str">
        <f t="shared" si="10"/>
        <v/>
      </c>
      <c r="O65" t="str">
        <f t="shared" si="11"/>
        <v/>
      </c>
      <c r="P65" t="str">
        <f t="shared" si="12"/>
        <v/>
      </c>
      <c r="Q65" t="str">
        <f t="shared" si="13"/>
        <v/>
      </c>
      <c r="R65" t="str">
        <f t="shared" si="14"/>
        <v/>
      </c>
      <c r="S65" t="str">
        <f t="shared" si="15"/>
        <v/>
      </c>
      <c r="T65" t="str">
        <f t="shared" si="16"/>
        <v/>
      </c>
      <c r="U65" t="str">
        <f t="shared" si="17"/>
        <v/>
      </c>
      <c r="W65" t="str">
        <f t="shared" si="18"/>
        <v/>
      </c>
      <c r="X65" t="str">
        <f t="shared" si="19"/>
        <v/>
      </c>
    </row>
    <row r="66" spans="4:24" x14ac:dyDescent="0.55000000000000004">
      <c r="D66">
        <v>64</v>
      </c>
      <c r="N66" t="str">
        <f t="shared" ref="N66:N101" si="20">IF(LEN(L66),IF(OR(COUNTIF(L66,"*◆*"),COUNTIF(L66,"*▼*")),"","●"),"")</f>
        <v/>
      </c>
      <c r="O66" t="str">
        <f t="shared" ref="O66:O97" si="21">IF(N66="●",INT(MID(E66,5,3)),"")</f>
        <v/>
      </c>
      <c r="P66" t="str">
        <f t="shared" ref="P66:P101" si="22">IF($N66="●","LDP "&amp;E66&amp;"."&amp;$B$8,"")</f>
        <v/>
      </c>
      <c r="Q66" t="str">
        <f t="shared" ref="Q66:Q101" si="23">IF($N66="●","AND=.D "&amp;$B$9&amp;" #0","")</f>
        <v/>
      </c>
      <c r="R66" t="str">
        <f t="shared" ref="R66:R101" si="24">IF($N66="●","MOV.D #"&amp;O66&amp;" "&amp;$B$9,"")</f>
        <v/>
      </c>
      <c r="S66" t="str">
        <f t="shared" ref="S66:S101" si="25">IF(AND(D66&lt;&gt;0,N66="●"),CHAR(10),"")&amp;IF(LEN(P66),P66,"")</f>
        <v/>
      </c>
      <c r="T66" t="str">
        <f t="shared" ref="T66:T97" si="26">IF(LEN(S66),S66&amp;CHAR(10),"")&amp;IF(LEN(Q66),Q66,"")</f>
        <v/>
      </c>
      <c r="U66" t="str">
        <f t="shared" ref="U66:U97" si="27">IF(LEN(T66),T66&amp;CHAR(10),"")&amp;IF(LEN(R66),R66,"")</f>
        <v/>
      </c>
      <c r="W66" t="str">
        <f t="shared" ref="W66:W101" si="28">IF($N66="●","BOX_ST"&amp;CHAR(10)&amp;";//"&amp;$B$4&amp;CHAR(10)&amp;";//エラーNo.を入れる"&amp;CHAR(10)&amp;";"&amp;$B$9&amp;"	:= "&amp;O66&amp;";"&amp;CHAR(10)&amp;";//"&amp;$B$5,"")</f>
        <v/>
      </c>
      <c r="X66" t="str">
        <f t="shared" ref="X66:X97" si="29">IF(LEN(T66),T66&amp;CHAR(10),"")&amp;IF(LEN(W66),W66,"")</f>
        <v/>
      </c>
    </row>
    <row r="67" spans="4:24" x14ac:dyDescent="0.55000000000000004">
      <c r="D67">
        <v>65</v>
      </c>
      <c r="N67" t="str">
        <f t="shared" si="20"/>
        <v/>
      </c>
      <c r="O67" t="str">
        <f t="shared" si="21"/>
        <v/>
      </c>
      <c r="P67" t="str">
        <f t="shared" si="22"/>
        <v/>
      </c>
      <c r="Q67" t="str">
        <f t="shared" si="23"/>
        <v/>
      </c>
      <c r="R67" t="str">
        <f t="shared" si="24"/>
        <v/>
      </c>
      <c r="S67" t="str">
        <f t="shared" si="25"/>
        <v/>
      </c>
      <c r="T67" t="str">
        <f t="shared" si="26"/>
        <v/>
      </c>
      <c r="U67" t="str">
        <f t="shared" si="27"/>
        <v/>
      </c>
      <c r="W67" t="str">
        <f t="shared" si="28"/>
        <v/>
      </c>
      <c r="X67" t="str">
        <f t="shared" si="29"/>
        <v/>
      </c>
    </row>
    <row r="68" spans="4:24" x14ac:dyDescent="0.55000000000000004">
      <c r="D68">
        <v>66</v>
      </c>
      <c r="N68" t="str">
        <f t="shared" si="20"/>
        <v/>
      </c>
      <c r="O68" t="str">
        <f t="shared" si="21"/>
        <v/>
      </c>
      <c r="P68" t="str">
        <f t="shared" si="22"/>
        <v/>
      </c>
      <c r="Q68" t="str">
        <f t="shared" si="23"/>
        <v/>
      </c>
      <c r="R68" t="str">
        <f t="shared" si="24"/>
        <v/>
      </c>
      <c r="S68" t="str">
        <f t="shared" si="25"/>
        <v/>
      </c>
      <c r="T68" t="str">
        <f t="shared" si="26"/>
        <v/>
      </c>
      <c r="U68" t="str">
        <f t="shared" si="27"/>
        <v/>
      </c>
      <c r="W68" t="str">
        <f t="shared" si="28"/>
        <v/>
      </c>
      <c r="X68" t="str">
        <f t="shared" si="29"/>
        <v/>
      </c>
    </row>
    <row r="69" spans="4:24" x14ac:dyDescent="0.55000000000000004">
      <c r="D69">
        <v>67</v>
      </c>
      <c r="N69" t="str">
        <f t="shared" si="20"/>
        <v/>
      </c>
      <c r="O69" t="str">
        <f t="shared" si="21"/>
        <v/>
      </c>
      <c r="P69" t="str">
        <f t="shared" si="22"/>
        <v/>
      </c>
      <c r="Q69" t="str">
        <f t="shared" si="23"/>
        <v/>
      </c>
      <c r="R69" t="str">
        <f t="shared" si="24"/>
        <v/>
      </c>
      <c r="S69" t="str">
        <f t="shared" si="25"/>
        <v/>
      </c>
      <c r="T69" t="str">
        <f t="shared" si="26"/>
        <v/>
      </c>
      <c r="U69" t="str">
        <f t="shared" si="27"/>
        <v/>
      </c>
      <c r="W69" t="str">
        <f t="shared" si="28"/>
        <v/>
      </c>
      <c r="X69" t="str">
        <f t="shared" si="29"/>
        <v/>
      </c>
    </row>
    <row r="70" spans="4:24" x14ac:dyDescent="0.55000000000000004">
      <c r="D70">
        <v>68</v>
      </c>
      <c r="N70" t="str">
        <f t="shared" si="20"/>
        <v/>
      </c>
      <c r="O70" t="str">
        <f t="shared" si="21"/>
        <v/>
      </c>
      <c r="P70" t="str">
        <f t="shared" si="22"/>
        <v/>
      </c>
      <c r="Q70" t="str">
        <f t="shared" si="23"/>
        <v/>
      </c>
      <c r="R70" t="str">
        <f t="shared" si="24"/>
        <v/>
      </c>
      <c r="S70" t="str">
        <f t="shared" si="25"/>
        <v/>
      </c>
      <c r="T70" t="str">
        <f t="shared" si="26"/>
        <v/>
      </c>
      <c r="U70" t="str">
        <f t="shared" si="27"/>
        <v/>
      </c>
      <c r="W70" t="str">
        <f t="shared" si="28"/>
        <v/>
      </c>
      <c r="X70" t="str">
        <f t="shared" si="29"/>
        <v/>
      </c>
    </row>
    <row r="71" spans="4:24" x14ac:dyDescent="0.55000000000000004">
      <c r="D71">
        <v>69</v>
      </c>
      <c r="N71" t="str">
        <f t="shared" si="20"/>
        <v/>
      </c>
      <c r="O71" t="str">
        <f t="shared" si="21"/>
        <v/>
      </c>
      <c r="P71" t="str">
        <f t="shared" si="22"/>
        <v/>
      </c>
      <c r="Q71" t="str">
        <f t="shared" si="23"/>
        <v/>
      </c>
      <c r="R71" t="str">
        <f t="shared" si="24"/>
        <v/>
      </c>
      <c r="S71" t="str">
        <f t="shared" si="25"/>
        <v/>
      </c>
      <c r="T71" t="str">
        <f t="shared" si="26"/>
        <v/>
      </c>
      <c r="U71" t="str">
        <f t="shared" si="27"/>
        <v/>
      </c>
      <c r="W71" t="str">
        <f t="shared" si="28"/>
        <v/>
      </c>
      <c r="X71" t="str">
        <f t="shared" si="29"/>
        <v/>
      </c>
    </row>
    <row r="72" spans="4:24" x14ac:dyDescent="0.55000000000000004">
      <c r="D72">
        <v>70</v>
      </c>
      <c r="N72" t="str">
        <f t="shared" si="20"/>
        <v/>
      </c>
      <c r="O72" t="str">
        <f t="shared" si="21"/>
        <v/>
      </c>
      <c r="P72" t="str">
        <f t="shared" si="22"/>
        <v/>
      </c>
      <c r="Q72" t="str">
        <f t="shared" si="23"/>
        <v/>
      </c>
      <c r="R72" t="str">
        <f t="shared" si="24"/>
        <v/>
      </c>
      <c r="S72" t="str">
        <f t="shared" si="25"/>
        <v/>
      </c>
      <c r="T72" t="str">
        <f t="shared" si="26"/>
        <v/>
      </c>
      <c r="U72" t="str">
        <f t="shared" si="27"/>
        <v/>
      </c>
      <c r="W72" t="str">
        <f t="shared" si="28"/>
        <v/>
      </c>
      <c r="X72" t="str">
        <f t="shared" si="29"/>
        <v/>
      </c>
    </row>
    <row r="73" spans="4:24" x14ac:dyDescent="0.55000000000000004">
      <c r="D73">
        <v>71</v>
      </c>
      <c r="N73" t="str">
        <f t="shared" si="20"/>
        <v/>
      </c>
      <c r="O73" t="str">
        <f t="shared" si="21"/>
        <v/>
      </c>
      <c r="P73" t="str">
        <f t="shared" si="22"/>
        <v/>
      </c>
      <c r="Q73" t="str">
        <f t="shared" si="23"/>
        <v/>
      </c>
      <c r="R73" t="str">
        <f t="shared" si="24"/>
        <v/>
      </c>
      <c r="S73" t="str">
        <f t="shared" si="25"/>
        <v/>
      </c>
      <c r="T73" t="str">
        <f t="shared" si="26"/>
        <v/>
      </c>
      <c r="U73" t="str">
        <f t="shared" si="27"/>
        <v/>
      </c>
      <c r="W73" t="str">
        <f t="shared" si="28"/>
        <v/>
      </c>
      <c r="X73" t="str">
        <f t="shared" si="29"/>
        <v/>
      </c>
    </row>
    <row r="74" spans="4:24" x14ac:dyDescent="0.55000000000000004">
      <c r="D74">
        <v>72</v>
      </c>
      <c r="N74" t="str">
        <f t="shared" si="20"/>
        <v/>
      </c>
      <c r="O74" t="str">
        <f t="shared" si="21"/>
        <v/>
      </c>
      <c r="P74" t="str">
        <f t="shared" si="22"/>
        <v/>
      </c>
      <c r="Q74" t="str">
        <f t="shared" si="23"/>
        <v/>
      </c>
      <c r="R74" t="str">
        <f t="shared" si="24"/>
        <v/>
      </c>
      <c r="S74" t="str">
        <f t="shared" si="25"/>
        <v/>
      </c>
      <c r="T74" t="str">
        <f t="shared" si="26"/>
        <v/>
      </c>
      <c r="U74" t="str">
        <f t="shared" si="27"/>
        <v/>
      </c>
      <c r="W74" t="str">
        <f t="shared" si="28"/>
        <v/>
      </c>
      <c r="X74" t="str">
        <f t="shared" si="29"/>
        <v/>
      </c>
    </row>
    <row r="75" spans="4:24" x14ac:dyDescent="0.55000000000000004">
      <c r="D75">
        <v>73</v>
      </c>
      <c r="N75" t="str">
        <f t="shared" si="20"/>
        <v/>
      </c>
      <c r="O75" t="str">
        <f t="shared" si="21"/>
        <v/>
      </c>
      <c r="P75" t="str">
        <f t="shared" si="22"/>
        <v/>
      </c>
      <c r="Q75" t="str">
        <f t="shared" si="23"/>
        <v/>
      </c>
      <c r="R75" t="str">
        <f t="shared" si="24"/>
        <v/>
      </c>
      <c r="S75" t="str">
        <f t="shared" si="25"/>
        <v/>
      </c>
      <c r="T75" t="str">
        <f t="shared" si="26"/>
        <v/>
      </c>
      <c r="U75" t="str">
        <f t="shared" si="27"/>
        <v/>
      </c>
      <c r="W75" t="str">
        <f t="shared" si="28"/>
        <v/>
      </c>
      <c r="X75" t="str">
        <f t="shared" si="29"/>
        <v/>
      </c>
    </row>
    <row r="76" spans="4:24" x14ac:dyDescent="0.55000000000000004">
      <c r="D76">
        <v>74</v>
      </c>
      <c r="N76" t="str">
        <f t="shared" si="20"/>
        <v/>
      </c>
      <c r="O76" t="str">
        <f t="shared" si="21"/>
        <v/>
      </c>
      <c r="P76" t="str">
        <f t="shared" si="22"/>
        <v/>
      </c>
      <c r="Q76" t="str">
        <f t="shared" si="23"/>
        <v/>
      </c>
      <c r="R76" t="str">
        <f t="shared" si="24"/>
        <v/>
      </c>
      <c r="S76" t="str">
        <f t="shared" si="25"/>
        <v/>
      </c>
      <c r="T76" t="str">
        <f t="shared" si="26"/>
        <v/>
      </c>
      <c r="U76" t="str">
        <f t="shared" si="27"/>
        <v/>
      </c>
      <c r="W76" t="str">
        <f t="shared" si="28"/>
        <v/>
      </c>
      <c r="X76" t="str">
        <f t="shared" si="29"/>
        <v/>
      </c>
    </row>
    <row r="77" spans="4:24" x14ac:dyDescent="0.55000000000000004">
      <c r="D77">
        <v>75</v>
      </c>
      <c r="N77" t="str">
        <f t="shared" si="20"/>
        <v/>
      </c>
      <c r="O77" t="str">
        <f t="shared" si="21"/>
        <v/>
      </c>
      <c r="P77" t="str">
        <f t="shared" si="22"/>
        <v/>
      </c>
      <c r="Q77" t="str">
        <f t="shared" si="23"/>
        <v/>
      </c>
      <c r="R77" t="str">
        <f t="shared" si="24"/>
        <v/>
      </c>
      <c r="S77" t="str">
        <f t="shared" si="25"/>
        <v/>
      </c>
      <c r="T77" t="str">
        <f t="shared" si="26"/>
        <v/>
      </c>
      <c r="U77" t="str">
        <f t="shared" si="27"/>
        <v/>
      </c>
      <c r="W77" t="str">
        <f t="shared" si="28"/>
        <v/>
      </c>
      <c r="X77" t="str">
        <f t="shared" si="29"/>
        <v/>
      </c>
    </row>
    <row r="78" spans="4:24" x14ac:dyDescent="0.55000000000000004">
      <c r="D78">
        <v>76</v>
      </c>
      <c r="N78" t="str">
        <f t="shared" si="20"/>
        <v/>
      </c>
      <c r="O78" t="str">
        <f t="shared" si="21"/>
        <v/>
      </c>
      <c r="P78" t="str">
        <f t="shared" si="22"/>
        <v/>
      </c>
      <c r="Q78" t="str">
        <f t="shared" si="23"/>
        <v/>
      </c>
      <c r="R78" t="str">
        <f t="shared" si="24"/>
        <v/>
      </c>
      <c r="S78" t="str">
        <f t="shared" si="25"/>
        <v/>
      </c>
      <c r="T78" t="str">
        <f t="shared" si="26"/>
        <v/>
      </c>
      <c r="U78" t="str">
        <f t="shared" si="27"/>
        <v/>
      </c>
      <c r="W78" t="str">
        <f t="shared" si="28"/>
        <v/>
      </c>
      <c r="X78" t="str">
        <f t="shared" si="29"/>
        <v/>
      </c>
    </row>
    <row r="79" spans="4:24" x14ac:dyDescent="0.55000000000000004">
      <c r="D79">
        <v>77</v>
      </c>
      <c r="N79" t="str">
        <f t="shared" si="20"/>
        <v/>
      </c>
      <c r="O79" t="str">
        <f t="shared" si="21"/>
        <v/>
      </c>
      <c r="P79" t="str">
        <f t="shared" si="22"/>
        <v/>
      </c>
      <c r="Q79" t="str">
        <f t="shared" si="23"/>
        <v/>
      </c>
      <c r="R79" t="str">
        <f t="shared" si="24"/>
        <v/>
      </c>
      <c r="S79" t="str">
        <f t="shared" si="25"/>
        <v/>
      </c>
      <c r="T79" t="str">
        <f t="shared" si="26"/>
        <v/>
      </c>
      <c r="U79" t="str">
        <f t="shared" si="27"/>
        <v/>
      </c>
      <c r="W79" t="str">
        <f t="shared" si="28"/>
        <v/>
      </c>
      <c r="X79" t="str">
        <f t="shared" si="29"/>
        <v/>
      </c>
    </row>
    <row r="80" spans="4:24" x14ac:dyDescent="0.55000000000000004">
      <c r="D80">
        <v>78</v>
      </c>
      <c r="N80" t="str">
        <f t="shared" si="20"/>
        <v/>
      </c>
      <c r="O80" t="str">
        <f t="shared" si="21"/>
        <v/>
      </c>
      <c r="P80" t="str">
        <f t="shared" si="22"/>
        <v/>
      </c>
      <c r="Q80" t="str">
        <f t="shared" si="23"/>
        <v/>
      </c>
      <c r="R80" t="str">
        <f t="shared" si="24"/>
        <v/>
      </c>
      <c r="S80" t="str">
        <f t="shared" si="25"/>
        <v/>
      </c>
      <c r="T80" t="str">
        <f t="shared" si="26"/>
        <v/>
      </c>
      <c r="U80" t="str">
        <f t="shared" si="27"/>
        <v/>
      </c>
      <c r="W80" t="str">
        <f t="shared" si="28"/>
        <v/>
      </c>
      <c r="X80" t="str">
        <f t="shared" si="29"/>
        <v/>
      </c>
    </row>
    <row r="81" spans="4:24" x14ac:dyDescent="0.55000000000000004">
      <c r="D81">
        <v>79</v>
      </c>
      <c r="N81" t="str">
        <f t="shared" si="20"/>
        <v/>
      </c>
      <c r="O81" t="str">
        <f t="shared" si="21"/>
        <v/>
      </c>
      <c r="P81" t="str">
        <f t="shared" si="22"/>
        <v/>
      </c>
      <c r="Q81" t="str">
        <f t="shared" si="23"/>
        <v/>
      </c>
      <c r="R81" t="str">
        <f t="shared" si="24"/>
        <v/>
      </c>
      <c r="S81" t="str">
        <f t="shared" si="25"/>
        <v/>
      </c>
      <c r="T81" t="str">
        <f t="shared" si="26"/>
        <v/>
      </c>
      <c r="U81" t="str">
        <f t="shared" si="27"/>
        <v/>
      </c>
      <c r="W81" t="str">
        <f t="shared" si="28"/>
        <v/>
      </c>
      <c r="X81" t="str">
        <f t="shared" si="29"/>
        <v/>
      </c>
    </row>
    <row r="82" spans="4:24" x14ac:dyDescent="0.55000000000000004">
      <c r="D82">
        <v>80</v>
      </c>
      <c r="N82" t="str">
        <f t="shared" si="20"/>
        <v/>
      </c>
      <c r="O82" t="str">
        <f t="shared" si="21"/>
        <v/>
      </c>
      <c r="P82" t="str">
        <f t="shared" si="22"/>
        <v/>
      </c>
      <c r="Q82" t="str">
        <f t="shared" si="23"/>
        <v/>
      </c>
      <c r="R82" t="str">
        <f t="shared" si="24"/>
        <v/>
      </c>
      <c r="S82" t="str">
        <f t="shared" si="25"/>
        <v/>
      </c>
      <c r="T82" t="str">
        <f t="shared" si="26"/>
        <v/>
      </c>
      <c r="U82" t="str">
        <f t="shared" si="27"/>
        <v/>
      </c>
      <c r="W82" t="str">
        <f t="shared" si="28"/>
        <v/>
      </c>
      <c r="X82" t="str">
        <f t="shared" si="29"/>
        <v/>
      </c>
    </row>
    <row r="83" spans="4:24" x14ac:dyDescent="0.55000000000000004">
      <c r="D83">
        <v>81</v>
      </c>
      <c r="N83" t="str">
        <f t="shared" si="20"/>
        <v/>
      </c>
      <c r="O83" t="str">
        <f t="shared" si="21"/>
        <v/>
      </c>
      <c r="P83" t="str">
        <f t="shared" si="22"/>
        <v/>
      </c>
      <c r="Q83" t="str">
        <f t="shared" si="23"/>
        <v/>
      </c>
      <c r="R83" t="str">
        <f t="shared" si="24"/>
        <v/>
      </c>
      <c r="S83" t="str">
        <f t="shared" si="25"/>
        <v/>
      </c>
      <c r="T83" t="str">
        <f t="shared" si="26"/>
        <v/>
      </c>
      <c r="U83" t="str">
        <f t="shared" si="27"/>
        <v/>
      </c>
      <c r="W83" t="str">
        <f t="shared" si="28"/>
        <v/>
      </c>
      <c r="X83" t="str">
        <f t="shared" si="29"/>
        <v/>
      </c>
    </row>
    <row r="84" spans="4:24" x14ac:dyDescent="0.55000000000000004">
      <c r="D84">
        <v>82</v>
      </c>
      <c r="N84" t="str">
        <f t="shared" si="20"/>
        <v/>
      </c>
      <c r="O84" t="str">
        <f t="shared" si="21"/>
        <v/>
      </c>
      <c r="P84" t="str">
        <f t="shared" si="22"/>
        <v/>
      </c>
      <c r="Q84" t="str">
        <f t="shared" si="23"/>
        <v/>
      </c>
      <c r="R84" t="str">
        <f t="shared" si="24"/>
        <v/>
      </c>
      <c r="S84" t="str">
        <f t="shared" si="25"/>
        <v/>
      </c>
      <c r="T84" t="str">
        <f t="shared" si="26"/>
        <v/>
      </c>
      <c r="U84" t="str">
        <f t="shared" si="27"/>
        <v/>
      </c>
      <c r="W84" t="str">
        <f t="shared" si="28"/>
        <v/>
      </c>
      <c r="X84" t="str">
        <f t="shared" si="29"/>
        <v/>
      </c>
    </row>
    <row r="85" spans="4:24" x14ac:dyDescent="0.55000000000000004">
      <c r="D85">
        <v>83</v>
      </c>
      <c r="N85" t="str">
        <f t="shared" si="20"/>
        <v/>
      </c>
      <c r="O85" t="str">
        <f t="shared" si="21"/>
        <v/>
      </c>
      <c r="P85" t="str">
        <f t="shared" si="22"/>
        <v/>
      </c>
      <c r="Q85" t="str">
        <f t="shared" si="23"/>
        <v/>
      </c>
      <c r="R85" t="str">
        <f t="shared" si="24"/>
        <v/>
      </c>
      <c r="S85" t="str">
        <f t="shared" si="25"/>
        <v/>
      </c>
      <c r="T85" t="str">
        <f t="shared" si="26"/>
        <v/>
      </c>
      <c r="U85" t="str">
        <f t="shared" si="27"/>
        <v/>
      </c>
      <c r="W85" t="str">
        <f t="shared" si="28"/>
        <v/>
      </c>
      <c r="X85" t="str">
        <f t="shared" si="29"/>
        <v/>
      </c>
    </row>
    <row r="86" spans="4:24" x14ac:dyDescent="0.55000000000000004">
      <c r="D86">
        <v>84</v>
      </c>
      <c r="N86" t="str">
        <f t="shared" si="20"/>
        <v/>
      </c>
      <c r="O86" t="str">
        <f t="shared" si="21"/>
        <v/>
      </c>
      <c r="P86" t="str">
        <f t="shared" si="22"/>
        <v/>
      </c>
      <c r="Q86" t="str">
        <f t="shared" si="23"/>
        <v/>
      </c>
      <c r="R86" t="str">
        <f t="shared" si="24"/>
        <v/>
      </c>
      <c r="S86" t="str">
        <f t="shared" si="25"/>
        <v/>
      </c>
      <c r="T86" t="str">
        <f t="shared" si="26"/>
        <v/>
      </c>
      <c r="U86" t="str">
        <f t="shared" si="27"/>
        <v/>
      </c>
      <c r="W86" t="str">
        <f t="shared" si="28"/>
        <v/>
      </c>
      <c r="X86" t="str">
        <f t="shared" si="29"/>
        <v/>
      </c>
    </row>
    <row r="87" spans="4:24" x14ac:dyDescent="0.55000000000000004">
      <c r="D87">
        <v>85</v>
      </c>
      <c r="N87" t="str">
        <f t="shared" si="20"/>
        <v/>
      </c>
      <c r="O87" t="str">
        <f t="shared" si="21"/>
        <v/>
      </c>
      <c r="P87" t="str">
        <f t="shared" si="22"/>
        <v/>
      </c>
      <c r="Q87" t="str">
        <f t="shared" si="23"/>
        <v/>
      </c>
      <c r="R87" t="str">
        <f t="shared" si="24"/>
        <v/>
      </c>
      <c r="S87" t="str">
        <f t="shared" si="25"/>
        <v/>
      </c>
      <c r="T87" t="str">
        <f t="shared" si="26"/>
        <v/>
      </c>
      <c r="U87" t="str">
        <f t="shared" si="27"/>
        <v/>
      </c>
      <c r="W87" t="str">
        <f t="shared" si="28"/>
        <v/>
      </c>
      <c r="X87" t="str">
        <f t="shared" si="29"/>
        <v/>
      </c>
    </row>
    <row r="88" spans="4:24" x14ac:dyDescent="0.55000000000000004">
      <c r="D88">
        <v>86</v>
      </c>
      <c r="N88" t="str">
        <f t="shared" si="20"/>
        <v/>
      </c>
      <c r="O88" t="str">
        <f t="shared" si="21"/>
        <v/>
      </c>
      <c r="P88" t="str">
        <f t="shared" si="22"/>
        <v/>
      </c>
      <c r="Q88" t="str">
        <f t="shared" si="23"/>
        <v/>
      </c>
      <c r="R88" t="str">
        <f t="shared" si="24"/>
        <v/>
      </c>
      <c r="S88" t="str">
        <f t="shared" si="25"/>
        <v/>
      </c>
      <c r="T88" t="str">
        <f t="shared" si="26"/>
        <v/>
      </c>
      <c r="U88" t="str">
        <f t="shared" si="27"/>
        <v/>
      </c>
      <c r="W88" t="str">
        <f t="shared" si="28"/>
        <v/>
      </c>
      <c r="X88" t="str">
        <f t="shared" si="29"/>
        <v/>
      </c>
    </row>
    <row r="89" spans="4:24" x14ac:dyDescent="0.55000000000000004">
      <c r="D89">
        <v>87</v>
      </c>
      <c r="N89" t="str">
        <f t="shared" si="20"/>
        <v/>
      </c>
      <c r="O89" t="str">
        <f t="shared" si="21"/>
        <v/>
      </c>
      <c r="P89" t="str">
        <f t="shared" si="22"/>
        <v/>
      </c>
      <c r="Q89" t="str">
        <f t="shared" si="23"/>
        <v/>
      </c>
      <c r="R89" t="str">
        <f t="shared" si="24"/>
        <v/>
      </c>
      <c r="S89" t="str">
        <f t="shared" si="25"/>
        <v/>
      </c>
      <c r="T89" t="str">
        <f t="shared" si="26"/>
        <v/>
      </c>
      <c r="U89" t="str">
        <f t="shared" si="27"/>
        <v/>
      </c>
      <c r="W89" t="str">
        <f t="shared" si="28"/>
        <v/>
      </c>
      <c r="X89" t="str">
        <f t="shared" si="29"/>
        <v/>
      </c>
    </row>
    <row r="90" spans="4:24" x14ac:dyDescent="0.55000000000000004">
      <c r="D90">
        <v>88</v>
      </c>
      <c r="N90" t="str">
        <f t="shared" si="20"/>
        <v/>
      </c>
      <c r="O90" t="str">
        <f t="shared" si="21"/>
        <v/>
      </c>
      <c r="P90" t="str">
        <f t="shared" si="22"/>
        <v/>
      </c>
      <c r="Q90" t="str">
        <f t="shared" si="23"/>
        <v/>
      </c>
      <c r="R90" t="str">
        <f t="shared" si="24"/>
        <v/>
      </c>
      <c r="S90" t="str">
        <f t="shared" si="25"/>
        <v/>
      </c>
      <c r="T90" t="str">
        <f t="shared" si="26"/>
        <v/>
      </c>
      <c r="U90" t="str">
        <f t="shared" si="27"/>
        <v/>
      </c>
      <c r="W90" t="str">
        <f t="shared" si="28"/>
        <v/>
      </c>
      <c r="X90" t="str">
        <f t="shared" si="29"/>
        <v/>
      </c>
    </row>
    <row r="91" spans="4:24" x14ac:dyDescent="0.55000000000000004">
      <c r="D91">
        <v>89</v>
      </c>
      <c r="N91" t="str">
        <f t="shared" si="20"/>
        <v/>
      </c>
      <c r="O91" t="str">
        <f t="shared" si="21"/>
        <v/>
      </c>
      <c r="P91" t="str">
        <f t="shared" si="22"/>
        <v/>
      </c>
      <c r="Q91" t="str">
        <f t="shared" si="23"/>
        <v/>
      </c>
      <c r="R91" t="str">
        <f t="shared" si="24"/>
        <v/>
      </c>
      <c r="S91" t="str">
        <f t="shared" si="25"/>
        <v/>
      </c>
      <c r="T91" t="str">
        <f t="shared" si="26"/>
        <v/>
      </c>
      <c r="U91" t="str">
        <f t="shared" si="27"/>
        <v/>
      </c>
      <c r="W91" t="str">
        <f t="shared" si="28"/>
        <v/>
      </c>
      <c r="X91" t="str">
        <f t="shared" si="29"/>
        <v/>
      </c>
    </row>
    <row r="92" spans="4:24" x14ac:dyDescent="0.55000000000000004">
      <c r="D92">
        <v>90</v>
      </c>
      <c r="N92" t="str">
        <f t="shared" si="20"/>
        <v/>
      </c>
      <c r="O92" t="str">
        <f t="shared" si="21"/>
        <v/>
      </c>
      <c r="P92" t="str">
        <f t="shared" si="22"/>
        <v/>
      </c>
      <c r="Q92" t="str">
        <f t="shared" si="23"/>
        <v/>
      </c>
      <c r="R92" t="str">
        <f t="shared" si="24"/>
        <v/>
      </c>
      <c r="S92" t="str">
        <f t="shared" si="25"/>
        <v/>
      </c>
      <c r="T92" t="str">
        <f t="shared" si="26"/>
        <v/>
      </c>
      <c r="U92" t="str">
        <f t="shared" si="27"/>
        <v/>
      </c>
      <c r="W92" t="str">
        <f t="shared" si="28"/>
        <v/>
      </c>
      <c r="X92" t="str">
        <f t="shared" si="29"/>
        <v/>
      </c>
    </row>
    <row r="93" spans="4:24" x14ac:dyDescent="0.55000000000000004">
      <c r="D93">
        <v>91</v>
      </c>
      <c r="N93" t="str">
        <f t="shared" si="20"/>
        <v/>
      </c>
      <c r="O93" t="str">
        <f t="shared" si="21"/>
        <v/>
      </c>
      <c r="P93" t="str">
        <f t="shared" si="22"/>
        <v/>
      </c>
      <c r="Q93" t="str">
        <f t="shared" si="23"/>
        <v/>
      </c>
      <c r="R93" t="str">
        <f t="shared" si="24"/>
        <v/>
      </c>
      <c r="S93" t="str">
        <f t="shared" si="25"/>
        <v/>
      </c>
      <c r="T93" t="str">
        <f t="shared" si="26"/>
        <v/>
      </c>
      <c r="U93" t="str">
        <f t="shared" si="27"/>
        <v/>
      </c>
      <c r="W93" t="str">
        <f t="shared" si="28"/>
        <v/>
      </c>
      <c r="X93" t="str">
        <f t="shared" si="29"/>
        <v/>
      </c>
    </row>
    <row r="94" spans="4:24" x14ac:dyDescent="0.55000000000000004">
      <c r="D94">
        <v>92</v>
      </c>
      <c r="N94" t="str">
        <f t="shared" si="20"/>
        <v/>
      </c>
      <c r="O94" t="str">
        <f t="shared" si="21"/>
        <v/>
      </c>
      <c r="P94" t="str">
        <f t="shared" si="22"/>
        <v/>
      </c>
      <c r="Q94" t="str">
        <f t="shared" si="23"/>
        <v/>
      </c>
      <c r="R94" t="str">
        <f t="shared" si="24"/>
        <v/>
      </c>
      <c r="S94" t="str">
        <f t="shared" si="25"/>
        <v/>
      </c>
      <c r="T94" t="str">
        <f t="shared" si="26"/>
        <v/>
      </c>
      <c r="U94" t="str">
        <f t="shared" si="27"/>
        <v/>
      </c>
      <c r="W94" t="str">
        <f t="shared" si="28"/>
        <v/>
      </c>
      <c r="X94" t="str">
        <f t="shared" si="29"/>
        <v/>
      </c>
    </row>
    <row r="95" spans="4:24" x14ac:dyDescent="0.55000000000000004">
      <c r="D95">
        <v>93</v>
      </c>
      <c r="N95" t="str">
        <f t="shared" si="20"/>
        <v/>
      </c>
      <c r="O95" t="str">
        <f t="shared" si="21"/>
        <v/>
      </c>
      <c r="P95" t="str">
        <f t="shared" si="22"/>
        <v/>
      </c>
      <c r="Q95" t="str">
        <f t="shared" si="23"/>
        <v/>
      </c>
      <c r="R95" t="str">
        <f t="shared" si="24"/>
        <v/>
      </c>
      <c r="S95" t="str">
        <f t="shared" si="25"/>
        <v/>
      </c>
      <c r="T95" t="str">
        <f t="shared" si="26"/>
        <v/>
      </c>
      <c r="U95" t="str">
        <f t="shared" si="27"/>
        <v/>
      </c>
      <c r="W95" t="str">
        <f t="shared" si="28"/>
        <v/>
      </c>
      <c r="X95" t="str">
        <f t="shared" si="29"/>
        <v/>
      </c>
    </row>
    <row r="96" spans="4:24" x14ac:dyDescent="0.55000000000000004">
      <c r="D96">
        <v>94</v>
      </c>
      <c r="N96" t="str">
        <f t="shared" si="20"/>
        <v/>
      </c>
      <c r="O96" t="str">
        <f t="shared" si="21"/>
        <v/>
      </c>
      <c r="P96" t="str">
        <f t="shared" si="22"/>
        <v/>
      </c>
      <c r="Q96" t="str">
        <f t="shared" si="23"/>
        <v/>
      </c>
      <c r="R96" t="str">
        <f t="shared" si="24"/>
        <v/>
      </c>
      <c r="S96" t="str">
        <f t="shared" si="25"/>
        <v/>
      </c>
      <c r="T96" t="str">
        <f t="shared" si="26"/>
        <v/>
      </c>
      <c r="U96" t="str">
        <f t="shared" si="27"/>
        <v/>
      </c>
      <c r="W96" t="str">
        <f t="shared" si="28"/>
        <v/>
      </c>
      <c r="X96" t="str">
        <f t="shared" si="29"/>
        <v/>
      </c>
    </row>
    <row r="97" spans="4:24" x14ac:dyDescent="0.55000000000000004">
      <c r="D97">
        <v>95</v>
      </c>
      <c r="N97" t="str">
        <f t="shared" si="20"/>
        <v/>
      </c>
      <c r="O97" t="str">
        <f t="shared" si="21"/>
        <v/>
      </c>
      <c r="P97" t="str">
        <f t="shared" si="22"/>
        <v/>
      </c>
      <c r="Q97" t="str">
        <f t="shared" si="23"/>
        <v/>
      </c>
      <c r="R97" t="str">
        <f t="shared" si="24"/>
        <v/>
      </c>
      <c r="S97" t="str">
        <f t="shared" si="25"/>
        <v/>
      </c>
      <c r="T97" t="str">
        <f t="shared" si="26"/>
        <v/>
      </c>
      <c r="U97" t="str">
        <f t="shared" si="27"/>
        <v/>
      </c>
      <c r="W97" t="str">
        <f t="shared" si="28"/>
        <v/>
      </c>
      <c r="X97" t="str">
        <f t="shared" si="29"/>
        <v/>
      </c>
    </row>
    <row r="98" spans="4:24" x14ac:dyDescent="0.55000000000000004">
      <c r="D98">
        <v>96</v>
      </c>
      <c r="N98" t="str">
        <f t="shared" si="20"/>
        <v/>
      </c>
      <c r="O98" t="str">
        <f t="shared" ref="O98:O129" si="30">IF(N98="●",INT(MID(E98,5,3)),"")</f>
        <v/>
      </c>
      <c r="P98" t="str">
        <f t="shared" si="22"/>
        <v/>
      </c>
      <c r="Q98" t="str">
        <f t="shared" si="23"/>
        <v/>
      </c>
      <c r="R98" t="str">
        <f t="shared" si="24"/>
        <v/>
      </c>
      <c r="S98" t="str">
        <f t="shared" si="25"/>
        <v/>
      </c>
      <c r="T98" t="str">
        <f t="shared" ref="T98:T101" si="31">IF(LEN(S98),S98&amp;CHAR(10),"")&amp;IF(LEN(Q98),Q98,"")</f>
        <v/>
      </c>
      <c r="U98" t="str">
        <f t="shared" ref="U98:U101" si="32">IF(LEN(T98),T98&amp;CHAR(10),"")&amp;IF(LEN(R98),R98,"")</f>
        <v/>
      </c>
      <c r="W98" t="str">
        <f t="shared" si="28"/>
        <v/>
      </c>
      <c r="X98" t="str">
        <f t="shared" ref="X98:X101" si="33">IF(LEN(T98),T98&amp;CHAR(10),"")&amp;IF(LEN(W98),W98,"")</f>
        <v/>
      </c>
    </row>
    <row r="99" spans="4:24" x14ac:dyDescent="0.55000000000000004">
      <c r="D99">
        <v>97</v>
      </c>
      <c r="N99" t="str">
        <f t="shared" si="20"/>
        <v/>
      </c>
      <c r="O99" t="str">
        <f t="shared" si="30"/>
        <v/>
      </c>
      <c r="P99" t="str">
        <f t="shared" si="22"/>
        <v/>
      </c>
      <c r="Q99" t="str">
        <f t="shared" si="23"/>
        <v/>
      </c>
      <c r="R99" t="str">
        <f t="shared" si="24"/>
        <v/>
      </c>
      <c r="S99" t="str">
        <f t="shared" si="25"/>
        <v/>
      </c>
      <c r="T99" t="str">
        <f t="shared" si="31"/>
        <v/>
      </c>
      <c r="U99" t="str">
        <f t="shared" si="32"/>
        <v/>
      </c>
      <c r="W99" t="str">
        <f t="shared" si="28"/>
        <v/>
      </c>
      <c r="X99" t="str">
        <f t="shared" si="33"/>
        <v/>
      </c>
    </row>
    <row r="100" spans="4:24" x14ac:dyDescent="0.55000000000000004">
      <c r="D100">
        <v>98</v>
      </c>
      <c r="N100" t="str">
        <f t="shared" si="20"/>
        <v/>
      </c>
      <c r="O100" t="str">
        <f t="shared" si="30"/>
        <v/>
      </c>
      <c r="P100" t="str">
        <f t="shared" si="22"/>
        <v/>
      </c>
      <c r="Q100" t="str">
        <f t="shared" si="23"/>
        <v/>
      </c>
      <c r="R100" t="str">
        <f t="shared" si="24"/>
        <v/>
      </c>
      <c r="S100" t="str">
        <f t="shared" si="25"/>
        <v/>
      </c>
      <c r="T100" t="str">
        <f t="shared" si="31"/>
        <v/>
      </c>
      <c r="U100" t="str">
        <f t="shared" si="32"/>
        <v/>
      </c>
      <c r="W100" t="str">
        <f t="shared" si="28"/>
        <v/>
      </c>
      <c r="X100" t="str">
        <f t="shared" si="33"/>
        <v/>
      </c>
    </row>
    <row r="101" spans="4:24" x14ac:dyDescent="0.55000000000000004">
      <c r="D101">
        <v>99</v>
      </c>
      <c r="N101" t="str">
        <f t="shared" si="20"/>
        <v/>
      </c>
      <c r="O101" t="str">
        <f t="shared" si="30"/>
        <v/>
      </c>
      <c r="P101" t="str">
        <f t="shared" si="22"/>
        <v/>
      </c>
      <c r="Q101" t="str">
        <f t="shared" si="23"/>
        <v/>
      </c>
      <c r="R101" t="str">
        <f t="shared" si="24"/>
        <v/>
      </c>
      <c r="S101" t="str">
        <f t="shared" si="25"/>
        <v/>
      </c>
      <c r="T101" t="str">
        <f t="shared" si="31"/>
        <v/>
      </c>
      <c r="U101" t="str">
        <f t="shared" si="32"/>
        <v/>
      </c>
      <c r="W101" t="str">
        <f t="shared" si="28"/>
        <v/>
      </c>
      <c r="X101" t="str">
        <f t="shared" si="33"/>
        <v/>
      </c>
    </row>
    <row r="103" spans="4:24" x14ac:dyDescent="0.55000000000000004">
      <c r="U103" t="str">
        <f>_xlfn.CONCAT(U2:U101)</f>
        <v xml:space="preserve">
LDP stEx101.x2
AND=.D stM.udiErrNo #0
MOV.D #101 stM.udiErrNo
LDP stEx107.x2
AND=.D stM.udiErrNo #0
MOV.D #107 stM.udiErrNo
LDP stEx103.x2
AND=.D stM.udiErrNo #0
MOV.D #103 stM.udiErrNo
LDP stEx104.x2
AND=.D stM.udiErrNo #0
MOV.D #104 stM.udiErrNo
LDP stEx105.x2
AND=.D stM.udiErrNo #0
MOV.D #105 stM.udiErrNo
LDP stEx106.x2
AND=.D stM.udiErrNo #0
MOV.D #106 stM.udiErrNo</v>
      </c>
      <c r="X103" t="str">
        <f ca="1">_xlfn.CONCAT(X2:X101)</f>
        <v xml:space="preserve">
LDP stEx101.x2
AND=.D stM.udiErrNo #0
BOX_ST
;//このスクリプトは C:\tk\prj\hg-0025-0016\git\vt5-w10\[TP_メッセージ.xlsx]warning によって生成されました。
;//エラーNo.を入れる
;stM.udiErrNo	:= 101;
;//-----ここまで生成script-----
LDP stEx107.x2
AND=.D stM.udiErrNo #0
BOX_ST
;//このスクリプトは C:\tk\prj\hg-0025-0016\git\vt5-w10\[TP_メッセージ.xlsx]warning によって生成されました。
;//エラーNo.を入れる
;stM.udiErrNo	:= 107;
;//-----ここまで生成script-----
LDP stEx103.x2
AND=.D stM.udiErrNo #0
BOX_ST
;//このスクリプトは C:\tk\prj\hg-0025-0016\git\vt5-w10\[TP_メッセージ.xlsx]warning によって生成されました。
;//エラーNo.を入れる
;stM.udiErrNo	:= 103;
;//-----ここまで生成script-----
LDP stEx104.x2
AND=.D stM.udiErrNo #0
BOX_ST
;//このスクリプトは C:\tk\prj\hg-0025-0016\git\vt5-w10\[TP_メッセージ.xlsx]warning によって生成されました。
;//エラーNo.を入れる
;stM.udiErrNo	:= 104;
;//-----ここまで生成script-----
LDP stEx105.x2
AND=.D stM.udiErrNo #0
BOX_ST
;//このスクリプトは C:\tk\prj\hg-0025-0016\git\vt5-w10\[TP_メッセージ.xlsx]warning によって生成されました。
;//エラーNo.を入れる
;stM.udiErrNo	:= 105;
;//-----ここまで生成script-----
LDP stEx106.x2
AND=.D stM.udiErrNo #0
BOX_ST
;//このスクリプトは C:\tk\prj\hg-0025-0016\git\vt5-w10\[TP_メッセージ.xlsx]warning によって生成されました。
;//エラーNo.を入れる
;stM.udiErrNo	:= 106;
;//-----ここまで生成script-----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2026-01-06T23:36:54Z</dcterms:created>
  <dcterms:modified xsi:type="dcterms:W3CDTF">2026-01-22T15:01:55Z</dcterms:modified>
</cp:coreProperties>
</file>