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B98C9CA7-0B90-4B81-B57E-BC8D9BF22DDF}" xr6:coauthVersionLast="47" xr6:coauthVersionMax="47" xr10:uidLastSave="{00000000-0000-0000-0000-000000000000}"/>
  <bookViews>
    <workbookView xWindow="-110" yWindow="-110" windowWidth="38620" windowHeight="21100" xr2:uid="{AD60251E-E67F-4F92-A6A0-C1D334A3EF53}"/>
  </bookViews>
  <sheets>
    <sheet name="Sheet6" sheetId="1" r:id="rId1"/>
  </sheets>
  <definedNames>
    <definedName name="_xlnm._FilterDatabase" localSheetId="0" hidden="1">Sheet6!$AG$1:$AG$107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05" i="1" l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T105" i="1"/>
  <c r="S105" i="1"/>
  <c r="R105" i="1"/>
  <c r="Q105" i="1"/>
  <c r="P105" i="1"/>
  <c r="T104" i="1"/>
  <c r="S104" i="1"/>
  <c r="R104" i="1"/>
  <c r="Q104" i="1"/>
  <c r="P104" i="1"/>
  <c r="T103" i="1"/>
  <c r="S103" i="1"/>
  <c r="R103" i="1"/>
  <c r="Q103" i="1"/>
  <c r="P103" i="1"/>
  <c r="T102" i="1"/>
  <c r="S102" i="1"/>
  <c r="R102" i="1"/>
  <c r="Q102" i="1"/>
  <c r="P102" i="1"/>
  <c r="T101" i="1"/>
  <c r="S101" i="1"/>
  <c r="R101" i="1"/>
  <c r="Q101" i="1"/>
  <c r="P101" i="1"/>
  <c r="T100" i="1"/>
  <c r="S100" i="1"/>
  <c r="R100" i="1"/>
  <c r="Q100" i="1"/>
  <c r="P100" i="1"/>
  <c r="T99" i="1"/>
  <c r="S99" i="1"/>
  <c r="R99" i="1"/>
  <c r="Q99" i="1"/>
  <c r="P99" i="1"/>
  <c r="T98" i="1"/>
  <c r="S98" i="1"/>
  <c r="R98" i="1"/>
  <c r="Q98" i="1"/>
  <c r="P98" i="1"/>
  <c r="T97" i="1"/>
  <c r="S97" i="1"/>
  <c r="R97" i="1"/>
  <c r="Q97" i="1"/>
  <c r="P97" i="1"/>
  <c r="T96" i="1"/>
  <c r="S96" i="1"/>
  <c r="R96" i="1"/>
  <c r="Q96" i="1"/>
  <c r="P96" i="1"/>
  <c r="T95" i="1"/>
  <c r="S95" i="1"/>
  <c r="R95" i="1"/>
  <c r="Q95" i="1"/>
  <c r="P95" i="1"/>
  <c r="T94" i="1"/>
  <c r="S94" i="1"/>
  <c r="R94" i="1"/>
  <c r="Q94" i="1"/>
  <c r="P94" i="1"/>
  <c r="T93" i="1"/>
  <c r="S93" i="1"/>
  <c r="R93" i="1"/>
  <c r="Q93" i="1"/>
  <c r="P93" i="1"/>
  <c r="T92" i="1"/>
  <c r="S92" i="1"/>
  <c r="R92" i="1"/>
  <c r="Q92" i="1"/>
  <c r="P92" i="1"/>
  <c r="T91" i="1"/>
  <c r="S91" i="1"/>
  <c r="R91" i="1"/>
  <c r="Q91" i="1"/>
  <c r="P91" i="1"/>
  <c r="T90" i="1"/>
  <c r="S90" i="1"/>
  <c r="R90" i="1"/>
  <c r="Q90" i="1"/>
  <c r="P90" i="1"/>
  <c r="T89" i="1"/>
  <c r="S89" i="1"/>
  <c r="R89" i="1"/>
  <c r="Q89" i="1"/>
  <c r="P89" i="1"/>
  <c r="T88" i="1"/>
  <c r="S88" i="1"/>
  <c r="R88" i="1"/>
  <c r="Q88" i="1"/>
  <c r="P88" i="1"/>
  <c r="T87" i="1"/>
  <c r="S87" i="1"/>
  <c r="R87" i="1"/>
  <c r="Q87" i="1"/>
  <c r="P87" i="1"/>
  <c r="T86" i="1"/>
  <c r="S86" i="1"/>
  <c r="R86" i="1"/>
  <c r="Q86" i="1"/>
  <c r="P86" i="1"/>
  <c r="T85" i="1"/>
  <c r="S85" i="1"/>
  <c r="R85" i="1"/>
  <c r="Q85" i="1"/>
  <c r="P85" i="1"/>
  <c r="T84" i="1"/>
  <c r="S84" i="1"/>
  <c r="R84" i="1"/>
  <c r="Q84" i="1"/>
  <c r="P84" i="1"/>
  <c r="T83" i="1"/>
  <c r="S83" i="1"/>
  <c r="R83" i="1"/>
  <c r="Q83" i="1"/>
  <c r="P83" i="1"/>
  <c r="T82" i="1"/>
  <c r="S82" i="1"/>
  <c r="R82" i="1"/>
  <c r="Q82" i="1"/>
  <c r="P82" i="1"/>
  <c r="T81" i="1"/>
  <c r="S81" i="1"/>
  <c r="R81" i="1"/>
  <c r="Q81" i="1"/>
  <c r="P81" i="1"/>
  <c r="T80" i="1"/>
  <c r="S80" i="1"/>
  <c r="R80" i="1"/>
  <c r="Q80" i="1"/>
  <c r="P80" i="1"/>
  <c r="T79" i="1"/>
  <c r="S79" i="1"/>
  <c r="R79" i="1"/>
  <c r="Q79" i="1"/>
  <c r="P79" i="1"/>
  <c r="T78" i="1"/>
  <c r="S78" i="1"/>
  <c r="R78" i="1"/>
  <c r="Q78" i="1"/>
  <c r="P78" i="1"/>
  <c r="T77" i="1"/>
  <c r="S77" i="1"/>
  <c r="R77" i="1"/>
  <c r="Q77" i="1"/>
  <c r="P77" i="1"/>
  <c r="T76" i="1"/>
  <c r="S76" i="1"/>
  <c r="R76" i="1"/>
  <c r="Q76" i="1"/>
  <c r="P76" i="1"/>
  <c r="T75" i="1"/>
  <c r="S75" i="1"/>
  <c r="R75" i="1"/>
  <c r="Q75" i="1"/>
  <c r="P75" i="1"/>
  <c r="T74" i="1"/>
  <c r="S74" i="1"/>
  <c r="R74" i="1"/>
  <c r="Q74" i="1"/>
  <c r="P74" i="1"/>
  <c r="T73" i="1"/>
  <c r="S73" i="1"/>
  <c r="R73" i="1"/>
  <c r="Q73" i="1"/>
  <c r="P73" i="1"/>
  <c r="T72" i="1"/>
  <c r="S72" i="1"/>
  <c r="R72" i="1"/>
  <c r="Q72" i="1"/>
  <c r="P72" i="1"/>
  <c r="T71" i="1"/>
  <c r="S71" i="1"/>
  <c r="R71" i="1"/>
  <c r="Q71" i="1"/>
  <c r="P71" i="1"/>
  <c r="T70" i="1"/>
  <c r="S70" i="1"/>
  <c r="R70" i="1"/>
  <c r="Q70" i="1"/>
  <c r="P70" i="1"/>
  <c r="T69" i="1"/>
  <c r="S69" i="1"/>
  <c r="R69" i="1"/>
  <c r="Q69" i="1"/>
  <c r="P69" i="1"/>
  <c r="T68" i="1"/>
  <c r="S68" i="1"/>
  <c r="R68" i="1"/>
  <c r="Q68" i="1"/>
  <c r="P68" i="1"/>
  <c r="T67" i="1"/>
  <c r="S67" i="1"/>
  <c r="R67" i="1"/>
  <c r="Q67" i="1"/>
  <c r="P67" i="1"/>
  <c r="T66" i="1"/>
  <c r="S66" i="1"/>
  <c r="R66" i="1"/>
  <c r="Q66" i="1"/>
  <c r="P66" i="1"/>
  <c r="T65" i="1"/>
  <c r="S65" i="1"/>
  <c r="R65" i="1"/>
  <c r="Q65" i="1"/>
  <c r="P65" i="1"/>
  <c r="T64" i="1"/>
  <c r="S64" i="1"/>
  <c r="R64" i="1"/>
  <c r="Q64" i="1"/>
  <c r="P64" i="1"/>
  <c r="T63" i="1"/>
  <c r="S63" i="1"/>
  <c r="R63" i="1"/>
  <c r="Q63" i="1"/>
  <c r="P63" i="1"/>
  <c r="T62" i="1"/>
  <c r="S62" i="1"/>
  <c r="R62" i="1"/>
  <c r="Q62" i="1"/>
  <c r="P62" i="1"/>
  <c r="T61" i="1"/>
  <c r="S61" i="1"/>
  <c r="R61" i="1"/>
  <c r="Q61" i="1"/>
  <c r="P61" i="1"/>
  <c r="T60" i="1"/>
  <c r="S60" i="1"/>
  <c r="R60" i="1"/>
  <c r="Q60" i="1"/>
  <c r="P60" i="1"/>
  <c r="T59" i="1"/>
  <c r="S59" i="1"/>
  <c r="R59" i="1"/>
  <c r="Q59" i="1"/>
  <c r="P59" i="1"/>
  <c r="T58" i="1"/>
  <c r="S58" i="1"/>
  <c r="R58" i="1"/>
  <c r="Q58" i="1"/>
  <c r="P58" i="1"/>
  <c r="T57" i="1"/>
  <c r="S57" i="1"/>
  <c r="R57" i="1"/>
  <c r="Q57" i="1"/>
  <c r="P57" i="1"/>
  <c r="T56" i="1"/>
  <c r="S56" i="1"/>
  <c r="R56" i="1"/>
  <c r="Q56" i="1"/>
  <c r="P56" i="1"/>
  <c r="T55" i="1"/>
  <c r="S55" i="1"/>
  <c r="R55" i="1"/>
  <c r="Q55" i="1"/>
  <c r="P55" i="1"/>
  <c r="T54" i="1"/>
  <c r="S54" i="1"/>
  <c r="R54" i="1"/>
  <c r="Q54" i="1"/>
  <c r="P54" i="1"/>
  <c r="T53" i="1"/>
  <c r="S53" i="1"/>
  <c r="R53" i="1"/>
  <c r="Q53" i="1"/>
  <c r="P53" i="1"/>
  <c r="T52" i="1"/>
  <c r="S52" i="1"/>
  <c r="R52" i="1"/>
  <c r="Q52" i="1"/>
  <c r="P52" i="1"/>
  <c r="T51" i="1"/>
  <c r="S51" i="1"/>
  <c r="R51" i="1"/>
  <c r="Q51" i="1"/>
  <c r="P51" i="1"/>
  <c r="T50" i="1"/>
  <c r="S50" i="1"/>
  <c r="R50" i="1"/>
  <c r="Q50" i="1"/>
  <c r="P50" i="1"/>
  <c r="T49" i="1"/>
  <c r="S49" i="1"/>
  <c r="R49" i="1"/>
  <c r="Q49" i="1"/>
  <c r="P49" i="1"/>
  <c r="T48" i="1"/>
  <c r="S48" i="1"/>
  <c r="R48" i="1"/>
  <c r="Q48" i="1"/>
  <c r="P48" i="1"/>
  <c r="T47" i="1"/>
  <c r="S47" i="1"/>
  <c r="R47" i="1"/>
  <c r="Q47" i="1"/>
  <c r="P47" i="1"/>
  <c r="T46" i="1"/>
  <c r="S46" i="1"/>
  <c r="R46" i="1"/>
  <c r="Q46" i="1"/>
  <c r="P46" i="1"/>
  <c r="T45" i="1"/>
  <c r="S45" i="1"/>
  <c r="R45" i="1"/>
  <c r="Q45" i="1"/>
  <c r="P45" i="1"/>
  <c r="T44" i="1"/>
  <c r="S44" i="1"/>
  <c r="R44" i="1"/>
  <c r="Q44" i="1"/>
  <c r="P44" i="1"/>
  <c r="T43" i="1"/>
  <c r="S43" i="1"/>
  <c r="R43" i="1"/>
  <c r="Q43" i="1"/>
  <c r="P43" i="1"/>
  <c r="T42" i="1"/>
  <c r="S42" i="1"/>
  <c r="R42" i="1"/>
  <c r="Q42" i="1"/>
  <c r="P42" i="1"/>
  <c r="T41" i="1"/>
  <c r="S41" i="1"/>
  <c r="R41" i="1"/>
  <c r="Q41" i="1"/>
  <c r="P41" i="1"/>
  <c r="T40" i="1"/>
  <c r="S40" i="1"/>
  <c r="R40" i="1"/>
  <c r="Q40" i="1"/>
  <c r="P40" i="1"/>
  <c r="T39" i="1"/>
  <c r="S39" i="1"/>
  <c r="R39" i="1"/>
  <c r="Q39" i="1"/>
  <c r="P39" i="1"/>
  <c r="T38" i="1"/>
  <c r="S38" i="1"/>
  <c r="R38" i="1"/>
  <c r="Q38" i="1"/>
  <c r="P38" i="1"/>
  <c r="T37" i="1"/>
  <c r="S37" i="1"/>
  <c r="R37" i="1"/>
  <c r="Q37" i="1"/>
  <c r="P37" i="1"/>
  <c r="T36" i="1"/>
  <c r="S36" i="1"/>
  <c r="R36" i="1"/>
  <c r="Q36" i="1"/>
  <c r="P36" i="1"/>
  <c r="T35" i="1"/>
  <c r="S35" i="1"/>
  <c r="R35" i="1"/>
  <c r="Q35" i="1"/>
  <c r="P35" i="1"/>
  <c r="T34" i="1"/>
  <c r="S34" i="1"/>
  <c r="R34" i="1"/>
  <c r="Q34" i="1"/>
  <c r="P34" i="1"/>
  <c r="T33" i="1"/>
  <c r="S33" i="1"/>
  <c r="R33" i="1"/>
  <c r="Q33" i="1"/>
  <c r="P33" i="1"/>
  <c r="T32" i="1"/>
  <c r="S32" i="1"/>
  <c r="R32" i="1"/>
  <c r="Q32" i="1"/>
  <c r="P32" i="1"/>
  <c r="T31" i="1"/>
  <c r="S31" i="1"/>
  <c r="R31" i="1"/>
  <c r="Q31" i="1"/>
  <c r="P31" i="1"/>
  <c r="T30" i="1"/>
  <c r="S30" i="1"/>
  <c r="R30" i="1"/>
  <c r="Q30" i="1"/>
  <c r="P30" i="1"/>
  <c r="T29" i="1"/>
  <c r="S29" i="1"/>
  <c r="R29" i="1"/>
  <c r="Q29" i="1"/>
  <c r="P29" i="1"/>
  <c r="T28" i="1"/>
  <c r="S28" i="1"/>
  <c r="R28" i="1"/>
  <c r="Q28" i="1"/>
  <c r="P28" i="1"/>
  <c r="T27" i="1"/>
  <c r="S27" i="1"/>
  <c r="R27" i="1"/>
  <c r="Q27" i="1"/>
  <c r="P27" i="1"/>
  <c r="T26" i="1"/>
  <c r="S26" i="1"/>
  <c r="R26" i="1"/>
  <c r="Q26" i="1"/>
  <c r="P26" i="1"/>
  <c r="T25" i="1"/>
  <c r="S25" i="1"/>
  <c r="R25" i="1"/>
  <c r="Q25" i="1"/>
  <c r="P25" i="1"/>
  <c r="T24" i="1"/>
  <c r="S24" i="1"/>
  <c r="R24" i="1"/>
  <c r="Q24" i="1"/>
  <c r="P24" i="1"/>
  <c r="T23" i="1"/>
  <c r="S23" i="1"/>
  <c r="R23" i="1"/>
  <c r="Q23" i="1"/>
  <c r="P23" i="1"/>
  <c r="T22" i="1"/>
  <c r="S22" i="1"/>
  <c r="R22" i="1"/>
  <c r="Q22" i="1"/>
  <c r="P22" i="1"/>
  <c r="T21" i="1"/>
  <c r="S21" i="1"/>
  <c r="R21" i="1"/>
  <c r="Q21" i="1"/>
  <c r="P21" i="1"/>
  <c r="T20" i="1"/>
  <c r="S20" i="1"/>
  <c r="R20" i="1"/>
  <c r="Q20" i="1"/>
  <c r="P20" i="1"/>
  <c r="T19" i="1"/>
  <c r="S19" i="1"/>
  <c r="R19" i="1"/>
  <c r="Q19" i="1"/>
  <c r="P19" i="1"/>
  <c r="T18" i="1"/>
  <c r="S18" i="1"/>
  <c r="R18" i="1"/>
  <c r="Q18" i="1"/>
  <c r="P18" i="1"/>
  <c r="T17" i="1"/>
  <c r="S17" i="1"/>
  <c r="R17" i="1"/>
  <c r="Q17" i="1"/>
  <c r="P17" i="1"/>
  <c r="T16" i="1"/>
  <c r="S16" i="1"/>
  <c r="R16" i="1"/>
  <c r="Q16" i="1"/>
  <c r="P16" i="1"/>
  <c r="T15" i="1"/>
  <c r="S15" i="1"/>
  <c r="R15" i="1"/>
  <c r="Q15" i="1"/>
  <c r="P15" i="1"/>
  <c r="T14" i="1"/>
  <c r="S14" i="1"/>
  <c r="R14" i="1"/>
  <c r="Q14" i="1"/>
  <c r="P14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S13" i="1" s="1"/>
  <c r="N12" i="1"/>
  <c r="S12" i="1" s="1"/>
  <c r="N11" i="1"/>
  <c r="S11" i="1" s="1"/>
  <c r="N10" i="1"/>
  <c r="S10" i="1" s="1"/>
  <c r="N9" i="1"/>
  <c r="S9" i="1" s="1"/>
  <c r="N8" i="1"/>
  <c r="S8" i="1" s="1"/>
  <c r="N7" i="1"/>
  <c r="S7" i="1" s="1"/>
  <c r="N6" i="1"/>
  <c r="S6" i="1" s="1"/>
  <c r="P5" i="1"/>
  <c r="Q5" i="1"/>
  <c r="R5" i="1"/>
  <c r="S5" i="1"/>
  <c r="M6" i="1"/>
  <c r="Q6" i="1" s="1"/>
  <c r="O6" i="1"/>
  <c r="T6" i="1" s="1"/>
  <c r="M7" i="1"/>
  <c r="Q7" i="1" s="1"/>
  <c r="O7" i="1"/>
  <c r="T7" i="1" s="1"/>
  <c r="M8" i="1"/>
  <c r="P8" i="1" s="1"/>
  <c r="O8" i="1"/>
  <c r="T8" i="1" s="1"/>
  <c r="M9" i="1"/>
  <c r="R9" i="1" s="1"/>
  <c r="O9" i="1"/>
  <c r="T9" i="1" s="1"/>
  <c r="M10" i="1"/>
  <c r="R10" i="1" s="1"/>
  <c r="O10" i="1"/>
  <c r="T10" i="1" s="1"/>
  <c r="M11" i="1"/>
  <c r="R11" i="1" s="1"/>
  <c r="O11" i="1"/>
  <c r="T11" i="1" s="1"/>
  <c r="M12" i="1"/>
  <c r="P12" i="1" s="1"/>
  <c r="O12" i="1"/>
  <c r="T12" i="1" s="1"/>
  <c r="M13" i="1"/>
  <c r="R13" i="1" s="1"/>
  <c r="O13" i="1"/>
  <c r="T13" i="1" s="1"/>
  <c r="M14" i="1"/>
  <c r="O14" i="1"/>
  <c r="M15" i="1"/>
  <c r="O15" i="1"/>
  <c r="M16" i="1"/>
  <c r="O16" i="1"/>
  <c r="M17" i="1"/>
  <c r="O17" i="1"/>
  <c r="M18" i="1"/>
  <c r="O18" i="1"/>
  <c r="M19" i="1"/>
  <c r="O19" i="1"/>
  <c r="M20" i="1"/>
  <c r="O20" i="1"/>
  <c r="M21" i="1"/>
  <c r="O21" i="1"/>
  <c r="M22" i="1"/>
  <c r="O22" i="1"/>
  <c r="M23" i="1"/>
  <c r="O23" i="1"/>
  <c r="M24" i="1"/>
  <c r="O24" i="1"/>
  <c r="M25" i="1"/>
  <c r="O25" i="1"/>
  <c r="M26" i="1"/>
  <c r="O26" i="1"/>
  <c r="M27" i="1"/>
  <c r="O27" i="1"/>
  <c r="M28" i="1"/>
  <c r="O28" i="1"/>
  <c r="M29" i="1"/>
  <c r="O29" i="1"/>
  <c r="M30" i="1"/>
  <c r="O30" i="1"/>
  <c r="M31" i="1"/>
  <c r="O31" i="1"/>
  <c r="M32" i="1"/>
  <c r="O32" i="1"/>
  <c r="M33" i="1"/>
  <c r="O33" i="1"/>
  <c r="M34" i="1"/>
  <c r="O34" i="1"/>
  <c r="M35" i="1"/>
  <c r="O35" i="1"/>
  <c r="M36" i="1"/>
  <c r="O36" i="1"/>
  <c r="M37" i="1"/>
  <c r="O37" i="1"/>
  <c r="M38" i="1"/>
  <c r="O38" i="1"/>
  <c r="M39" i="1"/>
  <c r="O39" i="1"/>
  <c r="M40" i="1"/>
  <c r="O40" i="1"/>
  <c r="M41" i="1"/>
  <c r="O41" i="1"/>
  <c r="M42" i="1"/>
  <c r="O42" i="1"/>
  <c r="M43" i="1"/>
  <c r="O43" i="1"/>
  <c r="M44" i="1"/>
  <c r="O44" i="1"/>
  <c r="M45" i="1"/>
  <c r="O45" i="1"/>
  <c r="M46" i="1"/>
  <c r="O46" i="1"/>
  <c r="M47" i="1"/>
  <c r="O47" i="1"/>
  <c r="M48" i="1"/>
  <c r="O48" i="1"/>
  <c r="M49" i="1"/>
  <c r="O49" i="1"/>
  <c r="M50" i="1"/>
  <c r="O50" i="1"/>
  <c r="M51" i="1"/>
  <c r="O51" i="1"/>
  <c r="M52" i="1"/>
  <c r="O52" i="1"/>
  <c r="M53" i="1"/>
  <c r="O53" i="1"/>
  <c r="M54" i="1"/>
  <c r="O54" i="1"/>
  <c r="M55" i="1"/>
  <c r="O55" i="1"/>
  <c r="M56" i="1"/>
  <c r="O56" i="1"/>
  <c r="M57" i="1"/>
  <c r="O57" i="1"/>
  <c r="M58" i="1"/>
  <c r="O58" i="1"/>
  <c r="M59" i="1"/>
  <c r="O59" i="1"/>
  <c r="M60" i="1"/>
  <c r="O60" i="1"/>
  <c r="M61" i="1"/>
  <c r="O61" i="1"/>
  <c r="M62" i="1"/>
  <c r="O62" i="1"/>
  <c r="M63" i="1"/>
  <c r="O63" i="1"/>
  <c r="M64" i="1"/>
  <c r="O64" i="1"/>
  <c r="M65" i="1"/>
  <c r="O65" i="1"/>
  <c r="M66" i="1"/>
  <c r="O66" i="1"/>
  <c r="M67" i="1"/>
  <c r="O67" i="1"/>
  <c r="M68" i="1"/>
  <c r="O68" i="1"/>
  <c r="M69" i="1"/>
  <c r="O69" i="1"/>
  <c r="M70" i="1"/>
  <c r="O70" i="1"/>
  <c r="M71" i="1"/>
  <c r="O71" i="1"/>
  <c r="M72" i="1"/>
  <c r="O72" i="1"/>
  <c r="M73" i="1"/>
  <c r="O73" i="1"/>
  <c r="M74" i="1"/>
  <c r="O74" i="1"/>
  <c r="M75" i="1"/>
  <c r="O75" i="1"/>
  <c r="M76" i="1"/>
  <c r="O76" i="1"/>
  <c r="M77" i="1"/>
  <c r="O77" i="1"/>
  <c r="M78" i="1"/>
  <c r="O78" i="1"/>
  <c r="M79" i="1"/>
  <c r="O79" i="1"/>
  <c r="M80" i="1"/>
  <c r="O80" i="1"/>
  <c r="M81" i="1"/>
  <c r="O81" i="1"/>
  <c r="M82" i="1"/>
  <c r="O82" i="1"/>
  <c r="M83" i="1"/>
  <c r="O83" i="1"/>
  <c r="M84" i="1"/>
  <c r="O84" i="1"/>
  <c r="M85" i="1"/>
  <c r="O85" i="1"/>
  <c r="M86" i="1"/>
  <c r="O86" i="1"/>
  <c r="M87" i="1"/>
  <c r="O87" i="1"/>
  <c r="M88" i="1"/>
  <c r="O88" i="1"/>
  <c r="M89" i="1"/>
  <c r="O89" i="1"/>
  <c r="M90" i="1"/>
  <c r="O90" i="1"/>
  <c r="M91" i="1"/>
  <c r="O91" i="1"/>
  <c r="M92" i="1"/>
  <c r="O92" i="1"/>
  <c r="M93" i="1"/>
  <c r="O93" i="1"/>
  <c r="M94" i="1"/>
  <c r="O94" i="1"/>
  <c r="M95" i="1"/>
  <c r="O95" i="1"/>
  <c r="M96" i="1"/>
  <c r="O96" i="1"/>
  <c r="M97" i="1"/>
  <c r="O97" i="1"/>
  <c r="M98" i="1"/>
  <c r="O98" i="1"/>
  <c r="M99" i="1"/>
  <c r="O99" i="1"/>
  <c r="M100" i="1"/>
  <c r="O100" i="1"/>
  <c r="M101" i="1"/>
  <c r="O101" i="1"/>
  <c r="M102" i="1"/>
  <c r="O102" i="1"/>
  <c r="M103" i="1"/>
  <c r="O103" i="1"/>
  <c r="M104" i="1"/>
  <c r="O104" i="1"/>
  <c r="M105" i="1"/>
  <c r="O105" i="1"/>
  <c r="B6" i="1" a="1"/>
  <c r="B6" i="1" s="1"/>
  <c r="B8" i="1" s="1"/>
  <c r="P13" i="1" l="1"/>
  <c r="R7" i="1"/>
  <c r="Q13" i="1"/>
  <c r="Q11" i="1"/>
  <c r="P9" i="1"/>
  <c r="U9" i="1" s="1"/>
  <c r="AB9" i="1" s="1"/>
  <c r="Q12" i="1"/>
  <c r="U12" i="1" s="1"/>
  <c r="AB12" i="1" s="1"/>
  <c r="Q9" i="1"/>
  <c r="R12" i="1"/>
  <c r="P11" i="1"/>
  <c r="Q8" i="1"/>
  <c r="R8" i="1"/>
  <c r="U8" i="1" s="1"/>
  <c r="AB8" i="1" s="1"/>
  <c r="P10" i="1"/>
  <c r="P7" i="1"/>
  <c r="U7" i="1" s="1"/>
  <c r="AB7" i="1" s="1"/>
  <c r="Q10" i="1"/>
  <c r="R6" i="1"/>
  <c r="P6" i="1"/>
  <c r="U6" i="1" s="1"/>
  <c r="AB6" i="1" s="1"/>
  <c r="U46" i="1"/>
  <c r="AB46" i="1" s="1"/>
  <c r="U103" i="1"/>
  <c r="AB103" i="1" s="1"/>
  <c r="U99" i="1"/>
  <c r="AB99" i="1" s="1"/>
  <c r="U95" i="1"/>
  <c r="AB95" i="1" s="1"/>
  <c r="U91" i="1"/>
  <c r="AB91" i="1" s="1"/>
  <c r="U87" i="1"/>
  <c r="AB87" i="1" s="1"/>
  <c r="U83" i="1"/>
  <c r="AB83" i="1" s="1"/>
  <c r="U79" i="1"/>
  <c r="AB79" i="1" s="1"/>
  <c r="U75" i="1"/>
  <c r="AB75" i="1" s="1"/>
  <c r="U71" i="1"/>
  <c r="AB71" i="1" s="1"/>
  <c r="U67" i="1"/>
  <c r="AB67" i="1" s="1"/>
  <c r="U63" i="1"/>
  <c r="AB63" i="1" s="1"/>
  <c r="U59" i="1"/>
  <c r="AB59" i="1" s="1"/>
  <c r="U55" i="1"/>
  <c r="AB55" i="1" s="1"/>
  <c r="U51" i="1"/>
  <c r="AB51" i="1" s="1"/>
  <c r="U47" i="1"/>
  <c r="AB47" i="1" s="1"/>
  <c r="U43" i="1"/>
  <c r="AB43" i="1" s="1"/>
  <c r="U39" i="1"/>
  <c r="AB39" i="1" s="1"/>
  <c r="U35" i="1"/>
  <c r="AB35" i="1" s="1"/>
  <c r="U31" i="1"/>
  <c r="AB31" i="1" s="1"/>
  <c r="U27" i="1"/>
  <c r="AB27" i="1" s="1"/>
  <c r="U23" i="1"/>
  <c r="AB23" i="1" s="1"/>
  <c r="U19" i="1"/>
  <c r="AB19" i="1" s="1"/>
  <c r="U15" i="1"/>
  <c r="AB15" i="1" s="1"/>
  <c r="U102" i="1"/>
  <c r="AB102" i="1" s="1"/>
  <c r="U94" i="1"/>
  <c r="AB94" i="1" s="1"/>
  <c r="U86" i="1"/>
  <c r="AB86" i="1" s="1"/>
  <c r="U78" i="1"/>
  <c r="AB78" i="1" s="1"/>
  <c r="U70" i="1"/>
  <c r="AB70" i="1" s="1"/>
  <c r="U62" i="1"/>
  <c r="AB62" i="1" s="1"/>
  <c r="U54" i="1"/>
  <c r="AB54" i="1" s="1"/>
  <c r="U38" i="1"/>
  <c r="AB38" i="1" s="1"/>
  <c r="U30" i="1"/>
  <c r="AB30" i="1" s="1"/>
  <c r="U22" i="1"/>
  <c r="AB22" i="1" s="1"/>
  <c r="U14" i="1"/>
  <c r="AB14" i="1" s="1"/>
  <c r="U105" i="1"/>
  <c r="AB105" i="1" s="1"/>
  <c r="U57" i="1"/>
  <c r="AB57" i="1" s="1"/>
  <c r="U49" i="1"/>
  <c r="AB49" i="1" s="1"/>
  <c r="U41" i="1"/>
  <c r="AB41" i="1" s="1"/>
  <c r="U33" i="1"/>
  <c r="AB33" i="1" s="1"/>
  <c r="U25" i="1"/>
  <c r="AB25" i="1" s="1"/>
  <c r="U17" i="1"/>
  <c r="AB17" i="1" s="1"/>
  <c r="U97" i="1"/>
  <c r="AB97" i="1" s="1"/>
  <c r="U89" i="1"/>
  <c r="AB89" i="1" s="1"/>
  <c r="U81" i="1"/>
  <c r="AB81" i="1" s="1"/>
  <c r="U73" i="1"/>
  <c r="AB73" i="1" s="1"/>
  <c r="U65" i="1"/>
  <c r="AB65" i="1" s="1"/>
  <c r="U104" i="1"/>
  <c r="AB104" i="1" s="1"/>
  <c r="U100" i="1"/>
  <c r="AB100" i="1" s="1"/>
  <c r="U96" i="1"/>
  <c r="AB96" i="1" s="1"/>
  <c r="U92" i="1"/>
  <c r="AB92" i="1" s="1"/>
  <c r="U88" i="1"/>
  <c r="AB88" i="1" s="1"/>
  <c r="U84" i="1"/>
  <c r="AB84" i="1" s="1"/>
  <c r="U80" i="1"/>
  <c r="AB80" i="1" s="1"/>
  <c r="U76" i="1"/>
  <c r="AB76" i="1" s="1"/>
  <c r="U72" i="1"/>
  <c r="AB72" i="1" s="1"/>
  <c r="U68" i="1"/>
  <c r="AB68" i="1" s="1"/>
  <c r="U64" i="1"/>
  <c r="AB64" i="1" s="1"/>
  <c r="U60" i="1"/>
  <c r="AB60" i="1" s="1"/>
  <c r="U56" i="1"/>
  <c r="AB56" i="1" s="1"/>
  <c r="U52" i="1"/>
  <c r="AB52" i="1" s="1"/>
  <c r="U48" i="1"/>
  <c r="AB48" i="1" s="1"/>
  <c r="U44" i="1"/>
  <c r="AB44" i="1" s="1"/>
  <c r="U40" i="1"/>
  <c r="AB40" i="1" s="1"/>
  <c r="U36" i="1"/>
  <c r="AB36" i="1" s="1"/>
  <c r="U32" i="1"/>
  <c r="AB32" i="1" s="1"/>
  <c r="U28" i="1"/>
  <c r="AB28" i="1" s="1"/>
  <c r="U24" i="1"/>
  <c r="AB24" i="1" s="1"/>
  <c r="U20" i="1"/>
  <c r="AB20" i="1" s="1"/>
  <c r="U16" i="1"/>
  <c r="AB16" i="1" s="1"/>
  <c r="U50" i="1"/>
  <c r="AB50" i="1" s="1"/>
  <c r="U42" i="1"/>
  <c r="AB42" i="1" s="1"/>
  <c r="U34" i="1"/>
  <c r="AB34" i="1" s="1"/>
  <c r="U26" i="1"/>
  <c r="AB26" i="1" s="1"/>
  <c r="U18" i="1"/>
  <c r="AB18" i="1" s="1"/>
  <c r="U74" i="1"/>
  <c r="AB74" i="1" s="1"/>
  <c r="U66" i="1"/>
  <c r="AB66" i="1" s="1"/>
  <c r="U58" i="1"/>
  <c r="AB58" i="1" s="1"/>
  <c r="U101" i="1"/>
  <c r="AB101" i="1" s="1"/>
  <c r="U85" i="1"/>
  <c r="AB85" i="1" s="1"/>
  <c r="U69" i="1"/>
  <c r="AB69" i="1" s="1"/>
  <c r="U45" i="1"/>
  <c r="AB45" i="1" s="1"/>
  <c r="U37" i="1"/>
  <c r="AB37" i="1" s="1"/>
  <c r="U29" i="1"/>
  <c r="AB29" i="1" s="1"/>
  <c r="U98" i="1"/>
  <c r="AB98" i="1" s="1"/>
  <c r="U93" i="1"/>
  <c r="AB93" i="1" s="1"/>
  <c r="U77" i="1"/>
  <c r="AB77" i="1" s="1"/>
  <c r="U61" i="1"/>
  <c r="AB61" i="1" s="1"/>
  <c r="U53" i="1"/>
  <c r="AB53" i="1" s="1"/>
  <c r="U21" i="1"/>
  <c r="AB21" i="1" s="1"/>
  <c r="U13" i="1"/>
  <c r="AB13" i="1" s="1"/>
  <c r="U90" i="1"/>
  <c r="AB90" i="1" s="1"/>
  <c r="U82" i="1"/>
  <c r="AB82" i="1" s="1"/>
  <c r="U11" i="1"/>
  <c r="AB11" i="1" s="1"/>
  <c r="W6" i="1"/>
  <c r="X6" i="1" s="1"/>
  <c r="W7" i="1"/>
  <c r="W8" i="1"/>
  <c r="W9" i="1"/>
  <c r="X9" i="1" s="1"/>
  <c r="W10" i="1"/>
  <c r="X10" i="1" s="1"/>
  <c r="W11" i="1"/>
  <c r="W12" i="1"/>
  <c r="W13" i="1"/>
  <c r="X13" i="1" s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U10" i="1" l="1"/>
  <c r="AB10" i="1" s="1"/>
  <c r="X12" i="1"/>
  <c r="AA12" i="1" s="1"/>
  <c r="Z11" i="1"/>
  <c r="X11" i="1"/>
  <c r="X8" i="1"/>
  <c r="AA8" i="1" s="1"/>
  <c r="Z7" i="1"/>
  <c r="X7" i="1"/>
  <c r="AA7" i="1" s="1"/>
  <c r="AI99" i="1"/>
  <c r="AK99" i="1"/>
  <c r="AI67" i="1"/>
  <c r="AK67" i="1"/>
  <c r="AI35" i="1"/>
  <c r="AK35" i="1"/>
  <c r="AI98" i="1"/>
  <c r="AK98" i="1"/>
  <c r="AI90" i="1"/>
  <c r="AK90" i="1"/>
  <c r="AI82" i="1"/>
  <c r="AK82" i="1"/>
  <c r="AI74" i="1"/>
  <c r="AK74" i="1"/>
  <c r="AI66" i="1"/>
  <c r="AK66" i="1"/>
  <c r="AI58" i="1"/>
  <c r="AK58" i="1"/>
  <c r="AI50" i="1"/>
  <c r="AK50" i="1"/>
  <c r="AI42" i="1"/>
  <c r="AK42" i="1"/>
  <c r="AI34" i="1"/>
  <c r="AK34" i="1"/>
  <c r="AI26" i="1"/>
  <c r="AK26" i="1"/>
  <c r="AI18" i="1"/>
  <c r="AK18" i="1"/>
  <c r="AI83" i="1"/>
  <c r="AK83" i="1"/>
  <c r="AK105" i="1"/>
  <c r="AI105" i="1"/>
  <c r="AK81" i="1"/>
  <c r="AI81" i="1"/>
  <c r="AK57" i="1"/>
  <c r="AI57" i="1"/>
  <c r="AK41" i="1"/>
  <c r="AI41" i="1"/>
  <c r="AK25" i="1"/>
  <c r="AI25" i="1"/>
  <c r="AK89" i="1"/>
  <c r="AI89" i="1"/>
  <c r="AK73" i="1"/>
  <c r="AI73" i="1"/>
  <c r="AK49" i="1"/>
  <c r="AI49" i="1"/>
  <c r="AK33" i="1"/>
  <c r="AI33" i="1"/>
  <c r="AK17" i="1"/>
  <c r="AI17" i="1"/>
  <c r="AK88" i="1"/>
  <c r="AI88" i="1"/>
  <c r="AK64" i="1"/>
  <c r="AI64" i="1"/>
  <c r="AK48" i="1"/>
  <c r="AI48" i="1"/>
  <c r="AI103" i="1"/>
  <c r="AK103" i="1"/>
  <c r="AI95" i="1"/>
  <c r="AK95" i="1"/>
  <c r="AI87" i="1"/>
  <c r="AK87" i="1"/>
  <c r="AI79" i="1"/>
  <c r="AK79" i="1"/>
  <c r="AI71" i="1"/>
  <c r="AK71" i="1"/>
  <c r="AI63" i="1"/>
  <c r="AK63" i="1"/>
  <c r="AI55" i="1"/>
  <c r="AK55" i="1"/>
  <c r="AI47" i="1"/>
  <c r="AK47" i="1"/>
  <c r="AI39" i="1"/>
  <c r="AK39" i="1"/>
  <c r="AI31" i="1"/>
  <c r="AK31" i="1"/>
  <c r="AI23" i="1"/>
  <c r="AK23" i="1"/>
  <c r="AI15" i="1"/>
  <c r="AK15" i="1"/>
  <c r="AK97" i="1"/>
  <c r="AI97" i="1"/>
  <c r="AK65" i="1"/>
  <c r="AI65" i="1"/>
  <c r="AI102" i="1"/>
  <c r="AK102" i="1"/>
  <c r="AI94" i="1"/>
  <c r="AK94" i="1"/>
  <c r="AI86" i="1"/>
  <c r="AK86" i="1"/>
  <c r="AI78" i="1"/>
  <c r="AK78" i="1"/>
  <c r="AI70" i="1"/>
  <c r="AK70" i="1"/>
  <c r="AI62" i="1"/>
  <c r="AK62" i="1"/>
  <c r="AI54" i="1"/>
  <c r="AK54" i="1"/>
  <c r="AI46" i="1"/>
  <c r="AK46" i="1"/>
  <c r="AI38" i="1"/>
  <c r="AK38" i="1"/>
  <c r="AI30" i="1"/>
  <c r="AK30" i="1"/>
  <c r="AI22" i="1"/>
  <c r="AK22" i="1"/>
  <c r="AI14" i="1"/>
  <c r="AK14" i="1"/>
  <c r="AI75" i="1"/>
  <c r="AK75" i="1"/>
  <c r="AI51" i="1"/>
  <c r="AK51" i="1"/>
  <c r="AI27" i="1"/>
  <c r="AK27" i="1"/>
  <c r="AK104" i="1"/>
  <c r="AI104" i="1"/>
  <c r="AK80" i="1"/>
  <c r="AI80" i="1"/>
  <c r="AK72" i="1"/>
  <c r="AI72" i="1"/>
  <c r="AK56" i="1"/>
  <c r="AI56" i="1"/>
  <c r="AK40" i="1"/>
  <c r="AI40" i="1"/>
  <c r="AK32" i="1"/>
  <c r="AI32" i="1"/>
  <c r="AK24" i="1"/>
  <c r="AI24" i="1"/>
  <c r="AK16" i="1"/>
  <c r="AI16" i="1"/>
  <c r="AI101" i="1"/>
  <c r="AK101" i="1"/>
  <c r="AI93" i="1"/>
  <c r="AK93" i="1"/>
  <c r="AI85" i="1"/>
  <c r="AK85" i="1"/>
  <c r="AI77" i="1"/>
  <c r="AK77" i="1"/>
  <c r="AI69" i="1"/>
  <c r="AK69" i="1"/>
  <c r="AI61" i="1"/>
  <c r="AK61" i="1"/>
  <c r="AI53" i="1"/>
  <c r="AK53" i="1"/>
  <c r="AI45" i="1"/>
  <c r="AK45" i="1"/>
  <c r="AI37" i="1"/>
  <c r="AK37" i="1"/>
  <c r="AI29" i="1"/>
  <c r="AK29" i="1"/>
  <c r="AI21" i="1"/>
  <c r="AK21" i="1"/>
  <c r="AI91" i="1"/>
  <c r="AK91" i="1"/>
  <c r="AI59" i="1"/>
  <c r="AK59" i="1"/>
  <c r="AI43" i="1"/>
  <c r="AK43" i="1"/>
  <c r="AI19" i="1"/>
  <c r="AK19" i="1"/>
  <c r="AK96" i="1"/>
  <c r="AI96" i="1"/>
  <c r="AI100" i="1"/>
  <c r="AK100" i="1"/>
  <c r="AI92" i="1"/>
  <c r="AK92" i="1"/>
  <c r="AI84" i="1"/>
  <c r="AK84" i="1"/>
  <c r="AK76" i="1"/>
  <c r="AI76" i="1"/>
  <c r="AI68" i="1"/>
  <c r="AK68" i="1"/>
  <c r="AI60" i="1"/>
  <c r="AK60" i="1"/>
  <c r="AI52" i="1"/>
  <c r="AK52" i="1"/>
  <c r="AI44" i="1"/>
  <c r="AK44" i="1"/>
  <c r="AK36" i="1"/>
  <c r="AI36" i="1"/>
  <c r="AI28" i="1"/>
  <c r="AK28" i="1"/>
  <c r="AI20" i="1"/>
  <c r="AK20" i="1"/>
  <c r="AL98" i="1"/>
  <c r="AJ98" i="1"/>
  <c r="AJ104" i="1"/>
  <c r="AL104" i="1"/>
  <c r="AJ88" i="1"/>
  <c r="AL88" i="1"/>
  <c r="AJ72" i="1"/>
  <c r="AL72" i="1"/>
  <c r="AJ56" i="1"/>
  <c r="AL56" i="1"/>
  <c r="AJ48" i="1"/>
  <c r="AL48" i="1"/>
  <c r="AJ32" i="1"/>
  <c r="AL32" i="1"/>
  <c r="AJ24" i="1"/>
  <c r="AL24" i="1"/>
  <c r="AL103" i="1"/>
  <c r="AJ103" i="1"/>
  <c r="AL87" i="1"/>
  <c r="AJ87" i="1"/>
  <c r="AL71" i="1"/>
  <c r="AJ71" i="1"/>
  <c r="AL55" i="1"/>
  <c r="AJ55" i="1"/>
  <c r="AA31" i="1"/>
  <c r="AL31" i="1"/>
  <c r="AJ31" i="1"/>
  <c r="AL23" i="1"/>
  <c r="AJ23" i="1"/>
  <c r="Z15" i="1"/>
  <c r="AL15" i="1"/>
  <c r="AJ15" i="1"/>
  <c r="AL82" i="1"/>
  <c r="AJ82" i="1"/>
  <c r="AA66" i="1"/>
  <c r="AL66" i="1"/>
  <c r="AJ66" i="1"/>
  <c r="AL50" i="1"/>
  <c r="AJ50" i="1"/>
  <c r="AL42" i="1"/>
  <c r="AJ42" i="1"/>
  <c r="AL34" i="1"/>
  <c r="AJ34" i="1"/>
  <c r="AL26" i="1"/>
  <c r="AJ26" i="1"/>
  <c r="Z18" i="1"/>
  <c r="AL18" i="1"/>
  <c r="AJ18" i="1"/>
  <c r="AL105" i="1"/>
  <c r="AJ105" i="1"/>
  <c r="Z89" i="1"/>
  <c r="AL89" i="1"/>
  <c r="AJ89" i="1"/>
  <c r="AL73" i="1"/>
  <c r="AJ73" i="1"/>
  <c r="AL57" i="1"/>
  <c r="AJ57" i="1"/>
  <c r="AL41" i="1"/>
  <c r="AJ41" i="1"/>
  <c r="AL33" i="1"/>
  <c r="AJ33" i="1"/>
  <c r="AL17" i="1"/>
  <c r="AJ17" i="1"/>
  <c r="AJ96" i="1"/>
  <c r="AL96" i="1"/>
  <c r="AJ80" i="1"/>
  <c r="AL80" i="1"/>
  <c r="AJ64" i="1"/>
  <c r="AL64" i="1"/>
  <c r="AJ40" i="1"/>
  <c r="AL40" i="1"/>
  <c r="AJ16" i="1"/>
  <c r="AL16" i="1"/>
  <c r="AL95" i="1"/>
  <c r="AJ95" i="1"/>
  <c r="AL79" i="1"/>
  <c r="AJ79" i="1"/>
  <c r="AL63" i="1"/>
  <c r="AJ63" i="1"/>
  <c r="AL47" i="1"/>
  <c r="AJ47" i="1"/>
  <c r="AL39" i="1"/>
  <c r="AJ39" i="1"/>
  <c r="AL102" i="1"/>
  <c r="AJ102" i="1"/>
  <c r="AA94" i="1"/>
  <c r="AL94" i="1"/>
  <c r="AJ94" i="1"/>
  <c r="AL86" i="1"/>
  <c r="AJ86" i="1"/>
  <c r="AL78" i="1"/>
  <c r="AJ78" i="1"/>
  <c r="AA70" i="1"/>
  <c r="AL70" i="1"/>
  <c r="AJ70" i="1"/>
  <c r="AA62" i="1"/>
  <c r="AL62" i="1"/>
  <c r="AJ62" i="1"/>
  <c r="AL54" i="1"/>
  <c r="AJ54" i="1"/>
  <c r="AL46" i="1"/>
  <c r="AJ46" i="1"/>
  <c r="AL38" i="1"/>
  <c r="AJ38" i="1"/>
  <c r="Z30" i="1"/>
  <c r="AL30" i="1"/>
  <c r="AJ30" i="1"/>
  <c r="AL22" i="1"/>
  <c r="AJ22" i="1"/>
  <c r="AL14" i="1"/>
  <c r="AJ14" i="1"/>
  <c r="AJ101" i="1"/>
  <c r="AL101" i="1"/>
  <c r="AJ93" i="1"/>
  <c r="AL93" i="1"/>
  <c r="AJ85" i="1"/>
  <c r="AL85" i="1"/>
  <c r="AJ77" i="1"/>
  <c r="AL77" i="1"/>
  <c r="AJ69" i="1"/>
  <c r="AL69" i="1"/>
  <c r="AJ61" i="1"/>
  <c r="AL61" i="1"/>
  <c r="AJ53" i="1"/>
  <c r="AL53" i="1"/>
  <c r="AJ45" i="1"/>
  <c r="AL45" i="1"/>
  <c r="AL37" i="1"/>
  <c r="AJ37" i="1"/>
  <c r="AL29" i="1"/>
  <c r="AJ29" i="1"/>
  <c r="AL21" i="1"/>
  <c r="AJ21" i="1"/>
  <c r="AJ100" i="1"/>
  <c r="AL100" i="1"/>
  <c r="AJ84" i="1"/>
  <c r="AL84" i="1"/>
  <c r="AJ76" i="1"/>
  <c r="AL76" i="1"/>
  <c r="AJ68" i="1"/>
  <c r="AL68" i="1"/>
  <c r="AJ60" i="1"/>
  <c r="AL60" i="1"/>
  <c r="AJ52" i="1"/>
  <c r="AL52" i="1"/>
  <c r="AJ44" i="1"/>
  <c r="AL44" i="1"/>
  <c r="AJ36" i="1"/>
  <c r="AL36" i="1"/>
  <c r="AJ28" i="1"/>
  <c r="AL28" i="1"/>
  <c r="AJ20" i="1"/>
  <c r="AL20" i="1"/>
  <c r="AA90" i="1"/>
  <c r="AL90" i="1"/>
  <c r="AJ90" i="1"/>
  <c r="AL74" i="1"/>
  <c r="AJ74" i="1"/>
  <c r="AA58" i="1"/>
  <c r="AL58" i="1"/>
  <c r="AJ58" i="1"/>
  <c r="AL97" i="1"/>
  <c r="AJ97" i="1"/>
  <c r="AL81" i="1"/>
  <c r="AJ81" i="1"/>
  <c r="AL65" i="1"/>
  <c r="AJ65" i="1"/>
  <c r="AL49" i="1"/>
  <c r="AJ49" i="1"/>
  <c r="AL25" i="1"/>
  <c r="AJ25" i="1"/>
  <c r="AJ92" i="1"/>
  <c r="AL92" i="1"/>
  <c r="AJ99" i="1"/>
  <c r="AL99" i="1"/>
  <c r="AJ91" i="1"/>
  <c r="AL91" i="1"/>
  <c r="AJ83" i="1"/>
  <c r="AL83" i="1"/>
  <c r="AJ75" i="1"/>
  <c r="AL75" i="1"/>
  <c r="AJ67" i="1"/>
  <c r="AL67" i="1"/>
  <c r="AJ59" i="1"/>
  <c r="AL59" i="1"/>
  <c r="AJ51" i="1"/>
  <c r="AL51" i="1"/>
  <c r="AJ43" i="1"/>
  <c r="AL43" i="1"/>
  <c r="AJ35" i="1"/>
  <c r="AL35" i="1"/>
  <c r="AJ27" i="1"/>
  <c r="AL27" i="1"/>
  <c r="AJ19" i="1"/>
  <c r="AL19" i="1"/>
  <c r="AA74" i="1"/>
  <c r="Z95" i="1"/>
  <c r="Z85" i="1"/>
  <c r="Y79" i="1"/>
  <c r="AC79" i="1" s="1"/>
  <c r="Y95" i="1"/>
  <c r="AC95" i="1" s="1"/>
  <c r="AA27" i="1"/>
  <c r="AA78" i="1"/>
  <c r="AA95" i="1"/>
  <c r="AA87" i="1"/>
  <c r="AA102" i="1"/>
  <c r="AA83" i="1"/>
  <c r="AA75" i="1"/>
  <c r="Z105" i="1"/>
  <c r="Z101" i="1"/>
  <c r="Y83" i="1"/>
  <c r="AC83" i="1" s="1"/>
  <c r="Z75" i="1"/>
  <c r="Z83" i="1"/>
  <c r="Z97" i="1"/>
  <c r="Y75" i="1"/>
  <c r="AC75" i="1" s="1"/>
  <c r="Y81" i="1"/>
  <c r="AC81" i="1" s="1"/>
  <c r="Y36" i="1"/>
  <c r="AC36" i="1" s="1"/>
  <c r="Y24" i="1"/>
  <c r="AC24" i="1" s="1"/>
  <c r="Y20" i="1"/>
  <c r="AC20" i="1" s="1"/>
  <c r="AA99" i="1"/>
  <c r="Z87" i="1"/>
  <c r="Y78" i="1"/>
  <c r="AC78" i="1" s="1"/>
  <c r="AA71" i="1"/>
  <c r="AA67" i="1"/>
  <c r="AA63" i="1"/>
  <c r="AA59" i="1"/>
  <c r="AA55" i="1"/>
  <c r="Y52" i="1"/>
  <c r="AC52" i="1" s="1"/>
  <c r="Y48" i="1"/>
  <c r="AC48" i="1" s="1"/>
  <c r="Y44" i="1"/>
  <c r="AC44" i="1" s="1"/>
  <c r="Y40" i="1"/>
  <c r="AC40" i="1" s="1"/>
  <c r="Y105" i="1"/>
  <c r="AC105" i="1" s="1"/>
  <c r="Z99" i="1"/>
  <c r="Y90" i="1"/>
  <c r="AC90" i="1" s="1"/>
  <c r="Y87" i="1"/>
  <c r="AC87" i="1" s="1"/>
  <c r="Y85" i="1"/>
  <c r="AC85" i="1" s="1"/>
  <c r="AA82" i="1"/>
  <c r="AA79" i="1"/>
  <c r="Z77" i="1"/>
  <c r="Y71" i="1"/>
  <c r="AC71" i="1" s="1"/>
  <c r="Y67" i="1"/>
  <c r="AC67" i="1" s="1"/>
  <c r="Y63" i="1"/>
  <c r="AC63" i="1" s="1"/>
  <c r="Y59" i="1"/>
  <c r="AC59" i="1" s="1"/>
  <c r="Y55" i="1"/>
  <c r="AC55" i="1" s="1"/>
  <c r="AA51" i="1"/>
  <c r="AA47" i="1"/>
  <c r="AA43" i="1"/>
  <c r="AA39" i="1"/>
  <c r="AA35" i="1"/>
  <c r="Y31" i="1"/>
  <c r="AC31" i="1" s="1"/>
  <c r="Y27" i="1"/>
  <c r="AC27" i="1" s="1"/>
  <c r="AA23" i="1"/>
  <c r="AA19" i="1"/>
  <c r="Y98" i="1"/>
  <c r="AC98" i="1" s="1"/>
  <c r="Y93" i="1"/>
  <c r="AC93" i="1" s="1"/>
  <c r="Y28" i="1"/>
  <c r="AC28" i="1" s="1"/>
  <c r="Y32" i="1"/>
  <c r="AC32" i="1" s="1"/>
  <c r="Y102" i="1"/>
  <c r="AC102" i="1" s="1"/>
  <c r="Y99" i="1"/>
  <c r="AC99" i="1" s="1"/>
  <c r="Y97" i="1"/>
  <c r="AC97" i="1" s="1"/>
  <c r="AA91" i="1"/>
  <c r="Z79" i="1"/>
  <c r="Y51" i="1"/>
  <c r="AC51" i="1" s="1"/>
  <c r="Y47" i="1"/>
  <c r="AC47" i="1" s="1"/>
  <c r="Y43" i="1"/>
  <c r="AC43" i="1" s="1"/>
  <c r="Y39" i="1"/>
  <c r="AC39" i="1" s="1"/>
  <c r="Y35" i="1"/>
  <c r="AC35" i="1" s="1"/>
  <c r="Y23" i="1"/>
  <c r="AC23" i="1" s="1"/>
  <c r="Y19" i="1"/>
  <c r="AC19" i="1" s="1"/>
  <c r="Z16" i="1"/>
  <c r="Y86" i="1"/>
  <c r="AC86" i="1" s="1"/>
  <c r="Z91" i="1"/>
  <c r="Y82" i="1"/>
  <c r="AC82" i="1" s="1"/>
  <c r="Y77" i="1"/>
  <c r="AC77" i="1" s="1"/>
  <c r="Z103" i="1"/>
  <c r="Y94" i="1"/>
  <c r="AC94" i="1" s="1"/>
  <c r="Y91" i="1"/>
  <c r="AC91" i="1" s="1"/>
  <c r="AA54" i="1"/>
  <c r="AA26" i="1"/>
  <c r="AA103" i="1"/>
  <c r="Y89" i="1"/>
  <c r="AC89" i="1" s="1"/>
  <c r="AA86" i="1"/>
  <c r="Z81" i="1"/>
  <c r="Y103" i="1"/>
  <c r="AC103" i="1" s="1"/>
  <c r="Y101" i="1"/>
  <c r="AC101" i="1" s="1"/>
  <c r="AA98" i="1"/>
  <c r="Z93" i="1"/>
  <c r="Y74" i="1"/>
  <c r="AC74" i="1" s="1"/>
  <c r="Z54" i="1"/>
  <c r="AA50" i="1"/>
  <c r="AA46" i="1"/>
  <c r="AA42" i="1"/>
  <c r="AA38" i="1"/>
  <c r="AA34" i="1"/>
  <c r="Z26" i="1"/>
  <c r="Z22" i="1"/>
  <c r="AA18" i="1"/>
  <c r="Y9" i="1"/>
  <c r="AC9" i="1" s="1"/>
  <c r="Y13" i="1"/>
  <c r="AC13" i="1" s="1"/>
  <c r="Y12" i="1"/>
  <c r="AC12" i="1" s="1"/>
  <c r="Y8" i="1"/>
  <c r="AC8" i="1" s="1"/>
  <c r="Z104" i="1"/>
  <c r="Y68" i="1"/>
  <c r="AC68" i="1" s="1"/>
  <c r="Z68" i="1"/>
  <c r="AA68" i="1"/>
  <c r="Y76" i="1"/>
  <c r="AC76" i="1" s="1"/>
  <c r="Z76" i="1"/>
  <c r="AA76" i="1"/>
  <c r="Y60" i="1"/>
  <c r="AC60" i="1" s="1"/>
  <c r="Z60" i="1"/>
  <c r="AA60" i="1"/>
  <c r="Y72" i="1"/>
  <c r="AC72" i="1" s="1"/>
  <c r="Z72" i="1"/>
  <c r="AA72" i="1"/>
  <c r="Y104" i="1"/>
  <c r="AC104" i="1" s="1"/>
  <c r="AA104" i="1"/>
  <c r="AA15" i="1"/>
  <c r="Y100" i="1"/>
  <c r="AC100" i="1" s="1"/>
  <c r="Z100" i="1"/>
  <c r="AA100" i="1"/>
  <c r="Y96" i="1"/>
  <c r="AC96" i="1" s="1"/>
  <c r="Z96" i="1"/>
  <c r="AA96" i="1"/>
  <c r="Y92" i="1"/>
  <c r="AC92" i="1" s="1"/>
  <c r="Z92" i="1"/>
  <c r="AA92" i="1"/>
  <c r="Y88" i="1"/>
  <c r="AC88" i="1" s="1"/>
  <c r="Z88" i="1"/>
  <c r="AA88" i="1"/>
  <c r="Y84" i="1"/>
  <c r="AC84" i="1" s="1"/>
  <c r="Z84" i="1"/>
  <c r="AA84" i="1"/>
  <c r="Y80" i="1"/>
  <c r="AC80" i="1" s="1"/>
  <c r="Z80" i="1"/>
  <c r="AA80" i="1"/>
  <c r="Y64" i="1"/>
  <c r="AC64" i="1" s="1"/>
  <c r="Z64" i="1"/>
  <c r="AA64" i="1"/>
  <c r="Y56" i="1"/>
  <c r="AC56" i="1" s="1"/>
  <c r="Z56" i="1"/>
  <c r="AA56" i="1"/>
  <c r="Z71" i="1"/>
  <c r="Z67" i="1"/>
  <c r="Z63" i="1"/>
  <c r="Z59" i="1"/>
  <c r="Z55" i="1"/>
  <c r="Z51" i="1"/>
  <c r="Z47" i="1"/>
  <c r="Z43" i="1"/>
  <c r="Z39" i="1"/>
  <c r="Z35" i="1"/>
  <c r="Z31" i="1"/>
  <c r="Z27" i="1"/>
  <c r="Z23" i="1"/>
  <c r="Z19" i="1"/>
  <c r="Y16" i="1"/>
  <c r="AC16" i="1" s="1"/>
  <c r="AA13" i="1"/>
  <c r="Z12" i="1"/>
  <c r="Z8" i="1"/>
  <c r="Z102" i="1"/>
  <c r="Z98" i="1"/>
  <c r="Z94" i="1"/>
  <c r="Z90" i="1"/>
  <c r="Z86" i="1"/>
  <c r="Z82" i="1"/>
  <c r="Z78" i="1"/>
  <c r="Z74" i="1"/>
  <c r="Z70" i="1"/>
  <c r="Z66" i="1"/>
  <c r="Z62" i="1"/>
  <c r="Z58" i="1"/>
  <c r="Z50" i="1"/>
  <c r="Z46" i="1"/>
  <c r="Z42" i="1"/>
  <c r="Z38" i="1"/>
  <c r="Z34" i="1"/>
  <c r="AA105" i="1"/>
  <c r="AA101" i="1"/>
  <c r="AA97" i="1"/>
  <c r="AA93" i="1"/>
  <c r="AA89" i="1"/>
  <c r="AA85" i="1"/>
  <c r="AA81" i="1"/>
  <c r="AA77" i="1"/>
  <c r="AA73" i="1"/>
  <c r="Y70" i="1"/>
  <c r="AC70" i="1" s="1"/>
  <c r="AA69" i="1"/>
  <c r="Y66" i="1"/>
  <c r="AC66" i="1" s="1"/>
  <c r="AA65" i="1"/>
  <c r="Y62" i="1"/>
  <c r="AC62" i="1" s="1"/>
  <c r="AA61" i="1"/>
  <c r="Y58" i="1"/>
  <c r="AC58" i="1" s="1"/>
  <c r="AA57" i="1"/>
  <c r="Y54" i="1"/>
  <c r="AC54" i="1" s="1"/>
  <c r="AA53" i="1"/>
  <c r="Y50" i="1"/>
  <c r="AC50" i="1" s="1"/>
  <c r="AA49" i="1"/>
  <c r="Y46" i="1"/>
  <c r="AC46" i="1" s="1"/>
  <c r="AA45" i="1"/>
  <c r="Y42" i="1"/>
  <c r="AC42" i="1" s="1"/>
  <c r="AA41" i="1"/>
  <c r="Y38" i="1"/>
  <c r="AC38" i="1" s="1"/>
  <c r="AA37" i="1"/>
  <c r="Y34" i="1"/>
  <c r="AC34" i="1" s="1"/>
  <c r="Y30" i="1"/>
  <c r="AC30" i="1" s="1"/>
  <c r="AA29" i="1"/>
  <c r="Y26" i="1"/>
  <c r="AC26" i="1" s="1"/>
  <c r="AA25" i="1"/>
  <c r="Y22" i="1"/>
  <c r="AC22" i="1" s="1"/>
  <c r="AA21" i="1"/>
  <c r="Y18" i="1"/>
  <c r="AC18" i="1" s="1"/>
  <c r="AA17" i="1"/>
  <c r="Y15" i="1"/>
  <c r="AC15" i="1" s="1"/>
  <c r="AD15" i="1" s="1"/>
  <c r="AA14" i="1"/>
  <c r="Y11" i="1"/>
  <c r="AC11" i="1" s="1"/>
  <c r="AD11" i="1" s="1"/>
  <c r="AI11" i="1" s="1"/>
  <c r="Y7" i="1"/>
  <c r="AC7" i="1" s="1"/>
  <c r="AD7" i="1" s="1"/>
  <c r="AI7" i="1" s="1"/>
  <c r="Z73" i="1"/>
  <c r="Z69" i="1"/>
  <c r="Z65" i="1"/>
  <c r="Z61" i="1"/>
  <c r="Z57" i="1"/>
  <c r="Z53" i="1"/>
  <c r="Z49" i="1"/>
  <c r="Z45" i="1"/>
  <c r="Z41" i="1"/>
  <c r="Z37" i="1"/>
  <c r="Z33" i="1"/>
  <c r="Z29" i="1"/>
  <c r="Z25" i="1"/>
  <c r="Z21" i="1"/>
  <c r="Z17" i="1"/>
  <c r="Z14" i="1"/>
  <c r="Z10" i="1"/>
  <c r="Z6" i="1"/>
  <c r="Y73" i="1"/>
  <c r="AC73" i="1" s="1"/>
  <c r="Y69" i="1"/>
  <c r="AC69" i="1" s="1"/>
  <c r="Y65" i="1"/>
  <c r="AC65" i="1" s="1"/>
  <c r="Y61" i="1"/>
  <c r="AC61" i="1" s="1"/>
  <c r="Y57" i="1"/>
  <c r="AC57" i="1" s="1"/>
  <c r="Y53" i="1"/>
  <c r="AC53" i="1" s="1"/>
  <c r="AA52" i="1"/>
  <c r="Y49" i="1"/>
  <c r="AC49" i="1" s="1"/>
  <c r="AA48" i="1"/>
  <c r="Y45" i="1"/>
  <c r="AC45" i="1" s="1"/>
  <c r="AA44" i="1"/>
  <c r="Y41" i="1"/>
  <c r="AC41" i="1" s="1"/>
  <c r="AA40" i="1"/>
  <c r="Y37" i="1"/>
  <c r="AC37" i="1" s="1"/>
  <c r="AA36" i="1"/>
  <c r="Y33" i="1"/>
  <c r="AC33" i="1" s="1"/>
  <c r="Y29" i="1"/>
  <c r="AC29" i="1" s="1"/>
  <c r="AA28" i="1"/>
  <c r="Y25" i="1"/>
  <c r="AC25" i="1" s="1"/>
  <c r="AA24" i="1"/>
  <c r="Y21" i="1"/>
  <c r="AC21" i="1" s="1"/>
  <c r="AA20" i="1"/>
  <c r="Y17" i="1"/>
  <c r="AC17" i="1" s="1"/>
  <c r="Y14" i="1"/>
  <c r="AC14" i="1" s="1"/>
  <c r="Y10" i="1"/>
  <c r="AC10" i="1" s="1"/>
  <c r="Y6" i="1"/>
  <c r="AC6" i="1" s="1"/>
  <c r="Z52" i="1"/>
  <c r="Z48" i="1"/>
  <c r="Z44" i="1"/>
  <c r="Z40" i="1"/>
  <c r="Z36" i="1"/>
  <c r="Z32" i="1"/>
  <c r="Z28" i="1"/>
  <c r="Z24" i="1"/>
  <c r="Z20" i="1"/>
  <c r="AA16" i="1"/>
  <c r="Z13" i="1"/>
  <c r="Z9" i="1"/>
  <c r="AD18" i="1" l="1"/>
  <c r="AE18" i="1" s="1"/>
  <c r="AF18" i="1" s="1"/>
  <c r="AG18" i="1" s="1"/>
  <c r="AD30" i="1"/>
  <c r="AJ11" i="1"/>
  <c r="AD89" i="1"/>
  <c r="AJ7" i="1"/>
  <c r="AD95" i="1"/>
  <c r="AD78" i="1"/>
  <c r="AD16" i="1"/>
  <c r="AE16" i="1" s="1"/>
  <c r="AF16" i="1" s="1"/>
  <c r="AG16" i="1" s="1"/>
  <c r="AD79" i="1"/>
  <c r="AE79" i="1" s="1"/>
  <c r="AF79" i="1" s="1"/>
  <c r="AG79" i="1" s="1"/>
  <c r="AD91" i="1"/>
  <c r="AD42" i="1"/>
  <c r="AE42" i="1" s="1"/>
  <c r="AF42" i="1" s="1"/>
  <c r="AG42" i="1" s="1"/>
  <c r="AD101" i="1"/>
  <c r="AD97" i="1"/>
  <c r="AD86" i="1"/>
  <c r="AD90" i="1"/>
  <c r="AE90" i="1" s="1"/>
  <c r="AF90" i="1" s="1"/>
  <c r="AG90" i="1" s="1"/>
  <c r="AD93" i="1"/>
  <c r="AE93" i="1" s="1"/>
  <c r="AF93" i="1" s="1"/>
  <c r="AG93" i="1" s="1"/>
  <c r="AD83" i="1"/>
  <c r="AD98" i="1"/>
  <c r="AE98" i="1" s="1"/>
  <c r="AF98" i="1" s="1"/>
  <c r="AG98" i="1" s="1"/>
  <c r="AD94" i="1"/>
  <c r="AE94" i="1" s="1"/>
  <c r="AF94" i="1" s="1"/>
  <c r="AG94" i="1" s="1"/>
  <c r="AD85" i="1"/>
  <c r="AD103" i="1"/>
  <c r="AE103" i="1" s="1"/>
  <c r="AF103" i="1" s="1"/>
  <c r="AG103" i="1" s="1"/>
  <c r="AD87" i="1"/>
  <c r="AD68" i="1"/>
  <c r="AE68" i="1" s="1"/>
  <c r="AF68" i="1" s="1"/>
  <c r="AG68" i="1" s="1"/>
  <c r="AD41" i="1"/>
  <c r="AD105" i="1"/>
  <c r="AD61" i="1"/>
  <c r="AE61" i="1" s="1"/>
  <c r="AF61" i="1" s="1"/>
  <c r="AG61" i="1" s="1"/>
  <c r="AD54" i="1"/>
  <c r="AE54" i="1" s="1"/>
  <c r="AF54" i="1" s="1"/>
  <c r="AG54" i="1" s="1"/>
  <c r="AD51" i="1"/>
  <c r="AD75" i="1"/>
  <c r="AE75" i="1" s="1"/>
  <c r="AF75" i="1" s="1"/>
  <c r="AG75" i="1" s="1"/>
  <c r="AD26" i="1"/>
  <c r="AD27" i="1"/>
  <c r="AE27" i="1" s="1"/>
  <c r="AF27" i="1" s="1"/>
  <c r="AG27" i="1" s="1"/>
  <c r="AA11" i="1"/>
  <c r="AE11" i="1" s="1"/>
  <c r="AF11" i="1" s="1"/>
  <c r="AG11" i="1" s="1"/>
  <c r="AD43" i="1"/>
  <c r="AE43" i="1" s="1"/>
  <c r="AF43" i="1" s="1"/>
  <c r="AG43" i="1" s="1"/>
  <c r="AD104" i="1"/>
  <c r="AD63" i="1"/>
  <c r="AE63" i="1" s="1"/>
  <c r="AF63" i="1" s="1"/>
  <c r="AG63" i="1" s="1"/>
  <c r="AD62" i="1"/>
  <c r="AD31" i="1"/>
  <c r="AD45" i="1"/>
  <c r="AD69" i="1"/>
  <c r="AE69" i="1" s="1"/>
  <c r="AF69" i="1" s="1"/>
  <c r="AG69" i="1" s="1"/>
  <c r="AD29" i="1"/>
  <c r="AD73" i="1"/>
  <c r="AA30" i="1"/>
  <c r="AE30" i="1" s="1"/>
  <c r="AF30" i="1" s="1"/>
  <c r="AG30" i="1" s="1"/>
  <c r="AD59" i="1"/>
  <c r="AE59" i="1" s="1"/>
  <c r="AF59" i="1" s="1"/>
  <c r="AG59" i="1" s="1"/>
  <c r="AD47" i="1"/>
  <c r="AE47" i="1" s="1"/>
  <c r="AF47" i="1" s="1"/>
  <c r="AG47" i="1" s="1"/>
  <c r="AD14" i="1"/>
  <c r="AE14" i="1" s="1"/>
  <c r="AF14" i="1" s="1"/>
  <c r="AG14" i="1" s="1"/>
  <c r="AD33" i="1"/>
  <c r="AD49" i="1"/>
  <c r="AE49" i="1" s="1"/>
  <c r="AF49" i="1" s="1"/>
  <c r="AG49" i="1" s="1"/>
  <c r="AD82" i="1"/>
  <c r="AE82" i="1" s="1"/>
  <c r="AF82" i="1" s="1"/>
  <c r="AG82" i="1" s="1"/>
  <c r="AD77" i="1"/>
  <c r="AE77" i="1" s="1"/>
  <c r="AF77" i="1" s="1"/>
  <c r="AG77" i="1" s="1"/>
  <c r="AD99" i="1"/>
  <c r="AA33" i="1"/>
  <c r="AD74" i="1"/>
  <c r="AE74" i="1" s="1"/>
  <c r="AF74" i="1" s="1"/>
  <c r="AG74" i="1" s="1"/>
  <c r="AD19" i="1"/>
  <c r="AE19" i="1" s="1"/>
  <c r="AF19" i="1" s="1"/>
  <c r="AG19" i="1" s="1"/>
  <c r="AD35" i="1"/>
  <c r="AE35" i="1" s="1"/>
  <c r="AF35" i="1" s="1"/>
  <c r="AG35" i="1" s="1"/>
  <c r="AD53" i="1"/>
  <c r="AD38" i="1"/>
  <c r="AE38" i="1" s="1"/>
  <c r="AF38" i="1" s="1"/>
  <c r="AG38" i="1" s="1"/>
  <c r="AD70" i="1"/>
  <c r="AE70" i="1" s="1"/>
  <c r="AF70" i="1" s="1"/>
  <c r="AG70" i="1" s="1"/>
  <c r="AD37" i="1"/>
  <c r="AE37" i="1" s="1"/>
  <c r="AF37" i="1" s="1"/>
  <c r="AG37" i="1" s="1"/>
  <c r="AD34" i="1"/>
  <c r="AD81" i="1"/>
  <c r="AD22" i="1"/>
  <c r="AD25" i="1"/>
  <c r="AD65" i="1"/>
  <c r="AD102" i="1"/>
  <c r="AE102" i="1" s="1"/>
  <c r="AF102" i="1" s="1"/>
  <c r="AG102" i="1" s="1"/>
  <c r="AD23" i="1"/>
  <c r="AE23" i="1" s="1"/>
  <c r="AF23" i="1" s="1"/>
  <c r="AG23" i="1" s="1"/>
  <c r="AD39" i="1"/>
  <c r="AE39" i="1" s="1"/>
  <c r="AF39" i="1" s="1"/>
  <c r="AG39" i="1" s="1"/>
  <c r="AA22" i="1"/>
  <c r="AA9" i="1"/>
  <c r="AA10" i="1"/>
  <c r="AD12" i="1"/>
  <c r="AA6" i="1"/>
  <c r="AD8" i="1"/>
  <c r="AD76" i="1"/>
  <c r="AD88" i="1"/>
  <c r="AD21" i="1"/>
  <c r="AD46" i="1"/>
  <c r="AE46" i="1" s="1"/>
  <c r="AF46" i="1" s="1"/>
  <c r="AG46" i="1" s="1"/>
  <c r="AD20" i="1"/>
  <c r="AD36" i="1"/>
  <c r="AE36" i="1" s="1"/>
  <c r="AF36" i="1" s="1"/>
  <c r="AG36" i="1" s="1"/>
  <c r="AD52" i="1"/>
  <c r="AE52" i="1" s="1"/>
  <c r="AF52" i="1" s="1"/>
  <c r="AG52" i="1" s="1"/>
  <c r="AD60" i="1"/>
  <c r="AE60" i="1" s="1"/>
  <c r="AF60" i="1" s="1"/>
  <c r="AG60" i="1" s="1"/>
  <c r="AD50" i="1"/>
  <c r="AE50" i="1" s="1"/>
  <c r="AF50" i="1" s="1"/>
  <c r="AG50" i="1" s="1"/>
  <c r="AD64" i="1"/>
  <c r="AD96" i="1"/>
  <c r="AD56" i="1"/>
  <c r="AD17" i="1"/>
  <c r="AD28" i="1"/>
  <c r="AE28" i="1" s="1"/>
  <c r="AF28" i="1" s="1"/>
  <c r="AG28" i="1" s="1"/>
  <c r="AD44" i="1"/>
  <c r="AE44" i="1" s="1"/>
  <c r="AF44" i="1" s="1"/>
  <c r="AG44" i="1" s="1"/>
  <c r="AD100" i="1"/>
  <c r="AE100" i="1" s="1"/>
  <c r="AF100" i="1" s="1"/>
  <c r="AG100" i="1" s="1"/>
  <c r="AD57" i="1"/>
  <c r="AE57" i="1" s="1"/>
  <c r="AF57" i="1" s="1"/>
  <c r="AG57" i="1" s="1"/>
  <c r="AD13" i="1"/>
  <c r="AD58" i="1"/>
  <c r="AE58" i="1" s="1"/>
  <c r="AF58" i="1" s="1"/>
  <c r="AG58" i="1" s="1"/>
  <c r="AD80" i="1"/>
  <c r="AE80" i="1" s="1"/>
  <c r="AF80" i="1" s="1"/>
  <c r="AG80" i="1" s="1"/>
  <c r="AD6" i="1"/>
  <c r="AI6" i="1" s="1"/>
  <c r="AJ6" i="1" s="1"/>
  <c r="AK6" i="1" s="1"/>
  <c r="AL6" i="1" s="1"/>
  <c r="AE15" i="1"/>
  <c r="AF15" i="1" s="1"/>
  <c r="AG15" i="1" s="1"/>
  <c r="AE7" i="1"/>
  <c r="AF7" i="1" s="1"/>
  <c r="AG7" i="1" s="1"/>
  <c r="AD24" i="1"/>
  <c r="AD40" i="1"/>
  <c r="AD66" i="1"/>
  <c r="AD9" i="1"/>
  <c r="AI9" i="1" s="1"/>
  <c r="AJ9" i="1" s="1"/>
  <c r="AK9" i="1" s="1"/>
  <c r="AL9" i="1" s="1"/>
  <c r="AD67" i="1"/>
  <c r="AD55" i="1"/>
  <c r="AD10" i="1"/>
  <c r="AI10" i="1" s="1"/>
  <c r="AJ10" i="1" s="1"/>
  <c r="AK10" i="1" s="1"/>
  <c r="AL10" i="1" s="1"/>
  <c r="AD32" i="1"/>
  <c r="AD48" i="1"/>
  <c r="AD72" i="1"/>
  <c r="AD92" i="1"/>
  <c r="AD71" i="1"/>
  <c r="AA32" i="1"/>
  <c r="AE89" i="1"/>
  <c r="AF89" i="1" s="1"/>
  <c r="AG89" i="1" s="1"/>
  <c r="AD84" i="1"/>
  <c r="AE13" i="1" l="1"/>
  <c r="AF13" i="1" s="1"/>
  <c r="AG13" i="1" s="1"/>
  <c r="AI13" i="1"/>
  <c r="AJ13" i="1" s="1"/>
  <c r="AK13" i="1" s="1"/>
  <c r="AL13" i="1" s="1"/>
  <c r="AE8" i="1"/>
  <c r="AF8" i="1" s="1"/>
  <c r="AG8" i="1" s="1"/>
  <c r="AI8" i="1"/>
  <c r="AJ8" i="1" s="1"/>
  <c r="AK8" i="1" s="1"/>
  <c r="AL8" i="1" s="1"/>
  <c r="AE12" i="1"/>
  <c r="AF12" i="1" s="1"/>
  <c r="AG12" i="1" s="1"/>
  <c r="AI12" i="1"/>
  <c r="AJ12" i="1" s="1"/>
  <c r="AK12" i="1" s="1"/>
  <c r="AL12" i="1" s="1"/>
  <c r="AK11" i="1"/>
  <c r="AL11" i="1" s="1"/>
  <c r="AK7" i="1"/>
  <c r="AL7" i="1" s="1"/>
  <c r="AE95" i="1"/>
  <c r="AF95" i="1" s="1"/>
  <c r="AG95" i="1" s="1"/>
  <c r="AE101" i="1"/>
  <c r="AF101" i="1" s="1"/>
  <c r="AG101" i="1" s="1"/>
  <c r="AE97" i="1"/>
  <c r="AF97" i="1" s="1"/>
  <c r="AG97" i="1" s="1"/>
  <c r="AE78" i="1"/>
  <c r="AF78" i="1" s="1"/>
  <c r="AG78" i="1" s="1"/>
  <c r="AE51" i="1"/>
  <c r="AF51" i="1" s="1"/>
  <c r="AG51" i="1" s="1"/>
  <c r="AE86" i="1"/>
  <c r="AF86" i="1" s="1"/>
  <c r="AG86" i="1" s="1"/>
  <c r="AE96" i="1"/>
  <c r="AF96" i="1" s="1"/>
  <c r="AG96" i="1" s="1"/>
  <c r="AE91" i="1"/>
  <c r="AF91" i="1" s="1"/>
  <c r="AG91" i="1" s="1"/>
  <c r="AE45" i="1"/>
  <c r="AF45" i="1" s="1"/>
  <c r="AG45" i="1" s="1"/>
  <c r="AE29" i="1"/>
  <c r="AF29" i="1" s="1"/>
  <c r="AG29" i="1" s="1"/>
  <c r="AE33" i="1"/>
  <c r="AF33" i="1" s="1"/>
  <c r="AG33" i="1" s="1"/>
  <c r="AE88" i="1"/>
  <c r="AF88" i="1" s="1"/>
  <c r="AG88" i="1" s="1"/>
  <c r="AE41" i="1"/>
  <c r="AF41" i="1" s="1"/>
  <c r="AG41" i="1" s="1"/>
  <c r="AE85" i="1"/>
  <c r="AF85" i="1" s="1"/>
  <c r="AG85" i="1" s="1"/>
  <c r="AE105" i="1"/>
  <c r="AF105" i="1" s="1"/>
  <c r="AG105" i="1" s="1"/>
  <c r="AE76" i="1"/>
  <c r="AF76" i="1" s="1"/>
  <c r="AG76" i="1" s="1"/>
  <c r="AE22" i="1"/>
  <c r="AF22" i="1" s="1"/>
  <c r="AG22" i="1" s="1"/>
  <c r="AE64" i="1"/>
  <c r="AF64" i="1" s="1"/>
  <c r="AG64" i="1" s="1"/>
  <c r="AE26" i="1"/>
  <c r="AF26" i="1" s="1"/>
  <c r="AG26" i="1" s="1"/>
  <c r="AE83" i="1"/>
  <c r="AF83" i="1" s="1"/>
  <c r="AG83" i="1" s="1"/>
  <c r="AE87" i="1"/>
  <c r="AF87" i="1" s="1"/>
  <c r="AG87" i="1" s="1"/>
  <c r="AE62" i="1"/>
  <c r="AF62" i="1" s="1"/>
  <c r="AG62" i="1" s="1"/>
  <c r="AE31" i="1"/>
  <c r="AF31" i="1" s="1"/>
  <c r="AG31" i="1" s="1"/>
  <c r="AE65" i="1"/>
  <c r="AF65" i="1" s="1"/>
  <c r="AG65" i="1" s="1"/>
  <c r="AE104" i="1"/>
  <c r="AF104" i="1" s="1"/>
  <c r="AG104" i="1" s="1"/>
  <c r="AE73" i="1"/>
  <c r="AF73" i="1" s="1"/>
  <c r="AG73" i="1" s="1"/>
  <c r="AE25" i="1"/>
  <c r="AF25" i="1" s="1"/>
  <c r="AG25" i="1" s="1"/>
  <c r="AE34" i="1"/>
  <c r="AF34" i="1" s="1"/>
  <c r="AG34" i="1" s="1"/>
  <c r="AE21" i="1"/>
  <c r="AF21" i="1" s="1"/>
  <c r="AG21" i="1" s="1"/>
  <c r="AE53" i="1"/>
  <c r="AF53" i="1" s="1"/>
  <c r="AG53" i="1" s="1"/>
  <c r="AE81" i="1"/>
  <c r="AF81" i="1" s="1"/>
  <c r="AG81" i="1" s="1"/>
  <c r="AE99" i="1"/>
  <c r="AF99" i="1" s="1"/>
  <c r="AG99" i="1" s="1"/>
  <c r="AE6" i="1"/>
  <c r="AF6" i="1" s="1"/>
  <c r="AG6" i="1" s="1"/>
  <c r="AE20" i="1"/>
  <c r="AF20" i="1" s="1"/>
  <c r="AG20" i="1" s="1"/>
  <c r="AE17" i="1"/>
  <c r="AF17" i="1" s="1"/>
  <c r="AG17" i="1" s="1"/>
  <c r="AE56" i="1"/>
  <c r="AF56" i="1" s="1"/>
  <c r="AG56" i="1" s="1"/>
  <c r="AE9" i="1"/>
  <c r="AF9" i="1" s="1"/>
  <c r="AG9" i="1" s="1"/>
  <c r="AE10" i="1"/>
  <c r="AF10" i="1" s="1"/>
  <c r="AG10" i="1" s="1"/>
  <c r="AE67" i="1"/>
  <c r="AF67" i="1" s="1"/>
  <c r="AG67" i="1" s="1"/>
  <c r="AE71" i="1"/>
  <c r="AF71" i="1" s="1"/>
  <c r="AG71" i="1" s="1"/>
  <c r="AE72" i="1"/>
  <c r="AF72" i="1" s="1"/>
  <c r="AG72" i="1" s="1"/>
  <c r="AE55" i="1"/>
  <c r="AF55" i="1" s="1"/>
  <c r="AG55" i="1" s="1"/>
  <c r="AE92" i="1"/>
  <c r="AF92" i="1" s="1"/>
  <c r="AG92" i="1" s="1"/>
  <c r="AE48" i="1"/>
  <c r="AF48" i="1" s="1"/>
  <c r="AG48" i="1" s="1"/>
  <c r="AE66" i="1"/>
  <c r="AF66" i="1" s="1"/>
  <c r="AG66" i="1" s="1"/>
  <c r="AE84" i="1"/>
  <c r="AF84" i="1" s="1"/>
  <c r="AG84" i="1" s="1"/>
  <c r="AE32" i="1"/>
  <c r="AF32" i="1" s="1"/>
  <c r="AG32" i="1" s="1"/>
  <c r="AE40" i="1"/>
  <c r="AF40" i="1" s="1"/>
  <c r="AG40" i="1" s="1"/>
  <c r="AE24" i="1"/>
  <c r="AF24" i="1" s="1"/>
  <c r="AG24" i="1" s="1"/>
  <c r="AG107" i="1" l="1"/>
  <c r="B16" i="1" s="1"/>
  <c r="AL107" i="1"/>
  <c r="B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<sst xmlns="http://schemas.openxmlformats.org/spreadsheetml/2006/main" count="52" uniqueCount="45">
  <si>
    <t>EXE_DIREC</t>
  </si>
  <si>
    <t>ST</t>
    <phoneticPr fontId="1"/>
  </si>
  <si>
    <t>ニーモニック</t>
    <phoneticPr fontId="1"/>
  </si>
  <si>
    <t>stM.udiErrNo</t>
  </si>
  <si>
    <t>エラーデバイス</t>
    <phoneticPr fontId="1"/>
  </si>
  <si>
    <t>x2</t>
    <phoneticPr fontId="1"/>
  </si>
  <si>
    <t>サブデバイス</t>
    <phoneticPr fontId="1"/>
  </si>
  <si>
    <t>エラーNo.</t>
    <phoneticPr fontId="1"/>
  </si>
  <si>
    <t>有効</t>
    <rPh sb="0" eb="2">
      <t>ユウコウ</t>
    </rPh>
    <phoneticPr fontId="1"/>
  </si>
  <si>
    <t>緒言</t>
    <rPh sb="0" eb="2">
      <t>ショゲン</t>
    </rPh>
    <phoneticPr fontId="1"/>
  </si>
  <si>
    <t>ファイル</t>
  </si>
  <si>
    <t>先頭注記</t>
  </si>
  <si>
    <t>末尾注記</t>
  </si>
  <si>
    <t>-----ここまで生成script-----</t>
  </si>
  <si>
    <t>stEx100</t>
  </si>
  <si>
    <t>◆平板押え 上昇有無</t>
  </si>
  <si>
    <t>stEx101</t>
  </si>
  <si>
    <t>stEx107</t>
  </si>
  <si>
    <t>stEx102</t>
  </si>
  <si>
    <t>▼平板押え</t>
  </si>
  <si>
    <t>stEx103</t>
  </si>
  <si>
    <t>stEx104</t>
  </si>
  <si>
    <t>stEx105</t>
  </si>
  <si>
    <t>stEx106</t>
  </si>
  <si>
    <t>▽押出し +刃+ﾌﾟﾚｰﾄ</t>
  </si>
  <si>
    <t>AX</t>
    <phoneticPr fontId="1"/>
  </si>
  <si>
    <t>変数表貼り付け領域</t>
    <rPh sb="0" eb="2">
      <t>ヘンスウ</t>
    </rPh>
    <rPh sb="2" eb="3">
      <t>ヒョウ</t>
    </rPh>
    <rPh sb="3" eb="4">
      <t>ハ</t>
    </rPh>
    <rPh sb="5" eb="6">
      <t>ツ</t>
    </rPh>
    <rPh sb="7" eb="9">
      <t>リョウイキ</t>
    </rPh>
    <phoneticPr fontId="1"/>
  </si>
  <si>
    <t>&gt;●CYL07 平板押え 上昇</t>
  </si>
  <si>
    <t>&gt;●CYL19 Xﾛｰﾙ押え 原点</t>
  </si>
  <si>
    <t>△●CYL11 平板ｶｯﾄ押出し 退避</t>
  </si>
  <si>
    <t>△●CYL12 平板ｶｯﾄ刃 ひらき</t>
  </si>
  <si>
    <t>△●CYL04 平板ﾌﾟﾚｰﾄ 後退</t>
  </si>
  <si>
    <t>CYL</t>
  </si>
  <si>
    <t>astCYL</t>
  </si>
  <si>
    <t>astAXR</t>
  </si>
  <si>
    <t>astAXK</t>
  </si>
  <si>
    <t>astAXO</t>
  </si>
  <si>
    <t>stDevIn</t>
  </si>
  <si>
    <t>astEC</t>
  </si>
  <si>
    <t>有無</t>
    <rPh sb="0" eb="2">
      <t>ウム</t>
    </rPh>
    <phoneticPr fontId="1"/>
  </si>
  <si>
    <t>モジュールエラー</t>
    <phoneticPr fontId="1"/>
  </si>
  <si>
    <t>stM.udiErr</t>
    <phoneticPr fontId="1"/>
  </si>
  <si>
    <t>EC</t>
    <phoneticPr fontId="1"/>
  </si>
  <si>
    <t>ST(kvx)</t>
    <phoneticPr fontId="1"/>
  </si>
  <si>
    <t>ニーモニック(kvx)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</si>
</sst>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Continuous" vertical="center"/>
    </xf>
  </cellXfs>
  <cellStyles count="1">
    <cellStyle name="標準" xfId="0" builtinId="0"/>
  </cellStyles>
  <dxfs count="1">
    <dxf>
      <fill>
        <patternFill patternType="lightUp">
          <fgColor rgb="FF33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FD0F4-3707-4FCC-9D10-2DD76A7D546A}">
  <sheetPr codeName="Sheet1"/>
  <dimension ref="A1:AL107"/>
  <sheetViews>
    <sheetView tabSelected="1" workbookViewId="0">
      <pane xSplit="5" ySplit="5" topLeftCell="F6" activePane="bottomRight" state="frozen"/>
      <selection pane="topRight" activeCell="F1" sqref="F1"/>
      <selection pane="bottomLeft" activeCell="A4" sqref="A4"/>
      <selection pane="bottomRight" activeCell="C16" sqref="C16"/>
    </sheetView>
  </sheetViews>
  <sheetFormatPr defaultRowHeight="18" x14ac:dyDescent="0.55000000000000004"/>
  <cols>
    <col min="11" max="11" width="21.08203125" bestFit="1" customWidth="1"/>
    <col min="25" max="25" width="14.75" bestFit="1" customWidth="1"/>
    <col min="26" max="26" width="23.4140625" bestFit="1" customWidth="1"/>
    <col min="27" max="27" width="24" bestFit="1" customWidth="1"/>
    <col min="28" max="28" width="24" customWidth="1"/>
    <col min="36" max="37" width="24" customWidth="1"/>
  </cols>
  <sheetData>
    <row r="1" spans="1:38" x14ac:dyDescent="0.55000000000000004">
      <c r="M1" t="s">
        <v>37</v>
      </c>
    </row>
    <row r="2" spans="1:38" x14ac:dyDescent="0.55000000000000004">
      <c r="P2">
        <v>5</v>
      </c>
      <c r="Q2">
        <v>13</v>
      </c>
      <c r="R2">
        <v>2</v>
      </c>
      <c r="S2">
        <v>1</v>
      </c>
      <c r="T2">
        <v>1</v>
      </c>
    </row>
    <row r="3" spans="1:38" x14ac:dyDescent="0.55000000000000004">
      <c r="P3">
        <v>9</v>
      </c>
      <c r="Q3">
        <v>14</v>
      </c>
      <c r="R3">
        <v>4</v>
      </c>
      <c r="S3">
        <v>20</v>
      </c>
      <c r="T3">
        <v>1</v>
      </c>
      <c r="X3">
        <v>100</v>
      </c>
    </row>
    <row r="4" spans="1:38" x14ac:dyDescent="0.55000000000000004">
      <c r="P4" t="s">
        <v>34</v>
      </c>
      <c r="Q4" t="s">
        <v>35</v>
      </c>
      <c r="R4" t="s">
        <v>36</v>
      </c>
      <c r="S4" t="s">
        <v>33</v>
      </c>
      <c r="T4" t="s">
        <v>38</v>
      </c>
      <c r="X4">
        <v>2000</v>
      </c>
    </row>
    <row r="5" spans="1:38" x14ac:dyDescent="0.55000000000000004">
      <c r="A5" t="s">
        <v>9</v>
      </c>
      <c r="E5" s="1" t="s">
        <v>26</v>
      </c>
      <c r="F5" s="1"/>
      <c r="G5" s="1"/>
      <c r="H5" s="1"/>
      <c r="I5" s="1"/>
      <c r="J5" s="1"/>
      <c r="K5" s="1"/>
      <c r="M5" t="s">
        <v>25</v>
      </c>
      <c r="N5" t="s">
        <v>32</v>
      </c>
      <c r="O5" t="s">
        <v>42</v>
      </c>
      <c r="P5" t="str">
        <f t="shared" ref="P5:R5" si="0">$M$1&amp;"."&amp;P4</f>
        <v>stDevIn.astAXR</v>
      </c>
      <c r="Q5" t="str">
        <f t="shared" si="0"/>
        <v>stDevIn.astAXK</v>
      </c>
      <c r="R5" t="str">
        <f t="shared" si="0"/>
        <v>stDevIn.astAXO</v>
      </c>
      <c r="S5" t="str">
        <f>$M$1&amp;"."&amp;S4</f>
        <v>stDevIn.astCYL</v>
      </c>
      <c r="U5" t="s">
        <v>39</v>
      </c>
      <c r="W5" t="s">
        <v>8</v>
      </c>
      <c r="X5" t="s">
        <v>7</v>
      </c>
      <c r="AC5" t="s">
        <v>2</v>
      </c>
      <c r="AL5" t="s">
        <v>1</v>
      </c>
    </row>
    <row r="6" spans="1:38" x14ac:dyDescent="0.55000000000000004">
      <c r="A6" t="s">
        <v>10</v>
      </c>
      <c r="B6" t="str" cm="1">
        <f t="array" aca="1" ref="B6" ca="1">CELL("filename")</f>
        <v>C:\tk\prj\hg-0025-0016\git\kv-x520\doc\[設定値と周長誤差.xlsx]Sheet1</v>
      </c>
      <c r="D6">
        <v>0</v>
      </c>
      <c r="E6" t="s">
        <v>14</v>
      </c>
      <c r="F6" t="s">
        <v>0</v>
      </c>
      <c r="H6" t="b">
        <v>0</v>
      </c>
      <c r="I6" t="b">
        <v>0</v>
      </c>
      <c r="J6" t="b">
        <v>0</v>
      </c>
      <c r="K6" t="s">
        <v>15</v>
      </c>
      <c r="M6" t="str">
        <f>IF(COUNTIF($K6,"*"&amp;M$5&amp;"*"),INT(MID($K6,FIND(M$5,$K6)+LEN(M$5),2)),"")</f>
        <v/>
      </c>
      <c r="N6" t="str">
        <f>IF(COUNTIF($K6,"*"&amp;N$5&amp;"*"),INT(MID($K6,FIND(N$5,$K6)+LEN(N$5),2)),"")</f>
        <v/>
      </c>
      <c r="O6" t="str">
        <f>IF(COUNTIF($K6,"*"&amp;O$5&amp;"*"),INT(MID($K6,FIND(O$5,$K6)+LEN(O$5),2)),"")</f>
        <v/>
      </c>
      <c r="P6" t="str">
        <f>IF(AND(LEN($M6),P$2&lt;=$M6,$M6&lt;=P$3),P$5&amp;"["&amp;$M6-P$2&amp;"]","")</f>
        <v/>
      </c>
      <c r="Q6" t="str">
        <f t="shared" ref="Q6:R21" si="1">IF(AND(LEN($M6),Q$2&lt;=$M6,$M6&lt;=Q$3),Q$5&amp;"["&amp;$M6-Q$2&amp;"]","")</f>
        <v/>
      </c>
      <c r="R6" t="str">
        <f t="shared" si="1"/>
        <v/>
      </c>
      <c r="S6" t="str">
        <f>IF(AND(LEN($N6),S$2&lt;=$N6,$N6&lt;=S$3),S$5&amp;"["&amp;$N6-S$2&amp;"]","")</f>
        <v/>
      </c>
      <c r="T6" t="str">
        <f>IF(AND(LEN($O6),T$2&lt;=$O6,$O6&lt;=T$3),T$5&amp;"["&amp;$O6-T$2&amp;"]","")</f>
        <v/>
      </c>
      <c r="U6" t="str">
        <f>IF(LEN(_xlfn.CONCAT(P6:T6)),_xlfn.CONCAT(P6:T6),"")</f>
        <v/>
      </c>
      <c r="W6" t="str">
        <f>IF(LEN(K6),IF(OR(COUNTIF(K6,"*◆*"),COUNTIF(K6,"*▼*")),"","●"),"")</f>
        <v/>
      </c>
      <c r="X6" t="str">
        <f>IF(W6="●",X$4+MOD(INT(MID(E6,5,3)),X$3),"")</f>
        <v/>
      </c>
      <c r="Y6" t="str">
        <f>IF($W6="●","LDP "&amp;E6&amp;"."&amp;$B$12,"")</f>
        <v/>
      </c>
      <c r="Z6" t="str">
        <f>IF($W6="●","AND=.D "&amp;$B$13&amp;" #0","")</f>
        <v/>
      </c>
      <c r="AA6" t="str">
        <f>IF($W6="●","MOV.D #"&amp;X6&amp;" "&amp;$B$13,"")</f>
        <v/>
      </c>
      <c r="AB6" t="str">
        <f>IF(LEN(U6),"MOV.D "&amp;$U6&amp;" "&amp;$B$14,"")</f>
        <v/>
      </c>
      <c r="AC6" t="str">
        <f>IF(AND(D6&lt;&gt;0,W6="●"),CHAR(10),"")&amp;IF(LEN(Y6),Y6,"")</f>
        <v/>
      </c>
      <c r="AD6" t="str">
        <f t="shared" ref="AD6:AD37" si="2">IF(LEN(AC6),AC6&amp;CHAR(10),"")&amp;IF(LEN(Z6),Z6,"")</f>
        <v/>
      </c>
      <c r="AE6" t="str">
        <f t="shared" ref="AE6:AE37" si="3">IF(LEN(AD6),AD6&amp;CHAR(10),"")&amp;IF(LEN(AA6),AA6,"")</f>
        <v/>
      </c>
      <c r="AF6" t="str">
        <f>IF(LEN(AE6),AE6&amp;CHAR(10),"")&amp;IF(LEN(AB6),AB6,"")</f>
        <v/>
      </c>
      <c r="AG6" t="str">
        <f>AF6</f>
        <v/>
      </c>
      <c r="AI6" t="str">
        <f>IF($W6="●",AD6&amp;CHAR(10)&amp;"BOX_ST"&amp;CHAR(10)&amp;";//"&amp;$B$8,"")</f>
        <v/>
      </c>
      <c r="AJ6" t="str">
        <f>IF($W6="●",IF(LEN(AI6),AI6&amp;CHAR(10),"")&amp;";//エラーNo.を入れる"&amp;CHAR(10)&amp;";"&amp;$B$13&amp;"	:= "&amp;X6&amp;";","")</f>
        <v/>
      </c>
      <c r="AK6" t="str">
        <f>IF($W6="●",IF(LEN(AJ6),AJ6&amp;CHAR(10),"")&amp;IF(LEN(U6),";//エラーコードを入れる"&amp;CHAR(10)&amp;";"&amp;$B$14&amp;"	:= "&amp;U6&amp;".udiErr;",""),"")</f>
        <v/>
      </c>
      <c r="AL6" t="str">
        <f>IF($W6="●",IF(LEN(AK6),AK6&amp;CHAR(10),"")&amp;";//"&amp;$B$9,"")</f>
        <v/>
      </c>
    </row>
    <row r="7" spans="1:38" x14ac:dyDescent="0.55000000000000004">
      <c r="D7">
        <v>1</v>
      </c>
      <c r="E7" t="s">
        <v>16</v>
      </c>
      <c r="F7" t="s">
        <v>0</v>
      </c>
      <c r="H7" t="b">
        <v>0</v>
      </c>
      <c r="I7" t="b">
        <v>0</v>
      </c>
      <c r="J7" t="b">
        <v>0</v>
      </c>
      <c r="K7" t="s">
        <v>27</v>
      </c>
      <c r="M7" t="str">
        <f t="shared" ref="M7:O70" si="4">IF(COUNTIF($K7,"*"&amp;M$5&amp;"*"),INT(MID($K7,FIND(M$5,$K7)+LEN(M$5),2)),"")</f>
        <v/>
      </c>
      <c r="N7">
        <f t="shared" si="4"/>
        <v>7</v>
      </c>
      <c r="O7" t="str">
        <f t="shared" si="4"/>
        <v/>
      </c>
      <c r="P7" t="str">
        <f t="shared" ref="P7:R38" si="5">IF(AND(LEN($M7),P$2&lt;=$M7,$M7&lt;=P$3),P$5&amp;"["&amp;$M7-P$2&amp;"]","")</f>
        <v/>
      </c>
      <c r="Q7" t="str">
        <f t="shared" si="1"/>
        <v/>
      </c>
      <c r="R7" t="str">
        <f t="shared" si="1"/>
        <v/>
      </c>
      <c r="S7" t="str">
        <f t="shared" ref="S7:S70" si="6">IF(AND(LEN($N7),S$2&lt;=$N7,$N7&lt;=S$3),S$5&amp;"["&amp;$N7-S$2&amp;"]","")</f>
        <v>stDevIn.astCYL[6]</v>
      </c>
      <c r="T7" t="str">
        <f t="shared" ref="T7:T70" si="7">IF(AND(LEN($O7),T$2&lt;=$O7,$O7&lt;=T$3),T$5&amp;"["&amp;$O7-T$2&amp;"]","")</f>
        <v/>
      </c>
      <c r="U7" t="str">
        <f t="shared" ref="U7:U70" si="8">IF(LEN(_xlfn.CONCAT(P7:T7)),_xlfn.CONCAT(P7:T7),"")</f>
        <v>stDevIn.astCYL[6]</v>
      </c>
      <c r="W7" t="str">
        <f>IF(LEN(K7),IF(OR(COUNTIF(K7,"*◆*"),COUNTIF(K7,"*▼*")),"","●"),"")</f>
        <v>●</v>
      </c>
      <c r="X7">
        <f t="shared" ref="X7:X70" si="9">IF(W7="●",X$4+MOD(INT(MID(E7,5,3)),X$3),"")</f>
        <v>2001</v>
      </c>
      <c r="Y7" t="str">
        <f>IF($W7="●","LDP "&amp;E7&amp;"."&amp;$B$12,"")</f>
        <v>LDP stEx101.x2</v>
      </c>
      <c r="Z7" t="str">
        <f>IF($W7="●","AND=.D "&amp;$B$13&amp;" #0","")</f>
        <v>AND=.D stM.udiErrNo #0</v>
      </c>
      <c r="AA7" t="str">
        <f>IF($W7="●","MOV.D #"&amp;X7&amp;" "&amp;$B$13,"")</f>
        <v>MOV.D #2001 stM.udiErrNo</v>
      </c>
      <c r="AB7" t="str">
        <f>IF(LEN(U7),"MOV.D "&amp;$U7&amp;" "&amp;$B$14,"")</f>
        <v>MOV.D stDevIn.astCYL[6] stM.udiErr</v>
      </c>
      <c r="AC7" t="str">
        <f>IF(AND(D7&lt;&gt;0,W7="●"),CHAR(10),"")&amp;IF(LEN(Y7),Y7,"")</f>
        <v xml:space="preserve">
LDP stEx101.x2</v>
      </c>
      <c r="AD7" t="str">
        <f t="shared" si="2"/>
        <v xml:space="preserve">
LDP stEx101.x2
AND=.D stM.udiErrNo #0</v>
      </c>
      <c r="AE7" t="str">
        <f t="shared" si="3"/>
        <v xml:space="preserve">
LDP stEx101.x2
AND=.D stM.udiErrNo #0
MOV.D #2001 stM.udiErrNo</v>
      </c>
      <c r="AF7" t="str">
        <f t="shared" ref="AF7:AF70" si="10">IF(LEN(AE7),AE7&amp;CHAR(10),"")&amp;IF(LEN(AB7),AB7,"")</f>
        <v xml:space="preserve">
LDP stEx101.x2
AND=.D stM.udiErrNo #0
MOV.D #2001 stM.udiErrNo
MOV.D stDevIn.astCYL[6] stM.udiErr</v>
      </c>
      <c r="AG7" t="str">
        <f t="shared" ref="AG7:AG70" si="11">AF7</f>
        <v xml:space="preserve">
LDP stEx101.x2
AND=.D stM.udiErrNo #0
MOV.D #2001 stM.udiErrNo
MOV.D stDevIn.astCYL[6] stM.udiErr</v>
      </c>
      <c r="AI7" t="str">
        <f ca="1">IF($W7="●",AD7&amp;CHAR(10)&amp;"BOX_ST"&amp;CHAR(10)&amp;";//"&amp;$B$8,"")</f>
        <v xml:space="preserve">
LDP stEx101.x2
AND=.D stM.udiErrNo #0
BOX_ST
;//このスクリプトは C:\tk\prj\hg-0025-0016\git\kv-x520\doc\[設定値と周長誤差.xlsx]Sheet1 によって生成されました。</v>
      </c>
      <c r="AJ7" t="str">
        <f ca="1">IF($W7="●",IF(LEN(AI7),AI7&amp;CHAR(10),"")&amp;";//エラーNo.を入れる"&amp;CHAR(10)&amp;";"&amp;$B$13&amp;"	:= "&amp;X7&amp;";","")</f>
        <v xml:space="preserve">
LDP stEx101.x2
AND=.D stM.udiErrNo #0
BOX_ST
;//このスクリプトは C:\tk\prj\hg-0025-0016\git\kv-x520\doc\[設定値と周長誤差.xlsx]Sheet1 によって生成されました。
;//エラーNo.を入れる
;stM.udiErrNo	:= 2001;</v>
      </c>
      <c r="AK7" t="str">
        <f ca="1">IF($W7="●",IF(LEN(AJ7),AJ7&amp;CHAR(10),"")&amp;IF(LEN(U7),";//エラーコードを入れる"&amp;CHAR(10)&amp;";"&amp;$B$14&amp;"	:= "&amp;U7&amp;".udiErr;",""),"")</f>
        <v xml:space="preserve">
LDP stEx101.x2
AND=.D stM.udiErrNo #0
BOX_ST
;//このスクリプトは C:\tk\prj\hg-0025-0016\git\kv-x520\doc\[設定値と周長誤差.xlsx]Sheet1 によって生成されました。
;//エラーNo.を入れる
;stM.udiErrNo	:= 2001;
;//エラーコードを入れる
;stM.udiErr	:= stDevIn.astCYL[6].udiErr;</v>
      </c>
      <c r="AL7" t="str">
        <f ca="1">IF($W7="●",IF(LEN(AK7),AK7&amp;CHAR(10),"")&amp;";//"&amp;$B$9,"")</f>
        <v xml:space="preserve">
LDP stEx101.x2
AND=.D stM.udiErrNo #0
BOX_ST
;//このスクリプトは C:\tk\prj\hg-0025-0016\git\kv-x520\doc\[設定値と周長誤差.xlsx]Sheet1 によって生成されました。
;//エラーNo.を入れる
;stM.udiErrNo	:= 2001;
;//エラーコードを入れる
;stM.udiErr	:= stDevIn.astCYL[6].udiErr;
;//-----ここまで生成script-----</v>
      </c>
    </row>
    <row r="8" spans="1:38" x14ac:dyDescent="0.55000000000000004">
      <c r="A8" t="s">
        <v>11</v>
      </c>
      <c r="B8" t="str">
        <f ca="1">"このスクリプトは "&amp;B6&amp;" によって生成されました。"</f>
        <v>このスクリプトは C:\tk\prj\hg-0025-0016\git\kv-x520\doc\[設定値と周長誤差.xlsx]Sheet1 によって生成されました。</v>
      </c>
      <c r="D8">
        <v>2</v>
      </c>
      <c r="E8" t="s">
        <v>17</v>
      </c>
      <c r="F8" t="s">
        <v>0</v>
      </c>
      <c r="H8" t="b">
        <v>0</v>
      </c>
      <c r="I8" t="b">
        <v>0</v>
      </c>
      <c r="J8" t="b">
        <v>0</v>
      </c>
      <c r="K8" t="s">
        <v>28</v>
      </c>
      <c r="M8" t="str">
        <f t="shared" si="4"/>
        <v/>
      </c>
      <c r="N8">
        <f t="shared" si="4"/>
        <v>19</v>
      </c>
      <c r="O8" t="str">
        <f t="shared" si="4"/>
        <v/>
      </c>
      <c r="P8" t="str">
        <f t="shared" si="5"/>
        <v/>
      </c>
      <c r="Q8" t="str">
        <f t="shared" si="1"/>
        <v/>
      </c>
      <c r="R8" t="str">
        <f t="shared" si="1"/>
        <v/>
      </c>
      <c r="S8" t="str">
        <f t="shared" si="6"/>
        <v>stDevIn.astCYL[18]</v>
      </c>
      <c r="T8" t="str">
        <f t="shared" si="7"/>
        <v/>
      </c>
      <c r="U8" t="str">
        <f t="shared" si="8"/>
        <v>stDevIn.astCYL[18]</v>
      </c>
      <c r="W8" t="str">
        <f>IF(LEN(K8),IF(OR(COUNTIF(K8,"*◆*"),COUNTIF(K8,"*▼*")),"","●"),"")</f>
        <v>●</v>
      </c>
      <c r="X8">
        <f t="shared" si="9"/>
        <v>2007</v>
      </c>
      <c r="Y8" t="str">
        <f>IF($W8="●","LDP "&amp;E8&amp;"."&amp;$B$12,"")</f>
        <v>LDP stEx107.x2</v>
      </c>
      <c r="Z8" t="str">
        <f>IF($W8="●","AND=.D "&amp;$B$13&amp;" #0","")</f>
        <v>AND=.D stM.udiErrNo #0</v>
      </c>
      <c r="AA8" t="str">
        <f>IF($W8="●","MOV.D #"&amp;X8&amp;" "&amp;$B$13,"")</f>
        <v>MOV.D #2007 stM.udiErrNo</v>
      </c>
      <c r="AB8" t="str">
        <f>IF(LEN(U8),"MOV.D "&amp;$U8&amp;" "&amp;$B$14,"")</f>
        <v>MOV.D stDevIn.astCYL[18] stM.udiErr</v>
      </c>
      <c r="AC8" t="str">
        <f>IF(AND(D8&lt;&gt;0,W8="●"),CHAR(10),"")&amp;IF(LEN(Y8),Y8,"")</f>
        <v xml:space="preserve">
LDP stEx107.x2</v>
      </c>
      <c r="AD8" t="str">
        <f t="shared" si="2"/>
        <v xml:space="preserve">
LDP stEx107.x2
AND=.D stM.udiErrNo #0</v>
      </c>
      <c r="AE8" t="str">
        <f t="shared" si="3"/>
        <v xml:space="preserve">
LDP stEx107.x2
AND=.D stM.udiErrNo #0
MOV.D #2007 stM.udiErrNo</v>
      </c>
      <c r="AF8" t="str">
        <f t="shared" si="10"/>
        <v xml:space="preserve">
LDP stEx107.x2
AND=.D stM.udiErrNo #0
MOV.D #2007 stM.udiErrNo
MOV.D stDevIn.astCYL[18] stM.udiErr</v>
      </c>
      <c r="AG8" t="str">
        <f t="shared" si="11"/>
        <v xml:space="preserve">
LDP stEx107.x2
AND=.D stM.udiErrNo #0
MOV.D #2007 stM.udiErrNo
MOV.D stDevIn.astCYL[18] stM.udiErr</v>
      </c>
      <c r="AI8" t="str">
        <f ca="1">IF($W8="●",AD8&amp;CHAR(10)&amp;"BOX_ST"&amp;CHAR(10)&amp;";//"&amp;$B$8,"")</f>
        <v xml:space="preserve">
LDP stEx107.x2
AND=.D stM.udiErrNo #0
BOX_ST
;//このスクリプトは C:\tk\prj\hg-0025-0016\git\kv-x520\doc\[設定値と周長誤差.xlsx]Sheet1 によって生成されました。</v>
      </c>
      <c r="AJ8" t="str">
        <f ca="1">IF($W8="●",IF(LEN(AI8),AI8&amp;CHAR(10),"")&amp;";//エラーNo.を入れる"&amp;CHAR(10)&amp;";"&amp;$B$13&amp;"	:= "&amp;X8&amp;";","")</f>
        <v xml:space="preserve">
LDP stEx107.x2
AND=.D stM.udiErrNo #0
BOX_ST
;//このスクリプトは C:\tk\prj\hg-0025-0016\git\kv-x520\doc\[設定値と周長誤差.xlsx]Sheet1 によって生成されました。
;//エラーNo.を入れる
;stM.udiErrNo	:= 2007;</v>
      </c>
      <c r="AK8" t="str">
        <f ca="1">IF($W8="●",IF(LEN(AJ8),AJ8&amp;CHAR(10),"")&amp;IF(LEN(U8),";//エラーコードを入れる"&amp;CHAR(10)&amp;";"&amp;$B$14&amp;"	:= "&amp;U8&amp;".udiErr;",""),"")</f>
        <v xml:space="preserve">
LDP stEx107.x2
AND=.D stM.udiErrNo #0
BOX_ST
;//このスクリプトは C:\tk\prj\hg-0025-0016\git\kv-x520\doc\[設定値と周長誤差.xlsx]Sheet1 によって生成されました。
;//エラーNo.を入れる
;stM.udiErrNo	:= 2007;
;//エラーコードを入れる
;stM.udiErr	:= stDevIn.astCYL[18].udiErr;</v>
      </c>
      <c r="AL8" t="str">
        <f ca="1">IF($W8="●",IF(LEN(AK8),AK8&amp;CHAR(10),"")&amp;";//"&amp;$B$9,"")</f>
        <v xml:space="preserve">
LDP stEx107.x2
AND=.D stM.udiErrNo #0
BOX_ST
;//このスクリプトは C:\tk\prj\hg-0025-0016\git\kv-x520\doc\[設定値と周長誤差.xlsx]Sheet1 によって生成されました。
;//エラーNo.を入れる
;stM.udiErrNo	:= 2007;
;//エラーコードを入れる
;stM.udiErr	:= stDevIn.astCYL[18].udiErr;
;//-----ここまで生成script-----</v>
      </c>
    </row>
    <row r="9" spans="1:38" x14ac:dyDescent="0.55000000000000004">
      <c r="A9" t="s">
        <v>12</v>
      </c>
      <c r="B9" t="s">
        <v>13</v>
      </c>
      <c r="D9">
        <v>3</v>
      </c>
      <c r="E9" t="s">
        <v>18</v>
      </c>
      <c r="F9" t="s">
        <v>0</v>
      </c>
      <c r="H9" t="b">
        <v>0</v>
      </c>
      <c r="I9" t="b">
        <v>0</v>
      </c>
      <c r="J9" t="b">
        <v>0</v>
      </c>
      <c r="K9" t="s">
        <v>19</v>
      </c>
      <c r="M9" t="str">
        <f t="shared" si="4"/>
        <v/>
      </c>
      <c r="N9" t="str">
        <f t="shared" si="4"/>
        <v/>
      </c>
      <c r="O9" t="str">
        <f t="shared" si="4"/>
        <v/>
      </c>
      <c r="P9" t="str">
        <f t="shared" si="5"/>
        <v/>
      </c>
      <c r="Q9" t="str">
        <f t="shared" si="1"/>
        <v/>
      </c>
      <c r="R9" t="str">
        <f t="shared" si="1"/>
        <v/>
      </c>
      <c r="S9" t="str">
        <f t="shared" si="6"/>
        <v/>
      </c>
      <c r="T9" t="str">
        <f t="shared" si="7"/>
        <v/>
      </c>
      <c r="U9" t="str">
        <f t="shared" si="8"/>
        <v/>
      </c>
      <c r="W9" t="str">
        <f>IF(LEN(K9),IF(OR(COUNTIF(K9,"*◆*"),COUNTIF(K9,"*▼*")),"","●"),"")</f>
        <v/>
      </c>
      <c r="X9" t="str">
        <f t="shared" si="9"/>
        <v/>
      </c>
      <c r="Y9" t="str">
        <f>IF($W9="●","LDP "&amp;E9&amp;"."&amp;$B$12,"")</f>
        <v/>
      </c>
      <c r="Z9" t="str">
        <f>IF($W9="●","AND=.D "&amp;$B$13&amp;" #0","")</f>
        <v/>
      </c>
      <c r="AA9" t="str">
        <f>IF($W9="●","MOV.D #"&amp;X9&amp;" "&amp;$B$13,"")</f>
        <v/>
      </c>
      <c r="AB9" t="str">
        <f>IF(LEN(U9),"MOV.D "&amp;$U9&amp;" "&amp;$B$14,"")</f>
        <v/>
      </c>
      <c r="AC9" t="str">
        <f>IF(AND(D9&lt;&gt;0,W9="●"),CHAR(10),"")&amp;IF(LEN(Y9),Y9,"")</f>
        <v/>
      </c>
      <c r="AD9" t="str">
        <f t="shared" si="2"/>
        <v/>
      </c>
      <c r="AE9" t="str">
        <f t="shared" si="3"/>
        <v/>
      </c>
      <c r="AF9" t="str">
        <f t="shared" si="10"/>
        <v/>
      </c>
      <c r="AG9" t="str">
        <f t="shared" si="11"/>
        <v/>
      </c>
      <c r="AI9" t="str">
        <f>IF($W9="●",AD9&amp;CHAR(10)&amp;"BOX_ST"&amp;CHAR(10)&amp;";//"&amp;$B$8,"")</f>
        <v/>
      </c>
      <c r="AJ9" t="str">
        <f>IF($W9="●",IF(LEN(AI9),AI9&amp;CHAR(10),"")&amp;";//エラーNo.を入れる"&amp;CHAR(10)&amp;";"&amp;$B$13&amp;"	:= "&amp;X9&amp;";","")</f>
        <v/>
      </c>
      <c r="AK9" t="str">
        <f>IF($W9="●",IF(LEN(AJ9),AJ9&amp;CHAR(10),"")&amp;IF(LEN(U9),";//エラーコードを入れる"&amp;CHAR(10)&amp;";"&amp;$B$14&amp;"	:= "&amp;U9&amp;".udiErr;",""),"")</f>
        <v/>
      </c>
      <c r="AL9" t="str">
        <f>IF($W9="●",IF(LEN(AK9),AK9&amp;CHAR(10),"")&amp;";//"&amp;$B$9,"")</f>
        <v/>
      </c>
    </row>
    <row r="10" spans="1:38" x14ac:dyDescent="0.55000000000000004">
      <c r="D10">
        <v>4</v>
      </c>
      <c r="E10" t="s">
        <v>20</v>
      </c>
      <c r="F10" t="s">
        <v>0</v>
      </c>
      <c r="H10" t="b">
        <v>0</v>
      </c>
      <c r="I10" t="b">
        <v>0</v>
      </c>
      <c r="J10" t="b">
        <v>0</v>
      </c>
      <c r="K10" t="s">
        <v>29</v>
      </c>
      <c r="M10" t="str">
        <f t="shared" si="4"/>
        <v/>
      </c>
      <c r="N10">
        <f t="shared" si="4"/>
        <v>11</v>
      </c>
      <c r="O10" t="str">
        <f t="shared" si="4"/>
        <v/>
      </c>
      <c r="P10" t="str">
        <f t="shared" si="5"/>
        <v/>
      </c>
      <c r="Q10" t="str">
        <f t="shared" si="1"/>
        <v/>
      </c>
      <c r="R10" t="str">
        <f t="shared" si="1"/>
        <v/>
      </c>
      <c r="S10" t="str">
        <f t="shared" si="6"/>
        <v>stDevIn.astCYL[10]</v>
      </c>
      <c r="T10" t="str">
        <f t="shared" si="7"/>
        <v/>
      </c>
      <c r="U10" t="str">
        <f t="shared" si="8"/>
        <v>stDevIn.astCYL[10]</v>
      </c>
      <c r="W10" t="str">
        <f>IF(LEN(K10),IF(OR(COUNTIF(K10,"*◆*"),COUNTIF(K10,"*▼*")),"","●"),"")</f>
        <v>●</v>
      </c>
      <c r="X10">
        <f t="shared" si="9"/>
        <v>2003</v>
      </c>
      <c r="Y10" t="str">
        <f>IF($W10="●","LDP "&amp;E10&amp;"."&amp;$B$12,"")</f>
        <v>LDP stEx103.x2</v>
      </c>
      <c r="Z10" t="str">
        <f>IF($W10="●","AND=.D "&amp;$B$13&amp;" #0","")</f>
        <v>AND=.D stM.udiErrNo #0</v>
      </c>
      <c r="AA10" t="str">
        <f>IF($W10="●","MOV.D #"&amp;X10&amp;" "&amp;$B$13,"")</f>
        <v>MOV.D #2003 stM.udiErrNo</v>
      </c>
      <c r="AB10" t="str">
        <f>IF(LEN(U10),"MOV.D "&amp;$U10&amp;" "&amp;$B$14,"")</f>
        <v>MOV.D stDevIn.astCYL[10] stM.udiErr</v>
      </c>
      <c r="AC10" t="str">
        <f>IF(AND(D10&lt;&gt;0,W10="●"),CHAR(10),"")&amp;IF(LEN(Y10),Y10,"")</f>
        <v xml:space="preserve">
LDP stEx103.x2</v>
      </c>
      <c r="AD10" t="str">
        <f t="shared" si="2"/>
        <v xml:space="preserve">
LDP stEx103.x2
AND=.D stM.udiErrNo #0</v>
      </c>
      <c r="AE10" t="str">
        <f t="shared" si="3"/>
        <v xml:space="preserve">
LDP stEx103.x2
AND=.D stM.udiErrNo #0
MOV.D #2003 stM.udiErrNo</v>
      </c>
      <c r="AF10" t="str">
        <f t="shared" si="10"/>
        <v xml:space="preserve">
LDP stEx103.x2
AND=.D stM.udiErrNo #0
MOV.D #2003 stM.udiErrNo
MOV.D stDevIn.astCYL[10] stM.udiErr</v>
      </c>
      <c r="AG10" t="str">
        <f t="shared" si="11"/>
        <v xml:space="preserve">
LDP stEx103.x2
AND=.D stM.udiErrNo #0
MOV.D #2003 stM.udiErrNo
MOV.D stDevIn.astCYL[10] stM.udiErr</v>
      </c>
      <c r="AI10" t="str">
        <f ca="1">IF($W10="●",AD10&amp;CHAR(10)&amp;"BOX_ST"&amp;CHAR(10)&amp;";//"&amp;$B$8,"")</f>
        <v xml:space="preserve">
LDP stEx103.x2
AND=.D stM.udiErrNo #0
BOX_ST
;//このスクリプトは C:\tk\prj\hg-0025-0016\git\kv-x520\doc\[設定値と周長誤差.xlsx]Sheet1 によって生成されました。</v>
      </c>
      <c r="AJ10" t="str">
        <f ca="1">IF($W10="●",IF(LEN(AI10),AI10&amp;CHAR(10),"")&amp;";//エラーNo.を入れる"&amp;CHAR(10)&amp;";"&amp;$B$13&amp;"	:= "&amp;X10&amp;";","")</f>
        <v xml:space="preserve">
LDP stEx103.x2
AND=.D stM.udiErrNo #0
BOX_ST
;//このスクリプトは C:\tk\prj\hg-0025-0016\git\kv-x520\doc\[設定値と周長誤差.xlsx]Sheet1 によって生成されました。
;//エラーNo.を入れる
;stM.udiErrNo	:= 2003;</v>
      </c>
      <c r="AK10" t="str">
        <f ca="1">IF($W10="●",IF(LEN(AJ10),AJ10&amp;CHAR(10),"")&amp;IF(LEN(U10),";//エラーコードを入れる"&amp;CHAR(10)&amp;";"&amp;$B$14&amp;"	:= "&amp;U10&amp;".udiErr;",""),"")</f>
        <v xml:space="preserve">
LDP stEx103.x2
AND=.D stM.udiErrNo #0
BOX_ST
;//このスクリプトは C:\tk\prj\hg-0025-0016\git\kv-x520\doc\[設定値と周長誤差.xlsx]Sheet1 によって生成されました。
;//エラーNo.を入れる
;stM.udiErrNo	:= 2003;
;//エラーコードを入れる
;stM.udiErr	:= stDevIn.astCYL[10].udiErr;</v>
      </c>
      <c r="AL10" t="str">
        <f ca="1">IF($W10="●",IF(LEN(AK10),AK10&amp;CHAR(10),"")&amp;";//"&amp;$B$9,"")</f>
        <v xml:space="preserve">
LDP stEx103.x2
AND=.D stM.udiErrNo #0
BOX_ST
;//このスクリプトは C:\tk\prj\hg-0025-0016\git\kv-x520\doc\[設定値と周長誤差.xlsx]Sheet1 によって生成されました。
;//エラーNo.を入れる
;stM.udiErrNo	:= 2003;
;//エラーコードを入れる
;stM.udiErr	:= stDevIn.astCYL[10].udiErr;
;//-----ここまで生成script-----</v>
      </c>
    </row>
    <row r="11" spans="1:38" x14ac:dyDescent="0.55000000000000004">
      <c r="D11">
        <v>5</v>
      </c>
      <c r="E11" t="s">
        <v>21</v>
      </c>
      <c r="F11" t="s">
        <v>0</v>
      </c>
      <c r="H11" t="b">
        <v>0</v>
      </c>
      <c r="I11" t="b">
        <v>0</v>
      </c>
      <c r="J11" t="b">
        <v>0</v>
      </c>
      <c r="K11" t="s">
        <v>30</v>
      </c>
      <c r="M11" t="str">
        <f t="shared" si="4"/>
        <v/>
      </c>
      <c r="N11">
        <f t="shared" si="4"/>
        <v>12</v>
      </c>
      <c r="O11" t="str">
        <f t="shared" si="4"/>
        <v/>
      </c>
      <c r="P11" t="str">
        <f t="shared" si="5"/>
        <v/>
      </c>
      <c r="Q11" t="str">
        <f t="shared" si="1"/>
        <v/>
      </c>
      <c r="R11" t="str">
        <f t="shared" si="1"/>
        <v/>
      </c>
      <c r="S11" t="str">
        <f t="shared" si="6"/>
        <v>stDevIn.astCYL[11]</v>
      </c>
      <c r="T11" t="str">
        <f t="shared" si="7"/>
        <v/>
      </c>
      <c r="U11" t="str">
        <f t="shared" si="8"/>
        <v>stDevIn.astCYL[11]</v>
      </c>
      <c r="W11" t="str">
        <f>IF(LEN(K11),IF(OR(COUNTIF(K11,"*◆*"),COUNTIF(K11,"*▼*")),"","●"),"")</f>
        <v>●</v>
      </c>
      <c r="X11">
        <f t="shared" si="9"/>
        <v>2004</v>
      </c>
      <c r="Y11" t="str">
        <f>IF($W11="●","LDP "&amp;E11&amp;"."&amp;$B$12,"")</f>
        <v>LDP stEx104.x2</v>
      </c>
      <c r="Z11" t="str">
        <f>IF($W11="●","AND=.D "&amp;$B$13&amp;" #0","")</f>
        <v>AND=.D stM.udiErrNo #0</v>
      </c>
      <c r="AA11" t="str">
        <f>IF($W11="●","MOV.D #"&amp;X11&amp;" "&amp;$B$13,"")</f>
        <v>MOV.D #2004 stM.udiErrNo</v>
      </c>
      <c r="AB11" t="str">
        <f>IF(LEN(U11),"MOV.D "&amp;$U11&amp;" "&amp;$B$14,"")</f>
        <v>MOV.D stDevIn.astCYL[11] stM.udiErr</v>
      </c>
      <c r="AC11" t="str">
        <f>IF(AND(D11&lt;&gt;0,W11="●"),CHAR(10),"")&amp;IF(LEN(Y11),Y11,"")</f>
        <v xml:space="preserve">
LDP stEx104.x2</v>
      </c>
      <c r="AD11" t="str">
        <f t="shared" si="2"/>
        <v xml:space="preserve">
LDP stEx104.x2
AND=.D stM.udiErrNo #0</v>
      </c>
      <c r="AE11" t="str">
        <f t="shared" si="3"/>
        <v xml:space="preserve">
LDP stEx104.x2
AND=.D stM.udiErrNo #0
MOV.D #2004 stM.udiErrNo</v>
      </c>
      <c r="AF11" t="str">
        <f t="shared" si="10"/>
        <v xml:space="preserve">
LDP stEx104.x2
AND=.D stM.udiErrNo #0
MOV.D #2004 stM.udiErrNo
MOV.D stDevIn.astCYL[11] stM.udiErr</v>
      </c>
      <c r="AG11" t="str">
        <f t="shared" si="11"/>
        <v xml:space="preserve">
LDP stEx104.x2
AND=.D stM.udiErrNo #0
MOV.D #2004 stM.udiErrNo
MOV.D stDevIn.astCYL[11] stM.udiErr</v>
      </c>
      <c r="AI11" t="str">
        <f ca="1">IF($W11="●",AD11&amp;CHAR(10)&amp;"BOX_ST"&amp;CHAR(10)&amp;";//"&amp;$B$8,"")</f>
        <v xml:space="preserve">
LDP stEx104.x2
AND=.D stM.udiErrNo #0
BOX_ST
;//このスクリプトは C:\tk\prj\hg-0025-0016\git\kv-x520\doc\[設定値と周長誤差.xlsx]Sheet1 によって生成されました。</v>
      </c>
      <c r="AJ11" t="str">
        <f ca="1">IF($W11="●",IF(LEN(AI11),AI11&amp;CHAR(10),"")&amp;";//エラーNo.を入れる"&amp;CHAR(10)&amp;";"&amp;$B$13&amp;"	:= "&amp;X11&amp;";","")</f>
        <v xml:space="preserve">
LDP stEx104.x2
AND=.D stM.udiErrNo #0
BOX_ST
;//このスクリプトは C:\tk\prj\hg-0025-0016\git\kv-x520\doc\[設定値と周長誤差.xlsx]Sheet1 によって生成されました。
;//エラーNo.を入れる
;stM.udiErrNo	:= 2004;</v>
      </c>
      <c r="AK11" t="str">
        <f ca="1">IF($W11="●",IF(LEN(AJ11),AJ11&amp;CHAR(10),"")&amp;IF(LEN(U11),";//エラーコードを入れる"&amp;CHAR(10)&amp;";"&amp;$B$14&amp;"	:= "&amp;U11&amp;".udiErr;",""),"")</f>
        <v xml:space="preserve">
LDP stEx104.x2
AND=.D stM.udiErrNo #0
BOX_ST
;//このスクリプトは C:\tk\prj\hg-0025-0016\git\kv-x520\doc\[設定値と周長誤差.xlsx]Sheet1 によって生成されました。
;//エラーNo.を入れる
;stM.udiErrNo	:= 2004;
;//エラーコードを入れる
;stM.udiErr	:= stDevIn.astCYL[11].udiErr;</v>
      </c>
      <c r="AL11" t="str">
        <f ca="1">IF($W11="●",IF(LEN(AK11),AK11&amp;CHAR(10),"")&amp;";//"&amp;$B$9,"")</f>
        <v xml:space="preserve">
LDP stEx104.x2
AND=.D stM.udiErrNo #0
BOX_ST
;//このスクリプトは C:\tk\prj\hg-0025-0016\git\kv-x520\doc\[設定値と周長誤差.xlsx]Sheet1 によって生成されました。
;//エラーNo.を入れる
;stM.udiErrNo	:= 2004;
;//エラーコードを入れる
;stM.udiErr	:= stDevIn.astCYL[11].udiErr;
;//-----ここまで生成script-----</v>
      </c>
    </row>
    <row r="12" spans="1:38" x14ac:dyDescent="0.55000000000000004">
      <c r="A12" t="s">
        <v>6</v>
      </c>
      <c r="B12" t="s">
        <v>5</v>
      </c>
      <c r="D12">
        <v>6</v>
      </c>
      <c r="E12" t="s">
        <v>22</v>
      </c>
      <c r="F12" t="s">
        <v>0</v>
      </c>
      <c r="H12" t="b">
        <v>0</v>
      </c>
      <c r="I12" t="b">
        <v>0</v>
      </c>
      <c r="J12" t="b">
        <v>0</v>
      </c>
      <c r="K12" t="s">
        <v>31</v>
      </c>
      <c r="M12" t="str">
        <f t="shared" si="4"/>
        <v/>
      </c>
      <c r="N12">
        <f t="shared" si="4"/>
        <v>4</v>
      </c>
      <c r="O12" t="str">
        <f t="shared" si="4"/>
        <v/>
      </c>
      <c r="P12" t="str">
        <f t="shared" si="5"/>
        <v/>
      </c>
      <c r="Q12" t="str">
        <f t="shared" si="1"/>
        <v/>
      </c>
      <c r="R12" t="str">
        <f t="shared" si="1"/>
        <v/>
      </c>
      <c r="S12" t="str">
        <f t="shared" si="6"/>
        <v>stDevIn.astCYL[3]</v>
      </c>
      <c r="T12" t="str">
        <f t="shared" si="7"/>
        <v/>
      </c>
      <c r="U12" t="str">
        <f t="shared" si="8"/>
        <v>stDevIn.astCYL[3]</v>
      </c>
      <c r="W12" t="str">
        <f>IF(LEN(K12),IF(OR(COUNTIF(K12,"*◆*"),COUNTIF(K12,"*▼*")),"","●"),"")</f>
        <v>●</v>
      </c>
      <c r="X12">
        <f t="shared" si="9"/>
        <v>2005</v>
      </c>
      <c r="Y12" t="str">
        <f>IF($W12="●","LDP "&amp;E12&amp;"."&amp;$B$12,"")</f>
        <v>LDP stEx105.x2</v>
      </c>
      <c r="Z12" t="str">
        <f>IF($W12="●","AND=.D "&amp;$B$13&amp;" #0","")</f>
        <v>AND=.D stM.udiErrNo #0</v>
      </c>
      <c r="AA12" t="str">
        <f>IF($W12="●","MOV.D #"&amp;X12&amp;" "&amp;$B$13,"")</f>
        <v>MOV.D #2005 stM.udiErrNo</v>
      </c>
      <c r="AB12" t="str">
        <f>IF(LEN(U12),"MOV.D "&amp;$U12&amp;" "&amp;$B$14,"")</f>
        <v>MOV.D stDevIn.astCYL[3] stM.udiErr</v>
      </c>
      <c r="AC12" t="str">
        <f>IF(AND(D12&lt;&gt;0,W12="●"),CHAR(10),"")&amp;IF(LEN(Y12),Y12,"")</f>
        <v xml:space="preserve">
LDP stEx105.x2</v>
      </c>
      <c r="AD12" t="str">
        <f t="shared" si="2"/>
        <v xml:space="preserve">
LDP stEx105.x2
AND=.D stM.udiErrNo #0</v>
      </c>
      <c r="AE12" t="str">
        <f t="shared" si="3"/>
        <v xml:space="preserve">
LDP stEx105.x2
AND=.D stM.udiErrNo #0
MOV.D #2005 stM.udiErrNo</v>
      </c>
      <c r="AF12" t="str">
        <f t="shared" si="10"/>
        <v xml:space="preserve">
LDP stEx105.x2
AND=.D stM.udiErrNo #0
MOV.D #2005 stM.udiErrNo
MOV.D stDevIn.astCYL[3] stM.udiErr</v>
      </c>
      <c r="AG12" t="str">
        <f t="shared" si="11"/>
        <v xml:space="preserve">
LDP stEx105.x2
AND=.D stM.udiErrNo #0
MOV.D #2005 stM.udiErrNo
MOV.D stDevIn.astCYL[3] stM.udiErr</v>
      </c>
      <c r="AI12" t="str">
        <f ca="1">IF($W12="●",AD12&amp;CHAR(10)&amp;"BOX_ST"&amp;CHAR(10)&amp;";//"&amp;$B$8,"")</f>
        <v xml:space="preserve">
LDP stEx105.x2
AND=.D stM.udiErrNo #0
BOX_ST
;//このスクリプトは C:\tk\prj\hg-0025-0016\git\kv-x520\doc\[設定値と周長誤差.xlsx]Sheet1 によって生成されました。</v>
      </c>
      <c r="AJ12" t="str">
        <f ca="1">IF($W12="●",IF(LEN(AI12),AI12&amp;CHAR(10),"")&amp;";//エラーNo.を入れる"&amp;CHAR(10)&amp;";"&amp;$B$13&amp;"	:= "&amp;X12&amp;";","")</f>
        <v xml:space="preserve">
LDP stEx105.x2
AND=.D stM.udiErrNo #0
BOX_ST
;//このスクリプトは C:\tk\prj\hg-0025-0016\git\kv-x520\doc\[設定値と周長誤差.xlsx]Sheet1 によって生成されました。
;//エラーNo.を入れる
;stM.udiErrNo	:= 2005;</v>
      </c>
      <c r="AK12" t="str">
        <f ca="1">IF($W12="●",IF(LEN(AJ12),AJ12&amp;CHAR(10),"")&amp;IF(LEN(U12),";//エラーコードを入れる"&amp;CHAR(10)&amp;";"&amp;$B$14&amp;"	:= "&amp;U12&amp;".udiErr;",""),"")</f>
        <v xml:space="preserve">
LDP stEx105.x2
AND=.D stM.udiErrNo #0
BOX_ST
;//このスクリプトは C:\tk\prj\hg-0025-0016\git\kv-x520\doc\[設定値と周長誤差.xlsx]Sheet1 によって生成されました。
;//エラーNo.を入れる
;stM.udiErrNo	:= 2005;
;//エラーコードを入れる
;stM.udiErr	:= stDevIn.astCYL[3].udiErr;</v>
      </c>
      <c r="AL12" t="str">
        <f ca="1">IF($W12="●",IF(LEN(AK12),AK12&amp;CHAR(10),"")&amp;";//"&amp;$B$9,"")</f>
        <v xml:space="preserve">
LDP stEx105.x2
AND=.D stM.udiErrNo #0
BOX_ST
;//このスクリプトは C:\tk\prj\hg-0025-0016\git\kv-x520\doc\[設定値と周長誤差.xlsx]Sheet1 によって生成されました。
;//エラーNo.を入れる
;stM.udiErrNo	:= 2005;
;//エラーコードを入れる
;stM.udiErr	:= stDevIn.astCYL[3].udiErr;
;//-----ここまで生成script-----</v>
      </c>
    </row>
    <row r="13" spans="1:38" x14ac:dyDescent="0.55000000000000004">
      <c r="A13" t="s">
        <v>4</v>
      </c>
      <c r="B13" t="s">
        <v>3</v>
      </c>
      <c r="D13">
        <v>7</v>
      </c>
      <c r="E13" t="s">
        <v>23</v>
      </c>
      <c r="F13" t="s">
        <v>0</v>
      </c>
      <c r="H13" t="b">
        <v>0</v>
      </c>
      <c r="I13" t="b">
        <v>0</v>
      </c>
      <c r="J13" t="b">
        <v>0</v>
      </c>
      <c r="K13" t="s">
        <v>24</v>
      </c>
      <c r="M13" t="str">
        <f t="shared" si="4"/>
        <v/>
      </c>
      <c r="N13" t="str">
        <f t="shared" si="4"/>
        <v/>
      </c>
      <c r="O13" t="str">
        <f t="shared" si="4"/>
        <v/>
      </c>
      <c r="P13" t="str">
        <f t="shared" si="5"/>
        <v/>
      </c>
      <c r="Q13" t="str">
        <f t="shared" si="1"/>
        <v/>
      </c>
      <c r="R13" t="str">
        <f t="shared" si="1"/>
        <v/>
      </c>
      <c r="S13" t="str">
        <f t="shared" si="6"/>
        <v/>
      </c>
      <c r="T13" t="str">
        <f t="shared" si="7"/>
        <v/>
      </c>
      <c r="U13" t="str">
        <f t="shared" si="8"/>
        <v/>
      </c>
      <c r="W13" t="str">
        <f>IF(LEN(K13),IF(OR(COUNTIF(K13,"*◆*"),COUNTIF(K13,"*▼*")),"","●"),"")</f>
        <v>●</v>
      </c>
      <c r="X13">
        <f t="shared" si="9"/>
        <v>2006</v>
      </c>
      <c r="Y13" t="str">
        <f>IF($W13="●","LDP "&amp;E13&amp;"."&amp;$B$12,"")</f>
        <v>LDP stEx106.x2</v>
      </c>
      <c r="Z13" t="str">
        <f>IF($W13="●","AND=.D "&amp;$B$13&amp;" #0","")</f>
        <v>AND=.D stM.udiErrNo #0</v>
      </c>
      <c r="AA13" t="str">
        <f>IF($W13="●","MOV.D #"&amp;X13&amp;" "&amp;$B$13,"")</f>
        <v>MOV.D #2006 stM.udiErrNo</v>
      </c>
      <c r="AB13" t="str">
        <f>IF(LEN(U13),"MOV.D "&amp;$U13&amp;" "&amp;$B$14,"")</f>
        <v/>
      </c>
      <c r="AC13" t="str">
        <f>IF(AND(D13&lt;&gt;0,W13="●"),CHAR(10),"")&amp;IF(LEN(Y13),Y13,"")</f>
        <v xml:space="preserve">
LDP stEx106.x2</v>
      </c>
      <c r="AD13" t="str">
        <f t="shared" si="2"/>
        <v xml:space="preserve">
LDP stEx106.x2
AND=.D stM.udiErrNo #0</v>
      </c>
      <c r="AE13" t="str">
        <f t="shared" si="3"/>
        <v xml:space="preserve">
LDP stEx106.x2
AND=.D stM.udiErrNo #0
MOV.D #2006 stM.udiErrNo</v>
      </c>
      <c r="AF13" t="str">
        <f t="shared" si="10"/>
        <v xml:space="preserve">
LDP stEx106.x2
AND=.D stM.udiErrNo #0
MOV.D #2006 stM.udiErrNo
</v>
      </c>
      <c r="AG13" t="str">
        <f t="shared" si="11"/>
        <v xml:space="preserve">
LDP stEx106.x2
AND=.D stM.udiErrNo #0
MOV.D #2006 stM.udiErrNo
</v>
      </c>
      <c r="AI13" t="str">
        <f ca="1">IF($W13="●",AD13&amp;CHAR(10)&amp;"BOX_ST"&amp;CHAR(10)&amp;";//"&amp;$B$8,"")</f>
        <v xml:space="preserve">
LDP stEx106.x2
AND=.D stM.udiErrNo #0
BOX_ST
;//このスクリプトは C:\tk\prj\hg-0025-0016\git\kv-x520\doc\[設定値と周長誤差.xlsx]Sheet1 によって生成されました。</v>
      </c>
      <c r="AJ13" t="str">
        <f ca="1">IF($W13="●",IF(LEN(AI13),AI13&amp;CHAR(10),"")&amp;";//エラーNo.を入れる"&amp;CHAR(10)&amp;";"&amp;$B$13&amp;"	:= "&amp;X13&amp;";","")</f>
        <v xml:space="preserve">
LDP stEx106.x2
AND=.D stM.udiErrNo #0
BOX_ST
;//このスクリプトは C:\tk\prj\hg-0025-0016\git\kv-x520\doc\[設定値と周長誤差.xlsx]Sheet1 によって生成されました。
;//エラーNo.を入れる
;stM.udiErrNo	:= 2006;</v>
      </c>
      <c r="AK13" t="str">
        <f ca="1">IF($W13="●",IF(LEN(AJ13),AJ13&amp;CHAR(10),"")&amp;IF(LEN(U13),";//エラーコードを入れる"&amp;CHAR(10)&amp;";"&amp;$B$14&amp;"	:= "&amp;U13&amp;".udiErr;",""),"")</f>
        <v xml:space="preserve">
LDP stEx106.x2
AND=.D stM.udiErrNo #0
BOX_ST
;//このスクリプトは C:\tk\prj\hg-0025-0016\git\kv-x520\doc\[設定値と周長誤差.xlsx]Sheet1 によって生成されました。
;//エラーNo.を入れる
;stM.udiErrNo	:= 2006;
</v>
      </c>
      <c r="AL13" t="str">
        <f ca="1">IF($W13="●",IF(LEN(AK13),AK13&amp;CHAR(10),"")&amp;";//"&amp;$B$9,"")</f>
        <v xml:space="preserve">
LDP stEx106.x2
AND=.D stM.udiErrNo #0
BOX_ST
;//このスクリプトは C:\tk\prj\hg-0025-0016\git\kv-x520\doc\[設定値と周長誤差.xlsx]Sheet1 によって生成されました。
;//エラーNo.を入れる
;stM.udiErrNo	:= 2006;
;//-----ここまで生成script-----</v>
      </c>
    </row>
    <row r="14" spans="1:38" x14ac:dyDescent="0.55000000000000004">
      <c r="A14" t="s">
        <v>40</v>
      </c>
      <c r="B14" t="s">
        <v>41</v>
      </c>
      <c r="D14">
        <v>8</v>
      </c>
      <c r="M14" t="str">
        <f t="shared" si="4"/>
        <v/>
      </c>
      <c r="N14" t="str">
        <f t="shared" si="4"/>
        <v/>
      </c>
      <c r="O14" t="str">
        <f t="shared" si="4"/>
        <v/>
      </c>
      <c r="P14" t="str">
        <f t="shared" si="5"/>
        <v/>
      </c>
      <c r="Q14" t="str">
        <f t="shared" si="1"/>
        <v/>
      </c>
      <c r="R14" t="str">
        <f t="shared" si="1"/>
        <v/>
      </c>
      <c r="S14" t="str">
        <f t="shared" si="6"/>
        <v/>
      </c>
      <c r="T14" t="str">
        <f t="shared" si="7"/>
        <v/>
      </c>
      <c r="U14" t="str">
        <f t="shared" si="8"/>
        <v/>
      </c>
      <c r="W14" t="str">
        <f>IF(LEN(K14),IF(OR(COUNTIF(K14,"*◆*"),COUNTIF(K14,"*▼*")),"","●"),"")</f>
        <v/>
      </c>
      <c r="X14" t="str">
        <f t="shared" si="9"/>
        <v/>
      </c>
      <c r="Y14" t="str">
        <f>IF($W14="●","LDP "&amp;E14&amp;"."&amp;$B$12,"")</f>
        <v/>
      </c>
      <c r="Z14" t="str">
        <f>IF($W14="●","AND=.D "&amp;$B$13&amp;" #0","")</f>
        <v/>
      </c>
      <c r="AA14" t="str">
        <f>IF($W14="●","MOV.D #"&amp;X14&amp;" "&amp;$B$13,"")</f>
        <v/>
      </c>
      <c r="AB14" t="str">
        <f>IF(LEN(U14),"MOV.D "&amp;$U14&amp;" "&amp;$B$14,"")</f>
        <v/>
      </c>
      <c r="AC14" t="str">
        <f>IF(AND(D14&lt;&gt;0,W14="●"),CHAR(10),"")&amp;IF(LEN(Y14),Y14,"")</f>
        <v/>
      </c>
      <c r="AD14" t="str">
        <f t="shared" si="2"/>
        <v/>
      </c>
      <c r="AE14" t="str">
        <f t="shared" si="3"/>
        <v/>
      </c>
      <c r="AF14" t="str">
        <f t="shared" si="10"/>
        <v/>
      </c>
      <c r="AG14" t="str">
        <f t="shared" si="11"/>
        <v/>
      </c>
      <c r="AI14" t="str">
        <f>IF($W14="●",AD14&amp;CHAR(10)&amp;"BOX_ST"&amp;CHAR(10)&amp;";//"&amp;$B$8,"")</f>
        <v/>
      </c>
      <c r="AJ14" t="str">
        <f>IF($W14="●",IF(LEN(AI14),AI14&amp;CHAR(10),"")&amp;";//エラーNo.を入れる"&amp;CHAR(10)&amp;";"&amp;$B$13&amp;"	:= "&amp;X14&amp;";","")</f>
        <v/>
      </c>
      <c r="AK14" t="str">
        <f>IF($W14="●",IF(LEN(AJ14),AJ14&amp;CHAR(10),"")&amp;IF(LEN(U14),";//エラーコードを入れる"&amp;CHAR(10)&amp;";"&amp;$B$14&amp;"	:= "&amp;U14&amp;".udiErr;",""),"")</f>
        <v/>
      </c>
      <c r="AL14" t="str">
        <f>IF($W14="●",IF(LEN(AK14),AK14&amp;CHAR(10),"")&amp;";//"&amp;$B$9,"")</f>
        <v/>
      </c>
    </row>
    <row r="15" spans="1:38" x14ac:dyDescent="0.55000000000000004">
      <c r="D15">
        <v>9</v>
      </c>
      <c r="M15" t="str">
        <f t="shared" si="4"/>
        <v/>
      </c>
      <c r="N15" t="str">
        <f t="shared" si="4"/>
        <v/>
      </c>
      <c r="O15" t="str">
        <f t="shared" si="4"/>
        <v/>
      </c>
      <c r="P15" t="str">
        <f t="shared" si="5"/>
        <v/>
      </c>
      <c r="Q15" t="str">
        <f t="shared" si="1"/>
        <v/>
      </c>
      <c r="R15" t="str">
        <f t="shared" si="1"/>
        <v/>
      </c>
      <c r="S15" t="str">
        <f t="shared" si="6"/>
        <v/>
      </c>
      <c r="T15" t="str">
        <f t="shared" si="7"/>
        <v/>
      </c>
      <c r="U15" t="str">
        <f t="shared" si="8"/>
        <v/>
      </c>
      <c r="W15" t="str">
        <f>IF(LEN(K15),IF(OR(COUNTIF(K15,"*◆*"),COUNTIF(K15,"*▼*")),"","●"),"")</f>
        <v/>
      </c>
      <c r="X15" t="str">
        <f t="shared" si="9"/>
        <v/>
      </c>
      <c r="Y15" t="str">
        <f>IF($W15="●","LDP "&amp;E15&amp;"."&amp;$B$12,"")</f>
        <v/>
      </c>
      <c r="Z15" t="str">
        <f>IF($W15="●","AND=.D "&amp;$B$13&amp;" #0","")</f>
        <v/>
      </c>
      <c r="AA15" t="str">
        <f>IF($W15="●","MOV.D #"&amp;X15&amp;" "&amp;$B$13,"")</f>
        <v/>
      </c>
      <c r="AB15" t="str">
        <f>IF(LEN(U15),"MOV.D "&amp;$U15&amp;" "&amp;$B$14,"")</f>
        <v/>
      </c>
      <c r="AC15" t="str">
        <f>IF(AND(D15&lt;&gt;0,W15="●"),CHAR(10),"")&amp;IF(LEN(Y15),Y15,"")</f>
        <v/>
      </c>
      <c r="AD15" t="str">
        <f t="shared" si="2"/>
        <v/>
      </c>
      <c r="AE15" t="str">
        <f t="shared" si="3"/>
        <v/>
      </c>
      <c r="AF15" t="str">
        <f t="shared" si="10"/>
        <v/>
      </c>
      <c r="AG15" t="str">
        <f t="shared" si="11"/>
        <v/>
      </c>
      <c r="AI15" t="str">
        <f>IF($W15="●",AD15&amp;CHAR(10)&amp;"BOX_ST"&amp;CHAR(10)&amp;";//"&amp;$B$8,"")</f>
        <v/>
      </c>
      <c r="AJ15" t="str">
        <f>IF($W15="●",IF(LEN(AI15),AI15&amp;CHAR(10),"")&amp;";//エラーNo.を入れる"&amp;CHAR(10)&amp;";"&amp;$B$13&amp;"	:= "&amp;X15&amp;";","")</f>
        <v/>
      </c>
      <c r="AK15" t="str">
        <f>IF($W15="●",IF(LEN(AJ15),AJ15&amp;CHAR(10),"")&amp;IF(LEN(U15),";//エラーコードを入れる"&amp;CHAR(10)&amp;";"&amp;$B$14&amp;"	:= "&amp;U15&amp;".udiErr;",""),"")</f>
        <v/>
      </c>
      <c r="AL15" t="str">
        <f>IF($W15="●",IF(LEN(AK15),AK15&amp;CHAR(10),"")&amp;";//"&amp;$B$9,"")</f>
        <v/>
      </c>
    </row>
    <row r="16" spans="1:38" x14ac:dyDescent="0.55000000000000004">
      <c r="A16" t="s">
        <v>44</v>
      </c>
      <c r="B16" t="str">
        <f ca="1">"RUNG_COMMENT"&amp;CHAR(10)&amp;";"&amp;B8&amp;AG107&amp;CHAR(10)&amp;"RUNG_COMMENT"&amp;CHAR(10)&amp;";"&amp;B9</f>
        <v>RUNG_COMMENT
;このスクリプトは C:\tk\prj\hg-0025-0016\git\kv-x520\doc\[設定値と周長誤差.xlsx]Sheet1 によって生成されました。
LDP stEx101.x2
AND=.D stM.udiErrNo #0
MOV.D #2001 stM.udiErrNo
MOV.D stDevIn.astCYL[6] stM.udiErr
LDP stEx107.x2
AND=.D stM.udiErrNo #0
MOV.D #2007 stM.udiErrNo
MOV.D stDevIn.astCYL[18] stM.udiErr
LDP stEx103.x2
AND=.D stM.udiErrNo #0
MOV.D #2003 stM.udiErrNo
MOV.D stDevIn.astCYL[10] stM.udiErr
LDP stEx104.x2
AND=.D stM.udiErrNo #0
MOV.D #2004 stM.udiErrNo
MOV.D stDevIn.astCYL[11] stM.udiErr
LDP stEx105.x2
AND=.D stM.udiErrNo #0
MOV.D #2005 stM.udiErrNo
MOV.D stDevIn.astCYL[3] stM.udiErr
LDP stEx106.x2
AND=.D stM.udiErrNo #0
MOV.D #2006 stM.udiErrNo
RUNG_COMMENT
;-----ここまで生成script-----</v>
      </c>
      <c r="D16">
        <v>10</v>
      </c>
      <c r="M16" t="str">
        <f t="shared" si="4"/>
        <v/>
      </c>
      <c r="N16" t="str">
        <f t="shared" si="4"/>
        <v/>
      </c>
      <c r="O16" t="str">
        <f t="shared" si="4"/>
        <v/>
      </c>
      <c r="P16" t="str">
        <f t="shared" si="5"/>
        <v/>
      </c>
      <c r="Q16" t="str">
        <f t="shared" si="1"/>
        <v/>
      </c>
      <c r="R16" t="str">
        <f t="shared" si="1"/>
        <v/>
      </c>
      <c r="S16" t="str">
        <f t="shared" si="6"/>
        <v/>
      </c>
      <c r="T16" t="str">
        <f t="shared" si="7"/>
        <v/>
      </c>
      <c r="U16" t="str">
        <f t="shared" si="8"/>
        <v/>
      </c>
      <c r="W16" t="str">
        <f>IF(LEN(K16),IF(OR(COUNTIF(K16,"*◆*"),COUNTIF(K16,"*▼*")),"","●"),"")</f>
        <v/>
      </c>
      <c r="X16" t="str">
        <f t="shared" si="9"/>
        <v/>
      </c>
      <c r="Y16" t="str">
        <f>IF($W16="●","LDP "&amp;E16&amp;"."&amp;$B$12,"")</f>
        <v/>
      </c>
      <c r="Z16" t="str">
        <f>IF($W16="●","AND=.D "&amp;$B$13&amp;" #0","")</f>
        <v/>
      </c>
      <c r="AA16" t="str">
        <f>IF($W16="●","MOV.D #"&amp;X16&amp;" "&amp;$B$13,"")</f>
        <v/>
      </c>
      <c r="AB16" t="str">
        <f>IF(LEN(U16),"MOV.D "&amp;$U16&amp;" "&amp;$B$14,"")</f>
        <v/>
      </c>
      <c r="AC16" t="str">
        <f>IF(AND(D16&lt;&gt;0,W16="●"),CHAR(10),"")&amp;IF(LEN(Y16),Y16,"")</f>
        <v/>
      </c>
      <c r="AD16" t="str">
        <f t="shared" si="2"/>
        <v/>
      </c>
      <c r="AE16" t="str">
        <f t="shared" si="3"/>
        <v/>
      </c>
      <c r="AF16" t="str">
        <f t="shared" si="10"/>
        <v/>
      </c>
      <c r="AG16" t="str">
        <f t="shared" si="11"/>
        <v/>
      </c>
      <c r="AI16" t="str">
        <f>IF($W16="●",AD16&amp;CHAR(10)&amp;"BOX_ST"&amp;CHAR(10)&amp;";//"&amp;$B$8,"")</f>
        <v/>
      </c>
      <c r="AJ16" t="str">
        <f>IF($W16="●",IF(LEN(AI16),AI16&amp;CHAR(10),"")&amp;";//エラーNo.を入れる"&amp;CHAR(10)&amp;";"&amp;$B$13&amp;"	:= "&amp;X16&amp;";","")</f>
        <v/>
      </c>
      <c r="AK16" t="str">
        <f>IF($W16="●",IF(LEN(AJ16),AJ16&amp;CHAR(10),"")&amp;IF(LEN(U16),";//エラーコードを入れる"&amp;CHAR(10)&amp;";"&amp;$B$14&amp;"	:= "&amp;U16&amp;".udiErr;",""),"")</f>
        <v/>
      </c>
      <c r="AL16" t="str">
        <f>IF($W16="●",IF(LEN(AK16),AK16&amp;CHAR(10),"")&amp;";//"&amp;$B$9,"")</f>
        <v/>
      </c>
    </row>
    <row r="17" spans="1:38" x14ac:dyDescent="0.55000000000000004">
      <c r="A17" t="s">
        <v>43</v>
      </c>
      <c r="B17" t="str">
        <f ca="1">"RUNG_COMMENT"&amp;CHAR(10)&amp;";"&amp;B8&amp;AL107&amp;CHAR(10)&amp;"RUNG_COMMENT"&amp;CHAR(10)&amp;";"&amp;B9</f>
        <v>RUNG_COMMENT
;このスクリプトは C:\tk\prj\hg-0025-0016\git\kv-x520\doc\[設定値と周長誤差.xlsx]Sheet1 によって生成されました。
LDP stEx101.x2
AND=.D stM.udiErrNo #0
BOX_ST
;//このスクリプトは C:\tk\prj\hg-0025-0016\git\kv-x520\doc\[設定値と周長誤差.xlsx]Sheet1 によって生成されました。
;//エラーNo.を入れる
;stM.udiErrNo	:= 2001;
;//エラーコードを入れる
;stM.udiErr	:= stDevIn.astCYL[6].udiErr;
;//-----ここまで生成script-----
LDP stEx107.x2
AND=.D stM.udiErrNo #0
BOX_ST
;//このスクリプトは C:\tk\prj\hg-0025-0016\git\kv-x520\doc\[設定値と周長誤差.xlsx]Sheet1 によって生成されました。
;//エラーNo.を入れる
;stM.udiErrNo	:= 2007;
;//エラーコードを入れる
;stM.udiErr	:= stDevIn.astCYL[18].udiErr;
;//-----ここまで生成script-----
LDP stEx103.x2
AND=.D stM.udiErrNo #0
BOX_ST
;//このスクリプトは C:\tk\prj\hg-0025-0016\git\kv-x520\doc\[設定値と周長誤差.xlsx]Sheet1 によって生成されました。
;//エラーNo.を入れる
;stM.udiErrNo	:= 2003;
;//エラーコードを入れる
;stM.udiErr	:= stDevIn.astCYL[10].udiErr;
;//-----ここまで生成script-----
LDP stEx104.x2
AND=.D stM.udiErrNo #0
BOX_ST
;//このスクリプトは C:\tk\prj\hg-0025-0016\git\kv-x520\doc\[設定値と周長誤差.xlsx]Sheet1 によって生成されました。
;//エラーNo.を入れる
;stM.udiErrNo	:= 2004;
;//エラーコードを入れる
;stM.udiErr	:= stDevIn.astCYL[11].udiErr;
;//-----ここまで生成script-----
LDP stEx105.x2
AND=.D stM.udiErrNo #0
BOX_ST
;//このスクリプトは C:\tk\prj\hg-0025-0016\git\kv-x520\doc\[設定値と周長誤差.xlsx]Sheet1 によって生成されました。
;//エラーNo.を入れる
;stM.udiErrNo	:= 2005;
;//エラーコードを入れる
;stM.udiErr	:= stDevIn.astCYL[3].udiErr;
;//-----ここまで生成script-----
LDP stEx106.x2
AND=.D stM.udiErrNo #0
BOX_ST
;//このスクリプトは C:\tk\prj\hg-0025-0016\git\kv-x520\doc\[設定値と周長誤差.xlsx]Sheet1 によって生成されました。
;//エラーNo.を入れる
;stM.udiErrNo	:= 2006;
;//-----ここまで生成script-----
RUNG_COMMENT
;-----ここまで生成script-----</v>
      </c>
      <c r="D17">
        <v>11</v>
      </c>
      <c r="M17" t="str">
        <f t="shared" si="4"/>
        <v/>
      </c>
      <c r="N17" t="str">
        <f t="shared" si="4"/>
        <v/>
      </c>
      <c r="O17" t="str">
        <f t="shared" si="4"/>
        <v/>
      </c>
      <c r="P17" t="str">
        <f t="shared" si="5"/>
        <v/>
      </c>
      <c r="Q17" t="str">
        <f t="shared" si="1"/>
        <v/>
      </c>
      <c r="R17" t="str">
        <f t="shared" si="1"/>
        <v/>
      </c>
      <c r="S17" t="str">
        <f t="shared" si="6"/>
        <v/>
      </c>
      <c r="T17" t="str">
        <f t="shared" si="7"/>
        <v/>
      </c>
      <c r="U17" t="str">
        <f t="shared" si="8"/>
        <v/>
      </c>
      <c r="W17" t="str">
        <f>IF(LEN(K17),IF(OR(COUNTIF(K17,"*◆*"),COUNTIF(K17,"*▼*")),"","●"),"")</f>
        <v/>
      </c>
      <c r="X17" t="str">
        <f t="shared" si="9"/>
        <v/>
      </c>
      <c r="Y17" t="str">
        <f>IF($W17="●","LDP "&amp;E17&amp;"."&amp;$B$12,"")</f>
        <v/>
      </c>
      <c r="Z17" t="str">
        <f>IF($W17="●","AND=.D "&amp;$B$13&amp;" #0","")</f>
        <v/>
      </c>
      <c r="AA17" t="str">
        <f>IF($W17="●","MOV.D #"&amp;X17&amp;" "&amp;$B$13,"")</f>
        <v/>
      </c>
      <c r="AB17" t="str">
        <f>IF(LEN(U17),"MOV.D "&amp;$U17&amp;" "&amp;$B$14,"")</f>
        <v/>
      </c>
      <c r="AC17" t="str">
        <f>IF(AND(D17&lt;&gt;0,W17="●"),CHAR(10),"")&amp;IF(LEN(Y17),Y17,"")</f>
        <v/>
      </c>
      <c r="AD17" t="str">
        <f t="shared" si="2"/>
        <v/>
      </c>
      <c r="AE17" t="str">
        <f t="shared" si="3"/>
        <v/>
      </c>
      <c r="AF17" t="str">
        <f t="shared" si="10"/>
        <v/>
      </c>
      <c r="AG17" t="str">
        <f t="shared" si="11"/>
        <v/>
      </c>
      <c r="AI17" t="str">
        <f>IF($W17="●",AD17&amp;CHAR(10)&amp;"BOX_ST"&amp;CHAR(10)&amp;";//"&amp;$B$8,"")</f>
        <v/>
      </c>
      <c r="AJ17" t="str">
        <f>IF($W17="●",IF(LEN(AI17),AI17&amp;CHAR(10),"")&amp;";//エラーNo.を入れる"&amp;CHAR(10)&amp;";"&amp;$B$13&amp;"	:= "&amp;X17&amp;";","")</f>
        <v/>
      </c>
      <c r="AK17" t="str">
        <f>IF($W17="●",IF(LEN(AJ17),AJ17&amp;CHAR(10),"")&amp;IF(LEN(U17),";//エラーコードを入れる"&amp;CHAR(10)&amp;";"&amp;$B$14&amp;"	:= "&amp;U17&amp;".udiErr;",""),"")</f>
        <v/>
      </c>
      <c r="AL17" t="str">
        <f>IF($W17="●",IF(LEN(AK17),AK17&amp;CHAR(10),"")&amp;";//"&amp;$B$9,"")</f>
        <v/>
      </c>
    </row>
    <row r="18" spans="1:38" x14ac:dyDescent="0.55000000000000004">
      <c r="D18">
        <v>12</v>
      </c>
      <c r="M18" t="str">
        <f t="shared" si="4"/>
        <v/>
      </c>
      <c r="N18" t="str">
        <f t="shared" si="4"/>
        <v/>
      </c>
      <c r="O18" t="str">
        <f t="shared" si="4"/>
        <v/>
      </c>
      <c r="P18" t="str">
        <f t="shared" si="5"/>
        <v/>
      </c>
      <c r="Q18" t="str">
        <f t="shared" si="1"/>
        <v/>
      </c>
      <c r="R18" t="str">
        <f t="shared" si="1"/>
        <v/>
      </c>
      <c r="S18" t="str">
        <f t="shared" si="6"/>
        <v/>
      </c>
      <c r="T18" t="str">
        <f t="shared" si="7"/>
        <v/>
      </c>
      <c r="U18" t="str">
        <f t="shared" si="8"/>
        <v/>
      </c>
      <c r="W18" t="str">
        <f>IF(LEN(K18),IF(OR(COUNTIF(K18,"*◆*"),COUNTIF(K18,"*▼*")),"","●"),"")</f>
        <v/>
      </c>
      <c r="X18" t="str">
        <f t="shared" si="9"/>
        <v/>
      </c>
      <c r="Y18" t="str">
        <f>IF($W18="●","LDP "&amp;E18&amp;"."&amp;$B$12,"")</f>
        <v/>
      </c>
      <c r="Z18" t="str">
        <f>IF($W18="●","AND=.D "&amp;$B$13&amp;" #0","")</f>
        <v/>
      </c>
      <c r="AA18" t="str">
        <f>IF($W18="●","MOV.D #"&amp;X18&amp;" "&amp;$B$13,"")</f>
        <v/>
      </c>
      <c r="AB18" t="str">
        <f>IF(LEN(U18),"MOV.D "&amp;$U18&amp;" "&amp;$B$14,"")</f>
        <v/>
      </c>
      <c r="AC18" t="str">
        <f>IF(AND(D18&lt;&gt;0,W18="●"),CHAR(10),"")&amp;IF(LEN(Y18),Y18,"")</f>
        <v/>
      </c>
      <c r="AD18" t="str">
        <f t="shared" si="2"/>
        <v/>
      </c>
      <c r="AE18" t="str">
        <f t="shared" si="3"/>
        <v/>
      </c>
      <c r="AF18" t="str">
        <f t="shared" si="10"/>
        <v/>
      </c>
      <c r="AG18" t="str">
        <f t="shared" si="11"/>
        <v/>
      </c>
      <c r="AI18" t="str">
        <f>IF($W18="●",AD18&amp;CHAR(10)&amp;"BOX_ST"&amp;CHAR(10)&amp;";//"&amp;$B$8,"")</f>
        <v/>
      </c>
      <c r="AJ18" t="str">
        <f>IF($W18="●",IF(LEN(AI18),AI18&amp;CHAR(10),"")&amp;";//エラーNo.を入れる"&amp;CHAR(10)&amp;";"&amp;$B$13&amp;"	:= "&amp;X18&amp;";","")</f>
        <v/>
      </c>
      <c r="AK18" t="str">
        <f>IF($W18="●",IF(LEN(AJ18),AJ18&amp;CHAR(10),"")&amp;IF(LEN(U18),";//エラーコードを入れる"&amp;CHAR(10)&amp;";"&amp;$B$14&amp;"	:= "&amp;U18&amp;".udiErr;",""),"")</f>
        <v/>
      </c>
      <c r="AL18" t="str">
        <f>IF($W18="●",IF(LEN(AK18),AK18&amp;CHAR(10),"")&amp;";//"&amp;$B$9,"")</f>
        <v/>
      </c>
    </row>
    <row r="19" spans="1:38" x14ac:dyDescent="0.55000000000000004">
      <c r="D19">
        <v>13</v>
      </c>
      <c r="M19" t="str">
        <f t="shared" si="4"/>
        <v/>
      </c>
      <c r="N19" t="str">
        <f t="shared" si="4"/>
        <v/>
      </c>
      <c r="O19" t="str">
        <f t="shared" si="4"/>
        <v/>
      </c>
      <c r="P19" t="str">
        <f t="shared" si="5"/>
        <v/>
      </c>
      <c r="Q19" t="str">
        <f t="shared" si="1"/>
        <v/>
      </c>
      <c r="R19" t="str">
        <f t="shared" si="1"/>
        <v/>
      </c>
      <c r="S19" t="str">
        <f t="shared" si="6"/>
        <v/>
      </c>
      <c r="T19" t="str">
        <f t="shared" si="7"/>
        <v/>
      </c>
      <c r="U19" t="str">
        <f t="shared" si="8"/>
        <v/>
      </c>
      <c r="W19" t="str">
        <f>IF(LEN(K19),IF(OR(COUNTIF(K19,"*◆*"),COUNTIF(K19,"*▼*")),"","●"),"")</f>
        <v/>
      </c>
      <c r="X19" t="str">
        <f t="shared" si="9"/>
        <v/>
      </c>
      <c r="Y19" t="str">
        <f>IF($W19="●","LDP "&amp;E19&amp;"."&amp;$B$12,"")</f>
        <v/>
      </c>
      <c r="Z19" t="str">
        <f>IF($W19="●","AND=.D "&amp;$B$13&amp;" #0","")</f>
        <v/>
      </c>
      <c r="AA19" t="str">
        <f>IF($W19="●","MOV.D #"&amp;X19&amp;" "&amp;$B$13,"")</f>
        <v/>
      </c>
      <c r="AB19" t="str">
        <f>IF(LEN(U19),"MOV.D "&amp;$U19&amp;" "&amp;$B$14,"")</f>
        <v/>
      </c>
      <c r="AC19" t="str">
        <f>IF(AND(D19&lt;&gt;0,W19="●"),CHAR(10),"")&amp;IF(LEN(Y19),Y19,"")</f>
        <v/>
      </c>
      <c r="AD19" t="str">
        <f t="shared" si="2"/>
        <v/>
      </c>
      <c r="AE19" t="str">
        <f t="shared" si="3"/>
        <v/>
      </c>
      <c r="AF19" t="str">
        <f t="shared" si="10"/>
        <v/>
      </c>
      <c r="AG19" t="str">
        <f t="shared" si="11"/>
        <v/>
      </c>
      <c r="AI19" t="str">
        <f>IF($W19="●",AD19&amp;CHAR(10)&amp;"BOX_ST"&amp;CHAR(10)&amp;";//"&amp;$B$8,"")</f>
        <v/>
      </c>
      <c r="AJ19" t="str">
        <f>IF($W19="●",IF(LEN(AI19),AI19&amp;CHAR(10),"")&amp;";//エラーNo.を入れる"&amp;CHAR(10)&amp;";"&amp;$B$13&amp;"	:= "&amp;X19&amp;";","")</f>
        <v/>
      </c>
      <c r="AK19" t="str">
        <f>IF($W19="●",IF(LEN(AJ19),AJ19&amp;CHAR(10),"")&amp;IF(LEN(U19),";//エラーコードを入れる"&amp;CHAR(10)&amp;";"&amp;$B$14&amp;"	:= "&amp;U19&amp;".udiErr;",""),"")</f>
        <v/>
      </c>
      <c r="AL19" t="str">
        <f>IF($W19="●",IF(LEN(AK19),AK19&amp;CHAR(10),"")&amp;";//"&amp;$B$9,"")</f>
        <v/>
      </c>
    </row>
    <row r="20" spans="1:38" x14ac:dyDescent="0.55000000000000004">
      <c r="D20">
        <v>14</v>
      </c>
      <c r="M20" t="str">
        <f t="shared" si="4"/>
        <v/>
      </c>
      <c r="N20" t="str">
        <f t="shared" si="4"/>
        <v/>
      </c>
      <c r="O20" t="str">
        <f t="shared" si="4"/>
        <v/>
      </c>
      <c r="P20" t="str">
        <f t="shared" si="5"/>
        <v/>
      </c>
      <c r="Q20" t="str">
        <f t="shared" si="1"/>
        <v/>
      </c>
      <c r="R20" t="str">
        <f t="shared" si="1"/>
        <v/>
      </c>
      <c r="S20" t="str">
        <f t="shared" si="6"/>
        <v/>
      </c>
      <c r="T20" t="str">
        <f t="shared" si="7"/>
        <v/>
      </c>
      <c r="U20" t="str">
        <f t="shared" si="8"/>
        <v/>
      </c>
      <c r="W20" t="str">
        <f>IF(LEN(K20),IF(OR(COUNTIF(K20,"*◆*"),COUNTIF(K20,"*▼*")),"","●"),"")</f>
        <v/>
      </c>
      <c r="X20" t="str">
        <f t="shared" si="9"/>
        <v/>
      </c>
      <c r="Y20" t="str">
        <f>IF($W20="●","LDP "&amp;E20&amp;"."&amp;$B$12,"")</f>
        <v/>
      </c>
      <c r="Z20" t="str">
        <f>IF($W20="●","AND=.D "&amp;$B$13&amp;" #0","")</f>
        <v/>
      </c>
      <c r="AA20" t="str">
        <f>IF($W20="●","MOV.D #"&amp;X20&amp;" "&amp;$B$13,"")</f>
        <v/>
      </c>
      <c r="AB20" t="str">
        <f>IF(LEN(U20),"MOV.D "&amp;$U20&amp;" "&amp;$B$14,"")</f>
        <v/>
      </c>
      <c r="AC20" t="str">
        <f>IF(AND(D20&lt;&gt;0,W20="●"),CHAR(10),"")&amp;IF(LEN(Y20),Y20,"")</f>
        <v/>
      </c>
      <c r="AD20" t="str">
        <f t="shared" si="2"/>
        <v/>
      </c>
      <c r="AE20" t="str">
        <f t="shared" si="3"/>
        <v/>
      </c>
      <c r="AF20" t="str">
        <f t="shared" si="10"/>
        <v/>
      </c>
      <c r="AG20" t="str">
        <f t="shared" si="11"/>
        <v/>
      </c>
      <c r="AI20" t="str">
        <f>IF($W20="●",AD20&amp;CHAR(10)&amp;"BOX_ST"&amp;CHAR(10)&amp;";//"&amp;$B$8,"")</f>
        <v/>
      </c>
      <c r="AJ20" t="str">
        <f>IF($W20="●",IF(LEN(AI20),AI20&amp;CHAR(10),"")&amp;";//エラーNo.を入れる"&amp;CHAR(10)&amp;";"&amp;$B$13&amp;"	:= "&amp;X20&amp;";","")</f>
        <v/>
      </c>
      <c r="AK20" t="str">
        <f>IF($W20="●",IF(LEN(AJ20),AJ20&amp;CHAR(10),"")&amp;IF(LEN(U20),";//エラーコードを入れる"&amp;CHAR(10)&amp;";"&amp;$B$14&amp;"	:= "&amp;U20&amp;".udiErr;",""),"")</f>
        <v/>
      </c>
      <c r="AL20" t="str">
        <f>IF($W20="●",IF(LEN(AK20),AK20&amp;CHAR(10),"")&amp;";//"&amp;$B$9,"")</f>
        <v/>
      </c>
    </row>
    <row r="21" spans="1:38" x14ac:dyDescent="0.55000000000000004">
      <c r="D21">
        <v>15</v>
      </c>
      <c r="M21" t="str">
        <f t="shared" si="4"/>
        <v/>
      </c>
      <c r="N21" t="str">
        <f t="shared" si="4"/>
        <v/>
      </c>
      <c r="O21" t="str">
        <f t="shared" si="4"/>
        <v/>
      </c>
      <c r="P21" t="str">
        <f t="shared" si="5"/>
        <v/>
      </c>
      <c r="Q21" t="str">
        <f t="shared" si="1"/>
        <v/>
      </c>
      <c r="R21" t="str">
        <f t="shared" si="1"/>
        <v/>
      </c>
      <c r="S21" t="str">
        <f t="shared" si="6"/>
        <v/>
      </c>
      <c r="T21" t="str">
        <f t="shared" si="7"/>
        <v/>
      </c>
      <c r="U21" t="str">
        <f t="shared" si="8"/>
        <v/>
      </c>
      <c r="W21" t="str">
        <f>IF(LEN(K21),IF(OR(COUNTIF(K21,"*◆*"),COUNTIF(K21,"*▼*")),"","●"),"")</f>
        <v/>
      </c>
      <c r="X21" t="str">
        <f t="shared" si="9"/>
        <v/>
      </c>
      <c r="Y21" t="str">
        <f>IF($W21="●","LDP "&amp;E21&amp;"."&amp;$B$12,"")</f>
        <v/>
      </c>
      <c r="Z21" t="str">
        <f>IF($W21="●","AND=.D "&amp;$B$13&amp;" #0","")</f>
        <v/>
      </c>
      <c r="AA21" t="str">
        <f>IF($W21="●","MOV.D #"&amp;X21&amp;" "&amp;$B$13,"")</f>
        <v/>
      </c>
      <c r="AB21" t="str">
        <f>IF(LEN(U21),"MOV.D "&amp;$U21&amp;" "&amp;$B$14,"")</f>
        <v/>
      </c>
      <c r="AC21" t="str">
        <f>IF(AND(D21&lt;&gt;0,W21="●"),CHAR(10),"")&amp;IF(LEN(Y21),Y21,"")</f>
        <v/>
      </c>
      <c r="AD21" t="str">
        <f t="shared" si="2"/>
        <v/>
      </c>
      <c r="AE21" t="str">
        <f t="shared" si="3"/>
        <v/>
      </c>
      <c r="AF21" t="str">
        <f t="shared" si="10"/>
        <v/>
      </c>
      <c r="AG21" t="str">
        <f t="shared" si="11"/>
        <v/>
      </c>
      <c r="AI21" t="str">
        <f>IF($W21="●",AD21&amp;CHAR(10)&amp;"BOX_ST"&amp;CHAR(10)&amp;";//"&amp;$B$8,"")</f>
        <v/>
      </c>
      <c r="AJ21" t="str">
        <f>IF($W21="●",IF(LEN(AI21),AI21&amp;CHAR(10),"")&amp;";//エラーNo.を入れる"&amp;CHAR(10)&amp;";"&amp;$B$13&amp;"	:= "&amp;X21&amp;";","")</f>
        <v/>
      </c>
      <c r="AK21" t="str">
        <f>IF($W21="●",IF(LEN(AJ21),AJ21&amp;CHAR(10),"")&amp;IF(LEN(U21),";//エラーコードを入れる"&amp;CHAR(10)&amp;";"&amp;$B$14&amp;"	:= "&amp;U21&amp;".udiErr;",""),"")</f>
        <v/>
      </c>
      <c r="AL21" t="str">
        <f>IF($W21="●",IF(LEN(AK21),AK21&amp;CHAR(10),"")&amp;";//"&amp;$B$9,"")</f>
        <v/>
      </c>
    </row>
    <row r="22" spans="1:38" x14ac:dyDescent="0.55000000000000004">
      <c r="D22">
        <v>16</v>
      </c>
      <c r="M22" t="str">
        <f t="shared" si="4"/>
        <v/>
      </c>
      <c r="N22" t="str">
        <f t="shared" si="4"/>
        <v/>
      </c>
      <c r="O22" t="str">
        <f t="shared" si="4"/>
        <v/>
      </c>
      <c r="P22" t="str">
        <f t="shared" si="5"/>
        <v/>
      </c>
      <c r="Q22" t="str">
        <f t="shared" si="5"/>
        <v/>
      </c>
      <c r="R22" t="str">
        <f t="shared" si="5"/>
        <v/>
      </c>
      <c r="S22" t="str">
        <f t="shared" si="6"/>
        <v/>
      </c>
      <c r="T22" t="str">
        <f t="shared" si="7"/>
        <v/>
      </c>
      <c r="U22" t="str">
        <f t="shared" si="8"/>
        <v/>
      </c>
      <c r="W22" t="str">
        <f>IF(LEN(K22),IF(OR(COUNTIF(K22,"*◆*"),COUNTIF(K22,"*▼*")),"","●"),"")</f>
        <v/>
      </c>
      <c r="X22" t="str">
        <f t="shared" si="9"/>
        <v/>
      </c>
      <c r="Y22" t="str">
        <f>IF($W22="●","LDP "&amp;E22&amp;"."&amp;$B$12,"")</f>
        <v/>
      </c>
      <c r="Z22" t="str">
        <f>IF($W22="●","AND=.D "&amp;$B$13&amp;" #0","")</f>
        <v/>
      </c>
      <c r="AA22" t="str">
        <f>IF($W22="●","MOV.D #"&amp;X22&amp;" "&amp;$B$13,"")</f>
        <v/>
      </c>
      <c r="AB22" t="str">
        <f>IF(LEN(U22),"MOV.D "&amp;$U22&amp;" "&amp;$B$14,"")</f>
        <v/>
      </c>
      <c r="AC22" t="str">
        <f>IF(AND(D22&lt;&gt;0,W22="●"),CHAR(10),"")&amp;IF(LEN(Y22),Y22,"")</f>
        <v/>
      </c>
      <c r="AD22" t="str">
        <f t="shared" si="2"/>
        <v/>
      </c>
      <c r="AE22" t="str">
        <f t="shared" si="3"/>
        <v/>
      </c>
      <c r="AF22" t="str">
        <f t="shared" si="10"/>
        <v/>
      </c>
      <c r="AG22" t="str">
        <f t="shared" si="11"/>
        <v/>
      </c>
      <c r="AI22" t="str">
        <f>IF($W22="●",AD22&amp;CHAR(10)&amp;"BOX_ST"&amp;CHAR(10)&amp;";//"&amp;$B$8,"")</f>
        <v/>
      </c>
      <c r="AJ22" t="str">
        <f>IF($W22="●",IF(LEN(AI22),AI22&amp;CHAR(10),"")&amp;";//エラーNo.を入れる"&amp;CHAR(10)&amp;";"&amp;$B$13&amp;"	:= "&amp;X22&amp;";","")</f>
        <v/>
      </c>
      <c r="AK22" t="str">
        <f>IF($W22="●",IF(LEN(AJ22),AJ22&amp;CHAR(10),"")&amp;IF(LEN(U22),";//エラーコードを入れる"&amp;CHAR(10)&amp;";"&amp;$B$14&amp;"	:= "&amp;U22&amp;".udiErr;",""),"")</f>
        <v/>
      </c>
      <c r="AL22" t="str">
        <f>IF($W22="●",IF(LEN(AK22),AK22&amp;CHAR(10),"")&amp;";//"&amp;$B$9,"")</f>
        <v/>
      </c>
    </row>
    <row r="23" spans="1:38" x14ac:dyDescent="0.55000000000000004">
      <c r="D23">
        <v>17</v>
      </c>
      <c r="M23" t="str">
        <f t="shared" si="4"/>
        <v/>
      </c>
      <c r="N23" t="str">
        <f t="shared" si="4"/>
        <v/>
      </c>
      <c r="O23" t="str">
        <f t="shared" si="4"/>
        <v/>
      </c>
      <c r="P23" t="str">
        <f t="shared" si="5"/>
        <v/>
      </c>
      <c r="Q23" t="str">
        <f t="shared" si="5"/>
        <v/>
      </c>
      <c r="R23" t="str">
        <f t="shared" si="5"/>
        <v/>
      </c>
      <c r="S23" t="str">
        <f t="shared" si="6"/>
        <v/>
      </c>
      <c r="T23" t="str">
        <f t="shared" si="7"/>
        <v/>
      </c>
      <c r="U23" t="str">
        <f t="shared" si="8"/>
        <v/>
      </c>
      <c r="W23" t="str">
        <f>IF(LEN(K23),IF(OR(COUNTIF(K23,"*◆*"),COUNTIF(K23,"*▼*")),"","●"),"")</f>
        <v/>
      </c>
      <c r="X23" t="str">
        <f t="shared" si="9"/>
        <v/>
      </c>
      <c r="Y23" t="str">
        <f>IF($W23="●","LDP "&amp;E23&amp;"."&amp;$B$12,"")</f>
        <v/>
      </c>
      <c r="Z23" t="str">
        <f>IF($W23="●","AND=.D "&amp;$B$13&amp;" #0","")</f>
        <v/>
      </c>
      <c r="AA23" t="str">
        <f>IF($W23="●","MOV.D #"&amp;X23&amp;" "&amp;$B$13,"")</f>
        <v/>
      </c>
      <c r="AB23" t="str">
        <f>IF(LEN(U23),"MOV.D "&amp;$U23&amp;" "&amp;$B$14,"")</f>
        <v/>
      </c>
      <c r="AC23" t="str">
        <f>IF(AND(D23&lt;&gt;0,W23="●"),CHAR(10),"")&amp;IF(LEN(Y23),Y23,"")</f>
        <v/>
      </c>
      <c r="AD23" t="str">
        <f t="shared" si="2"/>
        <v/>
      </c>
      <c r="AE23" t="str">
        <f t="shared" si="3"/>
        <v/>
      </c>
      <c r="AF23" t="str">
        <f t="shared" si="10"/>
        <v/>
      </c>
      <c r="AG23" t="str">
        <f t="shared" si="11"/>
        <v/>
      </c>
      <c r="AI23" t="str">
        <f>IF($W23="●",AD23&amp;CHAR(10)&amp;"BOX_ST"&amp;CHAR(10)&amp;";//"&amp;$B$8,"")</f>
        <v/>
      </c>
      <c r="AJ23" t="str">
        <f>IF($W23="●",IF(LEN(AI23),AI23&amp;CHAR(10),"")&amp;";//エラーNo.を入れる"&amp;CHAR(10)&amp;";"&amp;$B$13&amp;"	:= "&amp;X23&amp;";","")</f>
        <v/>
      </c>
      <c r="AK23" t="str">
        <f>IF($W23="●",IF(LEN(AJ23),AJ23&amp;CHAR(10),"")&amp;IF(LEN(U23),";//エラーコードを入れる"&amp;CHAR(10)&amp;";"&amp;$B$14&amp;"	:= "&amp;U23&amp;".udiErr;",""),"")</f>
        <v/>
      </c>
      <c r="AL23" t="str">
        <f>IF($W23="●",IF(LEN(AK23),AK23&amp;CHAR(10),"")&amp;";//"&amp;$B$9,"")</f>
        <v/>
      </c>
    </row>
    <row r="24" spans="1:38" x14ac:dyDescent="0.55000000000000004">
      <c r="D24">
        <v>18</v>
      </c>
      <c r="M24" t="str">
        <f t="shared" si="4"/>
        <v/>
      </c>
      <c r="N24" t="str">
        <f t="shared" si="4"/>
        <v/>
      </c>
      <c r="O24" t="str">
        <f t="shared" si="4"/>
        <v/>
      </c>
      <c r="P24" t="str">
        <f t="shared" si="5"/>
        <v/>
      </c>
      <c r="Q24" t="str">
        <f t="shared" si="5"/>
        <v/>
      </c>
      <c r="R24" t="str">
        <f t="shared" si="5"/>
        <v/>
      </c>
      <c r="S24" t="str">
        <f t="shared" si="6"/>
        <v/>
      </c>
      <c r="T24" t="str">
        <f t="shared" si="7"/>
        <v/>
      </c>
      <c r="U24" t="str">
        <f t="shared" si="8"/>
        <v/>
      </c>
      <c r="W24" t="str">
        <f>IF(LEN(K24),IF(OR(COUNTIF(K24,"*◆*"),COUNTIF(K24,"*▼*")),"","●"),"")</f>
        <v/>
      </c>
      <c r="X24" t="str">
        <f t="shared" si="9"/>
        <v/>
      </c>
      <c r="Y24" t="str">
        <f>IF($W24="●","LDP "&amp;E24&amp;"."&amp;$B$12,"")</f>
        <v/>
      </c>
      <c r="Z24" t="str">
        <f>IF($W24="●","AND=.D "&amp;$B$13&amp;" #0","")</f>
        <v/>
      </c>
      <c r="AA24" t="str">
        <f>IF($W24="●","MOV.D #"&amp;X24&amp;" "&amp;$B$13,"")</f>
        <v/>
      </c>
      <c r="AB24" t="str">
        <f>IF(LEN(U24),"MOV.D "&amp;$U24&amp;" "&amp;$B$14,"")</f>
        <v/>
      </c>
      <c r="AC24" t="str">
        <f>IF(AND(D24&lt;&gt;0,W24="●"),CHAR(10),"")&amp;IF(LEN(Y24),Y24,"")</f>
        <v/>
      </c>
      <c r="AD24" t="str">
        <f t="shared" si="2"/>
        <v/>
      </c>
      <c r="AE24" t="str">
        <f t="shared" si="3"/>
        <v/>
      </c>
      <c r="AF24" t="str">
        <f t="shared" si="10"/>
        <v/>
      </c>
      <c r="AG24" t="str">
        <f t="shared" si="11"/>
        <v/>
      </c>
      <c r="AI24" t="str">
        <f>IF($W24="●",AD24&amp;CHAR(10)&amp;"BOX_ST"&amp;CHAR(10)&amp;";//"&amp;$B$8,"")</f>
        <v/>
      </c>
      <c r="AJ24" t="str">
        <f>IF($W24="●",IF(LEN(AI24),AI24&amp;CHAR(10),"")&amp;";//エラーNo.を入れる"&amp;CHAR(10)&amp;";"&amp;$B$13&amp;"	:= "&amp;X24&amp;";","")</f>
        <v/>
      </c>
      <c r="AK24" t="str">
        <f>IF($W24="●",IF(LEN(AJ24),AJ24&amp;CHAR(10),"")&amp;IF(LEN(U24),";//エラーコードを入れる"&amp;CHAR(10)&amp;";"&amp;$B$14&amp;"	:= "&amp;U24&amp;".udiErr;",""),"")</f>
        <v/>
      </c>
      <c r="AL24" t="str">
        <f>IF($W24="●",IF(LEN(AK24),AK24&amp;CHAR(10),"")&amp;";//"&amp;$B$9,"")</f>
        <v/>
      </c>
    </row>
    <row r="25" spans="1:38" x14ac:dyDescent="0.55000000000000004">
      <c r="D25">
        <v>19</v>
      </c>
      <c r="M25" t="str">
        <f t="shared" si="4"/>
        <v/>
      </c>
      <c r="N25" t="str">
        <f t="shared" si="4"/>
        <v/>
      </c>
      <c r="O25" t="str">
        <f t="shared" si="4"/>
        <v/>
      </c>
      <c r="P25" t="str">
        <f t="shared" si="5"/>
        <v/>
      </c>
      <c r="Q25" t="str">
        <f t="shared" si="5"/>
        <v/>
      </c>
      <c r="R25" t="str">
        <f t="shared" si="5"/>
        <v/>
      </c>
      <c r="S25" t="str">
        <f t="shared" si="6"/>
        <v/>
      </c>
      <c r="T25" t="str">
        <f t="shared" si="7"/>
        <v/>
      </c>
      <c r="U25" t="str">
        <f t="shared" si="8"/>
        <v/>
      </c>
      <c r="W25" t="str">
        <f>IF(LEN(K25),IF(OR(COUNTIF(K25,"*◆*"),COUNTIF(K25,"*▼*")),"","●"),"")</f>
        <v/>
      </c>
      <c r="X25" t="str">
        <f t="shared" si="9"/>
        <v/>
      </c>
      <c r="Y25" t="str">
        <f>IF($W25="●","LDP "&amp;E25&amp;"."&amp;$B$12,"")</f>
        <v/>
      </c>
      <c r="Z25" t="str">
        <f>IF($W25="●","AND=.D "&amp;$B$13&amp;" #0","")</f>
        <v/>
      </c>
      <c r="AA25" t="str">
        <f>IF($W25="●","MOV.D #"&amp;X25&amp;" "&amp;$B$13,"")</f>
        <v/>
      </c>
      <c r="AB25" t="str">
        <f>IF(LEN(U25),"MOV.D "&amp;$U25&amp;" "&amp;$B$14,"")</f>
        <v/>
      </c>
      <c r="AC25" t="str">
        <f>IF(AND(D25&lt;&gt;0,W25="●"),CHAR(10),"")&amp;IF(LEN(Y25),Y25,"")</f>
        <v/>
      </c>
      <c r="AD25" t="str">
        <f t="shared" si="2"/>
        <v/>
      </c>
      <c r="AE25" t="str">
        <f t="shared" si="3"/>
        <v/>
      </c>
      <c r="AF25" t="str">
        <f t="shared" si="10"/>
        <v/>
      </c>
      <c r="AG25" t="str">
        <f t="shared" si="11"/>
        <v/>
      </c>
      <c r="AI25" t="str">
        <f>IF($W25="●",AD25&amp;CHAR(10)&amp;"BOX_ST"&amp;CHAR(10)&amp;";//"&amp;$B$8,"")</f>
        <v/>
      </c>
      <c r="AJ25" t="str">
        <f>IF($W25="●",IF(LEN(AI25),AI25&amp;CHAR(10),"")&amp;";//エラーNo.を入れる"&amp;CHAR(10)&amp;";"&amp;$B$13&amp;"	:= "&amp;X25&amp;";","")</f>
        <v/>
      </c>
      <c r="AK25" t="str">
        <f>IF($W25="●",IF(LEN(AJ25),AJ25&amp;CHAR(10),"")&amp;IF(LEN(U25),";//エラーコードを入れる"&amp;CHAR(10)&amp;";"&amp;$B$14&amp;"	:= "&amp;U25&amp;".udiErr;",""),"")</f>
        <v/>
      </c>
      <c r="AL25" t="str">
        <f>IF($W25="●",IF(LEN(AK25),AK25&amp;CHAR(10),"")&amp;";//"&amp;$B$9,"")</f>
        <v/>
      </c>
    </row>
    <row r="26" spans="1:38" x14ac:dyDescent="0.55000000000000004">
      <c r="D26">
        <v>20</v>
      </c>
      <c r="M26" t="str">
        <f t="shared" si="4"/>
        <v/>
      </c>
      <c r="N26" t="str">
        <f t="shared" si="4"/>
        <v/>
      </c>
      <c r="O26" t="str">
        <f t="shared" si="4"/>
        <v/>
      </c>
      <c r="P26" t="str">
        <f t="shared" si="5"/>
        <v/>
      </c>
      <c r="Q26" t="str">
        <f t="shared" si="5"/>
        <v/>
      </c>
      <c r="R26" t="str">
        <f t="shared" si="5"/>
        <v/>
      </c>
      <c r="S26" t="str">
        <f t="shared" si="6"/>
        <v/>
      </c>
      <c r="T26" t="str">
        <f t="shared" si="7"/>
        <v/>
      </c>
      <c r="U26" t="str">
        <f t="shared" si="8"/>
        <v/>
      </c>
      <c r="W26" t="str">
        <f>IF(LEN(K26),IF(OR(COUNTIF(K26,"*◆*"),COUNTIF(K26,"*▼*")),"","●"),"")</f>
        <v/>
      </c>
      <c r="X26" t="str">
        <f t="shared" si="9"/>
        <v/>
      </c>
      <c r="Y26" t="str">
        <f>IF($W26="●","LDP "&amp;E26&amp;"."&amp;$B$12,"")</f>
        <v/>
      </c>
      <c r="Z26" t="str">
        <f>IF($W26="●","AND=.D "&amp;$B$13&amp;" #0","")</f>
        <v/>
      </c>
      <c r="AA26" t="str">
        <f>IF($W26="●","MOV.D #"&amp;X26&amp;" "&amp;$B$13,"")</f>
        <v/>
      </c>
      <c r="AB26" t="str">
        <f>IF(LEN(U26),"MOV.D "&amp;$U26&amp;" "&amp;$B$14,"")</f>
        <v/>
      </c>
      <c r="AC26" t="str">
        <f>IF(AND(D26&lt;&gt;0,W26="●"),CHAR(10),"")&amp;IF(LEN(Y26),Y26,"")</f>
        <v/>
      </c>
      <c r="AD26" t="str">
        <f t="shared" si="2"/>
        <v/>
      </c>
      <c r="AE26" t="str">
        <f t="shared" si="3"/>
        <v/>
      </c>
      <c r="AF26" t="str">
        <f t="shared" si="10"/>
        <v/>
      </c>
      <c r="AG26" t="str">
        <f t="shared" si="11"/>
        <v/>
      </c>
      <c r="AI26" t="str">
        <f>IF($W26="●",AD26&amp;CHAR(10)&amp;"BOX_ST"&amp;CHAR(10)&amp;";//"&amp;$B$8,"")</f>
        <v/>
      </c>
      <c r="AJ26" t="str">
        <f>IF($W26="●",IF(LEN(AI26),AI26&amp;CHAR(10),"")&amp;";//エラーNo.を入れる"&amp;CHAR(10)&amp;";"&amp;$B$13&amp;"	:= "&amp;X26&amp;";","")</f>
        <v/>
      </c>
      <c r="AK26" t="str">
        <f>IF($W26="●",IF(LEN(AJ26),AJ26&amp;CHAR(10),"")&amp;IF(LEN(U26),";//エラーコードを入れる"&amp;CHAR(10)&amp;";"&amp;$B$14&amp;"	:= "&amp;U26&amp;".udiErr;",""),"")</f>
        <v/>
      </c>
      <c r="AL26" t="str">
        <f>IF($W26="●",IF(LEN(AK26),AK26&amp;CHAR(10),"")&amp;";//"&amp;$B$9,"")</f>
        <v/>
      </c>
    </row>
    <row r="27" spans="1:38" x14ac:dyDescent="0.55000000000000004">
      <c r="D27">
        <v>21</v>
      </c>
      <c r="M27" t="str">
        <f t="shared" si="4"/>
        <v/>
      </c>
      <c r="N27" t="str">
        <f t="shared" si="4"/>
        <v/>
      </c>
      <c r="O27" t="str">
        <f t="shared" si="4"/>
        <v/>
      </c>
      <c r="P27" t="str">
        <f t="shared" si="5"/>
        <v/>
      </c>
      <c r="Q27" t="str">
        <f t="shared" si="5"/>
        <v/>
      </c>
      <c r="R27" t="str">
        <f t="shared" si="5"/>
        <v/>
      </c>
      <c r="S27" t="str">
        <f t="shared" si="6"/>
        <v/>
      </c>
      <c r="T27" t="str">
        <f t="shared" si="7"/>
        <v/>
      </c>
      <c r="U27" t="str">
        <f t="shared" si="8"/>
        <v/>
      </c>
      <c r="W27" t="str">
        <f>IF(LEN(K27),IF(OR(COUNTIF(K27,"*◆*"),COUNTIF(K27,"*▼*")),"","●"),"")</f>
        <v/>
      </c>
      <c r="X27" t="str">
        <f t="shared" si="9"/>
        <v/>
      </c>
      <c r="Y27" t="str">
        <f>IF($W27="●","LDP "&amp;E27&amp;"."&amp;$B$12,"")</f>
        <v/>
      </c>
      <c r="Z27" t="str">
        <f>IF($W27="●","AND=.D "&amp;$B$13&amp;" #0","")</f>
        <v/>
      </c>
      <c r="AA27" t="str">
        <f>IF($W27="●","MOV.D #"&amp;X27&amp;" "&amp;$B$13,"")</f>
        <v/>
      </c>
      <c r="AB27" t="str">
        <f>IF(LEN(U27),"MOV.D "&amp;$U27&amp;" "&amp;$B$14,"")</f>
        <v/>
      </c>
      <c r="AC27" t="str">
        <f>IF(AND(D27&lt;&gt;0,W27="●"),CHAR(10),"")&amp;IF(LEN(Y27),Y27,"")</f>
        <v/>
      </c>
      <c r="AD27" t="str">
        <f t="shared" si="2"/>
        <v/>
      </c>
      <c r="AE27" t="str">
        <f t="shared" si="3"/>
        <v/>
      </c>
      <c r="AF27" t="str">
        <f t="shared" si="10"/>
        <v/>
      </c>
      <c r="AG27" t="str">
        <f t="shared" si="11"/>
        <v/>
      </c>
      <c r="AI27" t="str">
        <f>IF($W27="●",AD27&amp;CHAR(10)&amp;"BOX_ST"&amp;CHAR(10)&amp;";//"&amp;$B$8,"")</f>
        <v/>
      </c>
      <c r="AJ27" t="str">
        <f>IF($W27="●",IF(LEN(AI27),AI27&amp;CHAR(10),"")&amp;";//エラーNo.を入れる"&amp;CHAR(10)&amp;";"&amp;$B$13&amp;"	:= "&amp;X27&amp;";","")</f>
        <v/>
      </c>
      <c r="AK27" t="str">
        <f>IF($W27="●",IF(LEN(AJ27),AJ27&amp;CHAR(10),"")&amp;IF(LEN(U27),";//エラーコードを入れる"&amp;CHAR(10)&amp;";"&amp;$B$14&amp;"	:= "&amp;U27&amp;".udiErr;",""),"")</f>
        <v/>
      </c>
      <c r="AL27" t="str">
        <f>IF($W27="●",IF(LEN(AK27),AK27&amp;CHAR(10),"")&amp;";//"&amp;$B$9,"")</f>
        <v/>
      </c>
    </row>
    <row r="28" spans="1:38" x14ac:dyDescent="0.55000000000000004">
      <c r="D28">
        <v>22</v>
      </c>
      <c r="M28" t="str">
        <f t="shared" si="4"/>
        <v/>
      </c>
      <c r="N28" t="str">
        <f t="shared" si="4"/>
        <v/>
      </c>
      <c r="O28" t="str">
        <f t="shared" si="4"/>
        <v/>
      </c>
      <c r="P28" t="str">
        <f t="shared" si="5"/>
        <v/>
      </c>
      <c r="Q28" t="str">
        <f t="shared" si="5"/>
        <v/>
      </c>
      <c r="R28" t="str">
        <f t="shared" si="5"/>
        <v/>
      </c>
      <c r="S28" t="str">
        <f t="shared" si="6"/>
        <v/>
      </c>
      <c r="T28" t="str">
        <f t="shared" si="7"/>
        <v/>
      </c>
      <c r="U28" t="str">
        <f t="shared" si="8"/>
        <v/>
      </c>
      <c r="W28" t="str">
        <f>IF(LEN(K28),IF(OR(COUNTIF(K28,"*◆*"),COUNTIF(K28,"*▼*")),"","●"),"")</f>
        <v/>
      </c>
      <c r="X28" t="str">
        <f t="shared" si="9"/>
        <v/>
      </c>
      <c r="Y28" t="str">
        <f>IF($W28="●","LDP "&amp;E28&amp;"."&amp;$B$12,"")</f>
        <v/>
      </c>
      <c r="Z28" t="str">
        <f>IF($W28="●","AND=.D "&amp;$B$13&amp;" #0","")</f>
        <v/>
      </c>
      <c r="AA28" t="str">
        <f>IF($W28="●","MOV.D #"&amp;X28&amp;" "&amp;$B$13,"")</f>
        <v/>
      </c>
      <c r="AB28" t="str">
        <f>IF(LEN(U28),"MOV.D "&amp;$U28&amp;" "&amp;$B$14,"")</f>
        <v/>
      </c>
      <c r="AC28" t="str">
        <f>IF(AND(D28&lt;&gt;0,W28="●"),CHAR(10),"")&amp;IF(LEN(Y28),Y28,"")</f>
        <v/>
      </c>
      <c r="AD28" t="str">
        <f t="shared" si="2"/>
        <v/>
      </c>
      <c r="AE28" t="str">
        <f t="shared" si="3"/>
        <v/>
      </c>
      <c r="AF28" t="str">
        <f t="shared" si="10"/>
        <v/>
      </c>
      <c r="AG28" t="str">
        <f t="shared" si="11"/>
        <v/>
      </c>
      <c r="AI28" t="str">
        <f>IF($W28="●",AD28&amp;CHAR(10)&amp;"BOX_ST"&amp;CHAR(10)&amp;";//"&amp;$B$8,"")</f>
        <v/>
      </c>
      <c r="AJ28" t="str">
        <f>IF($W28="●",IF(LEN(AI28),AI28&amp;CHAR(10),"")&amp;";//エラーNo.を入れる"&amp;CHAR(10)&amp;";"&amp;$B$13&amp;"	:= "&amp;X28&amp;";","")</f>
        <v/>
      </c>
      <c r="AK28" t="str">
        <f>IF($W28="●",IF(LEN(AJ28),AJ28&amp;CHAR(10),"")&amp;IF(LEN(U28),";//エラーコードを入れる"&amp;CHAR(10)&amp;";"&amp;$B$14&amp;"	:= "&amp;U28&amp;".udiErr;",""),"")</f>
        <v/>
      </c>
      <c r="AL28" t="str">
        <f>IF($W28="●",IF(LEN(AK28),AK28&amp;CHAR(10),"")&amp;";//"&amp;$B$9,"")</f>
        <v/>
      </c>
    </row>
    <row r="29" spans="1:38" x14ac:dyDescent="0.55000000000000004">
      <c r="D29">
        <v>23</v>
      </c>
      <c r="M29" t="str">
        <f t="shared" si="4"/>
        <v/>
      </c>
      <c r="N29" t="str">
        <f t="shared" si="4"/>
        <v/>
      </c>
      <c r="O29" t="str">
        <f t="shared" si="4"/>
        <v/>
      </c>
      <c r="P29" t="str">
        <f t="shared" si="5"/>
        <v/>
      </c>
      <c r="Q29" t="str">
        <f t="shared" si="5"/>
        <v/>
      </c>
      <c r="R29" t="str">
        <f t="shared" si="5"/>
        <v/>
      </c>
      <c r="S29" t="str">
        <f t="shared" si="6"/>
        <v/>
      </c>
      <c r="T29" t="str">
        <f t="shared" si="7"/>
        <v/>
      </c>
      <c r="U29" t="str">
        <f t="shared" si="8"/>
        <v/>
      </c>
      <c r="W29" t="str">
        <f>IF(LEN(K29),IF(OR(COUNTIF(K29,"*◆*"),COUNTIF(K29,"*▼*")),"","●"),"")</f>
        <v/>
      </c>
      <c r="X29" t="str">
        <f t="shared" si="9"/>
        <v/>
      </c>
      <c r="Y29" t="str">
        <f>IF($W29="●","LDP "&amp;E29&amp;"."&amp;$B$12,"")</f>
        <v/>
      </c>
      <c r="Z29" t="str">
        <f>IF($W29="●","AND=.D "&amp;$B$13&amp;" #0","")</f>
        <v/>
      </c>
      <c r="AA29" t="str">
        <f>IF($W29="●","MOV.D #"&amp;X29&amp;" "&amp;$B$13,"")</f>
        <v/>
      </c>
      <c r="AB29" t="str">
        <f>IF(LEN(U29),"MOV.D "&amp;$U29&amp;" "&amp;$B$14,"")</f>
        <v/>
      </c>
      <c r="AC29" t="str">
        <f>IF(AND(D29&lt;&gt;0,W29="●"),CHAR(10),"")&amp;IF(LEN(Y29),Y29,"")</f>
        <v/>
      </c>
      <c r="AD29" t="str">
        <f t="shared" si="2"/>
        <v/>
      </c>
      <c r="AE29" t="str">
        <f t="shared" si="3"/>
        <v/>
      </c>
      <c r="AF29" t="str">
        <f t="shared" si="10"/>
        <v/>
      </c>
      <c r="AG29" t="str">
        <f t="shared" si="11"/>
        <v/>
      </c>
      <c r="AI29" t="str">
        <f>IF($W29="●",AD29&amp;CHAR(10)&amp;"BOX_ST"&amp;CHAR(10)&amp;";//"&amp;$B$8,"")</f>
        <v/>
      </c>
      <c r="AJ29" t="str">
        <f>IF($W29="●",IF(LEN(AI29),AI29&amp;CHAR(10),"")&amp;";//エラーNo.を入れる"&amp;CHAR(10)&amp;";"&amp;$B$13&amp;"	:= "&amp;X29&amp;";","")</f>
        <v/>
      </c>
      <c r="AK29" t="str">
        <f>IF($W29="●",IF(LEN(AJ29),AJ29&amp;CHAR(10),"")&amp;IF(LEN(U29),";//エラーコードを入れる"&amp;CHAR(10)&amp;";"&amp;$B$14&amp;"	:= "&amp;U29&amp;".udiErr;",""),"")</f>
        <v/>
      </c>
      <c r="AL29" t="str">
        <f>IF($W29="●",IF(LEN(AK29),AK29&amp;CHAR(10),"")&amp;";//"&amp;$B$9,"")</f>
        <v/>
      </c>
    </row>
    <row r="30" spans="1:38" x14ac:dyDescent="0.55000000000000004">
      <c r="D30">
        <v>24</v>
      </c>
      <c r="M30" t="str">
        <f t="shared" si="4"/>
        <v/>
      </c>
      <c r="N30" t="str">
        <f t="shared" si="4"/>
        <v/>
      </c>
      <c r="O30" t="str">
        <f t="shared" si="4"/>
        <v/>
      </c>
      <c r="P30" t="str">
        <f t="shared" si="5"/>
        <v/>
      </c>
      <c r="Q30" t="str">
        <f t="shared" si="5"/>
        <v/>
      </c>
      <c r="R30" t="str">
        <f t="shared" si="5"/>
        <v/>
      </c>
      <c r="S30" t="str">
        <f t="shared" si="6"/>
        <v/>
      </c>
      <c r="T30" t="str">
        <f t="shared" si="7"/>
        <v/>
      </c>
      <c r="U30" t="str">
        <f t="shared" si="8"/>
        <v/>
      </c>
      <c r="W30" t="str">
        <f>IF(LEN(K30),IF(OR(COUNTIF(K30,"*◆*"),COUNTIF(K30,"*▼*")),"","●"),"")</f>
        <v/>
      </c>
      <c r="X30" t="str">
        <f t="shared" si="9"/>
        <v/>
      </c>
      <c r="Y30" t="str">
        <f>IF($W30="●","LDP "&amp;E30&amp;"."&amp;$B$12,"")</f>
        <v/>
      </c>
      <c r="Z30" t="str">
        <f>IF($W30="●","AND=.D "&amp;$B$13&amp;" #0","")</f>
        <v/>
      </c>
      <c r="AA30" t="str">
        <f>IF($W30="●","MOV.D #"&amp;X30&amp;" "&amp;$B$13,"")</f>
        <v/>
      </c>
      <c r="AB30" t="str">
        <f>IF(LEN(U30),"MOV.D "&amp;$U30&amp;" "&amp;$B$14,"")</f>
        <v/>
      </c>
      <c r="AC30" t="str">
        <f>IF(AND(D30&lt;&gt;0,W30="●"),CHAR(10),"")&amp;IF(LEN(Y30),Y30,"")</f>
        <v/>
      </c>
      <c r="AD30" t="str">
        <f t="shared" si="2"/>
        <v/>
      </c>
      <c r="AE30" t="str">
        <f t="shared" si="3"/>
        <v/>
      </c>
      <c r="AF30" t="str">
        <f t="shared" si="10"/>
        <v/>
      </c>
      <c r="AG30" t="str">
        <f t="shared" si="11"/>
        <v/>
      </c>
      <c r="AI30" t="str">
        <f>IF($W30="●",AD30&amp;CHAR(10)&amp;"BOX_ST"&amp;CHAR(10)&amp;";//"&amp;$B$8,"")</f>
        <v/>
      </c>
      <c r="AJ30" t="str">
        <f>IF($W30="●",IF(LEN(AI30),AI30&amp;CHAR(10),"")&amp;";//エラーNo.を入れる"&amp;CHAR(10)&amp;";"&amp;$B$13&amp;"	:= "&amp;X30&amp;";","")</f>
        <v/>
      </c>
      <c r="AK30" t="str">
        <f>IF($W30="●",IF(LEN(AJ30),AJ30&amp;CHAR(10),"")&amp;IF(LEN(U30),";//エラーコードを入れる"&amp;CHAR(10)&amp;";"&amp;$B$14&amp;"	:= "&amp;U30&amp;".udiErr;",""),"")</f>
        <v/>
      </c>
      <c r="AL30" t="str">
        <f>IF($W30="●",IF(LEN(AK30),AK30&amp;CHAR(10),"")&amp;";//"&amp;$B$9,"")</f>
        <v/>
      </c>
    </row>
    <row r="31" spans="1:38" x14ac:dyDescent="0.55000000000000004">
      <c r="D31">
        <v>25</v>
      </c>
      <c r="M31" t="str">
        <f t="shared" si="4"/>
        <v/>
      </c>
      <c r="N31" t="str">
        <f t="shared" si="4"/>
        <v/>
      </c>
      <c r="O31" t="str">
        <f t="shared" si="4"/>
        <v/>
      </c>
      <c r="P31" t="str">
        <f t="shared" si="5"/>
        <v/>
      </c>
      <c r="Q31" t="str">
        <f t="shared" si="5"/>
        <v/>
      </c>
      <c r="R31" t="str">
        <f t="shared" si="5"/>
        <v/>
      </c>
      <c r="S31" t="str">
        <f t="shared" si="6"/>
        <v/>
      </c>
      <c r="T31" t="str">
        <f t="shared" si="7"/>
        <v/>
      </c>
      <c r="U31" t="str">
        <f t="shared" si="8"/>
        <v/>
      </c>
      <c r="W31" t="str">
        <f>IF(LEN(K31),IF(OR(COUNTIF(K31,"*◆*"),COUNTIF(K31,"*▼*")),"","●"),"")</f>
        <v/>
      </c>
      <c r="X31" t="str">
        <f t="shared" si="9"/>
        <v/>
      </c>
      <c r="Y31" t="str">
        <f>IF($W31="●","LDP "&amp;E31&amp;"."&amp;$B$12,"")</f>
        <v/>
      </c>
      <c r="Z31" t="str">
        <f>IF($W31="●","AND=.D "&amp;$B$13&amp;" #0","")</f>
        <v/>
      </c>
      <c r="AA31" t="str">
        <f>IF($W31="●","MOV.D #"&amp;X31&amp;" "&amp;$B$13,"")</f>
        <v/>
      </c>
      <c r="AB31" t="str">
        <f>IF(LEN(U31),"MOV.D "&amp;$U31&amp;" "&amp;$B$14,"")</f>
        <v/>
      </c>
      <c r="AC31" t="str">
        <f>IF(AND(D31&lt;&gt;0,W31="●"),CHAR(10),"")&amp;IF(LEN(Y31),Y31,"")</f>
        <v/>
      </c>
      <c r="AD31" t="str">
        <f t="shared" si="2"/>
        <v/>
      </c>
      <c r="AE31" t="str">
        <f t="shared" si="3"/>
        <v/>
      </c>
      <c r="AF31" t="str">
        <f t="shared" si="10"/>
        <v/>
      </c>
      <c r="AG31" t="str">
        <f t="shared" si="11"/>
        <v/>
      </c>
      <c r="AI31" t="str">
        <f>IF($W31="●",AD31&amp;CHAR(10)&amp;"BOX_ST"&amp;CHAR(10)&amp;";//"&amp;$B$8,"")</f>
        <v/>
      </c>
      <c r="AJ31" t="str">
        <f>IF($W31="●",IF(LEN(AI31),AI31&amp;CHAR(10),"")&amp;";//エラーNo.を入れる"&amp;CHAR(10)&amp;";"&amp;$B$13&amp;"	:= "&amp;X31&amp;";","")</f>
        <v/>
      </c>
      <c r="AK31" t="str">
        <f>IF($W31="●",IF(LEN(AJ31),AJ31&amp;CHAR(10),"")&amp;IF(LEN(U31),";//エラーコードを入れる"&amp;CHAR(10)&amp;";"&amp;$B$14&amp;"	:= "&amp;U31&amp;".udiErr;",""),"")</f>
        <v/>
      </c>
      <c r="AL31" t="str">
        <f>IF($W31="●",IF(LEN(AK31),AK31&amp;CHAR(10),"")&amp;";//"&amp;$B$9,"")</f>
        <v/>
      </c>
    </row>
    <row r="32" spans="1:38" x14ac:dyDescent="0.55000000000000004">
      <c r="D32">
        <v>26</v>
      </c>
      <c r="M32" t="str">
        <f t="shared" si="4"/>
        <v/>
      </c>
      <c r="N32" t="str">
        <f t="shared" si="4"/>
        <v/>
      </c>
      <c r="O32" t="str">
        <f t="shared" si="4"/>
        <v/>
      </c>
      <c r="P32" t="str">
        <f t="shared" si="5"/>
        <v/>
      </c>
      <c r="Q32" t="str">
        <f t="shared" si="5"/>
        <v/>
      </c>
      <c r="R32" t="str">
        <f t="shared" si="5"/>
        <v/>
      </c>
      <c r="S32" t="str">
        <f t="shared" si="6"/>
        <v/>
      </c>
      <c r="T32" t="str">
        <f t="shared" si="7"/>
        <v/>
      </c>
      <c r="U32" t="str">
        <f t="shared" si="8"/>
        <v/>
      </c>
      <c r="W32" t="str">
        <f>IF(LEN(K32),IF(OR(COUNTIF(K32,"*◆*"),COUNTIF(K32,"*▼*")),"","●"),"")</f>
        <v/>
      </c>
      <c r="X32" t="str">
        <f t="shared" si="9"/>
        <v/>
      </c>
      <c r="Y32" t="str">
        <f>IF($W32="●","LDP "&amp;E32&amp;"."&amp;$B$12,"")</f>
        <v/>
      </c>
      <c r="Z32" t="str">
        <f>IF($W32="●","AND=.D "&amp;$B$13&amp;" #0","")</f>
        <v/>
      </c>
      <c r="AA32" t="str">
        <f>IF($W32="●","MOV.D #"&amp;X32&amp;" "&amp;$B$13,"")</f>
        <v/>
      </c>
      <c r="AB32" t="str">
        <f>IF(LEN(U32),"MOV.D "&amp;$U32&amp;" "&amp;$B$14,"")</f>
        <v/>
      </c>
      <c r="AC32" t="str">
        <f>IF(AND(D32&lt;&gt;0,W32="●"),CHAR(10),"")&amp;IF(LEN(Y32),Y32,"")</f>
        <v/>
      </c>
      <c r="AD32" t="str">
        <f t="shared" si="2"/>
        <v/>
      </c>
      <c r="AE32" t="str">
        <f t="shared" si="3"/>
        <v/>
      </c>
      <c r="AF32" t="str">
        <f t="shared" si="10"/>
        <v/>
      </c>
      <c r="AG32" t="str">
        <f t="shared" si="11"/>
        <v/>
      </c>
      <c r="AI32" t="str">
        <f>IF($W32="●",AD32&amp;CHAR(10)&amp;"BOX_ST"&amp;CHAR(10)&amp;";//"&amp;$B$8,"")</f>
        <v/>
      </c>
      <c r="AJ32" t="str">
        <f>IF($W32="●",IF(LEN(AI32),AI32&amp;CHAR(10),"")&amp;";//エラーNo.を入れる"&amp;CHAR(10)&amp;";"&amp;$B$13&amp;"	:= "&amp;X32&amp;";","")</f>
        <v/>
      </c>
      <c r="AK32" t="str">
        <f>IF($W32="●",IF(LEN(AJ32),AJ32&amp;CHAR(10),"")&amp;IF(LEN(U32),";//エラーコードを入れる"&amp;CHAR(10)&amp;";"&amp;$B$14&amp;"	:= "&amp;U32&amp;".udiErr;",""),"")</f>
        <v/>
      </c>
      <c r="AL32" t="str">
        <f>IF($W32="●",IF(LEN(AK32),AK32&amp;CHAR(10),"")&amp;";//"&amp;$B$9,"")</f>
        <v/>
      </c>
    </row>
    <row r="33" spans="4:38" x14ac:dyDescent="0.55000000000000004">
      <c r="D33">
        <v>27</v>
      </c>
      <c r="M33" t="str">
        <f t="shared" si="4"/>
        <v/>
      </c>
      <c r="N33" t="str">
        <f t="shared" si="4"/>
        <v/>
      </c>
      <c r="O33" t="str">
        <f t="shared" si="4"/>
        <v/>
      </c>
      <c r="P33" t="str">
        <f t="shared" si="5"/>
        <v/>
      </c>
      <c r="Q33" t="str">
        <f t="shared" si="5"/>
        <v/>
      </c>
      <c r="R33" t="str">
        <f t="shared" si="5"/>
        <v/>
      </c>
      <c r="S33" t="str">
        <f t="shared" si="6"/>
        <v/>
      </c>
      <c r="T33" t="str">
        <f t="shared" si="7"/>
        <v/>
      </c>
      <c r="U33" t="str">
        <f t="shared" si="8"/>
        <v/>
      </c>
      <c r="W33" t="str">
        <f>IF(LEN(K33),IF(OR(COUNTIF(K33,"*◆*"),COUNTIF(K33,"*▼*")),"","●"),"")</f>
        <v/>
      </c>
      <c r="X33" t="str">
        <f t="shared" si="9"/>
        <v/>
      </c>
      <c r="Y33" t="str">
        <f>IF($W33="●","LDP "&amp;E33&amp;"."&amp;$B$12,"")</f>
        <v/>
      </c>
      <c r="Z33" t="str">
        <f>IF($W33="●","AND=.D "&amp;$B$13&amp;" #0","")</f>
        <v/>
      </c>
      <c r="AA33" t="str">
        <f>IF($W33="●","MOV.D #"&amp;X33&amp;" "&amp;$B$13,"")</f>
        <v/>
      </c>
      <c r="AB33" t="str">
        <f>IF(LEN(U33),"MOV.D "&amp;$U33&amp;" "&amp;$B$14,"")</f>
        <v/>
      </c>
      <c r="AC33" t="str">
        <f>IF(AND(D33&lt;&gt;0,W33="●"),CHAR(10),"")&amp;IF(LEN(Y33),Y33,"")</f>
        <v/>
      </c>
      <c r="AD33" t="str">
        <f t="shared" si="2"/>
        <v/>
      </c>
      <c r="AE33" t="str">
        <f t="shared" si="3"/>
        <v/>
      </c>
      <c r="AF33" t="str">
        <f t="shared" si="10"/>
        <v/>
      </c>
      <c r="AG33" t="str">
        <f t="shared" si="11"/>
        <v/>
      </c>
      <c r="AI33" t="str">
        <f>IF($W33="●",AD33&amp;CHAR(10)&amp;"BOX_ST"&amp;CHAR(10)&amp;";//"&amp;$B$8,"")</f>
        <v/>
      </c>
      <c r="AJ33" t="str">
        <f>IF($W33="●",IF(LEN(AI33),AI33&amp;CHAR(10),"")&amp;";//エラーNo.を入れる"&amp;CHAR(10)&amp;";"&amp;$B$13&amp;"	:= "&amp;X33&amp;";","")</f>
        <v/>
      </c>
      <c r="AK33" t="str">
        <f>IF($W33="●",IF(LEN(AJ33),AJ33&amp;CHAR(10),"")&amp;IF(LEN(U33),";//エラーコードを入れる"&amp;CHAR(10)&amp;";"&amp;$B$14&amp;"	:= "&amp;U33&amp;".udiErr;",""),"")</f>
        <v/>
      </c>
      <c r="AL33" t="str">
        <f>IF($W33="●",IF(LEN(AK33),AK33&amp;CHAR(10),"")&amp;";//"&amp;$B$9,"")</f>
        <v/>
      </c>
    </row>
    <row r="34" spans="4:38" x14ac:dyDescent="0.55000000000000004">
      <c r="D34">
        <v>28</v>
      </c>
      <c r="M34" t="str">
        <f t="shared" si="4"/>
        <v/>
      </c>
      <c r="N34" t="str">
        <f t="shared" si="4"/>
        <v/>
      </c>
      <c r="O34" t="str">
        <f t="shared" si="4"/>
        <v/>
      </c>
      <c r="P34" t="str">
        <f t="shared" si="5"/>
        <v/>
      </c>
      <c r="Q34" t="str">
        <f t="shared" si="5"/>
        <v/>
      </c>
      <c r="R34" t="str">
        <f t="shared" si="5"/>
        <v/>
      </c>
      <c r="S34" t="str">
        <f t="shared" si="6"/>
        <v/>
      </c>
      <c r="T34" t="str">
        <f t="shared" si="7"/>
        <v/>
      </c>
      <c r="U34" t="str">
        <f t="shared" si="8"/>
        <v/>
      </c>
      <c r="W34" t="str">
        <f>IF(LEN(K34),IF(OR(COUNTIF(K34,"*◆*"),COUNTIF(K34,"*▼*")),"","●"),"")</f>
        <v/>
      </c>
      <c r="X34" t="str">
        <f t="shared" si="9"/>
        <v/>
      </c>
      <c r="Y34" t="str">
        <f>IF($W34="●","LDP "&amp;E34&amp;"."&amp;$B$12,"")</f>
        <v/>
      </c>
      <c r="Z34" t="str">
        <f>IF($W34="●","AND=.D "&amp;$B$13&amp;" #0","")</f>
        <v/>
      </c>
      <c r="AA34" t="str">
        <f>IF($W34="●","MOV.D #"&amp;X34&amp;" "&amp;$B$13,"")</f>
        <v/>
      </c>
      <c r="AB34" t="str">
        <f>IF(LEN(U34),"MOV.D "&amp;$U34&amp;" "&amp;$B$14,"")</f>
        <v/>
      </c>
      <c r="AC34" t="str">
        <f>IF(AND(D34&lt;&gt;0,W34="●"),CHAR(10),"")&amp;IF(LEN(Y34),Y34,"")</f>
        <v/>
      </c>
      <c r="AD34" t="str">
        <f t="shared" si="2"/>
        <v/>
      </c>
      <c r="AE34" t="str">
        <f t="shared" si="3"/>
        <v/>
      </c>
      <c r="AF34" t="str">
        <f t="shared" si="10"/>
        <v/>
      </c>
      <c r="AG34" t="str">
        <f t="shared" si="11"/>
        <v/>
      </c>
      <c r="AI34" t="str">
        <f>IF($W34="●",AD34&amp;CHAR(10)&amp;"BOX_ST"&amp;CHAR(10)&amp;";//"&amp;$B$8,"")</f>
        <v/>
      </c>
      <c r="AJ34" t="str">
        <f>IF($W34="●",IF(LEN(AI34),AI34&amp;CHAR(10),"")&amp;";//エラーNo.を入れる"&amp;CHAR(10)&amp;";"&amp;$B$13&amp;"	:= "&amp;X34&amp;";","")</f>
        <v/>
      </c>
      <c r="AK34" t="str">
        <f>IF($W34="●",IF(LEN(AJ34),AJ34&amp;CHAR(10),"")&amp;IF(LEN(U34),";//エラーコードを入れる"&amp;CHAR(10)&amp;";"&amp;$B$14&amp;"	:= "&amp;U34&amp;".udiErr;",""),"")</f>
        <v/>
      </c>
      <c r="AL34" t="str">
        <f>IF($W34="●",IF(LEN(AK34),AK34&amp;CHAR(10),"")&amp;";//"&amp;$B$9,"")</f>
        <v/>
      </c>
    </row>
    <row r="35" spans="4:38" x14ac:dyDescent="0.55000000000000004">
      <c r="D35">
        <v>29</v>
      </c>
      <c r="M35" t="str">
        <f t="shared" si="4"/>
        <v/>
      </c>
      <c r="N35" t="str">
        <f t="shared" si="4"/>
        <v/>
      </c>
      <c r="O35" t="str">
        <f t="shared" si="4"/>
        <v/>
      </c>
      <c r="P35" t="str">
        <f t="shared" si="5"/>
        <v/>
      </c>
      <c r="Q35" t="str">
        <f t="shared" si="5"/>
        <v/>
      </c>
      <c r="R35" t="str">
        <f t="shared" si="5"/>
        <v/>
      </c>
      <c r="S35" t="str">
        <f t="shared" si="6"/>
        <v/>
      </c>
      <c r="T35" t="str">
        <f t="shared" si="7"/>
        <v/>
      </c>
      <c r="U35" t="str">
        <f t="shared" si="8"/>
        <v/>
      </c>
      <c r="W35" t="str">
        <f>IF(LEN(K35),IF(OR(COUNTIF(K35,"*◆*"),COUNTIF(K35,"*▼*")),"","●"),"")</f>
        <v/>
      </c>
      <c r="X35" t="str">
        <f t="shared" si="9"/>
        <v/>
      </c>
      <c r="Y35" t="str">
        <f>IF($W35="●","LDP "&amp;E35&amp;"."&amp;$B$12,"")</f>
        <v/>
      </c>
      <c r="Z35" t="str">
        <f>IF($W35="●","AND=.D "&amp;$B$13&amp;" #0","")</f>
        <v/>
      </c>
      <c r="AA35" t="str">
        <f>IF($W35="●","MOV.D #"&amp;X35&amp;" "&amp;$B$13,"")</f>
        <v/>
      </c>
      <c r="AB35" t="str">
        <f>IF(LEN(U35),"MOV.D "&amp;$U35&amp;" "&amp;$B$14,"")</f>
        <v/>
      </c>
      <c r="AC35" t="str">
        <f>IF(AND(D35&lt;&gt;0,W35="●"),CHAR(10),"")&amp;IF(LEN(Y35),Y35,"")</f>
        <v/>
      </c>
      <c r="AD35" t="str">
        <f t="shared" si="2"/>
        <v/>
      </c>
      <c r="AE35" t="str">
        <f t="shared" si="3"/>
        <v/>
      </c>
      <c r="AF35" t="str">
        <f t="shared" si="10"/>
        <v/>
      </c>
      <c r="AG35" t="str">
        <f t="shared" si="11"/>
        <v/>
      </c>
      <c r="AI35" t="str">
        <f>IF($W35="●",AD35&amp;CHAR(10)&amp;"BOX_ST"&amp;CHAR(10)&amp;";//"&amp;$B$8,"")</f>
        <v/>
      </c>
      <c r="AJ35" t="str">
        <f>IF($W35="●",IF(LEN(AI35),AI35&amp;CHAR(10),"")&amp;";//エラーNo.を入れる"&amp;CHAR(10)&amp;";"&amp;$B$13&amp;"	:= "&amp;X35&amp;";","")</f>
        <v/>
      </c>
      <c r="AK35" t="str">
        <f>IF($W35="●",IF(LEN(AJ35),AJ35&amp;CHAR(10),"")&amp;IF(LEN(U35),";//エラーコードを入れる"&amp;CHAR(10)&amp;";"&amp;$B$14&amp;"	:= "&amp;U35&amp;".udiErr;",""),"")</f>
        <v/>
      </c>
      <c r="AL35" t="str">
        <f>IF($W35="●",IF(LEN(AK35),AK35&amp;CHAR(10),"")&amp;";//"&amp;$B$9,"")</f>
        <v/>
      </c>
    </row>
    <row r="36" spans="4:38" x14ac:dyDescent="0.55000000000000004">
      <c r="D36">
        <v>30</v>
      </c>
      <c r="M36" t="str">
        <f t="shared" si="4"/>
        <v/>
      </c>
      <c r="N36" t="str">
        <f t="shared" si="4"/>
        <v/>
      </c>
      <c r="O36" t="str">
        <f t="shared" si="4"/>
        <v/>
      </c>
      <c r="P36" t="str">
        <f t="shared" si="5"/>
        <v/>
      </c>
      <c r="Q36" t="str">
        <f t="shared" si="5"/>
        <v/>
      </c>
      <c r="R36" t="str">
        <f t="shared" si="5"/>
        <v/>
      </c>
      <c r="S36" t="str">
        <f t="shared" si="6"/>
        <v/>
      </c>
      <c r="T36" t="str">
        <f t="shared" si="7"/>
        <v/>
      </c>
      <c r="U36" t="str">
        <f t="shared" si="8"/>
        <v/>
      </c>
      <c r="W36" t="str">
        <f>IF(LEN(K36),IF(OR(COUNTIF(K36,"*◆*"),COUNTIF(K36,"*▼*")),"","●"),"")</f>
        <v/>
      </c>
      <c r="X36" t="str">
        <f t="shared" si="9"/>
        <v/>
      </c>
      <c r="Y36" t="str">
        <f>IF($W36="●","LDP "&amp;E36&amp;"."&amp;$B$12,"")</f>
        <v/>
      </c>
      <c r="Z36" t="str">
        <f>IF($W36="●","AND=.D "&amp;$B$13&amp;" #0","")</f>
        <v/>
      </c>
      <c r="AA36" t="str">
        <f>IF($W36="●","MOV.D #"&amp;X36&amp;" "&amp;$B$13,"")</f>
        <v/>
      </c>
      <c r="AB36" t="str">
        <f>IF(LEN(U36),"MOV.D "&amp;$U36&amp;" "&amp;$B$14,"")</f>
        <v/>
      </c>
      <c r="AC36" t="str">
        <f>IF(AND(D36&lt;&gt;0,W36="●"),CHAR(10),"")&amp;IF(LEN(Y36),Y36,"")</f>
        <v/>
      </c>
      <c r="AD36" t="str">
        <f t="shared" si="2"/>
        <v/>
      </c>
      <c r="AE36" t="str">
        <f t="shared" si="3"/>
        <v/>
      </c>
      <c r="AF36" t="str">
        <f t="shared" si="10"/>
        <v/>
      </c>
      <c r="AG36" t="str">
        <f t="shared" si="11"/>
        <v/>
      </c>
      <c r="AI36" t="str">
        <f>IF($W36="●",AD36&amp;CHAR(10)&amp;"BOX_ST"&amp;CHAR(10)&amp;";//"&amp;$B$8,"")</f>
        <v/>
      </c>
      <c r="AJ36" t="str">
        <f>IF($W36="●",IF(LEN(AI36),AI36&amp;CHAR(10),"")&amp;";//エラーNo.を入れる"&amp;CHAR(10)&amp;";"&amp;$B$13&amp;"	:= "&amp;X36&amp;";","")</f>
        <v/>
      </c>
      <c r="AK36" t="str">
        <f>IF($W36="●",IF(LEN(AJ36),AJ36&amp;CHAR(10),"")&amp;IF(LEN(U36),";//エラーコードを入れる"&amp;CHAR(10)&amp;";"&amp;$B$14&amp;"	:= "&amp;U36&amp;".udiErr;",""),"")</f>
        <v/>
      </c>
      <c r="AL36" t="str">
        <f>IF($W36="●",IF(LEN(AK36),AK36&amp;CHAR(10),"")&amp;";//"&amp;$B$9,"")</f>
        <v/>
      </c>
    </row>
    <row r="37" spans="4:38" x14ac:dyDescent="0.55000000000000004">
      <c r="D37">
        <v>31</v>
      </c>
      <c r="M37" t="str">
        <f t="shared" si="4"/>
        <v/>
      </c>
      <c r="N37" t="str">
        <f t="shared" si="4"/>
        <v/>
      </c>
      <c r="O37" t="str">
        <f t="shared" si="4"/>
        <v/>
      </c>
      <c r="P37" t="str">
        <f t="shared" si="5"/>
        <v/>
      </c>
      <c r="Q37" t="str">
        <f t="shared" si="5"/>
        <v/>
      </c>
      <c r="R37" t="str">
        <f t="shared" si="5"/>
        <v/>
      </c>
      <c r="S37" t="str">
        <f t="shared" si="6"/>
        <v/>
      </c>
      <c r="T37" t="str">
        <f t="shared" si="7"/>
        <v/>
      </c>
      <c r="U37" t="str">
        <f t="shared" si="8"/>
        <v/>
      </c>
      <c r="W37" t="str">
        <f>IF(LEN(K37),IF(OR(COUNTIF(K37,"*◆*"),COUNTIF(K37,"*▼*")),"","●"),"")</f>
        <v/>
      </c>
      <c r="X37" t="str">
        <f t="shared" si="9"/>
        <v/>
      </c>
      <c r="Y37" t="str">
        <f>IF($W37="●","LDP "&amp;E37&amp;"."&amp;$B$12,"")</f>
        <v/>
      </c>
      <c r="Z37" t="str">
        <f>IF($W37="●","AND=.D "&amp;$B$13&amp;" #0","")</f>
        <v/>
      </c>
      <c r="AA37" t="str">
        <f>IF($W37="●","MOV.D #"&amp;X37&amp;" "&amp;$B$13,"")</f>
        <v/>
      </c>
      <c r="AB37" t="str">
        <f>IF(LEN(U37),"MOV.D "&amp;$U37&amp;" "&amp;$B$14,"")</f>
        <v/>
      </c>
      <c r="AC37" t="str">
        <f>IF(AND(D37&lt;&gt;0,W37="●"),CHAR(10),"")&amp;IF(LEN(Y37),Y37,"")</f>
        <v/>
      </c>
      <c r="AD37" t="str">
        <f t="shared" si="2"/>
        <v/>
      </c>
      <c r="AE37" t="str">
        <f t="shared" si="3"/>
        <v/>
      </c>
      <c r="AF37" t="str">
        <f t="shared" si="10"/>
        <v/>
      </c>
      <c r="AG37" t="str">
        <f t="shared" si="11"/>
        <v/>
      </c>
      <c r="AI37" t="str">
        <f>IF($W37="●",AD37&amp;CHAR(10)&amp;"BOX_ST"&amp;CHAR(10)&amp;";//"&amp;$B$8,"")</f>
        <v/>
      </c>
      <c r="AJ37" t="str">
        <f>IF($W37="●",IF(LEN(AI37),AI37&amp;CHAR(10),"")&amp;";//エラーNo.を入れる"&amp;CHAR(10)&amp;";"&amp;$B$13&amp;"	:= "&amp;X37&amp;";","")</f>
        <v/>
      </c>
      <c r="AK37" t="str">
        <f>IF($W37="●",IF(LEN(AJ37),AJ37&amp;CHAR(10),"")&amp;IF(LEN(U37),";//エラーコードを入れる"&amp;CHAR(10)&amp;";"&amp;$B$14&amp;"	:= "&amp;U37&amp;".udiErr;",""),"")</f>
        <v/>
      </c>
      <c r="AL37" t="str">
        <f>IF($W37="●",IF(LEN(AK37),AK37&amp;CHAR(10),"")&amp;";//"&amp;$B$9,"")</f>
        <v/>
      </c>
    </row>
    <row r="38" spans="4:38" x14ac:dyDescent="0.55000000000000004">
      <c r="D38">
        <v>32</v>
      </c>
      <c r="M38" t="str">
        <f t="shared" si="4"/>
        <v/>
      </c>
      <c r="N38" t="str">
        <f t="shared" si="4"/>
        <v/>
      </c>
      <c r="O38" t="str">
        <f t="shared" si="4"/>
        <v/>
      </c>
      <c r="P38" t="str">
        <f t="shared" si="5"/>
        <v/>
      </c>
      <c r="Q38" t="str">
        <f t="shared" si="5"/>
        <v/>
      </c>
      <c r="R38" t="str">
        <f t="shared" si="5"/>
        <v/>
      </c>
      <c r="S38" t="str">
        <f t="shared" si="6"/>
        <v/>
      </c>
      <c r="T38" t="str">
        <f t="shared" si="7"/>
        <v/>
      </c>
      <c r="U38" t="str">
        <f t="shared" si="8"/>
        <v/>
      </c>
      <c r="W38" t="str">
        <f>IF(LEN(K38),IF(OR(COUNTIF(K38,"*◆*"),COUNTIF(K38,"*▼*")),"","●"),"")</f>
        <v/>
      </c>
      <c r="X38" t="str">
        <f t="shared" si="9"/>
        <v/>
      </c>
      <c r="Y38" t="str">
        <f>IF($W38="●","LDP "&amp;E38&amp;"."&amp;$B$12,"")</f>
        <v/>
      </c>
      <c r="Z38" t="str">
        <f>IF($W38="●","AND=.D "&amp;$B$13&amp;" #0","")</f>
        <v/>
      </c>
      <c r="AA38" t="str">
        <f>IF($W38="●","MOV.D #"&amp;X38&amp;" "&amp;$B$13,"")</f>
        <v/>
      </c>
      <c r="AB38" t="str">
        <f>IF(LEN(U38),"MOV.D "&amp;$U38&amp;" "&amp;$B$14,"")</f>
        <v/>
      </c>
      <c r="AC38" t="str">
        <f>IF(AND(D38&lt;&gt;0,W38="●"),CHAR(10),"")&amp;IF(LEN(Y38),Y38,"")</f>
        <v/>
      </c>
      <c r="AD38" t="str">
        <f t="shared" ref="AD38:AD69" si="12">IF(LEN(AC38),AC38&amp;CHAR(10),"")&amp;IF(LEN(Z38),Z38,"")</f>
        <v/>
      </c>
      <c r="AE38" t="str">
        <f t="shared" ref="AE38:AE69" si="13">IF(LEN(AD38),AD38&amp;CHAR(10),"")&amp;IF(LEN(AA38),AA38,"")</f>
        <v/>
      </c>
      <c r="AF38" t="str">
        <f t="shared" si="10"/>
        <v/>
      </c>
      <c r="AG38" t="str">
        <f t="shared" si="11"/>
        <v/>
      </c>
      <c r="AI38" t="str">
        <f>IF($W38="●",AD38&amp;CHAR(10)&amp;"BOX_ST"&amp;CHAR(10)&amp;";//"&amp;$B$8,"")</f>
        <v/>
      </c>
      <c r="AJ38" t="str">
        <f>IF($W38="●",IF(LEN(AI38),AI38&amp;CHAR(10),"")&amp;";//エラーNo.を入れる"&amp;CHAR(10)&amp;";"&amp;$B$13&amp;"	:= "&amp;X38&amp;";","")</f>
        <v/>
      </c>
      <c r="AK38" t="str">
        <f>IF($W38="●",IF(LEN(AJ38),AJ38&amp;CHAR(10),"")&amp;IF(LEN(U38),";//エラーコードを入れる"&amp;CHAR(10)&amp;";"&amp;$B$14&amp;"	:= "&amp;U38&amp;".udiErr;",""),"")</f>
        <v/>
      </c>
      <c r="AL38" t="str">
        <f>IF($W38="●",IF(LEN(AK38),AK38&amp;CHAR(10),"")&amp;";//"&amp;$B$9,"")</f>
        <v/>
      </c>
    </row>
    <row r="39" spans="4:38" x14ac:dyDescent="0.55000000000000004">
      <c r="D39">
        <v>33</v>
      </c>
      <c r="M39" t="str">
        <f t="shared" si="4"/>
        <v/>
      </c>
      <c r="N39" t="str">
        <f t="shared" si="4"/>
        <v/>
      </c>
      <c r="O39" t="str">
        <f t="shared" si="4"/>
        <v/>
      </c>
      <c r="P39" t="str">
        <f t="shared" ref="P39:R70" si="14">IF(AND(LEN($M39),P$2&lt;=$M39,$M39&lt;=P$3),P$5&amp;"["&amp;$M39-P$2&amp;"]","")</f>
        <v/>
      </c>
      <c r="Q39" t="str">
        <f t="shared" si="14"/>
        <v/>
      </c>
      <c r="R39" t="str">
        <f t="shared" si="14"/>
        <v/>
      </c>
      <c r="S39" t="str">
        <f t="shared" si="6"/>
        <v/>
      </c>
      <c r="T39" t="str">
        <f t="shared" si="7"/>
        <v/>
      </c>
      <c r="U39" t="str">
        <f t="shared" si="8"/>
        <v/>
      </c>
      <c r="W39" t="str">
        <f>IF(LEN(K39),IF(OR(COUNTIF(K39,"*◆*"),COUNTIF(K39,"*▼*")),"","●"),"")</f>
        <v/>
      </c>
      <c r="X39" t="str">
        <f t="shared" si="9"/>
        <v/>
      </c>
      <c r="Y39" t="str">
        <f>IF($W39="●","LDP "&amp;E39&amp;"."&amp;$B$12,"")</f>
        <v/>
      </c>
      <c r="Z39" t="str">
        <f>IF($W39="●","AND=.D "&amp;$B$13&amp;" #0","")</f>
        <v/>
      </c>
      <c r="AA39" t="str">
        <f>IF($W39="●","MOV.D #"&amp;X39&amp;" "&amp;$B$13,"")</f>
        <v/>
      </c>
      <c r="AB39" t="str">
        <f>IF(LEN(U39),"MOV.D "&amp;$U39&amp;" "&amp;$B$14,"")</f>
        <v/>
      </c>
      <c r="AC39" t="str">
        <f>IF(AND(D39&lt;&gt;0,W39="●"),CHAR(10),"")&amp;IF(LEN(Y39),Y39,"")</f>
        <v/>
      </c>
      <c r="AD39" t="str">
        <f t="shared" si="12"/>
        <v/>
      </c>
      <c r="AE39" t="str">
        <f t="shared" si="13"/>
        <v/>
      </c>
      <c r="AF39" t="str">
        <f t="shared" si="10"/>
        <v/>
      </c>
      <c r="AG39" t="str">
        <f t="shared" si="11"/>
        <v/>
      </c>
      <c r="AI39" t="str">
        <f>IF($W39="●",AD39&amp;CHAR(10)&amp;"BOX_ST"&amp;CHAR(10)&amp;";//"&amp;$B$8,"")</f>
        <v/>
      </c>
      <c r="AJ39" t="str">
        <f>IF($W39="●",IF(LEN(AI39),AI39&amp;CHAR(10),"")&amp;";//エラーNo.を入れる"&amp;CHAR(10)&amp;";"&amp;$B$13&amp;"	:= "&amp;X39&amp;";","")</f>
        <v/>
      </c>
      <c r="AK39" t="str">
        <f>IF($W39="●",IF(LEN(AJ39),AJ39&amp;CHAR(10),"")&amp;IF(LEN(U39),";//エラーコードを入れる"&amp;CHAR(10)&amp;";"&amp;$B$14&amp;"	:= "&amp;U39&amp;".udiErr;",""),"")</f>
        <v/>
      </c>
      <c r="AL39" t="str">
        <f>IF($W39="●",IF(LEN(AK39),AK39&amp;CHAR(10),"")&amp;";//"&amp;$B$9,"")</f>
        <v/>
      </c>
    </row>
    <row r="40" spans="4:38" x14ac:dyDescent="0.55000000000000004">
      <c r="D40">
        <v>34</v>
      </c>
      <c r="M40" t="str">
        <f t="shared" si="4"/>
        <v/>
      </c>
      <c r="N40" t="str">
        <f t="shared" si="4"/>
        <v/>
      </c>
      <c r="O40" t="str">
        <f t="shared" si="4"/>
        <v/>
      </c>
      <c r="P40" t="str">
        <f t="shared" si="14"/>
        <v/>
      </c>
      <c r="Q40" t="str">
        <f t="shared" si="14"/>
        <v/>
      </c>
      <c r="R40" t="str">
        <f t="shared" si="14"/>
        <v/>
      </c>
      <c r="S40" t="str">
        <f t="shared" si="6"/>
        <v/>
      </c>
      <c r="T40" t="str">
        <f t="shared" si="7"/>
        <v/>
      </c>
      <c r="U40" t="str">
        <f t="shared" si="8"/>
        <v/>
      </c>
      <c r="W40" t="str">
        <f>IF(LEN(K40),IF(OR(COUNTIF(K40,"*◆*"),COUNTIF(K40,"*▼*")),"","●"),"")</f>
        <v/>
      </c>
      <c r="X40" t="str">
        <f t="shared" si="9"/>
        <v/>
      </c>
      <c r="Y40" t="str">
        <f>IF($W40="●","LDP "&amp;E40&amp;"."&amp;$B$12,"")</f>
        <v/>
      </c>
      <c r="Z40" t="str">
        <f>IF($W40="●","AND=.D "&amp;$B$13&amp;" #0","")</f>
        <v/>
      </c>
      <c r="AA40" t="str">
        <f>IF($W40="●","MOV.D #"&amp;X40&amp;" "&amp;$B$13,"")</f>
        <v/>
      </c>
      <c r="AB40" t="str">
        <f>IF(LEN(U40),"MOV.D "&amp;$U40&amp;" "&amp;$B$14,"")</f>
        <v/>
      </c>
      <c r="AC40" t="str">
        <f>IF(AND(D40&lt;&gt;0,W40="●"),CHAR(10),"")&amp;IF(LEN(Y40),Y40,"")</f>
        <v/>
      </c>
      <c r="AD40" t="str">
        <f t="shared" si="12"/>
        <v/>
      </c>
      <c r="AE40" t="str">
        <f t="shared" si="13"/>
        <v/>
      </c>
      <c r="AF40" t="str">
        <f t="shared" si="10"/>
        <v/>
      </c>
      <c r="AG40" t="str">
        <f t="shared" si="11"/>
        <v/>
      </c>
      <c r="AI40" t="str">
        <f>IF($W40="●",AD40&amp;CHAR(10)&amp;"BOX_ST"&amp;CHAR(10)&amp;";//"&amp;$B$8,"")</f>
        <v/>
      </c>
      <c r="AJ40" t="str">
        <f>IF($W40="●",IF(LEN(AI40),AI40&amp;CHAR(10),"")&amp;";//エラーNo.を入れる"&amp;CHAR(10)&amp;";"&amp;$B$13&amp;"	:= "&amp;X40&amp;";","")</f>
        <v/>
      </c>
      <c r="AK40" t="str">
        <f>IF($W40="●",IF(LEN(AJ40),AJ40&amp;CHAR(10),"")&amp;IF(LEN(U40),";//エラーコードを入れる"&amp;CHAR(10)&amp;";"&amp;$B$14&amp;"	:= "&amp;U40&amp;".udiErr;",""),"")</f>
        <v/>
      </c>
      <c r="AL40" t="str">
        <f>IF($W40="●",IF(LEN(AK40),AK40&amp;CHAR(10),"")&amp;";//"&amp;$B$9,"")</f>
        <v/>
      </c>
    </row>
    <row r="41" spans="4:38" x14ac:dyDescent="0.55000000000000004">
      <c r="D41">
        <v>35</v>
      </c>
      <c r="M41" t="str">
        <f t="shared" si="4"/>
        <v/>
      </c>
      <c r="N41" t="str">
        <f t="shared" si="4"/>
        <v/>
      </c>
      <c r="O41" t="str">
        <f t="shared" si="4"/>
        <v/>
      </c>
      <c r="P41" t="str">
        <f t="shared" si="14"/>
        <v/>
      </c>
      <c r="Q41" t="str">
        <f t="shared" si="14"/>
        <v/>
      </c>
      <c r="R41" t="str">
        <f t="shared" si="14"/>
        <v/>
      </c>
      <c r="S41" t="str">
        <f t="shared" si="6"/>
        <v/>
      </c>
      <c r="T41" t="str">
        <f t="shared" si="7"/>
        <v/>
      </c>
      <c r="U41" t="str">
        <f t="shared" si="8"/>
        <v/>
      </c>
      <c r="W41" t="str">
        <f>IF(LEN(K41),IF(OR(COUNTIF(K41,"*◆*"),COUNTIF(K41,"*▼*")),"","●"),"")</f>
        <v/>
      </c>
      <c r="X41" t="str">
        <f t="shared" si="9"/>
        <v/>
      </c>
      <c r="Y41" t="str">
        <f>IF($W41="●","LDP "&amp;E41&amp;"."&amp;$B$12,"")</f>
        <v/>
      </c>
      <c r="Z41" t="str">
        <f>IF($W41="●","AND=.D "&amp;$B$13&amp;" #0","")</f>
        <v/>
      </c>
      <c r="AA41" t="str">
        <f>IF($W41="●","MOV.D #"&amp;X41&amp;" "&amp;$B$13,"")</f>
        <v/>
      </c>
      <c r="AB41" t="str">
        <f>IF(LEN(U41),"MOV.D "&amp;$U41&amp;" "&amp;$B$14,"")</f>
        <v/>
      </c>
      <c r="AC41" t="str">
        <f>IF(AND(D41&lt;&gt;0,W41="●"),CHAR(10),"")&amp;IF(LEN(Y41),Y41,"")</f>
        <v/>
      </c>
      <c r="AD41" t="str">
        <f t="shared" si="12"/>
        <v/>
      </c>
      <c r="AE41" t="str">
        <f t="shared" si="13"/>
        <v/>
      </c>
      <c r="AF41" t="str">
        <f t="shared" si="10"/>
        <v/>
      </c>
      <c r="AG41" t="str">
        <f t="shared" si="11"/>
        <v/>
      </c>
      <c r="AI41" t="str">
        <f>IF($W41="●",AD41&amp;CHAR(10)&amp;"BOX_ST"&amp;CHAR(10)&amp;";//"&amp;$B$8,"")</f>
        <v/>
      </c>
      <c r="AJ41" t="str">
        <f>IF($W41="●",IF(LEN(AI41),AI41&amp;CHAR(10),"")&amp;";//エラーNo.を入れる"&amp;CHAR(10)&amp;";"&amp;$B$13&amp;"	:= "&amp;X41&amp;";","")</f>
        <v/>
      </c>
      <c r="AK41" t="str">
        <f>IF($W41="●",IF(LEN(AJ41),AJ41&amp;CHAR(10),"")&amp;IF(LEN(U41),";//エラーコードを入れる"&amp;CHAR(10)&amp;";"&amp;$B$14&amp;"	:= "&amp;U41&amp;".udiErr;",""),"")</f>
        <v/>
      </c>
      <c r="AL41" t="str">
        <f>IF($W41="●",IF(LEN(AK41),AK41&amp;CHAR(10),"")&amp;";//"&amp;$B$9,"")</f>
        <v/>
      </c>
    </row>
    <row r="42" spans="4:38" x14ac:dyDescent="0.55000000000000004">
      <c r="D42">
        <v>36</v>
      </c>
      <c r="M42" t="str">
        <f t="shared" si="4"/>
        <v/>
      </c>
      <c r="N42" t="str">
        <f t="shared" si="4"/>
        <v/>
      </c>
      <c r="O42" t="str">
        <f t="shared" si="4"/>
        <v/>
      </c>
      <c r="P42" t="str">
        <f t="shared" si="14"/>
        <v/>
      </c>
      <c r="Q42" t="str">
        <f t="shared" si="14"/>
        <v/>
      </c>
      <c r="R42" t="str">
        <f t="shared" si="14"/>
        <v/>
      </c>
      <c r="S42" t="str">
        <f t="shared" si="6"/>
        <v/>
      </c>
      <c r="T42" t="str">
        <f t="shared" si="7"/>
        <v/>
      </c>
      <c r="U42" t="str">
        <f t="shared" si="8"/>
        <v/>
      </c>
      <c r="W42" t="str">
        <f>IF(LEN(K42),IF(OR(COUNTIF(K42,"*◆*"),COUNTIF(K42,"*▼*")),"","●"),"")</f>
        <v/>
      </c>
      <c r="X42" t="str">
        <f t="shared" si="9"/>
        <v/>
      </c>
      <c r="Y42" t="str">
        <f>IF($W42="●","LDP "&amp;E42&amp;"."&amp;$B$12,"")</f>
        <v/>
      </c>
      <c r="Z42" t="str">
        <f>IF($W42="●","AND=.D "&amp;$B$13&amp;" #0","")</f>
        <v/>
      </c>
      <c r="AA42" t="str">
        <f>IF($W42="●","MOV.D #"&amp;X42&amp;" "&amp;$B$13,"")</f>
        <v/>
      </c>
      <c r="AB42" t="str">
        <f>IF(LEN(U42),"MOV.D "&amp;$U42&amp;" "&amp;$B$14,"")</f>
        <v/>
      </c>
      <c r="AC42" t="str">
        <f>IF(AND(D42&lt;&gt;0,W42="●"),CHAR(10),"")&amp;IF(LEN(Y42),Y42,"")</f>
        <v/>
      </c>
      <c r="AD42" t="str">
        <f t="shared" si="12"/>
        <v/>
      </c>
      <c r="AE42" t="str">
        <f t="shared" si="13"/>
        <v/>
      </c>
      <c r="AF42" t="str">
        <f t="shared" si="10"/>
        <v/>
      </c>
      <c r="AG42" t="str">
        <f t="shared" si="11"/>
        <v/>
      </c>
      <c r="AI42" t="str">
        <f>IF($W42="●",AD42&amp;CHAR(10)&amp;"BOX_ST"&amp;CHAR(10)&amp;";//"&amp;$B$8,"")</f>
        <v/>
      </c>
      <c r="AJ42" t="str">
        <f>IF($W42="●",IF(LEN(AI42),AI42&amp;CHAR(10),"")&amp;";//エラーNo.を入れる"&amp;CHAR(10)&amp;";"&amp;$B$13&amp;"	:= "&amp;X42&amp;";","")</f>
        <v/>
      </c>
      <c r="AK42" t="str">
        <f>IF($W42="●",IF(LEN(AJ42),AJ42&amp;CHAR(10),"")&amp;IF(LEN(U42),";//エラーコードを入れる"&amp;CHAR(10)&amp;";"&amp;$B$14&amp;"	:= "&amp;U42&amp;".udiErr;",""),"")</f>
        <v/>
      </c>
      <c r="AL42" t="str">
        <f>IF($W42="●",IF(LEN(AK42),AK42&amp;CHAR(10),"")&amp;";//"&amp;$B$9,"")</f>
        <v/>
      </c>
    </row>
    <row r="43" spans="4:38" x14ac:dyDescent="0.55000000000000004">
      <c r="D43">
        <v>37</v>
      </c>
      <c r="M43" t="str">
        <f t="shared" si="4"/>
        <v/>
      </c>
      <c r="N43" t="str">
        <f t="shared" si="4"/>
        <v/>
      </c>
      <c r="O43" t="str">
        <f t="shared" si="4"/>
        <v/>
      </c>
      <c r="P43" t="str">
        <f t="shared" si="14"/>
        <v/>
      </c>
      <c r="Q43" t="str">
        <f t="shared" si="14"/>
        <v/>
      </c>
      <c r="R43" t="str">
        <f t="shared" si="14"/>
        <v/>
      </c>
      <c r="S43" t="str">
        <f t="shared" si="6"/>
        <v/>
      </c>
      <c r="T43" t="str">
        <f t="shared" si="7"/>
        <v/>
      </c>
      <c r="U43" t="str">
        <f t="shared" si="8"/>
        <v/>
      </c>
      <c r="W43" t="str">
        <f>IF(LEN(K43),IF(OR(COUNTIF(K43,"*◆*"),COUNTIF(K43,"*▼*")),"","●"),"")</f>
        <v/>
      </c>
      <c r="X43" t="str">
        <f t="shared" si="9"/>
        <v/>
      </c>
      <c r="Y43" t="str">
        <f>IF($W43="●","LDP "&amp;E43&amp;"."&amp;$B$12,"")</f>
        <v/>
      </c>
      <c r="Z43" t="str">
        <f>IF($W43="●","AND=.D "&amp;$B$13&amp;" #0","")</f>
        <v/>
      </c>
      <c r="AA43" t="str">
        <f>IF($W43="●","MOV.D #"&amp;X43&amp;" "&amp;$B$13,"")</f>
        <v/>
      </c>
      <c r="AB43" t="str">
        <f>IF(LEN(U43),"MOV.D "&amp;$U43&amp;" "&amp;$B$14,"")</f>
        <v/>
      </c>
      <c r="AC43" t="str">
        <f>IF(AND(D43&lt;&gt;0,W43="●"),CHAR(10),"")&amp;IF(LEN(Y43),Y43,"")</f>
        <v/>
      </c>
      <c r="AD43" t="str">
        <f t="shared" si="12"/>
        <v/>
      </c>
      <c r="AE43" t="str">
        <f t="shared" si="13"/>
        <v/>
      </c>
      <c r="AF43" t="str">
        <f t="shared" si="10"/>
        <v/>
      </c>
      <c r="AG43" t="str">
        <f t="shared" si="11"/>
        <v/>
      </c>
      <c r="AI43" t="str">
        <f>IF($W43="●",AD43&amp;CHAR(10)&amp;"BOX_ST"&amp;CHAR(10)&amp;";//"&amp;$B$8,"")</f>
        <v/>
      </c>
      <c r="AJ43" t="str">
        <f>IF($W43="●",IF(LEN(AI43),AI43&amp;CHAR(10),"")&amp;";//エラーNo.を入れる"&amp;CHAR(10)&amp;";"&amp;$B$13&amp;"	:= "&amp;X43&amp;";","")</f>
        <v/>
      </c>
      <c r="AK43" t="str">
        <f>IF($W43="●",IF(LEN(AJ43),AJ43&amp;CHAR(10),"")&amp;IF(LEN(U43),";//エラーコードを入れる"&amp;CHAR(10)&amp;";"&amp;$B$14&amp;"	:= "&amp;U43&amp;".udiErr;",""),"")</f>
        <v/>
      </c>
      <c r="AL43" t="str">
        <f>IF($W43="●",IF(LEN(AK43),AK43&amp;CHAR(10),"")&amp;";//"&amp;$B$9,"")</f>
        <v/>
      </c>
    </row>
    <row r="44" spans="4:38" x14ac:dyDescent="0.55000000000000004">
      <c r="D44">
        <v>38</v>
      </c>
      <c r="M44" t="str">
        <f t="shared" si="4"/>
        <v/>
      </c>
      <c r="N44" t="str">
        <f t="shared" si="4"/>
        <v/>
      </c>
      <c r="O44" t="str">
        <f t="shared" si="4"/>
        <v/>
      </c>
      <c r="P44" t="str">
        <f t="shared" si="14"/>
        <v/>
      </c>
      <c r="Q44" t="str">
        <f t="shared" si="14"/>
        <v/>
      </c>
      <c r="R44" t="str">
        <f t="shared" si="14"/>
        <v/>
      </c>
      <c r="S44" t="str">
        <f t="shared" si="6"/>
        <v/>
      </c>
      <c r="T44" t="str">
        <f t="shared" si="7"/>
        <v/>
      </c>
      <c r="U44" t="str">
        <f t="shared" si="8"/>
        <v/>
      </c>
      <c r="W44" t="str">
        <f>IF(LEN(K44),IF(OR(COUNTIF(K44,"*◆*"),COUNTIF(K44,"*▼*")),"","●"),"")</f>
        <v/>
      </c>
      <c r="X44" t="str">
        <f t="shared" si="9"/>
        <v/>
      </c>
      <c r="Y44" t="str">
        <f>IF($W44="●","LDP "&amp;E44&amp;"."&amp;$B$12,"")</f>
        <v/>
      </c>
      <c r="Z44" t="str">
        <f>IF($W44="●","AND=.D "&amp;$B$13&amp;" #0","")</f>
        <v/>
      </c>
      <c r="AA44" t="str">
        <f>IF($W44="●","MOV.D #"&amp;X44&amp;" "&amp;$B$13,"")</f>
        <v/>
      </c>
      <c r="AB44" t="str">
        <f>IF(LEN(U44),"MOV.D "&amp;$U44&amp;" "&amp;$B$14,"")</f>
        <v/>
      </c>
      <c r="AC44" t="str">
        <f>IF(AND(D44&lt;&gt;0,W44="●"),CHAR(10),"")&amp;IF(LEN(Y44),Y44,"")</f>
        <v/>
      </c>
      <c r="AD44" t="str">
        <f t="shared" si="12"/>
        <v/>
      </c>
      <c r="AE44" t="str">
        <f t="shared" si="13"/>
        <v/>
      </c>
      <c r="AF44" t="str">
        <f t="shared" si="10"/>
        <v/>
      </c>
      <c r="AG44" t="str">
        <f t="shared" si="11"/>
        <v/>
      </c>
      <c r="AI44" t="str">
        <f>IF($W44="●",AD44&amp;CHAR(10)&amp;"BOX_ST"&amp;CHAR(10)&amp;";//"&amp;$B$8,"")</f>
        <v/>
      </c>
      <c r="AJ44" t="str">
        <f>IF($W44="●",IF(LEN(AI44),AI44&amp;CHAR(10),"")&amp;";//エラーNo.を入れる"&amp;CHAR(10)&amp;";"&amp;$B$13&amp;"	:= "&amp;X44&amp;";","")</f>
        <v/>
      </c>
      <c r="AK44" t="str">
        <f>IF($W44="●",IF(LEN(AJ44),AJ44&amp;CHAR(10),"")&amp;IF(LEN(U44),";//エラーコードを入れる"&amp;CHAR(10)&amp;";"&amp;$B$14&amp;"	:= "&amp;U44&amp;".udiErr;",""),"")</f>
        <v/>
      </c>
      <c r="AL44" t="str">
        <f>IF($W44="●",IF(LEN(AK44),AK44&amp;CHAR(10),"")&amp;";//"&amp;$B$9,"")</f>
        <v/>
      </c>
    </row>
    <row r="45" spans="4:38" x14ac:dyDescent="0.55000000000000004">
      <c r="D45">
        <v>39</v>
      </c>
      <c r="M45" t="str">
        <f t="shared" si="4"/>
        <v/>
      </c>
      <c r="N45" t="str">
        <f t="shared" si="4"/>
        <v/>
      </c>
      <c r="O45" t="str">
        <f t="shared" si="4"/>
        <v/>
      </c>
      <c r="P45" t="str">
        <f t="shared" si="14"/>
        <v/>
      </c>
      <c r="Q45" t="str">
        <f t="shared" si="14"/>
        <v/>
      </c>
      <c r="R45" t="str">
        <f t="shared" si="14"/>
        <v/>
      </c>
      <c r="S45" t="str">
        <f t="shared" si="6"/>
        <v/>
      </c>
      <c r="T45" t="str">
        <f t="shared" si="7"/>
        <v/>
      </c>
      <c r="U45" t="str">
        <f t="shared" si="8"/>
        <v/>
      </c>
      <c r="W45" t="str">
        <f>IF(LEN(K45),IF(OR(COUNTIF(K45,"*◆*"),COUNTIF(K45,"*▼*")),"","●"),"")</f>
        <v/>
      </c>
      <c r="X45" t="str">
        <f t="shared" si="9"/>
        <v/>
      </c>
      <c r="Y45" t="str">
        <f>IF($W45="●","LDP "&amp;E45&amp;"."&amp;$B$12,"")</f>
        <v/>
      </c>
      <c r="Z45" t="str">
        <f>IF($W45="●","AND=.D "&amp;$B$13&amp;" #0","")</f>
        <v/>
      </c>
      <c r="AA45" t="str">
        <f>IF($W45="●","MOV.D #"&amp;X45&amp;" "&amp;$B$13,"")</f>
        <v/>
      </c>
      <c r="AB45" t="str">
        <f>IF(LEN(U45),"MOV.D "&amp;$U45&amp;" "&amp;$B$14,"")</f>
        <v/>
      </c>
      <c r="AC45" t="str">
        <f>IF(AND(D45&lt;&gt;0,W45="●"),CHAR(10),"")&amp;IF(LEN(Y45),Y45,"")</f>
        <v/>
      </c>
      <c r="AD45" t="str">
        <f t="shared" si="12"/>
        <v/>
      </c>
      <c r="AE45" t="str">
        <f t="shared" si="13"/>
        <v/>
      </c>
      <c r="AF45" t="str">
        <f t="shared" si="10"/>
        <v/>
      </c>
      <c r="AG45" t="str">
        <f t="shared" si="11"/>
        <v/>
      </c>
      <c r="AI45" t="str">
        <f>IF($W45="●",AD45&amp;CHAR(10)&amp;"BOX_ST"&amp;CHAR(10)&amp;";//"&amp;$B$8,"")</f>
        <v/>
      </c>
      <c r="AJ45" t="str">
        <f>IF($W45="●",IF(LEN(AI45),AI45&amp;CHAR(10),"")&amp;";//エラーNo.を入れる"&amp;CHAR(10)&amp;";"&amp;$B$13&amp;"	:= "&amp;X45&amp;";","")</f>
        <v/>
      </c>
      <c r="AK45" t="str">
        <f>IF($W45="●",IF(LEN(AJ45),AJ45&amp;CHAR(10),"")&amp;IF(LEN(U45),";//エラーコードを入れる"&amp;CHAR(10)&amp;";"&amp;$B$14&amp;"	:= "&amp;U45&amp;".udiErr;",""),"")</f>
        <v/>
      </c>
      <c r="AL45" t="str">
        <f>IF($W45="●",IF(LEN(AK45),AK45&amp;CHAR(10),"")&amp;";//"&amp;$B$9,"")</f>
        <v/>
      </c>
    </row>
    <row r="46" spans="4:38" x14ac:dyDescent="0.55000000000000004">
      <c r="D46">
        <v>40</v>
      </c>
      <c r="M46" t="str">
        <f t="shared" si="4"/>
        <v/>
      </c>
      <c r="N46" t="str">
        <f t="shared" si="4"/>
        <v/>
      </c>
      <c r="O46" t="str">
        <f t="shared" si="4"/>
        <v/>
      </c>
      <c r="P46" t="str">
        <f t="shared" si="14"/>
        <v/>
      </c>
      <c r="Q46" t="str">
        <f t="shared" si="14"/>
        <v/>
      </c>
      <c r="R46" t="str">
        <f t="shared" si="14"/>
        <v/>
      </c>
      <c r="S46" t="str">
        <f t="shared" si="6"/>
        <v/>
      </c>
      <c r="T46" t="str">
        <f t="shared" si="7"/>
        <v/>
      </c>
      <c r="U46" t="str">
        <f t="shared" si="8"/>
        <v/>
      </c>
      <c r="W46" t="str">
        <f>IF(LEN(K46),IF(OR(COUNTIF(K46,"*◆*"),COUNTIF(K46,"*▼*")),"","●"),"")</f>
        <v/>
      </c>
      <c r="X46" t="str">
        <f t="shared" si="9"/>
        <v/>
      </c>
      <c r="Y46" t="str">
        <f>IF($W46="●","LDP "&amp;E46&amp;"."&amp;$B$12,"")</f>
        <v/>
      </c>
      <c r="Z46" t="str">
        <f>IF($W46="●","AND=.D "&amp;$B$13&amp;" #0","")</f>
        <v/>
      </c>
      <c r="AA46" t="str">
        <f>IF($W46="●","MOV.D #"&amp;X46&amp;" "&amp;$B$13,"")</f>
        <v/>
      </c>
      <c r="AB46" t="str">
        <f>IF(LEN(U46),"MOV.D "&amp;$U46&amp;" "&amp;$B$14,"")</f>
        <v/>
      </c>
      <c r="AC46" t="str">
        <f>IF(AND(D46&lt;&gt;0,W46="●"),CHAR(10),"")&amp;IF(LEN(Y46),Y46,"")</f>
        <v/>
      </c>
      <c r="AD46" t="str">
        <f t="shared" si="12"/>
        <v/>
      </c>
      <c r="AE46" t="str">
        <f t="shared" si="13"/>
        <v/>
      </c>
      <c r="AF46" t="str">
        <f t="shared" si="10"/>
        <v/>
      </c>
      <c r="AG46" t="str">
        <f t="shared" si="11"/>
        <v/>
      </c>
      <c r="AI46" t="str">
        <f>IF($W46="●",AD46&amp;CHAR(10)&amp;"BOX_ST"&amp;CHAR(10)&amp;";//"&amp;$B$8,"")</f>
        <v/>
      </c>
      <c r="AJ46" t="str">
        <f>IF($W46="●",IF(LEN(AI46),AI46&amp;CHAR(10),"")&amp;";//エラーNo.を入れる"&amp;CHAR(10)&amp;";"&amp;$B$13&amp;"	:= "&amp;X46&amp;";","")</f>
        <v/>
      </c>
      <c r="AK46" t="str">
        <f>IF($W46="●",IF(LEN(AJ46),AJ46&amp;CHAR(10),"")&amp;IF(LEN(U46),";//エラーコードを入れる"&amp;CHAR(10)&amp;";"&amp;$B$14&amp;"	:= "&amp;U46&amp;".udiErr;",""),"")</f>
        <v/>
      </c>
      <c r="AL46" t="str">
        <f>IF($W46="●",IF(LEN(AK46),AK46&amp;CHAR(10),"")&amp;";//"&amp;$B$9,"")</f>
        <v/>
      </c>
    </row>
    <row r="47" spans="4:38" x14ac:dyDescent="0.55000000000000004">
      <c r="D47">
        <v>41</v>
      </c>
      <c r="M47" t="str">
        <f t="shared" si="4"/>
        <v/>
      </c>
      <c r="N47" t="str">
        <f t="shared" si="4"/>
        <v/>
      </c>
      <c r="O47" t="str">
        <f t="shared" si="4"/>
        <v/>
      </c>
      <c r="P47" t="str">
        <f t="shared" si="14"/>
        <v/>
      </c>
      <c r="Q47" t="str">
        <f t="shared" si="14"/>
        <v/>
      </c>
      <c r="R47" t="str">
        <f t="shared" si="14"/>
        <v/>
      </c>
      <c r="S47" t="str">
        <f t="shared" si="6"/>
        <v/>
      </c>
      <c r="T47" t="str">
        <f t="shared" si="7"/>
        <v/>
      </c>
      <c r="U47" t="str">
        <f t="shared" si="8"/>
        <v/>
      </c>
      <c r="W47" t="str">
        <f>IF(LEN(K47),IF(OR(COUNTIF(K47,"*◆*"),COUNTIF(K47,"*▼*")),"","●"),"")</f>
        <v/>
      </c>
      <c r="X47" t="str">
        <f t="shared" si="9"/>
        <v/>
      </c>
      <c r="Y47" t="str">
        <f>IF($W47="●","LDP "&amp;E47&amp;"."&amp;$B$12,"")</f>
        <v/>
      </c>
      <c r="Z47" t="str">
        <f>IF($W47="●","AND=.D "&amp;$B$13&amp;" #0","")</f>
        <v/>
      </c>
      <c r="AA47" t="str">
        <f>IF($W47="●","MOV.D #"&amp;X47&amp;" "&amp;$B$13,"")</f>
        <v/>
      </c>
      <c r="AB47" t="str">
        <f>IF(LEN(U47),"MOV.D "&amp;$U47&amp;" "&amp;$B$14,"")</f>
        <v/>
      </c>
      <c r="AC47" t="str">
        <f>IF(AND(D47&lt;&gt;0,W47="●"),CHAR(10),"")&amp;IF(LEN(Y47),Y47,"")</f>
        <v/>
      </c>
      <c r="AD47" t="str">
        <f t="shared" si="12"/>
        <v/>
      </c>
      <c r="AE47" t="str">
        <f t="shared" si="13"/>
        <v/>
      </c>
      <c r="AF47" t="str">
        <f t="shared" si="10"/>
        <v/>
      </c>
      <c r="AG47" t="str">
        <f t="shared" si="11"/>
        <v/>
      </c>
      <c r="AI47" t="str">
        <f>IF($W47="●",AD47&amp;CHAR(10)&amp;"BOX_ST"&amp;CHAR(10)&amp;";//"&amp;$B$8,"")</f>
        <v/>
      </c>
      <c r="AJ47" t="str">
        <f>IF($W47="●",IF(LEN(AI47),AI47&amp;CHAR(10),"")&amp;";//エラーNo.を入れる"&amp;CHAR(10)&amp;";"&amp;$B$13&amp;"	:= "&amp;X47&amp;";","")</f>
        <v/>
      </c>
      <c r="AK47" t="str">
        <f>IF($W47="●",IF(LEN(AJ47),AJ47&amp;CHAR(10),"")&amp;IF(LEN(U47),";//エラーコードを入れる"&amp;CHAR(10)&amp;";"&amp;$B$14&amp;"	:= "&amp;U47&amp;".udiErr;",""),"")</f>
        <v/>
      </c>
      <c r="AL47" t="str">
        <f>IF($W47="●",IF(LEN(AK47),AK47&amp;CHAR(10),"")&amp;";//"&amp;$B$9,"")</f>
        <v/>
      </c>
    </row>
    <row r="48" spans="4:38" x14ac:dyDescent="0.55000000000000004">
      <c r="D48">
        <v>42</v>
      </c>
      <c r="M48" t="str">
        <f t="shared" si="4"/>
        <v/>
      </c>
      <c r="N48" t="str">
        <f t="shared" si="4"/>
        <v/>
      </c>
      <c r="O48" t="str">
        <f t="shared" si="4"/>
        <v/>
      </c>
      <c r="P48" t="str">
        <f t="shared" si="14"/>
        <v/>
      </c>
      <c r="Q48" t="str">
        <f t="shared" si="14"/>
        <v/>
      </c>
      <c r="R48" t="str">
        <f t="shared" si="14"/>
        <v/>
      </c>
      <c r="S48" t="str">
        <f t="shared" si="6"/>
        <v/>
      </c>
      <c r="T48" t="str">
        <f t="shared" si="7"/>
        <v/>
      </c>
      <c r="U48" t="str">
        <f t="shared" si="8"/>
        <v/>
      </c>
      <c r="W48" t="str">
        <f>IF(LEN(K48),IF(OR(COUNTIF(K48,"*◆*"),COUNTIF(K48,"*▼*")),"","●"),"")</f>
        <v/>
      </c>
      <c r="X48" t="str">
        <f t="shared" si="9"/>
        <v/>
      </c>
      <c r="Y48" t="str">
        <f>IF($W48="●","LDP "&amp;E48&amp;"."&amp;$B$12,"")</f>
        <v/>
      </c>
      <c r="Z48" t="str">
        <f>IF($W48="●","AND=.D "&amp;$B$13&amp;" #0","")</f>
        <v/>
      </c>
      <c r="AA48" t="str">
        <f>IF($W48="●","MOV.D #"&amp;X48&amp;" "&amp;$B$13,"")</f>
        <v/>
      </c>
      <c r="AB48" t="str">
        <f>IF(LEN(U48),"MOV.D "&amp;$U48&amp;" "&amp;$B$14,"")</f>
        <v/>
      </c>
      <c r="AC48" t="str">
        <f>IF(AND(D48&lt;&gt;0,W48="●"),CHAR(10),"")&amp;IF(LEN(Y48),Y48,"")</f>
        <v/>
      </c>
      <c r="AD48" t="str">
        <f t="shared" si="12"/>
        <v/>
      </c>
      <c r="AE48" t="str">
        <f t="shared" si="13"/>
        <v/>
      </c>
      <c r="AF48" t="str">
        <f t="shared" si="10"/>
        <v/>
      </c>
      <c r="AG48" t="str">
        <f t="shared" si="11"/>
        <v/>
      </c>
      <c r="AI48" t="str">
        <f>IF($W48="●",AD48&amp;CHAR(10)&amp;"BOX_ST"&amp;CHAR(10)&amp;";//"&amp;$B$8,"")</f>
        <v/>
      </c>
      <c r="AJ48" t="str">
        <f>IF($W48="●",IF(LEN(AI48),AI48&amp;CHAR(10),"")&amp;";//エラーNo.を入れる"&amp;CHAR(10)&amp;";"&amp;$B$13&amp;"	:= "&amp;X48&amp;";","")</f>
        <v/>
      </c>
      <c r="AK48" t="str">
        <f>IF($W48="●",IF(LEN(AJ48),AJ48&amp;CHAR(10),"")&amp;IF(LEN(U48),";//エラーコードを入れる"&amp;CHAR(10)&amp;";"&amp;$B$14&amp;"	:= "&amp;U48&amp;".udiErr;",""),"")</f>
        <v/>
      </c>
      <c r="AL48" t="str">
        <f>IF($W48="●",IF(LEN(AK48),AK48&amp;CHAR(10),"")&amp;";//"&amp;$B$9,"")</f>
        <v/>
      </c>
    </row>
    <row r="49" spans="4:38" x14ac:dyDescent="0.55000000000000004">
      <c r="D49">
        <v>43</v>
      </c>
      <c r="M49" t="str">
        <f t="shared" si="4"/>
        <v/>
      </c>
      <c r="N49" t="str">
        <f t="shared" si="4"/>
        <v/>
      </c>
      <c r="O49" t="str">
        <f t="shared" si="4"/>
        <v/>
      </c>
      <c r="P49" t="str">
        <f t="shared" si="14"/>
        <v/>
      </c>
      <c r="Q49" t="str">
        <f t="shared" si="14"/>
        <v/>
      </c>
      <c r="R49" t="str">
        <f t="shared" si="14"/>
        <v/>
      </c>
      <c r="S49" t="str">
        <f t="shared" si="6"/>
        <v/>
      </c>
      <c r="T49" t="str">
        <f t="shared" si="7"/>
        <v/>
      </c>
      <c r="U49" t="str">
        <f t="shared" si="8"/>
        <v/>
      </c>
      <c r="W49" t="str">
        <f>IF(LEN(K49),IF(OR(COUNTIF(K49,"*◆*"),COUNTIF(K49,"*▼*")),"","●"),"")</f>
        <v/>
      </c>
      <c r="X49" t="str">
        <f t="shared" si="9"/>
        <v/>
      </c>
      <c r="Y49" t="str">
        <f>IF($W49="●","LDP "&amp;E49&amp;"."&amp;$B$12,"")</f>
        <v/>
      </c>
      <c r="Z49" t="str">
        <f>IF($W49="●","AND=.D "&amp;$B$13&amp;" #0","")</f>
        <v/>
      </c>
      <c r="AA49" t="str">
        <f>IF($W49="●","MOV.D #"&amp;X49&amp;" "&amp;$B$13,"")</f>
        <v/>
      </c>
      <c r="AB49" t="str">
        <f>IF(LEN(U49),"MOV.D "&amp;$U49&amp;" "&amp;$B$14,"")</f>
        <v/>
      </c>
      <c r="AC49" t="str">
        <f>IF(AND(D49&lt;&gt;0,W49="●"),CHAR(10),"")&amp;IF(LEN(Y49),Y49,"")</f>
        <v/>
      </c>
      <c r="AD49" t="str">
        <f t="shared" si="12"/>
        <v/>
      </c>
      <c r="AE49" t="str">
        <f t="shared" si="13"/>
        <v/>
      </c>
      <c r="AF49" t="str">
        <f t="shared" si="10"/>
        <v/>
      </c>
      <c r="AG49" t="str">
        <f t="shared" si="11"/>
        <v/>
      </c>
      <c r="AI49" t="str">
        <f>IF($W49="●",AD49&amp;CHAR(10)&amp;"BOX_ST"&amp;CHAR(10)&amp;";//"&amp;$B$8,"")</f>
        <v/>
      </c>
      <c r="AJ49" t="str">
        <f>IF($W49="●",IF(LEN(AI49),AI49&amp;CHAR(10),"")&amp;";//エラーNo.を入れる"&amp;CHAR(10)&amp;";"&amp;$B$13&amp;"	:= "&amp;X49&amp;";","")</f>
        <v/>
      </c>
      <c r="AK49" t="str">
        <f>IF($W49="●",IF(LEN(AJ49),AJ49&amp;CHAR(10),"")&amp;IF(LEN(U49),";//エラーコードを入れる"&amp;CHAR(10)&amp;";"&amp;$B$14&amp;"	:= "&amp;U49&amp;".udiErr;",""),"")</f>
        <v/>
      </c>
      <c r="AL49" t="str">
        <f>IF($W49="●",IF(LEN(AK49),AK49&amp;CHAR(10),"")&amp;";//"&amp;$B$9,"")</f>
        <v/>
      </c>
    </row>
    <row r="50" spans="4:38" x14ac:dyDescent="0.55000000000000004">
      <c r="D50">
        <v>44</v>
      </c>
      <c r="M50" t="str">
        <f t="shared" si="4"/>
        <v/>
      </c>
      <c r="N50" t="str">
        <f t="shared" si="4"/>
        <v/>
      </c>
      <c r="O50" t="str">
        <f t="shared" si="4"/>
        <v/>
      </c>
      <c r="P50" t="str">
        <f t="shared" si="14"/>
        <v/>
      </c>
      <c r="Q50" t="str">
        <f t="shared" si="14"/>
        <v/>
      </c>
      <c r="R50" t="str">
        <f t="shared" si="14"/>
        <v/>
      </c>
      <c r="S50" t="str">
        <f t="shared" si="6"/>
        <v/>
      </c>
      <c r="T50" t="str">
        <f t="shared" si="7"/>
        <v/>
      </c>
      <c r="U50" t="str">
        <f t="shared" si="8"/>
        <v/>
      </c>
      <c r="W50" t="str">
        <f>IF(LEN(K50),IF(OR(COUNTIF(K50,"*◆*"),COUNTIF(K50,"*▼*")),"","●"),"")</f>
        <v/>
      </c>
      <c r="X50" t="str">
        <f t="shared" si="9"/>
        <v/>
      </c>
      <c r="Y50" t="str">
        <f>IF($W50="●","LDP "&amp;E50&amp;"."&amp;$B$12,"")</f>
        <v/>
      </c>
      <c r="Z50" t="str">
        <f>IF($W50="●","AND=.D "&amp;$B$13&amp;" #0","")</f>
        <v/>
      </c>
      <c r="AA50" t="str">
        <f>IF($W50="●","MOV.D #"&amp;X50&amp;" "&amp;$B$13,"")</f>
        <v/>
      </c>
      <c r="AB50" t="str">
        <f>IF(LEN(U50),"MOV.D "&amp;$U50&amp;" "&amp;$B$14,"")</f>
        <v/>
      </c>
      <c r="AC50" t="str">
        <f>IF(AND(D50&lt;&gt;0,W50="●"),CHAR(10),"")&amp;IF(LEN(Y50),Y50,"")</f>
        <v/>
      </c>
      <c r="AD50" t="str">
        <f t="shared" si="12"/>
        <v/>
      </c>
      <c r="AE50" t="str">
        <f t="shared" si="13"/>
        <v/>
      </c>
      <c r="AF50" t="str">
        <f t="shared" si="10"/>
        <v/>
      </c>
      <c r="AG50" t="str">
        <f t="shared" si="11"/>
        <v/>
      </c>
      <c r="AI50" t="str">
        <f>IF($W50="●",AD50&amp;CHAR(10)&amp;"BOX_ST"&amp;CHAR(10)&amp;";//"&amp;$B$8,"")</f>
        <v/>
      </c>
      <c r="AJ50" t="str">
        <f>IF($W50="●",IF(LEN(AI50),AI50&amp;CHAR(10),"")&amp;";//エラーNo.を入れる"&amp;CHAR(10)&amp;";"&amp;$B$13&amp;"	:= "&amp;X50&amp;";","")</f>
        <v/>
      </c>
      <c r="AK50" t="str">
        <f>IF($W50="●",IF(LEN(AJ50),AJ50&amp;CHAR(10),"")&amp;IF(LEN(U50),";//エラーコードを入れる"&amp;CHAR(10)&amp;";"&amp;$B$14&amp;"	:= "&amp;U50&amp;".udiErr;",""),"")</f>
        <v/>
      </c>
      <c r="AL50" t="str">
        <f>IF($W50="●",IF(LEN(AK50),AK50&amp;CHAR(10),"")&amp;";//"&amp;$B$9,"")</f>
        <v/>
      </c>
    </row>
    <row r="51" spans="4:38" x14ac:dyDescent="0.55000000000000004">
      <c r="D51">
        <v>45</v>
      </c>
      <c r="M51" t="str">
        <f t="shared" si="4"/>
        <v/>
      </c>
      <c r="N51" t="str">
        <f t="shared" si="4"/>
        <v/>
      </c>
      <c r="O51" t="str">
        <f t="shared" si="4"/>
        <v/>
      </c>
      <c r="P51" t="str">
        <f t="shared" si="14"/>
        <v/>
      </c>
      <c r="Q51" t="str">
        <f t="shared" si="14"/>
        <v/>
      </c>
      <c r="R51" t="str">
        <f t="shared" si="14"/>
        <v/>
      </c>
      <c r="S51" t="str">
        <f t="shared" si="6"/>
        <v/>
      </c>
      <c r="T51" t="str">
        <f t="shared" si="7"/>
        <v/>
      </c>
      <c r="U51" t="str">
        <f t="shared" si="8"/>
        <v/>
      </c>
      <c r="W51" t="str">
        <f>IF(LEN(K51),IF(OR(COUNTIF(K51,"*◆*"),COUNTIF(K51,"*▼*")),"","●"),"")</f>
        <v/>
      </c>
      <c r="X51" t="str">
        <f t="shared" si="9"/>
        <v/>
      </c>
      <c r="Y51" t="str">
        <f>IF($W51="●","LDP "&amp;E51&amp;"."&amp;$B$12,"")</f>
        <v/>
      </c>
      <c r="Z51" t="str">
        <f>IF($W51="●","AND=.D "&amp;$B$13&amp;" #0","")</f>
        <v/>
      </c>
      <c r="AA51" t="str">
        <f>IF($W51="●","MOV.D #"&amp;X51&amp;" "&amp;$B$13,"")</f>
        <v/>
      </c>
      <c r="AB51" t="str">
        <f>IF(LEN(U51),"MOV.D "&amp;$U51&amp;" "&amp;$B$14,"")</f>
        <v/>
      </c>
      <c r="AC51" t="str">
        <f>IF(AND(D51&lt;&gt;0,W51="●"),CHAR(10),"")&amp;IF(LEN(Y51),Y51,"")</f>
        <v/>
      </c>
      <c r="AD51" t="str">
        <f t="shared" si="12"/>
        <v/>
      </c>
      <c r="AE51" t="str">
        <f t="shared" si="13"/>
        <v/>
      </c>
      <c r="AF51" t="str">
        <f t="shared" si="10"/>
        <v/>
      </c>
      <c r="AG51" t="str">
        <f t="shared" si="11"/>
        <v/>
      </c>
      <c r="AI51" t="str">
        <f>IF($W51="●",AD51&amp;CHAR(10)&amp;"BOX_ST"&amp;CHAR(10)&amp;";//"&amp;$B$8,"")</f>
        <v/>
      </c>
      <c r="AJ51" t="str">
        <f>IF($W51="●",IF(LEN(AI51),AI51&amp;CHAR(10),"")&amp;";//エラーNo.を入れる"&amp;CHAR(10)&amp;";"&amp;$B$13&amp;"	:= "&amp;X51&amp;";","")</f>
        <v/>
      </c>
      <c r="AK51" t="str">
        <f>IF($W51="●",IF(LEN(AJ51),AJ51&amp;CHAR(10),"")&amp;IF(LEN(U51),";//エラーコードを入れる"&amp;CHAR(10)&amp;";"&amp;$B$14&amp;"	:= "&amp;U51&amp;".udiErr;",""),"")</f>
        <v/>
      </c>
      <c r="AL51" t="str">
        <f>IF($W51="●",IF(LEN(AK51),AK51&amp;CHAR(10),"")&amp;";//"&amp;$B$9,"")</f>
        <v/>
      </c>
    </row>
    <row r="52" spans="4:38" x14ac:dyDescent="0.55000000000000004">
      <c r="D52">
        <v>46</v>
      </c>
      <c r="M52" t="str">
        <f t="shared" si="4"/>
        <v/>
      </c>
      <c r="N52" t="str">
        <f t="shared" si="4"/>
        <v/>
      </c>
      <c r="O52" t="str">
        <f t="shared" si="4"/>
        <v/>
      </c>
      <c r="P52" t="str">
        <f t="shared" si="14"/>
        <v/>
      </c>
      <c r="Q52" t="str">
        <f t="shared" si="14"/>
        <v/>
      </c>
      <c r="R52" t="str">
        <f t="shared" si="14"/>
        <v/>
      </c>
      <c r="S52" t="str">
        <f t="shared" si="6"/>
        <v/>
      </c>
      <c r="T52" t="str">
        <f t="shared" si="7"/>
        <v/>
      </c>
      <c r="U52" t="str">
        <f t="shared" si="8"/>
        <v/>
      </c>
      <c r="W52" t="str">
        <f>IF(LEN(K52),IF(OR(COUNTIF(K52,"*◆*"),COUNTIF(K52,"*▼*")),"","●"),"")</f>
        <v/>
      </c>
      <c r="X52" t="str">
        <f t="shared" si="9"/>
        <v/>
      </c>
      <c r="Y52" t="str">
        <f>IF($W52="●","LDP "&amp;E52&amp;"."&amp;$B$12,"")</f>
        <v/>
      </c>
      <c r="Z52" t="str">
        <f>IF($W52="●","AND=.D "&amp;$B$13&amp;" #0","")</f>
        <v/>
      </c>
      <c r="AA52" t="str">
        <f>IF($W52="●","MOV.D #"&amp;X52&amp;" "&amp;$B$13,"")</f>
        <v/>
      </c>
      <c r="AB52" t="str">
        <f>IF(LEN(U52),"MOV.D "&amp;$U52&amp;" "&amp;$B$14,"")</f>
        <v/>
      </c>
      <c r="AC52" t="str">
        <f>IF(AND(D52&lt;&gt;0,W52="●"),CHAR(10),"")&amp;IF(LEN(Y52),Y52,"")</f>
        <v/>
      </c>
      <c r="AD52" t="str">
        <f t="shared" si="12"/>
        <v/>
      </c>
      <c r="AE52" t="str">
        <f t="shared" si="13"/>
        <v/>
      </c>
      <c r="AF52" t="str">
        <f t="shared" si="10"/>
        <v/>
      </c>
      <c r="AG52" t="str">
        <f t="shared" si="11"/>
        <v/>
      </c>
      <c r="AI52" t="str">
        <f>IF($W52="●",AD52&amp;CHAR(10)&amp;"BOX_ST"&amp;CHAR(10)&amp;";//"&amp;$B$8,"")</f>
        <v/>
      </c>
      <c r="AJ52" t="str">
        <f>IF($W52="●",IF(LEN(AI52),AI52&amp;CHAR(10),"")&amp;";//エラーNo.を入れる"&amp;CHAR(10)&amp;";"&amp;$B$13&amp;"	:= "&amp;X52&amp;";","")</f>
        <v/>
      </c>
      <c r="AK52" t="str">
        <f>IF($W52="●",IF(LEN(AJ52),AJ52&amp;CHAR(10),"")&amp;IF(LEN(U52),";//エラーコードを入れる"&amp;CHAR(10)&amp;";"&amp;$B$14&amp;"	:= "&amp;U52&amp;".udiErr;",""),"")</f>
        <v/>
      </c>
      <c r="AL52" t="str">
        <f>IF($W52="●",IF(LEN(AK52),AK52&amp;CHAR(10),"")&amp;";//"&amp;$B$9,"")</f>
        <v/>
      </c>
    </row>
    <row r="53" spans="4:38" x14ac:dyDescent="0.55000000000000004">
      <c r="D53">
        <v>47</v>
      </c>
      <c r="M53" t="str">
        <f t="shared" si="4"/>
        <v/>
      </c>
      <c r="N53" t="str">
        <f t="shared" si="4"/>
        <v/>
      </c>
      <c r="O53" t="str">
        <f t="shared" si="4"/>
        <v/>
      </c>
      <c r="P53" t="str">
        <f t="shared" si="14"/>
        <v/>
      </c>
      <c r="Q53" t="str">
        <f t="shared" si="14"/>
        <v/>
      </c>
      <c r="R53" t="str">
        <f t="shared" si="14"/>
        <v/>
      </c>
      <c r="S53" t="str">
        <f t="shared" si="6"/>
        <v/>
      </c>
      <c r="T53" t="str">
        <f t="shared" si="7"/>
        <v/>
      </c>
      <c r="U53" t="str">
        <f t="shared" si="8"/>
        <v/>
      </c>
      <c r="W53" t="str">
        <f>IF(LEN(K53),IF(OR(COUNTIF(K53,"*◆*"),COUNTIF(K53,"*▼*")),"","●"),"")</f>
        <v/>
      </c>
      <c r="X53" t="str">
        <f t="shared" si="9"/>
        <v/>
      </c>
      <c r="Y53" t="str">
        <f>IF($W53="●","LDP "&amp;E53&amp;"."&amp;$B$12,"")</f>
        <v/>
      </c>
      <c r="Z53" t="str">
        <f>IF($W53="●","AND=.D "&amp;$B$13&amp;" #0","")</f>
        <v/>
      </c>
      <c r="AA53" t="str">
        <f>IF($W53="●","MOV.D #"&amp;X53&amp;" "&amp;$B$13,"")</f>
        <v/>
      </c>
      <c r="AB53" t="str">
        <f>IF(LEN(U53),"MOV.D "&amp;$U53&amp;" "&amp;$B$14,"")</f>
        <v/>
      </c>
      <c r="AC53" t="str">
        <f>IF(AND(D53&lt;&gt;0,W53="●"),CHAR(10),"")&amp;IF(LEN(Y53),Y53,"")</f>
        <v/>
      </c>
      <c r="AD53" t="str">
        <f t="shared" si="12"/>
        <v/>
      </c>
      <c r="AE53" t="str">
        <f t="shared" si="13"/>
        <v/>
      </c>
      <c r="AF53" t="str">
        <f t="shared" si="10"/>
        <v/>
      </c>
      <c r="AG53" t="str">
        <f t="shared" si="11"/>
        <v/>
      </c>
      <c r="AI53" t="str">
        <f>IF($W53="●",AD53&amp;CHAR(10)&amp;"BOX_ST"&amp;CHAR(10)&amp;";//"&amp;$B$8,"")</f>
        <v/>
      </c>
      <c r="AJ53" t="str">
        <f>IF($W53="●",IF(LEN(AI53),AI53&amp;CHAR(10),"")&amp;";//エラーNo.を入れる"&amp;CHAR(10)&amp;";"&amp;$B$13&amp;"	:= "&amp;X53&amp;";","")</f>
        <v/>
      </c>
      <c r="AK53" t="str">
        <f>IF($W53="●",IF(LEN(AJ53),AJ53&amp;CHAR(10),"")&amp;IF(LEN(U53),";//エラーコードを入れる"&amp;CHAR(10)&amp;";"&amp;$B$14&amp;"	:= "&amp;U53&amp;".udiErr;",""),"")</f>
        <v/>
      </c>
      <c r="AL53" t="str">
        <f>IF($W53="●",IF(LEN(AK53),AK53&amp;CHAR(10),"")&amp;";//"&amp;$B$9,"")</f>
        <v/>
      </c>
    </row>
    <row r="54" spans="4:38" x14ac:dyDescent="0.55000000000000004">
      <c r="D54">
        <v>48</v>
      </c>
      <c r="M54" t="str">
        <f t="shared" si="4"/>
        <v/>
      </c>
      <c r="N54" t="str">
        <f t="shared" si="4"/>
        <v/>
      </c>
      <c r="O54" t="str">
        <f t="shared" si="4"/>
        <v/>
      </c>
      <c r="P54" t="str">
        <f t="shared" si="14"/>
        <v/>
      </c>
      <c r="Q54" t="str">
        <f t="shared" si="14"/>
        <v/>
      </c>
      <c r="R54" t="str">
        <f t="shared" si="14"/>
        <v/>
      </c>
      <c r="S54" t="str">
        <f t="shared" si="6"/>
        <v/>
      </c>
      <c r="T54" t="str">
        <f t="shared" si="7"/>
        <v/>
      </c>
      <c r="U54" t="str">
        <f t="shared" si="8"/>
        <v/>
      </c>
      <c r="W54" t="str">
        <f>IF(LEN(K54),IF(OR(COUNTIF(K54,"*◆*"),COUNTIF(K54,"*▼*")),"","●"),"")</f>
        <v/>
      </c>
      <c r="X54" t="str">
        <f t="shared" si="9"/>
        <v/>
      </c>
      <c r="Y54" t="str">
        <f>IF($W54="●","LDP "&amp;E54&amp;"."&amp;$B$12,"")</f>
        <v/>
      </c>
      <c r="Z54" t="str">
        <f>IF($W54="●","AND=.D "&amp;$B$13&amp;" #0","")</f>
        <v/>
      </c>
      <c r="AA54" t="str">
        <f>IF($W54="●","MOV.D #"&amp;X54&amp;" "&amp;$B$13,"")</f>
        <v/>
      </c>
      <c r="AB54" t="str">
        <f>IF(LEN(U54),"MOV.D "&amp;$U54&amp;" "&amp;$B$14,"")</f>
        <v/>
      </c>
      <c r="AC54" t="str">
        <f>IF(AND(D54&lt;&gt;0,W54="●"),CHAR(10),"")&amp;IF(LEN(Y54),Y54,"")</f>
        <v/>
      </c>
      <c r="AD54" t="str">
        <f t="shared" si="12"/>
        <v/>
      </c>
      <c r="AE54" t="str">
        <f t="shared" si="13"/>
        <v/>
      </c>
      <c r="AF54" t="str">
        <f t="shared" si="10"/>
        <v/>
      </c>
      <c r="AG54" t="str">
        <f t="shared" si="11"/>
        <v/>
      </c>
      <c r="AI54" t="str">
        <f>IF($W54="●",AD54&amp;CHAR(10)&amp;"BOX_ST"&amp;CHAR(10)&amp;";//"&amp;$B$8,"")</f>
        <v/>
      </c>
      <c r="AJ54" t="str">
        <f>IF($W54="●",IF(LEN(AI54),AI54&amp;CHAR(10),"")&amp;";//エラーNo.を入れる"&amp;CHAR(10)&amp;";"&amp;$B$13&amp;"	:= "&amp;X54&amp;";","")</f>
        <v/>
      </c>
      <c r="AK54" t="str">
        <f>IF($W54="●",IF(LEN(AJ54),AJ54&amp;CHAR(10),"")&amp;IF(LEN(U54),";//エラーコードを入れる"&amp;CHAR(10)&amp;";"&amp;$B$14&amp;"	:= "&amp;U54&amp;".udiErr;",""),"")</f>
        <v/>
      </c>
      <c r="AL54" t="str">
        <f>IF($W54="●",IF(LEN(AK54),AK54&amp;CHAR(10),"")&amp;";//"&amp;$B$9,"")</f>
        <v/>
      </c>
    </row>
    <row r="55" spans="4:38" x14ac:dyDescent="0.55000000000000004">
      <c r="D55">
        <v>49</v>
      </c>
      <c r="M55" t="str">
        <f t="shared" si="4"/>
        <v/>
      </c>
      <c r="N55" t="str">
        <f t="shared" si="4"/>
        <v/>
      </c>
      <c r="O55" t="str">
        <f t="shared" si="4"/>
        <v/>
      </c>
      <c r="P55" t="str">
        <f t="shared" si="14"/>
        <v/>
      </c>
      <c r="Q55" t="str">
        <f t="shared" si="14"/>
        <v/>
      </c>
      <c r="R55" t="str">
        <f t="shared" si="14"/>
        <v/>
      </c>
      <c r="S55" t="str">
        <f t="shared" si="6"/>
        <v/>
      </c>
      <c r="T55" t="str">
        <f t="shared" si="7"/>
        <v/>
      </c>
      <c r="U55" t="str">
        <f t="shared" si="8"/>
        <v/>
      </c>
      <c r="W55" t="str">
        <f>IF(LEN(K55),IF(OR(COUNTIF(K55,"*◆*"),COUNTIF(K55,"*▼*")),"","●"),"")</f>
        <v/>
      </c>
      <c r="X55" t="str">
        <f t="shared" si="9"/>
        <v/>
      </c>
      <c r="Y55" t="str">
        <f>IF($W55="●","LDP "&amp;E55&amp;"."&amp;$B$12,"")</f>
        <v/>
      </c>
      <c r="Z55" t="str">
        <f>IF($W55="●","AND=.D "&amp;$B$13&amp;" #0","")</f>
        <v/>
      </c>
      <c r="AA55" t="str">
        <f>IF($W55="●","MOV.D #"&amp;X55&amp;" "&amp;$B$13,"")</f>
        <v/>
      </c>
      <c r="AB55" t="str">
        <f>IF(LEN(U55),"MOV.D "&amp;$U55&amp;" "&amp;$B$14,"")</f>
        <v/>
      </c>
      <c r="AC55" t="str">
        <f>IF(AND(D55&lt;&gt;0,W55="●"),CHAR(10),"")&amp;IF(LEN(Y55),Y55,"")</f>
        <v/>
      </c>
      <c r="AD55" t="str">
        <f t="shared" si="12"/>
        <v/>
      </c>
      <c r="AE55" t="str">
        <f t="shared" si="13"/>
        <v/>
      </c>
      <c r="AF55" t="str">
        <f t="shared" si="10"/>
        <v/>
      </c>
      <c r="AG55" t="str">
        <f t="shared" si="11"/>
        <v/>
      </c>
      <c r="AI55" t="str">
        <f>IF($W55="●",AD55&amp;CHAR(10)&amp;"BOX_ST"&amp;CHAR(10)&amp;";//"&amp;$B$8,"")</f>
        <v/>
      </c>
      <c r="AJ55" t="str">
        <f>IF($W55="●",IF(LEN(AI55),AI55&amp;CHAR(10),"")&amp;";//エラーNo.を入れる"&amp;CHAR(10)&amp;";"&amp;$B$13&amp;"	:= "&amp;X55&amp;";","")</f>
        <v/>
      </c>
      <c r="AK55" t="str">
        <f>IF($W55="●",IF(LEN(AJ55),AJ55&amp;CHAR(10),"")&amp;IF(LEN(U55),";//エラーコードを入れる"&amp;CHAR(10)&amp;";"&amp;$B$14&amp;"	:= "&amp;U55&amp;".udiErr;",""),"")</f>
        <v/>
      </c>
      <c r="AL55" t="str">
        <f>IF($W55="●",IF(LEN(AK55),AK55&amp;CHAR(10),"")&amp;";//"&amp;$B$9,"")</f>
        <v/>
      </c>
    </row>
    <row r="56" spans="4:38" x14ac:dyDescent="0.55000000000000004">
      <c r="D56">
        <v>50</v>
      </c>
      <c r="M56" t="str">
        <f t="shared" si="4"/>
        <v/>
      </c>
      <c r="N56" t="str">
        <f t="shared" si="4"/>
        <v/>
      </c>
      <c r="O56" t="str">
        <f t="shared" si="4"/>
        <v/>
      </c>
      <c r="P56" t="str">
        <f t="shared" si="14"/>
        <v/>
      </c>
      <c r="Q56" t="str">
        <f t="shared" si="14"/>
        <v/>
      </c>
      <c r="R56" t="str">
        <f t="shared" si="14"/>
        <v/>
      </c>
      <c r="S56" t="str">
        <f t="shared" si="6"/>
        <v/>
      </c>
      <c r="T56" t="str">
        <f t="shared" si="7"/>
        <v/>
      </c>
      <c r="U56" t="str">
        <f t="shared" si="8"/>
        <v/>
      </c>
      <c r="W56" t="str">
        <f>IF(LEN(K56),IF(OR(COUNTIF(K56,"*◆*"),COUNTIF(K56,"*▼*")),"","●"),"")</f>
        <v/>
      </c>
      <c r="X56" t="str">
        <f t="shared" si="9"/>
        <v/>
      </c>
      <c r="Y56" t="str">
        <f>IF($W56="●","LDP "&amp;E56&amp;"."&amp;$B$12,"")</f>
        <v/>
      </c>
      <c r="Z56" t="str">
        <f>IF($W56="●","AND=.D "&amp;$B$13&amp;" #0","")</f>
        <v/>
      </c>
      <c r="AA56" t="str">
        <f>IF($W56="●","MOV.D #"&amp;X56&amp;" "&amp;$B$13,"")</f>
        <v/>
      </c>
      <c r="AB56" t="str">
        <f>IF(LEN(U56),"MOV.D "&amp;$U56&amp;" "&amp;$B$14,"")</f>
        <v/>
      </c>
      <c r="AC56" t="str">
        <f>IF(AND(D56&lt;&gt;0,W56="●"),CHAR(10),"")&amp;IF(LEN(Y56),Y56,"")</f>
        <v/>
      </c>
      <c r="AD56" t="str">
        <f t="shared" si="12"/>
        <v/>
      </c>
      <c r="AE56" t="str">
        <f t="shared" si="13"/>
        <v/>
      </c>
      <c r="AF56" t="str">
        <f t="shared" si="10"/>
        <v/>
      </c>
      <c r="AG56" t="str">
        <f t="shared" si="11"/>
        <v/>
      </c>
      <c r="AI56" t="str">
        <f>IF($W56="●",AD56&amp;CHAR(10)&amp;"BOX_ST"&amp;CHAR(10)&amp;";//"&amp;$B$8,"")</f>
        <v/>
      </c>
      <c r="AJ56" t="str">
        <f>IF($W56="●",IF(LEN(AI56),AI56&amp;CHAR(10),"")&amp;";//エラーNo.を入れる"&amp;CHAR(10)&amp;";"&amp;$B$13&amp;"	:= "&amp;X56&amp;";","")</f>
        <v/>
      </c>
      <c r="AK56" t="str">
        <f>IF($W56="●",IF(LEN(AJ56),AJ56&amp;CHAR(10),"")&amp;IF(LEN(U56),";//エラーコードを入れる"&amp;CHAR(10)&amp;";"&amp;$B$14&amp;"	:= "&amp;U56&amp;".udiErr;",""),"")</f>
        <v/>
      </c>
      <c r="AL56" t="str">
        <f>IF($W56="●",IF(LEN(AK56),AK56&amp;CHAR(10),"")&amp;";//"&amp;$B$9,"")</f>
        <v/>
      </c>
    </row>
    <row r="57" spans="4:38" x14ac:dyDescent="0.55000000000000004">
      <c r="D57">
        <v>51</v>
      </c>
      <c r="M57" t="str">
        <f t="shared" si="4"/>
        <v/>
      </c>
      <c r="N57" t="str">
        <f t="shared" si="4"/>
        <v/>
      </c>
      <c r="O57" t="str">
        <f t="shared" si="4"/>
        <v/>
      </c>
      <c r="P57" t="str">
        <f t="shared" si="14"/>
        <v/>
      </c>
      <c r="Q57" t="str">
        <f t="shared" si="14"/>
        <v/>
      </c>
      <c r="R57" t="str">
        <f t="shared" si="14"/>
        <v/>
      </c>
      <c r="S57" t="str">
        <f t="shared" si="6"/>
        <v/>
      </c>
      <c r="T57" t="str">
        <f t="shared" si="7"/>
        <v/>
      </c>
      <c r="U57" t="str">
        <f t="shared" si="8"/>
        <v/>
      </c>
      <c r="W57" t="str">
        <f>IF(LEN(K57),IF(OR(COUNTIF(K57,"*◆*"),COUNTIF(K57,"*▼*")),"","●"),"")</f>
        <v/>
      </c>
      <c r="X57" t="str">
        <f t="shared" si="9"/>
        <v/>
      </c>
      <c r="Y57" t="str">
        <f>IF($W57="●","LDP "&amp;E57&amp;"."&amp;$B$12,"")</f>
        <v/>
      </c>
      <c r="Z57" t="str">
        <f>IF($W57="●","AND=.D "&amp;$B$13&amp;" #0","")</f>
        <v/>
      </c>
      <c r="AA57" t="str">
        <f>IF($W57="●","MOV.D #"&amp;X57&amp;" "&amp;$B$13,"")</f>
        <v/>
      </c>
      <c r="AB57" t="str">
        <f>IF(LEN(U57),"MOV.D "&amp;$U57&amp;" "&amp;$B$14,"")</f>
        <v/>
      </c>
      <c r="AC57" t="str">
        <f>IF(AND(D57&lt;&gt;0,W57="●"),CHAR(10),"")&amp;IF(LEN(Y57),Y57,"")</f>
        <v/>
      </c>
      <c r="AD57" t="str">
        <f t="shared" si="12"/>
        <v/>
      </c>
      <c r="AE57" t="str">
        <f t="shared" si="13"/>
        <v/>
      </c>
      <c r="AF57" t="str">
        <f t="shared" si="10"/>
        <v/>
      </c>
      <c r="AG57" t="str">
        <f t="shared" si="11"/>
        <v/>
      </c>
      <c r="AI57" t="str">
        <f>IF($W57="●",AD57&amp;CHAR(10)&amp;"BOX_ST"&amp;CHAR(10)&amp;";//"&amp;$B$8,"")</f>
        <v/>
      </c>
      <c r="AJ57" t="str">
        <f>IF($W57="●",IF(LEN(AI57),AI57&amp;CHAR(10),"")&amp;";//エラーNo.を入れる"&amp;CHAR(10)&amp;";"&amp;$B$13&amp;"	:= "&amp;X57&amp;";","")</f>
        <v/>
      </c>
      <c r="AK57" t="str">
        <f>IF($W57="●",IF(LEN(AJ57),AJ57&amp;CHAR(10),"")&amp;IF(LEN(U57),";//エラーコードを入れる"&amp;CHAR(10)&amp;";"&amp;$B$14&amp;"	:= "&amp;U57&amp;".udiErr;",""),"")</f>
        <v/>
      </c>
      <c r="AL57" t="str">
        <f>IF($W57="●",IF(LEN(AK57),AK57&amp;CHAR(10),"")&amp;";//"&amp;$B$9,"")</f>
        <v/>
      </c>
    </row>
    <row r="58" spans="4:38" x14ac:dyDescent="0.55000000000000004">
      <c r="D58">
        <v>52</v>
      </c>
      <c r="M58" t="str">
        <f t="shared" si="4"/>
        <v/>
      </c>
      <c r="N58" t="str">
        <f t="shared" si="4"/>
        <v/>
      </c>
      <c r="O58" t="str">
        <f t="shared" si="4"/>
        <v/>
      </c>
      <c r="P58" t="str">
        <f t="shared" si="14"/>
        <v/>
      </c>
      <c r="Q58" t="str">
        <f t="shared" si="14"/>
        <v/>
      </c>
      <c r="R58" t="str">
        <f t="shared" si="14"/>
        <v/>
      </c>
      <c r="S58" t="str">
        <f t="shared" si="6"/>
        <v/>
      </c>
      <c r="T58" t="str">
        <f t="shared" si="7"/>
        <v/>
      </c>
      <c r="U58" t="str">
        <f t="shared" si="8"/>
        <v/>
      </c>
      <c r="W58" t="str">
        <f>IF(LEN(K58),IF(OR(COUNTIF(K58,"*◆*"),COUNTIF(K58,"*▼*")),"","●"),"")</f>
        <v/>
      </c>
      <c r="X58" t="str">
        <f t="shared" si="9"/>
        <v/>
      </c>
      <c r="Y58" t="str">
        <f>IF($W58="●","LDP "&amp;E58&amp;"."&amp;$B$12,"")</f>
        <v/>
      </c>
      <c r="Z58" t="str">
        <f>IF($W58="●","AND=.D "&amp;$B$13&amp;" #0","")</f>
        <v/>
      </c>
      <c r="AA58" t="str">
        <f>IF($W58="●","MOV.D #"&amp;X58&amp;" "&amp;$B$13,"")</f>
        <v/>
      </c>
      <c r="AB58" t="str">
        <f>IF(LEN(U58),"MOV.D "&amp;$U58&amp;" "&amp;$B$14,"")</f>
        <v/>
      </c>
      <c r="AC58" t="str">
        <f>IF(AND(D58&lt;&gt;0,W58="●"),CHAR(10),"")&amp;IF(LEN(Y58),Y58,"")</f>
        <v/>
      </c>
      <c r="AD58" t="str">
        <f t="shared" si="12"/>
        <v/>
      </c>
      <c r="AE58" t="str">
        <f t="shared" si="13"/>
        <v/>
      </c>
      <c r="AF58" t="str">
        <f t="shared" si="10"/>
        <v/>
      </c>
      <c r="AG58" t="str">
        <f t="shared" si="11"/>
        <v/>
      </c>
      <c r="AI58" t="str">
        <f>IF($W58="●",AD58&amp;CHAR(10)&amp;"BOX_ST"&amp;CHAR(10)&amp;";//"&amp;$B$8,"")</f>
        <v/>
      </c>
      <c r="AJ58" t="str">
        <f>IF($W58="●",IF(LEN(AI58),AI58&amp;CHAR(10),"")&amp;";//エラーNo.を入れる"&amp;CHAR(10)&amp;";"&amp;$B$13&amp;"	:= "&amp;X58&amp;";","")</f>
        <v/>
      </c>
      <c r="AK58" t="str">
        <f>IF($W58="●",IF(LEN(AJ58),AJ58&amp;CHAR(10),"")&amp;IF(LEN(U58),";//エラーコードを入れる"&amp;CHAR(10)&amp;";"&amp;$B$14&amp;"	:= "&amp;U58&amp;".udiErr;",""),"")</f>
        <v/>
      </c>
      <c r="AL58" t="str">
        <f>IF($W58="●",IF(LEN(AK58),AK58&amp;CHAR(10),"")&amp;";//"&amp;$B$9,"")</f>
        <v/>
      </c>
    </row>
    <row r="59" spans="4:38" x14ac:dyDescent="0.55000000000000004">
      <c r="D59">
        <v>53</v>
      </c>
      <c r="M59" t="str">
        <f t="shared" si="4"/>
        <v/>
      </c>
      <c r="N59" t="str">
        <f t="shared" si="4"/>
        <v/>
      </c>
      <c r="O59" t="str">
        <f t="shared" si="4"/>
        <v/>
      </c>
      <c r="P59" t="str">
        <f t="shared" si="14"/>
        <v/>
      </c>
      <c r="Q59" t="str">
        <f t="shared" si="14"/>
        <v/>
      </c>
      <c r="R59" t="str">
        <f t="shared" si="14"/>
        <v/>
      </c>
      <c r="S59" t="str">
        <f t="shared" si="6"/>
        <v/>
      </c>
      <c r="T59" t="str">
        <f t="shared" si="7"/>
        <v/>
      </c>
      <c r="U59" t="str">
        <f t="shared" si="8"/>
        <v/>
      </c>
      <c r="W59" t="str">
        <f>IF(LEN(K59),IF(OR(COUNTIF(K59,"*◆*"),COUNTIF(K59,"*▼*")),"","●"),"")</f>
        <v/>
      </c>
      <c r="X59" t="str">
        <f t="shared" si="9"/>
        <v/>
      </c>
      <c r="Y59" t="str">
        <f>IF($W59="●","LDP "&amp;E59&amp;"."&amp;$B$12,"")</f>
        <v/>
      </c>
      <c r="Z59" t="str">
        <f>IF($W59="●","AND=.D "&amp;$B$13&amp;" #0","")</f>
        <v/>
      </c>
      <c r="AA59" t="str">
        <f>IF($W59="●","MOV.D #"&amp;X59&amp;" "&amp;$B$13,"")</f>
        <v/>
      </c>
      <c r="AB59" t="str">
        <f>IF(LEN(U59),"MOV.D "&amp;$U59&amp;" "&amp;$B$14,"")</f>
        <v/>
      </c>
      <c r="AC59" t="str">
        <f>IF(AND(D59&lt;&gt;0,W59="●"),CHAR(10),"")&amp;IF(LEN(Y59),Y59,"")</f>
        <v/>
      </c>
      <c r="AD59" t="str">
        <f t="shared" si="12"/>
        <v/>
      </c>
      <c r="AE59" t="str">
        <f t="shared" si="13"/>
        <v/>
      </c>
      <c r="AF59" t="str">
        <f t="shared" si="10"/>
        <v/>
      </c>
      <c r="AG59" t="str">
        <f t="shared" si="11"/>
        <v/>
      </c>
      <c r="AI59" t="str">
        <f>IF($W59="●",AD59&amp;CHAR(10)&amp;"BOX_ST"&amp;CHAR(10)&amp;";//"&amp;$B$8,"")</f>
        <v/>
      </c>
      <c r="AJ59" t="str">
        <f>IF($W59="●",IF(LEN(AI59),AI59&amp;CHAR(10),"")&amp;";//エラーNo.を入れる"&amp;CHAR(10)&amp;";"&amp;$B$13&amp;"	:= "&amp;X59&amp;";","")</f>
        <v/>
      </c>
      <c r="AK59" t="str">
        <f>IF($W59="●",IF(LEN(AJ59),AJ59&amp;CHAR(10),"")&amp;IF(LEN(U59),";//エラーコードを入れる"&amp;CHAR(10)&amp;";"&amp;$B$14&amp;"	:= "&amp;U59&amp;".udiErr;",""),"")</f>
        <v/>
      </c>
      <c r="AL59" t="str">
        <f>IF($W59="●",IF(LEN(AK59),AK59&amp;CHAR(10),"")&amp;";//"&amp;$B$9,"")</f>
        <v/>
      </c>
    </row>
    <row r="60" spans="4:38" x14ac:dyDescent="0.55000000000000004">
      <c r="D60">
        <v>54</v>
      </c>
      <c r="M60" t="str">
        <f t="shared" si="4"/>
        <v/>
      </c>
      <c r="N60" t="str">
        <f t="shared" si="4"/>
        <v/>
      </c>
      <c r="O60" t="str">
        <f t="shared" si="4"/>
        <v/>
      </c>
      <c r="P60" t="str">
        <f t="shared" si="14"/>
        <v/>
      </c>
      <c r="Q60" t="str">
        <f t="shared" si="14"/>
        <v/>
      </c>
      <c r="R60" t="str">
        <f t="shared" si="14"/>
        <v/>
      </c>
      <c r="S60" t="str">
        <f t="shared" si="6"/>
        <v/>
      </c>
      <c r="T60" t="str">
        <f t="shared" si="7"/>
        <v/>
      </c>
      <c r="U60" t="str">
        <f t="shared" si="8"/>
        <v/>
      </c>
      <c r="W60" t="str">
        <f>IF(LEN(K60),IF(OR(COUNTIF(K60,"*◆*"),COUNTIF(K60,"*▼*")),"","●"),"")</f>
        <v/>
      </c>
      <c r="X60" t="str">
        <f t="shared" si="9"/>
        <v/>
      </c>
      <c r="Y60" t="str">
        <f>IF($W60="●","LDP "&amp;E60&amp;"."&amp;$B$12,"")</f>
        <v/>
      </c>
      <c r="Z60" t="str">
        <f>IF($W60="●","AND=.D "&amp;$B$13&amp;" #0","")</f>
        <v/>
      </c>
      <c r="AA60" t="str">
        <f>IF($W60="●","MOV.D #"&amp;X60&amp;" "&amp;$B$13,"")</f>
        <v/>
      </c>
      <c r="AB60" t="str">
        <f>IF(LEN(U60),"MOV.D "&amp;$U60&amp;" "&amp;$B$14,"")</f>
        <v/>
      </c>
      <c r="AC60" t="str">
        <f>IF(AND(D60&lt;&gt;0,W60="●"),CHAR(10),"")&amp;IF(LEN(Y60),Y60,"")</f>
        <v/>
      </c>
      <c r="AD60" t="str">
        <f t="shared" si="12"/>
        <v/>
      </c>
      <c r="AE60" t="str">
        <f t="shared" si="13"/>
        <v/>
      </c>
      <c r="AF60" t="str">
        <f t="shared" si="10"/>
        <v/>
      </c>
      <c r="AG60" t="str">
        <f t="shared" si="11"/>
        <v/>
      </c>
      <c r="AI60" t="str">
        <f>IF($W60="●",AD60&amp;CHAR(10)&amp;"BOX_ST"&amp;CHAR(10)&amp;";//"&amp;$B$8,"")</f>
        <v/>
      </c>
      <c r="AJ60" t="str">
        <f>IF($W60="●",IF(LEN(AI60),AI60&amp;CHAR(10),"")&amp;";//エラーNo.を入れる"&amp;CHAR(10)&amp;";"&amp;$B$13&amp;"	:= "&amp;X60&amp;";","")</f>
        <v/>
      </c>
      <c r="AK60" t="str">
        <f>IF($W60="●",IF(LEN(AJ60),AJ60&amp;CHAR(10),"")&amp;IF(LEN(U60),";//エラーコードを入れる"&amp;CHAR(10)&amp;";"&amp;$B$14&amp;"	:= "&amp;U60&amp;".udiErr;",""),"")</f>
        <v/>
      </c>
      <c r="AL60" t="str">
        <f>IF($W60="●",IF(LEN(AK60),AK60&amp;CHAR(10),"")&amp;";//"&amp;$B$9,"")</f>
        <v/>
      </c>
    </row>
    <row r="61" spans="4:38" x14ac:dyDescent="0.55000000000000004">
      <c r="D61">
        <v>55</v>
      </c>
      <c r="M61" t="str">
        <f t="shared" si="4"/>
        <v/>
      </c>
      <c r="N61" t="str">
        <f t="shared" si="4"/>
        <v/>
      </c>
      <c r="O61" t="str">
        <f t="shared" si="4"/>
        <v/>
      </c>
      <c r="P61" t="str">
        <f t="shared" si="14"/>
        <v/>
      </c>
      <c r="Q61" t="str">
        <f t="shared" si="14"/>
        <v/>
      </c>
      <c r="R61" t="str">
        <f t="shared" si="14"/>
        <v/>
      </c>
      <c r="S61" t="str">
        <f t="shared" si="6"/>
        <v/>
      </c>
      <c r="T61" t="str">
        <f t="shared" si="7"/>
        <v/>
      </c>
      <c r="U61" t="str">
        <f t="shared" si="8"/>
        <v/>
      </c>
      <c r="W61" t="str">
        <f>IF(LEN(K61),IF(OR(COUNTIF(K61,"*◆*"),COUNTIF(K61,"*▼*")),"","●"),"")</f>
        <v/>
      </c>
      <c r="X61" t="str">
        <f t="shared" si="9"/>
        <v/>
      </c>
      <c r="Y61" t="str">
        <f>IF($W61="●","LDP "&amp;E61&amp;"."&amp;$B$12,"")</f>
        <v/>
      </c>
      <c r="Z61" t="str">
        <f>IF($W61="●","AND=.D "&amp;$B$13&amp;" #0","")</f>
        <v/>
      </c>
      <c r="AA61" t="str">
        <f>IF($W61="●","MOV.D #"&amp;X61&amp;" "&amp;$B$13,"")</f>
        <v/>
      </c>
      <c r="AB61" t="str">
        <f>IF(LEN(U61),"MOV.D "&amp;$U61&amp;" "&amp;$B$14,"")</f>
        <v/>
      </c>
      <c r="AC61" t="str">
        <f>IF(AND(D61&lt;&gt;0,W61="●"),CHAR(10),"")&amp;IF(LEN(Y61),Y61,"")</f>
        <v/>
      </c>
      <c r="AD61" t="str">
        <f t="shared" si="12"/>
        <v/>
      </c>
      <c r="AE61" t="str">
        <f t="shared" si="13"/>
        <v/>
      </c>
      <c r="AF61" t="str">
        <f t="shared" si="10"/>
        <v/>
      </c>
      <c r="AG61" t="str">
        <f t="shared" si="11"/>
        <v/>
      </c>
      <c r="AI61" t="str">
        <f>IF($W61="●",AD61&amp;CHAR(10)&amp;"BOX_ST"&amp;CHAR(10)&amp;";//"&amp;$B$8,"")</f>
        <v/>
      </c>
      <c r="AJ61" t="str">
        <f>IF($W61="●",IF(LEN(AI61),AI61&amp;CHAR(10),"")&amp;";//エラーNo.を入れる"&amp;CHAR(10)&amp;";"&amp;$B$13&amp;"	:= "&amp;X61&amp;";","")</f>
        <v/>
      </c>
      <c r="AK61" t="str">
        <f>IF($W61="●",IF(LEN(AJ61),AJ61&amp;CHAR(10),"")&amp;IF(LEN(U61),";//エラーコードを入れる"&amp;CHAR(10)&amp;";"&amp;$B$14&amp;"	:= "&amp;U61&amp;".udiErr;",""),"")</f>
        <v/>
      </c>
      <c r="AL61" t="str">
        <f>IF($W61="●",IF(LEN(AK61),AK61&amp;CHAR(10),"")&amp;";//"&amp;$B$9,"")</f>
        <v/>
      </c>
    </row>
    <row r="62" spans="4:38" x14ac:dyDescent="0.55000000000000004">
      <c r="D62">
        <v>56</v>
      </c>
      <c r="M62" t="str">
        <f t="shared" si="4"/>
        <v/>
      </c>
      <c r="N62" t="str">
        <f t="shared" si="4"/>
        <v/>
      </c>
      <c r="O62" t="str">
        <f t="shared" si="4"/>
        <v/>
      </c>
      <c r="P62" t="str">
        <f t="shared" si="14"/>
        <v/>
      </c>
      <c r="Q62" t="str">
        <f t="shared" si="14"/>
        <v/>
      </c>
      <c r="R62" t="str">
        <f t="shared" si="14"/>
        <v/>
      </c>
      <c r="S62" t="str">
        <f t="shared" si="6"/>
        <v/>
      </c>
      <c r="T62" t="str">
        <f t="shared" si="7"/>
        <v/>
      </c>
      <c r="U62" t="str">
        <f t="shared" si="8"/>
        <v/>
      </c>
      <c r="W62" t="str">
        <f>IF(LEN(K62),IF(OR(COUNTIF(K62,"*◆*"),COUNTIF(K62,"*▼*")),"","●"),"")</f>
        <v/>
      </c>
      <c r="X62" t="str">
        <f t="shared" si="9"/>
        <v/>
      </c>
      <c r="Y62" t="str">
        <f>IF($W62="●","LDP "&amp;E62&amp;"."&amp;$B$12,"")</f>
        <v/>
      </c>
      <c r="Z62" t="str">
        <f>IF($W62="●","AND=.D "&amp;$B$13&amp;" #0","")</f>
        <v/>
      </c>
      <c r="AA62" t="str">
        <f>IF($W62="●","MOV.D #"&amp;X62&amp;" "&amp;$B$13,"")</f>
        <v/>
      </c>
      <c r="AB62" t="str">
        <f>IF(LEN(U62),"MOV.D "&amp;$U62&amp;" "&amp;$B$14,"")</f>
        <v/>
      </c>
      <c r="AC62" t="str">
        <f>IF(AND(D62&lt;&gt;0,W62="●"),CHAR(10),"")&amp;IF(LEN(Y62),Y62,"")</f>
        <v/>
      </c>
      <c r="AD62" t="str">
        <f t="shared" si="12"/>
        <v/>
      </c>
      <c r="AE62" t="str">
        <f t="shared" si="13"/>
        <v/>
      </c>
      <c r="AF62" t="str">
        <f t="shared" si="10"/>
        <v/>
      </c>
      <c r="AG62" t="str">
        <f t="shared" si="11"/>
        <v/>
      </c>
      <c r="AI62" t="str">
        <f>IF($W62="●",AD62&amp;CHAR(10)&amp;"BOX_ST"&amp;CHAR(10)&amp;";//"&amp;$B$8,"")</f>
        <v/>
      </c>
      <c r="AJ62" t="str">
        <f>IF($W62="●",IF(LEN(AI62),AI62&amp;CHAR(10),"")&amp;";//エラーNo.を入れる"&amp;CHAR(10)&amp;";"&amp;$B$13&amp;"	:= "&amp;X62&amp;";","")</f>
        <v/>
      </c>
      <c r="AK62" t="str">
        <f>IF($W62="●",IF(LEN(AJ62),AJ62&amp;CHAR(10),"")&amp;IF(LEN(U62),";//エラーコードを入れる"&amp;CHAR(10)&amp;";"&amp;$B$14&amp;"	:= "&amp;U62&amp;".udiErr;",""),"")</f>
        <v/>
      </c>
      <c r="AL62" t="str">
        <f>IF($W62="●",IF(LEN(AK62),AK62&amp;CHAR(10),"")&amp;";//"&amp;$B$9,"")</f>
        <v/>
      </c>
    </row>
    <row r="63" spans="4:38" x14ac:dyDescent="0.55000000000000004">
      <c r="D63">
        <v>57</v>
      </c>
      <c r="M63" t="str">
        <f t="shared" si="4"/>
        <v/>
      </c>
      <c r="N63" t="str">
        <f t="shared" si="4"/>
        <v/>
      </c>
      <c r="O63" t="str">
        <f t="shared" si="4"/>
        <v/>
      </c>
      <c r="P63" t="str">
        <f t="shared" si="14"/>
        <v/>
      </c>
      <c r="Q63" t="str">
        <f t="shared" si="14"/>
        <v/>
      </c>
      <c r="R63" t="str">
        <f t="shared" si="14"/>
        <v/>
      </c>
      <c r="S63" t="str">
        <f t="shared" si="6"/>
        <v/>
      </c>
      <c r="T63" t="str">
        <f t="shared" si="7"/>
        <v/>
      </c>
      <c r="U63" t="str">
        <f t="shared" si="8"/>
        <v/>
      </c>
      <c r="W63" t="str">
        <f>IF(LEN(K63),IF(OR(COUNTIF(K63,"*◆*"),COUNTIF(K63,"*▼*")),"","●"),"")</f>
        <v/>
      </c>
      <c r="X63" t="str">
        <f t="shared" si="9"/>
        <v/>
      </c>
      <c r="Y63" t="str">
        <f>IF($W63="●","LDP "&amp;E63&amp;"."&amp;$B$12,"")</f>
        <v/>
      </c>
      <c r="Z63" t="str">
        <f>IF($W63="●","AND=.D "&amp;$B$13&amp;" #0","")</f>
        <v/>
      </c>
      <c r="AA63" t="str">
        <f>IF($W63="●","MOV.D #"&amp;X63&amp;" "&amp;$B$13,"")</f>
        <v/>
      </c>
      <c r="AB63" t="str">
        <f>IF(LEN(U63),"MOV.D "&amp;$U63&amp;" "&amp;$B$14,"")</f>
        <v/>
      </c>
      <c r="AC63" t="str">
        <f>IF(AND(D63&lt;&gt;0,W63="●"),CHAR(10),"")&amp;IF(LEN(Y63),Y63,"")</f>
        <v/>
      </c>
      <c r="AD63" t="str">
        <f t="shared" si="12"/>
        <v/>
      </c>
      <c r="AE63" t="str">
        <f t="shared" si="13"/>
        <v/>
      </c>
      <c r="AF63" t="str">
        <f t="shared" si="10"/>
        <v/>
      </c>
      <c r="AG63" t="str">
        <f t="shared" si="11"/>
        <v/>
      </c>
      <c r="AI63" t="str">
        <f>IF($W63="●",AD63&amp;CHAR(10)&amp;"BOX_ST"&amp;CHAR(10)&amp;";//"&amp;$B$8,"")</f>
        <v/>
      </c>
      <c r="AJ63" t="str">
        <f>IF($W63="●",IF(LEN(AI63),AI63&amp;CHAR(10),"")&amp;";//エラーNo.を入れる"&amp;CHAR(10)&amp;";"&amp;$B$13&amp;"	:= "&amp;X63&amp;";","")</f>
        <v/>
      </c>
      <c r="AK63" t="str">
        <f>IF($W63="●",IF(LEN(AJ63),AJ63&amp;CHAR(10),"")&amp;IF(LEN(U63),";//エラーコードを入れる"&amp;CHAR(10)&amp;";"&amp;$B$14&amp;"	:= "&amp;U63&amp;".udiErr;",""),"")</f>
        <v/>
      </c>
      <c r="AL63" t="str">
        <f>IF($W63="●",IF(LEN(AK63),AK63&amp;CHAR(10),"")&amp;";//"&amp;$B$9,"")</f>
        <v/>
      </c>
    </row>
    <row r="64" spans="4:38" x14ac:dyDescent="0.55000000000000004">
      <c r="D64">
        <v>58</v>
      </c>
      <c r="M64" t="str">
        <f t="shared" si="4"/>
        <v/>
      </c>
      <c r="N64" t="str">
        <f t="shared" si="4"/>
        <v/>
      </c>
      <c r="O64" t="str">
        <f t="shared" si="4"/>
        <v/>
      </c>
      <c r="P64" t="str">
        <f t="shared" si="14"/>
        <v/>
      </c>
      <c r="Q64" t="str">
        <f t="shared" si="14"/>
        <v/>
      </c>
      <c r="R64" t="str">
        <f t="shared" si="14"/>
        <v/>
      </c>
      <c r="S64" t="str">
        <f t="shared" si="6"/>
        <v/>
      </c>
      <c r="T64" t="str">
        <f t="shared" si="7"/>
        <v/>
      </c>
      <c r="U64" t="str">
        <f t="shared" si="8"/>
        <v/>
      </c>
      <c r="W64" t="str">
        <f>IF(LEN(K64),IF(OR(COUNTIF(K64,"*◆*"),COUNTIF(K64,"*▼*")),"","●"),"")</f>
        <v/>
      </c>
      <c r="X64" t="str">
        <f t="shared" si="9"/>
        <v/>
      </c>
      <c r="Y64" t="str">
        <f>IF($W64="●","LDP "&amp;E64&amp;"."&amp;$B$12,"")</f>
        <v/>
      </c>
      <c r="Z64" t="str">
        <f>IF($W64="●","AND=.D "&amp;$B$13&amp;" #0","")</f>
        <v/>
      </c>
      <c r="AA64" t="str">
        <f>IF($W64="●","MOV.D #"&amp;X64&amp;" "&amp;$B$13,"")</f>
        <v/>
      </c>
      <c r="AB64" t="str">
        <f>IF(LEN(U64),"MOV.D "&amp;$U64&amp;" "&amp;$B$14,"")</f>
        <v/>
      </c>
      <c r="AC64" t="str">
        <f>IF(AND(D64&lt;&gt;0,W64="●"),CHAR(10),"")&amp;IF(LEN(Y64),Y64,"")</f>
        <v/>
      </c>
      <c r="AD64" t="str">
        <f t="shared" si="12"/>
        <v/>
      </c>
      <c r="AE64" t="str">
        <f t="shared" si="13"/>
        <v/>
      </c>
      <c r="AF64" t="str">
        <f t="shared" si="10"/>
        <v/>
      </c>
      <c r="AG64" t="str">
        <f t="shared" si="11"/>
        <v/>
      </c>
      <c r="AI64" t="str">
        <f>IF($W64="●",AD64&amp;CHAR(10)&amp;"BOX_ST"&amp;CHAR(10)&amp;";//"&amp;$B$8,"")</f>
        <v/>
      </c>
      <c r="AJ64" t="str">
        <f>IF($W64="●",IF(LEN(AI64),AI64&amp;CHAR(10),"")&amp;";//エラーNo.を入れる"&amp;CHAR(10)&amp;";"&amp;$B$13&amp;"	:= "&amp;X64&amp;";","")</f>
        <v/>
      </c>
      <c r="AK64" t="str">
        <f>IF($W64="●",IF(LEN(AJ64),AJ64&amp;CHAR(10),"")&amp;IF(LEN(U64),";//エラーコードを入れる"&amp;CHAR(10)&amp;";"&amp;$B$14&amp;"	:= "&amp;U64&amp;".udiErr;",""),"")</f>
        <v/>
      </c>
      <c r="AL64" t="str">
        <f>IF($W64="●",IF(LEN(AK64),AK64&amp;CHAR(10),"")&amp;";//"&amp;$B$9,"")</f>
        <v/>
      </c>
    </row>
    <row r="65" spans="4:38" x14ac:dyDescent="0.55000000000000004">
      <c r="D65">
        <v>59</v>
      </c>
      <c r="M65" t="str">
        <f t="shared" si="4"/>
        <v/>
      </c>
      <c r="N65" t="str">
        <f t="shared" si="4"/>
        <v/>
      </c>
      <c r="O65" t="str">
        <f t="shared" si="4"/>
        <v/>
      </c>
      <c r="P65" t="str">
        <f t="shared" si="14"/>
        <v/>
      </c>
      <c r="Q65" t="str">
        <f t="shared" si="14"/>
        <v/>
      </c>
      <c r="R65" t="str">
        <f t="shared" si="14"/>
        <v/>
      </c>
      <c r="S65" t="str">
        <f t="shared" si="6"/>
        <v/>
      </c>
      <c r="T65" t="str">
        <f t="shared" si="7"/>
        <v/>
      </c>
      <c r="U65" t="str">
        <f t="shared" si="8"/>
        <v/>
      </c>
      <c r="W65" t="str">
        <f>IF(LEN(K65),IF(OR(COUNTIF(K65,"*◆*"),COUNTIF(K65,"*▼*")),"","●"),"")</f>
        <v/>
      </c>
      <c r="X65" t="str">
        <f t="shared" si="9"/>
        <v/>
      </c>
      <c r="Y65" t="str">
        <f>IF($W65="●","LDP "&amp;E65&amp;"."&amp;$B$12,"")</f>
        <v/>
      </c>
      <c r="Z65" t="str">
        <f>IF($W65="●","AND=.D "&amp;$B$13&amp;" #0","")</f>
        <v/>
      </c>
      <c r="AA65" t="str">
        <f>IF($W65="●","MOV.D #"&amp;X65&amp;" "&amp;$B$13,"")</f>
        <v/>
      </c>
      <c r="AB65" t="str">
        <f>IF(LEN(U65),"MOV.D "&amp;$U65&amp;" "&amp;$B$14,"")</f>
        <v/>
      </c>
      <c r="AC65" t="str">
        <f>IF(AND(D65&lt;&gt;0,W65="●"),CHAR(10),"")&amp;IF(LEN(Y65),Y65,"")</f>
        <v/>
      </c>
      <c r="AD65" t="str">
        <f t="shared" si="12"/>
        <v/>
      </c>
      <c r="AE65" t="str">
        <f t="shared" si="13"/>
        <v/>
      </c>
      <c r="AF65" t="str">
        <f t="shared" si="10"/>
        <v/>
      </c>
      <c r="AG65" t="str">
        <f t="shared" si="11"/>
        <v/>
      </c>
      <c r="AI65" t="str">
        <f>IF($W65="●",AD65&amp;CHAR(10)&amp;"BOX_ST"&amp;CHAR(10)&amp;";//"&amp;$B$8,"")</f>
        <v/>
      </c>
      <c r="AJ65" t="str">
        <f>IF($W65="●",IF(LEN(AI65),AI65&amp;CHAR(10),"")&amp;";//エラーNo.を入れる"&amp;CHAR(10)&amp;";"&amp;$B$13&amp;"	:= "&amp;X65&amp;";","")</f>
        <v/>
      </c>
      <c r="AK65" t="str">
        <f>IF($W65="●",IF(LEN(AJ65),AJ65&amp;CHAR(10),"")&amp;IF(LEN(U65),";//エラーコードを入れる"&amp;CHAR(10)&amp;";"&amp;$B$14&amp;"	:= "&amp;U65&amp;".udiErr;",""),"")</f>
        <v/>
      </c>
      <c r="AL65" t="str">
        <f>IF($W65="●",IF(LEN(AK65),AK65&amp;CHAR(10),"")&amp;";//"&amp;$B$9,"")</f>
        <v/>
      </c>
    </row>
    <row r="66" spans="4:38" x14ac:dyDescent="0.55000000000000004">
      <c r="D66">
        <v>60</v>
      </c>
      <c r="M66" t="str">
        <f t="shared" si="4"/>
        <v/>
      </c>
      <c r="N66" t="str">
        <f t="shared" si="4"/>
        <v/>
      </c>
      <c r="O66" t="str">
        <f t="shared" si="4"/>
        <v/>
      </c>
      <c r="P66" t="str">
        <f t="shared" si="14"/>
        <v/>
      </c>
      <c r="Q66" t="str">
        <f t="shared" si="14"/>
        <v/>
      </c>
      <c r="R66" t="str">
        <f t="shared" si="14"/>
        <v/>
      </c>
      <c r="S66" t="str">
        <f t="shared" si="6"/>
        <v/>
      </c>
      <c r="T66" t="str">
        <f t="shared" si="7"/>
        <v/>
      </c>
      <c r="U66" t="str">
        <f t="shared" si="8"/>
        <v/>
      </c>
      <c r="W66" t="str">
        <f>IF(LEN(K66),IF(OR(COUNTIF(K66,"*◆*"),COUNTIF(K66,"*▼*")),"","●"),"")</f>
        <v/>
      </c>
      <c r="X66" t="str">
        <f t="shared" si="9"/>
        <v/>
      </c>
      <c r="Y66" t="str">
        <f>IF($W66="●","LDP "&amp;E66&amp;"."&amp;$B$12,"")</f>
        <v/>
      </c>
      <c r="Z66" t="str">
        <f>IF($W66="●","AND=.D "&amp;$B$13&amp;" #0","")</f>
        <v/>
      </c>
      <c r="AA66" t="str">
        <f>IF($W66="●","MOV.D #"&amp;X66&amp;" "&amp;$B$13,"")</f>
        <v/>
      </c>
      <c r="AB66" t="str">
        <f>IF(LEN(U66),"MOV.D "&amp;$U66&amp;" "&amp;$B$14,"")</f>
        <v/>
      </c>
      <c r="AC66" t="str">
        <f>IF(AND(D66&lt;&gt;0,W66="●"),CHAR(10),"")&amp;IF(LEN(Y66),Y66,"")</f>
        <v/>
      </c>
      <c r="AD66" t="str">
        <f t="shared" si="12"/>
        <v/>
      </c>
      <c r="AE66" t="str">
        <f t="shared" si="13"/>
        <v/>
      </c>
      <c r="AF66" t="str">
        <f t="shared" si="10"/>
        <v/>
      </c>
      <c r="AG66" t="str">
        <f t="shared" si="11"/>
        <v/>
      </c>
      <c r="AI66" t="str">
        <f>IF($W66="●",AD66&amp;CHAR(10)&amp;"BOX_ST"&amp;CHAR(10)&amp;";//"&amp;$B$8,"")</f>
        <v/>
      </c>
      <c r="AJ66" t="str">
        <f>IF($W66="●",IF(LEN(AI66),AI66&amp;CHAR(10),"")&amp;";//エラーNo.を入れる"&amp;CHAR(10)&amp;";"&amp;$B$13&amp;"	:= "&amp;X66&amp;";","")</f>
        <v/>
      </c>
      <c r="AK66" t="str">
        <f>IF($W66="●",IF(LEN(AJ66),AJ66&amp;CHAR(10),"")&amp;IF(LEN(U66),";//エラーコードを入れる"&amp;CHAR(10)&amp;";"&amp;$B$14&amp;"	:= "&amp;U66&amp;".udiErr;",""),"")</f>
        <v/>
      </c>
      <c r="AL66" t="str">
        <f>IF($W66="●",IF(LEN(AK66),AK66&amp;CHAR(10),"")&amp;";//"&amp;$B$9,"")</f>
        <v/>
      </c>
    </row>
    <row r="67" spans="4:38" x14ac:dyDescent="0.55000000000000004">
      <c r="D67">
        <v>61</v>
      </c>
      <c r="M67" t="str">
        <f t="shared" si="4"/>
        <v/>
      </c>
      <c r="N67" t="str">
        <f t="shared" si="4"/>
        <v/>
      </c>
      <c r="O67" t="str">
        <f t="shared" si="4"/>
        <v/>
      </c>
      <c r="P67" t="str">
        <f t="shared" si="14"/>
        <v/>
      </c>
      <c r="Q67" t="str">
        <f t="shared" si="14"/>
        <v/>
      </c>
      <c r="R67" t="str">
        <f t="shared" si="14"/>
        <v/>
      </c>
      <c r="S67" t="str">
        <f t="shared" si="6"/>
        <v/>
      </c>
      <c r="T67" t="str">
        <f t="shared" si="7"/>
        <v/>
      </c>
      <c r="U67" t="str">
        <f t="shared" si="8"/>
        <v/>
      </c>
      <c r="W67" t="str">
        <f>IF(LEN(K67),IF(OR(COUNTIF(K67,"*◆*"),COUNTIF(K67,"*▼*")),"","●"),"")</f>
        <v/>
      </c>
      <c r="X67" t="str">
        <f t="shared" si="9"/>
        <v/>
      </c>
      <c r="Y67" t="str">
        <f>IF($W67="●","LDP "&amp;E67&amp;"."&amp;$B$12,"")</f>
        <v/>
      </c>
      <c r="Z67" t="str">
        <f>IF($W67="●","AND=.D "&amp;$B$13&amp;" #0","")</f>
        <v/>
      </c>
      <c r="AA67" t="str">
        <f>IF($W67="●","MOV.D #"&amp;X67&amp;" "&amp;$B$13,"")</f>
        <v/>
      </c>
      <c r="AB67" t="str">
        <f>IF(LEN(U67),"MOV.D "&amp;$U67&amp;" "&amp;$B$14,"")</f>
        <v/>
      </c>
      <c r="AC67" t="str">
        <f>IF(AND(D67&lt;&gt;0,W67="●"),CHAR(10),"")&amp;IF(LEN(Y67),Y67,"")</f>
        <v/>
      </c>
      <c r="AD67" t="str">
        <f t="shared" si="12"/>
        <v/>
      </c>
      <c r="AE67" t="str">
        <f t="shared" si="13"/>
        <v/>
      </c>
      <c r="AF67" t="str">
        <f t="shared" si="10"/>
        <v/>
      </c>
      <c r="AG67" t="str">
        <f t="shared" si="11"/>
        <v/>
      </c>
      <c r="AI67" t="str">
        <f>IF($W67="●",AD67&amp;CHAR(10)&amp;"BOX_ST"&amp;CHAR(10)&amp;";//"&amp;$B$8,"")</f>
        <v/>
      </c>
      <c r="AJ67" t="str">
        <f>IF($W67="●",IF(LEN(AI67),AI67&amp;CHAR(10),"")&amp;";//エラーNo.を入れる"&amp;CHAR(10)&amp;";"&amp;$B$13&amp;"	:= "&amp;X67&amp;";","")</f>
        <v/>
      </c>
      <c r="AK67" t="str">
        <f>IF($W67="●",IF(LEN(AJ67),AJ67&amp;CHAR(10),"")&amp;IF(LEN(U67),";//エラーコードを入れる"&amp;CHAR(10)&amp;";"&amp;$B$14&amp;"	:= "&amp;U67&amp;".udiErr;",""),"")</f>
        <v/>
      </c>
      <c r="AL67" t="str">
        <f>IF($W67="●",IF(LEN(AK67),AK67&amp;CHAR(10),"")&amp;";//"&amp;$B$9,"")</f>
        <v/>
      </c>
    </row>
    <row r="68" spans="4:38" x14ac:dyDescent="0.55000000000000004">
      <c r="D68">
        <v>62</v>
      </c>
      <c r="M68" t="str">
        <f t="shared" si="4"/>
        <v/>
      </c>
      <c r="N68" t="str">
        <f t="shared" si="4"/>
        <v/>
      </c>
      <c r="O68" t="str">
        <f t="shared" si="4"/>
        <v/>
      </c>
      <c r="P68" t="str">
        <f t="shared" si="14"/>
        <v/>
      </c>
      <c r="Q68" t="str">
        <f t="shared" si="14"/>
        <v/>
      </c>
      <c r="R68" t="str">
        <f t="shared" si="14"/>
        <v/>
      </c>
      <c r="S68" t="str">
        <f t="shared" si="6"/>
        <v/>
      </c>
      <c r="T68" t="str">
        <f t="shared" si="7"/>
        <v/>
      </c>
      <c r="U68" t="str">
        <f t="shared" si="8"/>
        <v/>
      </c>
      <c r="W68" t="str">
        <f>IF(LEN(K68),IF(OR(COUNTIF(K68,"*◆*"),COUNTIF(K68,"*▼*")),"","●"),"")</f>
        <v/>
      </c>
      <c r="X68" t="str">
        <f t="shared" si="9"/>
        <v/>
      </c>
      <c r="Y68" t="str">
        <f>IF($W68="●","LDP "&amp;E68&amp;"."&amp;$B$12,"")</f>
        <v/>
      </c>
      <c r="Z68" t="str">
        <f>IF($W68="●","AND=.D "&amp;$B$13&amp;" #0","")</f>
        <v/>
      </c>
      <c r="AA68" t="str">
        <f>IF($W68="●","MOV.D #"&amp;X68&amp;" "&amp;$B$13,"")</f>
        <v/>
      </c>
      <c r="AB68" t="str">
        <f>IF(LEN(U68),"MOV.D "&amp;$U68&amp;" "&amp;$B$14,"")</f>
        <v/>
      </c>
      <c r="AC68" t="str">
        <f>IF(AND(D68&lt;&gt;0,W68="●"),CHAR(10),"")&amp;IF(LEN(Y68),Y68,"")</f>
        <v/>
      </c>
      <c r="AD68" t="str">
        <f t="shared" si="12"/>
        <v/>
      </c>
      <c r="AE68" t="str">
        <f t="shared" si="13"/>
        <v/>
      </c>
      <c r="AF68" t="str">
        <f t="shared" si="10"/>
        <v/>
      </c>
      <c r="AG68" t="str">
        <f t="shared" si="11"/>
        <v/>
      </c>
      <c r="AI68" t="str">
        <f>IF($W68="●",AD68&amp;CHAR(10)&amp;"BOX_ST"&amp;CHAR(10)&amp;";//"&amp;$B$8,"")</f>
        <v/>
      </c>
      <c r="AJ68" t="str">
        <f>IF($W68="●",IF(LEN(AI68),AI68&amp;CHAR(10),"")&amp;";//エラーNo.を入れる"&amp;CHAR(10)&amp;";"&amp;$B$13&amp;"	:= "&amp;X68&amp;";","")</f>
        <v/>
      </c>
      <c r="AK68" t="str">
        <f>IF($W68="●",IF(LEN(AJ68),AJ68&amp;CHAR(10),"")&amp;IF(LEN(U68),";//エラーコードを入れる"&amp;CHAR(10)&amp;";"&amp;$B$14&amp;"	:= "&amp;U68&amp;".udiErr;",""),"")</f>
        <v/>
      </c>
      <c r="AL68" t="str">
        <f>IF($W68="●",IF(LEN(AK68),AK68&amp;CHAR(10),"")&amp;";//"&amp;$B$9,"")</f>
        <v/>
      </c>
    </row>
    <row r="69" spans="4:38" x14ac:dyDescent="0.55000000000000004">
      <c r="D69">
        <v>63</v>
      </c>
      <c r="M69" t="str">
        <f t="shared" si="4"/>
        <v/>
      </c>
      <c r="N69" t="str">
        <f t="shared" si="4"/>
        <v/>
      </c>
      <c r="O69" t="str">
        <f t="shared" si="4"/>
        <v/>
      </c>
      <c r="P69" t="str">
        <f t="shared" si="14"/>
        <v/>
      </c>
      <c r="Q69" t="str">
        <f t="shared" si="14"/>
        <v/>
      </c>
      <c r="R69" t="str">
        <f t="shared" si="14"/>
        <v/>
      </c>
      <c r="S69" t="str">
        <f t="shared" si="6"/>
        <v/>
      </c>
      <c r="T69" t="str">
        <f t="shared" si="7"/>
        <v/>
      </c>
      <c r="U69" t="str">
        <f t="shared" si="8"/>
        <v/>
      </c>
      <c r="W69" t="str">
        <f>IF(LEN(K69),IF(OR(COUNTIF(K69,"*◆*"),COUNTIF(K69,"*▼*")),"","●"),"")</f>
        <v/>
      </c>
      <c r="X69" t="str">
        <f t="shared" si="9"/>
        <v/>
      </c>
      <c r="Y69" t="str">
        <f>IF($W69="●","LDP "&amp;E69&amp;"."&amp;$B$12,"")</f>
        <v/>
      </c>
      <c r="Z69" t="str">
        <f>IF($W69="●","AND=.D "&amp;$B$13&amp;" #0","")</f>
        <v/>
      </c>
      <c r="AA69" t="str">
        <f>IF($W69="●","MOV.D #"&amp;X69&amp;" "&amp;$B$13,"")</f>
        <v/>
      </c>
      <c r="AB69" t="str">
        <f>IF(LEN(U69),"MOV.D "&amp;$U69&amp;" "&amp;$B$14,"")</f>
        <v/>
      </c>
      <c r="AC69" t="str">
        <f>IF(AND(D69&lt;&gt;0,W69="●"),CHAR(10),"")&amp;IF(LEN(Y69),Y69,"")</f>
        <v/>
      </c>
      <c r="AD69" t="str">
        <f t="shared" si="12"/>
        <v/>
      </c>
      <c r="AE69" t="str">
        <f t="shared" si="13"/>
        <v/>
      </c>
      <c r="AF69" t="str">
        <f t="shared" si="10"/>
        <v/>
      </c>
      <c r="AG69" t="str">
        <f t="shared" si="11"/>
        <v/>
      </c>
      <c r="AI69" t="str">
        <f>IF($W69="●",AD69&amp;CHAR(10)&amp;"BOX_ST"&amp;CHAR(10)&amp;";//"&amp;$B$8,"")</f>
        <v/>
      </c>
      <c r="AJ69" t="str">
        <f>IF($W69="●",IF(LEN(AI69),AI69&amp;CHAR(10),"")&amp;";//エラーNo.を入れる"&amp;CHAR(10)&amp;";"&amp;$B$13&amp;"	:= "&amp;X69&amp;";","")</f>
        <v/>
      </c>
      <c r="AK69" t="str">
        <f>IF($W69="●",IF(LEN(AJ69),AJ69&amp;CHAR(10),"")&amp;IF(LEN(U69),";//エラーコードを入れる"&amp;CHAR(10)&amp;";"&amp;$B$14&amp;"	:= "&amp;U69&amp;".udiErr;",""),"")</f>
        <v/>
      </c>
      <c r="AL69" t="str">
        <f>IF($W69="●",IF(LEN(AK69),AK69&amp;CHAR(10),"")&amp;";//"&amp;$B$9,"")</f>
        <v/>
      </c>
    </row>
    <row r="70" spans="4:38" x14ac:dyDescent="0.55000000000000004">
      <c r="D70">
        <v>64</v>
      </c>
      <c r="M70" t="str">
        <f t="shared" si="4"/>
        <v/>
      </c>
      <c r="N70" t="str">
        <f t="shared" si="4"/>
        <v/>
      </c>
      <c r="O70" t="str">
        <f t="shared" si="4"/>
        <v/>
      </c>
      <c r="P70" t="str">
        <f t="shared" si="14"/>
        <v/>
      </c>
      <c r="Q70" t="str">
        <f t="shared" si="14"/>
        <v/>
      </c>
      <c r="R70" t="str">
        <f t="shared" si="14"/>
        <v/>
      </c>
      <c r="S70" t="str">
        <f t="shared" si="6"/>
        <v/>
      </c>
      <c r="T70" t="str">
        <f t="shared" si="7"/>
        <v/>
      </c>
      <c r="U70" t="str">
        <f t="shared" si="8"/>
        <v/>
      </c>
      <c r="W70" t="str">
        <f>IF(LEN(K70),IF(OR(COUNTIF(K70,"*◆*"),COUNTIF(K70,"*▼*")),"","●"),"")</f>
        <v/>
      </c>
      <c r="X70" t="str">
        <f t="shared" si="9"/>
        <v/>
      </c>
      <c r="Y70" t="str">
        <f>IF($W70="●","LDP "&amp;E70&amp;"."&amp;$B$12,"")</f>
        <v/>
      </c>
      <c r="Z70" t="str">
        <f>IF($W70="●","AND=.D "&amp;$B$13&amp;" #0","")</f>
        <v/>
      </c>
      <c r="AA70" t="str">
        <f>IF($W70="●","MOV.D #"&amp;X70&amp;" "&amp;$B$13,"")</f>
        <v/>
      </c>
      <c r="AB70" t="str">
        <f>IF(LEN(U70),"MOV.D "&amp;$U70&amp;" "&amp;$B$14,"")</f>
        <v/>
      </c>
      <c r="AC70" t="str">
        <f>IF(AND(D70&lt;&gt;0,W70="●"),CHAR(10),"")&amp;IF(LEN(Y70),Y70,"")</f>
        <v/>
      </c>
      <c r="AD70" t="str">
        <f t="shared" ref="AD70:AD101" si="15">IF(LEN(AC70),AC70&amp;CHAR(10),"")&amp;IF(LEN(Z70),Z70,"")</f>
        <v/>
      </c>
      <c r="AE70" t="str">
        <f t="shared" ref="AE70:AE101" si="16">IF(LEN(AD70),AD70&amp;CHAR(10),"")&amp;IF(LEN(AA70),AA70,"")</f>
        <v/>
      </c>
      <c r="AF70" t="str">
        <f t="shared" si="10"/>
        <v/>
      </c>
      <c r="AG70" t="str">
        <f t="shared" si="11"/>
        <v/>
      </c>
      <c r="AI70" t="str">
        <f>IF($W70="●",AD70&amp;CHAR(10)&amp;"BOX_ST"&amp;CHAR(10)&amp;";//"&amp;$B$8,"")</f>
        <v/>
      </c>
      <c r="AJ70" t="str">
        <f>IF($W70="●",IF(LEN(AI70),AI70&amp;CHAR(10),"")&amp;";//エラーNo.を入れる"&amp;CHAR(10)&amp;";"&amp;$B$13&amp;"	:= "&amp;X70&amp;";","")</f>
        <v/>
      </c>
      <c r="AK70" t="str">
        <f>IF($W70="●",IF(LEN(AJ70),AJ70&amp;CHAR(10),"")&amp;IF(LEN(U70),";//エラーコードを入れる"&amp;CHAR(10)&amp;";"&amp;$B$14&amp;"	:= "&amp;U70&amp;".udiErr;",""),"")</f>
        <v/>
      </c>
      <c r="AL70" t="str">
        <f>IF($W70="●",IF(LEN(AK70),AK70&amp;CHAR(10),"")&amp;";//"&amp;$B$9,"")</f>
        <v/>
      </c>
    </row>
    <row r="71" spans="4:38" x14ac:dyDescent="0.55000000000000004">
      <c r="D71">
        <v>65</v>
      </c>
      <c r="M71" t="str">
        <f t="shared" ref="M71:O105" si="17">IF(COUNTIF($K71,"*"&amp;M$5&amp;"*"),INT(MID($K71,FIND(M$5,$K71)+LEN(M$5),2)),"")</f>
        <v/>
      </c>
      <c r="N71" t="str">
        <f t="shared" si="17"/>
        <v/>
      </c>
      <c r="O71" t="str">
        <f t="shared" si="17"/>
        <v/>
      </c>
      <c r="P71" t="str">
        <f t="shared" ref="P71:R105" si="18">IF(AND(LEN($M71),P$2&lt;=$M71,$M71&lt;=P$3),P$5&amp;"["&amp;$M71-P$2&amp;"]","")</f>
        <v/>
      </c>
      <c r="Q71" t="str">
        <f t="shared" si="18"/>
        <v/>
      </c>
      <c r="R71" t="str">
        <f t="shared" si="18"/>
        <v/>
      </c>
      <c r="S71" t="str">
        <f t="shared" ref="S71:S105" si="19">IF(AND(LEN($N71),S$2&lt;=$N71,$N71&lt;=S$3),S$5&amp;"["&amp;$N71-S$2&amp;"]","")</f>
        <v/>
      </c>
      <c r="T71" t="str">
        <f t="shared" ref="T71:T105" si="20">IF(AND(LEN($O71),T$2&lt;=$O71,$O71&lt;=T$3),T$5&amp;"["&amp;$O71-T$2&amp;"]","")</f>
        <v/>
      </c>
      <c r="U71" t="str">
        <f t="shared" ref="U71:U105" si="21">IF(LEN(_xlfn.CONCAT(P71:T71)),_xlfn.CONCAT(P71:T71),"")</f>
        <v/>
      </c>
      <c r="W71" t="str">
        <f>IF(LEN(K71),IF(OR(COUNTIF(K71,"*◆*"),COUNTIF(K71,"*▼*")),"","●"),"")</f>
        <v/>
      </c>
      <c r="X71" t="str">
        <f t="shared" ref="X71:X105" si="22">IF(W71="●",X$4+MOD(INT(MID(E71,5,3)),X$3),"")</f>
        <v/>
      </c>
      <c r="Y71" t="str">
        <f>IF($W71="●","LDP "&amp;E71&amp;"."&amp;$B$12,"")</f>
        <v/>
      </c>
      <c r="Z71" t="str">
        <f>IF($W71="●","AND=.D "&amp;$B$13&amp;" #0","")</f>
        <v/>
      </c>
      <c r="AA71" t="str">
        <f>IF($W71="●","MOV.D #"&amp;X71&amp;" "&amp;$B$13,"")</f>
        <v/>
      </c>
      <c r="AB71" t="str">
        <f>IF(LEN(U71),"MOV.D "&amp;$U71&amp;" "&amp;$B$14,"")</f>
        <v/>
      </c>
      <c r="AC71" t="str">
        <f>IF(AND(D71&lt;&gt;0,W71="●"),CHAR(10),"")&amp;IF(LEN(Y71),Y71,"")</f>
        <v/>
      </c>
      <c r="AD71" t="str">
        <f t="shared" si="15"/>
        <v/>
      </c>
      <c r="AE71" t="str">
        <f t="shared" si="16"/>
        <v/>
      </c>
      <c r="AF71" t="str">
        <f t="shared" ref="AF71:AF105" si="23">IF(LEN(AE71),AE71&amp;CHAR(10),"")&amp;IF(LEN(AB71),AB71,"")</f>
        <v/>
      </c>
      <c r="AG71" t="str">
        <f t="shared" ref="AG71:AG105" si="24">AF71</f>
        <v/>
      </c>
      <c r="AI71" t="str">
        <f>IF($W71="●",AD71&amp;CHAR(10)&amp;"BOX_ST"&amp;CHAR(10)&amp;";//"&amp;$B$8,"")</f>
        <v/>
      </c>
      <c r="AJ71" t="str">
        <f>IF($W71="●",IF(LEN(AI71),AI71&amp;CHAR(10),"")&amp;";//エラーNo.を入れる"&amp;CHAR(10)&amp;";"&amp;$B$13&amp;"	:= "&amp;X71&amp;";","")</f>
        <v/>
      </c>
      <c r="AK71" t="str">
        <f>IF($W71="●",IF(LEN(AJ71),AJ71&amp;CHAR(10),"")&amp;IF(LEN(U71),";//エラーコードを入れる"&amp;CHAR(10)&amp;";"&amp;$B$14&amp;"	:= "&amp;U71&amp;".udiErr;",""),"")</f>
        <v/>
      </c>
      <c r="AL71" t="str">
        <f>IF($W71="●",IF(LEN(AK71),AK71&amp;CHAR(10),"")&amp;";//"&amp;$B$9,"")</f>
        <v/>
      </c>
    </row>
    <row r="72" spans="4:38" x14ac:dyDescent="0.55000000000000004">
      <c r="D72">
        <v>66</v>
      </c>
      <c r="M72" t="str">
        <f t="shared" si="17"/>
        <v/>
      </c>
      <c r="N72" t="str">
        <f t="shared" si="17"/>
        <v/>
      </c>
      <c r="O72" t="str">
        <f t="shared" si="17"/>
        <v/>
      </c>
      <c r="P72" t="str">
        <f t="shared" si="18"/>
        <v/>
      </c>
      <c r="Q72" t="str">
        <f t="shared" si="18"/>
        <v/>
      </c>
      <c r="R72" t="str">
        <f t="shared" si="18"/>
        <v/>
      </c>
      <c r="S72" t="str">
        <f t="shared" si="19"/>
        <v/>
      </c>
      <c r="T72" t="str">
        <f t="shared" si="20"/>
        <v/>
      </c>
      <c r="U72" t="str">
        <f t="shared" si="21"/>
        <v/>
      </c>
      <c r="W72" t="str">
        <f>IF(LEN(K72),IF(OR(COUNTIF(K72,"*◆*"),COUNTIF(K72,"*▼*")),"","●"),"")</f>
        <v/>
      </c>
      <c r="X72" t="str">
        <f t="shared" si="22"/>
        <v/>
      </c>
      <c r="Y72" t="str">
        <f>IF($W72="●","LDP "&amp;E72&amp;"."&amp;$B$12,"")</f>
        <v/>
      </c>
      <c r="Z72" t="str">
        <f>IF($W72="●","AND=.D "&amp;$B$13&amp;" #0","")</f>
        <v/>
      </c>
      <c r="AA72" t="str">
        <f>IF($W72="●","MOV.D #"&amp;X72&amp;" "&amp;$B$13,"")</f>
        <v/>
      </c>
      <c r="AB72" t="str">
        <f>IF(LEN(U72),"MOV.D "&amp;$U72&amp;" "&amp;$B$14,"")</f>
        <v/>
      </c>
      <c r="AC72" t="str">
        <f>IF(AND(D72&lt;&gt;0,W72="●"),CHAR(10),"")&amp;IF(LEN(Y72),Y72,"")</f>
        <v/>
      </c>
      <c r="AD72" t="str">
        <f t="shared" si="15"/>
        <v/>
      </c>
      <c r="AE72" t="str">
        <f t="shared" si="16"/>
        <v/>
      </c>
      <c r="AF72" t="str">
        <f t="shared" si="23"/>
        <v/>
      </c>
      <c r="AG72" t="str">
        <f t="shared" si="24"/>
        <v/>
      </c>
      <c r="AI72" t="str">
        <f>IF($W72="●",AD72&amp;CHAR(10)&amp;"BOX_ST"&amp;CHAR(10)&amp;";//"&amp;$B$8,"")</f>
        <v/>
      </c>
      <c r="AJ72" t="str">
        <f>IF($W72="●",IF(LEN(AI72),AI72&amp;CHAR(10),"")&amp;";//エラーNo.を入れる"&amp;CHAR(10)&amp;";"&amp;$B$13&amp;"	:= "&amp;X72&amp;";","")</f>
        <v/>
      </c>
      <c r="AK72" t="str">
        <f>IF($W72="●",IF(LEN(AJ72),AJ72&amp;CHAR(10),"")&amp;IF(LEN(U72),";//エラーコードを入れる"&amp;CHAR(10)&amp;";"&amp;$B$14&amp;"	:= "&amp;U72&amp;".udiErr;",""),"")</f>
        <v/>
      </c>
      <c r="AL72" t="str">
        <f>IF($W72="●",IF(LEN(AK72),AK72&amp;CHAR(10),"")&amp;";//"&amp;$B$9,"")</f>
        <v/>
      </c>
    </row>
    <row r="73" spans="4:38" x14ac:dyDescent="0.55000000000000004">
      <c r="D73">
        <v>67</v>
      </c>
      <c r="M73" t="str">
        <f t="shared" si="17"/>
        <v/>
      </c>
      <c r="N73" t="str">
        <f t="shared" si="17"/>
        <v/>
      </c>
      <c r="O73" t="str">
        <f t="shared" si="17"/>
        <v/>
      </c>
      <c r="P73" t="str">
        <f t="shared" si="18"/>
        <v/>
      </c>
      <c r="Q73" t="str">
        <f t="shared" si="18"/>
        <v/>
      </c>
      <c r="R73" t="str">
        <f t="shared" si="18"/>
        <v/>
      </c>
      <c r="S73" t="str">
        <f t="shared" si="19"/>
        <v/>
      </c>
      <c r="T73" t="str">
        <f t="shared" si="20"/>
        <v/>
      </c>
      <c r="U73" t="str">
        <f t="shared" si="21"/>
        <v/>
      </c>
      <c r="W73" t="str">
        <f>IF(LEN(K73),IF(OR(COUNTIF(K73,"*◆*"),COUNTIF(K73,"*▼*")),"","●"),"")</f>
        <v/>
      </c>
      <c r="X73" t="str">
        <f t="shared" si="22"/>
        <v/>
      </c>
      <c r="Y73" t="str">
        <f>IF($W73="●","LDP "&amp;E73&amp;"."&amp;$B$12,"")</f>
        <v/>
      </c>
      <c r="Z73" t="str">
        <f>IF($W73="●","AND=.D "&amp;$B$13&amp;" #0","")</f>
        <v/>
      </c>
      <c r="AA73" t="str">
        <f>IF($W73="●","MOV.D #"&amp;X73&amp;" "&amp;$B$13,"")</f>
        <v/>
      </c>
      <c r="AB73" t="str">
        <f>IF(LEN(U73),"MOV.D "&amp;$U73&amp;" "&amp;$B$14,"")</f>
        <v/>
      </c>
      <c r="AC73" t="str">
        <f>IF(AND(D73&lt;&gt;0,W73="●"),CHAR(10),"")&amp;IF(LEN(Y73),Y73,"")</f>
        <v/>
      </c>
      <c r="AD73" t="str">
        <f t="shared" si="15"/>
        <v/>
      </c>
      <c r="AE73" t="str">
        <f t="shared" si="16"/>
        <v/>
      </c>
      <c r="AF73" t="str">
        <f t="shared" si="23"/>
        <v/>
      </c>
      <c r="AG73" t="str">
        <f t="shared" si="24"/>
        <v/>
      </c>
      <c r="AI73" t="str">
        <f>IF($W73="●",AD73&amp;CHAR(10)&amp;"BOX_ST"&amp;CHAR(10)&amp;";//"&amp;$B$8,"")</f>
        <v/>
      </c>
      <c r="AJ73" t="str">
        <f>IF($W73="●",IF(LEN(AI73),AI73&amp;CHAR(10),"")&amp;";//エラーNo.を入れる"&amp;CHAR(10)&amp;";"&amp;$B$13&amp;"	:= "&amp;X73&amp;";","")</f>
        <v/>
      </c>
      <c r="AK73" t="str">
        <f>IF($W73="●",IF(LEN(AJ73),AJ73&amp;CHAR(10),"")&amp;IF(LEN(U73),";//エラーコードを入れる"&amp;CHAR(10)&amp;";"&amp;$B$14&amp;"	:= "&amp;U73&amp;".udiErr;",""),"")</f>
        <v/>
      </c>
      <c r="AL73" t="str">
        <f>IF($W73="●",IF(LEN(AK73),AK73&amp;CHAR(10),"")&amp;";//"&amp;$B$9,"")</f>
        <v/>
      </c>
    </row>
    <row r="74" spans="4:38" x14ac:dyDescent="0.55000000000000004">
      <c r="D74">
        <v>68</v>
      </c>
      <c r="M74" t="str">
        <f t="shared" si="17"/>
        <v/>
      </c>
      <c r="N74" t="str">
        <f t="shared" si="17"/>
        <v/>
      </c>
      <c r="O74" t="str">
        <f t="shared" si="17"/>
        <v/>
      </c>
      <c r="P74" t="str">
        <f t="shared" si="18"/>
        <v/>
      </c>
      <c r="Q74" t="str">
        <f t="shared" si="18"/>
        <v/>
      </c>
      <c r="R74" t="str">
        <f t="shared" si="18"/>
        <v/>
      </c>
      <c r="S74" t="str">
        <f t="shared" si="19"/>
        <v/>
      </c>
      <c r="T74" t="str">
        <f t="shared" si="20"/>
        <v/>
      </c>
      <c r="U74" t="str">
        <f t="shared" si="21"/>
        <v/>
      </c>
      <c r="W74" t="str">
        <f>IF(LEN(K74),IF(OR(COUNTIF(K74,"*◆*"),COUNTIF(K74,"*▼*")),"","●"),"")</f>
        <v/>
      </c>
      <c r="X74" t="str">
        <f t="shared" si="22"/>
        <v/>
      </c>
      <c r="Y74" t="str">
        <f>IF($W74="●","LDP "&amp;E74&amp;"."&amp;$B$12,"")</f>
        <v/>
      </c>
      <c r="Z74" t="str">
        <f>IF($W74="●","AND=.D "&amp;$B$13&amp;" #0","")</f>
        <v/>
      </c>
      <c r="AA74" t="str">
        <f>IF($W74="●","MOV.D #"&amp;X74&amp;" "&amp;$B$13,"")</f>
        <v/>
      </c>
      <c r="AB74" t="str">
        <f>IF(LEN(U74),"MOV.D "&amp;$U74&amp;" "&amp;$B$14,"")</f>
        <v/>
      </c>
      <c r="AC74" t="str">
        <f>IF(AND(D74&lt;&gt;0,W74="●"),CHAR(10),"")&amp;IF(LEN(Y74),Y74,"")</f>
        <v/>
      </c>
      <c r="AD74" t="str">
        <f t="shared" si="15"/>
        <v/>
      </c>
      <c r="AE74" t="str">
        <f t="shared" si="16"/>
        <v/>
      </c>
      <c r="AF74" t="str">
        <f t="shared" si="23"/>
        <v/>
      </c>
      <c r="AG74" t="str">
        <f t="shared" si="24"/>
        <v/>
      </c>
      <c r="AI74" t="str">
        <f>IF($W74="●",AD74&amp;CHAR(10)&amp;"BOX_ST"&amp;CHAR(10)&amp;";//"&amp;$B$8,"")</f>
        <v/>
      </c>
      <c r="AJ74" t="str">
        <f>IF($W74="●",IF(LEN(AI74),AI74&amp;CHAR(10),"")&amp;";//エラーNo.を入れる"&amp;CHAR(10)&amp;";"&amp;$B$13&amp;"	:= "&amp;X74&amp;";","")</f>
        <v/>
      </c>
      <c r="AK74" t="str">
        <f>IF($W74="●",IF(LEN(AJ74),AJ74&amp;CHAR(10),"")&amp;IF(LEN(U74),";//エラーコードを入れる"&amp;CHAR(10)&amp;";"&amp;$B$14&amp;"	:= "&amp;U74&amp;".udiErr;",""),"")</f>
        <v/>
      </c>
      <c r="AL74" t="str">
        <f>IF($W74="●",IF(LEN(AK74),AK74&amp;CHAR(10),"")&amp;";//"&amp;$B$9,"")</f>
        <v/>
      </c>
    </row>
    <row r="75" spans="4:38" x14ac:dyDescent="0.55000000000000004">
      <c r="D75">
        <v>69</v>
      </c>
      <c r="M75" t="str">
        <f t="shared" si="17"/>
        <v/>
      </c>
      <c r="N75" t="str">
        <f t="shared" si="17"/>
        <v/>
      </c>
      <c r="O75" t="str">
        <f t="shared" si="17"/>
        <v/>
      </c>
      <c r="P75" t="str">
        <f t="shared" si="18"/>
        <v/>
      </c>
      <c r="Q75" t="str">
        <f t="shared" si="18"/>
        <v/>
      </c>
      <c r="R75" t="str">
        <f t="shared" si="18"/>
        <v/>
      </c>
      <c r="S75" t="str">
        <f t="shared" si="19"/>
        <v/>
      </c>
      <c r="T75" t="str">
        <f t="shared" si="20"/>
        <v/>
      </c>
      <c r="U75" t="str">
        <f t="shared" si="21"/>
        <v/>
      </c>
      <c r="W75" t="str">
        <f>IF(LEN(K75),IF(OR(COUNTIF(K75,"*◆*"),COUNTIF(K75,"*▼*")),"","●"),"")</f>
        <v/>
      </c>
      <c r="X75" t="str">
        <f t="shared" si="22"/>
        <v/>
      </c>
      <c r="Y75" t="str">
        <f>IF($W75="●","LDP "&amp;E75&amp;"."&amp;$B$12,"")</f>
        <v/>
      </c>
      <c r="Z75" t="str">
        <f>IF($W75="●","AND=.D "&amp;$B$13&amp;" #0","")</f>
        <v/>
      </c>
      <c r="AA75" t="str">
        <f>IF($W75="●","MOV.D #"&amp;X75&amp;" "&amp;$B$13,"")</f>
        <v/>
      </c>
      <c r="AB75" t="str">
        <f>IF(LEN(U75),"MOV.D "&amp;$U75&amp;" "&amp;$B$14,"")</f>
        <v/>
      </c>
      <c r="AC75" t="str">
        <f>IF(AND(D75&lt;&gt;0,W75="●"),CHAR(10),"")&amp;IF(LEN(Y75),Y75,"")</f>
        <v/>
      </c>
      <c r="AD75" t="str">
        <f t="shared" si="15"/>
        <v/>
      </c>
      <c r="AE75" t="str">
        <f t="shared" si="16"/>
        <v/>
      </c>
      <c r="AF75" t="str">
        <f t="shared" si="23"/>
        <v/>
      </c>
      <c r="AG75" t="str">
        <f t="shared" si="24"/>
        <v/>
      </c>
      <c r="AI75" t="str">
        <f>IF($W75="●",AD75&amp;CHAR(10)&amp;"BOX_ST"&amp;CHAR(10)&amp;";//"&amp;$B$8,"")</f>
        <v/>
      </c>
      <c r="AJ75" t="str">
        <f>IF($W75="●",IF(LEN(AI75),AI75&amp;CHAR(10),"")&amp;";//エラーNo.を入れる"&amp;CHAR(10)&amp;";"&amp;$B$13&amp;"	:= "&amp;X75&amp;";","")</f>
        <v/>
      </c>
      <c r="AK75" t="str">
        <f>IF($W75="●",IF(LEN(AJ75),AJ75&amp;CHAR(10),"")&amp;IF(LEN(U75),";//エラーコードを入れる"&amp;CHAR(10)&amp;";"&amp;$B$14&amp;"	:= "&amp;U75&amp;".udiErr;",""),"")</f>
        <v/>
      </c>
      <c r="AL75" t="str">
        <f>IF($W75="●",IF(LEN(AK75),AK75&amp;CHAR(10),"")&amp;";//"&amp;$B$9,"")</f>
        <v/>
      </c>
    </row>
    <row r="76" spans="4:38" x14ac:dyDescent="0.55000000000000004">
      <c r="D76">
        <v>70</v>
      </c>
      <c r="M76" t="str">
        <f t="shared" si="17"/>
        <v/>
      </c>
      <c r="N76" t="str">
        <f t="shared" si="17"/>
        <v/>
      </c>
      <c r="O76" t="str">
        <f t="shared" si="17"/>
        <v/>
      </c>
      <c r="P76" t="str">
        <f t="shared" si="18"/>
        <v/>
      </c>
      <c r="Q76" t="str">
        <f t="shared" si="18"/>
        <v/>
      </c>
      <c r="R76" t="str">
        <f t="shared" si="18"/>
        <v/>
      </c>
      <c r="S76" t="str">
        <f t="shared" si="19"/>
        <v/>
      </c>
      <c r="T76" t="str">
        <f t="shared" si="20"/>
        <v/>
      </c>
      <c r="U76" t="str">
        <f t="shared" si="21"/>
        <v/>
      </c>
      <c r="W76" t="str">
        <f>IF(LEN(K76),IF(OR(COUNTIF(K76,"*◆*"),COUNTIF(K76,"*▼*")),"","●"),"")</f>
        <v/>
      </c>
      <c r="X76" t="str">
        <f t="shared" si="22"/>
        <v/>
      </c>
      <c r="Y76" t="str">
        <f>IF($W76="●","LDP "&amp;E76&amp;"."&amp;$B$12,"")</f>
        <v/>
      </c>
      <c r="Z76" t="str">
        <f>IF($W76="●","AND=.D "&amp;$B$13&amp;" #0","")</f>
        <v/>
      </c>
      <c r="AA76" t="str">
        <f>IF($W76="●","MOV.D #"&amp;X76&amp;" "&amp;$B$13,"")</f>
        <v/>
      </c>
      <c r="AB76" t="str">
        <f>IF(LEN(U76),"MOV.D "&amp;$U76&amp;" "&amp;$B$14,"")</f>
        <v/>
      </c>
      <c r="AC76" t="str">
        <f>IF(AND(D76&lt;&gt;0,W76="●"),CHAR(10),"")&amp;IF(LEN(Y76),Y76,"")</f>
        <v/>
      </c>
      <c r="AD76" t="str">
        <f t="shared" si="15"/>
        <v/>
      </c>
      <c r="AE76" t="str">
        <f t="shared" si="16"/>
        <v/>
      </c>
      <c r="AF76" t="str">
        <f t="shared" si="23"/>
        <v/>
      </c>
      <c r="AG76" t="str">
        <f t="shared" si="24"/>
        <v/>
      </c>
      <c r="AI76" t="str">
        <f>IF($W76="●",AD76&amp;CHAR(10)&amp;"BOX_ST"&amp;CHAR(10)&amp;";//"&amp;$B$8,"")</f>
        <v/>
      </c>
      <c r="AJ76" t="str">
        <f>IF($W76="●",IF(LEN(AI76),AI76&amp;CHAR(10),"")&amp;";//エラーNo.を入れる"&amp;CHAR(10)&amp;";"&amp;$B$13&amp;"	:= "&amp;X76&amp;";","")</f>
        <v/>
      </c>
      <c r="AK76" t="str">
        <f>IF($W76="●",IF(LEN(AJ76),AJ76&amp;CHAR(10),"")&amp;IF(LEN(U76),";//エラーコードを入れる"&amp;CHAR(10)&amp;";"&amp;$B$14&amp;"	:= "&amp;U76&amp;".udiErr;",""),"")</f>
        <v/>
      </c>
      <c r="AL76" t="str">
        <f>IF($W76="●",IF(LEN(AK76),AK76&amp;CHAR(10),"")&amp;";//"&amp;$B$9,"")</f>
        <v/>
      </c>
    </row>
    <row r="77" spans="4:38" x14ac:dyDescent="0.55000000000000004">
      <c r="D77">
        <v>71</v>
      </c>
      <c r="M77" t="str">
        <f t="shared" si="17"/>
        <v/>
      </c>
      <c r="N77" t="str">
        <f t="shared" si="17"/>
        <v/>
      </c>
      <c r="O77" t="str">
        <f t="shared" si="17"/>
        <v/>
      </c>
      <c r="P77" t="str">
        <f t="shared" si="18"/>
        <v/>
      </c>
      <c r="Q77" t="str">
        <f t="shared" si="18"/>
        <v/>
      </c>
      <c r="R77" t="str">
        <f t="shared" si="18"/>
        <v/>
      </c>
      <c r="S77" t="str">
        <f t="shared" si="19"/>
        <v/>
      </c>
      <c r="T77" t="str">
        <f t="shared" si="20"/>
        <v/>
      </c>
      <c r="U77" t="str">
        <f t="shared" si="21"/>
        <v/>
      </c>
      <c r="W77" t="str">
        <f>IF(LEN(K77),IF(OR(COUNTIF(K77,"*◆*"),COUNTIF(K77,"*▼*")),"","●"),"")</f>
        <v/>
      </c>
      <c r="X77" t="str">
        <f t="shared" si="22"/>
        <v/>
      </c>
      <c r="Y77" t="str">
        <f>IF($W77="●","LDP "&amp;E77&amp;"."&amp;$B$12,"")</f>
        <v/>
      </c>
      <c r="Z77" t="str">
        <f>IF($W77="●","AND=.D "&amp;$B$13&amp;" #0","")</f>
        <v/>
      </c>
      <c r="AA77" t="str">
        <f>IF($W77="●","MOV.D #"&amp;X77&amp;" "&amp;$B$13,"")</f>
        <v/>
      </c>
      <c r="AB77" t="str">
        <f>IF(LEN(U77),"MOV.D "&amp;$U77&amp;" "&amp;$B$14,"")</f>
        <v/>
      </c>
      <c r="AC77" t="str">
        <f>IF(AND(D77&lt;&gt;0,W77="●"),CHAR(10),"")&amp;IF(LEN(Y77),Y77,"")</f>
        <v/>
      </c>
      <c r="AD77" t="str">
        <f t="shared" si="15"/>
        <v/>
      </c>
      <c r="AE77" t="str">
        <f t="shared" si="16"/>
        <v/>
      </c>
      <c r="AF77" t="str">
        <f t="shared" si="23"/>
        <v/>
      </c>
      <c r="AG77" t="str">
        <f t="shared" si="24"/>
        <v/>
      </c>
      <c r="AI77" t="str">
        <f>IF($W77="●",AD77&amp;CHAR(10)&amp;"BOX_ST"&amp;CHAR(10)&amp;";//"&amp;$B$8,"")</f>
        <v/>
      </c>
      <c r="AJ77" t="str">
        <f>IF($W77="●",IF(LEN(AI77),AI77&amp;CHAR(10),"")&amp;";//エラーNo.を入れる"&amp;CHAR(10)&amp;";"&amp;$B$13&amp;"	:= "&amp;X77&amp;";","")</f>
        <v/>
      </c>
      <c r="AK77" t="str">
        <f>IF($W77="●",IF(LEN(AJ77),AJ77&amp;CHAR(10),"")&amp;IF(LEN(U77),";//エラーコードを入れる"&amp;CHAR(10)&amp;";"&amp;$B$14&amp;"	:= "&amp;U77&amp;".udiErr;",""),"")</f>
        <v/>
      </c>
      <c r="AL77" t="str">
        <f>IF($W77="●",IF(LEN(AK77),AK77&amp;CHAR(10),"")&amp;";//"&amp;$B$9,"")</f>
        <v/>
      </c>
    </row>
    <row r="78" spans="4:38" x14ac:dyDescent="0.55000000000000004">
      <c r="D78">
        <v>72</v>
      </c>
      <c r="M78" t="str">
        <f t="shared" si="17"/>
        <v/>
      </c>
      <c r="N78" t="str">
        <f t="shared" si="17"/>
        <v/>
      </c>
      <c r="O78" t="str">
        <f t="shared" si="17"/>
        <v/>
      </c>
      <c r="P78" t="str">
        <f t="shared" si="18"/>
        <v/>
      </c>
      <c r="Q78" t="str">
        <f t="shared" si="18"/>
        <v/>
      </c>
      <c r="R78" t="str">
        <f t="shared" si="18"/>
        <v/>
      </c>
      <c r="S78" t="str">
        <f t="shared" si="19"/>
        <v/>
      </c>
      <c r="T78" t="str">
        <f t="shared" si="20"/>
        <v/>
      </c>
      <c r="U78" t="str">
        <f t="shared" si="21"/>
        <v/>
      </c>
      <c r="W78" t="str">
        <f>IF(LEN(K78),IF(OR(COUNTIF(K78,"*◆*"),COUNTIF(K78,"*▼*")),"","●"),"")</f>
        <v/>
      </c>
      <c r="X78" t="str">
        <f t="shared" si="22"/>
        <v/>
      </c>
      <c r="Y78" t="str">
        <f>IF($W78="●","LDP "&amp;E78&amp;"."&amp;$B$12,"")</f>
        <v/>
      </c>
      <c r="Z78" t="str">
        <f>IF($W78="●","AND=.D "&amp;$B$13&amp;" #0","")</f>
        <v/>
      </c>
      <c r="AA78" t="str">
        <f>IF($W78="●","MOV.D #"&amp;X78&amp;" "&amp;$B$13,"")</f>
        <v/>
      </c>
      <c r="AB78" t="str">
        <f>IF(LEN(U78),"MOV.D "&amp;$U78&amp;" "&amp;$B$14,"")</f>
        <v/>
      </c>
      <c r="AC78" t="str">
        <f>IF(AND(D78&lt;&gt;0,W78="●"),CHAR(10),"")&amp;IF(LEN(Y78),Y78,"")</f>
        <v/>
      </c>
      <c r="AD78" t="str">
        <f t="shared" si="15"/>
        <v/>
      </c>
      <c r="AE78" t="str">
        <f t="shared" si="16"/>
        <v/>
      </c>
      <c r="AF78" t="str">
        <f t="shared" si="23"/>
        <v/>
      </c>
      <c r="AG78" t="str">
        <f t="shared" si="24"/>
        <v/>
      </c>
      <c r="AI78" t="str">
        <f>IF($W78="●",AD78&amp;CHAR(10)&amp;"BOX_ST"&amp;CHAR(10)&amp;";//"&amp;$B$8,"")</f>
        <v/>
      </c>
      <c r="AJ78" t="str">
        <f>IF($W78="●",IF(LEN(AI78),AI78&amp;CHAR(10),"")&amp;";//エラーNo.を入れる"&amp;CHAR(10)&amp;";"&amp;$B$13&amp;"	:= "&amp;X78&amp;";","")</f>
        <v/>
      </c>
      <c r="AK78" t="str">
        <f>IF($W78="●",IF(LEN(AJ78),AJ78&amp;CHAR(10),"")&amp;IF(LEN(U78),";//エラーコードを入れる"&amp;CHAR(10)&amp;";"&amp;$B$14&amp;"	:= "&amp;U78&amp;".udiErr;",""),"")</f>
        <v/>
      </c>
      <c r="AL78" t="str">
        <f>IF($W78="●",IF(LEN(AK78),AK78&amp;CHAR(10),"")&amp;";//"&amp;$B$9,"")</f>
        <v/>
      </c>
    </row>
    <row r="79" spans="4:38" x14ac:dyDescent="0.55000000000000004">
      <c r="D79">
        <v>73</v>
      </c>
      <c r="M79" t="str">
        <f t="shared" si="17"/>
        <v/>
      </c>
      <c r="N79" t="str">
        <f t="shared" si="17"/>
        <v/>
      </c>
      <c r="O79" t="str">
        <f t="shared" si="17"/>
        <v/>
      </c>
      <c r="P79" t="str">
        <f t="shared" si="18"/>
        <v/>
      </c>
      <c r="Q79" t="str">
        <f t="shared" si="18"/>
        <v/>
      </c>
      <c r="R79" t="str">
        <f t="shared" si="18"/>
        <v/>
      </c>
      <c r="S79" t="str">
        <f t="shared" si="19"/>
        <v/>
      </c>
      <c r="T79" t="str">
        <f t="shared" si="20"/>
        <v/>
      </c>
      <c r="U79" t="str">
        <f t="shared" si="21"/>
        <v/>
      </c>
      <c r="W79" t="str">
        <f>IF(LEN(K79),IF(OR(COUNTIF(K79,"*◆*"),COUNTIF(K79,"*▼*")),"","●"),"")</f>
        <v/>
      </c>
      <c r="X79" t="str">
        <f t="shared" si="22"/>
        <v/>
      </c>
      <c r="Y79" t="str">
        <f>IF($W79="●","LDP "&amp;E79&amp;"."&amp;$B$12,"")</f>
        <v/>
      </c>
      <c r="Z79" t="str">
        <f>IF($W79="●","AND=.D "&amp;$B$13&amp;" #0","")</f>
        <v/>
      </c>
      <c r="AA79" t="str">
        <f>IF($W79="●","MOV.D #"&amp;X79&amp;" "&amp;$B$13,"")</f>
        <v/>
      </c>
      <c r="AB79" t="str">
        <f>IF(LEN(U79),"MOV.D "&amp;$U79&amp;" "&amp;$B$14,"")</f>
        <v/>
      </c>
      <c r="AC79" t="str">
        <f>IF(AND(D79&lt;&gt;0,W79="●"),CHAR(10),"")&amp;IF(LEN(Y79),Y79,"")</f>
        <v/>
      </c>
      <c r="AD79" t="str">
        <f t="shared" si="15"/>
        <v/>
      </c>
      <c r="AE79" t="str">
        <f t="shared" si="16"/>
        <v/>
      </c>
      <c r="AF79" t="str">
        <f t="shared" si="23"/>
        <v/>
      </c>
      <c r="AG79" t="str">
        <f t="shared" si="24"/>
        <v/>
      </c>
      <c r="AI79" t="str">
        <f>IF($W79="●",AD79&amp;CHAR(10)&amp;"BOX_ST"&amp;CHAR(10)&amp;";//"&amp;$B$8,"")</f>
        <v/>
      </c>
      <c r="AJ79" t="str">
        <f>IF($W79="●",IF(LEN(AI79),AI79&amp;CHAR(10),"")&amp;";//エラーNo.を入れる"&amp;CHAR(10)&amp;";"&amp;$B$13&amp;"	:= "&amp;X79&amp;";","")</f>
        <v/>
      </c>
      <c r="AK79" t="str">
        <f>IF($W79="●",IF(LEN(AJ79),AJ79&amp;CHAR(10),"")&amp;IF(LEN(U79),";//エラーコードを入れる"&amp;CHAR(10)&amp;";"&amp;$B$14&amp;"	:= "&amp;U79&amp;".udiErr;",""),"")</f>
        <v/>
      </c>
      <c r="AL79" t="str">
        <f>IF($W79="●",IF(LEN(AK79),AK79&amp;CHAR(10),"")&amp;";//"&amp;$B$9,"")</f>
        <v/>
      </c>
    </row>
    <row r="80" spans="4:38" x14ac:dyDescent="0.55000000000000004">
      <c r="D80">
        <v>74</v>
      </c>
      <c r="M80" t="str">
        <f t="shared" si="17"/>
        <v/>
      </c>
      <c r="N80" t="str">
        <f t="shared" si="17"/>
        <v/>
      </c>
      <c r="O80" t="str">
        <f t="shared" si="17"/>
        <v/>
      </c>
      <c r="P80" t="str">
        <f t="shared" si="18"/>
        <v/>
      </c>
      <c r="Q80" t="str">
        <f t="shared" si="18"/>
        <v/>
      </c>
      <c r="R80" t="str">
        <f t="shared" si="18"/>
        <v/>
      </c>
      <c r="S80" t="str">
        <f t="shared" si="19"/>
        <v/>
      </c>
      <c r="T80" t="str">
        <f t="shared" si="20"/>
        <v/>
      </c>
      <c r="U80" t="str">
        <f t="shared" si="21"/>
        <v/>
      </c>
      <c r="W80" t="str">
        <f>IF(LEN(K80),IF(OR(COUNTIF(K80,"*◆*"),COUNTIF(K80,"*▼*")),"","●"),"")</f>
        <v/>
      </c>
      <c r="X80" t="str">
        <f t="shared" si="22"/>
        <v/>
      </c>
      <c r="Y80" t="str">
        <f>IF($W80="●","LDP "&amp;E80&amp;"."&amp;$B$12,"")</f>
        <v/>
      </c>
      <c r="Z80" t="str">
        <f>IF($W80="●","AND=.D "&amp;$B$13&amp;" #0","")</f>
        <v/>
      </c>
      <c r="AA80" t="str">
        <f>IF($W80="●","MOV.D #"&amp;X80&amp;" "&amp;$B$13,"")</f>
        <v/>
      </c>
      <c r="AB80" t="str">
        <f>IF(LEN(U80),"MOV.D "&amp;$U80&amp;" "&amp;$B$14,"")</f>
        <v/>
      </c>
      <c r="AC80" t="str">
        <f>IF(AND(D80&lt;&gt;0,W80="●"),CHAR(10),"")&amp;IF(LEN(Y80),Y80,"")</f>
        <v/>
      </c>
      <c r="AD80" t="str">
        <f t="shared" si="15"/>
        <v/>
      </c>
      <c r="AE80" t="str">
        <f t="shared" si="16"/>
        <v/>
      </c>
      <c r="AF80" t="str">
        <f t="shared" si="23"/>
        <v/>
      </c>
      <c r="AG80" t="str">
        <f t="shared" si="24"/>
        <v/>
      </c>
      <c r="AI80" t="str">
        <f>IF($W80="●",AD80&amp;CHAR(10)&amp;"BOX_ST"&amp;CHAR(10)&amp;";//"&amp;$B$8,"")</f>
        <v/>
      </c>
      <c r="AJ80" t="str">
        <f>IF($W80="●",IF(LEN(AI80),AI80&amp;CHAR(10),"")&amp;";//エラーNo.を入れる"&amp;CHAR(10)&amp;";"&amp;$B$13&amp;"	:= "&amp;X80&amp;";","")</f>
        <v/>
      </c>
      <c r="AK80" t="str">
        <f>IF($W80="●",IF(LEN(AJ80),AJ80&amp;CHAR(10),"")&amp;IF(LEN(U80),";//エラーコードを入れる"&amp;CHAR(10)&amp;";"&amp;$B$14&amp;"	:= "&amp;U80&amp;".udiErr;",""),"")</f>
        <v/>
      </c>
      <c r="AL80" t="str">
        <f>IF($W80="●",IF(LEN(AK80),AK80&amp;CHAR(10),"")&amp;";//"&amp;$B$9,"")</f>
        <v/>
      </c>
    </row>
    <row r="81" spans="4:38" x14ac:dyDescent="0.55000000000000004">
      <c r="D81">
        <v>75</v>
      </c>
      <c r="M81" t="str">
        <f t="shared" si="17"/>
        <v/>
      </c>
      <c r="N81" t="str">
        <f t="shared" si="17"/>
        <v/>
      </c>
      <c r="O81" t="str">
        <f t="shared" si="17"/>
        <v/>
      </c>
      <c r="P81" t="str">
        <f t="shared" si="18"/>
        <v/>
      </c>
      <c r="Q81" t="str">
        <f t="shared" si="18"/>
        <v/>
      </c>
      <c r="R81" t="str">
        <f t="shared" si="18"/>
        <v/>
      </c>
      <c r="S81" t="str">
        <f t="shared" si="19"/>
        <v/>
      </c>
      <c r="T81" t="str">
        <f t="shared" si="20"/>
        <v/>
      </c>
      <c r="U81" t="str">
        <f t="shared" si="21"/>
        <v/>
      </c>
      <c r="W81" t="str">
        <f>IF(LEN(K81),IF(OR(COUNTIF(K81,"*◆*"),COUNTIF(K81,"*▼*")),"","●"),"")</f>
        <v/>
      </c>
      <c r="X81" t="str">
        <f t="shared" si="22"/>
        <v/>
      </c>
      <c r="Y81" t="str">
        <f>IF($W81="●","LDP "&amp;E81&amp;"."&amp;$B$12,"")</f>
        <v/>
      </c>
      <c r="Z81" t="str">
        <f>IF($W81="●","AND=.D "&amp;$B$13&amp;" #0","")</f>
        <v/>
      </c>
      <c r="AA81" t="str">
        <f>IF($W81="●","MOV.D #"&amp;X81&amp;" "&amp;$B$13,"")</f>
        <v/>
      </c>
      <c r="AB81" t="str">
        <f>IF(LEN(U81),"MOV.D "&amp;$U81&amp;" "&amp;$B$14,"")</f>
        <v/>
      </c>
      <c r="AC81" t="str">
        <f>IF(AND(D81&lt;&gt;0,W81="●"),CHAR(10),"")&amp;IF(LEN(Y81),Y81,"")</f>
        <v/>
      </c>
      <c r="AD81" t="str">
        <f t="shared" si="15"/>
        <v/>
      </c>
      <c r="AE81" t="str">
        <f t="shared" si="16"/>
        <v/>
      </c>
      <c r="AF81" t="str">
        <f t="shared" si="23"/>
        <v/>
      </c>
      <c r="AG81" t="str">
        <f t="shared" si="24"/>
        <v/>
      </c>
      <c r="AI81" t="str">
        <f>IF($W81="●",AD81&amp;CHAR(10)&amp;"BOX_ST"&amp;CHAR(10)&amp;";//"&amp;$B$8,"")</f>
        <v/>
      </c>
      <c r="AJ81" t="str">
        <f>IF($W81="●",IF(LEN(AI81),AI81&amp;CHAR(10),"")&amp;";//エラーNo.を入れる"&amp;CHAR(10)&amp;";"&amp;$B$13&amp;"	:= "&amp;X81&amp;";","")</f>
        <v/>
      </c>
      <c r="AK81" t="str">
        <f>IF($W81="●",IF(LEN(AJ81),AJ81&amp;CHAR(10),"")&amp;IF(LEN(U81),";//エラーコードを入れる"&amp;CHAR(10)&amp;";"&amp;$B$14&amp;"	:= "&amp;U81&amp;".udiErr;",""),"")</f>
        <v/>
      </c>
      <c r="AL81" t="str">
        <f>IF($W81="●",IF(LEN(AK81),AK81&amp;CHAR(10),"")&amp;";//"&amp;$B$9,"")</f>
        <v/>
      </c>
    </row>
    <row r="82" spans="4:38" x14ac:dyDescent="0.55000000000000004">
      <c r="D82">
        <v>76</v>
      </c>
      <c r="M82" t="str">
        <f t="shared" si="17"/>
        <v/>
      </c>
      <c r="N82" t="str">
        <f t="shared" si="17"/>
        <v/>
      </c>
      <c r="O82" t="str">
        <f t="shared" si="17"/>
        <v/>
      </c>
      <c r="P82" t="str">
        <f t="shared" si="18"/>
        <v/>
      </c>
      <c r="Q82" t="str">
        <f t="shared" si="18"/>
        <v/>
      </c>
      <c r="R82" t="str">
        <f t="shared" si="18"/>
        <v/>
      </c>
      <c r="S82" t="str">
        <f t="shared" si="19"/>
        <v/>
      </c>
      <c r="T82" t="str">
        <f t="shared" si="20"/>
        <v/>
      </c>
      <c r="U82" t="str">
        <f t="shared" si="21"/>
        <v/>
      </c>
      <c r="W82" t="str">
        <f>IF(LEN(K82),IF(OR(COUNTIF(K82,"*◆*"),COUNTIF(K82,"*▼*")),"","●"),"")</f>
        <v/>
      </c>
      <c r="X82" t="str">
        <f t="shared" si="22"/>
        <v/>
      </c>
      <c r="Y82" t="str">
        <f>IF($W82="●","LDP "&amp;E82&amp;"."&amp;$B$12,"")</f>
        <v/>
      </c>
      <c r="Z82" t="str">
        <f>IF($W82="●","AND=.D "&amp;$B$13&amp;" #0","")</f>
        <v/>
      </c>
      <c r="AA82" t="str">
        <f>IF($W82="●","MOV.D #"&amp;X82&amp;" "&amp;$B$13,"")</f>
        <v/>
      </c>
      <c r="AB82" t="str">
        <f>IF(LEN(U82),"MOV.D "&amp;$U82&amp;" "&amp;$B$14,"")</f>
        <v/>
      </c>
      <c r="AC82" t="str">
        <f>IF(AND(D82&lt;&gt;0,W82="●"),CHAR(10),"")&amp;IF(LEN(Y82),Y82,"")</f>
        <v/>
      </c>
      <c r="AD82" t="str">
        <f t="shared" si="15"/>
        <v/>
      </c>
      <c r="AE82" t="str">
        <f t="shared" si="16"/>
        <v/>
      </c>
      <c r="AF82" t="str">
        <f t="shared" si="23"/>
        <v/>
      </c>
      <c r="AG82" t="str">
        <f t="shared" si="24"/>
        <v/>
      </c>
      <c r="AI82" t="str">
        <f>IF($W82="●",AD82&amp;CHAR(10)&amp;"BOX_ST"&amp;CHAR(10)&amp;";//"&amp;$B$8,"")</f>
        <v/>
      </c>
      <c r="AJ82" t="str">
        <f>IF($W82="●",IF(LEN(AI82),AI82&amp;CHAR(10),"")&amp;";//エラーNo.を入れる"&amp;CHAR(10)&amp;";"&amp;$B$13&amp;"	:= "&amp;X82&amp;";","")</f>
        <v/>
      </c>
      <c r="AK82" t="str">
        <f>IF($W82="●",IF(LEN(AJ82),AJ82&amp;CHAR(10),"")&amp;IF(LEN(U82),";//エラーコードを入れる"&amp;CHAR(10)&amp;";"&amp;$B$14&amp;"	:= "&amp;U82&amp;".udiErr;",""),"")</f>
        <v/>
      </c>
      <c r="AL82" t="str">
        <f>IF($W82="●",IF(LEN(AK82),AK82&amp;CHAR(10),"")&amp;";//"&amp;$B$9,"")</f>
        <v/>
      </c>
    </row>
    <row r="83" spans="4:38" x14ac:dyDescent="0.55000000000000004">
      <c r="D83">
        <v>77</v>
      </c>
      <c r="M83" t="str">
        <f t="shared" si="17"/>
        <v/>
      </c>
      <c r="N83" t="str">
        <f t="shared" si="17"/>
        <v/>
      </c>
      <c r="O83" t="str">
        <f t="shared" si="17"/>
        <v/>
      </c>
      <c r="P83" t="str">
        <f t="shared" si="18"/>
        <v/>
      </c>
      <c r="Q83" t="str">
        <f t="shared" si="18"/>
        <v/>
      </c>
      <c r="R83" t="str">
        <f t="shared" si="18"/>
        <v/>
      </c>
      <c r="S83" t="str">
        <f t="shared" si="19"/>
        <v/>
      </c>
      <c r="T83" t="str">
        <f t="shared" si="20"/>
        <v/>
      </c>
      <c r="U83" t="str">
        <f t="shared" si="21"/>
        <v/>
      </c>
      <c r="W83" t="str">
        <f>IF(LEN(K83),IF(OR(COUNTIF(K83,"*◆*"),COUNTIF(K83,"*▼*")),"","●"),"")</f>
        <v/>
      </c>
      <c r="X83" t="str">
        <f t="shared" si="22"/>
        <v/>
      </c>
      <c r="Y83" t="str">
        <f>IF($W83="●","LDP "&amp;E83&amp;"."&amp;$B$12,"")</f>
        <v/>
      </c>
      <c r="Z83" t="str">
        <f>IF($W83="●","AND=.D "&amp;$B$13&amp;" #0","")</f>
        <v/>
      </c>
      <c r="AA83" t="str">
        <f>IF($W83="●","MOV.D #"&amp;X83&amp;" "&amp;$B$13,"")</f>
        <v/>
      </c>
      <c r="AB83" t="str">
        <f>IF(LEN(U83),"MOV.D "&amp;$U83&amp;" "&amp;$B$14,"")</f>
        <v/>
      </c>
      <c r="AC83" t="str">
        <f>IF(AND(D83&lt;&gt;0,W83="●"),CHAR(10),"")&amp;IF(LEN(Y83),Y83,"")</f>
        <v/>
      </c>
      <c r="AD83" t="str">
        <f t="shared" si="15"/>
        <v/>
      </c>
      <c r="AE83" t="str">
        <f t="shared" si="16"/>
        <v/>
      </c>
      <c r="AF83" t="str">
        <f t="shared" si="23"/>
        <v/>
      </c>
      <c r="AG83" t="str">
        <f t="shared" si="24"/>
        <v/>
      </c>
      <c r="AI83" t="str">
        <f>IF($W83="●",AD83&amp;CHAR(10)&amp;"BOX_ST"&amp;CHAR(10)&amp;";//"&amp;$B$8,"")</f>
        <v/>
      </c>
      <c r="AJ83" t="str">
        <f>IF($W83="●",IF(LEN(AI83),AI83&amp;CHAR(10),"")&amp;";//エラーNo.を入れる"&amp;CHAR(10)&amp;";"&amp;$B$13&amp;"	:= "&amp;X83&amp;";","")</f>
        <v/>
      </c>
      <c r="AK83" t="str">
        <f>IF($W83="●",IF(LEN(AJ83),AJ83&amp;CHAR(10),"")&amp;IF(LEN(U83),";//エラーコードを入れる"&amp;CHAR(10)&amp;";"&amp;$B$14&amp;"	:= "&amp;U83&amp;".udiErr;",""),"")</f>
        <v/>
      </c>
      <c r="AL83" t="str">
        <f>IF($W83="●",IF(LEN(AK83),AK83&amp;CHAR(10),"")&amp;";//"&amp;$B$9,"")</f>
        <v/>
      </c>
    </row>
    <row r="84" spans="4:38" x14ac:dyDescent="0.55000000000000004">
      <c r="D84">
        <v>78</v>
      </c>
      <c r="M84" t="str">
        <f t="shared" si="17"/>
        <v/>
      </c>
      <c r="N84" t="str">
        <f t="shared" si="17"/>
        <v/>
      </c>
      <c r="O84" t="str">
        <f t="shared" si="17"/>
        <v/>
      </c>
      <c r="P84" t="str">
        <f t="shared" si="18"/>
        <v/>
      </c>
      <c r="Q84" t="str">
        <f t="shared" si="18"/>
        <v/>
      </c>
      <c r="R84" t="str">
        <f t="shared" si="18"/>
        <v/>
      </c>
      <c r="S84" t="str">
        <f t="shared" si="19"/>
        <v/>
      </c>
      <c r="T84" t="str">
        <f t="shared" si="20"/>
        <v/>
      </c>
      <c r="U84" t="str">
        <f t="shared" si="21"/>
        <v/>
      </c>
      <c r="W84" t="str">
        <f>IF(LEN(K84),IF(OR(COUNTIF(K84,"*◆*"),COUNTIF(K84,"*▼*")),"","●"),"")</f>
        <v/>
      </c>
      <c r="X84" t="str">
        <f t="shared" si="22"/>
        <v/>
      </c>
      <c r="Y84" t="str">
        <f>IF($W84="●","LDP "&amp;E84&amp;"."&amp;$B$12,"")</f>
        <v/>
      </c>
      <c r="Z84" t="str">
        <f>IF($W84="●","AND=.D "&amp;$B$13&amp;" #0","")</f>
        <v/>
      </c>
      <c r="AA84" t="str">
        <f>IF($W84="●","MOV.D #"&amp;X84&amp;" "&amp;$B$13,"")</f>
        <v/>
      </c>
      <c r="AB84" t="str">
        <f>IF(LEN(U84),"MOV.D "&amp;$U84&amp;" "&amp;$B$14,"")</f>
        <v/>
      </c>
      <c r="AC84" t="str">
        <f>IF(AND(D84&lt;&gt;0,W84="●"),CHAR(10),"")&amp;IF(LEN(Y84),Y84,"")</f>
        <v/>
      </c>
      <c r="AD84" t="str">
        <f t="shared" si="15"/>
        <v/>
      </c>
      <c r="AE84" t="str">
        <f t="shared" si="16"/>
        <v/>
      </c>
      <c r="AF84" t="str">
        <f t="shared" si="23"/>
        <v/>
      </c>
      <c r="AG84" t="str">
        <f t="shared" si="24"/>
        <v/>
      </c>
      <c r="AI84" t="str">
        <f>IF($W84="●",AD84&amp;CHAR(10)&amp;"BOX_ST"&amp;CHAR(10)&amp;";//"&amp;$B$8,"")</f>
        <v/>
      </c>
      <c r="AJ84" t="str">
        <f>IF($W84="●",IF(LEN(AI84),AI84&amp;CHAR(10),"")&amp;";//エラーNo.を入れる"&amp;CHAR(10)&amp;";"&amp;$B$13&amp;"	:= "&amp;X84&amp;";","")</f>
        <v/>
      </c>
      <c r="AK84" t="str">
        <f>IF($W84="●",IF(LEN(AJ84),AJ84&amp;CHAR(10),"")&amp;IF(LEN(U84),";//エラーコードを入れる"&amp;CHAR(10)&amp;";"&amp;$B$14&amp;"	:= "&amp;U84&amp;".udiErr;",""),"")</f>
        <v/>
      </c>
      <c r="AL84" t="str">
        <f>IF($W84="●",IF(LEN(AK84),AK84&amp;CHAR(10),"")&amp;";//"&amp;$B$9,"")</f>
        <v/>
      </c>
    </row>
    <row r="85" spans="4:38" x14ac:dyDescent="0.55000000000000004">
      <c r="D85">
        <v>79</v>
      </c>
      <c r="M85" t="str">
        <f t="shared" si="17"/>
        <v/>
      </c>
      <c r="N85" t="str">
        <f t="shared" si="17"/>
        <v/>
      </c>
      <c r="O85" t="str">
        <f t="shared" si="17"/>
        <v/>
      </c>
      <c r="P85" t="str">
        <f t="shared" si="18"/>
        <v/>
      </c>
      <c r="Q85" t="str">
        <f t="shared" si="18"/>
        <v/>
      </c>
      <c r="R85" t="str">
        <f t="shared" si="18"/>
        <v/>
      </c>
      <c r="S85" t="str">
        <f t="shared" si="19"/>
        <v/>
      </c>
      <c r="T85" t="str">
        <f t="shared" si="20"/>
        <v/>
      </c>
      <c r="U85" t="str">
        <f t="shared" si="21"/>
        <v/>
      </c>
      <c r="W85" t="str">
        <f>IF(LEN(K85),IF(OR(COUNTIF(K85,"*◆*"),COUNTIF(K85,"*▼*")),"","●"),"")</f>
        <v/>
      </c>
      <c r="X85" t="str">
        <f t="shared" si="22"/>
        <v/>
      </c>
      <c r="Y85" t="str">
        <f>IF($W85="●","LDP "&amp;E85&amp;"."&amp;$B$12,"")</f>
        <v/>
      </c>
      <c r="Z85" t="str">
        <f>IF($W85="●","AND=.D "&amp;$B$13&amp;" #0","")</f>
        <v/>
      </c>
      <c r="AA85" t="str">
        <f>IF($W85="●","MOV.D #"&amp;X85&amp;" "&amp;$B$13,"")</f>
        <v/>
      </c>
      <c r="AB85" t="str">
        <f>IF(LEN(U85),"MOV.D "&amp;$U85&amp;" "&amp;$B$14,"")</f>
        <v/>
      </c>
      <c r="AC85" t="str">
        <f>IF(AND(D85&lt;&gt;0,W85="●"),CHAR(10),"")&amp;IF(LEN(Y85),Y85,"")</f>
        <v/>
      </c>
      <c r="AD85" t="str">
        <f t="shared" si="15"/>
        <v/>
      </c>
      <c r="AE85" t="str">
        <f t="shared" si="16"/>
        <v/>
      </c>
      <c r="AF85" t="str">
        <f t="shared" si="23"/>
        <v/>
      </c>
      <c r="AG85" t="str">
        <f t="shared" si="24"/>
        <v/>
      </c>
      <c r="AI85" t="str">
        <f>IF($W85="●",AD85&amp;CHAR(10)&amp;"BOX_ST"&amp;CHAR(10)&amp;";//"&amp;$B$8,"")</f>
        <v/>
      </c>
      <c r="AJ85" t="str">
        <f>IF($W85="●",IF(LEN(AI85),AI85&amp;CHAR(10),"")&amp;";//エラーNo.を入れる"&amp;CHAR(10)&amp;";"&amp;$B$13&amp;"	:= "&amp;X85&amp;";","")</f>
        <v/>
      </c>
      <c r="AK85" t="str">
        <f>IF($W85="●",IF(LEN(AJ85),AJ85&amp;CHAR(10),"")&amp;IF(LEN(U85),";//エラーコードを入れる"&amp;CHAR(10)&amp;";"&amp;$B$14&amp;"	:= "&amp;U85&amp;".udiErr;",""),"")</f>
        <v/>
      </c>
      <c r="AL85" t="str">
        <f>IF($W85="●",IF(LEN(AK85),AK85&amp;CHAR(10),"")&amp;";//"&amp;$B$9,"")</f>
        <v/>
      </c>
    </row>
    <row r="86" spans="4:38" x14ac:dyDescent="0.55000000000000004">
      <c r="D86">
        <v>80</v>
      </c>
      <c r="M86" t="str">
        <f t="shared" si="17"/>
        <v/>
      </c>
      <c r="N86" t="str">
        <f t="shared" si="17"/>
        <v/>
      </c>
      <c r="O86" t="str">
        <f t="shared" si="17"/>
        <v/>
      </c>
      <c r="P86" t="str">
        <f t="shared" si="18"/>
        <v/>
      </c>
      <c r="Q86" t="str">
        <f t="shared" si="18"/>
        <v/>
      </c>
      <c r="R86" t="str">
        <f t="shared" si="18"/>
        <v/>
      </c>
      <c r="S86" t="str">
        <f t="shared" si="19"/>
        <v/>
      </c>
      <c r="T86" t="str">
        <f t="shared" si="20"/>
        <v/>
      </c>
      <c r="U86" t="str">
        <f t="shared" si="21"/>
        <v/>
      </c>
      <c r="W86" t="str">
        <f>IF(LEN(K86),IF(OR(COUNTIF(K86,"*◆*"),COUNTIF(K86,"*▼*")),"","●"),"")</f>
        <v/>
      </c>
      <c r="X86" t="str">
        <f t="shared" si="22"/>
        <v/>
      </c>
      <c r="Y86" t="str">
        <f>IF($W86="●","LDP "&amp;E86&amp;"."&amp;$B$12,"")</f>
        <v/>
      </c>
      <c r="Z86" t="str">
        <f>IF($W86="●","AND=.D "&amp;$B$13&amp;" #0","")</f>
        <v/>
      </c>
      <c r="AA86" t="str">
        <f>IF($W86="●","MOV.D #"&amp;X86&amp;" "&amp;$B$13,"")</f>
        <v/>
      </c>
      <c r="AB86" t="str">
        <f>IF(LEN(U86),"MOV.D "&amp;$U86&amp;" "&amp;$B$14,"")</f>
        <v/>
      </c>
      <c r="AC86" t="str">
        <f>IF(AND(D86&lt;&gt;0,W86="●"),CHAR(10),"")&amp;IF(LEN(Y86),Y86,"")</f>
        <v/>
      </c>
      <c r="AD86" t="str">
        <f t="shared" si="15"/>
        <v/>
      </c>
      <c r="AE86" t="str">
        <f t="shared" si="16"/>
        <v/>
      </c>
      <c r="AF86" t="str">
        <f t="shared" si="23"/>
        <v/>
      </c>
      <c r="AG86" t="str">
        <f t="shared" si="24"/>
        <v/>
      </c>
      <c r="AI86" t="str">
        <f>IF($W86="●",AD86&amp;CHAR(10)&amp;"BOX_ST"&amp;CHAR(10)&amp;";//"&amp;$B$8,"")</f>
        <v/>
      </c>
      <c r="AJ86" t="str">
        <f>IF($W86="●",IF(LEN(AI86),AI86&amp;CHAR(10),"")&amp;";//エラーNo.を入れる"&amp;CHAR(10)&amp;";"&amp;$B$13&amp;"	:= "&amp;X86&amp;";","")</f>
        <v/>
      </c>
      <c r="AK86" t="str">
        <f>IF($W86="●",IF(LEN(AJ86),AJ86&amp;CHAR(10),"")&amp;IF(LEN(U86),";//エラーコードを入れる"&amp;CHAR(10)&amp;";"&amp;$B$14&amp;"	:= "&amp;U86&amp;".udiErr;",""),"")</f>
        <v/>
      </c>
      <c r="AL86" t="str">
        <f>IF($W86="●",IF(LEN(AK86),AK86&amp;CHAR(10),"")&amp;";//"&amp;$B$9,"")</f>
        <v/>
      </c>
    </row>
    <row r="87" spans="4:38" x14ac:dyDescent="0.55000000000000004">
      <c r="D87">
        <v>81</v>
      </c>
      <c r="M87" t="str">
        <f t="shared" si="17"/>
        <v/>
      </c>
      <c r="N87" t="str">
        <f t="shared" si="17"/>
        <v/>
      </c>
      <c r="O87" t="str">
        <f t="shared" si="17"/>
        <v/>
      </c>
      <c r="P87" t="str">
        <f t="shared" si="18"/>
        <v/>
      </c>
      <c r="Q87" t="str">
        <f t="shared" si="18"/>
        <v/>
      </c>
      <c r="R87" t="str">
        <f t="shared" si="18"/>
        <v/>
      </c>
      <c r="S87" t="str">
        <f t="shared" si="19"/>
        <v/>
      </c>
      <c r="T87" t="str">
        <f t="shared" si="20"/>
        <v/>
      </c>
      <c r="U87" t="str">
        <f t="shared" si="21"/>
        <v/>
      </c>
      <c r="W87" t="str">
        <f>IF(LEN(K87),IF(OR(COUNTIF(K87,"*◆*"),COUNTIF(K87,"*▼*")),"","●"),"")</f>
        <v/>
      </c>
      <c r="X87" t="str">
        <f t="shared" si="22"/>
        <v/>
      </c>
      <c r="Y87" t="str">
        <f>IF($W87="●","LDP "&amp;E87&amp;"."&amp;$B$12,"")</f>
        <v/>
      </c>
      <c r="Z87" t="str">
        <f>IF($W87="●","AND=.D "&amp;$B$13&amp;" #0","")</f>
        <v/>
      </c>
      <c r="AA87" t="str">
        <f>IF($W87="●","MOV.D #"&amp;X87&amp;" "&amp;$B$13,"")</f>
        <v/>
      </c>
      <c r="AB87" t="str">
        <f>IF(LEN(U87),"MOV.D "&amp;$U87&amp;" "&amp;$B$14,"")</f>
        <v/>
      </c>
      <c r="AC87" t="str">
        <f>IF(AND(D87&lt;&gt;0,W87="●"),CHAR(10),"")&amp;IF(LEN(Y87),Y87,"")</f>
        <v/>
      </c>
      <c r="AD87" t="str">
        <f t="shared" si="15"/>
        <v/>
      </c>
      <c r="AE87" t="str">
        <f t="shared" si="16"/>
        <v/>
      </c>
      <c r="AF87" t="str">
        <f t="shared" si="23"/>
        <v/>
      </c>
      <c r="AG87" t="str">
        <f t="shared" si="24"/>
        <v/>
      </c>
      <c r="AI87" t="str">
        <f>IF($W87="●",AD87&amp;CHAR(10)&amp;"BOX_ST"&amp;CHAR(10)&amp;";//"&amp;$B$8,"")</f>
        <v/>
      </c>
      <c r="AJ87" t="str">
        <f>IF($W87="●",IF(LEN(AI87),AI87&amp;CHAR(10),"")&amp;";//エラーNo.を入れる"&amp;CHAR(10)&amp;";"&amp;$B$13&amp;"	:= "&amp;X87&amp;";","")</f>
        <v/>
      </c>
      <c r="AK87" t="str">
        <f>IF($W87="●",IF(LEN(AJ87),AJ87&amp;CHAR(10),"")&amp;IF(LEN(U87),";//エラーコードを入れる"&amp;CHAR(10)&amp;";"&amp;$B$14&amp;"	:= "&amp;U87&amp;".udiErr;",""),"")</f>
        <v/>
      </c>
      <c r="AL87" t="str">
        <f>IF($W87="●",IF(LEN(AK87),AK87&amp;CHAR(10),"")&amp;";//"&amp;$B$9,"")</f>
        <v/>
      </c>
    </row>
    <row r="88" spans="4:38" x14ac:dyDescent="0.55000000000000004">
      <c r="D88">
        <v>82</v>
      </c>
      <c r="M88" t="str">
        <f t="shared" si="17"/>
        <v/>
      </c>
      <c r="N88" t="str">
        <f t="shared" si="17"/>
        <v/>
      </c>
      <c r="O88" t="str">
        <f t="shared" si="17"/>
        <v/>
      </c>
      <c r="P88" t="str">
        <f t="shared" si="18"/>
        <v/>
      </c>
      <c r="Q88" t="str">
        <f t="shared" si="18"/>
        <v/>
      </c>
      <c r="R88" t="str">
        <f t="shared" si="18"/>
        <v/>
      </c>
      <c r="S88" t="str">
        <f t="shared" si="19"/>
        <v/>
      </c>
      <c r="T88" t="str">
        <f t="shared" si="20"/>
        <v/>
      </c>
      <c r="U88" t="str">
        <f t="shared" si="21"/>
        <v/>
      </c>
      <c r="W88" t="str">
        <f>IF(LEN(K88),IF(OR(COUNTIF(K88,"*◆*"),COUNTIF(K88,"*▼*")),"","●"),"")</f>
        <v/>
      </c>
      <c r="X88" t="str">
        <f t="shared" si="22"/>
        <v/>
      </c>
      <c r="Y88" t="str">
        <f>IF($W88="●","LDP "&amp;E88&amp;"."&amp;$B$12,"")</f>
        <v/>
      </c>
      <c r="Z88" t="str">
        <f>IF($W88="●","AND=.D "&amp;$B$13&amp;" #0","")</f>
        <v/>
      </c>
      <c r="AA88" t="str">
        <f>IF($W88="●","MOV.D #"&amp;X88&amp;" "&amp;$B$13,"")</f>
        <v/>
      </c>
      <c r="AB88" t="str">
        <f>IF(LEN(U88),"MOV.D "&amp;$U88&amp;" "&amp;$B$14,"")</f>
        <v/>
      </c>
      <c r="AC88" t="str">
        <f>IF(AND(D88&lt;&gt;0,W88="●"),CHAR(10),"")&amp;IF(LEN(Y88),Y88,"")</f>
        <v/>
      </c>
      <c r="AD88" t="str">
        <f t="shared" si="15"/>
        <v/>
      </c>
      <c r="AE88" t="str">
        <f t="shared" si="16"/>
        <v/>
      </c>
      <c r="AF88" t="str">
        <f t="shared" si="23"/>
        <v/>
      </c>
      <c r="AG88" t="str">
        <f t="shared" si="24"/>
        <v/>
      </c>
      <c r="AI88" t="str">
        <f>IF($W88="●",AD88&amp;CHAR(10)&amp;"BOX_ST"&amp;CHAR(10)&amp;";//"&amp;$B$8,"")</f>
        <v/>
      </c>
      <c r="AJ88" t="str">
        <f>IF($W88="●",IF(LEN(AI88),AI88&amp;CHAR(10),"")&amp;";//エラーNo.を入れる"&amp;CHAR(10)&amp;";"&amp;$B$13&amp;"	:= "&amp;X88&amp;";","")</f>
        <v/>
      </c>
      <c r="AK88" t="str">
        <f>IF($W88="●",IF(LEN(AJ88),AJ88&amp;CHAR(10),"")&amp;IF(LEN(U88),";//エラーコードを入れる"&amp;CHAR(10)&amp;";"&amp;$B$14&amp;"	:= "&amp;U88&amp;".udiErr;",""),"")</f>
        <v/>
      </c>
      <c r="AL88" t="str">
        <f>IF($W88="●",IF(LEN(AK88),AK88&amp;CHAR(10),"")&amp;";//"&amp;$B$9,"")</f>
        <v/>
      </c>
    </row>
    <row r="89" spans="4:38" x14ac:dyDescent="0.55000000000000004">
      <c r="D89">
        <v>83</v>
      </c>
      <c r="M89" t="str">
        <f t="shared" si="17"/>
        <v/>
      </c>
      <c r="N89" t="str">
        <f t="shared" si="17"/>
        <v/>
      </c>
      <c r="O89" t="str">
        <f t="shared" si="17"/>
        <v/>
      </c>
      <c r="P89" t="str">
        <f t="shared" si="18"/>
        <v/>
      </c>
      <c r="Q89" t="str">
        <f t="shared" si="18"/>
        <v/>
      </c>
      <c r="R89" t="str">
        <f t="shared" si="18"/>
        <v/>
      </c>
      <c r="S89" t="str">
        <f t="shared" si="19"/>
        <v/>
      </c>
      <c r="T89" t="str">
        <f t="shared" si="20"/>
        <v/>
      </c>
      <c r="U89" t="str">
        <f t="shared" si="21"/>
        <v/>
      </c>
      <c r="W89" t="str">
        <f>IF(LEN(K89),IF(OR(COUNTIF(K89,"*◆*"),COUNTIF(K89,"*▼*")),"","●"),"")</f>
        <v/>
      </c>
      <c r="X89" t="str">
        <f t="shared" si="22"/>
        <v/>
      </c>
      <c r="Y89" t="str">
        <f>IF($W89="●","LDP "&amp;E89&amp;"."&amp;$B$12,"")</f>
        <v/>
      </c>
      <c r="Z89" t="str">
        <f>IF($W89="●","AND=.D "&amp;$B$13&amp;" #0","")</f>
        <v/>
      </c>
      <c r="AA89" t="str">
        <f>IF($W89="●","MOV.D #"&amp;X89&amp;" "&amp;$B$13,"")</f>
        <v/>
      </c>
      <c r="AB89" t="str">
        <f>IF(LEN(U89),"MOV.D "&amp;$U89&amp;" "&amp;$B$14,"")</f>
        <v/>
      </c>
      <c r="AC89" t="str">
        <f>IF(AND(D89&lt;&gt;0,W89="●"),CHAR(10),"")&amp;IF(LEN(Y89),Y89,"")</f>
        <v/>
      </c>
      <c r="AD89" t="str">
        <f t="shared" si="15"/>
        <v/>
      </c>
      <c r="AE89" t="str">
        <f t="shared" si="16"/>
        <v/>
      </c>
      <c r="AF89" t="str">
        <f t="shared" si="23"/>
        <v/>
      </c>
      <c r="AG89" t="str">
        <f t="shared" si="24"/>
        <v/>
      </c>
      <c r="AI89" t="str">
        <f>IF($W89="●",AD89&amp;CHAR(10)&amp;"BOX_ST"&amp;CHAR(10)&amp;";//"&amp;$B$8,"")</f>
        <v/>
      </c>
      <c r="AJ89" t="str">
        <f>IF($W89="●",IF(LEN(AI89),AI89&amp;CHAR(10),"")&amp;";//エラーNo.を入れる"&amp;CHAR(10)&amp;";"&amp;$B$13&amp;"	:= "&amp;X89&amp;";","")</f>
        <v/>
      </c>
      <c r="AK89" t="str">
        <f>IF($W89="●",IF(LEN(AJ89),AJ89&amp;CHAR(10),"")&amp;IF(LEN(U89),";//エラーコードを入れる"&amp;CHAR(10)&amp;";"&amp;$B$14&amp;"	:= "&amp;U89&amp;".udiErr;",""),"")</f>
        <v/>
      </c>
      <c r="AL89" t="str">
        <f>IF($W89="●",IF(LEN(AK89),AK89&amp;CHAR(10),"")&amp;";//"&amp;$B$9,"")</f>
        <v/>
      </c>
    </row>
    <row r="90" spans="4:38" x14ac:dyDescent="0.55000000000000004">
      <c r="D90">
        <v>84</v>
      </c>
      <c r="M90" t="str">
        <f t="shared" si="17"/>
        <v/>
      </c>
      <c r="N90" t="str">
        <f t="shared" si="17"/>
        <v/>
      </c>
      <c r="O90" t="str">
        <f t="shared" si="17"/>
        <v/>
      </c>
      <c r="P90" t="str">
        <f t="shared" si="18"/>
        <v/>
      </c>
      <c r="Q90" t="str">
        <f t="shared" si="18"/>
        <v/>
      </c>
      <c r="R90" t="str">
        <f t="shared" si="18"/>
        <v/>
      </c>
      <c r="S90" t="str">
        <f t="shared" si="19"/>
        <v/>
      </c>
      <c r="T90" t="str">
        <f t="shared" si="20"/>
        <v/>
      </c>
      <c r="U90" t="str">
        <f t="shared" si="21"/>
        <v/>
      </c>
      <c r="W90" t="str">
        <f>IF(LEN(K90),IF(OR(COUNTIF(K90,"*◆*"),COUNTIF(K90,"*▼*")),"","●"),"")</f>
        <v/>
      </c>
      <c r="X90" t="str">
        <f t="shared" si="22"/>
        <v/>
      </c>
      <c r="Y90" t="str">
        <f>IF($W90="●","LDP "&amp;E90&amp;"."&amp;$B$12,"")</f>
        <v/>
      </c>
      <c r="Z90" t="str">
        <f>IF($W90="●","AND=.D "&amp;$B$13&amp;" #0","")</f>
        <v/>
      </c>
      <c r="AA90" t="str">
        <f>IF($W90="●","MOV.D #"&amp;X90&amp;" "&amp;$B$13,"")</f>
        <v/>
      </c>
      <c r="AB90" t="str">
        <f>IF(LEN(U90),"MOV.D "&amp;$U90&amp;" "&amp;$B$14,"")</f>
        <v/>
      </c>
      <c r="AC90" t="str">
        <f>IF(AND(D90&lt;&gt;0,W90="●"),CHAR(10),"")&amp;IF(LEN(Y90),Y90,"")</f>
        <v/>
      </c>
      <c r="AD90" t="str">
        <f t="shared" si="15"/>
        <v/>
      </c>
      <c r="AE90" t="str">
        <f t="shared" si="16"/>
        <v/>
      </c>
      <c r="AF90" t="str">
        <f t="shared" si="23"/>
        <v/>
      </c>
      <c r="AG90" t="str">
        <f t="shared" si="24"/>
        <v/>
      </c>
      <c r="AI90" t="str">
        <f>IF($W90="●",AD90&amp;CHAR(10)&amp;"BOX_ST"&amp;CHAR(10)&amp;";//"&amp;$B$8,"")</f>
        <v/>
      </c>
      <c r="AJ90" t="str">
        <f>IF($W90="●",IF(LEN(AI90),AI90&amp;CHAR(10),"")&amp;";//エラーNo.を入れる"&amp;CHAR(10)&amp;";"&amp;$B$13&amp;"	:= "&amp;X90&amp;";","")</f>
        <v/>
      </c>
      <c r="AK90" t="str">
        <f>IF($W90="●",IF(LEN(AJ90),AJ90&amp;CHAR(10),"")&amp;IF(LEN(U90),";//エラーコードを入れる"&amp;CHAR(10)&amp;";"&amp;$B$14&amp;"	:= "&amp;U90&amp;".udiErr;",""),"")</f>
        <v/>
      </c>
      <c r="AL90" t="str">
        <f>IF($W90="●",IF(LEN(AK90),AK90&amp;CHAR(10),"")&amp;";//"&amp;$B$9,"")</f>
        <v/>
      </c>
    </row>
    <row r="91" spans="4:38" x14ac:dyDescent="0.55000000000000004">
      <c r="D91">
        <v>85</v>
      </c>
      <c r="M91" t="str">
        <f t="shared" si="17"/>
        <v/>
      </c>
      <c r="N91" t="str">
        <f t="shared" si="17"/>
        <v/>
      </c>
      <c r="O91" t="str">
        <f t="shared" si="17"/>
        <v/>
      </c>
      <c r="P91" t="str">
        <f t="shared" si="18"/>
        <v/>
      </c>
      <c r="Q91" t="str">
        <f t="shared" si="18"/>
        <v/>
      </c>
      <c r="R91" t="str">
        <f t="shared" si="18"/>
        <v/>
      </c>
      <c r="S91" t="str">
        <f t="shared" si="19"/>
        <v/>
      </c>
      <c r="T91" t="str">
        <f t="shared" si="20"/>
        <v/>
      </c>
      <c r="U91" t="str">
        <f t="shared" si="21"/>
        <v/>
      </c>
      <c r="W91" t="str">
        <f>IF(LEN(K91),IF(OR(COUNTIF(K91,"*◆*"),COUNTIF(K91,"*▼*")),"","●"),"")</f>
        <v/>
      </c>
      <c r="X91" t="str">
        <f t="shared" si="22"/>
        <v/>
      </c>
      <c r="Y91" t="str">
        <f>IF($W91="●","LDP "&amp;E91&amp;"."&amp;$B$12,"")</f>
        <v/>
      </c>
      <c r="Z91" t="str">
        <f>IF($W91="●","AND=.D "&amp;$B$13&amp;" #0","")</f>
        <v/>
      </c>
      <c r="AA91" t="str">
        <f>IF($W91="●","MOV.D #"&amp;X91&amp;" "&amp;$B$13,"")</f>
        <v/>
      </c>
      <c r="AB91" t="str">
        <f>IF(LEN(U91),"MOV.D "&amp;$U91&amp;" "&amp;$B$14,"")</f>
        <v/>
      </c>
      <c r="AC91" t="str">
        <f>IF(AND(D91&lt;&gt;0,W91="●"),CHAR(10),"")&amp;IF(LEN(Y91),Y91,"")</f>
        <v/>
      </c>
      <c r="AD91" t="str">
        <f t="shared" si="15"/>
        <v/>
      </c>
      <c r="AE91" t="str">
        <f t="shared" si="16"/>
        <v/>
      </c>
      <c r="AF91" t="str">
        <f t="shared" si="23"/>
        <v/>
      </c>
      <c r="AG91" t="str">
        <f t="shared" si="24"/>
        <v/>
      </c>
      <c r="AI91" t="str">
        <f>IF($W91="●",AD91&amp;CHAR(10)&amp;"BOX_ST"&amp;CHAR(10)&amp;";//"&amp;$B$8,"")</f>
        <v/>
      </c>
      <c r="AJ91" t="str">
        <f>IF($W91="●",IF(LEN(AI91),AI91&amp;CHAR(10),"")&amp;";//エラーNo.を入れる"&amp;CHAR(10)&amp;";"&amp;$B$13&amp;"	:= "&amp;X91&amp;";","")</f>
        <v/>
      </c>
      <c r="AK91" t="str">
        <f>IF($W91="●",IF(LEN(AJ91),AJ91&amp;CHAR(10),"")&amp;IF(LEN(U91),";//エラーコードを入れる"&amp;CHAR(10)&amp;";"&amp;$B$14&amp;"	:= "&amp;U91&amp;".udiErr;",""),"")</f>
        <v/>
      </c>
      <c r="AL91" t="str">
        <f>IF($W91="●",IF(LEN(AK91),AK91&amp;CHAR(10),"")&amp;";//"&amp;$B$9,"")</f>
        <v/>
      </c>
    </row>
    <row r="92" spans="4:38" x14ac:dyDescent="0.55000000000000004">
      <c r="D92">
        <v>86</v>
      </c>
      <c r="M92" t="str">
        <f t="shared" si="17"/>
        <v/>
      </c>
      <c r="N92" t="str">
        <f t="shared" si="17"/>
        <v/>
      </c>
      <c r="O92" t="str">
        <f t="shared" si="17"/>
        <v/>
      </c>
      <c r="P92" t="str">
        <f t="shared" si="18"/>
        <v/>
      </c>
      <c r="Q92" t="str">
        <f t="shared" si="18"/>
        <v/>
      </c>
      <c r="R92" t="str">
        <f t="shared" si="18"/>
        <v/>
      </c>
      <c r="S92" t="str">
        <f t="shared" si="19"/>
        <v/>
      </c>
      <c r="T92" t="str">
        <f t="shared" si="20"/>
        <v/>
      </c>
      <c r="U92" t="str">
        <f t="shared" si="21"/>
        <v/>
      </c>
      <c r="W92" t="str">
        <f>IF(LEN(K92),IF(OR(COUNTIF(K92,"*◆*"),COUNTIF(K92,"*▼*")),"","●"),"")</f>
        <v/>
      </c>
      <c r="X92" t="str">
        <f t="shared" si="22"/>
        <v/>
      </c>
      <c r="Y92" t="str">
        <f>IF($W92="●","LDP "&amp;E92&amp;"."&amp;$B$12,"")</f>
        <v/>
      </c>
      <c r="Z92" t="str">
        <f>IF($W92="●","AND=.D "&amp;$B$13&amp;" #0","")</f>
        <v/>
      </c>
      <c r="AA92" t="str">
        <f>IF($W92="●","MOV.D #"&amp;X92&amp;" "&amp;$B$13,"")</f>
        <v/>
      </c>
      <c r="AB92" t="str">
        <f>IF(LEN(U92),"MOV.D "&amp;$U92&amp;" "&amp;$B$14,"")</f>
        <v/>
      </c>
      <c r="AC92" t="str">
        <f>IF(AND(D92&lt;&gt;0,W92="●"),CHAR(10),"")&amp;IF(LEN(Y92),Y92,"")</f>
        <v/>
      </c>
      <c r="AD92" t="str">
        <f t="shared" si="15"/>
        <v/>
      </c>
      <c r="AE92" t="str">
        <f t="shared" si="16"/>
        <v/>
      </c>
      <c r="AF92" t="str">
        <f t="shared" si="23"/>
        <v/>
      </c>
      <c r="AG92" t="str">
        <f t="shared" si="24"/>
        <v/>
      </c>
      <c r="AI92" t="str">
        <f>IF($W92="●",AD92&amp;CHAR(10)&amp;"BOX_ST"&amp;CHAR(10)&amp;";//"&amp;$B$8,"")</f>
        <v/>
      </c>
      <c r="AJ92" t="str">
        <f>IF($W92="●",IF(LEN(AI92),AI92&amp;CHAR(10),"")&amp;";//エラーNo.を入れる"&amp;CHAR(10)&amp;";"&amp;$B$13&amp;"	:= "&amp;X92&amp;";","")</f>
        <v/>
      </c>
      <c r="AK92" t="str">
        <f>IF($W92="●",IF(LEN(AJ92),AJ92&amp;CHAR(10),"")&amp;IF(LEN(U92),";//エラーコードを入れる"&amp;CHAR(10)&amp;";"&amp;$B$14&amp;"	:= "&amp;U92&amp;".udiErr;",""),"")</f>
        <v/>
      </c>
      <c r="AL92" t="str">
        <f>IF($W92="●",IF(LEN(AK92),AK92&amp;CHAR(10),"")&amp;";//"&amp;$B$9,"")</f>
        <v/>
      </c>
    </row>
    <row r="93" spans="4:38" x14ac:dyDescent="0.55000000000000004">
      <c r="D93">
        <v>87</v>
      </c>
      <c r="M93" t="str">
        <f t="shared" si="17"/>
        <v/>
      </c>
      <c r="N93" t="str">
        <f t="shared" si="17"/>
        <v/>
      </c>
      <c r="O93" t="str">
        <f t="shared" si="17"/>
        <v/>
      </c>
      <c r="P93" t="str">
        <f t="shared" si="18"/>
        <v/>
      </c>
      <c r="Q93" t="str">
        <f t="shared" si="18"/>
        <v/>
      </c>
      <c r="R93" t="str">
        <f t="shared" si="18"/>
        <v/>
      </c>
      <c r="S93" t="str">
        <f t="shared" si="19"/>
        <v/>
      </c>
      <c r="T93" t="str">
        <f t="shared" si="20"/>
        <v/>
      </c>
      <c r="U93" t="str">
        <f t="shared" si="21"/>
        <v/>
      </c>
      <c r="W93" t="str">
        <f>IF(LEN(K93),IF(OR(COUNTIF(K93,"*◆*"),COUNTIF(K93,"*▼*")),"","●"),"")</f>
        <v/>
      </c>
      <c r="X93" t="str">
        <f t="shared" si="22"/>
        <v/>
      </c>
      <c r="Y93" t="str">
        <f>IF($W93="●","LDP "&amp;E93&amp;"."&amp;$B$12,"")</f>
        <v/>
      </c>
      <c r="Z93" t="str">
        <f>IF($W93="●","AND=.D "&amp;$B$13&amp;" #0","")</f>
        <v/>
      </c>
      <c r="AA93" t="str">
        <f>IF($W93="●","MOV.D #"&amp;X93&amp;" "&amp;$B$13,"")</f>
        <v/>
      </c>
      <c r="AB93" t="str">
        <f>IF(LEN(U93),"MOV.D "&amp;$U93&amp;" "&amp;$B$14,"")</f>
        <v/>
      </c>
      <c r="AC93" t="str">
        <f>IF(AND(D93&lt;&gt;0,W93="●"),CHAR(10),"")&amp;IF(LEN(Y93),Y93,"")</f>
        <v/>
      </c>
      <c r="AD93" t="str">
        <f t="shared" si="15"/>
        <v/>
      </c>
      <c r="AE93" t="str">
        <f t="shared" si="16"/>
        <v/>
      </c>
      <c r="AF93" t="str">
        <f t="shared" si="23"/>
        <v/>
      </c>
      <c r="AG93" t="str">
        <f t="shared" si="24"/>
        <v/>
      </c>
      <c r="AI93" t="str">
        <f>IF($W93="●",AD93&amp;CHAR(10)&amp;"BOX_ST"&amp;CHAR(10)&amp;";//"&amp;$B$8,"")</f>
        <v/>
      </c>
      <c r="AJ93" t="str">
        <f>IF($W93="●",IF(LEN(AI93),AI93&amp;CHAR(10),"")&amp;";//エラーNo.を入れる"&amp;CHAR(10)&amp;";"&amp;$B$13&amp;"	:= "&amp;X93&amp;";","")</f>
        <v/>
      </c>
      <c r="AK93" t="str">
        <f>IF($W93="●",IF(LEN(AJ93),AJ93&amp;CHAR(10),"")&amp;IF(LEN(U93),";//エラーコードを入れる"&amp;CHAR(10)&amp;";"&amp;$B$14&amp;"	:= "&amp;U93&amp;".udiErr;",""),"")</f>
        <v/>
      </c>
      <c r="AL93" t="str">
        <f>IF($W93="●",IF(LEN(AK93),AK93&amp;CHAR(10),"")&amp;";//"&amp;$B$9,"")</f>
        <v/>
      </c>
    </row>
    <row r="94" spans="4:38" x14ac:dyDescent="0.55000000000000004">
      <c r="D94">
        <v>88</v>
      </c>
      <c r="M94" t="str">
        <f t="shared" si="17"/>
        <v/>
      </c>
      <c r="N94" t="str">
        <f t="shared" si="17"/>
        <v/>
      </c>
      <c r="O94" t="str">
        <f t="shared" si="17"/>
        <v/>
      </c>
      <c r="P94" t="str">
        <f t="shared" si="18"/>
        <v/>
      </c>
      <c r="Q94" t="str">
        <f t="shared" si="18"/>
        <v/>
      </c>
      <c r="R94" t="str">
        <f t="shared" si="18"/>
        <v/>
      </c>
      <c r="S94" t="str">
        <f t="shared" si="19"/>
        <v/>
      </c>
      <c r="T94" t="str">
        <f t="shared" si="20"/>
        <v/>
      </c>
      <c r="U94" t="str">
        <f t="shared" si="21"/>
        <v/>
      </c>
      <c r="W94" t="str">
        <f>IF(LEN(K94),IF(OR(COUNTIF(K94,"*◆*"),COUNTIF(K94,"*▼*")),"","●"),"")</f>
        <v/>
      </c>
      <c r="X94" t="str">
        <f t="shared" si="22"/>
        <v/>
      </c>
      <c r="Y94" t="str">
        <f>IF($W94="●","LDP "&amp;E94&amp;"."&amp;$B$12,"")</f>
        <v/>
      </c>
      <c r="Z94" t="str">
        <f>IF($W94="●","AND=.D "&amp;$B$13&amp;" #0","")</f>
        <v/>
      </c>
      <c r="AA94" t="str">
        <f>IF($W94="●","MOV.D #"&amp;X94&amp;" "&amp;$B$13,"")</f>
        <v/>
      </c>
      <c r="AB94" t="str">
        <f>IF(LEN(U94),"MOV.D "&amp;$U94&amp;" "&amp;$B$14,"")</f>
        <v/>
      </c>
      <c r="AC94" t="str">
        <f>IF(AND(D94&lt;&gt;0,W94="●"),CHAR(10),"")&amp;IF(LEN(Y94),Y94,"")</f>
        <v/>
      </c>
      <c r="AD94" t="str">
        <f t="shared" si="15"/>
        <v/>
      </c>
      <c r="AE94" t="str">
        <f t="shared" si="16"/>
        <v/>
      </c>
      <c r="AF94" t="str">
        <f t="shared" si="23"/>
        <v/>
      </c>
      <c r="AG94" t="str">
        <f t="shared" si="24"/>
        <v/>
      </c>
      <c r="AI94" t="str">
        <f>IF($W94="●",AD94&amp;CHAR(10)&amp;"BOX_ST"&amp;CHAR(10)&amp;";//"&amp;$B$8,"")</f>
        <v/>
      </c>
      <c r="AJ94" t="str">
        <f>IF($W94="●",IF(LEN(AI94),AI94&amp;CHAR(10),"")&amp;";//エラーNo.を入れる"&amp;CHAR(10)&amp;";"&amp;$B$13&amp;"	:= "&amp;X94&amp;";","")</f>
        <v/>
      </c>
      <c r="AK94" t="str">
        <f>IF($W94="●",IF(LEN(AJ94),AJ94&amp;CHAR(10),"")&amp;IF(LEN(U94),";//エラーコードを入れる"&amp;CHAR(10)&amp;";"&amp;$B$14&amp;"	:= "&amp;U94&amp;".udiErr;",""),"")</f>
        <v/>
      </c>
      <c r="AL94" t="str">
        <f>IF($W94="●",IF(LEN(AK94),AK94&amp;CHAR(10),"")&amp;";//"&amp;$B$9,"")</f>
        <v/>
      </c>
    </row>
    <row r="95" spans="4:38" x14ac:dyDescent="0.55000000000000004">
      <c r="D95">
        <v>89</v>
      </c>
      <c r="M95" t="str">
        <f t="shared" si="17"/>
        <v/>
      </c>
      <c r="N95" t="str">
        <f t="shared" si="17"/>
        <v/>
      </c>
      <c r="O95" t="str">
        <f t="shared" si="17"/>
        <v/>
      </c>
      <c r="P95" t="str">
        <f t="shared" si="18"/>
        <v/>
      </c>
      <c r="Q95" t="str">
        <f t="shared" si="18"/>
        <v/>
      </c>
      <c r="R95" t="str">
        <f t="shared" si="18"/>
        <v/>
      </c>
      <c r="S95" t="str">
        <f t="shared" si="19"/>
        <v/>
      </c>
      <c r="T95" t="str">
        <f t="shared" si="20"/>
        <v/>
      </c>
      <c r="U95" t="str">
        <f t="shared" si="21"/>
        <v/>
      </c>
      <c r="W95" t="str">
        <f>IF(LEN(K95),IF(OR(COUNTIF(K95,"*◆*"),COUNTIF(K95,"*▼*")),"","●"),"")</f>
        <v/>
      </c>
      <c r="X95" t="str">
        <f t="shared" si="22"/>
        <v/>
      </c>
      <c r="Y95" t="str">
        <f>IF($W95="●","LDP "&amp;E95&amp;"."&amp;$B$12,"")</f>
        <v/>
      </c>
      <c r="Z95" t="str">
        <f>IF($W95="●","AND=.D "&amp;$B$13&amp;" #0","")</f>
        <v/>
      </c>
      <c r="AA95" t="str">
        <f>IF($W95="●","MOV.D #"&amp;X95&amp;" "&amp;$B$13,"")</f>
        <v/>
      </c>
      <c r="AB95" t="str">
        <f>IF(LEN(U95),"MOV.D "&amp;$U95&amp;" "&amp;$B$14,"")</f>
        <v/>
      </c>
      <c r="AC95" t="str">
        <f>IF(AND(D95&lt;&gt;0,W95="●"),CHAR(10),"")&amp;IF(LEN(Y95),Y95,"")</f>
        <v/>
      </c>
      <c r="AD95" t="str">
        <f t="shared" si="15"/>
        <v/>
      </c>
      <c r="AE95" t="str">
        <f t="shared" si="16"/>
        <v/>
      </c>
      <c r="AF95" t="str">
        <f t="shared" si="23"/>
        <v/>
      </c>
      <c r="AG95" t="str">
        <f t="shared" si="24"/>
        <v/>
      </c>
      <c r="AI95" t="str">
        <f>IF($W95="●",AD95&amp;CHAR(10)&amp;"BOX_ST"&amp;CHAR(10)&amp;";//"&amp;$B$8,"")</f>
        <v/>
      </c>
      <c r="AJ95" t="str">
        <f>IF($W95="●",IF(LEN(AI95),AI95&amp;CHAR(10),"")&amp;";//エラーNo.を入れる"&amp;CHAR(10)&amp;";"&amp;$B$13&amp;"	:= "&amp;X95&amp;";","")</f>
        <v/>
      </c>
      <c r="AK95" t="str">
        <f>IF($W95="●",IF(LEN(AJ95),AJ95&amp;CHAR(10),"")&amp;IF(LEN(U95),";//エラーコードを入れる"&amp;CHAR(10)&amp;";"&amp;$B$14&amp;"	:= "&amp;U95&amp;".udiErr;",""),"")</f>
        <v/>
      </c>
      <c r="AL95" t="str">
        <f>IF($W95="●",IF(LEN(AK95),AK95&amp;CHAR(10),"")&amp;";//"&amp;$B$9,"")</f>
        <v/>
      </c>
    </row>
    <row r="96" spans="4:38" x14ac:dyDescent="0.55000000000000004">
      <c r="D96">
        <v>90</v>
      </c>
      <c r="M96" t="str">
        <f t="shared" si="17"/>
        <v/>
      </c>
      <c r="N96" t="str">
        <f t="shared" si="17"/>
        <v/>
      </c>
      <c r="O96" t="str">
        <f t="shared" si="17"/>
        <v/>
      </c>
      <c r="P96" t="str">
        <f t="shared" si="18"/>
        <v/>
      </c>
      <c r="Q96" t="str">
        <f t="shared" si="18"/>
        <v/>
      </c>
      <c r="R96" t="str">
        <f t="shared" si="18"/>
        <v/>
      </c>
      <c r="S96" t="str">
        <f t="shared" si="19"/>
        <v/>
      </c>
      <c r="T96" t="str">
        <f t="shared" si="20"/>
        <v/>
      </c>
      <c r="U96" t="str">
        <f t="shared" si="21"/>
        <v/>
      </c>
      <c r="W96" t="str">
        <f>IF(LEN(K96),IF(OR(COUNTIF(K96,"*◆*"),COUNTIF(K96,"*▼*")),"","●"),"")</f>
        <v/>
      </c>
      <c r="X96" t="str">
        <f t="shared" si="22"/>
        <v/>
      </c>
      <c r="Y96" t="str">
        <f>IF($W96="●","LDP "&amp;E96&amp;"."&amp;$B$12,"")</f>
        <v/>
      </c>
      <c r="Z96" t="str">
        <f>IF($W96="●","AND=.D "&amp;$B$13&amp;" #0","")</f>
        <v/>
      </c>
      <c r="AA96" t="str">
        <f>IF($W96="●","MOV.D #"&amp;X96&amp;" "&amp;$B$13,"")</f>
        <v/>
      </c>
      <c r="AB96" t="str">
        <f>IF(LEN(U96),"MOV.D "&amp;$U96&amp;" "&amp;$B$14,"")</f>
        <v/>
      </c>
      <c r="AC96" t="str">
        <f>IF(AND(D96&lt;&gt;0,W96="●"),CHAR(10),"")&amp;IF(LEN(Y96),Y96,"")</f>
        <v/>
      </c>
      <c r="AD96" t="str">
        <f t="shared" si="15"/>
        <v/>
      </c>
      <c r="AE96" t="str">
        <f t="shared" si="16"/>
        <v/>
      </c>
      <c r="AF96" t="str">
        <f t="shared" si="23"/>
        <v/>
      </c>
      <c r="AG96" t="str">
        <f t="shared" si="24"/>
        <v/>
      </c>
      <c r="AI96" t="str">
        <f>IF($W96="●",AD96&amp;CHAR(10)&amp;"BOX_ST"&amp;CHAR(10)&amp;";//"&amp;$B$8,"")</f>
        <v/>
      </c>
      <c r="AJ96" t="str">
        <f>IF($W96="●",IF(LEN(AI96),AI96&amp;CHAR(10),"")&amp;";//エラーNo.を入れる"&amp;CHAR(10)&amp;";"&amp;$B$13&amp;"	:= "&amp;X96&amp;";","")</f>
        <v/>
      </c>
      <c r="AK96" t="str">
        <f>IF($W96="●",IF(LEN(AJ96),AJ96&amp;CHAR(10),"")&amp;IF(LEN(U96),";//エラーコードを入れる"&amp;CHAR(10)&amp;";"&amp;$B$14&amp;"	:= "&amp;U96&amp;".udiErr;",""),"")</f>
        <v/>
      </c>
      <c r="AL96" t="str">
        <f>IF($W96="●",IF(LEN(AK96),AK96&amp;CHAR(10),"")&amp;";//"&amp;$B$9,"")</f>
        <v/>
      </c>
    </row>
    <row r="97" spans="4:38" x14ac:dyDescent="0.55000000000000004">
      <c r="D97">
        <v>91</v>
      </c>
      <c r="M97" t="str">
        <f t="shared" si="17"/>
        <v/>
      </c>
      <c r="N97" t="str">
        <f t="shared" si="17"/>
        <v/>
      </c>
      <c r="O97" t="str">
        <f t="shared" si="17"/>
        <v/>
      </c>
      <c r="P97" t="str">
        <f t="shared" si="18"/>
        <v/>
      </c>
      <c r="Q97" t="str">
        <f t="shared" si="18"/>
        <v/>
      </c>
      <c r="R97" t="str">
        <f t="shared" si="18"/>
        <v/>
      </c>
      <c r="S97" t="str">
        <f t="shared" si="19"/>
        <v/>
      </c>
      <c r="T97" t="str">
        <f t="shared" si="20"/>
        <v/>
      </c>
      <c r="U97" t="str">
        <f t="shared" si="21"/>
        <v/>
      </c>
      <c r="W97" t="str">
        <f>IF(LEN(K97),IF(OR(COUNTIF(K97,"*◆*"),COUNTIF(K97,"*▼*")),"","●"),"")</f>
        <v/>
      </c>
      <c r="X97" t="str">
        <f t="shared" si="22"/>
        <v/>
      </c>
      <c r="Y97" t="str">
        <f>IF($W97="●","LDP "&amp;E97&amp;"."&amp;$B$12,"")</f>
        <v/>
      </c>
      <c r="Z97" t="str">
        <f>IF($W97="●","AND=.D "&amp;$B$13&amp;" #0","")</f>
        <v/>
      </c>
      <c r="AA97" t="str">
        <f>IF($W97="●","MOV.D #"&amp;X97&amp;" "&amp;$B$13,"")</f>
        <v/>
      </c>
      <c r="AB97" t="str">
        <f>IF(LEN(U97),"MOV.D "&amp;$U97&amp;" "&amp;$B$14,"")</f>
        <v/>
      </c>
      <c r="AC97" t="str">
        <f>IF(AND(D97&lt;&gt;0,W97="●"),CHAR(10),"")&amp;IF(LEN(Y97),Y97,"")</f>
        <v/>
      </c>
      <c r="AD97" t="str">
        <f t="shared" si="15"/>
        <v/>
      </c>
      <c r="AE97" t="str">
        <f t="shared" si="16"/>
        <v/>
      </c>
      <c r="AF97" t="str">
        <f t="shared" si="23"/>
        <v/>
      </c>
      <c r="AG97" t="str">
        <f t="shared" si="24"/>
        <v/>
      </c>
      <c r="AI97" t="str">
        <f>IF($W97="●",AD97&amp;CHAR(10)&amp;"BOX_ST"&amp;CHAR(10)&amp;";//"&amp;$B$8,"")</f>
        <v/>
      </c>
      <c r="AJ97" t="str">
        <f>IF($W97="●",IF(LEN(AI97),AI97&amp;CHAR(10),"")&amp;";//エラーNo.を入れる"&amp;CHAR(10)&amp;";"&amp;$B$13&amp;"	:= "&amp;X97&amp;";","")</f>
        <v/>
      </c>
      <c r="AK97" t="str">
        <f>IF($W97="●",IF(LEN(AJ97),AJ97&amp;CHAR(10),"")&amp;IF(LEN(U97),";//エラーコードを入れる"&amp;CHAR(10)&amp;";"&amp;$B$14&amp;"	:= "&amp;U97&amp;".udiErr;",""),"")</f>
        <v/>
      </c>
      <c r="AL97" t="str">
        <f>IF($W97="●",IF(LEN(AK97),AK97&amp;CHAR(10),"")&amp;";//"&amp;$B$9,"")</f>
        <v/>
      </c>
    </row>
    <row r="98" spans="4:38" x14ac:dyDescent="0.55000000000000004">
      <c r="D98">
        <v>92</v>
      </c>
      <c r="M98" t="str">
        <f t="shared" si="17"/>
        <v/>
      </c>
      <c r="N98" t="str">
        <f t="shared" si="17"/>
        <v/>
      </c>
      <c r="O98" t="str">
        <f t="shared" si="17"/>
        <v/>
      </c>
      <c r="P98" t="str">
        <f t="shared" si="18"/>
        <v/>
      </c>
      <c r="Q98" t="str">
        <f t="shared" si="18"/>
        <v/>
      </c>
      <c r="R98" t="str">
        <f t="shared" si="18"/>
        <v/>
      </c>
      <c r="S98" t="str">
        <f t="shared" si="19"/>
        <v/>
      </c>
      <c r="T98" t="str">
        <f t="shared" si="20"/>
        <v/>
      </c>
      <c r="U98" t="str">
        <f t="shared" si="21"/>
        <v/>
      </c>
      <c r="W98" t="str">
        <f>IF(LEN(K98),IF(OR(COUNTIF(K98,"*◆*"),COUNTIF(K98,"*▼*")),"","●"),"")</f>
        <v/>
      </c>
      <c r="X98" t="str">
        <f t="shared" si="22"/>
        <v/>
      </c>
      <c r="Y98" t="str">
        <f>IF($W98="●","LDP "&amp;E98&amp;"."&amp;$B$12,"")</f>
        <v/>
      </c>
      <c r="Z98" t="str">
        <f>IF($W98="●","AND=.D "&amp;$B$13&amp;" #0","")</f>
        <v/>
      </c>
      <c r="AA98" t="str">
        <f>IF($W98="●","MOV.D #"&amp;X98&amp;" "&amp;$B$13,"")</f>
        <v/>
      </c>
      <c r="AB98" t="str">
        <f>IF(LEN(U98),"MOV.D "&amp;$U98&amp;" "&amp;$B$14,"")</f>
        <v/>
      </c>
      <c r="AC98" t="str">
        <f>IF(AND(D98&lt;&gt;0,W98="●"),CHAR(10),"")&amp;IF(LEN(Y98),Y98,"")</f>
        <v/>
      </c>
      <c r="AD98" t="str">
        <f t="shared" si="15"/>
        <v/>
      </c>
      <c r="AE98" t="str">
        <f t="shared" si="16"/>
        <v/>
      </c>
      <c r="AF98" t="str">
        <f t="shared" si="23"/>
        <v/>
      </c>
      <c r="AG98" t="str">
        <f t="shared" si="24"/>
        <v/>
      </c>
      <c r="AI98" t="str">
        <f>IF($W98="●",AD98&amp;CHAR(10)&amp;"BOX_ST"&amp;CHAR(10)&amp;";//"&amp;$B$8,"")</f>
        <v/>
      </c>
      <c r="AJ98" t="str">
        <f>IF($W98="●",IF(LEN(AI98),AI98&amp;CHAR(10),"")&amp;";//エラーNo.を入れる"&amp;CHAR(10)&amp;";"&amp;$B$13&amp;"	:= "&amp;X98&amp;";","")</f>
        <v/>
      </c>
      <c r="AK98" t="str">
        <f>IF($W98="●",IF(LEN(AJ98),AJ98&amp;CHAR(10),"")&amp;IF(LEN(U98),";//エラーコードを入れる"&amp;CHAR(10)&amp;";"&amp;$B$14&amp;"	:= "&amp;U98&amp;".udiErr;",""),"")</f>
        <v/>
      </c>
      <c r="AL98" t="str">
        <f>IF($W98="●",IF(LEN(AK98),AK98&amp;CHAR(10),"")&amp;";//"&amp;$B$9,"")</f>
        <v/>
      </c>
    </row>
    <row r="99" spans="4:38" x14ac:dyDescent="0.55000000000000004">
      <c r="D99">
        <v>93</v>
      </c>
      <c r="M99" t="str">
        <f t="shared" si="17"/>
        <v/>
      </c>
      <c r="N99" t="str">
        <f t="shared" si="17"/>
        <v/>
      </c>
      <c r="O99" t="str">
        <f t="shared" si="17"/>
        <v/>
      </c>
      <c r="P99" t="str">
        <f t="shared" si="18"/>
        <v/>
      </c>
      <c r="Q99" t="str">
        <f t="shared" si="18"/>
        <v/>
      </c>
      <c r="R99" t="str">
        <f t="shared" si="18"/>
        <v/>
      </c>
      <c r="S99" t="str">
        <f t="shared" si="19"/>
        <v/>
      </c>
      <c r="T99" t="str">
        <f t="shared" si="20"/>
        <v/>
      </c>
      <c r="U99" t="str">
        <f t="shared" si="21"/>
        <v/>
      </c>
      <c r="W99" t="str">
        <f>IF(LEN(K99),IF(OR(COUNTIF(K99,"*◆*"),COUNTIF(K99,"*▼*")),"","●"),"")</f>
        <v/>
      </c>
      <c r="X99" t="str">
        <f t="shared" si="22"/>
        <v/>
      </c>
      <c r="Y99" t="str">
        <f>IF($W99="●","LDP "&amp;E99&amp;"."&amp;$B$12,"")</f>
        <v/>
      </c>
      <c r="Z99" t="str">
        <f>IF($W99="●","AND=.D "&amp;$B$13&amp;" #0","")</f>
        <v/>
      </c>
      <c r="AA99" t="str">
        <f>IF($W99="●","MOV.D #"&amp;X99&amp;" "&amp;$B$13,"")</f>
        <v/>
      </c>
      <c r="AB99" t="str">
        <f>IF(LEN(U99),"MOV.D "&amp;$U99&amp;" "&amp;$B$14,"")</f>
        <v/>
      </c>
      <c r="AC99" t="str">
        <f>IF(AND(D99&lt;&gt;0,W99="●"),CHAR(10),"")&amp;IF(LEN(Y99),Y99,"")</f>
        <v/>
      </c>
      <c r="AD99" t="str">
        <f t="shared" si="15"/>
        <v/>
      </c>
      <c r="AE99" t="str">
        <f t="shared" si="16"/>
        <v/>
      </c>
      <c r="AF99" t="str">
        <f t="shared" si="23"/>
        <v/>
      </c>
      <c r="AG99" t="str">
        <f t="shared" si="24"/>
        <v/>
      </c>
      <c r="AI99" t="str">
        <f>IF($W99="●",AD99&amp;CHAR(10)&amp;"BOX_ST"&amp;CHAR(10)&amp;";//"&amp;$B$8,"")</f>
        <v/>
      </c>
      <c r="AJ99" t="str">
        <f>IF($W99="●",IF(LEN(AI99),AI99&amp;CHAR(10),"")&amp;";//エラーNo.を入れる"&amp;CHAR(10)&amp;";"&amp;$B$13&amp;"	:= "&amp;X99&amp;";","")</f>
        <v/>
      </c>
      <c r="AK99" t="str">
        <f>IF($W99="●",IF(LEN(AJ99),AJ99&amp;CHAR(10),"")&amp;IF(LEN(U99),";//エラーコードを入れる"&amp;CHAR(10)&amp;";"&amp;$B$14&amp;"	:= "&amp;U99&amp;".udiErr;",""),"")</f>
        <v/>
      </c>
      <c r="AL99" t="str">
        <f>IF($W99="●",IF(LEN(AK99),AK99&amp;CHAR(10),"")&amp;";//"&amp;$B$9,"")</f>
        <v/>
      </c>
    </row>
    <row r="100" spans="4:38" x14ac:dyDescent="0.55000000000000004">
      <c r="D100">
        <v>94</v>
      </c>
      <c r="M100" t="str">
        <f t="shared" si="17"/>
        <v/>
      </c>
      <c r="N100" t="str">
        <f t="shared" si="17"/>
        <v/>
      </c>
      <c r="O100" t="str">
        <f t="shared" si="17"/>
        <v/>
      </c>
      <c r="P100" t="str">
        <f t="shared" si="18"/>
        <v/>
      </c>
      <c r="Q100" t="str">
        <f t="shared" si="18"/>
        <v/>
      </c>
      <c r="R100" t="str">
        <f t="shared" si="18"/>
        <v/>
      </c>
      <c r="S100" t="str">
        <f t="shared" si="19"/>
        <v/>
      </c>
      <c r="T100" t="str">
        <f t="shared" si="20"/>
        <v/>
      </c>
      <c r="U100" t="str">
        <f t="shared" si="21"/>
        <v/>
      </c>
      <c r="W100" t="str">
        <f>IF(LEN(K100),IF(OR(COUNTIF(K100,"*◆*"),COUNTIF(K100,"*▼*")),"","●"),"")</f>
        <v/>
      </c>
      <c r="X100" t="str">
        <f t="shared" si="22"/>
        <v/>
      </c>
      <c r="Y100" t="str">
        <f>IF($W100="●","LDP "&amp;E100&amp;"."&amp;$B$12,"")</f>
        <v/>
      </c>
      <c r="Z100" t="str">
        <f>IF($W100="●","AND=.D "&amp;$B$13&amp;" #0","")</f>
        <v/>
      </c>
      <c r="AA100" t="str">
        <f>IF($W100="●","MOV.D #"&amp;X100&amp;" "&amp;$B$13,"")</f>
        <v/>
      </c>
      <c r="AB100" t="str">
        <f>IF(LEN(U100),"MOV.D "&amp;$U100&amp;" "&amp;$B$14,"")</f>
        <v/>
      </c>
      <c r="AC100" t="str">
        <f>IF(AND(D100&lt;&gt;0,W100="●"),CHAR(10),"")&amp;IF(LEN(Y100),Y100,"")</f>
        <v/>
      </c>
      <c r="AD100" t="str">
        <f t="shared" si="15"/>
        <v/>
      </c>
      <c r="AE100" t="str">
        <f t="shared" si="16"/>
        <v/>
      </c>
      <c r="AF100" t="str">
        <f t="shared" si="23"/>
        <v/>
      </c>
      <c r="AG100" t="str">
        <f t="shared" si="24"/>
        <v/>
      </c>
      <c r="AI100" t="str">
        <f>IF($W100="●",AD100&amp;CHAR(10)&amp;"BOX_ST"&amp;CHAR(10)&amp;";//"&amp;$B$8,"")</f>
        <v/>
      </c>
      <c r="AJ100" t="str">
        <f>IF($W100="●",IF(LEN(AI100),AI100&amp;CHAR(10),"")&amp;";//エラーNo.を入れる"&amp;CHAR(10)&amp;";"&amp;$B$13&amp;"	:= "&amp;X100&amp;";","")</f>
        <v/>
      </c>
      <c r="AK100" t="str">
        <f>IF($W100="●",IF(LEN(AJ100),AJ100&amp;CHAR(10),"")&amp;IF(LEN(U100),";//エラーコードを入れる"&amp;CHAR(10)&amp;";"&amp;$B$14&amp;"	:= "&amp;U100&amp;".udiErr;",""),"")</f>
        <v/>
      </c>
      <c r="AL100" t="str">
        <f>IF($W100="●",IF(LEN(AK100),AK100&amp;CHAR(10),"")&amp;";//"&amp;$B$9,"")</f>
        <v/>
      </c>
    </row>
    <row r="101" spans="4:38" x14ac:dyDescent="0.55000000000000004">
      <c r="D101">
        <v>95</v>
      </c>
      <c r="M101" t="str">
        <f t="shared" si="17"/>
        <v/>
      </c>
      <c r="N101" t="str">
        <f t="shared" si="17"/>
        <v/>
      </c>
      <c r="O101" t="str">
        <f t="shared" si="17"/>
        <v/>
      </c>
      <c r="P101" t="str">
        <f t="shared" si="18"/>
        <v/>
      </c>
      <c r="Q101" t="str">
        <f t="shared" si="18"/>
        <v/>
      </c>
      <c r="R101" t="str">
        <f t="shared" si="18"/>
        <v/>
      </c>
      <c r="S101" t="str">
        <f t="shared" si="19"/>
        <v/>
      </c>
      <c r="T101" t="str">
        <f t="shared" si="20"/>
        <v/>
      </c>
      <c r="U101" t="str">
        <f t="shared" si="21"/>
        <v/>
      </c>
      <c r="W101" t="str">
        <f>IF(LEN(K101),IF(OR(COUNTIF(K101,"*◆*"),COUNTIF(K101,"*▼*")),"","●"),"")</f>
        <v/>
      </c>
      <c r="X101" t="str">
        <f t="shared" si="22"/>
        <v/>
      </c>
      <c r="Y101" t="str">
        <f>IF($W101="●","LDP "&amp;E101&amp;"."&amp;$B$12,"")</f>
        <v/>
      </c>
      <c r="Z101" t="str">
        <f>IF($W101="●","AND=.D "&amp;$B$13&amp;" #0","")</f>
        <v/>
      </c>
      <c r="AA101" t="str">
        <f>IF($W101="●","MOV.D #"&amp;X101&amp;" "&amp;$B$13,"")</f>
        <v/>
      </c>
      <c r="AB101" t="str">
        <f>IF(LEN(U101),"MOV.D "&amp;$U101&amp;" "&amp;$B$14,"")</f>
        <v/>
      </c>
      <c r="AC101" t="str">
        <f>IF(AND(D101&lt;&gt;0,W101="●"),CHAR(10),"")&amp;IF(LEN(Y101),Y101,"")</f>
        <v/>
      </c>
      <c r="AD101" t="str">
        <f t="shared" si="15"/>
        <v/>
      </c>
      <c r="AE101" t="str">
        <f t="shared" si="16"/>
        <v/>
      </c>
      <c r="AF101" t="str">
        <f t="shared" si="23"/>
        <v/>
      </c>
      <c r="AG101" t="str">
        <f t="shared" si="24"/>
        <v/>
      </c>
      <c r="AI101" t="str">
        <f>IF($W101="●",AD101&amp;CHAR(10)&amp;"BOX_ST"&amp;CHAR(10)&amp;";//"&amp;$B$8,"")</f>
        <v/>
      </c>
      <c r="AJ101" t="str">
        <f>IF($W101="●",IF(LEN(AI101),AI101&amp;CHAR(10),"")&amp;";//エラーNo.を入れる"&amp;CHAR(10)&amp;";"&amp;$B$13&amp;"	:= "&amp;X101&amp;";","")</f>
        <v/>
      </c>
      <c r="AK101" t="str">
        <f>IF($W101="●",IF(LEN(AJ101),AJ101&amp;CHAR(10),"")&amp;IF(LEN(U101),";//エラーコードを入れる"&amp;CHAR(10)&amp;";"&amp;$B$14&amp;"	:= "&amp;U101&amp;".udiErr;",""),"")</f>
        <v/>
      </c>
      <c r="AL101" t="str">
        <f>IF($W101="●",IF(LEN(AK101),AK101&amp;CHAR(10),"")&amp;";//"&amp;$B$9,"")</f>
        <v/>
      </c>
    </row>
    <row r="102" spans="4:38" x14ac:dyDescent="0.55000000000000004">
      <c r="D102">
        <v>96</v>
      </c>
      <c r="M102" t="str">
        <f t="shared" si="17"/>
        <v/>
      </c>
      <c r="N102" t="str">
        <f t="shared" si="17"/>
        <v/>
      </c>
      <c r="O102" t="str">
        <f t="shared" si="17"/>
        <v/>
      </c>
      <c r="P102" t="str">
        <f t="shared" si="18"/>
        <v/>
      </c>
      <c r="Q102" t="str">
        <f t="shared" si="18"/>
        <v/>
      </c>
      <c r="R102" t="str">
        <f t="shared" si="18"/>
        <v/>
      </c>
      <c r="S102" t="str">
        <f t="shared" si="19"/>
        <v/>
      </c>
      <c r="T102" t="str">
        <f t="shared" si="20"/>
        <v/>
      </c>
      <c r="U102" t="str">
        <f t="shared" si="21"/>
        <v/>
      </c>
      <c r="W102" t="str">
        <f>IF(LEN(K102),IF(OR(COUNTIF(K102,"*◆*"),COUNTIF(K102,"*▼*")),"","●"),"")</f>
        <v/>
      </c>
      <c r="X102" t="str">
        <f t="shared" si="22"/>
        <v/>
      </c>
      <c r="Y102" t="str">
        <f>IF($W102="●","LDP "&amp;E102&amp;"."&amp;$B$12,"")</f>
        <v/>
      </c>
      <c r="Z102" t="str">
        <f>IF($W102="●","AND=.D "&amp;$B$13&amp;" #0","")</f>
        <v/>
      </c>
      <c r="AA102" t="str">
        <f>IF($W102="●","MOV.D #"&amp;X102&amp;" "&amp;$B$13,"")</f>
        <v/>
      </c>
      <c r="AB102" t="str">
        <f>IF(LEN(U102),"MOV.D "&amp;$U102&amp;" "&amp;$B$14,"")</f>
        <v/>
      </c>
      <c r="AC102" t="str">
        <f>IF(AND(D102&lt;&gt;0,W102="●"),CHAR(10),"")&amp;IF(LEN(Y102),Y102,"")</f>
        <v/>
      </c>
      <c r="AD102" t="str">
        <f t="shared" ref="AD102:AD105" si="25">IF(LEN(AC102),AC102&amp;CHAR(10),"")&amp;IF(LEN(Z102),Z102,"")</f>
        <v/>
      </c>
      <c r="AE102" t="str">
        <f t="shared" ref="AE102:AE105" si="26">IF(LEN(AD102),AD102&amp;CHAR(10),"")&amp;IF(LEN(AA102),AA102,"")</f>
        <v/>
      </c>
      <c r="AF102" t="str">
        <f t="shared" si="23"/>
        <v/>
      </c>
      <c r="AG102" t="str">
        <f t="shared" si="24"/>
        <v/>
      </c>
      <c r="AI102" t="str">
        <f>IF($W102="●",AD102&amp;CHAR(10)&amp;"BOX_ST"&amp;CHAR(10)&amp;";//"&amp;$B$8,"")</f>
        <v/>
      </c>
      <c r="AJ102" t="str">
        <f>IF($W102="●",IF(LEN(AI102),AI102&amp;CHAR(10),"")&amp;";//エラーNo.を入れる"&amp;CHAR(10)&amp;";"&amp;$B$13&amp;"	:= "&amp;X102&amp;";","")</f>
        <v/>
      </c>
      <c r="AK102" t="str">
        <f>IF($W102="●",IF(LEN(AJ102),AJ102&amp;CHAR(10),"")&amp;IF(LEN(U102),";//エラーコードを入れる"&amp;CHAR(10)&amp;";"&amp;$B$14&amp;"	:= "&amp;U102&amp;".udiErr;",""),"")</f>
        <v/>
      </c>
      <c r="AL102" t="str">
        <f>IF($W102="●",IF(LEN(AK102),AK102&amp;CHAR(10),"")&amp;";//"&amp;$B$9,"")</f>
        <v/>
      </c>
    </row>
    <row r="103" spans="4:38" x14ac:dyDescent="0.55000000000000004">
      <c r="D103">
        <v>97</v>
      </c>
      <c r="M103" t="str">
        <f t="shared" si="17"/>
        <v/>
      </c>
      <c r="N103" t="str">
        <f t="shared" si="17"/>
        <v/>
      </c>
      <c r="O103" t="str">
        <f t="shared" si="17"/>
        <v/>
      </c>
      <c r="P103" t="str">
        <f t="shared" si="18"/>
        <v/>
      </c>
      <c r="Q103" t="str">
        <f t="shared" si="18"/>
        <v/>
      </c>
      <c r="R103" t="str">
        <f t="shared" si="18"/>
        <v/>
      </c>
      <c r="S103" t="str">
        <f t="shared" si="19"/>
        <v/>
      </c>
      <c r="T103" t="str">
        <f t="shared" si="20"/>
        <v/>
      </c>
      <c r="U103" t="str">
        <f t="shared" si="21"/>
        <v/>
      </c>
      <c r="W103" t="str">
        <f>IF(LEN(K103),IF(OR(COUNTIF(K103,"*◆*"),COUNTIF(K103,"*▼*")),"","●"),"")</f>
        <v/>
      </c>
      <c r="X103" t="str">
        <f t="shared" si="22"/>
        <v/>
      </c>
      <c r="Y103" t="str">
        <f>IF($W103="●","LDP "&amp;E103&amp;"."&amp;$B$12,"")</f>
        <v/>
      </c>
      <c r="Z103" t="str">
        <f>IF($W103="●","AND=.D "&amp;$B$13&amp;" #0","")</f>
        <v/>
      </c>
      <c r="AA103" t="str">
        <f>IF($W103="●","MOV.D #"&amp;X103&amp;" "&amp;$B$13,"")</f>
        <v/>
      </c>
      <c r="AB103" t="str">
        <f>IF(LEN(U103),"MOV.D "&amp;$U103&amp;" "&amp;$B$14,"")</f>
        <v/>
      </c>
      <c r="AC103" t="str">
        <f>IF(AND(D103&lt;&gt;0,W103="●"),CHAR(10),"")&amp;IF(LEN(Y103),Y103,"")</f>
        <v/>
      </c>
      <c r="AD103" t="str">
        <f t="shared" si="25"/>
        <v/>
      </c>
      <c r="AE103" t="str">
        <f t="shared" si="26"/>
        <v/>
      </c>
      <c r="AF103" t="str">
        <f t="shared" si="23"/>
        <v/>
      </c>
      <c r="AG103" t="str">
        <f t="shared" si="24"/>
        <v/>
      </c>
      <c r="AI103" t="str">
        <f>IF($W103="●",AD103&amp;CHAR(10)&amp;"BOX_ST"&amp;CHAR(10)&amp;";//"&amp;$B$8,"")</f>
        <v/>
      </c>
      <c r="AJ103" t="str">
        <f>IF($W103="●",IF(LEN(AI103),AI103&amp;CHAR(10),"")&amp;";//エラーNo.を入れる"&amp;CHAR(10)&amp;";"&amp;$B$13&amp;"	:= "&amp;X103&amp;";","")</f>
        <v/>
      </c>
      <c r="AK103" t="str">
        <f>IF($W103="●",IF(LEN(AJ103),AJ103&amp;CHAR(10),"")&amp;IF(LEN(U103),";//エラーコードを入れる"&amp;CHAR(10)&amp;";"&amp;$B$14&amp;"	:= "&amp;U103&amp;".udiErr;",""),"")</f>
        <v/>
      </c>
      <c r="AL103" t="str">
        <f>IF($W103="●",IF(LEN(AK103),AK103&amp;CHAR(10),"")&amp;";//"&amp;$B$9,"")</f>
        <v/>
      </c>
    </row>
    <row r="104" spans="4:38" x14ac:dyDescent="0.55000000000000004">
      <c r="D104">
        <v>98</v>
      </c>
      <c r="M104" t="str">
        <f t="shared" si="17"/>
        <v/>
      </c>
      <c r="N104" t="str">
        <f t="shared" si="17"/>
        <v/>
      </c>
      <c r="O104" t="str">
        <f t="shared" si="17"/>
        <v/>
      </c>
      <c r="P104" t="str">
        <f t="shared" si="18"/>
        <v/>
      </c>
      <c r="Q104" t="str">
        <f t="shared" si="18"/>
        <v/>
      </c>
      <c r="R104" t="str">
        <f t="shared" si="18"/>
        <v/>
      </c>
      <c r="S104" t="str">
        <f t="shared" si="19"/>
        <v/>
      </c>
      <c r="T104" t="str">
        <f t="shared" si="20"/>
        <v/>
      </c>
      <c r="U104" t="str">
        <f t="shared" si="21"/>
        <v/>
      </c>
      <c r="W104" t="str">
        <f>IF(LEN(K104),IF(OR(COUNTIF(K104,"*◆*"),COUNTIF(K104,"*▼*")),"","●"),"")</f>
        <v/>
      </c>
      <c r="X104" t="str">
        <f t="shared" si="22"/>
        <v/>
      </c>
      <c r="Y104" t="str">
        <f>IF($W104="●","LDP "&amp;E104&amp;"."&amp;$B$12,"")</f>
        <v/>
      </c>
      <c r="Z104" t="str">
        <f>IF($W104="●","AND=.D "&amp;$B$13&amp;" #0","")</f>
        <v/>
      </c>
      <c r="AA104" t="str">
        <f>IF($W104="●","MOV.D #"&amp;X104&amp;" "&amp;$B$13,"")</f>
        <v/>
      </c>
      <c r="AB104" t="str">
        <f>IF(LEN(U104),"MOV.D "&amp;$U104&amp;" "&amp;$B$14,"")</f>
        <v/>
      </c>
      <c r="AC104" t="str">
        <f>IF(AND(D104&lt;&gt;0,W104="●"),CHAR(10),"")&amp;IF(LEN(Y104),Y104,"")</f>
        <v/>
      </c>
      <c r="AD104" t="str">
        <f t="shared" si="25"/>
        <v/>
      </c>
      <c r="AE104" t="str">
        <f t="shared" si="26"/>
        <v/>
      </c>
      <c r="AF104" t="str">
        <f t="shared" si="23"/>
        <v/>
      </c>
      <c r="AG104" t="str">
        <f t="shared" si="24"/>
        <v/>
      </c>
      <c r="AI104" t="str">
        <f>IF($W104="●",AD104&amp;CHAR(10)&amp;"BOX_ST"&amp;CHAR(10)&amp;";//"&amp;$B$8,"")</f>
        <v/>
      </c>
      <c r="AJ104" t="str">
        <f>IF($W104="●",IF(LEN(AI104),AI104&amp;CHAR(10),"")&amp;";//エラーNo.を入れる"&amp;CHAR(10)&amp;";"&amp;$B$13&amp;"	:= "&amp;X104&amp;";","")</f>
        <v/>
      </c>
      <c r="AK104" t="str">
        <f>IF($W104="●",IF(LEN(AJ104),AJ104&amp;CHAR(10),"")&amp;IF(LEN(U104),";//エラーコードを入れる"&amp;CHAR(10)&amp;";"&amp;$B$14&amp;"	:= "&amp;U104&amp;".udiErr;",""),"")</f>
        <v/>
      </c>
      <c r="AL104" t="str">
        <f>IF($W104="●",IF(LEN(AK104),AK104&amp;CHAR(10),"")&amp;";//"&amp;$B$9,"")</f>
        <v/>
      </c>
    </row>
    <row r="105" spans="4:38" x14ac:dyDescent="0.55000000000000004">
      <c r="D105">
        <v>99</v>
      </c>
      <c r="M105" t="str">
        <f t="shared" si="17"/>
        <v/>
      </c>
      <c r="N105" t="str">
        <f t="shared" si="17"/>
        <v/>
      </c>
      <c r="O105" t="str">
        <f t="shared" si="17"/>
        <v/>
      </c>
      <c r="P105" t="str">
        <f t="shared" si="18"/>
        <v/>
      </c>
      <c r="Q105" t="str">
        <f t="shared" si="18"/>
        <v/>
      </c>
      <c r="R105" t="str">
        <f t="shared" si="18"/>
        <v/>
      </c>
      <c r="S105" t="str">
        <f t="shared" si="19"/>
        <v/>
      </c>
      <c r="T105" t="str">
        <f t="shared" si="20"/>
        <v/>
      </c>
      <c r="U105" t="str">
        <f t="shared" si="21"/>
        <v/>
      </c>
      <c r="W105" t="str">
        <f>IF(LEN(K105),IF(OR(COUNTIF(K105,"*◆*"),COUNTIF(K105,"*▼*")),"","●"),"")</f>
        <v/>
      </c>
      <c r="X105" t="str">
        <f t="shared" si="22"/>
        <v/>
      </c>
      <c r="Y105" t="str">
        <f>IF($W105="●","LDP "&amp;E105&amp;"."&amp;$B$12,"")</f>
        <v/>
      </c>
      <c r="Z105" t="str">
        <f>IF($W105="●","AND=.D "&amp;$B$13&amp;" #0","")</f>
        <v/>
      </c>
      <c r="AA105" t="str">
        <f>IF($W105="●","MOV.D #"&amp;X105&amp;" "&amp;$B$13,"")</f>
        <v/>
      </c>
      <c r="AB105" t="str">
        <f>IF(LEN(U105),"MOV.D "&amp;$U105&amp;" "&amp;$B$14,"")</f>
        <v/>
      </c>
      <c r="AC105" t="str">
        <f>IF(AND(D105&lt;&gt;0,W105="●"),CHAR(10),"")&amp;IF(LEN(Y105),Y105,"")</f>
        <v/>
      </c>
      <c r="AD105" t="str">
        <f t="shared" si="25"/>
        <v/>
      </c>
      <c r="AE105" t="str">
        <f t="shared" si="26"/>
        <v/>
      </c>
      <c r="AF105" t="str">
        <f t="shared" si="23"/>
        <v/>
      </c>
      <c r="AG105" t="str">
        <f t="shared" si="24"/>
        <v/>
      </c>
      <c r="AI105" t="str">
        <f>IF($W105="●",AD105&amp;CHAR(10)&amp;"BOX_ST"&amp;CHAR(10)&amp;";//"&amp;$B$8,"")</f>
        <v/>
      </c>
      <c r="AJ105" t="str">
        <f>IF($W105="●",IF(LEN(AI105),AI105&amp;CHAR(10),"")&amp;";//エラーNo.を入れる"&amp;CHAR(10)&amp;";"&amp;$B$13&amp;"	:= "&amp;X105&amp;";","")</f>
        <v/>
      </c>
      <c r="AK105" t="str">
        <f>IF($W105="●",IF(LEN(AJ105),AJ105&amp;CHAR(10),"")&amp;IF(LEN(U105),";//エラーコードを入れる"&amp;CHAR(10)&amp;";"&amp;$B$14&amp;"	:= "&amp;U105&amp;".udiErr;",""),"")</f>
        <v/>
      </c>
      <c r="AL105" t="str">
        <f>IF($W105="●",IF(LEN(AK105),AK105&amp;CHAR(10),"")&amp;";//"&amp;$B$9,"")</f>
        <v/>
      </c>
    </row>
    <row r="107" spans="4:38" x14ac:dyDescent="0.55000000000000004">
      <c r="AG107" t="str">
        <f>_xlfn.CONCAT(AG6:AG105)</f>
        <v xml:space="preserve">
LDP stEx101.x2
AND=.D stM.udiErrNo #0
MOV.D #2001 stM.udiErrNo
MOV.D stDevIn.astCYL[6] stM.udiErr
LDP stEx107.x2
AND=.D stM.udiErrNo #0
MOV.D #2007 stM.udiErrNo
MOV.D stDevIn.astCYL[18] stM.udiErr
LDP stEx103.x2
AND=.D stM.udiErrNo #0
MOV.D #2003 stM.udiErrNo
MOV.D stDevIn.astCYL[10] stM.udiErr
LDP stEx104.x2
AND=.D stM.udiErrNo #0
MOV.D #2004 stM.udiErrNo
MOV.D stDevIn.astCYL[11] stM.udiErr
LDP stEx105.x2
AND=.D stM.udiErrNo #0
MOV.D #2005 stM.udiErrNo
MOV.D stDevIn.astCYL[3] stM.udiErr
LDP stEx106.x2
AND=.D stM.udiErrNo #0
MOV.D #2006 stM.udiErrNo
</v>
      </c>
      <c r="AL107" t="str">
        <f ca="1">_xlfn.CONCAT(AL6:AL105)</f>
        <v xml:space="preserve">
LDP stEx101.x2
AND=.D stM.udiErrNo #0
BOX_ST
;//このスクリプトは C:\tk\prj\hg-0025-0016\git\kv-x520\doc\[設定値と周長誤差.xlsx]Sheet1 によって生成されました。
;//エラーNo.を入れる
;stM.udiErrNo	:= 2001;
;//エラーコードを入れる
;stM.udiErr	:= stDevIn.astCYL[6].udiErr;
;//-----ここまで生成script-----
LDP stEx107.x2
AND=.D stM.udiErrNo #0
BOX_ST
;//このスクリプトは C:\tk\prj\hg-0025-0016\git\kv-x520\doc\[設定値と周長誤差.xlsx]Sheet1 によって生成されました。
;//エラーNo.を入れる
;stM.udiErrNo	:= 2007;
;//エラーコードを入れる
;stM.udiErr	:= stDevIn.astCYL[18].udiErr;
;//-----ここまで生成script-----
LDP stEx103.x2
AND=.D stM.udiErrNo #0
BOX_ST
;//このスクリプトは C:\tk\prj\hg-0025-0016\git\kv-x520\doc\[設定値と周長誤差.xlsx]Sheet1 によって生成されました。
;//エラーNo.を入れる
;stM.udiErrNo	:= 2003;
;//エラーコードを入れる
;stM.udiErr	:= stDevIn.astCYL[10].udiErr;
;//-----ここまで生成script-----
LDP stEx104.x2
AND=.D stM.udiErrNo #0
BOX_ST
;//このスクリプトは C:\tk\prj\hg-0025-0016\git\kv-x520\doc\[設定値と周長誤差.xlsx]Sheet1 によって生成されました。
;//エラーNo.を入れる
;stM.udiErrNo	:= 2004;
;//エラーコードを入れる
;stM.udiErr	:= stDevIn.astCYL[11].udiErr;
;//-----ここまで生成script-----
LDP stEx105.x2
AND=.D stM.udiErrNo #0
BOX_ST
;//このスクリプトは C:\tk\prj\hg-0025-0016\git\kv-x520\doc\[設定値と周長誤差.xlsx]Sheet1 によって生成されました。
;//エラーNo.を入れる
;stM.udiErrNo	:= 2005;
;//エラーコードを入れる
;stM.udiErr	:= stDevIn.astCYL[3].udiErr;
;//-----ここまで生成script-----
LDP stEx106.x2
AND=.D stM.udiErrNo #0
BOX_ST
;//このスクリプトは C:\tk\prj\hg-0025-0016\git\kv-x520\doc\[設定値と周長誤差.xlsx]Sheet1 によって生成されました。
;//エラーNo.を入れる
;stM.udiErrNo	:= 2006;
;//-----ここまで生成script-----</v>
      </c>
    </row>
  </sheetData>
  <autoFilter ref="AG1:AG107" xr:uid="{072FD0F4-3707-4FCC-9D10-2DD76A7D546A}"/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2026-01-06T23:36:54Z</dcterms:created>
  <dcterms:modified xsi:type="dcterms:W3CDTF">2026-01-28T08:39:05Z</dcterms:modified>
</cp:coreProperties>
</file>