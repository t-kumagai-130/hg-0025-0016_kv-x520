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6D12FEC8-7B07-46F1-9126-02223BEFA832}" xr6:coauthVersionLast="47" xr6:coauthVersionMax="47" xr10:uidLastSave="{00000000-0000-0000-0000-000000000000}"/>
  <bookViews>
    <workbookView xWindow="-110" yWindow="-110" windowWidth="38620" windowHeight="21100" xr2:uid="{AD60251E-E67F-4F92-A6A0-C1D334A3EF53}"/>
  </bookViews>
  <sheets>
    <sheet name="Sheet6" sheetId="1" r:id="rId1"/>
  </sheets>
  <definedNames>
    <definedName name="_xlnm._FilterDatabase" localSheetId="0" hidden="1">Sheet6!$AH$1:$AH$107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05" i="1" l="1"/>
  <c r="AL105" i="1"/>
  <c r="AM104" i="1"/>
  <c r="AL104" i="1"/>
  <c r="AM103" i="1"/>
  <c r="AL103" i="1"/>
  <c r="AM102" i="1"/>
  <c r="AL102" i="1"/>
  <c r="AM101" i="1"/>
  <c r="AL101" i="1"/>
  <c r="AM100" i="1"/>
  <c r="AL100" i="1"/>
  <c r="AM99" i="1"/>
  <c r="AL99" i="1"/>
  <c r="AM98" i="1"/>
  <c r="AL98" i="1"/>
  <c r="AM97" i="1"/>
  <c r="AL97" i="1"/>
  <c r="AM96" i="1"/>
  <c r="AL96" i="1"/>
  <c r="AM95" i="1"/>
  <c r="AL95" i="1"/>
  <c r="AM94" i="1"/>
  <c r="AL94" i="1"/>
  <c r="AM93" i="1"/>
  <c r="AL93" i="1"/>
  <c r="AM92" i="1"/>
  <c r="AL92" i="1"/>
  <c r="AM91" i="1"/>
  <c r="AL91" i="1"/>
  <c r="AM90" i="1"/>
  <c r="AL90" i="1"/>
  <c r="AM89" i="1"/>
  <c r="AL89" i="1"/>
  <c r="AM88" i="1"/>
  <c r="AL88" i="1"/>
  <c r="AM87" i="1"/>
  <c r="AL87" i="1"/>
  <c r="AM86" i="1"/>
  <c r="AL86" i="1"/>
  <c r="AM85" i="1"/>
  <c r="AL85" i="1"/>
  <c r="AM84" i="1"/>
  <c r="AL84" i="1"/>
  <c r="AM83" i="1"/>
  <c r="AL83" i="1"/>
  <c r="AM82" i="1"/>
  <c r="AL82" i="1"/>
  <c r="AM81" i="1"/>
  <c r="AL81" i="1"/>
  <c r="AM80" i="1"/>
  <c r="AL80" i="1"/>
  <c r="AM79" i="1"/>
  <c r="AL79" i="1"/>
  <c r="AM78" i="1"/>
  <c r="AL78" i="1"/>
  <c r="AM77" i="1"/>
  <c r="AL77" i="1"/>
  <c r="AM76" i="1"/>
  <c r="AL76" i="1"/>
  <c r="AM75" i="1"/>
  <c r="AL75" i="1"/>
  <c r="AM74" i="1"/>
  <c r="AL74" i="1"/>
  <c r="AM73" i="1"/>
  <c r="AL73" i="1"/>
  <c r="AM72" i="1"/>
  <c r="AL72" i="1"/>
  <c r="AM71" i="1"/>
  <c r="AL71" i="1"/>
  <c r="AM70" i="1"/>
  <c r="AL70" i="1"/>
  <c r="AM69" i="1"/>
  <c r="AL69" i="1"/>
  <c r="AM68" i="1"/>
  <c r="AL68" i="1"/>
  <c r="AM67" i="1"/>
  <c r="AL67" i="1"/>
  <c r="AM66" i="1"/>
  <c r="AL66" i="1"/>
  <c r="AM65" i="1"/>
  <c r="AL65" i="1"/>
  <c r="AM64" i="1"/>
  <c r="AL64" i="1"/>
  <c r="AM63" i="1"/>
  <c r="AL63" i="1"/>
  <c r="AM62" i="1"/>
  <c r="AL62" i="1"/>
  <c r="AM61" i="1"/>
  <c r="AL61" i="1"/>
  <c r="AM60" i="1"/>
  <c r="AL60" i="1"/>
  <c r="AM59" i="1"/>
  <c r="AL59" i="1"/>
  <c r="AM58" i="1"/>
  <c r="AL58" i="1"/>
  <c r="AM57" i="1"/>
  <c r="AL57" i="1"/>
  <c r="AM56" i="1"/>
  <c r="AL56" i="1"/>
  <c r="AM55" i="1"/>
  <c r="AL55" i="1"/>
  <c r="AM54" i="1"/>
  <c r="AL54" i="1"/>
  <c r="AM53" i="1"/>
  <c r="AL53" i="1"/>
  <c r="AM52" i="1"/>
  <c r="AL52" i="1"/>
  <c r="AM51" i="1"/>
  <c r="AL51" i="1"/>
  <c r="AM50" i="1"/>
  <c r="AL50" i="1"/>
  <c r="AM49" i="1"/>
  <c r="AL49" i="1"/>
  <c r="AM48" i="1"/>
  <c r="AL48" i="1"/>
  <c r="AM47" i="1"/>
  <c r="AL47" i="1"/>
  <c r="AM46" i="1"/>
  <c r="AL46" i="1"/>
  <c r="AM45" i="1"/>
  <c r="AL45" i="1"/>
  <c r="AM44" i="1"/>
  <c r="AL44" i="1"/>
  <c r="AM43" i="1"/>
  <c r="AL43" i="1"/>
  <c r="AM42" i="1"/>
  <c r="AL42" i="1"/>
  <c r="AM41" i="1"/>
  <c r="AL41" i="1"/>
  <c r="AM40" i="1"/>
  <c r="AL40" i="1"/>
  <c r="AM39" i="1"/>
  <c r="AL39" i="1"/>
  <c r="AM38" i="1"/>
  <c r="AL38" i="1"/>
  <c r="AM37" i="1"/>
  <c r="AL37" i="1"/>
  <c r="AM36" i="1"/>
  <c r="AL36" i="1"/>
  <c r="AM35" i="1"/>
  <c r="AL35" i="1"/>
  <c r="AM34" i="1"/>
  <c r="AL34" i="1"/>
  <c r="AM33" i="1"/>
  <c r="AL33" i="1"/>
  <c r="AM32" i="1"/>
  <c r="AL32" i="1"/>
  <c r="AM31" i="1"/>
  <c r="AL31" i="1"/>
  <c r="AM30" i="1"/>
  <c r="AL30" i="1"/>
  <c r="AM29" i="1"/>
  <c r="AL29" i="1"/>
  <c r="AM28" i="1"/>
  <c r="AL28" i="1"/>
  <c r="AM27" i="1"/>
  <c r="AL27" i="1"/>
  <c r="AM26" i="1"/>
  <c r="AL26" i="1"/>
  <c r="AM25" i="1"/>
  <c r="AL25" i="1"/>
  <c r="AM24" i="1"/>
  <c r="AL24" i="1"/>
  <c r="AM23" i="1"/>
  <c r="AL23" i="1"/>
  <c r="AM22" i="1"/>
  <c r="AL22" i="1"/>
  <c r="AM21" i="1"/>
  <c r="AL21" i="1"/>
  <c r="AM20" i="1"/>
  <c r="AL20" i="1"/>
  <c r="AM19" i="1"/>
  <c r="AL19" i="1"/>
  <c r="AM18" i="1"/>
  <c r="AL18" i="1"/>
  <c r="AM17" i="1"/>
  <c r="AL17" i="1"/>
  <c r="AM16" i="1"/>
  <c r="AL16" i="1"/>
  <c r="AM15" i="1"/>
  <c r="AL15" i="1"/>
  <c r="AM13" i="1"/>
  <c r="AL13" i="1"/>
  <c r="AM12" i="1"/>
  <c r="AL12" i="1"/>
  <c r="AM9" i="1"/>
  <c r="AL9" i="1"/>
  <c r="N105" i="1"/>
  <c r="N104" i="1"/>
  <c r="N103" i="1"/>
  <c r="N102" i="1"/>
  <c r="N101" i="1"/>
  <c r="N100" i="1"/>
  <c r="N99" i="1"/>
  <c r="N98" i="1"/>
  <c r="S98" i="1" s="1"/>
  <c r="N97" i="1"/>
  <c r="N96" i="1"/>
  <c r="N95" i="1"/>
  <c r="N94" i="1"/>
  <c r="N93" i="1"/>
  <c r="N92" i="1"/>
  <c r="N91" i="1"/>
  <c r="N90" i="1"/>
  <c r="R90" i="1" s="1"/>
  <c r="N89" i="1"/>
  <c r="N88" i="1"/>
  <c r="N87" i="1"/>
  <c r="N86" i="1"/>
  <c r="N85" i="1"/>
  <c r="N84" i="1"/>
  <c r="N83" i="1"/>
  <c r="N82" i="1"/>
  <c r="S82" i="1" s="1"/>
  <c r="N81" i="1"/>
  <c r="N80" i="1"/>
  <c r="N79" i="1"/>
  <c r="N78" i="1"/>
  <c r="N77" i="1"/>
  <c r="N76" i="1"/>
  <c r="N75" i="1"/>
  <c r="N74" i="1"/>
  <c r="R74" i="1" s="1"/>
  <c r="N73" i="1"/>
  <c r="N72" i="1"/>
  <c r="N71" i="1"/>
  <c r="N70" i="1"/>
  <c r="N69" i="1"/>
  <c r="N68" i="1"/>
  <c r="N67" i="1"/>
  <c r="N66" i="1"/>
  <c r="S66" i="1" s="1"/>
  <c r="N65" i="1"/>
  <c r="N64" i="1"/>
  <c r="N63" i="1"/>
  <c r="N62" i="1"/>
  <c r="N61" i="1"/>
  <c r="N60" i="1"/>
  <c r="N59" i="1"/>
  <c r="N58" i="1"/>
  <c r="S58" i="1" s="1"/>
  <c r="N57" i="1"/>
  <c r="N56" i="1"/>
  <c r="N55" i="1"/>
  <c r="N54" i="1"/>
  <c r="N53" i="1"/>
  <c r="N52" i="1"/>
  <c r="R52" i="1" s="1"/>
  <c r="N51" i="1"/>
  <c r="N50" i="1"/>
  <c r="S50" i="1" s="1"/>
  <c r="N49" i="1"/>
  <c r="N48" i="1"/>
  <c r="N47" i="1"/>
  <c r="N46" i="1"/>
  <c r="N45" i="1"/>
  <c r="N44" i="1"/>
  <c r="R44" i="1" s="1"/>
  <c r="N43" i="1"/>
  <c r="S43" i="1" s="1"/>
  <c r="N42" i="1"/>
  <c r="S42" i="1" s="1"/>
  <c r="N41" i="1"/>
  <c r="N40" i="1"/>
  <c r="N39" i="1"/>
  <c r="N38" i="1"/>
  <c r="N37" i="1"/>
  <c r="N36" i="1"/>
  <c r="R36" i="1" s="1"/>
  <c r="N35" i="1"/>
  <c r="S35" i="1" s="1"/>
  <c r="N34" i="1"/>
  <c r="S34" i="1" s="1"/>
  <c r="N33" i="1"/>
  <c r="N32" i="1"/>
  <c r="N31" i="1"/>
  <c r="N30" i="1"/>
  <c r="N29" i="1"/>
  <c r="N28" i="1"/>
  <c r="R28" i="1" s="1"/>
  <c r="N27" i="1"/>
  <c r="S27" i="1" s="1"/>
  <c r="N26" i="1"/>
  <c r="S26" i="1" s="1"/>
  <c r="N25" i="1"/>
  <c r="N24" i="1"/>
  <c r="N23" i="1"/>
  <c r="N22" i="1"/>
  <c r="N21" i="1"/>
  <c r="N20" i="1"/>
  <c r="R20" i="1" s="1"/>
  <c r="N19" i="1"/>
  <c r="S19" i="1" s="1"/>
  <c r="N18" i="1"/>
  <c r="S18" i="1" s="1"/>
  <c r="N17" i="1"/>
  <c r="N16" i="1"/>
  <c r="N15" i="1"/>
  <c r="N14" i="1"/>
  <c r="N13" i="1"/>
  <c r="N12" i="1"/>
  <c r="Q12" i="1" s="1"/>
  <c r="N11" i="1"/>
  <c r="N10" i="1"/>
  <c r="S10" i="1" s="1"/>
  <c r="N9" i="1"/>
  <c r="N8" i="1"/>
  <c r="N7" i="1"/>
  <c r="N6" i="1"/>
  <c r="R6" i="1" s="1"/>
  <c r="Q103" i="1"/>
  <c r="S101" i="1"/>
  <c r="R98" i="1"/>
  <c r="Q95" i="1"/>
  <c r="S93" i="1"/>
  <c r="Q87" i="1"/>
  <c r="S85" i="1"/>
  <c r="R82" i="1"/>
  <c r="Q79" i="1"/>
  <c r="S77" i="1"/>
  <c r="Q71" i="1"/>
  <c r="S69" i="1"/>
  <c r="R66" i="1"/>
  <c r="Q63" i="1"/>
  <c r="S61" i="1"/>
  <c r="O105" i="1"/>
  <c r="T105" i="1" s="1"/>
  <c r="O104" i="1"/>
  <c r="T104" i="1" s="1"/>
  <c r="O103" i="1"/>
  <c r="T103" i="1" s="1"/>
  <c r="O102" i="1"/>
  <c r="T102" i="1" s="1"/>
  <c r="O101" i="1"/>
  <c r="T101" i="1" s="1"/>
  <c r="O100" i="1"/>
  <c r="T100" i="1" s="1"/>
  <c r="O99" i="1"/>
  <c r="T99" i="1" s="1"/>
  <c r="O98" i="1"/>
  <c r="T98" i="1" s="1"/>
  <c r="O97" i="1"/>
  <c r="T97" i="1" s="1"/>
  <c r="O96" i="1"/>
  <c r="T96" i="1" s="1"/>
  <c r="O95" i="1"/>
  <c r="T95" i="1" s="1"/>
  <c r="O94" i="1"/>
  <c r="T94" i="1" s="1"/>
  <c r="O93" i="1"/>
  <c r="T93" i="1" s="1"/>
  <c r="O92" i="1"/>
  <c r="T92" i="1" s="1"/>
  <c r="O91" i="1"/>
  <c r="T91" i="1" s="1"/>
  <c r="O90" i="1"/>
  <c r="T90" i="1" s="1"/>
  <c r="O89" i="1"/>
  <c r="T89" i="1" s="1"/>
  <c r="O88" i="1"/>
  <c r="T88" i="1" s="1"/>
  <c r="O87" i="1"/>
  <c r="T87" i="1" s="1"/>
  <c r="O86" i="1"/>
  <c r="T86" i="1" s="1"/>
  <c r="O85" i="1"/>
  <c r="T85" i="1" s="1"/>
  <c r="O84" i="1"/>
  <c r="T84" i="1" s="1"/>
  <c r="O83" i="1"/>
  <c r="T83" i="1" s="1"/>
  <c r="O82" i="1"/>
  <c r="T82" i="1" s="1"/>
  <c r="O81" i="1"/>
  <c r="T81" i="1" s="1"/>
  <c r="O80" i="1"/>
  <c r="T80" i="1" s="1"/>
  <c r="O79" i="1"/>
  <c r="T79" i="1" s="1"/>
  <c r="O78" i="1"/>
  <c r="T78" i="1" s="1"/>
  <c r="O77" i="1"/>
  <c r="T77" i="1" s="1"/>
  <c r="O76" i="1"/>
  <c r="T76" i="1" s="1"/>
  <c r="O75" i="1"/>
  <c r="T75" i="1" s="1"/>
  <c r="O74" i="1"/>
  <c r="T74" i="1" s="1"/>
  <c r="O73" i="1"/>
  <c r="T73" i="1" s="1"/>
  <c r="O72" i="1"/>
  <c r="T72" i="1" s="1"/>
  <c r="O71" i="1"/>
  <c r="T71" i="1" s="1"/>
  <c r="O70" i="1"/>
  <c r="T70" i="1" s="1"/>
  <c r="O69" i="1"/>
  <c r="T69" i="1" s="1"/>
  <c r="O68" i="1"/>
  <c r="T68" i="1" s="1"/>
  <c r="O67" i="1"/>
  <c r="T67" i="1" s="1"/>
  <c r="O66" i="1"/>
  <c r="T66" i="1" s="1"/>
  <c r="O65" i="1"/>
  <c r="T65" i="1" s="1"/>
  <c r="O64" i="1"/>
  <c r="T64" i="1" s="1"/>
  <c r="O63" i="1"/>
  <c r="T63" i="1" s="1"/>
  <c r="O62" i="1"/>
  <c r="T62" i="1" s="1"/>
  <c r="O61" i="1"/>
  <c r="T61" i="1" s="1"/>
  <c r="O60" i="1"/>
  <c r="T60" i="1" s="1"/>
  <c r="O59" i="1"/>
  <c r="T59" i="1" s="1"/>
  <c r="O58" i="1"/>
  <c r="T58" i="1" s="1"/>
  <c r="O57" i="1"/>
  <c r="T57" i="1" s="1"/>
  <c r="O56" i="1"/>
  <c r="T56" i="1" s="1"/>
  <c r="O55" i="1"/>
  <c r="T55" i="1" s="1"/>
  <c r="O54" i="1"/>
  <c r="T54" i="1" s="1"/>
  <c r="O53" i="1"/>
  <c r="T53" i="1" s="1"/>
  <c r="O52" i="1"/>
  <c r="T52" i="1" s="1"/>
  <c r="O51" i="1"/>
  <c r="T51" i="1" s="1"/>
  <c r="O50" i="1"/>
  <c r="T50" i="1" s="1"/>
  <c r="O49" i="1"/>
  <c r="T49" i="1" s="1"/>
  <c r="O48" i="1"/>
  <c r="T48" i="1" s="1"/>
  <c r="O47" i="1"/>
  <c r="T47" i="1" s="1"/>
  <c r="O46" i="1"/>
  <c r="T46" i="1" s="1"/>
  <c r="O45" i="1"/>
  <c r="T45" i="1" s="1"/>
  <c r="O44" i="1"/>
  <c r="T44" i="1" s="1"/>
  <c r="O43" i="1"/>
  <c r="T43" i="1" s="1"/>
  <c r="O42" i="1"/>
  <c r="T42" i="1" s="1"/>
  <c r="O41" i="1"/>
  <c r="T41" i="1" s="1"/>
  <c r="O40" i="1"/>
  <c r="T40" i="1" s="1"/>
  <c r="O39" i="1"/>
  <c r="T39" i="1" s="1"/>
  <c r="O38" i="1"/>
  <c r="T38" i="1" s="1"/>
  <c r="O37" i="1"/>
  <c r="T37" i="1" s="1"/>
  <c r="O36" i="1"/>
  <c r="T36" i="1" s="1"/>
  <c r="O35" i="1"/>
  <c r="T35" i="1" s="1"/>
  <c r="O34" i="1"/>
  <c r="T34" i="1" s="1"/>
  <c r="O33" i="1"/>
  <c r="T33" i="1" s="1"/>
  <c r="O32" i="1"/>
  <c r="T32" i="1" s="1"/>
  <c r="O31" i="1"/>
  <c r="T31" i="1" s="1"/>
  <c r="O30" i="1"/>
  <c r="T30" i="1" s="1"/>
  <c r="O29" i="1"/>
  <c r="T29" i="1" s="1"/>
  <c r="O28" i="1"/>
  <c r="T28" i="1" s="1"/>
  <c r="O27" i="1"/>
  <c r="T27" i="1" s="1"/>
  <c r="O26" i="1"/>
  <c r="T26" i="1" s="1"/>
  <c r="O25" i="1"/>
  <c r="T25" i="1" s="1"/>
  <c r="O24" i="1"/>
  <c r="T24" i="1" s="1"/>
  <c r="O23" i="1"/>
  <c r="T23" i="1" s="1"/>
  <c r="O22" i="1"/>
  <c r="T22" i="1" s="1"/>
  <c r="O21" i="1"/>
  <c r="T21" i="1" s="1"/>
  <c r="O20" i="1"/>
  <c r="T20" i="1" s="1"/>
  <c r="O19" i="1"/>
  <c r="T19" i="1" s="1"/>
  <c r="O18" i="1"/>
  <c r="T18" i="1" s="1"/>
  <c r="O17" i="1"/>
  <c r="T17" i="1" s="1"/>
  <c r="O16" i="1"/>
  <c r="T16" i="1" s="1"/>
  <c r="O15" i="1"/>
  <c r="T15" i="1" s="1"/>
  <c r="O14" i="1"/>
  <c r="T14" i="1" s="1"/>
  <c r="O13" i="1"/>
  <c r="T13" i="1" s="1"/>
  <c r="O12" i="1"/>
  <c r="O11" i="1"/>
  <c r="O10" i="1"/>
  <c r="O9" i="1"/>
  <c r="T9" i="1" s="1"/>
  <c r="O8" i="1"/>
  <c r="O7" i="1"/>
  <c r="O6" i="1"/>
  <c r="T6" i="1" s="1"/>
  <c r="Q5" i="1"/>
  <c r="R5" i="1"/>
  <c r="S5" i="1"/>
  <c r="T5" i="1"/>
  <c r="P6" i="1"/>
  <c r="U6" i="1" s="1"/>
  <c r="R7" i="1"/>
  <c r="P7" i="1"/>
  <c r="U7" i="1" s="1"/>
  <c r="Q8" i="1"/>
  <c r="P8" i="1"/>
  <c r="U8" i="1" s="1"/>
  <c r="S9" i="1"/>
  <c r="P9" i="1"/>
  <c r="U9" i="1" s="1"/>
  <c r="P10" i="1"/>
  <c r="U10" i="1" s="1"/>
  <c r="S11" i="1"/>
  <c r="P11" i="1"/>
  <c r="U11" i="1" s="1"/>
  <c r="P12" i="1"/>
  <c r="U12" i="1" s="1"/>
  <c r="S13" i="1"/>
  <c r="P13" i="1"/>
  <c r="U13" i="1" s="1"/>
  <c r="S14" i="1"/>
  <c r="P14" i="1"/>
  <c r="U14" i="1" s="1"/>
  <c r="S15" i="1"/>
  <c r="P15" i="1"/>
  <c r="U15" i="1" s="1"/>
  <c r="S16" i="1"/>
  <c r="P16" i="1"/>
  <c r="U16" i="1" s="1"/>
  <c r="Q17" i="1"/>
  <c r="P17" i="1"/>
  <c r="U17" i="1" s="1"/>
  <c r="P18" i="1"/>
  <c r="U18" i="1" s="1"/>
  <c r="P19" i="1"/>
  <c r="U19" i="1" s="1"/>
  <c r="P20" i="1"/>
  <c r="U20" i="1" s="1"/>
  <c r="S21" i="1"/>
  <c r="P21" i="1"/>
  <c r="U21" i="1" s="1"/>
  <c r="S22" i="1"/>
  <c r="P22" i="1"/>
  <c r="U22" i="1" s="1"/>
  <c r="S23" i="1"/>
  <c r="P23" i="1"/>
  <c r="U23" i="1" s="1"/>
  <c r="S24" i="1"/>
  <c r="P24" i="1"/>
  <c r="U24" i="1" s="1"/>
  <c r="Q25" i="1"/>
  <c r="P25" i="1"/>
  <c r="U25" i="1" s="1"/>
  <c r="P26" i="1"/>
  <c r="U26" i="1" s="1"/>
  <c r="P27" i="1"/>
  <c r="U27" i="1" s="1"/>
  <c r="P28" i="1"/>
  <c r="U28" i="1" s="1"/>
  <c r="S29" i="1"/>
  <c r="P29" i="1"/>
  <c r="U29" i="1" s="1"/>
  <c r="S30" i="1"/>
  <c r="P30" i="1"/>
  <c r="U30" i="1" s="1"/>
  <c r="S31" i="1"/>
  <c r="P31" i="1"/>
  <c r="U31" i="1" s="1"/>
  <c r="S32" i="1"/>
  <c r="P32" i="1"/>
  <c r="U32" i="1" s="1"/>
  <c r="Q33" i="1"/>
  <c r="P33" i="1"/>
  <c r="U33" i="1" s="1"/>
  <c r="P34" i="1"/>
  <c r="U34" i="1" s="1"/>
  <c r="P35" i="1"/>
  <c r="U35" i="1" s="1"/>
  <c r="P36" i="1"/>
  <c r="U36" i="1" s="1"/>
  <c r="S37" i="1"/>
  <c r="P37" i="1"/>
  <c r="U37" i="1" s="1"/>
  <c r="S38" i="1"/>
  <c r="P38" i="1"/>
  <c r="U38" i="1" s="1"/>
  <c r="S39" i="1"/>
  <c r="P39" i="1"/>
  <c r="U39" i="1" s="1"/>
  <c r="S40" i="1"/>
  <c r="P40" i="1"/>
  <c r="U40" i="1" s="1"/>
  <c r="Q41" i="1"/>
  <c r="P41" i="1"/>
  <c r="U41" i="1" s="1"/>
  <c r="P42" i="1"/>
  <c r="U42" i="1" s="1"/>
  <c r="P43" i="1"/>
  <c r="U43" i="1" s="1"/>
  <c r="P44" i="1"/>
  <c r="U44" i="1" s="1"/>
  <c r="S45" i="1"/>
  <c r="P45" i="1"/>
  <c r="U45" i="1" s="1"/>
  <c r="S46" i="1"/>
  <c r="P46" i="1"/>
  <c r="U46" i="1" s="1"/>
  <c r="S47" i="1"/>
  <c r="P47" i="1"/>
  <c r="U47" i="1" s="1"/>
  <c r="S48" i="1"/>
  <c r="P48" i="1"/>
  <c r="U48" i="1" s="1"/>
  <c r="Q49" i="1"/>
  <c r="P49" i="1"/>
  <c r="U49" i="1" s="1"/>
  <c r="P50" i="1"/>
  <c r="U50" i="1" s="1"/>
  <c r="S51" i="1"/>
  <c r="P51" i="1"/>
  <c r="U51" i="1" s="1"/>
  <c r="P52" i="1"/>
  <c r="U52" i="1" s="1"/>
  <c r="S53" i="1"/>
  <c r="P53" i="1"/>
  <c r="U53" i="1" s="1"/>
  <c r="S54" i="1"/>
  <c r="P54" i="1"/>
  <c r="U54" i="1" s="1"/>
  <c r="S55" i="1"/>
  <c r="P55" i="1"/>
  <c r="U55" i="1" s="1"/>
  <c r="S56" i="1"/>
  <c r="P56" i="1"/>
  <c r="U56" i="1" s="1"/>
  <c r="Q57" i="1"/>
  <c r="P57" i="1"/>
  <c r="U57" i="1" s="1"/>
  <c r="P58" i="1"/>
  <c r="U58" i="1" s="1"/>
  <c r="R59" i="1"/>
  <c r="P59" i="1"/>
  <c r="U59" i="1" s="1"/>
  <c r="S60" i="1"/>
  <c r="P60" i="1"/>
  <c r="U60" i="1" s="1"/>
  <c r="R61" i="1"/>
  <c r="P61" i="1"/>
  <c r="U61" i="1" s="1"/>
  <c r="S62" i="1"/>
  <c r="P62" i="1"/>
  <c r="U62" i="1" s="1"/>
  <c r="S63" i="1"/>
  <c r="P63" i="1"/>
  <c r="U63" i="1" s="1"/>
  <c r="Q64" i="1"/>
  <c r="P64" i="1"/>
  <c r="U64" i="1" s="1"/>
  <c r="S65" i="1"/>
  <c r="P65" i="1"/>
  <c r="U65" i="1" s="1"/>
  <c r="P66" i="1"/>
  <c r="U66" i="1" s="1"/>
  <c r="R67" i="1"/>
  <c r="P67" i="1"/>
  <c r="U67" i="1" s="1"/>
  <c r="S68" i="1"/>
  <c r="P68" i="1"/>
  <c r="U68" i="1" s="1"/>
  <c r="R69" i="1"/>
  <c r="P69" i="1"/>
  <c r="U69" i="1" s="1"/>
  <c r="S70" i="1"/>
  <c r="P70" i="1"/>
  <c r="U70" i="1" s="1"/>
  <c r="S71" i="1"/>
  <c r="P71" i="1"/>
  <c r="U71" i="1" s="1"/>
  <c r="Q72" i="1"/>
  <c r="P72" i="1"/>
  <c r="U72" i="1" s="1"/>
  <c r="S73" i="1"/>
  <c r="P73" i="1"/>
  <c r="U73" i="1" s="1"/>
  <c r="P74" i="1"/>
  <c r="U74" i="1" s="1"/>
  <c r="R75" i="1"/>
  <c r="P75" i="1"/>
  <c r="U75" i="1" s="1"/>
  <c r="S76" i="1"/>
  <c r="P76" i="1"/>
  <c r="U76" i="1" s="1"/>
  <c r="R77" i="1"/>
  <c r="P77" i="1"/>
  <c r="U77" i="1" s="1"/>
  <c r="S78" i="1"/>
  <c r="P78" i="1"/>
  <c r="U78" i="1" s="1"/>
  <c r="S79" i="1"/>
  <c r="P79" i="1"/>
  <c r="U79" i="1" s="1"/>
  <c r="Q80" i="1"/>
  <c r="P80" i="1"/>
  <c r="U80" i="1" s="1"/>
  <c r="S81" i="1"/>
  <c r="P81" i="1"/>
  <c r="U81" i="1" s="1"/>
  <c r="P82" i="1"/>
  <c r="U82" i="1" s="1"/>
  <c r="R83" i="1"/>
  <c r="P83" i="1"/>
  <c r="U83" i="1" s="1"/>
  <c r="S84" i="1"/>
  <c r="P84" i="1"/>
  <c r="U84" i="1" s="1"/>
  <c r="R85" i="1"/>
  <c r="P85" i="1"/>
  <c r="U85" i="1" s="1"/>
  <c r="S86" i="1"/>
  <c r="P86" i="1"/>
  <c r="U86" i="1" s="1"/>
  <c r="S87" i="1"/>
  <c r="P87" i="1"/>
  <c r="U87" i="1" s="1"/>
  <c r="Q88" i="1"/>
  <c r="P88" i="1"/>
  <c r="U88" i="1" s="1"/>
  <c r="S89" i="1"/>
  <c r="P89" i="1"/>
  <c r="U89" i="1" s="1"/>
  <c r="P90" i="1"/>
  <c r="U90" i="1" s="1"/>
  <c r="R91" i="1"/>
  <c r="P91" i="1"/>
  <c r="U91" i="1" s="1"/>
  <c r="S92" i="1"/>
  <c r="P92" i="1"/>
  <c r="U92" i="1" s="1"/>
  <c r="R93" i="1"/>
  <c r="P93" i="1"/>
  <c r="U93" i="1" s="1"/>
  <c r="S94" i="1"/>
  <c r="P94" i="1"/>
  <c r="U94" i="1" s="1"/>
  <c r="S95" i="1"/>
  <c r="P95" i="1"/>
  <c r="U95" i="1" s="1"/>
  <c r="Q96" i="1"/>
  <c r="P96" i="1"/>
  <c r="U96" i="1" s="1"/>
  <c r="S97" i="1"/>
  <c r="P97" i="1"/>
  <c r="U97" i="1" s="1"/>
  <c r="P98" i="1"/>
  <c r="U98" i="1" s="1"/>
  <c r="R99" i="1"/>
  <c r="P99" i="1"/>
  <c r="U99" i="1" s="1"/>
  <c r="S100" i="1"/>
  <c r="P100" i="1"/>
  <c r="U100" i="1" s="1"/>
  <c r="R101" i="1"/>
  <c r="P101" i="1"/>
  <c r="U101" i="1" s="1"/>
  <c r="S102" i="1"/>
  <c r="P102" i="1"/>
  <c r="U102" i="1" s="1"/>
  <c r="S103" i="1"/>
  <c r="P103" i="1"/>
  <c r="U103" i="1" s="1"/>
  <c r="Q104" i="1"/>
  <c r="P104" i="1"/>
  <c r="U104" i="1" s="1"/>
  <c r="S105" i="1"/>
  <c r="P105" i="1"/>
  <c r="U105" i="1" s="1"/>
  <c r="B6" i="1" a="1"/>
  <c r="B6" i="1" s="1"/>
  <c r="B8" i="1" s="1"/>
  <c r="S90" i="1" l="1"/>
  <c r="S74" i="1"/>
  <c r="T12" i="1"/>
  <c r="S59" i="1"/>
  <c r="Q61" i="1"/>
  <c r="R64" i="1"/>
  <c r="V64" i="1" s="1"/>
  <c r="AC64" i="1" s="1"/>
  <c r="S67" i="1"/>
  <c r="Q69" i="1"/>
  <c r="R72" i="1"/>
  <c r="S75" i="1"/>
  <c r="V75" i="1" s="1"/>
  <c r="AC75" i="1" s="1"/>
  <c r="Q77" i="1"/>
  <c r="R80" i="1"/>
  <c r="S83" i="1"/>
  <c r="Q85" i="1"/>
  <c r="R88" i="1"/>
  <c r="V88" i="1" s="1"/>
  <c r="AC88" i="1" s="1"/>
  <c r="S91" i="1"/>
  <c r="Q93" i="1"/>
  <c r="V93" i="1" s="1"/>
  <c r="AC93" i="1" s="1"/>
  <c r="R96" i="1"/>
  <c r="S99" i="1"/>
  <c r="Q101" i="1"/>
  <c r="R104" i="1"/>
  <c r="S64" i="1"/>
  <c r="Q66" i="1"/>
  <c r="V66" i="1" s="1"/>
  <c r="AC66" i="1" s="1"/>
  <c r="S72" i="1"/>
  <c r="Q74" i="1"/>
  <c r="V74" i="1" s="1"/>
  <c r="AC74" i="1" s="1"/>
  <c r="S80" i="1"/>
  <c r="V80" i="1" s="1"/>
  <c r="AC80" i="1" s="1"/>
  <c r="Q82" i="1"/>
  <c r="S88" i="1"/>
  <c r="Q90" i="1"/>
  <c r="S96" i="1"/>
  <c r="Q98" i="1"/>
  <c r="V98" i="1" s="1"/>
  <c r="AC98" i="1" s="1"/>
  <c r="S104" i="1"/>
  <c r="V104" i="1" s="1"/>
  <c r="AC104" i="1" s="1"/>
  <c r="T7" i="1"/>
  <c r="Q60" i="1"/>
  <c r="R63" i="1"/>
  <c r="Q68" i="1"/>
  <c r="R71" i="1"/>
  <c r="Q76" i="1"/>
  <c r="V76" i="1" s="1"/>
  <c r="AC76" i="1" s="1"/>
  <c r="R79" i="1"/>
  <c r="V79" i="1" s="1"/>
  <c r="AC79" i="1" s="1"/>
  <c r="Q84" i="1"/>
  <c r="V84" i="1" s="1"/>
  <c r="AC84" i="1" s="1"/>
  <c r="R87" i="1"/>
  <c r="V87" i="1" s="1"/>
  <c r="AC87" i="1" s="1"/>
  <c r="Q92" i="1"/>
  <c r="R95" i="1"/>
  <c r="Q100" i="1"/>
  <c r="R103" i="1"/>
  <c r="T8" i="1"/>
  <c r="R60" i="1"/>
  <c r="Q65" i="1"/>
  <c r="V65" i="1" s="1"/>
  <c r="AC65" i="1" s="1"/>
  <c r="R68" i="1"/>
  <c r="V68" i="1" s="1"/>
  <c r="AC68" i="1" s="1"/>
  <c r="Q73" i="1"/>
  <c r="R76" i="1"/>
  <c r="Q81" i="1"/>
  <c r="R84" i="1"/>
  <c r="Q89" i="1"/>
  <c r="R92" i="1"/>
  <c r="Q97" i="1"/>
  <c r="V97" i="1" s="1"/>
  <c r="AC97" i="1" s="1"/>
  <c r="R100" i="1"/>
  <c r="V100" i="1" s="1"/>
  <c r="AC100" i="1" s="1"/>
  <c r="Q105" i="1"/>
  <c r="Q62" i="1"/>
  <c r="R65" i="1"/>
  <c r="Q70" i="1"/>
  <c r="R73" i="1"/>
  <c r="Q78" i="1"/>
  <c r="R81" i="1"/>
  <c r="V81" i="1" s="1"/>
  <c r="AC81" i="1" s="1"/>
  <c r="Q86" i="1"/>
  <c r="R89" i="1"/>
  <c r="Q94" i="1"/>
  <c r="R97" i="1"/>
  <c r="Q102" i="1"/>
  <c r="R105" i="1"/>
  <c r="T10" i="1"/>
  <c r="Q59" i="1"/>
  <c r="V59" i="1" s="1"/>
  <c r="AC59" i="1" s="1"/>
  <c r="R62" i="1"/>
  <c r="V62" i="1" s="1"/>
  <c r="AC62" i="1" s="1"/>
  <c r="Q67" i="1"/>
  <c r="R70" i="1"/>
  <c r="Q75" i="1"/>
  <c r="R78" i="1"/>
  <c r="Q83" i="1"/>
  <c r="V83" i="1" s="1"/>
  <c r="AC83" i="1" s="1"/>
  <c r="R86" i="1"/>
  <c r="Q91" i="1"/>
  <c r="R94" i="1"/>
  <c r="V94" i="1" s="1"/>
  <c r="AC94" i="1" s="1"/>
  <c r="Q99" i="1"/>
  <c r="V99" i="1" s="1"/>
  <c r="AC99" i="1" s="1"/>
  <c r="R102" i="1"/>
  <c r="T11" i="1"/>
  <c r="Q14" i="1"/>
  <c r="R17" i="1"/>
  <c r="S20" i="1"/>
  <c r="Q22" i="1"/>
  <c r="R25" i="1"/>
  <c r="S28" i="1"/>
  <c r="Q30" i="1"/>
  <c r="R33" i="1"/>
  <c r="S36" i="1"/>
  <c r="Q38" i="1"/>
  <c r="R41" i="1"/>
  <c r="S44" i="1"/>
  <c r="Q46" i="1"/>
  <c r="R49" i="1"/>
  <c r="S52" i="1"/>
  <c r="Q54" i="1"/>
  <c r="R57" i="1"/>
  <c r="R14" i="1"/>
  <c r="S17" i="1"/>
  <c r="Q19" i="1"/>
  <c r="R22" i="1"/>
  <c r="S25" i="1"/>
  <c r="Q27" i="1"/>
  <c r="R30" i="1"/>
  <c r="S33" i="1"/>
  <c r="Q35" i="1"/>
  <c r="R38" i="1"/>
  <c r="S41" i="1"/>
  <c r="Q43" i="1"/>
  <c r="R46" i="1"/>
  <c r="S49" i="1"/>
  <c r="Q51" i="1"/>
  <c r="R54" i="1"/>
  <c r="S57" i="1"/>
  <c r="Q16" i="1"/>
  <c r="R19" i="1"/>
  <c r="Q24" i="1"/>
  <c r="R27" i="1"/>
  <c r="Q32" i="1"/>
  <c r="R35" i="1"/>
  <c r="Q40" i="1"/>
  <c r="R43" i="1"/>
  <c r="Q48" i="1"/>
  <c r="R51" i="1"/>
  <c r="Q56" i="1"/>
  <c r="R16" i="1"/>
  <c r="Q21" i="1"/>
  <c r="R24" i="1"/>
  <c r="Q29" i="1"/>
  <c r="R32" i="1"/>
  <c r="Q37" i="1"/>
  <c r="R40" i="1"/>
  <c r="Q45" i="1"/>
  <c r="R48" i="1"/>
  <c r="Q53" i="1"/>
  <c r="R56" i="1"/>
  <c r="Q18" i="1"/>
  <c r="R21" i="1"/>
  <c r="Q26" i="1"/>
  <c r="R29" i="1"/>
  <c r="Q34" i="1"/>
  <c r="R37" i="1"/>
  <c r="Q42" i="1"/>
  <c r="R45" i="1"/>
  <c r="Q50" i="1"/>
  <c r="R53" i="1"/>
  <c r="Q58" i="1"/>
  <c r="Q15" i="1"/>
  <c r="R18" i="1"/>
  <c r="Q23" i="1"/>
  <c r="R26" i="1"/>
  <c r="Q31" i="1"/>
  <c r="R34" i="1"/>
  <c r="Q39" i="1"/>
  <c r="R42" i="1"/>
  <c r="Q47" i="1"/>
  <c r="R50" i="1"/>
  <c r="Q55" i="1"/>
  <c r="R58" i="1"/>
  <c r="R15" i="1"/>
  <c r="Q20" i="1"/>
  <c r="R23" i="1"/>
  <c r="Q28" i="1"/>
  <c r="R31" i="1"/>
  <c r="Q36" i="1"/>
  <c r="R39" i="1"/>
  <c r="Q44" i="1"/>
  <c r="R47" i="1"/>
  <c r="Q52" i="1"/>
  <c r="R55" i="1"/>
  <c r="Q13" i="1"/>
  <c r="S7" i="1"/>
  <c r="R13" i="1"/>
  <c r="R11" i="1"/>
  <c r="Q9" i="1"/>
  <c r="R12" i="1"/>
  <c r="R9" i="1"/>
  <c r="S12" i="1"/>
  <c r="Q11" i="1"/>
  <c r="R8" i="1"/>
  <c r="S8" i="1"/>
  <c r="Q10" i="1"/>
  <c r="Q7" i="1"/>
  <c r="R10" i="1"/>
  <c r="S6" i="1"/>
  <c r="Q6" i="1"/>
  <c r="V103" i="1"/>
  <c r="AC103" i="1" s="1"/>
  <c r="V95" i="1"/>
  <c r="AC95" i="1" s="1"/>
  <c r="V91" i="1"/>
  <c r="AC91" i="1" s="1"/>
  <c r="V71" i="1"/>
  <c r="AC71" i="1" s="1"/>
  <c r="V63" i="1"/>
  <c r="AC63" i="1" s="1"/>
  <c r="V102" i="1"/>
  <c r="AC102" i="1" s="1"/>
  <c r="V78" i="1"/>
  <c r="AC78" i="1" s="1"/>
  <c r="V70" i="1"/>
  <c r="AC70" i="1" s="1"/>
  <c r="V101" i="1"/>
  <c r="AC101" i="1" s="1"/>
  <c r="V85" i="1"/>
  <c r="AC85" i="1" s="1"/>
  <c r="V69" i="1"/>
  <c r="AC69" i="1" s="1"/>
  <c r="V77" i="1"/>
  <c r="AC77" i="1" s="1"/>
  <c r="V61" i="1"/>
  <c r="AC61" i="1" s="1"/>
  <c r="V90" i="1"/>
  <c r="AC90" i="1" s="1"/>
  <c r="V82" i="1"/>
  <c r="AC82" i="1" s="1"/>
  <c r="X6" i="1"/>
  <c r="Y6" i="1" s="1"/>
  <c r="X7" i="1"/>
  <c r="X8" i="1"/>
  <c r="X9" i="1"/>
  <c r="Y9" i="1" s="1"/>
  <c r="X10" i="1"/>
  <c r="Y10" i="1" s="1"/>
  <c r="X11" i="1"/>
  <c r="X12" i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V23" i="1" l="1"/>
  <c r="AC23" i="1" s="1"/>
  <c r="V67" i="1"/>
  <c r="AC67" i="1" s="1"/>
  <c r="V89" i="1"/>
  <c r="AC89" i="1" s="1"/>
  <c r="V105" i="1"/>
  <c r="AC105" i="1" s="1"/>
  <c r="V73" i="1"/>
  <c r="AC73" i="1" s="1"/>
  <c r="V92" i="1"/>
  <c r="AC92" i="1" s="1"/>
  <c r="V60" i="1"/>
  <c r="AC60" i="1" s="1"/>
  <c r="V96" i="1"/>
  <c r="AC96" i="1" s="1"/>
  <c r="V86" i="1"/>
  <c r="AC86" i="1" s="1"/>
  <c r="V72" i="1"/>
  <c r="AC72" i="1" s="1"/>
  <c r="V55" i="1"/>
  <c r="AC55" i="1" s="1"/>
  <c r="V37" i="1"/>
  <c r="AC37" i="1" s="1"/>
  <c r="V48" i="1"/>
  <c r="AC48" i="1" s="1"/>
  <c r="V16" i="1"/>
  <c r="AC16" i="1" s="1"/>
  <c r="V49" i="1"/>
  <c r="AC49" i="1" s="1"/>
  <c r="V38" i="1"/>
  <c r="AC38" i="1" s="1"/>
  <c r="V12" i="1"/>
  <c r="AC12" i="1" s="1"/>
  <c r="V35" i="1"/>
  <c r="AC35" i="1" s="1"/>
  <c r="V11" i="1"/>
  <c r="AC11" i="1" s="1"/>
  <c r="V28" i="1"/>
  <c r="AC28" i="1" s="1"/>
  <c r="V41" i="1"/>
  <c r="AC41" i="1" s="1"/>
  <c r="V58" i="1"/>
  <c r="AC58" i="1" s="1"/>
  <c r="V26" i="1"/>
  <c r="AC26" i="1" s="1"/>
  <c r="V42" i="1"/>
  <c r="AC42" i="1" s="1"/>
  <c r="V31" i="1"/>
  <c r="AC31" i="1" s="1"/>
  <c r="V51" i="1"/>
  <c r="AC51" i="1" s="1"/>
  <c r="V7" i="1"/>
  <c r="AC7" i="1" s="1"/>
  <c r="V44" i="1"/>
  <c r="AC44" i="1" s="1"/>
  <c r="V52" i="1"/>
  <c r="AC52" i="1" s="1"/>
  <c r="V8" i="1"/>
  <c r="AC8" i="1" s="1"/>
  <c r="V13" i="1"/>
  <c r="AC13" i="1" s="1"/>
  <c r="V22" i="1"/>
  <c r="AC22" i="1" s="1"/>
  <c r="V20" i="1"/>
  <c r="AC20" i="1" s="1"/>
  <c r="V50" i="1"/>
  <c r="AC50" i="1" s="1"/>
  <c r="V18" i="1"/>
  <c r="AC18" i="1" s="1"/>
  <c r="V29" i="1"/>
  <c r="AC29" i="1" s="1"/>
  <c r="V24" i="1"/>
  <c r="AC24" i="1" s="1"/>
  <c r="V54" i="1"/>
  <c r="AC54" i="1" s="1"/>
  <c r="V33" i="1"/>
  <c r="AC33" i="1" s="1"/>
  <c r="V27" i="1"/>
  <c r="AC27" i="1" s="1"/>
  <c r="V25" i="1"/>
  <c r="AC25" i="1" s="1"/>
  <c r="V6" i="1"/>
  <c r="AC6" i="1" s="1"/>
  <c r="V39" i="1"/>
  <c r="AC39" i="1" s="1"/>
  <c r="V57" i="1"/>
  <c r="AC57" i="1" s="1"/>
  <c r="V17" i="1"/>
  <c r="AC17" i="1" s="1"/>
  <c r="V14" i="1"/>
  <c r="AC14" i="1" s="1"/>
  <c r="V9" i="1"/>
  <c r="AC9" i="1" s="1"/>
  <c r="V53" i="1"/>
  <c r="AC53" i="1" s="1"/>
  <c r="V21" i="1"/>
  <c r="AC21" i="1" s="1"/>
  <c r="V32" i="1"/>
  <c r="AC32" i="1" s="1"/>
  <c r="V30" i="1"/>
  <c r="AC30" i="1" s="1"/>
  <c r="V36" i="1"/>
  <c r="AC36" i="1" s="1"/>
  <c r="V34" i="1"/>
  <c r="AC34" i="1" s="1"/>
  <c r="V45" i="1"/>
  <c r="AC45" i="1" s="1"/>
  <c r="V56" i="1"/>
  <c r="AC56" i="1" s="1"/>
  <c r="V43" i="1"/>
  <c r="AC43" i="1" s="1"/>
  <c r="V46" i="1"/>
  <c r="AC46" i="1" s="1"/>
  <c r="V47" i="1"/>
  <c r="AC47" i="1" s="1"/>
  <c r="V15" i="1"/>
  <c r="AC15" i="1" s="1"/>
  <c r="V40" i="1"/>
  <c r="AC40" i="1" s="1"/>
  <c r="V19" i="1"/>
  <c r="AC19" i="1" s="1"/>
  <c r="V10" i="1"/>
  <c r="AC10" i="1" s="1"/>
  <c r="Y12" i="1"/>
  <c r="AB12" i="1" s="1"/>
  <c r="AA11" i="1"/>
  <c r="Y11" i="1"/>
  <c r="Y8" i="1"/>
  <c r="AB8" i="1" s="1"/>
  <c r="AA7" i="1"/>
  <c r="Y7" i="1"/>
  <c r="AB7" i="1" s="1"/>
  <c r="AJ99" i="1"/>
  <c r="AJ67" i="1"/>
  <c r="AJ98" i="1"/>
  <c r="AJ90" i="1"/>
  <c r="AJ82" i="1"/>
  <c r="AJ74" i="1"/>
  <c r="AJ66" i="1"/>
  <c r="AJ83" i="1"/>
  <c r="AJ105" i="1"/>
  <c r="AJ81" i="1"/>
  <c r="AJ89" i="1"/>
  <c r="AJ73" i="1"/>
  <c r="AJ88" i="1"/>
  <c r="AJ64" i="1"/>
  <c r="AJ103" i="1"/>
  <c r="AJ95" i="1"/>
  <c r="AJ87" i="1"/>
  <c r="AJ79" i="1"/>
  <c r="AJ71" i="1"/>
  <c r="AJ63" i="1"/>
  <c r="AJ97" i="1"/>
  <c r="AJ65" i="1"/>
  <c r="AJ102" i="1"/>
  <c r="AJ94" i="1"/>
  <c r="AJ86" i="1"/>
  <c r="AJ78" i="1"/>
  <c r="AJ70" i="1"/>
  <c r="AJ62" i="1"/>
  <c r="AJ75" i="1"/>
  <c r="AJ104" i="1"/>
  <c r="AJ80" i="1"/>
  <c r="AJ72" i="1"/>
  <c r="AJ101" i="1"/>
  <c r="AJ93" i="1"/>
  <c r="AJ85" i="1"/>
  <c r="AJ77" i="1"/>
  <c r="AJ69" i="1"/>
  <c r="AJ61" i="1"/>
  <c r="AJ91" i="1"/>
  <c r="AJ59" i="1"/>
  <c r="AJ96" i="1"/>
  <c r="AJ100" i="1"/>
  <c r="AJ92" i="1"/>
  <c r="AJ84" i="1"/>
  <c r="AJ76" i="1"/>
  <c r="AJ68" i="1"/>
  <c r="AJ60" i="1"/>
  <c r="AN98" i="1"/>
  <c r="AK98" i="1"/>
  <c r="AK104" i="1"/>
  <c r="AN104" i="1"/>
  <c r="AK88" i="1"/>
  <c r="AN88" i="1"/>
  <c r="AK72" i="1"/>
  <c r="AN72" i="1"/>
  <c r="AN103" i="1"/>
  <c r="AK103" i="1"/>
  <c r="AN87" i="1"/>
  <c r="AK87" i="1"/>
  <c r="AN71" i="1"/>
  <c r="AK71" i="1"/>
  <c r="AB31" i="1"/>
  <c r="AA15" i="1"/>
  <c r="AN82" i="1"/>
  <c r="AK82" i="1"/>
  <c r="AB66" i="1"/>
  <c r="AN66" i="1"/>
  <c r="AK66" i="1"/>
  <c r="AA18" i="1"/>
  <c r="AN105" i="1"/>
  <c r="AK105" i="1"/>
  <c r="AA89" i="1"/>
  <c r="AN89" i="1"/>
  <c r="AK89" i="1"/>
  <c r="AN73" i="1"/>
  <c r="AK73" i="1"/>
  <c r="AK96" i="1"/>
  <c r="AN96" i="1"/>
  <c r="AK80" i="1"/>
  <c r="AN80" i="1"/>
  <c r="AK64" i="1"/>
  <c r="AN64" i="1"/>
  <c r="AN95" i="1"/>
  <c r="AK95" i="1"/>
  <c r="AN79" i="1"/>
  <c r="AK79" i="1"/>
  <c r="AN63" i="1"/>
  <c r="AK63" i="1"/>
  <c r="AN102" i="1"/>
  <c r="AK102" i="1"/>
  <c r="AB94" i="1"/>
  <c r="AN94" i="1"/>
  <c r="AK94" i="1"/>
  <c r="AN86" i="1"/>
  <c r="AK86" i="1"/>
  <c r="AN78" i="1"/>
  <c r="AK78" i="1"/>
  <c r="AB70" i="1"/>
  <c r="AN70" i="1"/>
  <c r="AK70" i="1"/>
  <c r="AB62" i="1"/>
  <c r="AN62" i="1"/>
  <c r="AK62" i="1"/>
  <c r="AA30" i="1"/>
  <c r="AK101" i="1"/>
  <c r="AN101" i="1"/>
  <c r="AK93" i="1"/>
  <c r="AN93" i="1"/>
  <c r="AK85" i="1"/>
  <c r="AN85" i="1"/>
  <c r="AK77" i="1"/>
  <c r="AN77" i="1"/>
  <c r="AK69" i="1"/>
  <c r="AN69" i="1"/>
  <c r="AK61" i="1"/>
  <c r="AN61" i="1"/>
  <c r="AK100" i="1"/>
  <c r="AN100" i="1"/>
  <c r="AK84" i="1"/>
  <c r="AN84" i="1"/>
  <c r="AK76" i="1"/>
  <c r="AN76" i="1"/>
  <c r="AK68" i="1"/>
  <c r="AN68" i="1"/>
  <c r="AK60" i="1"/>
  <c r="AN60" i="1"/>
  <c r="AB90" i="1"/>
  <c r="AN90" i="1"/>
  <c r="AK90" i="1"/>
  <c r="AN74" i="1"/>
  <c r="AK74" i="1"/>
  <c r="AB58" i="1"/>
  <c r="AN97" i="1"/>
  <c r="AK97" i="1"/>
  <c r="AN81" i="1"/>
  <c r="AK81" i="1"/>
  <c r="AN65" i="1"/>
  <c r="AK65" i="1"/>
  <c r="AK92" i="1"/>
  <c r="AN92" i="1"/>
  <c r="AK99" i="1"/>
  <c r="AN99" i="1"/>
  <c r="AK91" i="1"/>
  <c r="AN91" i="1"/>
  <c r="AK83" i="1"/>
  <c r="AN83" i="1"/>
  <c r="AK75" i="1"/>
  <c r="AN75" i="1"/>
  <c r="AK67" i="1"/>
  <c r="AN67" i="1"/>
  <c r="AK59" i="1"/>
  <c r="AN59" i="1"/>
  <c r="AB74" i="1"/>
  <c r="AA95" i="1"/>
  <c r="AA85" i="1"/>
  <c r="Z79" i="1"/>
  <c r="AD79" i="1" s="1"/>
  <c r="Z95" i="1"/>
  <c r="AD95" i="1" s="1"/>
  <c r="AB27" i="1"/>
  <c r="AB78" i="1"/>
  <c r="AB95" i="1"/>
  <c r="AB87" i="1"/>
  <c r="AB102" i="1"/>
  <c r="AB83" i="1"/>
  <c r="AB75" i="1"/>
  <c r="AA105" i="1"/>
  <c r="AA101" i="1"/>
  <c r="Z83" i="1"/>
  <c r="AD83" i="1" s="1"/>
  <c r="AA75" i="1"/>
  <c r="AA83" i="1"/>
  <c r="AA97" i="1"/>
  <c r="Z75" i="1"/>
  <c r="AD75" i="1" s="1"/>
  <c r="Z81" i="1"/>
  <c r="AD81" i="1" s="1"/>
  <c r="Z36" i="1"/>
  <c r="AD36" i="1" s="1"/>
  <c r="Z24" i="1"/>
  <c r="AD24" i="1" s="1"/>
  <c r="Z20" i="1"/>
  <c r="AD20" i="1" s="1"/>
  <c r="AB99" i="1"/>
  <c r="AA87" i="1"/>
  <c r="Z78" i="1"/>
  <c r="AD78" i="1" s="1"/>
  <c r="AB71" i="1"/>
  <c r="AB67" i="1"/>
  <c r="AB63" i="1"/>
  <c r="AB59" i="1"/>
  <c r="AB55" i="1"/>
  <c r="Z52" i="1"/>
  <c r="AD52" i="1" s="1"/>
  <c r="Z48" i="1"/>
  <c r="AD48" i="1" s="1"/>
  <c r="Z44" i="1"/>
  <c r="AD44" i="1" s="1"/>
  <c r="Z40" i="1"/>
  <c r="AD40" i="1" s="1"/>
  <c r="Z105" i="1"/>
  <c r="AD105" i="1" s="1"/>
  <c r="AA99" i="1"/>
  <c r="Z90" i="1"/>
  <c r="AD90" i="1" s="1"/>
  <c r="Z87" i="1"/>
  <c r="AD87" i="1" s="1"/>
  <c r="Z85" i="1"/>
  <c r="AD85" i="1" s="1"/>
  <c r="AB82" i="1"/>
  <c r="AB79" i="1"/>
  <c r="AA77" i="1"/>
  <c r="Z71" i="1"/>
  <c r="AD71" i="1" s="1"/>
  <c r="Z67" i="1"/>
  <c r="AD67" i="1" s="1"/>
  <c r="Z63" i="1"/>
  <c r="AD63" i="1" s="1"/>
  <c r="Z59" i="1"/>
  <c r="AD59" i="1" s="1"/>
  <c r="Z55" i="1"/>
  <c r="AD55" i="1" s="1"/>
  <c r="AB51" i="1"/>
  <c r="AB47" i="1"/>
  <c r="AB43" i="1"/>
  <c r="AB39" i="1"/>
  <c r="AB35" i="1"/>
  <c r="Z31" i="1"/>
  <c r="AD31" i="1" s="1"/>
  <c r="Z27" i="1"/>
  <c r="AD27" i="1" s="1"/>
  <c r="AB23" i="1"/>
  <c r="AB19" i="1"/>
  <c r="Z98" i="1"/>
  <c r="AD98" i="1" s="1"/>
  <c r="Z93" i="1"/>
  <c r="AD93" i="1" s="1"/>
  <c r="Z28" i="1"/>
  <c r="AD28" i="1" s="1"/>
  <c r="Z32" i="1"/>
  <c r="AD32" i="1" s="1"/>
  <c r="Z102" i="1"/>
  <c r="AD102" i="1" s="1"/>
  <c r="Z99" i="1"/>
  <c r="AD99" i="1" s="1"/>
  <c r="Z97" i="1"/>
  <c r="AD97" i="1" s="1"/>
  <c r="AB91" i="1"/>
  <c r="AA79" i="1"/>
  <c r="Z51" i="1"/>
  <c r="AD51" i="1" s="1"/>
  <c r="Z47" i="1"/>
  <c r="AD47" i="1" s="1"/>
  <c r="Z43" i="1"/>
  <c r="AD43" i="1" s="1"/>
  <c r="Z39" i="1"/>
  <c r="AD39" i="1" s="1"/>
  <c r="Z35" i="1"/>
  <c r="AD35" i="1" s="1"/>
  <c r="Z23" i="1"/>
  <c r="AD23" i="1" s="1"/>
  <c r="Z19" i="1"/>
  <c r="AD19" i="1" s="1"/>
  <c r="AA16" i="1"/>
  <c r="Z86" i="1"/>
  <c r="AD86" i="1" s="1"/>
  <c r="AA91" i="1"/>
  <c r="Z82" i="1"/>
  <c r="AD82" i="1" s="1"/>
  <c r="Z77" i="1"/>
  <c r="AD77" i="1" s="1"/>
  <c r="AA103" i="1"/>
  <c r="Z94" i="1"/>
  <c r="AD94" i="1" s="1"/>
  <c r="Z91" i="1"/>
  <c r="AD91" i="1" s="1"/>
  <c r="AB54" i="1"/>
  <c r="AB26" i="1"/>
  <c r="AB103" i="1"/>
  <c r="Z89" i="1"/>
  <c r="AD89" i="1" s="1"/>
  <c r="AB86" i="1"/>
  <c r="AA81" i="1"/>
  <c r="Z103" i="1"/>
  <c r="AD103" i="1" s="1"/>
  <c r="Z101" i="1"/>
  <c r="AD101" i="1" s="1"/>
  <c r="AB98" i="1"/>
  <c r="AA93" i="1"/>
  <c r="Z74" i="1"/>
  <c r="AD74" i="1" s="1"/>
  <c r="AA54" i="1"/>
  <c r="AB50" i="1"/>
  <c r="AB46" i="1"/>
  <c r="AB42" i="1"/>
  <c r="AB38" i="1"/>
  <c r="AB34" i="1"/>
  <c r="AA26" i="1"/>
  <c r="AA22" i="1"/>
  <c r="AB18" i="1"/>
  <c r="Z9" i="1"/>
  <c r="AD9" i="1" s="1"/>
  <c r="Z13" i="1"/>
  <c r="AD13" i="1" s="1"/>
  <c r="Z12" i="1"/>
  <c r="AD12" i="1" s="1"/>
  <c r="Z8" i="1"/>
  <c r="AD8" i="1" s="1"/>
  <c r="AA104" i="1"/>
  <c r="Z68" i="1"/>
  <c r="AD68" i="1" s="1"/>
  <c r="AA68" i="1"/>
  <c r="AB68" i="1"/>
  <c r="Z76" i="1"/>
  <c r="AD76" i="1" s="1"/>
  <c r="AA76" i="1"/>
  <c r="AB76" i="1"/>
  <c r="Z60" i="1"/>
  <c r="AD60" i="1" s="1"/>
  <c r="AA60" i="1"/>
  <c r="AB60" i="1"/>
  <c r="Z72" i="1"/>
  <c r="AD72" i="1" s="1"/>
  <c r="AA72" i="1"/>
  <c r="AB72" i="1"/>
  <c r="Z104" i="1"/>
  <c r="AD104" i="1" s="1"/>
  <c r="AB104" i="1"/>
  <c r="AB15" i="1"/>
  <c r="Z100" i="1"/>
  <c r="AD100" i="1" s="1"/>
  <c r="AA100" i="1"/>
  <c r="AB100" i="1"/>
  <c r="Z96" i="1"/>
  <c r="AD96" i="1" s="1"/>
  <c r="AA96" i="1"/>
  <c r="AB96" i="1"/>
  <c r="Z92" i="1"/>
  <c r="AD92" i="1" s="1"/>
  <c r="AA92" i="1"/>
  <c r="AB92" i="1"/>
  <c r="Z88" i="1"/>
  <c r="AD88" i="1" s="1"/>
  <c r="AA88" i="1"/>
  <c r="AB88" i="1"/>
  <c r="Z84" i="1"/>
  <c r="AD84" i="1" s="1"/>
  <c r="AA84" i="1"/>
  <c r="AB84" i="1"/>
  <c r="Z80" i="1"/>
  <c r="AD80" i="1" s="1"/>
  <c r="AA80" i="1"/>
  <c r="AB80" i="1"/>
  <c r="Z64" i="1"/>
  <c r="AD64" i="1" s="1"/>
  <c r="AA64" i="1"/>
  <c r="AB64" i="1"/>
  <c r="Z56" i="1"/>
  <c r="AD56" i="1" s="1"/>
  <c r="AA56" i="1"/>
  <c r="AB56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Z16" i="1"/>
  <c r="AD16" i="1" s="1"/>
  <c r="AB13" i="1"/>
  <c r="AA12" i="1"/>
  <c r="AA8" i="1"/>
  <c r="AA102" i="1"/>
  <c r="AA98" i="1"/>
  <c r="AA94" i="1"/>
  <c r="AA90" i="1"/>
  <c r="AA86" i="1"/>
  <c r="AA82" i="1"/>
  <c r="AA78" i="1"/>
  <c r="AA74" i="1"/>
  <c r="AA70" i="1"/>
  <c r="AA66" i="1"/>
  <c r="AA62" i="1"/>
  <c r="AA58" i="1"/>
  <c r="AA50" i="1"/>
  <c r="AA46" i="1"/>
  <c r="AA42" i="1"/>
  <c r="AA38" i="1"/>
  <c r="AA34" i="1"/>
  <c r="AB105" i="1"/>
  <c r="AB101" i="1"/>
  <c r="AB97" i="1"/>
  <c r="AB93" i="1"/>
  <c r="AB89" i="1"/>
  <c r="AB85" i="1"/>
  <c r="AB81" i="1"/>
  <c r="AB77" i="1"/>
  <c r="AB73" i="1"/>
  <c r="Z70" i="1"/>
  <c r="AD70" i="1" s="1"/>
  <c r="AB69" i="1"/>
  <c r="Z66" i="1"/>
  <c r="AD66" i="1" s="1"/>
  <c r="AB65" i="1"/>
  <c r="Z62" i="1"/>
  <c r="AD62" i="1" s="1"/>
  <c r="AB61" i="1"/>
  <c r="Z58" i="1"/>
  <c r="AD58" i="1" s="1"/>
  <c r="AB57" i="1"/>
  <c r="Z54" i="1"/>
  <c r="AD54" i="1" s="1"/>
  <c r="AB53" i="1"/>
  <c r="Z50" i="1"/>
  <c r="AD50" i="1" s="1"/>
  <c r="AB49" i="1"/>
  <c r="Z46" i="1"/>
  <c r="AD46" i="1" s="1"/>
  <c r="AB45" i="1"/>
  <c r="Z42" i="1"/>
  <c r="AD42" i="1" s="1"/>
  <c r="AB41" i="1"/>
  <c r="Z38" i="1"/>
  <c r="AD38" i="1" s="1"/>
  <c r="AB37" i="1"/>
  <c r="Z34" i="1"/>
  <c r="AD34" i="1" s="1"/>
  <c r="Z30" i="1"/>
  <c r="AD30" i="1" s="1"/>
  <c r="AB29" i="1"/>
  <c r="Z26" i="1"/>
  <c r="AD26" i="1" s="1"/>
  <c r="AB25" i="1"/>
  <c r="Z22" i="1"/>
  <c r="AD22" i="1" s="1"/>
  <c r="AB21" i="1"/>
  <c r="Z18" i="1"/>
  <c r="AD18" i="1" s="1"/>
  <c r="AB17" i="1"/>
  <c r="Z15" i="1"/>
  <c r="AD15" i="1" s="1"/>
  <c r="AB14" i="1"/>
  <c r="Z11" i="1"/>
  <c r="AD11" i="1" s="1"/>
  <c r="Z7" i="1"/>
  <c r="AD7" i="1" s="1"/>
  <c r="AA73" i="1"/>
  <c r="AA69" i="1"/>
  <c r="AA65" i="1"/>
  <c r="AA61" i="1"/>
  <c r="AA57" i="1"/>
  <c r="AA53" i="1"/>
  <c r="AA49" i="1"/>
  <c r="AA45" i="1"/>
  <c r="AA41" i="1"/>
  <c r="AA37" i="1"/>
  <c r="AA33" i="1"/>
  <c r="AA29" i="1"/>
  <c r="AA25" i="1"/>
  <c r="AA21" i="1"/>
  <c r="AA17" i="1"/>
  <c r="AA14" i="1"/>
  <c r="AA10" i="1"/>
  <c r="AA6" i="1"/>
  <c r="Z73" i="1"/>
  <c r="AD73" i="1" s="1"/>
  <c r="Z69" i="1"/>
  <c r="AD69" i="1" s="1"/>
  <c r="Z65" i="1"/>
  <c r="AD65" i="1" s="1"/>
  <c r="Z61" i="1"/>
  <c r="AD61" i="1" s="1"/>
  <c r="Z57" i="1"/>
  <c r="AD57" i="1" s="1"/>
  <c r="Z53" i="1"/>
  <c r="AD53" i="1" s="1"/>
  <c r="AB52" i="1"/>
  <c r="Z49" i="1"/>
  <c r="AD49" i="1" s="1"/>
  <c r="AB48" i="1"/>
  <c r="Z45" i="1"/>
  <c r="AD45" i="1" s="1"/>
  <c r="AB44" i="1"/>
  <c r="Z41" i="1"/>
  <c r="AD41" i="1" s="1"/>
  <c r="AB40" i="1"/>
  <c r="Z37" i="1"/>
  <c r="AD37" i="1" s="1"/>
  <c r="AB36" i="1"/>
  <c r="Z33" i="1"/>
  <c r="AD33" i="1" s="1"/>
  <c r="Z29" i="1"/>
  <c r="AD29" i="1" s="1"/>
  <c r="AB28" i="1"/>
  <c r="Z25" i="1"/>
  <c r="AD25" i="1" s="1"/>
  <c r="AB24" i="1"/>
  <c r="Z21" i="1"/>
  <c r="AD21" i="1" s="1"/>
  <c r="AB20" i="1"/>
  <c r="Z17" i="1"/>
  <c r="AD17" i="1" s="1"/>
  <c r="Z14" i="1"/>
  <c r="AD14" i="1" s="1"/>
  <c r="Z10" i="1"/>
  <c r="AD10" i="1" s="1"/>
  <c r="Z6" i="1"/>
  <c r="AD6" i="1" s="1"/>
  <c r="AA52" i="1"/>
  <c r="AA48" i="1"/>
  <c r="AA44" i="1"/>
  <c r="AA40" i="1"/>
  <c r="AA36" i="1"/>
  <c r="AA32" i="1"/>
  <c r="AA28" i="1"/>
  <c r="AA24" i="1"/>
  <c r="AA20" i="1"/>
  <c r="AB16" i="1"/>
  <c r="AA13" i="1"/>
  <c r="AA9" i="1"/>
  <c r="AE15" i="1" l="1"/>
  <c r="AJ15" i="1" s="1"/>
  <c r="AK15" i="1" s="1"/>
  <c r="AE11" i="1"/>
  <c r="AJ11" i="1" s="1"/>
  <c r="AK11" i="1" s="1"/>
  <c r="AL11" i="1" s="1"/>
  <c r="AM11" i="1" s="1"/>
  <c r="AN15" i="1"/>
  <c r="AE7" i="1"/>
  <c r="AJ7" i="1" s="1"/>
  <c r="AK7" i="1" s="1"/>
  <c r="AL7" i="1" s="1"/>
  <c r="AM7" i="1" s="1"/>
  <c r="AE18" i="1"/>
  <c r="AE30" i="1"/>
  <c r="AJ30" i="1" s="1"/>
  <c r="AK30" i="1" s="1"/>
  <c r="AN30" i="1" s="1"/>
  <c r="AE89" i="1"/>
  <c r="AF89" i="1" s="1"/>
  <c r="AG89" i="1" s="1"/>
  <c r="AH89" i="1" s="1"/>
  <c r="AE95" i="1"/>
  <c r="AE78" i="1"/>
  <c r="AE16" i="1"/>
  <c r="AE79" i="1"/>
  <c r="AF79" i="1" s="1"/>
  <c r="AG79" i="1" s="1"/>
  <c r="AH79" i="1" s="1"/>
  <c r="AE91" i="1"/>
  <c r="AE42" i="1"/>
  <c r="AE101" i="1"/>
  <c r="AE97" i="1"/>
  <c r="AE86" i="1"/>
  <c r="AE90" i="1"/>
  <c r="AF90" i="1" s="1"/>
  <c r="AG90" i="1" s="1"/>
  <c r="AH90" i="1" s="1"/>
  <c r="AE93" i="1"/>
  <c r="AF93" i="1" s="1"/>
  <c r="AG93" i="1" s="1"/>
  <c r="AH93" i="1" s="1"/>
  <c r="AE83" i="1"/>
  <c r="AE98" i="1"/>
  <c r="AF98" i="1" s="1"/>
  <c r="AG98" i="1" s="1"/>
  <c r="AH98" i="1" s="1"/>
  <c r="AE94" i="1"/>
  <c r="AF94" i="1" s="1"/>
  <c r="AG94" i="1" s="1"/>
  <c r="AH94" i="1" s="1"/>
  <c r="AE85" i="1"/>
  <c r="AE103" i="1"/>
  <c r="AF103" i="1" s="1"/>
  <c r="AG103" i="1" s="1"/>
  <c r="AH103" i="1" s="1"/>
  <c r="AE87" i="1"/>
  <c r="AE68" i="1"/>
  <c r="AF68" i="1" s="1"/>
  <c r="AG68" i="1" s="1"/>
  <c r="AH68" i="1" s="1"/>
  <c r="AE41" i="1"/>
  <c r="AJ41" i="1" s="1"/>
  <c r="AK41" i="1" s="1"/>
  <c r="AN41" i="1" s="1"/>
  <c r="AE105" i="1"/>
  <c r="AE61" i="1"/>
  <c r="AF61" i="1" s="1"/>
  <c r="AG61" i="1" s="1"/>
  <c r="AH61" i="1" s="1"/>
  <c r="AE54" i="1"/>
  <c r="AE51" i="1"/>
  <c r="AJ51" i="1" s="1"/>
  <c r="AK51" i="1" s="1"/>
  <c r="AN51" i="1" s="1"/>
  <c r="AE75" i="1"/>
  <c r="AF75" i="1" s="1"/>
  <c r="AG75" i="1" s="1"/>
  <c r="AH75" i="1" s="1"/>
  <c r="AE26" i="1"/>
  <c r="AJ26" i="1" s="1"/>
  <c r="AK26" i="1" s="1"/>
  <c r="AN26" i="1" s="1"/>
  <c r="AE27" i="1"/>
  <c r="AB11" i="1"/>
  <c r="AF11" i="1" s="1"/>
  <c r="AG11" i="1" s="1"/>
  <c r="AH11" i="1" s="1"/>
  <c r="AE43" i="1"/>
  <c r="AE104" i="1"/>
  <c r="AE63" i="1"/>
  <c r="AF63" i="1" s="1"/>
  <c r="AG63" i="1" s="1"/>
  <c r="AH63" i="1" s="1"/>
  <c r="AE62" i="1"/>
  <c r="AE31" i="1"/>
  <c r="AJ31" i="1" s="1"/>
  <c r="AK31" i="1" s="1"/>
  <c r="AN31" i="1" s="1"/>
  <c r="AE45" i="1"/>
  <c r="AJ45" i="1" s="1"/>
  <c r="AK45" i="1" s="1"/>
  <c r="AN45" i="1" s="1"/>
  <c r="AE69" i="1"/>
  <c r="AF69" i="1" s="1"/>
  <c r="AG69" i="1" s="1"/>
  <c r="AH69" i="1" s="1"/>
  <c r="AE29" i="1"/>
  <c r="AJ29" i="1" s="1"/>
  <c r="AK29" i="1" s="1"/>
  <c r="AN29" i="1" s="1"/>
  <c r="AE73" i="1"/>
  <c r="AB30" i="1"/>
  <c r="AE59" i="1"/>
  <c r="AF59" i="1" s="1"/>
  <c r="AG59" i="1" s="1"/>
  <c r="AH59" i="1" s="1"/>
  <c r="AE47" i="1"/>
  <c r="AE14" i="1"/>
  <c r="AE33" i="1"/>
  <c r="AJ33" i="1" s="1"/>
  <c r="AK33" i="1" s="1"/>
  <c r="AN33" i="1" s="1"/>
  <c r="AE49" i="1"/>
  <c r="AE82" i="1"/>
  <c r="AF82" i="1" s="1"/>
  <c r="AG82" i="1" s="1"/>
  <c r="AH82" i="1" s="1"/>
  <c r="AE77" i="1"/>
  <c r="AF77" i="1" s="1"/>
  <c r="AG77" i="1" s="1"/>
  <c r="AH77" i="1" s="1"/>
  <c r="AE99" i="1"/>
  <c r="AB33" i="1"/>
  <c r="AE74" i="1"/>
  <c r="AF74" i="1" s="1"/>
  <c r="AG74" i="1" s="1"/>
  <c r="AH74" i="1" s="1"/>
  <c r="AE19" i="1"/>
  <c r="AE35" i="1"/>
  <c r="AE53" i="1"/>
  <c r="AJ53" i="1" s="1"/>
  <c r="AK53" i="1" s="1"/>
  <c r="AN53" i="1" s="1"/>
  <c r="AE38" i="1"/>
  <c r="AE70" i="1"/>
  <c r="AF70" i="1" s="1"/>
  <c r="AG70" i="1" s="1"/>
  <c r="AH70" i="1" s="1"/>
  <c r="AE37" i="1"/>
  <c r="AE34" i="1"/>
  <c r="AJ34" i="1" s="1"/>
  <c r="AK34" i="1" s="1"/>
  <c r="AN34" i="1" s="1"/>
  <c r="AE81" i="1"/>
  <c r="AE22" i="1"/>
  <c r="AJ22" i="1" s="1"/>
  <c r="AK22" i="1" s="1"/>
  <c r="AN22" i="1" s="1"/>
  <c r="AE25" i="1"/>
  <c r="AJ25" i="1" s="1"/>
  <c r="AK25" i="1" s="1"/>
  <c r="AN25" i="1" s="1"/>
  <c r="AE65" i="1"/>
  <c r="AE102" i="1"/>
  <c r="AF102" i="1" s="1"/>
  <c r="AG102" i="1" s="1"/>
  <c r="AH102" i="1" s="1"/>
  <c r="AE23" i="1"/>
  <c r="AE39" i="1"/>
  <c r="AB22" i="1"/>
  <c r="AB9" i="1"/>
  <c r="AB10" i="1"/>
  <c r="AE12" i="1"/>
  <c r="AB6" i="1"/>
  <c r="AE8" i="1"/>
  <c r="AE76" i="1"/>
  <c r="AE88" i="1"/>
  <c r="AE21" i="1"/>
  <c r="AJ21" i="1" s="1"/>
  <c r="AK21" i="1" s="1"/>
  <c r="AN21" i="1" s="1"/>
  <c r="AE46" i="1"/>
  <c r="AE20" i="1"/>
  <c r="AJ20" i="1" s="1"/>
  <c r="AK20" i="1" s="1"/>
  <c r="AN20" i="1" s="1"/>
  <c r="AE36" i="1"/>
  <c r="AE52" i="1"/>
  <c r="AE60" i="1"/>
  <c r="AF60" i="1" s="1"/>
  <c r="AG60" i="1" s="1"/>
  <c r="AH60" i="1" s="1"/>
  <c r="AE50" i="1"/>
  <c r="AE64" i="1"/>
  <c r="AE96" i="1"/>
  <c r="AE56" i="1"/>
  <c r="AJ56" i="1" s="1"/>
  <c r="AK56" i="1" s="1"/>
  <c r="AN56" i="1" s="1"/>
  <c r="AE17" i="1"/>
  <c r="AJ17" i="1" s="1"/>
  <c r="AK17" i="1" s="1"/>
  <c r="AN17" i="1" s="1"/>
  <c r="AE28" i="1"/>
  <c r="AE44" i="1"/>
  <c r="AE100" i="1"/>
  <c r="AF100" i="1" s="1"/>
  <c r="AG100" i="1" s="1"/>
  <c r="AH100" i="1" s="1"/>
  <c r="AE57" i="1"/>
  <c r="AE13" i="1"/>
  <c r="AE58" i="1"/>
  <c r="AE80" i="1"/>
  <c r="AF80" i="1" s="1"/>
  <c r="AG80" i="1" s="1"/>
  <c r="AH80" i="1" s="1"/>
  <c r="AE6" i="1"/>
  <c r="AJ6" i="1" s="1"/>
  <c r="AK6" i="1" s="1"/>
  <c r="AL6" i="1" s="1"/>
  <c r="AM6" i="1" s="1"/>
  <c r="AF15" i="1"/>
  <c r="AG15" i="1" s="1"/>
  <c r="AH15" i="1" s="1"/>
  <c r="AE24" i="1"/>
  <c r="AJ24" i="1" s="1"/>
  <c r="AK24" i="1" s="1"/>
  <c r="AN24" i="1" s="1"/>
  <c r="AE40" i="1"/>
  <c r="AJ40" i="1" s="1"/>
  <c r="AK40" i="1" s="1"/>
  <c r="AN40" i="1" s="1"/>
  <c r="AE66" i="1"/>
  <c r="AE9" i="1"/>
  <c r="AJ9" i="1" s="1"/>
  <c r="AK9" i="1" s="1"/>
  <c r="AN9" i="1" s="1"/>
  <c r="AE67" i="1"/>
  <c r="AE55" i="1"/>
  <c r="AJ55" i="1" s="1"/>
  <c r="AK55" i="1" s="1"/>
  <c r="AN55" i="1" s="1"/>
  <c r="AE10" i="1"/>
  <c r="AJ10" i="1" s="1"/>
  <c r="AK10" i="1" s="1"/>
  <c r="AE32" i="1"/>
  <c r="AJ32" i="1" s="1"/>
  <c r="AK32" i="1" s="1"/>
  <c r="AN32" i="1" s="1"/>
  <c r="AE48" i="1"/>
  <c r="AJ48" i="1" s="1"/>
  <c r="AK48" i="1" s="1"/>
  <c r="AN48" i="1" s="1"/>
  <c r="AE72" i="1"/>
  <c r="AE92" i="1"/>
  <c r="AE71" i="1"/>
  <c r="AB32" i="1"/>
  <c r="AE84" i="1"/>
  <c r="AL10" i="1" l="1"/>
  <c r="AM10" i="1" s="1"/>
  <c r="AN10" i="1" s="1"/>
  <c r="AN6" i="1"/>
  <c r="AF7" i="1"/>
  <c r="AG7" i="1" s="1"/>
  <c r="AH7" i="1" s="1"/>
  <c r="AF30" i="1"/>
  <c r="AG30" i="1" s="1"/>
  <c r="AH30" i="1" s="1"/>
  <c r="AF27" i="1"/>
  <c r="AG27" i="1" s="1"/>
  <c r="AH27" i="1" s="1"/>
  <c r="AJ27" i="1"/>
  <c r="AK27" i="1" s="1"/>
  <c r="AN27" i="1" s="1"/>
  <c r="AF28" i="1"/>
  <c r="AG28" i="1" s="1"/>
  <c r="AH28" i="1" s="1"/>
  <c r="AJ28" i="1"/>
  <c r="AK28" i="1" s="1"/>
  <c r="AN28" i="1" s="1"/>
  <c r="AF54" i="1"/>
  <c r="AG54" i="1" s="1"/>
  <c r="AH54" i="1" s="1"/>
  <c r="AJ54" i="1"/>
  <c r="AK54" i="1" s="1"/>
  <c r="AN54" i="1" s="1"/>
  <c r="AF46" i="1"/>
  <c r="AG46" i="1" s="1"/>
  <c r="AH46" i="1" s="1"/>
  <c r="AJ46" i="1"/>
  <c r="AK46" i="1" s="1"/>
  <c r="AN46" i="1" s="1"/>
  <c r="AF23" i="1"/>
  <c r="AG23" i="1" s="1"/>
  <c r="AH23" i="1" s="1"/>
  <c r="AJ23" i="1"/>
  <c r="AK23" i="1" s="1"/>
  <c r="AN23" i="1" s="1"/>
  <c r="AF43" i="1"/>
  <c r="AG43" i="1" s="1"/>
  <c r="AH43" i="1" s="1"/>
  <c r="AJ43" i="1"/>
  <c r="AK43" i="1" s="1"/>
  <c r="AN43" i="1" s="1"/>
  <c r="AF18" i="1"/>
  <c r="AG18" i="1" s="1"/>
  <c r="AH18" i="1" s="1"/>
  <c r="AJ18" i="1"/>
  <c r="AK18" i="1" s="1"/>
  <c r="AN18" i="1" s="1"/>
  <c r="AF44" i="1"/>
  <c r="AG44" i="1" s="1"/>
  <c r="AH44" i="1" s="1"/>
  <c r="AJ44" i="1"/>
  <c r="AK44" i="1" s="1"/>
  <c r="AN44" i="1" s="1"/>
  <c r="AF16" i="1"/>
  <c r="AG16" i="1" s="1"/>
  <c r="AH16" i="1" s="1"/>
  <c r="AJ16" i="1"/>
  <c r="AK16" i="1" s="1"/>
  <c r="AN16" i="1" s="1"/>
  <c r="AF52" i="1"/>
  <c r="AG52" i="1" s="1"/>
  <c r="AH52" i="1" s="1"/>
  <c r="AJ52" i="1"/>
  <c r="AK52" i="1" s="1"/>
  <c r="AN52" i="1" s="1"/>
  <c r="AF49" i="1"/>
  <c r="AG49" i="1" s="1"/>
  <c r="AH49" i="1" s="1"/>
  <c r="AJ49" i="1"/>
  <c r="AK49" i="1" s="1"/>
  <c r="AN49" i="1" s="1"/>
  <c r="AF47" i="1"/>
  <c r="AG47" i="1" s="1"/>
  <c r="AH47" i="1" s="1"/>
  <c r="AJ47" i="1"/>
  <c r="AK47" i="1" s="1"/>
  <c r="AN47" i="1" s="1"/>
  <c r="AF35" i="1"/>
  <c r="AG35" i="1" s="1"/>
  <c r="AH35" i="1" s="1"/>
  <c r="AJ35" i="1"/>
  <c r="AK35" i="1" s="1"/>
  <c r="AN35" i="1" s="1"/>
  <c r="AF19" i="1"/>
  <c r="AG19" i="1" s="1"/>
  <c r="AH19" i="1" s="1"/>
  <c r="AJ19" i="1"/>
  <c r="AK19" i="1" s="1"/>
  <c r="AN19" i="1" s="1"/>
  <c r="AF42" i="1"/>
  <c r="AG42" i="1" s="1"/>
  <c r="AH42" i="1" s="1"/>
  <c r="AJ42" i="1"/>
  <c r="AK42" i="1" s="1"/>
  <c r="AN42" i="1" s="1"/>
  <c r="AF38" i="1"/>
  <c r="AG38" i="1" s="1"/>
  <c r="AH38" i="1" s="1"/>
  <c r="AJ38" i="1"/>
  <c r="AK38" i="1" s="1"/>
  <c r="AN38" i="1" s="1"/>
  <c r="AF14" i="1"/>
  <c r="AG14" i="1" s="1"/>
  <c r="AH14" i="1" s="1"/>
  <c r="AJ14" i="1"/>
  <c r="AK14" i="1" s="1"/>
  <c r="AF58" i="1"/>
  <c r="AG58" i="1" s="1"/>
  <c r="AH58" i="1" s="1"/>
  <c r="AJ58" i="1"/>
  <c r="AK58" i="1" s="1"/>
  <c r="AN58" i="1" s="1"/>
  <c r="AF39" i="1"/>
  <c r="AG39" i="1" s="1"/>
  <c r="AH39" i="1" s="1"/>
  <c r="AJ39" i="1"/>
  <c r="AK39" i="1" s="1"/>
  <c r="AN39" i="1" s="1"/>
  <c r="AF37" i="1"/>
  <c r="AG37" i="1" s="1"/>
  <c r="AH37" i="1" s="1"/>
  <c r="AJ37" i="1"/>
  <c r="AK37" i="1" s="1"/>
  <c r="AN37" i="1" s="1"/>
  <c r="AF36" i="1"/>
  <c r="AG36" i="1" s="1"/>
  <c r="AH36" i="1" s="1"/>
  <c r="AJ36" i="1"/>
  <c r="AK36" i="1" s="1"/>
  <c r="AN36" i="1" s="1"/>
  <c r="AF57" i="1"/>
  <c r="AG57" i="1" s="1"/>
  <c r="AH57" i="1" s="1"/>
  <c r="AJ57" i="1"/>
  <c r="AK57" i="1" s="1"/>
  <c r="AN57" i="1" s="1"/>
  <c r="AF50" i="1"/>
  <c r="AG50" i="1" s="1"/>
  <c r="AH50" i="1" s="1"/>
  <c r="AJ50" i="1"/>
  <c r="AK50" i="1" s="1"/>
  <c r="AN50" i="1" s="1"/>
  <c r="AF13" i="1"/>
  <c r="AG13" i="1" s="1"/>
  <c r="AH13" i="1" s="1"/>
  <c r="AJ13" i="1"/>
  <c r="AK13" i="1" s="1"/>
  <c r="AN13" i="1" s="1"/>
  <c r="AF8" i="1"/>
  <c r="AG8" i="1" s="1"/>
  <c r="AH8" i="1" s="1"/>
  <c r="AJ8" i="1"/>
  <c r="AK8" i="1" s="1"/>
  <c r="AF12" i="1"/>
  <c r="AG12" i="1" s="1"/>
  <c r="AH12" i="1" s="1"/>
  <c r="AJ12" i="1"/>
  <c r="AK12" i="1" s="1"/>
  <c r="AN12" i="1" s="1"/>
  <c r="AN11" i="1"/>
  <c r="AN7" i="1"/>
  <c r="AF95" i="1"/>
  <c r="AG95" i="1" s="1"/>
  <c r="AH95" i="1" s="1"/>
  <c r="AF101" i="1"/>
  <c r="AG101" i="1" s="1"/>
  <c r="AH101" i="1" s="1"/>
  <c r="AF97" i="1"/>
  <c r="AG97" i="1" s="1"/>
  <c r="AH97" i="1" s="1"/>
  <c r="AF78" i="1"/>
  <c r="AG78" i="1" s="1"/>
  <c r="AH78" i="1" s="1"/>
  <c r="AF51" i="1"/>
  <c r="AG51" i="1" s="1"/>
  <c r="AH51" i="1" s="1"/>
  <c r="AF86" i="1"/>
  <c r="AG86" i="1" s="1"/>
  <c r="AH86" i="1" s="1"/>
  <c r="AF96" i="1"/>
  <c r="AG96" i="1" s="1"/>
  <c r="AH96" i="1" s="1"/>
  <c r="AF91" i="1"/>
  <c r="AG91" i="1" s="1"/>
  <c r="AH91" i="1" s="1"/>
  <c r="AF45" i="1"/>
  <c r="AG45" i="1" s="1"/>
  <c r="AH45" i="1" s="1"/>
  <c r="AF29" i="1"/>
  <c r="AG29" i="1" s="1"/>
  <c r="AH29" i="1" s="1"/>
  <c r="AF33" i="1"/>
  <c r="AG33" i="1" s="1"/>
  <c r="AH33" i="1" s="1"/>
  <c r="AF88" i="1"/>
  <c r="AG88" i="1" s="1"/>
  <c r="AH88" i="1" s="1"/>
  <c r="AF41" i="1"/>
  <c r="AG41" i="1" s="1"/>
  <c r="AH41" i="1" s="1"/>
  <c r="AF85" i="1"/>
  <c r="AG85" i="1" s="1"/>
  <c r="AH85" i="1" s="1"/>
  <c r="AF105" i="1"/>
  <c r="AG105" i="1" s="1"/>
  <c r="AH105" i="1" s="1"/>
  <c r="AF76" i="1"/>
  <c r="AG76" i="1" s="1"/>
  <c r="AH76" i="1" s="1"/>
  <c r="AF22" i="1"/>
  <c r="AG22" i="1" s="1"/>
  <c r="AH22" i="1" s="1"/>
  <c r="AF64" i="1"/>
  <c r="AG64" i="1" s="1"/>
  <c r="AH64" i="1" s="1"/>
  <c r="AF26" i="1"/>
  <c r="AG26" i="1" s="1"/>
  <c r="AH26" i="1" s="1"/>
  <c r="AF83" i="1"/>
  <c r="AG83" i="1" s="1"/>
  <c r="AH83" i="1" s="1"/>
  <c r="AF87" i="1"/>
  <c r="AG87" i="1" s="1"/>
  <c r="AH87" i="1" s="1"/>
  <c r="AF62" i="1"/>
  <c r="AG62" i="1" s="1"/>
  <c r="AH62" i="1" s="1"/>
  <c r="AF31" i="1"/>
  <c r="AG31" i="1" s="1"/>
  <c r="AH31" i="1" s="1"/>
  <c r="AF65" i="1"/>
  <c r="AG65" i="1" s="1"/>
  <c r="AH65" i="1" s="1"/>
  <c r="AF104" i="1"/>
  <c r="AG104" i="1" s="1"/>
  <c r="AH104" i="1" s="1"/>
  <c r="AF73" i="1"/>
  <c r="AG73" i="1" s="1"/>
  <c r="AH73" i="1" s="1"/>
  <c r="AF25" i="1"/>
  <c r="AG25" i="1" s="1"/>
  <c r="AH25" i="1" s="1"/>
  <c r="AF34" i="1"/>
  <c r="AG34" i="1" s="1"/>
  <c r="AH34" i="1" s="1"/>
  <c r="AF21" i="1"/>
  <c r="AG21" i="1" s="1"/>
  <c r="AH21" i="1" s="1"/>
  <c r="AF53" i="1"/>
  <c r="AG53" i="1" s="1"/>
  <c r="AH53" i="1" s="1"/>
  <c r="AF81" i="1"/>
  <c r="AG81" i="1" s="1"/>
  <c r="AH81" i="1" s="1"/>
  <c r="AF99" i="1"/>
  <c r="AG99" i="1" s="1"/>
  <c r="AH99" i="1" s="1"/>
  <c r="AF6" i="1"/>
  <c r="AG6" i="1" s="1"/>
  <c r="AH6" i="1" s="1"/>
  <c r="AF20" i="1"/>
  <c r="AG20" i="1" s="1"/>
  <c r="AH20" i="1" s="1"/>
  <c r="AF17" i="1"/>
  <c r="AG17" i="1" s="1"/>
  <c r="AH17" i="1" s="1"/>
  <c r="AF56" i="1"/>
  <c r="AG56" i="1" s="1"/>
  <c r="AH56" i="1" s="1"/>
  <c r="AF9" i="1"/>
  <c r="AG9" i="1" s="1"/>
  <c r="AH9" i="1" s="1"/>
  <c r="AF10" i="1"/>
  <c r="AG10" i="1" s="1"/>
  <c r="AH10" i="1" s="1"/>
  <c r="AF67" i="1"/>
  <c r="AG67" i="1" s="1"/>
  <c r="AH67" i="1" s="1"/>
  <c r="AF71" i="1"/>
  <c r="AG71" i="1" s="1"/>
  <c r="AH71" i="1" s="1"/>
  <c r="AF72" i="1"/>
  <c r="AG72" i="1" s="1"/>
  <c r="AH72" i="1" s="1"/>
  <c r="AF55" i="1"/>
  <c r="AG55" i="1" s="1"/>
  <c r="AH55" i="1" s="1"/>
  <c r="AF92" i="1"/>
  <c r="AG92" i="1" s="1"/>
  <c r="AH92" i="1" s="1"/>
  <c r="AF48" i="1"/>
  <c r="AG48" i="1" s="1"/>
  <c r="AH48" i="1" s="1"/>
  <c r="AF66" i="1"/>
  <c r="AG66" i="1" s="1"/>
  <c r="AH66" i="1" s="1"/>
  <c r="AF84" i="1"/>
  <c r="AG84" i="1" s="1"/>
  <c r="AH84" i="1" s="1"/>
  <c r="AF32" i="1"/>
  <c r="AG32" i="1" s="1"/>
  <c r="AH32" i="1" s="1"/>
  <c r="AF40" i="1"/>
  <c r="AG40" i="1" s="1"/>
  <c r="AH40" i="1" s="1"/>
  <c r="AF24" i="1"/>
  <c r="AG24" i="1" s="1"/>
  <c r="AH24" i="1" s="1"/>
  <c r="AL8" i="1" l="1"/>
  <c r="AM8" i="1" s="1"/>
  <c r="AN8" i="1" s="1"/>
  <c r="AL14" i="1"/>
  <c r="AM14" i="1" s="1"/>
  <c r="AN14" i="1" s="1"/>
  <c r="AH107" i="1"/>
  <c r="B17" i="1" s="1"/>
  <c r="AN107" i="1" l="1"/>
  <c r="B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<sst xmlns="http://schemas.openxmlformats.org/spreadsheetml/2006/main" count="62" uniqueCount="53">
  <si>
    <t>EXE_DIREC</t>
  </si>
  <si>
    <t>ST</t>
    <phoneticPr fontId="1"/>
  </si>
  <si>
    <t>ニーモニック</t>
    <phoneticPr fontId="1"/>
  </si>
  <si>
    <t>エラーデバイス</t>
    <phoneticPr fontId="1"/>
  </si>
  <si>
    <t>x2</t>
    <phoneticPr fontId="1"/>
  </si>
  <si>
    <t>サブデバイス</t>
    <phoneticPr fontId="1"/>
  </si>
  <si>
    <t>エラーNo.</t>
    <phoneticPr fontId="1"/>
  </si>
  <si>
    <t>有効</t>
    <rPh sb="0" eb="2">
      <t>ユウコウ</t>
    </rPh>
    <phoneticPr fontId="1"/>
  </si>
  <si>
    <t>緒言</t>
    <rPh sb="0" eb="2">
      <t>ショゲン</t>
    </rPh>
    <phoneticPr fontId="1"/>
  </si>
  <si>
    <t>ファイル</t>
  </si>
  <si>
    <t>先頭注記</t>
  </si>
  <si>
    <t>末尾注記</t>
  </si>
  <si>
    <t>-----ここまで生成script-----</t>
  </si>
  <si>
    <t>AX</t>
    <phoneticPr fontId="1"/>
  </si>
  <si>
    <t>変数表貼り付け領域</t>
    <rPh sb="0" eb="2">
      <t>ヘンスウ</t>
    </rPh>
    <rPh sb="2" eb="3">
      <t>ヒョウ</t>
    </rPh>
    <rPh sb="3" eb="4">
      <t>ハ</t>
    </rPh>
    <rPh sb="5" eb="6">
      <t>ツ</t>
    </rPh>
    <rPh sb="7" eb="9">
      <t>リョウイキ</t>
    </rPh>
    <phoneticPr fontId="1"/>
  </si>
  <si>
    <t>CYL</t>
  </si>
  <si>
    <t>astCYL</t>
  </si>
  <si>
    <t>astAXR</t>
  </si>
  <si>
    <t>astAXK</t>
  </si>
  <si>
    <t>astAXO</t>
  </si>
  <si>
    <t>stDevIn</t>
  </si>
  <si>
    <t>astEC</t>
  </si>
  <si>
    <t>有無</t>
    <rPh sb="0" eb="2">
      <t>ウム</t>
    </rPh>
    <phoneticPr fontId="1"/>
  </si>
  <si>
    <t>モジュールエラー</t>
    <phoneticPr fontId="1"/>
  </si>
  <si>
    <t>EC</t>
    <phoneticPr fontId="1"/>
  </si>
  <si>
    <t>ST(kvx)</t>
    <phoneticPr fontId="1"/>
  </si>
  <si>
    <t>ニーモニック(kvx)</t>
    <phoneticPr fontId="1"/>
  </si>
  <si>
    <t>stM.udiErrDev</t>
    <phoneticPr fontId="1"/>
  </si>
  <si>
    <t>△●U01平板 巻き動作</t>
  </si>
  <si>
    <t>△●U02波板 巻き動作</t>
  </si>
  <si>
    <t>△●U05溶接 押え</t>
  </si>
  <si>
    <t>△◆平板押え 上昇有無</t>
  </si>
  <si>
    <t>&gt;●CYL07平板押え 上昇</t>
  </si>
  <si>
    <t>&gt;巻き締まり 待機</t>
  </si>
  <si>
    <t>▼平板押え 下降</t>
  </si>
  <si>
    <t>◆主軸 巻き継続判定</t>
  </si>
  <si>
    <t>&gt;●AXK13主軸 巻き回転</t>
  </si>
  <si>
    <t>&gt;◆波板ﾉﾘ 有無判定</t>
  </si>
  <si>
    <t>stEx400</t>
  </si>
  <si>
    <t>stEx401</t>
  </si>
  <si>
    <t>stEx402</t>
  </si>
  <si>
    <t>stEx403</t>
  </si>
  <si>
    <t>stEx404</t>
  </si>
  <si>
    <t>stEx405</t>
  </si>
  <si>
    <t>stEx406</t>
  </si>
  <si>
    <t>stEx407</t>
  </si>
  <si>
    <t>stEx408</t>
  </si>
  <si>
    <t>stEx409</t>
  </si>
  <si>
    <t>udiSubErr</t>
  </si>
  <si>
    <t>上限桁数</t>
    <rPh sb="0" eb="2">
      <t>ジョウゲン</t>
    </rPh>
    <rPh sb="2" eb="4">
      <t>ケタスウ</t>
    </rPh>
    <phoneticPr fontId="1"/>
  </si>
  <si>
    <t>開始オフセット</t>
    <rPh sb="0" eb="2">
      <t>カイシ</t>
    </rPh>
    <phoneticPr fontId="1"/>
  </si>
  <si>
    <t>エラーカウントデバイス</t>
    <phoneticPr fontId="1"/>
  </si>
  <si>
    <t>stM.uiEDCnt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</si>
</sst>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</cellXfs>
  <cellStyles count="1">
    <cellStyle name="標準" xfId="0" builtinId="0"/>
  </cellStyles>
  <dxfs count="1">
    <dxf>
      <fill>
        <patternFill patternType="lightUp">
          <fgColor rgb="FF33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D0F4-3707-4FCC-9D10-2DD76A7D546A}">
  <sheetPr codeName="Sheet1"/>
  <dimension ref="A1:AN107"/>
  <sheetViews>
    <sheetView tabSelected="1" workbookViewId="0">
      <pane xSplit="5" ySplit="5" topLeftCell="F6" activePane="bottomRight" state="frozen"/>
      <selection pane="topRight" activeCell="F1" sqref="F1"/>
      <selection pane="bottomLeft" activeCell="A4" sqref="A4"/>
      <selection pane="bottomRight" activeCell="R8" sqref="R8"/>
    </sheetView>
  </sheetViews>
  <sheetFormatPr defaultRowHeight="18" x14ac:dyDescent="0.55000000000000004"/>
  <cols>
    <col min="1" max="1" width="17" bestFit="1" customWidth="1"/>
    <col min="2" max="2" width="20.9140625" customWidth="1"/>
    <col min="12" max="12" width="21.08203125" bestFit="1" customWidth="1"/>
    <col min="26" max="26" width="14.75" bestFit="1" customWidth="1"/>
    <col min="27" max="27" width="23.4140625" bestFit="1" customWidth="1"/>
    <col min="28" max="28" width="24" bestFit="1" customWidth="1"/>
    <col min="29" max="29" width="24" customWidth="1"/>
    <col min="34" max="34" width="8.6640625" customWidth="1"/>
    <col min="37" max="39" width="24" customWidth="1"/>
  </cols>
  <sheetData>
    <row r="1" spans="1:40" x14ac:dyDescent="0.55000000000000004">
      <c r="N1" t="s">
        <v>20</v>
      </c>
      <c r="Y1" t="s">
        <v>49</v>
      </c>
    </row>
    <row r="2" spans="1:40" x14ac:dyDescent="0.55000000000000004">
      <c r="Q2">
        <v>5</v>
      </c>
      <c r="R2">
        <v>13</v>
      </c>
      <c r="S2">
        <v>2</v>
      </c>
      <c r="T2">
        <v>1</v>
      </c>
      <c r="U2">
        <v>1</v>
      </c>
      <c r="Y2">
        <v>100</v>
      </c>
    </row>
    <row r="3" spans="1:40" x14ac:dyDescent="0.55000000000000004">
      <c r="Q3">
        <v>9</v>
      </c>
      <c r="R3">
        <v>14</v>
      </c>
      <c r="S3">
        <v>4</v>
      </c>
      <c r="T3">
        <v>20</v>
      </c>
      <c r="U3">
        <v>1</v>
      </c>
      <c r="Y3" t="s">
        <v>50</v>
      </c>
    </row>
    <row r="4" spans="1:40" x14ac:dyDescent="0.55000000000000004">
      <c r="Q4" t="s">
        <v>17</v>
      </c>
      <c r="R4" t="s">
        <v>18</v>
      </c>
      <c r="S4" t="s">
        <v>19</v>
      </c>
      <c r="T4" t="s">
        <v>16</v>
      </c>
      <c r="U4" t="s">
        <v>21</v>
      </c>
      <c r="Y4">
        <v>1</v>
      </c>
    </row>
    <row r="5" spans="1:40" x14ac:dyDescent="0.55000000000000004">
      <c r="A5" t="s">
        <v>8</v>
      </c>
      <c r="E5" s="1" t="s">
        <v>14</v>
      </c>
      <c r="F5" s="1"/>
      <c r="G5" s="1"/>
      <c r="H5" s="1"/>
      <c r="I5" s="1"/>
      <c r="J5" s="1"/>
      <c r="K5" s="1"/>
      <c r="L5" s="1"/>
      <c r="N5" t="s">
        <v>13</v>
      </c>
      <c r="O5" t="s">
        <v>15</v>
      </c>
      <c r="P5" t="s">
        <v>24</v>
      </c>
      <c r="Q5" t="str">
        <f t="shared" ref="Q5:S5" si="0">$N$1&amp;"."&amp;Q4</f>
        <v>stDevIn.astAXR</v>
      </c>
      <c r="R5" t="str">
        <f t="shared" si="0"/>
        <v>stDevIn.astAXK</v>
      </c>
      <c r="S5" t="str">
        <f t="shared" si="0"/>
        <v>stDevIn.astAXO</v>
      </c>
      <c r="T5" t="str">
        <f>$N$1&amp;"."&amp;T4</f>
        <v>stDevIn.astCYL</v>
      </c>
      <c r="V5" t="s">
        <v>22</v>
      </c>
      <c r="X5" t="s">
        <v>7</v>
      </c>
      <c r="Y5" t="s">
        <v>6</v>
      </c>
      <c r="AD5" t="s">
        <v>2</v>
      </c>
      <c r="AN5" t="s">
        <v>1</v>
      </c>
    </row>
    <row r="6" spans="1:40" x14ac:dyDescent="0.55000000000000004">
      <c r="A6" t="s">
        <v>9</v>
      </c>
      <c r="B6" t="str" cm="1">
        <f t="array" aca="1" ref="B6" ca="1">CELL("filename")</f>
        <v>C:\tk\prj\hg-0025-0016\git\kv-x520\doc\[kv_script_cycle_info.xlsx]info_index</v>
      </c>
      <c r="D6">
        <v>0</v>
      </c>
      <c r="E6" t="s">
        <v>38</v>
      </c>
      <c r="F6" t="s">
        <v>0</v>
      </c>
      <c r="I6" t="b">
        <v>0</v>
      </c>
      <c r="J6" t="b">
        <v>0</v>
      </c>
      <c r="K6" t="b">
        <v>0</v>
      </c>
      <c r="L6" t="s">
        <v>28</v>
      </c>
      <c r="N6" t="str">
        <f>IF(COUNTIF($L6,"*"&amp;N$5&amp;"*"),INT(MID($L6,FIND(N$5,$L6)+LEN(N$5)+1,2)),"")</f>
        <v/>
      </c>
      <c r="O6" t="str">
        <f>IF(COUNTIF($L6,"*"&amp;O$5&amp;"*"),INT(MID($L6,FIND(O$5,$L6)+LEN(O$5),2)),"")</f>
        <v/>
      </c>
      <c r="P6" t="str">
        <f>IF(COUNTIF($L6,"*"&amp;P$5&amp;"*"),INT(MID($L6,FIND(P$5,$L6)+LEN(P$5),2)),"")</f>
        <v/>
      </c>
      <c r="Q6" t="str">
        <f>IF(AND(LEN($N6),Q$2&lt;=$N6,$N6&lt;=Q$3),Q$5&amp;"["&amp;$N6-Q$2&amp;"]","")</f>
        <v/>
      </c>
      <c r="R6" t="str">
        <f t="shared" ref="R6:S21" si="1">IF(AND(LEN($N6),R$2&lt;=$N6,$N6&lt;=R$3),R$5&amp;"["&amp;$N6-R$2&amp;"]","")</f>
        <v/>
      </c>
      <c r="S6" t="str">
        <f t="shared" si="1"/>
        <v/>
      </c>
      <c r="T6" t="str">
        <f>IF(AND(LEN($O6),T$2&lt;=$O6,$O6&lt;=T$3),T$5&amp;"["&amp;$O6-T$2&amp;"]","")</f>
        <v/>
      </c>
      <c r="U6" t="str">
        <f>IF(AND(LEN($P6),U$2&lt;=$P6,$P6&lt;=U$3),U$5&amp;"["&amp;$P6-U$2&amp;"]","")</f>
        <v/>
      </c>
      <c r="V6" t="str">
        <f>IF(LEN(_xlfn.CONCAT(Q6:U6)),_xlfn.CONCAT(Q6:U6),"")</f>
        <v/>
      </c>
      <c r="X6" t="str">
        <f t="shared" ref="X6:X37" si="2">IF(LEN(L6),IF(OR(COUNTIF(L6,"*◆*"),COUNTIF(L6,"*▼*")),"","●"),"")</f>
        <v>●</v>
      </c>
      <c r="Y6">
        <f>IF(X6="●",Y$4+MOD(INT(MID(E6,5,3)),Y$2),"")</f>
        <v>1</v>
      </c>
      <c r="Z6" t="str">
        <f t="shared" ref="Z6:Z37" si="3">IF($X6="●","LDP "&amp;E6&amp;"."&amp;$B$12,"")</f>
        <v>LDP stEx400.x2</v>
      </c>
      <c r="AA6" t="str">
        <f t="shared" ref="AA6:AA37" si="4">IF($X6="●","AND=.D "&amp;$B$13&amp;" #0","")</f>
        <v>AND=.D stM.udiErrDev #0</v>
      </c>
      <c r="AB6" t="str">
        <f t="shared" ref="AB6:AB37" si="5">IF($X6="●","MOV.D #"&amp;Y6&amp;" "&amp;$B$13,"")</f>
        <v>MOV.D #1 stM.udiErrDev</v>
      </c>
      <c r="AC6" t="str">
        <f>IF(LEN(V6),"MOV.D "&amp;$V6&amp;" "&amp;$B$15,"")</f>
        <v/>
      </c>
      <c r="AD6" t="str">
        <f t="shared" ref="AD6:AD37" si="6">IF(AND(D6&lt;&gt;0,X6="●"),CHAR(10),"")&amp;IF(LEN(Z6),Z6,"")</f>
        <v>LDP stEx400.x2</v>
      </c>
      <c r="AE6" t="str">
        <f t="shared" ref="AE6:AE37" si="7">IF(LEN(AD6),AD6&amp;CHAR(10),"")&amp;IF(LEN(AA6),AA6,"")</f>
        <v>LDP stEx400.x2
AND=.D stM.udiErrDev #0</v>
      </c>
      <c r="AF6" t="str">
        <f t="shared" ref="AF6:AF37" si="8">IF(LEN(AE6),AE6&amp;CHAR(10),"")&amp;IF(LEN(AB6),AB6,"")</f>
        <v>LDP stEx400.x2
AND=.D stM.udiErrDev #0
MOV.D #1 stM.udiErrDev</v>
      </c>
      <c r="AG6" t="str">
        <f>IF(LEN(AF6),AF6&amp;CHAR(10),"")&amp;IF(LEN(AC6),AC6,"")</f>
        <v xml:space="preserve">LDP stEx400.x2
AND=.D stM.udiErrDev #0
MOV.D #1 stM.udiErrDev
</v>
      </c>
      <c r="AH6" t="str">
        <f>AG6</f>
        <v xml:space="preserve">LDP stEx400.x2
AND=.D stM.udiErrDev #0
MOV.D #1 stM.udiErrDev
</v>
      </c>
      <c r="AJ6" t="str">
        <f t="shared" ref="AJ6:AJ37" ca="1" si="9">IF($X6="●",AE6&amp;CHAR(10)&amp;"BOX_ST"&amp;CHAR(10)&amp;";//"&amp;$B$8,"")</f>
        <v>LDP stEx400.x2
AND=.D stM.udiErrDev #0
BOX_ST
;//このスクリプトは C:\tk\prj\hg-0025-0016\git\kv-x520\doc\[kv_script_cycle_info.xlsx]info_index によって生成されました。</v>
      </c>
      <c r="AK6" t="str">
        <f t="shared" ref="AK6:AK37" ca="1" si="10">IF($X6="●",IF(LEN(AJ6),AJ6&amp;CHAR(10),"")&amp;";//エラーNo.を入れる"&amp;CHAR(10)&amp;";"&amp;$B$13&amp;"	:= "&amp;Y6&amp;";","")</f>
        <v>LDP stEx400.x2
AND=.D stM.udiErrDev #0
BOX_ST
;//このスクリプトは C:\tk\prj\hg-0025-0016\git\kv-x520\doc\[kv_script_cycle_info.xlsx]info_index によって生成されました。
;//エラーNo.を入れる
;stM.udiErrDev	:= 1;</v>
      </c>
      <c r="AL6" t="str">
        <f ca="1">IF($X6="●",IF(LEN(AK6),AK6&amp;CHAR(10),"")&amp;";//カウントする"&amp;CHAR(10)&amp;";"&amp;$B$14&amp;"	:= "&amp;$B$14&amp;" + 1;","")</f>
        <v>LDP stEx400.x2
AND=.D stM.udiErrDev #0
BOX_ST
;//このスクリプトは C:\tk\prj\hg-0025-0016\git\kv-x520\doc\[kv_script_cycle_info.xlsx]info_index によって生成されました。
;//エラーNo.を入れる
;stM.udiErrDev	:= 1;
;//カウントする
;stM.uiEDCnt	:= stM.uiEDCnt + 1;</v>
      </c>
      <c r="AM6" t="str">
        <f ca="1">IF($X6="●",IF(LEN(AL6),AL6&amp;CHAR(10),"")&amp;IF(LEN(V6),";//エラーコードを入れる"&amp;CHAR(10)&amp;";"&amp;$B$15&amp;"	:= "&amp;V6&amp;".udiErr;",""),"")</f>
        <v xml:space="preserve">LDP stEx400.x2
AND=.D stM.udiErrDev #0
BOX_ST
;//このスクリプトは C:\tk\prj\hg-0025-0016\git\kv-x520\doc\[kv_script_cycle_info.xlsx]info_index によって生成されました。
;//エラーNo.を入れる
;stM.udiErrDev	:= 1;
;//カウントする
;stM.uiEDCnt	:= stM.uiEDCnt + 1;
</v>
      </c>
      <c r="AN6" t="str">
        <f t="shared" ref="AN6:AN37" ca="1" si="11">IF($X6="●",IF(LEN(AM6),AM6&amp;CHAR(10),"")&amp;";//"&amp;$B$9,"")</f>
        <v>LDP stEx400.x2
AND=.D stM.udiErrDev #0
BOX_ST
;//このスクリプトは C:\tk\prj\hg-0025-0016\git\kv-x520\doc\[kv_script_cycle_info.xlsx]info_index によって生成されました。
;//エラーNo.を入れる
;stM.udiErrDev	:= 1;
;//カウントする
;stM.uiEDCnt	:= stM.uiEDCnt + 1;
;//-----ここまで生成script-----</v>
      </c>
    </row>
    <row r="7" spans="1:40" x14ac:dyDescent="0.55000000000000004">
      <c r="D7">
        <v>1</v>
      </c>
      <c r="E7" t="s">
        <v>39</v>
      </c>
      <c r="F7" t="s">
        <v>0</v>
      </c>
      <c r="I7" t="b">
        <v>0</v>
      </c>
      <c r="J7" t="b">
        <v>0</v>
      </c>
      <c r="K7" t="b">
        <v>0</v>
      </c>
      <c r="L7" t="s">
        <v>29</v>
      </c>
      <c r="N7" t="str">
        <f t="shared" ref="N7:N70" si="12">IF(COUNTIF($L7,"*"&amp;N$5&amp;"*"),INT(MID($L7,FIND(N$5,$L7)+LEN(N$5)+1,2)),"")</f>
        <v/>
      </c>
      <c r="O7" t="str">
        <f t="shared" ref="O7:P70" si="13">IF(COUNTIF($L7,"*"&amp;O$5&amp;"*"),INT(MID($L7,FIND(O$5,$L7)+LEN(O$5),2)),"")</f>
        <v/>
      </c>
      <c r="P7" t="str">
        <f t="shared" si="13"/>
        <v/>
      </c>
      <c r="Q7" t="str">
        <f t="shared" ref="Q7:S38" si="14">IF(AND(LEN($N7),Q$2&lt;=$N7,$N7&lt;=Q$3),Q$5&amp;"["&amp;$N7-Q$2&amp;"]","")</f>
        <v/>
      </c>
      <c r="R7" t="str">
        <f t="shared" si="1"/>
        <v/>
      </c>
      <c r="S7" t="str">
        <f t="shared" si="1"/>
        <v/>
      </c>
      <c r="T7" t="str">
        <f t="shared" ref="T7:T70" si="15">IF(AND(LEN($O7),T$2&lt;=$O7,$O7&lt;=T$3),T$5&amp;"["&amp;$O7-T$2&amp;"]","")</f>
        <v/>
      </c>
      <c r="U7" t="str">
        <f t="shared" ref="U7:U70" si="16">IF(AND(LEN($P7),U$2&lt;=$P7,$P7&lt;=U$3),U$5&amp;"["&amp;$P7-U$2&amp;"]","")</f>
        <v/>
      </c>
      <c r="V7" t="str">
        <f t="shared" ref="V7:V70" si="17">IF(LEN(_xlfn.CONCAT(Q7:U7)),_xlfn.CONCAT(Q7:U7),"")</f>
        <v/>
      </c>
      <c r="X7" t="str">
        <f t="shared" si="2"/>
        <v>●</v>
      </c>
      <c r="Y7">
        <f>IF(X7="●",Y$4+MOD(INT(MID(E7,5,3)),Y$2),"")</f>
        <v>2</v>
      </c>
      <c r="Z7" t="str">
        <f t="shared" si="3"/>
        <v>LDP stEx401.x2</v>
      </c>
      <c r="AA7" t="str">
        <f t="shared" si="4"/>
        <v>AND=.D stM.udiErrDev #0</v>
      </c>
      <c r="AB7" t="str">
        <f t="shared" si="5"/>
        <v>MOV.D #2 stM.udiErrDev</v>
      </c>
      <c r="AC7" t="str">
        <f>IF(LEN(V7),"MOV.D "&amp;$V7&amp;" "&amp;$B$15,"")</f>
        <v/>
      </c>
      <c r="AD7" t="str">
        <f t="shared" si="6"/>
        <v xml:space="preserve">
LDP stEx401.x2</v>
      </c>
      <c r="AE7" t="str">
        <f t="shared" si="7"/>
        <v xml:space="preserve">
LDP stEx401.x2
AND=.D stM.udiErrDev #0</v>
      </c>
      <c r="AF7" t="str">
        <f t="shared" si="8"/>
        <v xml:space="preserve">
LDP stEx401.x2
AND=.D stM.udiErrDev #0
MOV.D #2 stM.udiErrDev</v>
      </c>
      <c r="AG7" t="str">
        <f t="shared" ref="AG7:AG70" si="18">IF(LEN(AF7),AF7&amp;CHAR(10),"")&amp;IF(LEN(AC7),AC7,"")</f>
        <v xml:space="preserve">
LDP stEx401.x2
AND=.D stM.udiErrDev #0
MOV.D #2 stM.udiErrDev
</v>
      </c>
      <c r="AH7" t="str">
        <f t="shared" ref="AH7:AH70" si="19">AG7</f>
        <v xml:space="preserve">
LDP stEx401.x2
AND=.D stM.udiErrDev #0
MOV.D #2 stM.udiErrDev
</v>
      </c>
      <c r="AJ7" t="str">
        <f t="shared" ca="1" si="9"/>
        <v xml:space="preserve">
LDP stEx401.x2
AND=.D stM.udiErrDev #0
BOX_ST
;//このスクリプトは C:\tk\prj\hg-0025-0016\git\kv-x520\doc\[kv_script_cycle_info.xlsx]info_index によって生成されました。</v>
      </c>
      <c r="AK7" t="str">
        <f t="shared" ca="1" si="10"/>
        <v xml:space="preserve">
LDP stEx401.x2
AND=.D stM.udiErrDev #0
BOX_ST
;//このスクリプトは C:\tk\prj\hg-0025-0016\git\kv-x520\doc\[kv_script_cycle_info.xlsx]info_index によって生成されました。
;//エラーNo.を入れる
;stM.udiErrDev	:= 2;</v>
      </c>
      <c r="AL7" t="str">
        <f t="shared" ref="AL7:AL70" ca="1" si="20">IF($X7="●",IF(LEN(AK7),AK7&amp;CHAR(10),"")&amp;";//カウントする"&amp;CHAR(10)&amp;";"&amp;$B$14&amp;"	:= "&amp;$B$14&amp;" + 1;","")</f>
        <v xml:space="preserve">
LDP stEx401.x2
AND=.D stM.udiErrDev #0
BOX_ST
;//このスクリプトは C:\tk\prj\hg-0025-0016\git\kv-x520\doc\[kv_script_cycle_info.xlsx]info_index によって生成されました。
;//エラーNo.を入れる
;stM.udiErrDev	:= 2;
;//カウントする
;stM.uiEDCnt	:= stM.uiEDCnt + 1;</v>
      </c>
      <c r="AM7" t="str">
        <f t="shared" ref="AM7:AM70" ca="1" si="21">IF($X7="●",IF(LEN(AL7),AL7&amp;CHAR(10),"")&amp;IF(LEN(V7),";//エラーコードを入れる"&amp;CHAR(10)&amp;";"&amp;$B$15&amp;"	:= "&amp;V7&amp;".udiErr;",""),"")</f>
        <v xml:space="preserve">
LDP stEx401.x2
AND=.D stM.udiErrDev #0
BOX_ST
;//このスクリプトは C:\tk\prj\hg-0025-0016\git\kv-x520\doc\[kv_script_cycle_info.xlsx]info_index によって生成されました。
;//エラーNo.を入れる
;stM.udiErrDev	:= 2;
;//カウントする
;stM.uiEDCnt	:= stM.uiEDCnt + 1;
</v>
      </c>
      <c r="AN7" t="str">
        <f t="shared" ca="1" si="11"/>
        <v xml:space="preserve">
LDP stEx401.x2
AND=.D stM.udiErrDev #0
BOX_ST
;//このスクリプトは C:\tk\prj\hg-0025-0016\git\kv-x520\doc\[kv_script_cycle_info.xlsx]info_index によって生成されました。
;//エラーNo.を入れる
;stM.udiErrDev	:= 2;
;//カウントする
;stM.uiEDCnt	:= stM.uiEDCnt + 1;
;//-----ここまで生成script-----</v>
      </c>
    </row>
    <row r="8" spans="1:40" x14ac:dyDescent="0.55000000000000004">
      <c r="A8" t="s">
        <v>10</v>
      </c>
      <c r="B8" t="str">
        <f ca="1">"このスクリプトは "&amp;B6&amp;" によって生成されました。"</f>
        <v>このスクリプトは C:\tk\prj\hg-0025-0016\git\kv-x520\doc\[kv_script_cycle_info.xlsx]info_index によって生成されました。</v>
      </c>
      <c r="D8">
        <v>2</v>
      </c>
      <c r="E8" t="s">
        <v>40</v>
      </c>
      <c r="F8" t="s">
        <v>0</v>
      </c>
      <c r="I8" t="b">
        <v>0</v>
      </c>
      <c r="J8" t="b">
        <v>0</v>
      </c>
      <c r="K8" t="b">
        <v>0</v>
      </c>
      <c r="L8" t="s">
        <v>30</v>
      </c>
      <c r="N8" t="str">
        <f t="shared" si="12"/>
        <v/>
      </c>
      <c r="O8" t="str">
        <f t="shared" si="13"/>
        <v/>
      </c>
      <c r="P8" t="str">
        <f t="shared" si="13"/>
        <v/>
      </c>
      <c r="Q8" t="str">
        <f t="shared" si="14"/>
        <v/>
      </c>
      <c r="R8" t="str">
        <f t="shared" si="1"/>
        <v/>
      </c>
      <c r="S8" t="str">
        <f t="shared" si="1"/>
        <v/>
      </c>
      <c r="T8" t="str">
        <f t="shared" si="15"/>
        <v/>
      </c>
      <c r="U8" t="str">
        <f t="shared" si="16"/>
        <v/>
      </c>
      <c r="V8" t="str">
        <f t="shared" si="17"/>
        <v/>
      </c>
      <c r="X8" t="str">
        <f t="shared" si="2"/>
        <v>●</v>
      </c>
      <c r="Y8">
        <f>IF(X8="●",Y$4+MOD(INT(MID(E8,5,3)),Y$2),"")</f>
        <v>3</v>
      </c>
      <c r="Z8" t="str">
        <f t="shared" si="3"/>
        <v>LDP stEx402.x2</v>
      </c>
      <c r="AA8" t="str">
        <f t="shared" si="4"/>
        <v>AND=.D stM.udiErrDev #0</v>
      </c>
      <c r="AB8" t="str">
        <f t="shared" si="5"/>
        <v>MOV.D #3 stM.udiErrDev</v>
      </c>
      <c r="AC8" t="str">
        <f>IF(LEN(V8),"MOV.D "&amp;$V8&amp;" "&amp;$B$15,"")</f>
        <v/>
      </c>
      <c r="AD8" t="str">
        <f t="shared" si="6"/>
        <v xml:space="preserve">
LDP stEx402.x2</v>
      </c>
      <c r="AE8" t="str">
        <f t="shared" si="7"/>
        <v xml:space="preserve">
LDP stEx402.x2
AND=.D stM.udiErrDev #0</v>
      </c>
      <c r="AF8" t="str">
        <f t="shared" si="8"/>
        <v xml:space="preserve">
LDP stEx402.x2
AND=.D stM.udiErrDev #0
MOV.D #3 stM.udiErrDev</v>
      </c>
      <c r="AG8" t="str">
        <f t="shared" si="18"/>
        <v xml:space="preserve">
LDP stEx402.x2
AND=.D stM.udiErrDev #0
MOV.D #3 stM.udiErrDev
</v>
      </c>
      <c r="AH8" t="str">
        <f t="shared" si="19"/>
        <v xml:space="preserve">
LDP stEx402.x2
AND=.D stM.udiErrDev #0
MOV.D #3 stM.udiErrDev
</v>
      </c>
      <c r="AJ8" t="str">
        <f t="shared" ca="1" si="9"/>
        <v xml:space="preserve">
LDP stEx402.x2
AND=.D stM.udiErrDev #0
BOX_ST
;//このスクリプトは C:\tk\prj\hg-0025-0016\git\kv-x520\doc\[kv_script_cycle_info.xlsx]info_index によって生成されました。</v>
      </c>
      <c r="AK8" t="str">
        <f t="shared" ca="1" si="10"/>
        <v xml:space="preserve">
LDP stEx402.x2
AND=.D stM.udiErrDev #0
BOX_ST
;//このスクリプトは C:\tk\prj\hg-0025-0016\git\kv-x520\doc\[kv_script_cycle_info.xlsx]info_index によって生成されました。
;//エラーNo.を入れる
;stM.udiErrDev	:= 3;</v>
      </c>
      <c r="AL8" t="str">
        <f t="shared" ca="1" si="20"/>
        <v xml:space="preserve">
LDP stEx402.x2
AND=.D stM.udiErrDev #0
BOX_ST
;//このスクリプトは C:\tk\prj\hg-0025-0016\git\kv-x520\doc\[kv_script_cycle_info.xlsx]info_index によって生成されました。
;//エラーNo.を入れる
;stM.udiErrDev	:= 3;
;//カウントする
;stM.uiEDCnt	:= stM.uiEDCnt + 1;</v>
      </c>
      <c r="AM8" t="str">
        <f t="shared" ca="1" si="21"/>
        <v xml:space="preserve">
LDP stEx402.x2
AND=.D stM.udiErrDev #0
BOX_ST
;//このスクリプトは C:\tk\prj\hg-0025-0016\git\kv-x520\doc\[kv_script_cycle_info.xlsx]info_index によって生成されました。
;//エラーNo.を入れる
;stM.udiErrDev	:= 3;
;//カウントする
;stM.uiEDCnt	:= stM.uiEDCnt + 1;
</v>
      </c>
      <c r="AN8" t="str">
        <f t="shared" ca="1" si="11"/>
        <v xml:space="preserve">
LDP stEx402.x2
AND=.D stM.udiErrDev #0
BOX_ST
;//このスクリプトは C:\tk\prj\hg-0025-0016\git\kv-x520\doc\[kv_script_cycle_info.xlsx]info_index によって生成されました。
;//エラーNo.を入れる
;stM.udiErrDev	:= 3;
;//カウントする
;stM.uiEDCnt	:= stM.uiEDCnt + 1;
;//-----ここまで生成script-----</v>
      </c>
    </row>
    <row r="9" spans="1:40" x14ac:dyDescent="0.55000000000000004">
      <c r="A9" t="s">
        <v>11</v>
      </c>
      <c r="B9" t="s">
        <v>12</v>
      </c>
      <c r="D9">
        <v>3</v>
      </c>
      <c r="E9" t="s">
        <v>41</v>
      </c>
      <c r="F9" t="s">
        <v>0</v>
      </c>
      <c r="I9" t="b">
        <v>0</v>
      </c>
      <c r="J9" t="b">
        <v>0</v>
      </c>
      <c r="K9" t="b">
        <v>0</v>
      </c>
      <c r="L9" t="s">
        <v>31</v>
      </c>
      <c r="N9" t="str">
        <f t="shared" si="12"/>
        <v/>
      </c>
      <c r="O9" t="str">
        <f t="shared" si="13"/>
        <v/>
      </c>
      <c r="P9" t="str">
        <f t="shared" si="13"/>
        <v/>
      </c>
      <c r="Q9" t="str">
        <f t="shared" si="14"/>
        <v/>
      </c>
      <c r="R9" t="str">
        <f t="shared" si="1"/>
        <v/>
      </c>
      <c r="S9" t="str">
        <f t="shared" si="1"/>
        <v/>
      </c>
      <c r="T9" t="str">
        <f t="shared" si="15"/>
        <v/>
      </c>
      <c r="U9" t="str">
        <f t="shared" si="16"/>
        <v/>
      </c>
      <c r="V9" t="str">
        <f t="shared" si="17"/>
        <v/>
      </c>
      <c r="X9" t="str">
        <f t="shared" si="2"/>
        <v/>
      </c>
      <c r="Y9" t="str">
        <f>IF(X9="●",Y$4+MOD(INT(MID(E9,5,3)),Y$2),"")</f>
        <v/>
      </c>
      <c r="Z9" t="str">
        <f t="shared" si="3"/>
        <v/>
      </c>
      <c r="AA9" t="str">
        <f t="shared" si="4"/>
        <v/>
      </c>
      <c r="AB9" t="str">
        <f t="shared" si="5"/>
        <v/>
      </c>
      <c r="AC9" t="str">
        <f>IF(LEN(V9),"MOV.D "&amp;$V9&amp;" "&amp;$B$15,"")</f>
        <v/>
      </c>
      <c r="AD9" t="str">
        <f t="shared" si="6"/>
        <v/>
      </c>
      <c r="AE9" t="str">
        <f t="shared" si="7"/>
        <v/>
      </c>
      <c r="AF9" t="str">
        <f t="shared" si="8"/>
        <v/>
      </c>
      <c r="AG9" t="str">
        <f t="shared" si="18"/>
        <v/>
      </c>
      <c r="AH9" t="str">
        <f t="shared" si="19"/>
        <v/>
      </c>
      <c r="AJ9" t="str">
        <f t="shared" si="9"/>
        <v/>
      </c>
      <c r="AK9" t="str">
        <f t="shared" si="10"/>
        <v/>
      </c>
      <c r="AL9" t="str">
        <f t="shared" si="20"/>
        <v/>
      </c>
      <c r="AM9" t="str">
        <f t="shared" si="21"/>
        <v/>
      </c>
      <c r="AN9" t="str">
        <f t="shared" si="11"/>
        <v/>
      </c>
    </row>
    <row r="10" spans="1:40" x14ac:dyDescent="0.55000000000000004">
      <c r="D10">
        <v>4</v>
      </c>
      <c r="E10" t="s">
        <v>42</v>
      </c>
      <c r="F10" t="s">
        <v>0</v>
      </c>
      <c r="I10" t="b">
        <v>0</v>
      </c>
      <c r="J10" t="b">
        <v>0</v>
      </c>
      <c r="K10" t="b">
        <v>0</v>
      </c>
      <c r="L10" t="s">
        <v>32</v>
      </c>
      <c r="N10" t="str">
        <f t="shared" si="12"/>
        <v/>
      </c>
      <c r="O10">
        <f t="shared" si="13"/>
        <v>7</v>
      </c>
      <c r="P10" t="str">
        <f t="shared" si="13"/>
        <v/>
      </c>
      <c r="Q10" t="str">
        <f t="shared" si="14"/>
        <v/>
      </c>
      <c r="R10" t="str">
        <f t="shared" si="1"/>
        <v/>
      </c>
      <c r="S10" t="str">
        <f t="shared" si="1"/>
        <v/>
      </c>
      <c r="T10" t="str">
        <f t="shared" si="15"/>
        <v>stDevIn.astCYL[6]</v>
      </c>
      <c r="U10" t="str">
        <f t="shared" si="16"/>
        <v/>
      </c>
      <c r="V10" t="str">
        <f t="shared" si="17"/>
        <v>stDevIn.astCYL[6]</v>
      </c>
      <c r="X10" t="str">
        <f t="shared" si="2"/>
        <v>●</v>
      </c>
      <c r="Y10">
        <f>IF(X10="●",Y$4+MOD(INT(MID(E10,5,3)),Y$2),"")</f>
        <v>5</v>
      </c>
      <c r="Z10" t="str">
        <f t="shared" si="3"/>
        <v>LDP stEx404.x2</v>
      </c>
      <c r="AA10" t="str">
        <f t="shared" si="4"/>
        <v>AND=.D stM.udiErrDev #0</v>
      </c>
      <c r="AB10" t="str">
        <f t="shared" si="5"/>
        <v>MOV.D #5 stM.udiErrDev</v>
      </c>
      <c r="AC10" t="str">
        <f>IF(LEN(V10),"MOV.D "&amp;$V10&amp;" "&amp;$B$15,"")</f>
        <v>MOV.D stDevIn.astCYL[6] udiSubErr</v>
      </c>
      <c r="AD10" t="str">
        <f t="shared" si="6"/>
        <v xml:space="preserve">
LDP stEx404.x2</v>
      </c>
      <c r="AE10" t="str">
        <f t="shared" si="7"/>
        <v xml:space="preserve">
LDP stEx404.x2
AND=.D stM.udiErrDev #0</v>
      </c>
      <c r="AF10" t="str">
        <f t="shared" si="8"/>
        <v xml:space="preserve">
LDP stEx404.x2
AND=.D stM.udiErrDev #0
MOV.D #5 stM.udiErrDev</v>
      </c>
      <c r="AG10" t="str">
        <f t="shared" si="18"/>
        <v xml:space="preserve">
LDP stEx404.x2
AND=.D stM.udiErrDev #0
MOV.D #5 stM.udiErrDev
MOV.D stDevIn.astCYL[6] udiSubErr</v>
      </c>
      <c r="AH10" t="str">
        <f t="shared" si="19"/>
        <v xml:space="preserve">
LDP stEx404.x2
AND=.D stM.udiErrDev #0
MOV.D #5 stM.udiErrDev
MOV.D stDevIn.astCYL[6] udiSubErr</v>
      </c>
      <c r="AJ10" t="str">
        <f t="shared" ca="1" si="9"/>
        <v xml:space="preserve">
LDP stEx404.x2
AND=.D stM.udiErrDev #0
BOX_ST
;//このスクリプトは C:\tk\prj\hg-0025-0016\git\kv-x520\doc\[kv_script_cycle_info.xlsx]info_index によって生成されました。</v>
      </c>
      <c r="AK10" t="str">
        <f t="shared" ca="1" si="10"/>
        <v xml:space="preserve">
LDP stEx404.x2
AND=.D stM.udiErrDev #0
BOX_ST
;//このスクリプトは C:\tk\prj\hg-0025-0016\git\kv-x520\doc\[kv_script_cycle_info.xlsx]info_index によって生成されました。
;//エラーNo.を入れる
;stM.udiErrDev	:= 5;</v>
      </c>
      <c r="AL10" t="str">
        <f t="shared" ca="1" si="20"/>
        <v xml:space="preserve">
LDP stEx404.x2
AND=.D stM.udiErrDev #0
BOX_ST
;//このスクリプトは C:\tk\prj\hg-0025-0016\git\kv-x520\doc\[kv_script_cycle_info.xlsx]info_index によって生成されました。
;//エラーNo.を入れる
;stM.udiErrDev	:= 5;
;//カウントする
;stM.uiEDCnt	:= stM.uiEDCnt + 1;</v>
      </c>
      <c r="AM10" t="str">
        <f t="shared" ca="1" si="21"/>
        <v xml:space="preserve">
LDP stEx404.x2
AND=.D stM.udiErrDev #0
BOX_ST
;//このスクリプトは C:\tk\prj\hg-0025-0016\git\kv-x520\doc\[kv_script_cycle_info.xlsx]info_index によって生成されました。
;//エラーNo.を入れる
;stM.udiErrDev	:= 5;
;//カウントする
;stM.uiEDCnt	:= stM.uiEDCnt + 1;
;//エラーコードを入れる
;udiSubErr	:= stDevIn.astCYL[6].udiErr;</v>
      </c>
      <c r="AN10" t="str">
        <f t="shared" ca="1" si="11"/>
        <v xml:space="preserve">
LDP stEx404.x2
AND=.D stM.udiErrDev #0
BOX_ST
;//このスクリプトは C:\tk\prj\hg-0025-0016\git\kv-x520\doc\[kv_script_cycle_info.xlsx]info_index によって生成されました。
;//エラーNo.を入れる
;stM.udiErrDev	:= 5;
;//カウントする
;stM.uiEDCnt	:= stM.uiEDCnt + 1;
;//エラーコードを入れる
;udiSubErr	:= stDevIn.astCYL[6].udiErr;
;//-----ここまで生成script-----</v>
      </c>
    </row>
    <row r="11" spans="1:40" x14ac:dyDescent="0.55000000000000004">
      <c r="D11">
        <v>5</v>
      </c>
      <c r="E11" t="s">
        <v>43</v>
      </c>
      <c r="F11" t="s">
        <v>0</v>
      </c>
      <c r="I11" t="b">
        <v>0</v>
      </c>
      <c r="J11" t="b">
        <v>0</v>
      </c>
      <c r="K11" t="b">
        <v>0</v>
      </c>
      <c r="L11" t="s">
        <v>33</v>
      </c>
      <c r="N11" t="str">
        <f t="shared" si="12"/>
        <v/>
      </c>
      <c r="O11" t="str">
        <f t="shared" si="13"/>
        <v/>
      </c>
      <c r="P11" t="str">
        <f t="shared" si="13"/>
        <v/>
      </c>
      <c r="Q11" t="str">
        <f t="shared" si="14"/>
        <v/>
      </c>
      <c r="R11" t="str">
        <f t="shared" si="1"/>
        <v/>
      </c>
      <c r="S11" t="str">
        <f t="shared" si="1"/>
        <v/>
      </c>
      <c r="T11" t="str">
        <f t="shared" si="15"/>
        <v/>
      </c>
      <c r="U11" t="str">
        <f t="shared" si="16"/>
        <v/>
      </c>
      <c r="V11" t="str">
        <f t="shared" si="17"/>
        <v/>
      </c>
      <c r="X11" t="str">
        <f t="shared" si="2"/>
        <v>●</v>
      </c>
      <c r="Y11">
        <f>IF(X11="●",Y$4+MOD(INT(MID(E11,5,3)),Y$2),"")</f>
        <v>6</v>
      </c>
      <c r="Z11" t="str">
        <f t="shared" si="3"/>
        <v>LDP stEx405.x2</v>
      </c>
      <c r="AA11" t="str">
        <f t="shared" si="4"/>
        <v>AND=.D stM.udiErrDev #0</v>
      </c>
      <c r="AB11" t="str">
        <f t="shared" si="5"/>
        <v>MOV.D #6 stM.udiErrDev</v>
      </c>
      <c r="AC11" t="str">
        <f>IF(LEN(V11),"MOV.D "&amp;$V11&amp;" "&amp;$B$15,"")</f>
        <v/>
      </c>
      <c r="AD11" t="str">
        <f t="shared" si="6"/>
        <v xml:space="preserve">
LDP stEx405.x2</v>
      </c>
      <c r="AE11" t="str">
        <f t="shared" si="7"/>
        <v xml:space="preserve">
LDP stEx405.x2
AND=.D stM.udiErrDev #0</v>
      </c>
      <c r="AF11" t="str">
        <f t="shared" si="8"/>
        <v xml:space="preserve">
LDP stEx405.x2
AND=.D stM.udiErrDev #0
MOV.D #6 stM.udiErrDev</v>
      </c>
      <c r="AG11" t="str">
        <f t="shared" si="18"/>
        <v xml:space="preserve">
LDP stEx405.x2
AND=.D stM.udiErrDev #0
MOV.D #6 stM.udiErrDev
</v>
      </c>
      <c r="AH11" t="str">
        <f t="shared" si="19"/>
        <v xml:space="preserve">
LDP stEx405.x2
AND=.D stM.udiErrDev #0
MOV.D #6 stM.udiErrDev
</v>
      </c>
      <c r="AJ11" t="str">
        <f t="shared" ca="1" si="9"/>
        <v xml:space="preserve">
LDP stEx405.x2
AND=.D stM.udiErrDev #0
BOX_ST
;//このスクリプトは C:\tk\prj\hg-0025-0016\git\kv-x520\doc\[kv_script_cycle_info.xlsx]info_index によって生成されました。</v>
      </c>
      <c r="AK11" t="str">
        <f t="shared" ca="1" si="10"/>
        <v xml:space="preserve">
LDP stEx405.x2
AND=.D stM.udiErrDev #0
BOX_ST
;//このスクリプトは C:\tk\prj\hg-0025-0016\git\kv-x520\doc\[kv_script_cycle_info.xlsx]info_index によって生成されました。
;//エラーNo.を入れる
;stM.udiErrDev	:= 6;</v>
      </c>
      <c r="AL11" t="str">
        <f t="shared" ca="1" si="20"/>
        <v xml:space="preserve">
LDP stEx405.x2
AND=.D stM.udiErrDev #0
BOX_ST
;//このスクリプトは C:\tk\prj\hg-0025-0016\git\kv-x520\doc\[kv_script_cycle_info.xlsx]info_index によって生成されました。
;//エラーNo.を入れる
;stM.udiErrDev	:= 6;
;//カウントする
;stM.uiEDCnt	:= stM.uiEDCnt + 1;</v>
      </c>
      <c r="AM11" t="str">
        <f t="shared" ca="1" si="21"/>
        <v xml:space="preserve">
LDP stEx405.x2
AND=.D stM.udiErrDev #0
BOX_ST
;//このスクリプトは C:\tk\prj\hg-0025-0016\git\kv-x520\doc\[kv_script_cycle_info.xlsx]info_index によって生成されました。
;//エラーNo.を入れる
;stM.udiErrDev	:= 6;
;//カウントする
;stM.uiEDCnt	:= stM.uiEDCnt + 1;
</v>
      </c>
      <c r="AN11" t="str">
        <f t="shared" ca="1" si="11"/>
        <v xml:space="preserve">
LDP stEx405.x2
AND=.D stM.udiErrDev #0
BOX_ST
;//このスクリプトは C:\tk\prj\hg-0025-0016\git\kv-x520\doc\[kv_script_cycle_info.xlsx]info_index によって生成されました。
;//エラーNo.を入れる
;stM.udiErrDev	:= 6;
;//カウントする
;stM.uiEDCnt	:= stM.uiEDCnt + 1;
;//-----ここまで生成script-----</v>
      </c>
    </row>
    <row r="12" spans="1:40" x14ac:dyDescent="0.55000000000000004">
      <c r="A12" t="s">
        <v>5</v>
      </c>
      <c r="B12" t="s">
        <v>4</v>
      </c>
      <c r="D12">
        <v>6</v>
      </c>
      <c r="E12" t="s">
        <v>44</v>
      </c>
      <c r="F12" t="s">
        <v>0</v>
      </c>
      <c r="I12" t="b">
        <v>0</v>
      </c>
      <c r="J12" t="b">
        <v>0</v>
      </c>
      <c r="K12" t="b">
        <v>0</v>
      </c>
      <c r="L12" t="s">
        <v>34</v>
      </c>
      <c r="N12" t="str">
        <f t="shared" si="12"/>
        <v/>
      </c>
      <c r="O12" t="str">
        <f t="shared" si="13"/>
        <v/>
      </c>
      <c r="P12" t="str">
        <f t="shared" si="13"/>
        <v/>
      </c>
      <c r="Q12" t="str">
        <f t="shared" si="14"/>
        <v/>
      </c>
      <c r="R12" t="str">
        <f t="shared" si="1"/>
        <v/>
      </c>
      <c r="S12" t="str">
        <f t="shared" si="1"/>
        <v/>
      </c>
      <c r="T12" t="str">
        <f t="shared" si="15"/>
        <v/>
      </c>
      <c r="U12" t="str">
        <f t="shared" si="16"/>
        <v/>
      </c>
      <c r="V12" t="str">
        <f t="shared" si="17"/>
        <v/>
      </c>
      <c r="X12" t="str">
        <f t="shared" si="2"/>
        <v/>
      </c>
      <c r="Y12" t="str">
        <f>IF(X12="●",Y$4+MOD(INT(MID(E12,5,3)),Y$2),"")</f>
        <v/>
      </c>
      <c r="Z12" t="str">
        <f t="shared" si="3"/>
        <v/>
      </c>
      <c r="AA12" t="str">
        <f t="shared" si="4"/>
        <v/>
      </c>
      <c r="AB12" t="str">
        <f t="shared" si="5"/>
        <v/>
      </c>
      <c r="AC12" t="str">
        <f>IF(LEN(V12),"MOV.D "&amp;$V12&amp;" "&amp;$B$15,"")</f>
        <v/>
      </c>
      <c r="AD12" t="str">
        <f t="shared" si="6"/>
        <v/>
      </c>
      <c r="AE12" t="str">
        <f t="shared" si="7"/>
        <v/>
      </c>
      <c r="AF12" t="str">
        <f t="shared" si="8"/>
        <v/>
      </c>
      <c r="AG12" t="str">
        <f t="shared" si="18"/>
        <v/>
      </c>
      <c r="AH12" t="str">
        <f t="shared" si="19"/>
        <v/>
      </c>
      <c r="AJ12" t="str">
        <f t="shared" si="9"/>
        <v/>
      </c>
      <c r="AK12" t="str">
        <f t="shared" si="10"/>
        <v/>
      </c>
      <c r="AL12" t="str">
        <f t="shared" si="20"/>
        <v/>
      </c>
      <c r="AM12" t="str">
        <f t="shared" si="21"/>
        <v/>
      </c>
      <c r="AN12" t="str">
        <f t="shared" si="11"/>
        <v/>
      </c>
    </row>
    <row r="13" spans="1:40" x14ac:dyDescent="0.55000000000000004">
      <c r="A13" t="s">
        <v>3</v>
      </c>
      <c r="B13" t="s">
        <v>27</v>
      </c>
      <c r="D13">
        <v>7</v>
      </c>
      <c r="E13" t="s">
        <v>45</v>
      </c>
      <c r="F13" t="s">
        <v>0</v>
      </c>
      <c r="I13" t="b">
        <v>0</v>
      </c>
      <c r="J13" t="b">
        <v>0</v>
      </c>
      <c r="K13" t="b">
        <v>0</v>
      </c>
      <c r="L13" t="s">
        <v>35</v>
      </c>
      <c r="N13" t="str">
        <f t="shared" si="12"/>
        <v/>
      </c>
      <c r="O13" t="str">
        <f t="shared" si="13"/>
        <v/>
      </c>
      <c r="P13" t="str">
        <f t="shared" si="13"/>
        <v/>
      </c>
      <c r="Q13" t="str">
        <f t="shared" si="14"/>
        <v/>
      </c>
      <c r="R13" t="str">
        <f t="shared" si="1"/>
        <v/>
      </c>
      <c r="S13" t="str">
        <f t="shared" si="1"/>
        <v/>
      </c>
      <c r="T13" t="str">
        <f t="shared" si="15"/>
        <v/>
      </c>
      <c r="U13" t="str">
        <f t="shared" si="16"/>
        <v/>
      </c>
      <c r="V13" t="str">
        <f t="shared" si="17"/>
        <v/>
      </c>
      <c r="X13" t="str">
        <f t="shared" si="2"/>
        <v/>
      </c>
      <c r="Y13" t="str">
        <f>IF(X13="●",Y$4+MOD(INT(MID(E13,5,3)),Y$2),"")</f>
        <v/>
      </c>
      <c r="Z13" t="str">
        <f t="shared" si="3"/>
        <v/>
      </c>
      <c r="AA13" t="str">
        <f t="shared" si="4"/>
        <v/>
      </c>
      <c r="AB13" t="str">
        <f t="shared" si="5"/>
        <v/>
      </c>
      <c r="AC13" t="str">
        <f>IF(LEN(V13),"MOV.D "&amp;$V13&amp;" "&amp;$B$15,"")</f>
        <v/>
      </c>
      <c r="AD13" t="str">
        <f t="shared" si="6"/>
        <v/>
      </c>
      <c r="AE13" t="str">
        <f t="shared" si="7"/>
        <v/>
      </c>
      <c r="AF13" t="str">
        <f t="shared" si="8"/>
        <v/>
      </c>
      <c r="AG13" t="str">
        <f t="shared" si="18"/>
        <v/>
      </c>
      <c r="AH13" t="str">
        <f t="shared" si="19"/>
        <v/>
      </c>
      <c r="AJ13" t="str">
        <f t="shared" si="9"/>
        <v/>
      </c>
      <c r="AK13" t="str">
        <f t="shared" si="10"/>
        <v/>
      </c>
      <c r="AL13" t="str">
        <f t="shared" si="20"/>
        <v/>
      </c>
      <c r="AM13" t="str">
        <f t="shared" si="21"/>
        <v/>
      </c>
      <c r="AN13" t="str">
        <f t="shared" si="11"/>
        <v/>
      </c>
    </row>
    <row r="14" spans="1:40" x14ac:dyDescent="0.55000000000000004">
      <c r="A14" t="s">
        <v>51</v>
      </c>
      <c r="B14" t="s">
        <v>52</v>
      </c>
      <c r="D14">
        <v>8</v>
      </c>
      <c r="E14" t="s">
        <v>46</v>
      </c>
      <c r="F14" t="s">
        <v>0</v>
      </c>
      <c r="I14" t="b">
        <v>0</v>
      </c>
      <c r="J14" t="b">
        <v>0</v>
      </c>
      <c r="K14" t="b">
        <v>0</v>
      </c>
      <c r="L14" t="s">
        <v>36</v>
      </c>
      <c r="N14">
        <f t="shared" si="12"/>
        <v>13</v>
      </c>
      <c r="O14" t="str">
        <f t="shared" si="13"/>
        <v/>
      </c>
      <c r="P14" t="str">
        <f t="shared" si="13"/>
        <v/>
      </c>
      <c r="Q14" t="str">
        <f t="shared" si="14"/>
        <v/>
      </c>
      <c r="R14" t="str">
        <f t="shared" si="1"/>
        <v>stDevIn.astAXK[0]</v>
      </c>
      <c r="S14" t="str">
        <f t="shared" si="1"/>
        <v/>
      </c>
      <c r="T14" t="str">
        <f t="shared" si="15"/>
        <v/>
      </c>
      <c r="U14" t="str">
        <f t="shared" si="16"/>
        <v/>
      </c>
      <c r="V14" t="str">
        <f t="shared" si="17"/>
        <v>stDevIn.astAXK[0]</v>
      </c>
      <c r="X14" t="str">
        <f t="shared" si="2"/>
        <v>●</v>
      </c>
      <c r="Y14">
        <f>IF(X14="●",Y$4+MOD(INT(MID(E14,5,3)),Y$2),"")</f>
        <v>9</v>
      </c>
      <c r="Z14" t="str">
        <f t="shared" si="3"/>
        <v>LDP stEx408.x2</v>
      </c>
      <c r="AA14" t="str">
        <f t="shared" si="4"/>
        <v>AND=.D stM.udiErrDev #0</v>
      </c>
      <c r="AB14" t="str">
        <f t="shared" si="5"/>
        <v>MOV.D #9 stM.udiErrDev</v>
      </c>
      <c r="AC14" t="str">
        <f>IF(LEN(V14),"MOV.D "&amp;$V14&amp;" "&amp;$B$15,"")</f>
        <v>MOV.D stDevIn.astAXK[0] udiSubErr</v>
      </c>
      <c r="AD14" t="str">
        <f t="shared" si="6"/>
        <v xml:space="preserve">
LDP stEx408.x2</v>
      </c>
      <c r="AE14" t="str">
        <f t="shared" si="7"/>
        <v xml:space="preserve">
LDP stEx408.x2
AND=.D stM.udiErrDev #0</v>
      </c>
      <c r="AF14" t="str">
        <f t="shared" si="8"/>
        <v xml:space="preserve">
LDP stEx408.x2
AND=.D stM.udiErrDev #0
MOV.D #9 stM.udiErrDev</v>
      </c>
      <c r="AG14" t="str">
        <f t="shared" si="18"/>
        <v xml:space="preserve">
LDP stEx408.x2
AND=.D stM.udiErrDev #0
MOV.D #9 stM.udiErrDev
MOV.D stDevIn.astAXK[0] udiSubErr</v>
      </c>
      <c r="AH14" t="str">
        <f t="shared" si="19"/>
        <v xml:space="preserve">
LDP stEx408.x2
AND=.D stM.udiErrDev #0
MOV.D #9 stM.udiErrDev
MOV.D stDevIn.astAXK[0] udiSubErr</v>
      </c>
      <c r="AJ14" t="str">
        <f t="shared" ca="1" si="9"/>
        <v xml:space="preserve">
LDP stEx408.x2
AND=.D stM.udiErrDev #0
BOX_ST
;//このスクリプトは C:\tk\prj\hg-0025-0016\git\kv-x520\doc\[kv_script_cycle_info.xlsx]info_index によって生成されました。</v>
      </c>
      <c r="AK14" t="str">
        <f t="shared" ca="1" si="10"/>
        <v xml:space="preserve">
LDP stEx408.x2
AND=.D stM.udiErrDev #0
BOX_ST
;//このスクリプトは C:\tk\prj\hg-0025-0016\git\kv-x520\doc\[kv_script_cycle_info.xlsx]info_index によって生成されました。
;//エラーNo.を入れる
;stM.udiErrDev	:= 9;</v>
      </c>
      <c r="AL14" t="str">
        <f t="shared" ca="1" si="20"/>
        <v xml:space="preserve">
LDP stEx408.x2
AND=.D stM.udiErrDev #0
BOX_ST
;//このスクリプトは C:\tk\prj\hg-0025-0016\git\kv-x520\doc\[kv_script_cycle_info.xlsx]info_index によって生成されました。
;//エラーNo.を入れる
;stM.udiErrDev	:= 9;
;//カウントする
;stM.uiEDCnt	:= stM.uiEDCnt + 1;</v>
      </c>
      <c r="AM14" t="str">
        <f t="shared" ca="1" si="21"/>
        <v xml:space="preserve">
LDP stEx408.x2
AND=.D stM.udiErrDev #0
BOX_ST
;//このスクリプトは C:\tk\prj\hg-0025-0016\git\kv-x520\doc\[kv_script_cycle_info.xlsx]info_index によって生成されました。
;//エラーNo.を入れる
;stM.udiErrDev	:= 9;
;//カウントする
;stM.uiEDCnt	:= stM.uiEDCnt + 1;
;//エラーコードを入れる
;udiSubErr	:= stDevIn.astAXK[0].udiErr;</v>
      </c>
      <c r="AN14" t="str">
        <f t="shared" ca="1" si="11"/>
        <v xml:space="preserve">
LDP stEx408.x2
AND=.D stM.udiErrDev #0
BOX_ST
;//このスクリプトは C:\tk\prj\hg-0025-0016\git\kv-x520\doc\[kv_script_cycle_info.xlsx]info_index によって生成されました。
;//エラーNo.を入れる
;stM.udiErrDev	:= 9;
;//カウントする
;stM.uiEDCnt	:= stM.uiEDCnt + 1;
;//エラーコードを入れる
;udiSubErr	:= stDevIn.astAXK[0].udiErr;
;//-----ここまで生成script-----</v>
      </c>
    </row>
    <row r="15" spans="1:40" x14ac:dyDescent="0.55000000000000004">
      <c r="A15" t="s">
        <v>23</v>
      </c>
      <c r="B15" t="s">
        <v>48</v>
      </c>
      <c r="D15">
        <v>9</v>
      </c>
      <c r="E15" t="s">
        <v>47</v>
      </c>
      <c r="F15" t="s">
        <v>0</v>
      </c>
      <c r="I15" t="b">
        <v>0</v>
      </c>
      <c r="J15" t="b">
        <v>0</v>
      </c>
      <c r="K15" t="b">
        <v>0</v>
      </c>
      <c r="L15" t="s">
        <v>37</v>
      </c>
      <c r="N15" t="str">
        <f t="shared" si="12"/>
        <v/>
      </c>
      <c r="O15" t="str">
        <f t="shared" si="13"/>
        <v/>
      </c>
      <c r="P15" t="str">
        <f t="shared" si="13"/>
        <v/>
      </c>
      <c r="Q15" t="str">
        <f t="shared" si="14"/>
        <v/>
      </c>
      <c r="R15" t="str">
        <f t="shared" si="1"/>
        <v/>
      </c>
      <c r="S15" t="str">
        <f t="shared" si="1"/>
        <v/>
      </c>
      <c r="T15" t="str">
        <f t="shared" si="15"/>
        <v/>
      </c>
      <c r="U15" t="str">
        <f t="shared" si="16"/>
        <v/>
      </c>
      <c r="V15" t="str">
        <f t="shared" si="17"/>
        <v/>
      </c>
      <c r="X15" t="str">
        <f t="shared" si="2"/>
        <v/>
      </c>
      <c r="Y15" t="str">
        <f>IF(X15="●",Y$4+MOD(INT(MID(E15,5,3)),Y$2),"")</f>
        <v/>
      </c>
      <c r="Z15" t="str">
        <f t="shared" si="3"/>
        <v/>
      </c>
      <c r="AA15" t="str">
        <f t="shared" si="4"/>
        <v/>
      </c>
      <c r="AB15" t="str">
        <f t="shared" si="5"/>
        <v/>
      </c>
      <c r="AC15" t="str">
        <f>IF(LEN(V15),"MOV.D "&amp;$V15&amp;" "&amp;$B$15,"")</f>
        <v/>
      </c>
      <c r="AD15" t="str">
        <f t="shared" si="6"/>
        <v/>
      </c>
      <c r="AE15" t="str">
        <f t="shared" si="7"/>
        <v/>
      </c>
      <c r="AF15" t="str">
        <f t="shared" si="8"/>
        <v/>
      </c>
      <c r="AG15" t="str">
        <f t="shared" si="18"/>
        <v/>
      </c>
      <c r="AH15" t="str">
        <f t="shared" si="19"/>
        <v/>
      </c>
      <c r="AJ15" t="str">
        <f t="shared" si="9"/>
        <v/>
      </c>
      <c r="AK15" t="str">
        <f t="shared" si="10"/>
        <v/>
      </c>
      <c r="AL15" t="str">
        <f t="shared" si="20"/>
        <v/>
      </c>
      <c r="AM15" t="str">
        <f t="shared" si="21"/>
        <v/>
      </c>
      <c r="AN15" t="str">
        <f t="shared" si="11"/>
        <v/>
      </c>
    </row>
    <row r="16" spans="1:40" x14ac:dyDescent="0.55000000000000004">
      <c r="D16">
        <v>10</v>
      </c>
      <c r="N16" t="str">
        <f t="shared" si="12"/>
        <v/>
      </c>
      <c r="O16" t="str">
        <f t="shared" si="13"/>
        <v/>
      </c>
      <c r="P16" t="str">
        <f t="shared" si="13"/>
        <v/>
      </c>
      <c r="Q16" t="str">
        <f t="shared" si="14"/>
        <v/>
      </c>
      <c r="R16" t="str">
        <f t="shared" si="1"/>
        <v/>
      </c>
      <c r="S16" t="str">
        <f t="shared" si="1"/>
        <v/>
      </c>
      <c r="T16" t="str">
        <f t="shared" si="15"/>
        <v/>
      </c>
      <c r="U16" t="str">
        <f t="shared" si="16"/>
        <v/>
      </c>
      <c r="V16" t="str">
        <f t="shared" si="17"/>
        <v/>
      </c>
      <c r="X16" t="str">
        <f t="shared" si="2"/>
        <v/>
      </c>
      <c r="Y16" t="str">
        <f>IF(X16="●",Y$4+MOD(INT(MID(E16,5,3)),Y$2),"")</f>
        <v/>
      </c>
      <c r="Z16" t="str">
        <f t="shared" si="3"/>
        <v/>
      </c>
      <c r="AA16" t="str">
        <f t="shared" si="4"/>
        <v/>
      </c>
      <c r="AB16" t="str">
        <f t="shared" si="5"/>
        <v/>
      </c>
      <c r="AC16" t="str">
        <f>IF(LEN(V16),"MOV.D "&amp;$V16&amp;" "&amp;$B$15,"")</f>
        <v/>
      </c>
      <c r="AD16" t="str">
        <f t="shared" si="6"/>
        <v/>
      </c>
      <c r="AE16" t="str">
        <f t="shared" si="7"/>
        <v/>
      </c>
      <c r="AF16" t="str">
        <f t="shared" si="8"/>
        <v/>
      </c>
      <c r="AG16" t="str">
        <f t="shared" si="18"/>
        <v/>
      </c>
      <c r="AH16" t="str">
        <f t="shared" si="19"/>
        <v/>
      </c>
      <c r="AJ16" t="str">
        <f t="shared" si="9"/>
        <v/>
      </c>
      <c r="AK16" t="str">
        <f t="shared" si="10"/>
        <v/>
      </c>
      <c r="AL16" t="str">
        <f t="shared" si="20"/>
        <v/>
      </c>
      <c r="AM16" t="str">
        <f t="shared" si="21"/>
        <v/>
      </c>
      <c r="AN16" t="str">
        <f t="shared" si="11"/>
        <v/>
      </c>
    </row>
    <row r="17" spans="1:40" x14ac:dyDescent="0.55000000000000004">
      <c r="A17" t="s">
        <v>26</v>
      </c>
      <c r="B17" t="str">
        <f ca="1">"RUNG_COMMENT"&amp;CHAR(10)&amp;";"&amp;B8&amp;AH107&amp;CHAR(10)&amp;"RUNG_COMMENT"&amp;CHAR(10)&amp;";"&amp;B9</f>
        <v>RUNG_COMMENT
;このスクリプトは C:\tk\prj\hg-0025-0016\git\kv-x520\doc\[kv_script_cycle_info.xlsx]info_index によって生成されました。LDP stEx400.x2
AND=.D stM.udiErrDev #0
MOV.D #1 stM.udiErrDev
LDP stEx401.x2
AND=.D stM.udiErrDev #0
MOV.D #2 stM.udiErrDev
LDP stEx402.x2
AND=.D stM.udiErrDev #0
MOV.D #3 stM.udiErrDev
LDP stEx404.x2
AND=.D stM.udiErrDev #0
MOV.D #5 stM.udiErrDev
MOV.D stDevIn.astCYL[6] udiSubErr
LDP stEx405.x2
AND=.D stM.udiErrDev #0
MOV.D #6 stM.udiErrDev
LDP stEx408.x2
AND=.D stM.udiErrDev #0
MOV.D #9 stM.udiErrDev
MOV.D stDevIn.astAXK[0] udiSubErr
RUNG_COMMENT
;-----ここまで生成script-----</v>
      </c>
      <c r="D17">
        <v>11</v>
      </c>
      <c r="N17" t="str">
        <f t="shared" si="12"/>
        <v/>
      </c>
      <c r="O17" t="str">
        <f t="shared" si="13"/>
        <v/>
      </c>
      <c r="P17" t="str">
        <f t="shared" si="13"/>
        <v/>
      </c>
      <c r="Q17" t="str">
        <f t="shared" si="14"/>
        <v/>
      </c>
      <c r="R17" t="str">
        <f t="shared" si="1"/>
        <v/>
      </c>
      <c r="S17" t="str">
        <f t="shared" si="1"/>
        <v/>
      </c>
      <c r="T17" t="str">
        <f t="shared" si="15"/>
        <v/>
      </c>
      <c r="U17" t="str">
        <f t="shared" si="16"/>
        <v/>
      </c>
      <c r="V17" t="str">
        <f t="shared" si="17"/>
        <v/>
      </c>
      <c r="X17" t="str">
        <f t="shared" si="2"/>
        <v/>
      </c>
      <c r="Y17" t="str">
        <f>IF(X17="●",Y$4+MOD(INT(MID(E17,5,3)),Y$2),"")</f>
        <v/>
      </c>
      <c r="Z17" t="str">
        <f t="shared" si="3"/>
        <v/>
      </c>
      <c r="AA17" t="str">
        <f t="shared" si="4"/>
        <v/>
      </c>
      <c r="AB17" t="str">
        <f t="shared" si="5"/>
        <v/>
      </c>
      <c r="AC17" t="str">
        <f>IF(LEN(V17),"MOV.D "&amp;$V17&amp;" "&amp;$B$15,"")</f>
        <v/>
      </c>
      <c r="AD17" t="str">
        <f t="shared" si="6"/>
        <v/>
      </c>
      <c r="AE17" t="str">
        <f t="shared" si="7"/>
        <v/>
      </c>
      <c r="AF17" t="str">
        <f t="shared" si="8"/>
        <v/>
      </c>
      <c r="AG17" t="str">
        <f t="shared" si="18"/>
        <v/>
      </c>
      <c r="AH17" t="str">
        <f t="shared" si="19"/>
        <v/>
      </c>
      <c r="AJ17" t="str">
        <f t="shared" si="9"/>
        <v/>
      </c>
      <c r="AK17" t="str">
        <f t="shared" si="10"/>
        <v/>
      </c>
      <c r="AL17" t="str">
        <f t="shared" si="20"/>
        <v/>
      </c>
      <c r="AM17" t="str">
        <f t="shared" si="21"/>
        <v/>
      </c>
      <c r="AN17" t="str">
        <f t="shared" si="11"/>
        <v/>
      </c>
    </row>
    <row r="18" spans="1:40" x14ac:dyDescent="0.55000000000000004">
      <c r="A18" t="s">
        <v>25</v>
      </c>
      <c r="B18" t="str">
        <f ca="1">"RUNG_COMMENT"&amp;CHAR(10)&amp;";"&amp;B8&amp;CHAR(10)&amp;AN107&amp;CHAR(10)&amp;"RUNG_COMMENT"&amp;CHAR(10)&amp;";"&amp;B9</f>
        <v>RUNG_COMMENT
;このスクリプトは C:\tk\prj\hg-0025-0016\git\kv-x520\doc\[kv_script_cycle_info.xlsx]info_index によって生成されました。
LDP stEx400.x2
AND=.D stM.udiErrDev #0
BOX_ST
;//このスクリプトは C:\tk\prj\hg-0025-0016\git\kv-x520\doc\[kv_script_cycle_info.xlsx]info_index によって生成されました。
;//エラーNo.を入れる
;stM.udiErrDev	:= 1;
;//カウントする
;stM.uiEDCnt	:= stM.uiEDCnt + 1;
;//-----ここまで生成script-----
LDP stEx401.x2
AND=.D stM.udiErrDev #0
BOX_ST
;//このスクリプトは C:\tk\prj\hg-0025-0016\git\kv-x520\doc\[kv_script_cycle_info.xlsx]info_index によって生成されました。
;//エラーNo.を入れる
;stM.udiErrDev	:= 2;
;//カウントする
;stM.uiEDCnt	:= stM.uiEDCnt + 1;
;//-----ここまで生成script-----
LDP stEx402.x2
AND=.D stM.udiErrDev #0
BOX_ST
;//このスクリプトは C:\tk\prj\hg-0025-0016\git\kv-x520\doc\[kv_script_cycle_info.xlsx]info_index によって生成されました。
;//エラーNo.を入れる
;stM.udiErrDev	:= 3;
;//カウントする
;stM.uiEDCnt	:= stM.uiEDCnt + 1;
;//-----ここまで生成script-----
LDP stEx404.x2
AND=.D stM.udiErrDev #0
BOX_ST
;//このスクリプトは C:\tk\prj\hg-0025-0016\git\kv-x520\doc\[kv_script_cycle_info.xlsx]info_index によって生成されました。
;//エラーNo.を入れる
;stM.udiErrDev	:= 5;
;//カウントする
;stM.uiEDCnt	:= stM.uiEDCnt + 1;
;//エラーコードを入れる
;udiSubErr	:= stDevIn.astCYL[6].udiErr;
;//-----ここまで生成script-----
LDP stEx405.x2
AND=.D stM.udiErrDev #0
BOX_ST
;//このスクリプトは C:\tk\prj\hg-0025-0016\git\kv-x520\doc\[kv_script_cycle_info.xlsx]info_index によって生成されました。
;//エラーNo.を入れる
;stM.udiErrDev	:= 6;
;//カウントする
;stM.uiEDCnt	:= stM.uiEDCnt + 1;
;//-----ここまで生成script-----
LDP stEx408.x2
AND=.D stM.udiErrDev #0
BOX_ST
;//このスクリプトは C:\tk\prj\hg-0025-0016\git\kv-x520\doc\[kv_script_cycle_info.xlsx]info_index によって生成されました。
;//エラーNo.を入れる
;stM.udiErrDev	:= 9;
;//カウントする
;stM.uiEDCnt	:= stM.uiEDCnt + 1;
;//エラーコードを入れる
;udiSubErr	:= stDevIn.astAXK[0].udiErr;
;//-----ここまで生成script-----
RUNG_COMMENT
;-----ここまで生成script-----</v>
      </c>
      <c r="D18">
        <v>12</v>
      </c>
      <c r="N18" t="str">
        <f t="shared" si="12"/>
        <v/>
      </c>
      <c r="O18" t="str">
        <f t="shared" si="13"/>
        <v/>
      </c>
      <c r="P18" t="str">
        <f t="shared" si="13"/>
        <v/>
      </c>
      <c r="Q18" t="str">
        <f t="shared" si="14"/>
        <v/>
      </c>
      <c r="R18" t="str">
        <f t="shared" si="1"/>
        <v/>
      </c>
      <c r="S18" t="str">
        <f t="shared" si="1"/>
        <v/>
      </c>
      <c r="T18" t="str">
        <f t="shared" si="15"/>
        <v/>
      </c>
      <c r="U18" t="str">
        <f t="shared" si="16"/>
        <v/>
      </c>
      <c r="V18" t="str">
        <f t="shared" si="17"/>
        <v/>
      </c>
      <c r="X18" t="str">
        <f t="shared" si="2"/>
        <v/>
      </c>
      <c r="Y18" t="str">
        <f>IF(X18="●",Y$4+MOD(INT(MID(E18,5,3)),Y$2),"")</f>
        <v/>
      </c>
      <c r="Z18" t="str">
        <f t="shared" si="3"/>
        <v/>
      </c>
      <c r="AA18" t="str">
        <f t="shared" si="4"/>
        <v/>
      </c>
      <c r="AB18" t="str">
        <f t="shared" si="5"/>
        <v/>
      </c>
      <c r="AC18" t="str">
        <f>IF(LEN(V18),"MOV.D "&amp;$V18&amp;" "&amp;$B$15,"")</f>
        <v/>
      </c>
      <c r="AD18" t="str">
        <f t="shared" si="6"/>
        <v/>
      </c>
      <c r="AE18" t="str">
        <f t="shared" si="7"/>
        <v/>
      </c>
      <c r="AF18" t="str">
        <f t="shared" si="8"/>
        <v/>
      </c>
      <c r="AG18" t="str">
        <f t="shared" si="18"/>
        <v/>
      </c>
      <c r="AH18" t="str">
        <f t="shared" si="19"/>
        <v/>
      </c>
      <c r="AJ18" t="str">
        <f t="shared" si="9"/>
        <v/>
      </c>
      <c r="AK18" t="str">
        <f t="shared" si="10"/>
        <v/>
      </c>
      <c r="AL18" t="str">
        <f t="shared" si="20"/>
        <v/>
      </c>
      <c r="AM18" t="str">
        <f t="shared" si="21"/>
        <v/>
      </c>
      <c r="AN18" t="str">
        <f t="shared" si="11"/>
        <v/>
      </c>
    </row>
    <row r="19" spans="1:40" x14ac:dyDescent="0.55000000000000004">
      <c r="D19">
        <v>13</v>
      </c>
      <c r="N19" t="str">
        <f t="shared" si="12"/>
        <v/>
      </c>
      <c r="O19" t="str">
        <f t="shared" si="13"/>
        <v/>
      </c>
      <c r="P19" t="str">
        <f t="shared" si="13"/>
        <v/>
      </c>
      <c r="Q19" t="str">
        <f t="shared" si="14"/>
        <v/>
      </c>
      <c r="R19" t="str">
        <f t="shared" si="1"/>
        <v/>
      </c>
      <c r="S19" t="str">
        <f t="shared" si="1"/>
        <v/>
      </c>
      <c r="T19" t="str">
        <f t="shared" si="15"/>
        <v/>
      </c>
      <c r="U19" t="str">
        <f t="shared" si="16"/>
        <v/>
      </c>
      <c r="V19" t="str">
        <f t="shared" si="17"/>
        <v/>
      </c>
      <c r="X19" t="str">
        <f t="shared" si="2"/>
        <v/>
      </c>
      <c r="Y19" t="str">
        <f>IF(X19="●",Y$4+MOD(INT(MID(E19,5,3)),Y$2),"")</f>
        <v/>
      </c>
      <c r="Z19" t="str">
        <f t="shared" si="3"/>
        <v/>
      </c>
      <c r="AA19" t="str">
        <f t="shared" si="4"/>
        <v/>
      </c>
      <c r="AB19" t="str">
        <f t="shared" si="5"/>
        <v/>
      </c>
      <c r="AC19" t="str">
        <f>IF(LEN(V19),"MOV.D "&amp;$V19&amp;" "&amp;$B$15,"")</f>
        <v/>
      </c>
      <c r="AD19" t="str">
        <f t="shared" si="6"/>
        <v/>
      </c>
      <c r="AE19" t="str">
        <f t="shared" si="7"/>
        <v/>
      </c>
      <c r="AF19" t="str">
        <f t="shared" si="8"/>
        <v/>
      </c>
      <c r="AG19" t="str">
        <f t="shared" si="18"/>
        <v/>
      </c>
      <c r="AH19" t="str">
        <f t="shared" si="19"/>
        <v/>
      </c>
      <c r="AJ19" t="str">
        <f t="shared" si="9"/>
        <v/>
      </c>
      <c r="AK19" t="str">
        <f t="shared" si="10"/>
        <v/>
      </c>
      <c r="AL19" t="str">
        <f t="shared" si="20"/>
        <v/>
      </c>
      <c r="AM19" t="str">
        <f t="shared" si="21"/>
        <v/>
      </c>
      <c r="AN19" t="str">
        <f t="shared" si="11"/>
        <v/>
      </c>
    </row>
    <row r="20" spans="1:40" x14ac:dyDescent="0.55000000000000004">
      <c r="D20">
        <v>14</v>
      </c>
      <c r="N20" t="str">
        <f t="shared" si="12"/>
        <v/>
      </c>
      <c r="O20" t="str">
        <f t="shared" si="13"/>
        <v/>
      </c>
      <c r="P20" t="str">
        <f t="shared" si="13"/>
        <v/>
      </c>
      <c r="Q20" t="str">
        <f t="shared" si="14"/>
        <v/>
      </c>
      <c r="R20" t="str">
        <f t="shared" si="1"/>
        <v/>
      </c>
      <c r="S20" t="str">
        <f t="shared" si="1"/>
        <v/>
      </c>
      <c r="T20" t="str">
        <f t="shared" si="15"/>
        <v/>
      </c>
      <c r="U20" t="str">
        <f t="shared" si="16"/>
        <v/>
      </c>
      <c r="V20" t="str">
        <f t="shared" si="17"/>
        <v/>
      </c>
      <c r="X20" t="str">
        <f t="shared" si="2"/>
        <v/>
      </c>
      <c r="Y20" t="str">
        <f>IF(X20="●",Y$4+MOD(INT(MID(E20,5,3)),Y$2),"")</f>
        <v/>
      </c>
      <c r="Z20" t="str">
        <f t="shared" si="3"/>
        <v/>
      </c>
      <c r="AA20" t="str">
        <f t="shared" si="4"/>
        <v/>
      </c>
      <c r="AB20" t="str">
        <f t="shared" si="5"/>
        <v/>
      </c>
      <c r="AC20" t="str">
        <f>IF(LEN(V20),"MOV.D "&amp;$V20&amp;" "&amp;$B$15,"")</f>
        <v/>
      </c>
      <c r="AD20" t="str">
        <f t="shared" si="6"/>
        <v/>
      </c>
      <c r="AE20" t="str">
        <f t="shared" si="7"/>
        <v/>
      </c>
      <c r="AF20" t="str">
        <f t="shared" si="8"/>
        <v/>
      </c>
      <c r="AG20" t="str">
        <f t="shared" si="18"/>
        <v/>
      </c>
      <c r="AH20" t="str">
        <f t="shared" si="19"/>
        <v/>
      </c>
      <c r="AJ20" t="str">
        <f t="shared" si="9"/>
        <v/>
      </c>
      <c r="AK20" t="str">
        <f t="shared" si="10"/>
        <v/>
      </c>
      <c r="AL20" t="str">
        <f t="shared" si="20"/>
        <v/>
      </c>
      <c r="AM20" t="str">
        <f t="shared" si="21"/>
        <v/>
      </c>
      <c r="AN20" t="str">
        <f t="shared" si="11"/>
        <v/>
      </c>
    </row>
    <row r="21" spans="1:40" x14ac:dyDescent="0.55000000000000004">
      <c r="D21">
        <v>15</v>
      </c>
      <c r="N21" t="str">
        <f t="shared" si="12"/>
        <v/>
      </c>
      <c r="O21" t="str">
        <f t="shared" si="13"/>
        <v/>
      </c>
      <c r="P21" t="str">
        <f t="shared" si="13"/>
        <v/>
      </c>
      <c r="Q21" t="str">
        <f t="shared" si="14"/>
        <v/>
      </c>
      <c r="R21" t="str">
        <f t="shared" si="1"/>
        <v/>
      </c>
      <c r="S21" t="str">
        <f t="shared" si="1"/>
        <v/>
      </c>
      <c r="T21" t="str">
        <f t="shared" si="15"/>
        <v/>
      </c>
      <c r="U21" t="str">
        <f t="shared" si="16"/>
        <v/>
      </c>
      <c r="V21" t="str">
        <f t="shared" si="17"/>
        <v/>
      </c>
      <c r="X21" t="str">
        <f t="shared" si="2"/>
        <v/>
      </c>
      <c r="Y21" t="str">
        <f>IF(X21="●",Y$4+MOD(INT(MID(E21,5,3)),Y$2),"")</f>
        <v/>
      </c>
      <c r="Z21" t="str">
        <f t="shared" si="3"/>
        <v/>
      </c>
      <c r="AA21" t="str">
        <f t="shared" si="4"/>
        <v/>
      </c>
      <c r="AB21" t="str">
        <f t="shared" si="5"/>
        <v/>
      </c>
      <c r="AC21" t="str">
        <f>IF(LEN(V21),"MOV.D "&amp;$V21&amp;" "&amp;$B$15,"")</f>
        <v/>
      </c>
      <c r="AD21" t="str">
        <f t="shared" si="6"/>
        <v/>
      </c>
      <c r="AE21" t="str">
        <f t="shared" si="7"/>
        <v/>
      </c>
      <c r="AF21" t="str">
        <f t="shared" si="8"/>
        <v/>
      </c>
      <c r="AG21" t="str">
        <f t="shared" si="18"/>
        <v/>
      </c>
      <c r="AH21" t="str">
        <f t="shared" si="19"/>
        <v/>
      </c>
      <c r="AJ21" t="str">
        <f t="shared" si="9"/>
        <v/>
      </c>
      <c r="AK21" t="str">
        <f t="shared" si="10"/>
        <v/>
      </c>
      <c r="AL21" t="str">
        <f t="shared" si="20"/>
        <v/>
      </c>
      <c r="AM21" t="str">
        <f t="shared" si="21"/>
        <v/>
      </c>
      <c r="AN21" t="str">
        <f t="shared" si="11"/>
        <v/>
      </c>
    </row>
    <row r="22" spans="1:40" x14ac:dyDescent="0.55000000000000004">
      <c r="D22">
        <v>16</v>
      </c>
      <c r="N22" t="str">
        <f t="shared" si="12"/>
        <v/>
      </c>
      <c r="O22" t="str">
        <f t="shared" si="13"/>
        <v/>
      </c>
      <c r="P22" t="str">
        <f t="shared" si="13"/>
        <v/>
      </c>
      <c r="Q22" t="str">
        <f t="shared" si="14"/>
        <v/>
      </c>
      <c r="R22" t="str">
        <f t="shared" si="14"/>
        <v/>
      </c>
      <c r="S22" t="str">
        <f t="shared" si="14"/>
        <v/>
      </c>
      <c r="T22" t="str">
        <f t="shared" si="15"/>
        <v/>
      </c>
      <c r="U22" t="str">
        <f t="shared" si="16"/>
        <v/>
      </c>
      <c r="V22" t="str">
        <f t="shared" si="17"/>
        <v/>
      </c>
      <c r="X22" t="str">
        <f t="shared" si="2"/>
        <v/>
      </c>
      <c r="Y22" t="str">
        <f>IF(X22="●",Y$4+MOD(INT(MID(E22,5,3)),Y$2),"")</f>
        <v/>
      </c>
      <c r="Z22" t="str">
        <f t="shared" si="3"/>
        <v/>
      </c>
      <c r="AA22" t="str">
        <f t="shared" si="4"/>
        <v/>
      </c>
      <c r="AB22" t="str">
        <f t="shared" si="5"/>
        <v/>
      </c>
      <c r="AC22" t="str">
        <f>IF(LEN(V22),"MOV.D "&amp;$V22&amp;" "&amp;$B$15,"")</f>
        <v/>
      </c>
      <c r="AD22" t="str">
        <f t="shared" si="6"/>
        <v/>
      </c>
      <c r="AE22" t="str">
        <f t="shared" si="7"/>
        <v/>
      </c>
      <c r="AF22" t="str">
        <f t="shared" si="8"/>
        <v/>
      </c>
      <c r="AG22" t="str">
        <f t="shared" si="18"/>
        <v/>
      </c>
      <c r="AH22" t="str">
        <f t="shared" si="19"/>
        <v/>
      </c>
      <c r="AJ22" t="str">
        <f t="shared" si="9"/>
        <v/>
      </c>
      <c r="AK22" t="str">
        <f t="shared" si="10"/>
        <v/>
      </c>
      <c r="AL22" t="str">
        <f t="shared" si="20"/>
        <v/>
      </c>
      <c r="AM22" t="str">
        <f t="shared" si="21"/>
        <v/>
      </c>
      <c r="AN22" t="str">
        <f t="shared" si="11"/>
        <v/>
      </c>
    </row>
    <row r="23" spans="1:40" x14ac:dyDescent="0.55000000000000004">
      <c r="D23">
        <v>17</v>
      </c>
      <c r="N23" t="str">
        <f t="shared" si="12"/>
        <v/>
      </c>
      <c r="O23" t="str">
        <f t="shared" si="13"/>
        <v/>
      </c>
      <c r="P23" t="str">
        <f t="shared" si="13"/>
        <v/>
      </c>
      <c r="Q23" t="str">
        <f t="shared" si="14"/>
        <v/>
      </c>
      <c r="R23" t="str">
        <f t="shared" si="14"/>
        <v/>
      </c>
      <c r="S23" t="str">
        <f t="shared" si="14"/>
        <v/>
      </c>
      <c r="T23" t="str">
        <f t="shared" si="15"/>
        <v/>
      </c>
      <c r="U23" t="str">
        <f t="shared" si="16"/>
        <v/>
      </c>
      <c r="V23" t="str">
        <f t="shared" si="17"/>
        <v/>
      </c>
      <c r="X23" t="str">
        <f t="shared" si="2"/>
        <v/>
      </c>
      <c r="Y23" t="str">
        <f>IF(X23="●",Y$4+MOD(INT(MID(E23,5,3)),Y$2),"")</f>
        <v/>
      </c>
      <c r="Z23" t="str">
        <f t="shared" si="3"/>
        <v/>
      </c>
      <c r="AA23" t="str">
        <f t="shared" si="4"/>
        <v/>
      </c>
      <c r="AB23" t="str">
        <f t="shared" si="5"/>
        <v/>
      </c>
      <c r="AC23" t="str">
        <f>IF(LEN(V23),"MOV.D "&amp;$V23&amp;" "&amp;$B$15,"")</f>
        <v/>
      </c>
      <c r="AD23" t="str">
        <f t="shared" si="6"/>
        <v/>
      </c>
      <c r="AE23" t="str">
        <f t="shared" si="7"/>
        <v/>
      </c>
      <c r="AF23" t="str">
        <f t="shared" si="8"/>
        <v/>
      </c>
      <c r="AG23" t="str">
        <f t="shared" si="18"/>
        <v/>
      </c>
      <c r="AH23" t="str">
        <f t="shared" si="19"/>
        <v/>
      </c>
      <c r="AJ23" t="str">
        <f t="shared" si="9"/>
        <v/>
      </c>
      <c r="AK23" t="str">
        <f t="shared" si="10"/>
        <v/>
      </c>
      <c r="AL23" t="str">
        <f t="shared" si="20"/>
        <v/>
      </c>
      <c r="AM23" t="str">
        <f t="shared" si="21"/>
        <v/>
      </c>
      <c r="AN23" t="str">
        <f t="shared" si="11"/>
        <v/>
      </c>
    </row>
    <row r="24" spans="1:40" x14ac:dyDescent="0.55000000000000004">
      <c r="D24">
        <v>18</v>
      </c>
      <c r="N24" t="str">
        <f t="shared" si="12"/>
        <v/>
      </c>
      <c r="O24" t="str">
        <f t="shared" si="13"/>
        <v/>
      </c>
      <c r="P24" t="str">
        <f t="shared" si="13"/>
        <v/>
      </c>
      <c r="Q24" t="str">
        <f t="shared" si="14"/>
        <v/>
      </c>
      <c r="R24" t="str">
        <f t="shared" si="14"/>
        <v/>
      </c>
      <c r="S24" t="str">
        <f t="shared" si="14"/>
        <v/>
      </c>
      <c r="T24" t="str">
        <f t="shared" si="15"/>
        <v/>
      </c>
      <c r="U24" t="str">
        <f t="shared" si="16"/>
        <v/>
      </c>
      <c r="V24" t="str">
        <f t="shared" si="17"/>
        <v/>
      </c>
      <c r="X24" t="str">
        <f t="shared" si="2"/>
        <v/>
      </c>
      <c r="Y24" t="str">
        <f>IF(X24="●",Y$4+MOD(INT(MID(E24,5,3)),Y$2),"")</f>
        <v/>
      </c>
      <c r="Z24" t="str">
        <f t="shared" si="3"/>
        <v/>
      </c>
      <c r="AA24" t="str">
        <f t="shared" si="4"/>
        <v/>
      </c>
      <c r="AB24" t="str">
        <f t="shared" si="5"/>
        <v/>
      </c>
      <c r="AC24" t="str">
        <f>IF(LEN(V24),"MOV.D "&amp;$V24&amp;" "&amp;$B$15,"")</f>
        <v/>
      </c>
      <c r="AD24" t="str">
        <f t="shared" si="6"/>
        <v/>
      </c>
      <c r="AE24" t="str">
        <f t="shared" si="7"/>
        <v/>
      </c>
      <c r="AF24" t="str">
        <f t="shared" si="8"/>
        <v/>
      </c>
      <c r="AG24" t="str">
        <f t="shared" si="18"/>
        <v/>
      </c>
      <c r="AH24" t="str">
        <f t="shared" si="19"/>
        <v/>
      </c>
      <c r="AJ24" t="str">
        <f t="shared" si="9"/>
        <v/>
      </c>
      <c r="AK24" t="str">
        <f t="shared" si="10"/>
        <v/>
      </c>
      <c r="AL24" t="str">
        <f t="shared" si="20"/>
        <v/>
      </c>
      <c r="AM24" t="str">
        <f t="shared" si="21"/>
        <v/>
      </c>
      <c r="AN24" t="str">
        <f t="shared" si="11"/>
        <v/>
      </c>
    </row>
    <row r="25" spans="1:40" x14ac:dyDescent="0.55000000000000004">
      <c r="D25">
        <v>19</v>
      </c>
      <c r="N25" t="str">
        <f t="shared" si="12"/>
        <v/>
      </c>
      <c r="O25" t="str">
        <f t="shared" si="13"/>
        <v/>
      </c>
      <c r="P25" t="str">
        <f t="shared" si="13"/>
        <v/>
      </c>
      <c r="Q25" t="str">
        <f t="shared" si="14"/>
        <v/>
      </c>
      <c r="R25" t="str">
        <f t="shared" si="14"/>
        <v/>
      </c>
      <c r="S25" t="str">
        <f t="shared" si="14"/>
        <v/>
      </c>
      <c r="T25" t="str">
        <f t="shared" si="15"/>
        <v/>
      </c>
      <c r="U25" t="str">
        <f t="shared" si="16"/>
        <v/>
      </c>
      <c r="V25" t="str">
        <f t="shared" si="17"/>
        <v/>
      </c>
      <c r="X25" t="str">
        <f t="shared" si="2"/>
        <v/>
      </c>
      <c r="Y25" t="str">
        <f>IF(X25="●",Y$4+MOD(INT(MID(E25,5,3)),Y$2),"")</f>
        <v/>
      </c>
      <c r="Z25" t="str">
        <f t="shared" si="3"/>
        <v/>
      </c>
      <c r="AA25" t="str">
        <f t="shared" si="4"/>
        <v/>
      </c>
      <c r="AB25" t="str">
        <f t="shared" si="5"/>
        <v/>
      </c>
      <c r="AC25" t="str">
        <f>IF(LEN(V25),"MOV.D "&amp;$V25&amp;" "&amp;$B$15,"")</f>
        <v/>
      </c>
      <c r="AD25" t="str">
        <f t="shared" si="6"/>
        <v/>
      </c>
      <c r="AE25" t="str">
        <f t="shared" si="7"/>
        <v/>
      </c>
      <c r="AF25" t="str">
        <f t="shared" si="8"/>
        <v/>
      </c>
      <c r="AG25" t="str">
        <f t="shared" si="18"/>
        <v/>
      </c>
      <c r="AH25" t="str">
        <f t="shared" si="19"/>
        <v/>
      </c>
      <c r="AJ25" t="str">
        <f t="shared" si="9"/>
        <v/>
      </c>
      <c r="AK25" t="str">
        <f t="shared" si="10"/>
        <v/>
      </c>
      <c r="AL25" t="str">
        <f t="shared" si="20"/>
        <v/>
      </c>
      <c r="AM25" t="str">
        <f t="shared" si="21"/>
        <v/>
      </c>
      <c r="AN25" t="str">
        <f t="shared" si="11"/>
        <v/>
      </c>
    </row>
    <row r="26" spans="1:40" x14ac:dyDescent="0.55000000000000004">
      <c r="D26">
        <v>20</v>
      </c>
      <c r="N26" t="str">
        <f t="shared" si="12"/>
        <v/>
      </c>
      <c r="O26" t="str">
        <f t="shared" si="13"/>
        <v/>
      </c>
      <c r="P26" t="str">
        <f t="shared" si="13"/>
        <v/>
      </c>
      <c r="Q26" t="str">
        <f t="shared" si="14"/>
        <v/>
      </c>
      <c r="R26" t="str">
        <f t="shared" si="14"/>
        <v/>
      </c>
      <c r="S26" t="str">
        <f t="shared" si="14"/>
        <v/>
      </c>
      <c r="T26" t="str">
        <f t="shared" si="15"/>
        <v/>
      </c>
      <c r="U26" t="str">
        <f t="shared" si="16"/>
        <v/>
      </c>
      <c r="V26" t="str">
        <f t="shared" si="17"/>
        <v/>
      </c>
      <c r="X26" t="str">
        <f t="shared" si="2"/>
        <v/>
      </c>
      <c r="Y26" t="str">
        <f>IF(X26="●",Y$4+MOD(INT(MID(E26,5,3)),Y$2),"")</f>
        <v/>
      </c>
      <c r="Z26" t="str">
        <f t="shared" si="3"/>
        <v/>
      </c>
      <c r="AA26" t="str">
        <f t="shared" si="4"/>
        <v/>
      </c>
      <c r="AB26" t="str">
        <f t="shared" si="5"/>
        <v/>
      </c>
      <c r="AC26" t="str">
        <f>IF(LEN(V26),"MOV.D "&amp;$V26&amp;" "&amp;$B$15,"")</f>
        <v/>
      </c>
      <c r="AD26" t="str">
        <f t="shared" si="6"/>
        <v/>
      </c>
      <c r="AE26" t="str">
        <f t="shared" si="7"/>
        <v/>
      </c>
      <c r="AF26" t="str">
        <f t="shared" si="8"/>
        <v/>
      </c>
      <c r="AG26" t="str">
        <f t="shared" si="18"/>
        <v/>
      </c>
      <c r="AH26" t="str">
        <f t="shared" si="19"/>
        <v/>
      </c>
      <c r="AJ26" t="str">
        <f t="shared" si="9"/>
        <v/>
      </c>
      <c r="AK26" t="str">
        <f t="shared" si="10"/>
        <v/>
      </c>
      <c r="AL26" t="str">
        <f t="shared" si="20"/>
        <v/>
      </c>
      <c r="AM26" t="str">
        <f t="shared" si="21"/>
        <v/>
      </c>
      <c r="AN26" t="str">
        <f t="shared" si="11"/>
        <v/>
      </c>
    </row>
    <row r="27" spans="1:40" x14ac:dyDescent="0.55000000000000004">
      <c r="D27">
        <v>21</v>
      </c>
      <c r="N27" t="str">
        <f t="shared" si="12"/>
        <v/>
      </c>
      <c r="O27" t="str">
        <f t="shared" si="13"/>
        <v/>
      </c>
      <c r="P27" t="str">
        <f t="shared" si="13"/>
        <v/>
      </c>
      <c r="Q27" t="str">
        <f t="shared" si="14"/>
        <v/>
      </c>
      <c r="R27" t="str">
        <f t="shared" si="14"/>
        <v/>
      </c>
      <c r="S27" t="str">
        <f t="shared" si="14"/>
        <v/>
      </c>
      <c r="T27" t="str">
        <f t="shared" si="15"/>
        <v/>
      </c>
      <c r="U27" t="str">
        <f t="shared" si="16"/>
        <v/>
      </c>
      <c r="V27" t="str">
        <f t="shared" si="17"/>
        <v/>
      </c>
      <c r="X27" t="str">
        <f t="shared" si="2"/>
        <v/>
      </c>
      <c r="Y27" t="str">
        <f>IF(X27="●",Y$4+MOD(INT(MID(E27,5,3)),Y$2),"")</f>
        <v/>
      </c>
      <c r="Z27" t="str">
        <f t="shared" si="3"/>
        <v/>
      </c>
      <c r="AA27" t="str">
        <f t="shared" si="4"/>
        <v/>
      </c>
      <c r="AB27" t="str">
        <f t="shared" si="5"/>
        <v/>
      </c>
      <c r="AC27" t="str">
        <f>IF(LEN(V27),"MOV.D "&amp;$V27&amp;" "&amp;$B$15,"")</f>
        <v/>
      </c>
      <c r="AD27" t="str">
        <f t="shared" si="6"/>
        <v/>
      </c>
      <c r="AE27" t="str">
        <f t="shared" si="7"/>
        <v/>
      </c>
      <c r="AF27" t="str">
        <f t="shared" si="8"/>
        <v/>
      </c>
      <c r="AG27" t="str">
        <f t="shared" si="18"/>
        <v/>
      </c>
      <c r="AH27" t="str">
        <f t="shared" si="19"/>
        <v/>
      </c>
      <c r="AJ27" t="str">
        <f t="shared" si="9"/>
        <v/>
      </c>
      <c r="AK27" t="str">
        <f t="shared" si="10"/>
        <v/>
      </c>
      <c r="AL27" t="str">
        <f t="shared" si="20"/>
        <v/>
      </c>
      <c r="AM27" t="str">
        <f t="shared" si="21"/>
        <v/>
      </c>
      <c r="AN27" t="str">
        <f t="shared" si="11"/>
        <v/>
      </c>
    </row>
    <row r="28" spans="1:40" x14ac:dyDescent="0.55000000000000004">
      <c r="D28">
        <v>22</v>
      </c>
      <c r="N28" t="str">
        <f t="shared" si="12"/>
        <v/>
      </c>
      <c r="O28" t="str">
        <f t="shared" si="13"/>
        <v/>
      </c>
      <c r="P28" t="str">
        <f t="shared" si="13"/>
        <v/>
      </c>
      <c r="Q28" t="str">
        <f t="shared" si="14"/>
        <v/>
      </c>
      <c r="R28" t="str">
        <f t="shared" si="14"/>
        <v/>
      </c>
      <c r="S28" t="str">
        <f t="shared" si="14"/>
        <v/>
      </c>
      <c r="T28" t="str">
        <f t="shared" si="15"/>
        <v/>
      </c>
      <c r="U28" t="str">
        <f t="shared" si="16"/>
        <v/>
      </c>
      <c r="V28" t="str">
        <f t="shared" si="17"/>
        <v/>
      </c>
      <c r="X28" t="str">
        <f t="shared" si="2"/>
        <v/>
      </c>
      <c r="Y28" t="str">
        <f>IF(X28="●",Y$4+MOD(INT(MID(E28,5,3)),Y$2),"")</f>
        <v/>
      </c>
      <c r="Z28" t="str">
        <f t="shared" si="3"/>
        <v/>
      </c>
      <c r="AA28" t="str">
        <f t="shared" si="4"/>
        <v/>
      </c>
      <c r="AB28" t="str">
        <f t="shared" si="5"/>
        <v/>
      </c>
      <c r="AC28" t="str">
        <f>IF(LEN(V28),"MOV.D "&amp;$V28&amp;" "&amp;$B$15,"")</f>
        <v/>
      </c>
      <c r="AD28" t="str">
        <f t="shared" si="6"/>
        <v/>
      </c>
      <c r="AE28" t="str">
        <f t="shared" si="7"/>
        <v/>
      </c>
      <c r="AF28" t="str">
        <f t="shared" si="8"/>
        <v/>
      </c>
      <c r="AG28" t="str">
        <f t="shared" si="18"/>
        <v/>
      </c>
      <c r="AH28" t="str">
        <f t="shared" si="19"/>
        <v/>
      </c>
      <c r="AJ28" t="str">
        <f t="shared" si="9"/>
        <v/>
      </c>
      <c r="AK28" t="str">
        <f t="shared" si="10"/>
        <v/>
      </c>
      <c r="AL28" t="str">
        <f t="shared" si="20"/>
        <v/>
      </c>
      <c r="AM28" t="str">
        <f t="shared" si="21"/>
        <v/>
      </c>
      <c r="AN28" t="str">
        <f t="shared" si="11"/>
        <v/>
      </c>
    </row>
    <row r="29" spans="1:40" x14ac:dyDescent="0.55000000000000004">
      <c r="D29">
        <v>23</v>
      </c>
      <c r="N29" t="str">
        <f t="shared" si="12"/>
        <v/>
      </c>
      <c r="O29" t="str">
        <f t="shared" si="13"/>
        <v/>
      </c>
      <c r="P29" t="str">
        <f t="shared" si="13"/>
        <v/>
      </c>
      <c r="Q29" t="str">
        <f t="shared" si="14"/>
        <v/>
      </c>
      <c r="R29" t="str">
        <f t="shared" si="14"/>
        <v/>
      </c>
      <c r="S29" t="str">
        <f t="shared" si="14"/>
        <v/>
      </c>
      <c r="T29" t="str">
        <f t="shared" si="15"/>
        <v/>
      </c>
      <c r="U29" t="str">
        <f t="shared" si="16"/>
        <v/>
      </c>
      <c r="V29" t="str">
        <f t="shared" si="17"/>
        <v/>
      </c>
      <c r="X29" t="str">
        <f t="shared" si="2"/>
        <v/>
      </c>
      <c r="Y29" t="str">
        <f>IF(X29="●",Y$4+MOD(INT(MID(E29,5,3)),Y$2),"")</f>
        <v/>
      </c>
      <c r="Z29" t="str">
        <f t="shared" si="3"/>
        <v/>
      </c>
      <c r="AA29" t="str">
        <f t="shared" si="4"/>
        <v/>
      </c>
      <c r="AB29" t="str">
        <f t="shared" si="5"/>
        <v/>
      </c>
      <c r="AC29" t="str">
        <f>IF(LEN(V29),"MOV.D "&amp;$V29&amp;" "&amp;$B$15,"")</f>
        <v/>
      </c>
      <c r="AD29" t="str">
        <f t="shared" si="6"/>
        <v/>
      </c>
      <c r="AE29" t="str">
        <f t="shared" si="7"/>
        <v/>
      </c>
      <c r="AF29" t="str">
        <f t="shared" si="8"/>
        <v/>
      </c>
      <c r="AG29" t="str">
        <f t="shared" si="18"/>
        <v/>
      </c>
      <c r="AH29" t="str">
        <f t="shared" si="19"/>
        <v/>
      </c>
      <c r="AJ29" t="str">
        <f t="shared" si="9"/>
        <v/>
      </c>
      <c r="AK29" t="str">
        <f t="shared" si="10"/>
        <v/>
      </c>
      <c r="AL29" t="str">
        <f t="shared" si="20"/>
        <v/>
      </c>
      <c r="AM29" t="str">
        <f t="shared" si="21"/>
        <v/>
      </c>
      <c r="AN29" t="str">
        <f t="shared" si="11"/>
        <v/>
      </c>
    </row>
    <row r="30" spans="1:40" x14ac:dyDescent="0.55000000000000004">
      <c r="D30">
        <v>24</v>
      </c>
      <c r="N30" t="str">
        <f t="shared" si="12"/>
        <v/>
      </c>
      <c r="O30" t="str">
        <f t="shared" si="13"/>
        <v/>
      </c>
      <c r="P30" t="str">
        <f t="shared" si="13"/>
        <v/>
      </c>
      <c r="Q30" t="str">
        <f t="shared" si="14"/>
        <v/>
      </c>
      <c r="R30" t="str">
        <f t="shared" si="14"/>
        <v/>
      </c>
      <c r="S30" t="str">
        <f t="shared" si="14"/>
        <v/>
      </c>
      <c r="T30" t="str">
        <f t="shared" si="15"/>
        <v/>
      </c>
      <c r="U30" t="str">
        <f t="shared" si="16"/>
        <v/>
      </c>
      <c r="V30" t="str">
        <f t="shared" si="17"/>
        <v/>
      </c>
      <c r="X30" t="str">
        <f t="shared" si="2"/>
        <v/>
      </c>
      <c r="Y30" t="str">
        <f>IF(X30="●",Y$4+MOD(INT(MID(E30,5,3)),Y$2),"")</f>
        <v/>
      </c>
      <c r="Z30" t="str">
        <f t="shared" si="3"/>
        <v/>
      </c>
      <c r="AA30" t="str">
        <f t="shared" si="4"/>
        <v/>
      </c>
      <c r="AB30" t="str">
        <f t="shared" si="5"/>
        <v/>
      </c>
      <c r="AC30" t="str">
        <f>IF(LEN(V30),"MOV.D "&amp;$V30&amp;" "&amp;$B$15,"")</f>
        <v/>
      </c>
      <c r="AD30" t="str">
        <f t="shared" si="6"/>
        <v/>
      </c>
      <c r="AE30" t="str">
        <f t="shared" si="7"/>
        <v/>
      </c>
      <c r="AF30" t="str">
        <f t="shared" si="8"/>
        <v/>
      </c>
      <c r="AG30" t="str">
        <f t="shared" si="18"/>
        <v/>
      </c>
      <c r="AH30" t="str">
        <f t="shared" si="19"/>
        <v/>
      </c>
      <c r="AJ30" t="str">
        <f t="shared" si="9"/>
        <v/>
      </c>
      <c r="AK30" t="str">
        <f t="shared" si="10"/>
        <v/>
      </c>
      <c r="AL30" t="str">
        <f t="shared" si="20"/>
        <v/>
      </c>
      <c r="AM30" t="str">
        <f t="shared" si="21"/>
        <v/>
      </c>
      <c r="AN30" t="str">
        <f t="shared" si="11"/>
        <v/>
      </c>
    </row>
    <row r="31" spans="1:40" x14ac:dyDescent="0.55000000000000004">
      <c r="D31">
        <v>25</v>
      </c>
      <c r="N31" t="str">
        <f t="shared" si="12"/>
        <v/>
      </c>
      <c r="O31" t="str">
        <f t="shared" si="13"/>
        <v/>
      </c>
      <c r="P31" t="str">
        <f t="shared" si="13"/>
        <v/>
      </c>
      <c r="Q31" t="str">
        <f t="shared" si="14"/>
        <v/>
      </c>
      <c r="R31" t="str">
        <f t="shared" si="14"/>
        <v/>
      </c>
      <c r="S31" t="str">
        <f t="shared" si="14"/>
        <v/>
      </c>
      <c r="T31" t="str">
        <f t="shared" si="15"/>
        <v/>
      </c>
      <c r="U31" t="str">
        <f t="shared" si="16"/>
        <v/>
      </c>
      <c r="V31" t="str">
        <f t="shared" si="17"/>
        <v/>
      </c>
      <c r="X31" t="str">
        <f t="shared" si="2"/>
        <v/>
      </c>
      <c r="Y31" t="str">
        <f>IF(X31="●",Y$4+MOD(INT(MID(E31,5,3)),Y$2),"")</f>
        <v/>
      </c>
      <c r="Z31" t="str">
        <f t="shared" si="3"/>
        <v/>
      </c>
      <c r="AA31" t="str">
        <f t="shared" si="4"/>
        <v/>
      </c>
      <c r="AB31" t="str">
        <f t="shared" si="5"/>
        <v/>
      </c>
      <c r="AC31" t="str">
        <f>IF(LEN(V31),"MOV.D "&amp;$V31&amp;" "&amp;$B$15,"")</f>
        <v/>
      </c>
      <c r="AD31" t="str">
        <f t="shared" si="6"/>
        <v/>
      </c>
      <c r="AE31" t="str">
        <f t="shared" si="7"/>
        <v/>
      </c>
      <c r="AF31" t="str">
        <f t="shared" si="8"/>
        <v/>
      </c>
      <c r="AG31" t="str">
        <f t="shared" si="18"/>
        <v/>
      </c>
      <c r="AH31" t="str">
        <f t="shared" si="19"/>
        <v/>
      </c>
      <c r="AJ31" t="str">
        <f t="shared" si="9"/>
        <v/>
      </c>
      <c r="AK31" t="str">
        <f t="shared" si="10"/>
        <v/>
      </c>
      <c r="AL31" t="str">
        <f t="shared" si="20"/>
        <v/>
      </c>
      <c r="AM31" t="str">
        <f t="shared" si="21"/>
        <v/>
      </c>
      <c r="AN31" t="str">
        <f t="shared" si="11"/>
        <v/>
      </c>
    </row>
    <row r="32" spans="1:40" x14ac:dyDescent="0.55000000000000004">
      <c r="D32">
        <v>26</v>
      </c>
      <c r="N32" t="str">
        <f t="shared" si="12"/>
        <v/>
      </c>
      <c r="O32" t="str">
        <f t="shared" si="13"/>
        <v/>
      </c>
      <c r="P32" t="str">
        <f t="shared" si="13"/>
        <v/>
      </c>
      <c r="Q32" t="str">
        <f t="shared" si="14"/>
        <v/>
      </c>
      <c r="R32" t="str">
        <f t="shared" si="14"/>
        <v/>
      </c>
      <c r="S32" t="str">
        <f t="shared" si="14"/>
        <v/>
      </c>
      <c r="T32" t="str">
        <f t="shared" si="15"/>
        <v/>
      </c>
      <c r="U32" t="str">
        <f t="shared" si="16"/>
        <v/>
      </c>
      <c r="V32" t="str">
        <f t="shared" si="17"/>
        <v/>
      </c>
      <c r="X32" t="str">
        <f t="shared" si="2"/>
        <v/>
      </c>
      <c r="Y32" t="str">
        <f>IF(X32="●",Y$4+MOD(INT(MID(E32,5,3)),Y$2),"")</f>
        <v/>
      </c>
      <c r="Z32" t="str">
        <f t="shared" si="3"/>
        <v/>
      </c>
      <c r="AA32" t="str">
        <f t="shared" si="4"/>
        <v/>
      </c>
      <c r="AB32" t="str">
        <f t="shared" si="5"/>
        <v/>
      </c>
      <c r="AC32" t="str">
        <f>IF(LEN(V32),"MOV.D "&amp;$V32&amp;" "&amp;$B$15,"")</f>
        <v/>
      </c>
      <c r="AD32" t="str">
        <f t="shared" si="6"/>
        <v/>
      </c>
      <c r="AE32" t="str">
        <f t="shared" si="7"/>
        <v/>
      </c>
      <c r="AF32" t="str">
        <f t="shared" si="8"/>
        <v/>
      </c>
      <c r="AG32" t="str">
        <f t="shared" si="18"/>
        <v/>
      </c>
      <c r="AH32" t="str">
        <f t="shared" si="19"/>
        <v/>
      </c>
      <c r="AJ32" t="str">
        <f t="shared" si="9"/>
        <v/>
      </c>
      <c r="AK32" t="str">
        <f t="shared" si="10"/>
        <v/>
      </c>
      <c r="AL32" t="str">
        <f t="shared" si="20"/>
        <v/>
      </c>
      <c r="AM32" t="str">
        <f t="shared" si="21"/>
        <v/>
      </c>
      <c r="AN32" t="str">
        <f t="shared" si="11"/>
        <v/>
      </c>
    </row>
    <row r="33" spans="4:40" x14ac:dyDescent="0.55000000000000004">
      <c r="D33">
        <v>27</v>
      </c>
      <c r="N33" t="str">
        <f t="shared" si="12"/>
        <v/>
      </c>
      <c r="O33" t="str">
        <f t="shared" si="13"/>
        <v/>
      </c>
      <c r="P33" t="str">
        <f t="shared" si="13"/>
        <v/>
      </c>
      <c r="Q33" t="str">
        <f t="shared" si="14"/>
        <v/>
      </c>
      <c r="R33" t="str">
        <f t="shared" si="14"/>
        <v/>
      </c>
      <c r="S33" t="str">
        <f t="shared" si="14"/>
        <v/>
      </c>
      <c r="T33" t="str">
        <f t="shared" si="15"/>
        <v/>
      </c>
      <c r="U33" t="str">
        <f t="shared" si="16"/>
        <v/>
      </c>
      <c r="V33" t="str">
        <f t="shared" si="17"/>
        <v/>
      </c>
      <c r="X33" t="str">
        <f t="shared" si="2"/>
        <v/>
      </c>
      <c r="Y33" t="str">
        <f>IF(X33="●",Y$4+MOD(INT(MID(E33,5,3)),Y$2),"")</f>
        <v/>
      </c>
      <c r="Z33" t="str">
        <f t="shared" si="3"/>
        <v/>
      </c>
      <c r="AA33" t="str">
        <f t="shared" si="4"/>
        <v/>
      </c>
      <c r="AB33" t="str">
        <f t="shared" si="5"/>
        <v/>
      </c>
      <c r="AC33" t="str">
        <f>IF(LEN(V33),"MOV.D "&amp;$V33&amp;" "&amp;$B$15,"")</f>
        <v/>
      </c>
      <c r="AD33" t="str">
        <f t="shared" si="6"/>
        <v/>
      </c>
      <c r="AE33" t="str">
        <f t="shared" si="7"/>
        <v/>
      </c>
      <c r="AF33" t="str">
        <f t="shared" si="8"/>
        <v/>
      </c>
      <c r="AG33" t="str">
        <f t="shared" si="18"/>
        <v/>
      </c>
      <c r="AH33" t="str">
        <f t="shared" si="19"/>
        <v/>
      </c>
      <c r="AJ33" t="str">
        <f t="shared" si="9"/>
        <v/>
      </c>
      <c r="AK33" t="str">
        <f t="shared" si="10"/>
        <v/>
      </c>
      <c r="AL33" t="str">
        <f t="shared" si="20"/>
        <v/>
      </c>
      <c r="AM33" t="str">
        <f t="shared" si="21"/>
        <v/>
      </c>
      <c r="AN33" t="str">
        <f t="shared" si="11"/>
        <v/>
      </c>
    </row>
    <row r="34" spans="4:40" x14ac:dyDescent="0.55000000000000004">
      <c r="D34">
        <v>28</v>
      </c>
      <c r="N34" t="str">
        <f t="shared" si="12"/>
        <v/>
      </c>
      <c r="O34" t="str">
        <f t="shared" si="13"/>
        <v/>
      </c>
      <c r="P34" t="str">
        <f t="shared" si="13"/>
        <v/>
      </c>
      <c r="Q34" t="str">
        <f t="shared" si="14"/>
        <v/>
      </c>
      <c r="R34" t="str">
        <f t="shared" si="14"/>
        <v/>
      </c>
      <c r="S34" t="str">
        <f t="shared" si="14"/>
        <v/>
      </c>
      <c r="T34" t="str">
        <f t="shared" si="15"/>
        <v/>
      </c>
      <c r="U34" t="str">
        <f t="shared" si="16"/>
        <v/>
      </c>
      <c r="V34" t="str">
        <f t="shared" si="17"/>
        <v/>
      </c>
      <c r="X34" t="str">
        <f t="shared" si="2"/>
        <v/>
      </c>
      <c r="Y34" t="str">
        <f>IF(X34="●",Y$4+MOD(INT(MID(E34,5,3)),Y$2),"")</f>
        <v/>
      </c>
      <c r="Z34" t="str">
        <f t="shared" si="3"/>
        <v/>
      </c>
      <c r="AA34" t="str">
        <f t="shared" si="4"/>
        <v/>
      </c>
      <c r="AB34" t="str">
        <f t="shared" si="5"/>
        <v/>
      </c>
      <c r="AC34" t="str">
        <f>IF(LEN(V34),"MOV.D "&amp;$V34&amp;" "&amp;$B$15,"")</f>
        <v/>
      </c>
      <c r="AD34" t="str">
        <f t="shared" si="6"/>
        <v/>
      </c>
      <c r="AE34" t="str">
        <f t="shared" si="7"/>
        <v/>
      </c>
      <c r="AF34" t="str">
        <f t="shared" si="8"/>
        <v/>
      </c>
      <c r="AG34" t="str">
        <f t="shared" si="18"/>
        <v/>
      </c>
      <c r="AH34" t="str">
        <f t="shared" si="19"/>
        <v/>
      </c>
      <c r="AJ34" t="str">
        <f t="shared" si="9"/>
        <v/>
      </c>
      <c r="AK34" t="str">
        <f t="shared" si="10"/>
        <v/>
      </c>
      <c r="AL34" t="str">
        <f t="shared" si="20"/>
        <v/>
      </c>
      <c r="AM34" t="str">
        <f t="shared" si="21"/>
        <v/>
      </c>
      <c r="AN34" t="str">
        <f t="shared" si="11"/>
        <v/>
      </c>
    </row>
    <row r="35" spans="4:40" x14ac:dyDescent="0.55000000000000004">
      <c r="D35">
        <v>29</v>
      </c>
      <c r="N35" t="str">
        <f t="shared" si="12"/>
        <v/>
      </c>
      <c r="O35" t="str">
        <f t="shared" si="13"/>
        <v/>
      </c>
      <c r="P35" t="str">
        <f t="shared" si="13"/>
        <v/>
      </c>
      <c r="Q35" t="str">
        <f t="shared" si="14"/>
        <v/>
      </c>
      <c r="R35" t="str">
        <f t="shared" si="14"/>
        <v/>
      </c>
      <c r="S35" t="str">
        <f t="shared" si="14"/>
        <v/>
      </c>
      <c r="T35" t="str">
        <f t="shared" si="15"/>
        <v/>
      </c>
      <c r="U35" t="str">
        <f t="shared" si="16"/>
        <v/>
      </c>
      <c r="V35" t="str">
        <f t="shared" si="17"/>
        <v/>
      </c>
      <c r="X35" t="str">
        <f t="shared" si="2"/>
        <v/>
      </c>
      <c r="Y35" t="str">
        <f>IF(X35="●",Y$4+MOD(INT(MID(E35,5,3)),Y$2),"")</f>
        <v/>
      </c>
      <c r="Z35" t="str">
        <f t="shared" si="3"/>
        <v/>
      </c>
      <c r="AA35" t="str">
        <f t="shared" si="4"/>
        <v/>
      </c>
      <c r="AB35" t="str">
        <f t="shared" si="5"/>
        <v/>
      </c>
      <c r="AC35" t="str">
        <f>IF(LEN(V35),"MOV.D "&amp;$V35&amp;" "&amp;$B$15,"")</f>
        <v/>
      </c>
      <c r="AD35" t="str">
        <f t="shared" si="6"/>
        <v/>
      </c>
      <c r="AE35" t="str">
        <f t="shared" si="7"/>
        <v/>
      </c>
      <c r="AF35" t="str">
        <f t="shared" si="8"/>
        <v/>
      </c>
      <c r="AG35" t="str">
        <f t="shared" si="18"/>
        <v/>
      </c>
      <c r="AH35" t="str">
        <f t="shared" si="19"/>
        <v/>
      </c>
      <c r="AJ35" t="str">
        <f t="shared" si="9"/>
        <v/>
      </c>
      <c r="AK35" t="str">
        <f t="shared" si="10"/>
        <v/>
      </c>
      <c r="AL35" t="str">
        <f t="shared" si="20"/>
        <v/>
      </c>
      <c r="AM35" t="str">
        <f t="shared" si="21"/>
        <v/>
      </c>
      <c r="AN35" t="str">
        <f t="shared" si="11"/>
        <v/>
      </c>
    </row>
    <row r="36" spans="4:40" x14ac:dyDescent="0.55000000000000004">
      <c r="D36">
        <v>30</v>
      </c>
      <c r="N36" t="str">
        <f t="shared" si="12"/>
        <v/>
      </c>
      <c r="O36" t="str">
        <f t="shared" si="13"/>
        <v/>
      </c>
      <c r="P36" t="str">
        <f t="shared" si="13"/>
        <v/>
      </c>
      <c r="Q36" t="str">
        <f t="shared" si="14"/>
        <v/>
      </c>
      <c r="R36" t="str">
        <f t="shared" si="14"/>
        <v/>
      </c>
      <c r="S36" t="str">
        <f t="shared" si="14"/>
        <v/>
      </c>
      <c r="T36" t="str">
        <f t="shared" si="15"/>
        <v/>
      </c>
      <c r="U36" t="str">
        <f t="shared" si="16"/>
        <v/>
      </c>
      <c r="V36" t="str">
        <f t="shared" si="17"/>
        <v/>
      </c>
      <c r="X36" t="str">
        <f t="shared" si="2"/>
        <v/>
      </c>
      <c r="Y36" t="str">
        <f>IF(X36="●",Y$4+MOD(INT(MID(E36,5,3)),Y$2),"")</f>
        <v/>
      </c>
      <c r="Z36" t="str">
        <f t="shared" si="3"/>
        <v/>
      </c>
      <c r="AA36" t="str">
        <f t="shared" si="4"/>
        <v/>
      </c>
      <c r="AB36" t="str">
        <f t="shared" si="5"/>
        <v/>
      </c>
      <c r="AC36" t="str">
        <f>IF(LEN(V36),"MOV.D "&amp;$V36&amp;" "&amp;$B$15,"")</f>
        <v/>
      </c>
      <c r="AD36" t="str">
        <f t="shared" si="6"/>
        <v/>
      </c>
      <c r="AE36" t="str">
        <f t="shared" si="7"/>
        <v/>
      </c>
      <c r="AF36" t="str">
        <f t="shared" si="8"/>
        <v/>
      </c>
      <c r="AG36" t="str">
        <f t="shared" si="18"/>
        <v/>
      </c>
      <c r="AH36" t="str">
        <f t="shared" si="19"/>
        <v/>
      </c>
      <c r="AJ36" t="str">
        <f t="shared" si="9"/>
        <v/>
      </c>
      <c r="AK36" t="str">
        <f t="shared" si="10"/>
        <v/>
      </c>
      <c r="AL36" t="str">
        <f t="shared" si="20"/>
        <v/>
      </c>
      <c r="AM36" t="str">
        <f t="shared" si="21"/>
        <v/>
      </c>
      <c r="AN36" t="str">
        <f t="shared" si="11"/>
        <v/>
      </c>
    </row>
    <row r="37" spans="4:40" x14ac:dyDescent="0.55000000000000004">
      <c r="D37">
        <v>31</v>
      </c>
      <c r="N37" t="str">
        <f t="shared" si="12"/>
        <v/>
      </c>
      <c r="O37" t="str">
        <f t="shared" si="13"/>
        <v/>
      </c>
      <c r="P37" t="str">
        <f t="shared" si="13"/>
        <v/>
      </c>
      <c r="Q37" t="str">
        <f t="shared" si="14"/>
        <v/>
      </c>
      <c r="R37" t="str">
        <f t="shared" si="14"/>
        <v/>
      </c>
      <c r="S37" t="str">
        <f t="shared" si="14"/>
        <v/>
      </c>
      <c r="T37" t="str">
        <f t="shared" si="15"/>
        <v/>
      </c>
      <c r="U37" t="str">
        <f t="shared" si="16"/>
        <v/>
      </c>
      <c r="V37" t="str">
        <f t="shared" si="17"/>
        <v/>
      </c>
      <c r="X37" t="str">
        <f t="shared" si="2"/>
        <v/>
      </c>
      <c r="Y37" t="str">
        <f>IF(X37="●",Y$4+MOD(INT(MID(E37,5,3)),Y$2),"")</f>
        <v/>
      </c>
      <c r="Z37" t="str">
        <f t="shared" si="3"/>
        <v/>
      </c>
      <c r="AA37" t="str">
        <f t="shared" si="4"/>
        <v/>
      </c>
      <c r="AB37" t="str">
        <f t="shared" si="5"/>
        <v/>
      </c>
      <c r="AC37" t="str">
        <f>IF(LEN(V37),"MOV.D "&amp;$V37&amp;" "&amp;$B$15,"")</f>
        <v/>
      </c>
      <c r="AD37" t="str">
        <f t="shared" si="6"/>
        <v/>
      </c>
      <c r="AE37" t="str">
        <f t="shared" si="7"/>
        <v/>
      </c>
      <c r="AF37" t="str">
        <f t="shared" si="8"/>
        <v/>
      </c>
      <c r="AG37" t="str">
        <f t="shared" si="18"/>
        <v/>
      </c>
      <c r="AH37" t="str">
        <f t="shared" si="19"/>
        <v/>
      </c>
      <c r="AJ37" t="str">
        <f t="shared" si="9"/>
        <v/>
      </c>
      <c r="AK37" t="str">
        <f t="shared" si="10"/>
        <v/>
      </c>
      <c r="AL37" t="str">
        <f t="shared" si="20"/>
        <v/>
      </c>
      <c r="AM37" t="str">
        <f t="shared" si="21"/>
        <v/>
      </c>
      <c r="AN37" t="str">
        <f t="shared" si="11"/>
        <v/>
      </c>
    </row>
    <row r="38" spans="4:40" x14ac:dyDescent="0.55000000000000004">
      <c r="D38">
        <v>32</v>
      </c>
      <c r="N38" t="str">
        <f t="shared" si="12"/>
        <v/>
      </c>
      <c r="O38" t="str">
        <f t="shared" si="13"/>
        <v/>
      </c>
      <c r="P38" t="str">
        <f t="shared" si="13"/>
        <v/>
      </c>
      <c r="Q38" t="str">
        <f t="shared" si="14"/>
        <v/>
      </c>
      <c r="R38" t="str">
        <f t="shared" si="14"/>
        <v/>
      </c>
      <c r="S38" t="str">
        <f t="shared" si="14"/>
        <v/>
      </c>
      <c r="T38" t="str">
        <f t="shared" si="15"/>
        <v/>
      </c>
      <c r="U38" t="str">
        <f t="shared" si="16"/>
        <v/>
      </c>
      <c r="V38" t="str">
        <f t="shared" si="17"/>
        <v/>
      </c>
      <c r="X38" t="str">
        <f t="shared" ref="X38:X69" si="22">IF(LEN(L38),IF(OR(COUNTIF(L38,"*◆*"),COUNTIF(L38,"*▼*")),"","●"),"")</f>
        <v/>
      </c>
      <c r="Y38" t="str">
        <f>IF(X38="●",Y$4+MOD(INT(MID(E38,5,3)),Y$2),"")</f>
        <v/>
      </c>
      <c r="Z38" t="str">
        <f t="shared" ref="Z38:Z69" si="23">IF($X38="●","LDP "&amp;E38&amp;"."&amp;$B$12,"")</f>
        <v/>
      </c>
      <c r="AA38" t="str">
        <f t="shared" ref="AA38:AA69" si="24">IF($X38="●","AND=.D "&amp;$B$13&amp;" #0","")</f>
        <v/>
      </c>
      <c r="AB38" t="str">
        <f t="shared" ref="AB38:AB69" si="25">IF($X38="●","MOV.D #"&amp;Y38&amp;" "&amp;$B$13,"")</f>
        <v/>
      </c>
      <c r="AC38" t="str">
        <f>IF(LEN(V38),"MOV.D "&amp;$V38&amp;" "&amp;$B$15,"")</f>
        <v/>
      </c>
      <c r="AD38" t="str">
        <f t="shared" ref="AD38:AD69" si="26">IF(AND(D38&lt;&gt;0,X38="●"),CHAR(10),"")&amp;IF(LEN(Z38),Z38,"")</f>
        <v/>
      </c>
      <c r="AE38" t="str">
        <f t="shared" ref="AE38:AE69" si="27">IF(LEN(AD38),AD38&amp;CHAR(10),"")&amp;IF(LEN(AA38),AA38,"")</f>
        <v/>
      </c>
      <c r="AF38" t="str">
        <f t="shared" ref="AF38:AF69" si="28">IF(LEN(AE38),AE38&amp;CHAR(10),"")&amp;IF(LEN(AB38),AB38,"")</f>
        <v/>
      </c>
      <c r="AG38" t="str">
        <f t="shared" si="18"/>
        <v/>
      </c>
      <c r="AH38" t="str">
        <f t="shared" si="19"/>
        <v/>
      </c>
      <c r="AJ38" t="str">
        <f t="shared" ref="AJ38:AJ69" si="29">IF($X38="●",AE38&amp;CHAR(10)&amp;"BOX_ST"&amp;CHAR(10)&amp;";//"&amp;$B$8,"")</f>
        <v/>
      </c>
      <c r="AK38" t="str">
        <f t="shared" ref="AK38:AK69" si="30">IF($X38="●",IF(LEN(AJ38),AJ38&amp;CHAR(10),"")&amp;";//エラーNo.を入れる"&amp;CHAR(10)&amp;";"&amp;$B$13&amp;"	:= "&amp;Y38&amp;";","")</f>
        <v/>
      </c>
      <c r="AL38" t="str">
        <f t="shared" si="20"/>
        <v/>
      </c>
      <c r="AM38" t="str">
        <f t="shared" si="21"/>
        <v/>
      </c>
      <c r="AN38" t="str">
        <f t="shared" ref="AN38:AN69" si="31">IF($X38="●",IF(LEN(AM38),AM38&amp;CHAR(10),"")&amp;";//"&amp;$B$9,"")</f>
        <v/>
      </c>
    </row>
    <row r="39" spans="4:40" x14ac:dyDescent="0.55000000000000004">
      <c r="D39">
        <v>33</v>
      </c>
      <c r="N39" t="str">
        <f t="shared" si="12"/>
        <v/>
      </c>
      <c r="O39" t="str">
        <f t="shared" si="13"/>
        <v/>
      </c>
      <c r="P39" t="str">
        <f t="shared" si="13"/>
        <v/>
      </c>
      <c r="Q39" t="str">
        <f t="shared" ref="Q39:S70" si="32">IF(AND(LEN($N39),Q$2&lt;=$N39,$N39&lt;=Q$3),Q$5&amp;"["&amp;$N39-Q$2&amp;"]","")</f>
        <v/>
      </c>
      <c r="R39" t="str">
        <f t="shared" si="32"/>
        <v/>
      </c>
      <c r="S39" t="str">
        <f t="shared" si="32"/>
        <v/>
      </c>
      <c r="T39" t="str">
        <f t="shared" si="15"/>
        <v/>
      </c>
      <c r="U39" t="str">
        <f t="shared" si="16"/>
        <v/>
      </c>
      <c r="V39" t="str">
        <f t="shared" si="17"/>
        <v/>
      </c>
      <c r="X39" t="str">
        <f t="shared" si="22"/>
        <v/>
      </c>
      <c r="Y39" t="str">
        <f>IF(X39="●",Y$4+MOD(INT(MID(E39,5,3)),Y$2),"")</f>
        <v/>
      </c>
      <c r="Z39" t="str">
        <f t="shared" si="23"/>
        <v/>
      </c>
      <c r="AA39" t="str">
        <f t="shared" si="24"/>
        <v/>
      </c>
      <c r="AB39" t="str">
        <f t="shared" si="25"/>
        <v/>
      </c>
      <c r="AC39" t="str">
        <f>IF(LEN(V39),"MOV.D "&amp;$V39&amp;" "&amp;$B$15,"")</f>
        <v/>
      </c>
      <c r="AD39" t="str">
        <f t="shared" si="26"/>
        <v/>
      </c>
      <c r="AE39" t="str">
        <f t="shared" si="27"/>
        <v/>
      </c>
      <c r="AF39" t="str">
        <f t="shared" si="28"/>
        <v/>
      </c>
      <c r="AG39" t="str">
        <f t="shared" si="18"/>
        <v/>
      </c>
      <c r="AH39" t="str">
        <f t="shared" si="19"/>
        <v/>
      </c>
      <c r="AJ39" t="str">
        <f t="shared" si="29"/>
        <v/>
      </c>
      <c r="AK39" t="str">
        <f t="shared" si="30"/>
        <v/>
      </c>
      <c r="AL39" t="str">
        <f t="shared" si="20"/>
        <v/>
      </c>
      <c r="AM39" t="str">
        <f t="shared" si="21"/>
        <v/>
      </c>
      <c r="AN39" t="str">
        <f t="shared" si="31"/>
        <v/>
      </c>
    </row>
    <row r="40" spans="4:40" x14ac:dyDescent="0.55000000000000004">
      <c r="D40">
        <v>34</v>
      </c>
      <c r="N40" t="str">
        <f t="shared" si="12"/>
        <v/>
      </c>
      <c r="O40" t="str">
        <f t="shared" si="13"/>
        <v/>
      </c>
      <c r="P40" t="str">
        <f t="shared" si="13"/>
        <v/>
      </c>
      <c r="Q40" t="str">
        <f t="shared" si="32"/>
        <v/>
      </c>
      <c r="R40" t="str">
        <f t="shared" si="32"/>
        <v/>
      </c>
      <c r="S40" t="str">
        <f t="shared" si="32"/>
        <v/>
      </c>
      <c r="T40" t="str">
        <f t="shared" si="15"/>
        <v/>
      </c>
      <c r="U40" t="str">
        <f t="shared" si="16"/>
        <v/>
      </c>
      <c r="V40" t="str">
        <f t="shared" si="17"/>
        <v/>
      </c>
      <c r="X40" t="str">
        <f t="shared" si="22"/>
        <v/>
      </c>
      <c r="Y40" t="str">
        <f>IF(X40="●",Y$4+MOD(INT(MID(E40,5,3)),Y$2),"")</f>
        <v/>
      </c>
      <c r="Z40" t="str">
        <f t="shared" si="23"/>
        <v/>
      </c>
      <c r="AA40" t="str">
        <f t="shared" si="24"/>
        <v/>
      </c>
      <c r="AB40" t="str">
        <f t="shared" si="25"/>
        <v/>
      </c>
      <c r="AC40" t="str">
        <f>IF(LEN(V40),"MOV.D "&amp;$V40&amp;" "&amp;$B$15,"")</f>
        <v/>
      </c>
      <c r="AD40" t="str">
        <f t="shared" si="26"/>
        <v/>
      </c>
      <c r="AE40" t="str">
        <f t="shared" si="27"/>
        <v/>
      </c>
      <c r="AF40" t="str">
        <f t="shared" si="28"/>
        <v/>
      </c>
      <c r="AG40" t="str">
        <f t="shared" si="18"/>
        <v/>
      </c>
      <c r="AH40" t="str">
        <f t="shared" si="19"/>
        <v/>
      </c>
      <c r="AJ40" t="str">
        <f t="shared" si="29"/>
        <v/>
      </c>
      <c r="AK40" t="str">
        <f t="shared" si="30"/>
        <v/>
      </c>
      <c r="AL40" t="str">
        <f t="shared" si="20"/>
        <v/>
      </c>
      <c r="AM40" t="str">
        <f t="shared" si="21"/>
        <v/>
      </c>
      <c r="AN40" t="str">
        <f t="shared" si="31"/>
        <v/>
      </c>
    </row>
    <row r="41" spans="4:40" x14ac:dyDescent="0.55000000000000004">
      <c r="D41">
        <v>35</v>
      </c>
      <c r="N41" t="str">
        <f t="shared" si="12"/>
        <v/>
      </c>
      <c r="O41" t="str">
        <f t="shared" si="13"/>
        <v/>
      </c>
      <c r="P41" t="str">
        <f t="shared" si="13"/>
        <v/>
      </c>
      <c r="Q41" t="str">
        <f t="shared" si="32"/>
        <v/>
      </c>
      <c r="R41" t="str">
        <f t="shared" si="32"/>
        <v/>
      </c>
      <c r="S41" t="str">
        <f t="shared" si="32"/>
        <v/>
      </c>
      <c r="T41" t="str">
        <f t="shared" si="15"/>
        <v/>
      </c>
      <c r="U41" t="str">
        <f t="shared" si="16"/>
        <v/>
      </c>
      <c r="V41" t="str">
        <f t="shared" si="17"/>
        <v/>
      </c>
      <c r="X41" t="str">
        <f t="shared" si="22"/>
        <v/>
      </c>
      <c r="Y41" t="str">
        <f>IF(X41="●",Y$4+MOD(INT(MID(E41,5,3)),Y$2),"")</f>
        <v/>
      </c>
      <c r="Z41" t="str">
        <f t="shared" si="23"/>
        <v/>
      </c>
      <c r="AA41" t="str">
        <f t="shared" si="24"/>
        <v/>
      </c>
      <c r="AB41" t="str">
        <f t="shared" si="25"/>
        <v/>
      </c>
      <c r="AC41" t="str">
        <f>IF(LEN(V41),"MOV.D "&amp;$V41&amp;" "&amp;$B$15,"")</f>
        <v/>
      </c>
      <c r="AD41" t="str">
        <f t="shared" si="26"/>
        <v/>
      </c>
      <c r="AE41" t="str">
        <f t="shared" si="27"/>
        <v/>
      </c>
      <c r="AF41" t="str">
        <f t="shared" si="28"/>
        <v/>
      </c>
      <c r="AG41" t="str">
        <f t="shared" si="18"/>
        <v/>
      </c>
      <c r="AH41" t="str">
        <f t="shared" si="19"/>
        <v/>
      </c>
      <c r="AJ41" t="str">
        <f t="shared" si="29"/>
        <v/>
      </c>
      <c r="AK41" t="str">
        <f t="shared" si="30"/>
        <v/>
      </c>
      <c r="AL41" t="str">
        <f t="shared" si="20"/>
        <v/>
      </c>
      <c r="AM41" t="str">
        <f t="shared" si="21"/>
        <v/>
      </c>
      <c r="AN41" t="str">
        <f t="shared" si="31"/>
        <v/>
      </c>
    </row>
    <row r="42" spans="4:40" x14ac:dyDescent="0.55000000000000004">
      <c r="D42">
        <v>36</v>
      </c>
      <c r="N42" t="str">
        <f t="shared" si="12"/>
        <v/>
      </c>
      <c r="O42" t="str">
        <f t="shared" si="13"/>
        <v/>
      </c>
      <c r="P42" t="str">
        <f t="shared" si="13"/>
        <v/>
      </c>
      <c r="Q42" t="str">
        <f t="shared" si="32"/>
        <v/>
      </c>
      <c r="R42" t="str">
        <f t="shared" si="32"/>
        <v/>
      </c>
      <c r="S42" t="str">
        <f t="shared" si="32"/>
        <v/>
      </c>
      <c r="T42" t="str">
        <f t="shared" si="15"/>
        <v/>
      </c>
      <c r="U42" t="str">
        <f t="shared" si="16"/>
        <v/>
      </c>
      <c r="V42" t="str">
        <f t="shared" si="17"/>
        <v/>
      </c>
      <c r="X42" t="str">
        <f t="shared" si="22"/>
        <v/>
      </c>
      <c r="Y42" t="str">
        <f>IF(X42="●",Y$4+MOD(INT(MID(E42,5,3)),Y$2),"")</f>
        <v/>
      </c>
      <c r="Z42" t="str">
        <f t="shared" si="23"/>
        <v/>
      </c>
      <c r="AA42" t="str">
        <f t="shared" si="24"/>
        <v/>
      </c>
      <c r="AB42" t="str">
        <f t="shared" si="25"/>
        <v/>
      </c>
      <c r="AC42" t="str">
        <f>IF(LEN(V42),"MOV.D "&amp;$V42&amp;" "&amp;$B$15,"")</f>
        <v/>
      </c>
      <c r="AD42" t="str">
        <f t="shared" si="26"/>
        <v/>
      </c>
      <c r="AE42" t="str">
        <f t="shared" si="27"/>
        <v/>
      </c>
      <c r="AF42" t="str">
        <f t="shared" si="28"/>
        <v/>
      </c>
      <c r="AG42" t="str">
        <f t="shared" si="18"/>
        <v/>
      </c>
      <c r="AH42" t="str">
        <f t="shared" si="19"/>
        <v/>
      </c>
      <c r="AJ42" t="str">
        <f t="shared" si="29"/>
        <v/>
      </c>
      <c r="AK42" t="str">
        <f t="shared" si="30"/>
        <v/>
      </c>
      <c r="AL42" t="str">
        <f t="shared" si="20"/>
        <v/>
      </c>
      <c r="AM42" t="str">
        <f t="shared" si="21"/>
        <v/>
      </c>
      <c r="AN42" t="str">
        <f t="shared" si="31"/>
        <v/>
      </c>
    </row>
    <row r="43" spans="4:40" x14ac:dyDescent="0.55000000000000004">
      <c r="D43">
        <v>37</v>
      </c>
      <c r="N43" t="str">
        <f t="shared" si="12"/>
        <v/>
      </c>
      <c r="O43" t="str">
        <f t="shared" si="13"/>
        <v/>
      </c>
      <c r="P43" t="str">
        <f t="shared" si="13"/>
        <v/>
      </c>
      <c r="Q43" t="str">
        <f t="shared" si="32"/>
        <v/>
      </c>
      <c r="R43" t="str">
        <f t="shared" si="32"/>
        <v/>
      </c>
      <c r="S43" t="str">
        <f t="shared" si="32"/>
        <v/>
      </c>
      <c r="T43" t="str">
        <f t="shared" si="15"/>
        <v/>
      </c>
      <c r="U43" t="str">
        <f t="shared" si="16"/>
        <v/>
      </c>
      <c r="V43" t="str">
        <f t="shared" si="17"/>
        <v/>
      </c>
      <c r="X43" t="str">
        <f t="shared" si="22"/>
        <v/>
      </c>
      <c r="Y43" t="str">
        <f>IF(X43="●",Y$4+MOD(INT(MID(E43,5,3)),Y$2),"")</f>
        <v/>
      </c>
      <c r="Z43" t="str">
        <f t="shared" si="23"/>
        <v/>
      </c>
      <c r="AA43" t="str">
        <f t="shared" si="24"/>
        <v/>
      </c>
      <c r="AB43" t="str">
        <f t="shared" si="25"/>
        <v/>
      </c>
      <c r="AC43" t="str">
        <f>IF(LEN(V43),"MOV.D "&amp;$V43&amp;" "&amp;$B$15,"")</f>
        <v/>
      </c>
      <c r="AD43" t="str">
        <f t="shared" si="26"/>
        <v/>
      </c>
      <c r="AE43" t="str">
        <f t="shared" si="27"/>
        <v/>
      </c>
      <c r="AF43" t="str">
        <f t="shared" si="28"/>
        <v/>
      </c>
      <c r="AG43" t="str">
        <f t="shared" si="18"/>
        <v/>
      </c>
      <c r="AH43" t="str">
        <f t="shared" si="19"/>
        <v/>
      </c>
      <c r="AJ43" t="str">
        <f t="shared" si="29"/>
        <v/>
      </c>
      <c r="AK43" t="str">
        <f t="shared" si="30"/>
        <v/>
      </c>
      <c r="AL43" t="str">
        <f t="shared" si="20"/>
        <v/>
      </c>
      <c r="AM43" t="str">
        <f t="shared" si="21"/>
        <v/>
      </c>
      <c r="AN43" t="str">
        <f t="shared" si="31"/>
        <v/>
      </c>
    </row>
    <row r="44" spans="4:40" x14ac:dyDescent="0.55000000000000004">
      <c r="D44">
        <v>38</v>
      </c>
      <c r="N44" t="str">
        <f t="shared" si="12"/>
        <v/>
      </c>
      <c r="O44" t="str">
        <f t="shared" si="13"/>
        <v/>
      </c>
      <c r="P44" t="str">
        <f t="shared" si="13"/>
        <v/>
      </c>
      <c r="Q44" t="str">
        <f t="shared" si="32"/>
        <v/>
      </c>
      <c r="R44" t="str">
        <f t="shared" si="32"/>
        <v/>
      </c>
      <c r="S44" t="str">
        <f t="shared" si="32"/>
        <v/>
      </c>
      <c r="T44" t="str">
        <f t="shared" si="15"/>
        <v/>
      </c>
      <c r="U44" t="str">
        <f t="shared" si="16"/>
        <v/>
      </c>
      <c r="V44" t="str">
        <f t="shared" si="17"/>
        <v/>
      </c>
      <c r="X44" t="str">
        <f t="shared" si="22"/>
        <v/>
      </c>
      <c r="Y44" t="str">
        <f>IF(X44="●",Y$4+MOD(INT(MID(E44,5,3)),Y$2),"")</f>
        <v/>
      </c>
      <c r="Z44" t="str">
        <f t="shared" si="23"/>
        <v/>
      </c>
      <c r="AA44" t="str">
        <f t="shared" si="24"/>
        <v/>
      </c>
      <c r="AB44" t="str">
        <f t="shared" si="25"/>
        <v/>
      </c>
      <c r="AC44" t="str">
        <f>IF(LEN(V44),"MOV.D "&amp;$V44&amp;" "&amp;$B$15,"")</f>
        <v/>
      </c>
      <c r="AD44" t="str">
        <f t="shared" si="26"/>
        <v/>
      </c>
      <c r="AE44" t="str">
        <f t="shared" si="27"/>
        <v/>
      </c>
      <c r="AF44" t="str">
        <f t="shared" si="28"/>
        <v/>
      </c>
      <c r="AG44" t="str">
        <f t="shared" si="18"/>
        <v/>
      </c>
      <c r="AH44" t="str">
        <f t="shared" si="19"/>
        <v/>
      </c>
      <c r="AJ44" t="str">
        <f t="shared" si="29"/>
        <v/>
      </c>
      <c r="AK44" t="str">
        <f t="shared" si="30"/>
        <v/>
      </c>
      <c r="AL44" t="str">
        <f t="shared" si="20"/>
        <v/>
      </c>
      <c r="AM44" t="str">
        <f t="shared" si="21"/>
        <v/>
      </c>
      <c r="AN44" t="str">
        <f t="shared" si="31"/>
        <v/>
      </c>
    </row>
    <row r="45" spans="4:40" x14ac:dyDescent="0.55000000000000004">
      <c r="D45">
        <v>39</v>
      </c>
      <c r="N45" t="str">
        <f t="shared" si="12"/>
        <v/>
      </c>
      <c r="O45" t="str">
        <f t="shared" si="13"/>
        <v/>
      </c>
      <c r="P45" t="str">
        <f t="shared" si="13"/>
        <v/>
      </c>
      <c r="Q45" t="str">
        <f t="shared" si="32"/>
        <v/>
      </c>
      <c r="R45" t="str">
        <f t="shared" si="32"/>
        <v/>
      </c>
      <c r="S45" t="str">
        <f t="shared" si="32"/>
        <v/>
      </c>
      <c r="T45" t="str">
        <f t="shared" si="15"/>
        <v/>
      </c>
      <c r="U45" t="str">
        <f t="shared" si="16"/>
        <v/>
      </c>
      <c r="V45" t="str">
        <f t="shared" si="17"/>
        <v/>
      </c>
      <c r="X45" t="str">
        <f t="shared" si="22"/>
        <v/>
      </c>
      <c r="Y45" t="str">
        <f>IF(X45="●",Y$4+MOD(INT(MID(E45,5,3)),Y$2),"")</f>
        <v/>
      </c>
      <c r="Z45" t="str">
        <f t="shared" si="23"/>
        <v/>
      </c>
      <c r="AA45" t="str">
        <f t="shared" si="24"/>
        <v/>
      </c>
      <c r="AB45" t="str">
        <f t="shared" si="25"/>
        <v/>
      </c>
      <c r="AC45" t="str">
        <f>IF(LEN(V45),"MOV.D "&amp;$V45&amp;" "&amp;$B$15,"")</f>
        <v/>
      </c>
      <c r="AD45" t="str">
        <f t="shared" si="26"/>
        <v/>
      </c>
      <c r="AE45" t="str">
        <f t="shared" si="27"/>
        <v/>
      </c>
      <c r="AF45" t="str">
        <f t="shared" si="28"/>
        <v/>
      </c>
      <c r="AG45" t="str">
        <f t="shared" si="18"/>
        <v/>
      </c>
      <c r="AH45" t="str">
        <f t="shared" si="19"/>
        <v/>
      </c>
      <c r="AJ45" t="str">
        <f t="shared" si="29"/>
        <v/>
      </c>
      <c r="AK45" t="str">
        <f t="shared" si="30"/>
        <v/>
      </c>
      <c r="AL45" t="str">
        <f t="shared" si="20"/>
        <v/>
      </c>
      <c r="AM45" t="str">
        <f t="shared" si="21"/>
        <v/>
      </c>
      <c r="AN45" t="str">
        <f t="shared" si="31"/>
        <v/>
      </c>
    </row>
    <row r="46" spans="4:40" x14ac:dyDescent="0.55000000000000004">
      <c r="D46">
        <v>40</v>
      </c>
      <c r="N46" t="str">
        <f t="shared" si="12"/>
        <v/>
      </c>
      <c r="O46" t="str">
        <f t="shared" si="13"/>
        <v/>
      </c>
      <c r="P46" t="str">
        <f t="shared" si="13"/>
        <v/>
      </c>
      <c r="Q46" t="str">
        <f t="shared" si="32"/>
        <v/>
      </c>
      <c r="R46" t="str">
        <f t="shared" si="32"/>
        <v/>
      </c>
      <c r="S46" t="str">
        <f t="shared" si="32"/>
        <v/>
      </c>
      <c r="T46" t="str">
        <f t="shared" si="15"/>
        <v/>
      </c>
      <c r="U46" t="str">
        <f t="shared" si="16"/>
        <v/>
      </c>
      <c r="V46" t="str">
        <f t="shared" si="17"/>
        <v/>
      </c>
      <c r="X46" t="str">
        <f t="shared" si="22"/>
        <v/>
      </c>
      <c r="Y46" t="str">
        <f>IF(X46="●",Y$4+MOD(INT(MID(E46,5,3)),Y$2),"")</f>
        <v/>
      </c>
      <c r="Z46" t="str">
        <f t="shared" si="23"/>
        <v/>
      </c>
      <c r="AA46" t="str">
        <f t="shared" si="24"/>
        <v/>
      </c>
      <c r="AB46" t="str">
        <f t="shared" si="25"/>
        <v/>
      </c>
      <c r="AC46" t="str">
        <f>IF(LEN(V46),"MOV.D "&amp;$V46&amp;" "&amp;$B$15,"")</f>
        <v/>
      </c>
      <c r="AD46" t="str">
        <f t="shared" si="26"/>
        <v/>
      </c>
      <c r="AE46" t="str">
        <f t="shared" si="27"/>
        <v/>
      </c>
      <c r="AF46" t="str">
        <f t="shared" si="28"/>
        <v/>
      </c>
      <c r="AG46" t="str">
        <f t="shared" si="18"/>
        <v/>
      </c>
      <c r="AH46" t="str">
        <f t="shared" si="19"/>
        <v/>
      </c>
      <c r="AJ46" t="str">
        <f t="shared" si="29"/>
        <v/>
      </c>
      <c r="AK46" t="str">
        <f t="shared" si="30"/>
        <v/>
      </c>
      <c r="AL46" t="str">
        <f t="shared" si="20"/>
        <v/>
      </c>
      <c r="AM46" t="str">
        <f t="shared" si="21"/>
        <v/>
      </c>
      <c r="AN46" t="str">
        <f t="shared" si="31"/>
        <v/>
      </c>
    </row>
    <row r="47" spans="4:40" x14ac:dyDescent="0.55000000000000004">
      <c r="D47">
        <v>41</v>
      </c>
      <c r="N47" t="str">
        <f t="shared" si="12"/>
        <v/>
      </c>
      <c r="O47" t="str">
        <f t="shared" si="13"/>
        <v/>
      </c>
      <c r="P47" t="str">
        <f t="shared" si="13"/>
        <v/>
      </c>
      <c r="Q47" t="str">
        <f t="shared" si="32"/>
        <v/>
      </c>
      <c r="R47" t="str">
        <f t="shared" si="32"/>
        <v/>
      </c>
      <c r="S47" t="str">
        <f t="shared" si="32"/>
        <v/>
      </c>
      <c r="T47" t="str">
        <f t="shared" si="15"/>
        <v/>
      </c>
      <c r="U47" t="str">
        <f t="shared" si="16"/>
        <v/>
      </c>
      <c r="V47" t="str">
        <f t="shared" si="17"/>
        <v/>
      </c>
      <c r="X47" t="str">
        <f t="shared" si="22"/>
        <v/>
      </c>
      <c r="Y47" t="str">
        <f>IF(X47="●",Y$4+MOD(INT(MID(E47,5,3)),Y$2),"")</f>
        <v/>
      </c>
      <c r="Z47" t="str">
        <f t="shared" si="23"/>
        <v/>
      </c>
      <c r="AA47" t="str">
        <f t="shared" si="24"/>
        <v/>
      </c>
      <c r="AB47" t="str">
        <f t="shared" si="25"/>
        <v/>
      </c>
      <c r="AC47" t="str">
        <f>IF(LEN(V47),"MOV.D "&amp;$V47&amp;" "&amp;$B$15,"")</f>
        <v/>
      </c>
      <c r="AD47" t="str">
        <f t="shared" si="26"/>
        <v/>
      </c>
      <c r="AE47" t="str">
        <f t="shared" si="27"/>
        <v/>
      </c>
      <c r="AF47" t="str">
        <f t="shared" si="28"/>
        <v/>
      </c>
      <c r="AG47" t="str">
        <f t="shared" si="18"/>
        <v/>
      </c>
      <c r="AH47" t="str">
        <f t="shared" si="19"/>
        <v/>
      </c>
      <c r="AJ47" t="str">
        <f t="shared" si="29"/>
        <v/>
      </c>
      <c r="AK47" t="str">
        <f t="shared" si="30"/>
        <v/>
      </c>
      <c r="AL47" t="str">
        <f t="shared" si="20"/>
        <v/>
      </c>
      <c r="AM47" t="str">
        <f t="shared" si="21"/>
        <v/>
      </c>
      <c r="AN47" t="str">
        <f t="shared" si="31"/>
        <v/>
      </c>
    </row>
    <row r="48" spans="4:40" x14ac:dyDescent="0.55000000000000004">
      <c r="D48">
        <v>42</v>
      </c>
      <c r="N48" t="str">
        <f t="shared" si="12"/>
        <v/>
      </c>
      <c r="O48" t="str">
        <f t="shared" si="13"/>
        <v/>
      </c>
      <c r="P48" t="str">
        <f t="shared" si="13"/>
        <v/>
      </c>
      <c r="Q48" t="str">
        <f t="shared" si="32"/>
        <v/>
      </c>
      <c r="R48" t="str">
        <f t="shared" si="32"/>
        <v/>
      </c>
      <c r="S48" t="str">
        <f t="shared" si="32"/>
        <v/>
      </c>
      <c r="T48" t="str">
        <f t="shared" si="15"/>
        <v/>
      </c>
      <c r="U48" t="str">
        <f t="shared" si="16"/>
        <v/>
      </c>
      <c r="V48" t="str">
        <f t="shared" si="17"/>
        <v/>
      </c>
      <c r="X48" t="str">
        <f t="shared" si="22"/>
        <v/>
      </c>
      <c r="Y48" t="str">
        <f>IF(X48="●",Y$4+MOD(INT(MID(E48,5,3)),Y$2),"")</f>
        <v/>
      </c>
      <c r="Z48" t="str">
        <f t="shared" si="23"/>
        <v/>
      </c>
      <c r="AA48" t="str">
        <f t="shared" si="24"/>
        <v/>
      </c>
      <c r="AB48" t="str">
        <f t="shared" si="25"/>
        <v/>
      </c>
      <c r="AC48" t="str">
        <f>IF(LEN(V48),"MOV.D "&amp;$V48&amp;" "&amp;$B$15,"")</f>
        <v/>
      </c>
      <c r="AD48" t="str">
        <f t="shared" si="26"/>
        <v/>
      </c>
      <c r="AE48" t="str">
        <f t="shared" si="27"/>
        <v/>
      </c>
      <c r="AF48" t="str">
        <f t="shared" si="28"/>
        <v/>
      </c>
      <c r="AG48" t="str">
        <f t="shared" si="18"/>
        <v/>
      </c>
      <c r="AH48" t="str">
        <f t="shared" si="19"/>
        <v/>
      </c>
      <c r="AJ48" t="str">
        <f t="shared" si="29"/>
        <v/>
      </c>
      <c r="AK48" t="str">
        <f t="shared" si="30"/>
        <v/>
      </c>
      <c r="AL48" t="str">
        <f t="shared" si="20"/>
        <v/>
      </c>
      <c r="AM48" t="str">
        <f t="shared" si="21"/>
        <v/>
      </c>
      <c r="AN48" t="str">
        <f t="shared" si="31"/>
        <v/>
      </c>
    </row>
    <row r="49" spans="4:40" x14ac:dyDescent="0.55000000000000004">
      <c r="D49">
        <v>43</v>
      </c>
      <c r="N49" t="str">
        <f t="shared" si="12"/>
        <v/>
      </c>
      <c r="O49" t="str">
        <f t="shared" si="13"/>
        <v/>
      </c>
      <c r="P49" t="str">
        <f t="shared" si="13"/>
        <v/>
      </c>
      <c r="Q49" t="str">
        <f t="shared" si="32"/>
        <v/>
      </c>
      <c r="R49" t="str">
        <f t="shared" si="32"/>
        <v/>
      </c>
      <c r="S49" t="str">
        <f t="shared" si="32"/>
        <v/>
      </c>
      <c r="T49" t="str">
        <f t="shared" si="15"/>
        <v/>
      </c>
      <c r="U49" t="str">
        <f t="shared" si="16"/>
        <v/>
      </c>
      <c r="V49" t="str">
        <f t="shared" si="17"/>
        <v/>
      </c>
      <c r="X49" t="str">
        <f t="shared" si="22"/>
        <v/>
      </c>
      <c r="Y49" t="str">
        <f>IF(X49="●",Y$4+MOD(INT(MID(E49,5,3)),Y$2),"")</f>
        <v/>
      </c>
      <c r="Z49" t="str">
        <f t="shared" si="23"/>
        <v/>
      </c>
      <c r="AA49" t="str">
        <f t="shared" si="24"/>
        <v/>
      </c>
      <c r="AB49" t="str">
        <f t="shared" si="25"/>
        <v/>
      </c>
      <c r="AC49" t="str">
        <f>IF(LEN(V49),"MOV.D "&amp;$V49&amp;" "&amp;$B$15,"")</f>
        <v/>
      </c>
      <c r="AD49" t="str">
        <f t="shared" si="26"/>
        <v/>
      </c>
      <c r="AE49" t="str">
        <f t="shared" si="27"/>
        <v/>
      </c>
      <c r="AF49" t="str">
        <f t="shared" si="28"/>
        <v/>
      </c>
      <c r="AG49" t="str">
        <f t="shared" si="18"/>
        <v/>
      </c>
      <c r="AH49" t="str">
        <f t="shared" si="19"/>
        <v/>
      </c>
      <c r="AJ49" t="str">
        <f t="shared" si="29"/>
        <v/>
      </c>
      <c r="AK49" t="str">
        <f t="shared" si="30"/>
        <v/>
      </c>
      <c r="AL49" t="str">
        <f t="shared" si="20"/>
        <v/>
      </c>
      <c r="AM49" t="str">
        <f t="shared" si="21"/>
        <v/>
      </c>
      <c r="AN49" t="str">
        <f t="shared" si="31"/>
        <v/>
      </c>
    </row>
    <row r="50" spans="4:40" x14ac:dyDescent="0.55000000000000004">
      <c r="D50">
        <v>44</v>
      </c>
      <c r="N50" t="str">
        <f t="shared" si="12"/>
        <v/>
      </c>
      <c r="O50" t="str">
        <f t="shared" si="13"/>
        <v/>
      </c>
      <c r="P50" t="str">
        <f t="shared" si="13"/>
        <v/>
      </c>
      <c r="Q50" t="str">
        <f t="shared" si="32"/>
        <v/>
      </c>
      <c r="R50" t="str">
        <f t="shared" si="32"/>
        <v/>
      </c>
      <c r="S50" t="str">
        <f t="shared" si="32"/>
        <v/>
      </c>
      <c r="T50" t="str">
        <f t="shared" si="15"/>
        <v/>
      </c>
      <c r="U50" t="str">
        <f t="shared" si="16"/>
        <v/>
      </c>
      <c r="V50" t="str">
        <f t="shared" si="17"/>
        <v/>
      </c>
      <c r="X50" t="str">
        <f t="shared" si="22"/>
        <v/>
      </c>
      <c r="Y50" t="str">
        <f>IF(X50="●",Y$4+MOD(INT(MID(E50,5,3)),Y$2),"")</f>
        <v/>
      </c>
      <c r="Z50" t="str">
        <f t="shared" si="23"/>
        <v/>
      </c>
      <c r="AA50" t="str">
        <f t="shared" si="24"/>
        <v/>
      </c>
      <c r="AB50" t="str">
        <f t="shared" si="25"/>
        <v/>
      </c>
      <c r="AC50" t="str">
        <f>IF(LEN(V50),"MOV.D "&amp;$V50&amp;" "&amp;$B$15,"")</f>
        <v/>
      </c>
      <c r="AD50" t="str">
        <f t="shared" si="26"/>
        <v/>
      </c>
      <c r="AE50" t="str">
        <f t="shared" si="27"/>
        <v/>
      </c>
      <c r="AF50" t="str">
        <f t="shared" si="28"/>
        <v/>
      </c>
      <c r="AG50" t="str">
        <f t="shared" si="18"/>
        <v/>
      </c>
      <c r="AH50" t="str">
        <f t="shared" si="19"/>
        <v/>
      </c>
      <c r="AJ50" t="str">
        <f t="shared" si="29"/>
        <v/>
      </c>
      <c r="AK50" t="str">
        <f t="shared" si="30"/>
        <v/>
      </c>
      <c r="AL50" t="str">
        <f t="shared" si="20"/>
        <v/>
      </c>
      <c r="AM50" t="str">
        <f t="shared" si="21"/>
        <v/>
      </c>
      <c r="AN50" t="str">
        <f t="shared" si="31"/>
        <v/>
      </c>
    </row>
    <row r="51" spans="4:40" x14ac:dyDescent="0.55000000000000004">
      <c r="D51">
        <v>45</v>
      </c>
      <c r="N51" t="str">
        <f t="shared" si="12"/>
        <v/>
      </c>
      <c r="O51" t="str">
        <f t="shared" si="13"/>
        <v/>
      </c>
      <c r="P51" t="str">
        <f t="shared" si="13"/>
        <v/>
      </c>
      <c r="Q51" t="str">
        <f t="shared" si="32"/>
        <v/>
      </c>
      <c r="R51" t="str">
        <f t="shared" si="32"/>
        <v/>
      </c>
      <c r="S51" t="str">
        <f t="shared" si="32"/>
        <v/>
      </c>
      <c r="T51" t="str">
        <f t="shared" si="15"/>
        <v/>
      </c>
      <c r="U51" t="str">
        <f t="shared" si="16"/>
        <v/>
      </c>
      <c r="V51" t="str">
        <f t="shared" si="17"/>
        <v/>
      </c>
      <c r="X51" t="str">
        <f t="shared" si="22"/>
        <v/>
      </c>
      <c r="Y51" t="str">
        <f>IF(X51="●",Y$4+MOD(INT(MID(E51,5,3)),Y$2),"")</f>
        <v/>
      </c>
      <c r="Z51" t="str">
        <f t="shared" si="23"/>
        <v/>
      </c>
      <c r="AA51" t="str">
        <f t="shared" si="24"/>
        <v/>
      </c>
      <c r="AB51" t="str">
        <f t="shared" si="25"/>
        <v/>
      </c>
      <c r="AC51" t="str">
        <f>IF(LEN(V51),"MOV.D "&amp;$V51&amp;" "&amp;$B$15,"")</f>
        <v/>
      </c>
      <c r="AD51" t="str">
        <f t="shared" si="26"/>
        <v/>
      </c>
      <c r="AE51" t="str">
        <f t="shared" si="27"/>
        <v/>
      </c>
      <c r="AF51" t="str">
        <f t="shared" si="28"/>
        <v/>
      </c>
      <c r="AG51" t="str">
        <f t="shared" si="18"/>
        <v/>
      </c>
      <c r="AH51" t="str">
        <f t="shared" si="19"/>
        <v/>
      </c>
      <c r="AJ51" t="str">
        <f t="shared" si="29"/>
        <v/>
      </c>
      <c r="AK51" t="str">
        <f t="shared" si="30"/>
        <v/>
      </c>
      <c r="AL51" t="str">
        <f t="shared" si="20"/>
        <v/>
      </c>
      <c r="AM51" t="str">
        <f t="shared" si="21"/>
        <v/>
      </c>
      <c r="AN51" t="str">
        <f t="shared" si="31"/>
        <v/>
      </c>
    </row>
    <row r="52" spans="4:40" x14ac:dyDescent="0.55000000000000004">
      <c r="D52">
        <v>46</v>
      </c>
      <c r="N52" t="str">
        <f t="shared" si="12"/>
        <v/>
      </c>
      <c r="O52" t="str">
        <f t="shared" si="13"/>
        <v/>
      </c>
      <c r="P52" t="str">
        <f t="shared" si="13"/>
        <v/>
      </c>
      <c r="Q52" t="str">
        <f t="shared" si="32"/>
        <v/>
      </c>
      <c r="R52" t="str">
        <f t="shared" si="32"/>
        <v/>
      </c>
      <c r="S52" t="str">
        <f t="shared" si="32"/>
        <v/>
      </c>
      <c r="T52" t="str">
        <f t="shared" si="15"/>
        <v/>
      </c>
      <c r="U52" t="str">
        <f t="shared" si="16"/>
        <v/>
      </c>
      <c r="V52" t="str">
        <f t="shared" si="17"/>
        <v/>
      </c>
      <c r="X52" t="str">
        <f t="shared" si="22"/>
        <v/>
      </c>
      <c r="Y52" t="str">
        <f>IF(X52="●",Y$4+MOD(INT(MID(E52,5,3)),Y$2),"")</f>
        <v/>
      </c>
      <c r="Z52" t="str">
        <f t="shared" si="23"/>
        <v/>
      </c>
      <c r="AA52" t="str">
        <f t="shared" si="24"/>
        <v/>
      </c>
      <c r="AB52" t="str">
        <f t="shared" si="25"/>
        <v/>
      </c>
      <c r="AC52" t="str">
        <f>IF(LEN(V52),"MOV.D "&amp;$V52&amp;" "&amp;$B$15,"")</f>
        <v/>
      </c>
      <c r="AD52" t="str">
        <f t="shared" si="26"/>
        <v/>
      </c>
      <c r="AE52" t="str">
        <f t="shared" si="27"/>
        <v/>
      </c>
      <c r="AF52" t="str">
        <f t="shared" si="28"/>
        <v/>
      </c>
      <c r="AG52" t="str">
        <f t="shared" si="18"/>
        <v/>
      </c>
      <c r="AH52" t="str">
        <f t="shared" si="19"/>
        <v/>
      </c>
      <c r="AJ52" t="str">
        <f t="shared" si="29"/>
        <v/>
      </c>
      <c r="AK52" t="str">
        <f t="shared" si="30"/>
        <v/>
      </c>
      <c r="AL52" t="str">
        <f t="shared" si="20"/>
        <v/>
      </c>
      <c r="AM52" t="str">
        <f t="shared" si="21"/>
        <v/>
      </c>
      <c r="AN52" t="str">
        <f t="shared" si="31"/>
        <v/>
      </c>
    </row>
    <row r="53" spans="4:40" x14ac:dyDescent="0.55000000000000004">
      <c r="D53">
        <v>47</v>
      </c>
      <c r="N53" t="str">
        <f t="shared" si="12"/>
        <v/>
      </c>
      <c r="O53" t="str">
        <f t="shared" si="13"/>
        <v/>
      </c>
      <c r="P53" t="str">
        <f t="shared" si="13"/>
        <v/>
      </c>
      <c r="Q53" t="str">
        <f t="shared" si="32"/>
        <v/>
      </c>
      <c r="R53" t="str">
        <f t="shared" si="32"/>
        <v/>
      </c>
      <c r="S53" t="str">
        <f t="shared" si="32"/>
        <v/>
      </c>
      <c r="T53" t="str">
        <f t="shared" si="15"/>
        <v/>
      </c>
      <c r="U53" t="str">
        <f t="shared" si="16"/>
        <v/>
      </c>
      <c r="V53" t="str">
        <f t="shared" si="17"/>
        <v/>
      </c>
      <c r="X53" t="str">
        <f t="shared" si="22"/>
        <v/>
      </c>
      <c r="Y53" t="str">
        <f>IF(X53="●",Y$4+MOD(INT(MID(E53,5,3)),Y$2),"")</f>
        <v/>
      </c>
      <c r="Z53" t="str">
        <f t="shared" si="23"/>
        <v/>
      </c>
      <c r="AA53" t="str">
        <f t="shared" si="24"/>
        <v/>
      </c>
      <c r="AB53" t="str">
        <f t="shared" si="25"/>
        <v/>
      </c>
      <c r="AC53" t="str">
        <f>IF(LEN(V53),"MOV.D "&amp;$V53&amp;" "&amp;$B$15,"")</f>
        <v/>
      </c>
      <c r="AD53" t="str">
        <f t="shared" si="26"/>
        <v/>
      </c>
      <c r="AE53" t="str">
        <f t="shared" si="27"/>
        <v/>
      </c>
      <c r="AF53" t="str">
        <f t="shared" si="28"/>
        <v/>
      </c>
      <c r="AG53" t="str">
        <f t="shared" si="18"/>
        <v/>
      </c>
      <c r="AH53" t="str">
        <f t="shared" si="19"/>
        <v/>
      </c>
      <c r="AJ53" t="str">
        <f t="shared" si="29"/>
        <v/>
      </c>
      <c r="AK53" t="str">
        <f t="shared" si="30"/>
        <v/>
      </c>
      <c r="AL53" t="str">
        <f t="shared" si="20"/>
        <v/>
      </c>
      <c r="AM53" t="str">
        <f t="shared" si="21"/>
        <v/>
      </c>
      <c r="AN53" t="str">
        <f t="shared" si="31"/>
        <v/>
      </c>
    </row>
    <row r="54" spans="4:40" x14ac:dyDescent="0.55000000000000004">
      <c r="D54">
        <v>48</v>
      </c>
      <c r="N54" t="str">
        <f t="shared" si="12"/>
        <v/>
      </c>
      <c r="O54" t="str">
        <f t="shared" si="13"/>
        <v/>
      </c>
      <c r="P54" t="str">
        <f t="shared" si="13"/>
        <v/>
      </c>
      <c r="Q54" t="str">
        <f t="shared" si="32"/>
        <v/>
      </c>
      <c r="R54" t="str">
        <f t="shared" si="32"/>
        <v/>
      </c>
      <c r="S54" t="str">
        <f t="shared" si="32"/>
        <v/>
      </c>
      <c r="T54" t="str">
        <f t="shared" si="15"/>
        <v/>
      </c>
      <c r="U54" t="str">
        <f t="shared" si="16"/>
        <v/>
      </c>
      <c r="V54" t="str">
        <f t="shared" si="17"/>
        <v/>
      </c>
      <c r="X54" t="str">
        <f t="shared" si="22"/>
        <v/>
      </c>
      <c r="Y54" t="str">
        <f>IF(X54="●",Y$4+MOD(INT(MID(E54,5,3)),Y$2),"")</f>
        <v/>
      </c>
      <c r="Z54" t="str">
        <f t="shared" si="23"/>
        <v/>
      </c>
      <c r="AA54" t="str">
        <f t="shared" si="24"/>
        <v/>
      </c>
      <c r="AB54" t="str">
        <f t="shared" si="25"/>
        <v/>
      </c>
      <c r="AC54" t="str">
        <f>IF(LEN(V54),"MOV.D "&amp;$V54&amp;" "&amp;$B$15,"")</f>
        <v/>
      </c>
      <c r="AD54" t="str">
        <f t="shared" si="26"/>
        <v/>
      </c>
      <c r="AE54" t="str">
        <f t="shared" si="27"/>
        <v/>
      </c>
      <c r="AF54" t="str">
        <f t="shared" si="28"/>
        <v/>
      </c>
      <c r="AG54" t="str">
        <f t="shared" si="18"/>
        <v/>
      </c>
      <c r="AH54" t="str">
        <f t="shared" si="19"/>
        <v/>
      </c>
      <c r="AJ54" t="str">
        <f t="shared" si="29"/>
        <v/>
      </c>
      <c r="AK54" t="str">
        <f t="shared" si="30"/>
        <v/>
      </c>
      <c r="AL54" t="str">
        <f t="shared" si="20"/>
        <v/>
      </c>
      <c r="AM54" t="str">
        <f t="shared" si="21"/>
        <v/>
      </c>
      <c r="AN54" t="str">
        <f t="shared" si="31"/>
        <v/>
      </c>
    </row>
    <row r="55" spans="4:40" x14ac:dyDescent="0.55000000000000004">
      <c r="D55">
        <v>49</v>
      </c>
      <c r="N55" t="str">
        <f t="shared" si="12"/>
        <v/>
      </c>
      <c r="O55" t="str">
        <f t="shared" si="13"/>
        <v/>
      </c>
      <c r="P55" t="str">
        <f t="shared" si="13"/>
        <v/>
      </c>
      <c r="Q55" t="str">
        <f t="shared" si="32"/>
        <v/>
      </c>
      <c r="R55" t="str">
        <f t="shared" si="32"/>
        <v/>
      </c>
      <c r="S55" t="str">
        <f t="shared" si="32"/>
        <v/>
      </c>
      <c r="T55" t="str">
        <f t="shared" si="15"/>
        <v/>
      </c>
      <c r="U55" t="str">
        <f t="shared" si="16"/>
        <v/>
      </c>
      <c r="V55" t="str">
        <f t="shared" si="17"/>
        <v/>
      </c>
      <c r="X55" t="str">
        <f t="shared" si="22"/>
        <v/>
      </c>
      <c r="Y55" t="str">
        <f>IF(X55="●",Y$4+MOD(INT(MID(E55,5,3)),Y$2),"")</f>
        <v/>
      </c>
      <c r="Z55" t="str">
        <f t="shared" si="23"/>
        <v/>
      </c>
      <c r="AA55" t="str">
        <f t="shared" si="24"/>
        <v/>
      </c>
      <c r="AB55" t="str">
        <f t="shared" si="25"/>
        <v/>
      </c>
      <c r="AC55" t="str">
        <f>IF(LEN(V55),"MOV.D "&amp;$V55&amp;" "&amp;$B$15,"")</f>
        <v/>
      </c>
      <c r="AD55" t="str">
        <f t="shared" si="26"/>
        <v/>
      </c>
      <c r="AE55" t="str">
        <f t="shared" si="27"/>
        <v/>
      </c>
      <c r="AF55" t="str">
        <f t="shared" si="28"/>
        <v/>
      </c>
      <c r="AG55" t="str">
        <f t="shared" si="18"/>
        <v/>
      </c>
      <c r="AH55" t="str">
        <f t="shared" si="19"/>
        <v/>
      </c>
      <c r="AJ55" t="str">
        <f t="shared" si="29"/>
        <v/>
      </c>
      <c r="AK55" t="str">
        <f t="shared" si="30"/>
        <v/>
      </c>
      <c r="AL55" t="str">
        <f t="shared" si="20"/>
        <v/>
      </c>
      <c r="AM55" t="str">
        <f t="shared" si="21"/>
        <v/>
      </c>
      <c r="AN55" t="str">
        <f t="shared" si="31"/>
        <v/>
      </c>
    </row>
    <row r="56" spans="4:40" x14ac:dyDescent="0.55000000000000004">
      <c r="D56">
        <v>50</v>
      </c>
      <c r="N56" t="str">
        <f t="shared" si="12"/>
        <v/>
      </c>
      <c r="O56" t="str">
        <f t="shared" si="13"/>
        <v/>
      </c>
      <c r="P56" t="str">
        <f t="shared" si="13"/>
        <v/>
      </c>
      <c r="Q56" t="str">
        <f t="shared" si="32"/>
        <v/>
      </c>
      <c r="R56" t="str">
        <f t="shared" si="32"/>
        <v/>
      </c>
      <c r="S56" t="str">
        <f t="shared" si="32"/>
        <v/>
      </c>
      <c r="T56" t="str">
        <f t="shared" si="15"/>
        <v/>
      </c>
      <c r="U56" t="str">
        <f t="shared" si="16"/>
        <v/>
      </c>
      <c r="V56" t="str">
        <f t="shared" si="17"/>
        <v/>
      </c>
      <c r="X56" t="str">
        <f t="shared" si="22"/>
        <v/>
      </c>
      <c r="Y56" t="str">
        <f>IF(X56="●",Y$4+MOD(INT(MID(E56,5,3)),Y$2),"")</f>
        <v/>
      </c>
      <c r="Z56" t="str">
        <f t="shared" si="23"/>
        <v/>
      </c>
      <c r="AA56" t="str">
        <f t="shared" si="24"/>
        <v/>
      </c>
      <c r="AB56" t="str">
        <f t="shared" si="25"/>
        <v/>
      </c>
      <c r="AC56" t="str">
        <f>IF(LEN(V56),"MOV.D "&amp;$V56&amp;" "&amp;$B$15,"")</f>
        <v/>
      </c>
      <c r="AD56" t="str">
        <f t="shared" si="26"/>
        <v/>
      </c>
      <c r="AE56" t="str">
        <f t="shared" si="27"/>
        <v/>
      </c>
      <c r="AF56" t="str">
        <f t="shared" si="28"/>
        <v/>
      </c>
      <c r="AG56" t="str">
        <f t="shared" si="18"/>
        <v/>
      </c>
      <c r="AH56" t="str">
        <f t="shared" si="19"/>
        <v/>
      </c>
      <c r="AJ56" t="str">
        <f t="shared" si="29"/>
        <v/>
      </c>
      <c r="AK56" t="str">
        <f t="shared" si="30"/>
        <v/>
      </c>
      <c r="AL56" t="str">
        <f t="shared" si="20"/>
        <v/>
      </c>
      <c r="AM56" t="str">
        <f t="shared" si="21"/>
        <v/>
      </c>
      <c r="AN56" t="str">
        <f t="shared" si="31"/>
        <v/>
      </c>
    </row>
    <row r="57" spans="4:40" x14ac:dyDescent="0.55000000000000004">
      <c r="D57">
        <v>51</v>
      </c>
      <c r="N57" t="str">
        <f t="shared" si="12"/>
        <v/>
      </c>
      <c r="O57" t="str">
        <f t="shared" si="13"/>
        <v/>
      </c>
      <c r="P57" t="str">
        <f t="shared" si="13"/>
        <v/>
      </c>
      <c r="Q57" t="str">
        <f t="shared" si="32"/>
        <v/>
      </c>
      <c r="R57" t="str">
        <f t="shared" si="32"/>
        <v/>
      </c>
      <c r="S57" t="str">
        <f t="shared" si="32"/>
        <v/>
      </c>
      <c r="T57" t="str">
        <f t="shared" si="15"/>
        <v/>
      </c>
      <c r="U57" t="str">
        <f t="shared" si="16"/>
        <v/>
      </c>
      <c r="V57" t="str">
        <f t="shared" si="17"/>
        <v/>
      </c>
      <c r="X57" t="str">
        <f t="shared" si="22"/>
        <v/>
      </c>
      <c r="Y57" t="str">
        <f>IF(X57="●",Y$4+MOD(INT(MID(E57,5,3)),Y$2),"")</f>
        <v/>
      </c>
      <c r="Z57" t="str">
        <f t="shared" si="23"/>
        <v/>
      </c>
      <c r="AA57" t="str">
        <f t="shared" si="24"/>
        <v/>
      </c>
      <c r="AB57" t="str">
        <f t="shared" si="25"/>
        <v/>
      </c>
      <c r="AC57" t="str">
        <f>IF(LEN(V57),"MOV.D "&amp;$V57&amp;" "&amp;$B$15,"")</f>
        <v/>
      </c>
      <c r="AD57" t="str">
        <f t="shared" si="26"/>
        <v/>
      </c>
      <c r="AE57" t="str">
        <f t="shared" si="27"/>
        <v/>
      </c>
      <c r="AF57" t="str">
        <f t="shared" si="28"/>
        <v/>
      </c>
      <c r="AG57" t="str">
        <f t="shared" si="18"/>
        <v/>
      </c>
      <c r="AH57" t="str">
        <f t="shared" si="19"/>
        <v/>
      </c>
      <c r="AJ57" t="str">
        <f t="shared" si="29"/>
        <v/>
      </c>
      <c r="AK57" t="str">
        <f t="shared" si="30"/>
        <v/>
      </c>
      <c r="AL57" t="str">
        <f t="shared" si="20"/>
        <v/>
      </c>
      <c r="AM57" t="str">
        <f t="shared" si="21"/>
        <v/>
      </c>
      <c r="AN57" t="str">
        <f t="shared" si="31"/>
        <v/>
      </c>
    </row>
    <row r="58" spans="4:40" x14ac:dyDescent="0.55000000000000004">
      <c r="D58">
        <v>52</v>
      </c>
      <c r="N58" t="str">
        <f t="shared" si="12"/>
        <v/>
      </c>
      <c r="O58" t="str">
        <f t="shared" si="13"/>
        <v/>
      </c>
      <c r="P58" t="str">
        <f t="shared" si="13"/>
        <v/>
      </c>
      <c r="Q58" t="str">
        <f t="shared" si="32"/>
        <v/>
      </c>
      <c r="R58" t="str">
        <f t="shared" si="32"/>
        <v/>
      </c>
      <c r="S58" t="str">
        <f t="shared" si="32"/>
        <v/>
      </c>
      <c r="T58" t="str">
        <f t="shared" si="15"/>
        <v/>
      </c>
      <c r="U58" t="str">
        <f t="shared" si="16"/>
        <v/>
      </c>
      <c r="V58" t="str">
        <f t="shared" si="17"/>
        <v/>
      </c>
      <c r="X58" t="str">
        <f t="shared" si="22"/>
        <v/>
      </c>
      <c r="Y58" t="str">
        <f>IF(X58="●",Y$4+MOD(INT(MID(E58,5,3)),Y$2),"")</f>
        <v/>
      </c>
      <c r="Z58" t="str">
        <f t="shared" si="23"/>
        <v/>
      </c>
      <c r="AA58" t="str">
        <f t="shared" si="24"/>
        <v/>
      </c>
      <c r="AB58" t="str">
        <f t="shared" si="25"/>
        <v/>
      </c>
      <c r="AC58" t="str">
        <f>IF(LEN(V58),"MOV.D "&amp;$V58&amp;" "&amp;$B$15,"")</f>
        <v/>
      </c>
      <c r="AD58" t="str">
        <f t="shared" si="26"/>
        <v/>
      </c>
      <c r="AE58" t="str">
        <f t="shared" si="27"/>
        <v/>
      </c>
      <c r="AF58" t="str">
        <f t="shared" si="28"/>
        <v/>
      </c>
      <c r="AG58" t="str">
        <f t="shared" si="18"/>
        <v/>
      </c>
      <c r="AH58" t="str">
        <f t="shared" si="19"/>
        <v/>
      </c>
      <c r="AJ58" t="str">
        <f t="shared" si="29"/>
        <v/>
      </c>
      <c r="AK58" t="str">
        <f t="shared" si="30"/>
        <v/>
      </c>
      <c r="AL58" t="str">
        <f t="shared" si="20"/>
        <v/>
      </c>
      <c r="AM58" t="str">
        <f t="shared" si="21"/>
        <v/>
      </c>
      <c r="AN58" t="str">
        <f t="shared" si="31"/>
        <v/>
      </c>
    </row>
    <row r="59" spans="4:40" x14ac:dyDescent="0.55000000000000004">
      <c r="D59">
        <v>53</v>
      </c>
      <c r="N59" t="str">
        <f t="shared" si="12"/>
        <v/>
      </c>
      <c r="O59" t="str">
        <f t="shared" si="13"/>
        <v/>
      </c>
      <c r="P59" t="str">
        <f t="shared" si="13"/>
        <v/>
      </c>
      <c r="Q59" t="str">
        <f t="shared" si="32"/>
        <v/>
      </c>
      <c r="R59" t="str">
        <f t="shared" si="32"/>
        <v/>
      </c>
      <c r="S59" t="str">
        <f t="shared" si="32"/>
        <v/>
      </c>
      <c r="T59" t="str">
        <f t="shared" si="15"/>
        <v/>
      </c>
      <c r="U59" t="str">
        <f t="shared" si="16"/>
        <v/>
      </c>
      <c r="V59" t="str">
        <f t="shared" si="17"/>
        <v/>
      </c>
      <c r="X59" t="str">
        <f t="shared" si="22"/>
        <v/>
      </c>
      <c r="Y59" t="str">
        <f>IF(X59="●",Y$4+MOD(INT(MID(E59,5,3)),Y$2),"")</f>
        <v/>
      </c>
      <c r="Z59" t="str">
        <f t="shared" si="23"/>
        <v/>
      </c>
      <c r="AA59" t="str">
        <f t="shared" si="24"/>
        <v/>
      </c>
      <c r="AB59" t="str">
        <f t="shared" si="25"/>
        <v/>
      </c>
      <c r="AC59" t="str">
        <f>IF(LEN(V59),"MOV.D "&amp;$V59&amp;" "&amp;$B$15,"")</f>
        <v/>
      </c>
      <c r="AD59" t="str">
        <f t="shared" si="26"/>
        <v/>
      </c>
      <c r="AE59" t="str">
        <f t="shared" si="27"/>
        <v/>
      </c>
      <c r="AF59" t="str">
        <f t="shared" si="28"/>
        <v/>
      </c>
      <c r="AG59" t="str">
        <f t="shared" si="18"/>
        <v/>
      </c>
      <c r="AH59" t="str">
        <f t="shared" si="19"/>
        <v/>
      </c>
      <c r="AJ59" t="str">
        <f t="shared" si="29"/>
        <v/>
      </c>
      <c r="AK59" t="str">
        <f t="shared" si="30"/>
        <v/>
      </c>
      <c r="AL59" t="str">
        <f t="shared" si="20"/>
        <v/>
      </c>
      <c r="AM59" t="str">
        <f t="shared" si="21"/>
        <v/>
      </c>
      <c r="AN59" t="str">
        <f t="shared" si="31"/>
        <v/>
      </c>
    </row>
    <row r="60" spans="4:40" x14ac:dyDescent="0.55000000000000004">
      <c r="D60">
        <v>54</v>
      </c>
      <c r="N60" t="str">
        <f t="shared" si="12"/>
        <v/>
      </c>
      <c r="O60" t="str">
        <f t="shared" si="13"/>
        <v/>
      </c>
      <c r="P60" t="str">
        <f t="shared" si="13"/>
        <v/>
      </c>
      <c r="Q60" t="str">
        <f t="shared" si="32"/>
        <v/>
      </c>
      <c r="R60" t="str">
        <f t="shared" si="32"/>
        <v/>
      </c>
      <c r="S60" t="str">
        <f t="shared" si="32"/>
        <v/>
      </c>
      <c r="T60" t="str">
        <f t="shared" si="15"/>
        <v/>
      </c>
      <c r="U60" t="str">
        <f t="shared" si="16"/>
        <v/>
      </c>
      <c r="V60" t="str">
        <f t="shared" si="17"/>
        <v/>
      </c>
      <c r="X60" t="str">
        <f t="shared" si="22"/>
        <v/>
      </c>
      <c r="Y60" t="str">
        <f>IF(X60="●",Y$4+MOD(INT(MID(E60,5,3)),Y$2),"")</f>
        <v/>
      </c>
      <c r="Z60" t="str">
        <f t="shared" si="23"/>
        <v/>
      </c>
      <c r="AA60" t="str">
        <f t="shared" si="24"/>
        <v/>
      </c>
      <c r="AB60" t="str">
        <f t="shared" si="25"/>
        <v/>
      </c>
      <c r="AC60" t="str">
        <f>IF(LEN(V60),"MOV.D "&amp;$V60&amp;" "&amp;$B$15,"")</f>
        <v/>
      </c>
      <c r="AD60" t="str">
        <f t="shared" si="26"/>
        <v/>
      </c>
      <c r="AE60" t="str">
        <f t="shared" si="27"/>
        <v/>
      </c>
      <c r="AF60" t="str">
        <f t="shared" si="28"/>
        <v/>
      </c>
      <c r="AG60" t="str">
        <f t="shared" si="18"/>
        <v/>
      </c>
      <c r="AH60" t="str">
        <f t="shared" si="19"/>
        <v/>
      </c>
      <c r="AJ60" t="str">
        <f t="shared" si="29"/>
        <v/>
      </c>
      <c r="AK60" t="str">
        <f t="shared" si="30"/>
        <v/>
      </c>
      <c r="AL60" t="str">
        <f t="shared" si="20"/>
        <v/>
      </c>
      <c r="AM60" t="str">
        <f t="shared" si="21"/>
        <v/>
      </c>
      <c r="AN60" t="str">
        <f t="shared" si="31"/>
        <v/>
      </c>
    </row>
    <row r="61" spans="4:40" x14ac:dyDescent="0.55000000000000004">
      <c r="D61">
        <v>55</v>
      </c>
      <c r="N61" t="str">
        <f t="shared" si="12"/>
        <v/>
      </c>
      <c r="O61" t="str">
        <f t="shared" si="13"/>
        <v/>
      </c>
      <c r="P61" t="str">
        <f t="shared" si="13"/>
        <v/>
      </c>
      <c r="Q61" t="str">
        <f t="shared" si="32"/>
        <v/>
      </c>
      <c r="R61" t="str">
        <f t="shared" si="32"/>
        <v/>
      </c>
      <c r="S61" t="str">
        <f t="shared" si="32"/>
        <v/>
      </c>
      <c r="T61" t="str">
        <f t="shared" si="15"/>
        <v/>
      </c>
      <c r="U61" t="str">
        <f t="shared" si="16"/>
        <v/>
      </c>
      <c r="V61" t="str">
        <f t="shared" si="17"/>
        <v/>
      </c>
      <c r="X61" t="str">
        <f t="shared" si="22"/>
        <v/>
      </c>
      <c r="Y61" t="str">
        <f>IF(X61="●",Y$4+MOD(INT(MID(E61,5,3)),Y$2),"")</f>
        <v/>
      </c>
      <c r="Z61" t="str">
        <f t="shared" si="23"/>
        <v/>
      </c>
      <c r="AA61" t="str">
        <f t="shared" si="24"/>
        <v/>
      </c>
      <c r="AB61" t="str">
        <f t="shared" si="25"/>
        <v/>
      </c>
      <c r="AC61" t="str">
        <f>IF(LEN(V61),"MOV.D "&amp;$V61&amp;" "&amp;$B$15,"")</f>
        <v/>
      </c>
      <c r="AD61" t="str">
        <f t="shared" si="26"/>
        <v/>
      </c>
      <c r="AE61" t="str">
        <f t="shared" si="27"/>
        <v/>
      </c>
      <c r="AF61" t="str">
        <f t="shared" si="28"/>
        <v/>
      </c>
      <c r="AG61" t="str">
        <f t="shared" si="18"/>
        <v/>
      </c>
      <c r="AH61" t="str">
        <f t="shared" si="19"/>
        <v/>
      </c>
      <c r="AJ61" t="str">
        <f t="shared" si="29"/>
        <v/>
      </c>
      <c r="AK61" t="str">
        <f t="shared" si="30"/>
        <v/>
      </c>
      <c r="AL61" t="str">
        <f t="shared" si="20"/>
        <v/>
      </c>
      <c r="AM61" t="str">
        <f t="shared" si="21"/>
        <v/>
      </c>
      <c r="AN61" t="str">
        <f t="shared" si="31"/>
        <v/>
      </c>
    </row>
    <row r="62" spans="4:40" x14ac:dyDescent="0.55000000000000004">
      <c r="D62">
        <v>56</v>
      </c>
      <c r="N62" t="str">
        <f t="shared" si="12"/>
        <v/>
      </c>
      <c r="O62" t="str">
        <f t="shared" si="13"/>
        <v/>
      </c>
      <c r="P62" t="str">
        <f t="shared" si="13"/>
        <v/>
      </c>
      <c r="Q62" t="str">
        <f t="shared" si="32"/>
        <v/>
      </c>
      <c r="R62" t="str">
        <f t="shared" si="32"/>
        <v/>
      </c>
      <c r="S62" t="str">
        <f t="shared" si="32"/>
        <v/>
      </c>
      <c r="T62" t="str">
        <f t="shared" si="15"/>
        <v/>
      </c>
      <c r="U62" t="str">
        <f t="shared" si="16"/>
        <v/>
      </c>
      <c r="V62" t="str">
        <f t="shared" si="17"/>
        <v/>
      </c>
      <c r="X62" t="str">
        <f t="shared" si="22"/>
        <v/>
      </c>
      <c r="Y62" t="str">
        <f>IF(X62="●",Y$4+MOD(INT(MID(E62,5,3)),Y$2),"")</f>
        <v/>
      </c>
      <c r="Z62" t="str">
        <f t="shared" si="23"/>
        <v/>
      </c>
      <c r="AA62" t="str">
        <f t="shared" si="24"/>
        <v/>
      </c>
      <c r="AB62" t="str">
        <f t="shared" si="25"/>
        <v/>
      </c>
      <c r="AC62" t="str">
        <f>IF(LEN(V62),"MOV.D "&amp;$V62&amp;" "&amp;$B$15,"")</f>
        <v/>
      </c>
      <c r="AD62" t="str">
        <f t="shared" si="26"/>
        <v/>
      </c>
      <c r="AE62" t="str">
        <f t="shared" si="27"/>
        <v/>
      </c>
      <c r="AF62" t="str">
        <f t="shared" si="28"/>
        <v/>
      </c>
      <c r="AG62" t="str">
        <f t="shared" si="18"/>
        <v/>
      </c>
      <c r="AH62" t="str">
        <f t="shared" si="19"/>
        <v/>
      </c>
      <c r="AJ62" t="str">
        <f t="shared" si="29"/>
        <v/>
      </c>
      <c r="AK62" t="str">
        <f t="shared" si="30"/>
        <v/>
      </c>
      <c r="AL62" t="str">
        <f t="shared" si="20"/>
        <v/>
      </c>
      <c r="AM62" t="str">
        <f t="shared" si="21"/>
        <v/>
      </c>
      <c r="AN62" t="str">
        <f t="shared" si="31"/>
        <v/>
      </c>
    </row>
    <row r="63" spans="4:40" x14ac:dyDescent="0.55000000000000004">
      <c r="D63">
        <v>57</v>
      </c>
      <c r="N63" t="str">
        <f t="shared" si="12"/>
        <v/>
      </c>
      <c r="O63" t="str">
        <f t="shared" si="13"/>
        <v/>
      </c>
      <c r="P63" t="str">
        <f t="shared" si="13"/>
        <v/>
      </c>
      <c r="Q63" t="str">
        <f t="shared" si="32"/>
        <v/>
      </c>
      <c r="R63" t="str">
        <f t="shared" si="32"/>
        <v/>
      </c>
      <c r="S63" t="str">
        <f t="shared" si="32"/>
        <v/>
      </c>
      <c r="T63" t="str">
        <f t="shared" si="15"/>
        <v/>
      </c>
      <c r="U63" t="str">
        <f t="shared" si="16"/>
        <v/>
      </c>
      <c r="V63" t="str">
        <f t="shared" si="17"/>
        <v/>
      </c>
      <c r="X63" t="str">
        <f t="shared" si="22"/>
        <v/>
      </c>
      <c r="Y63" t="str">
        <f>IF(X63="●",Y$4+MOD(INT(MID(E63,5,3)),Y$2),"")</f>
        <v/>
      </c>
      <c r="Z63" t="str">
        <f t="shared" si="23"/>
        <v/>
      </c>
      <c r="AA63" t="str">
        <f t="shared" si="24"/>
        <v/>
      </c>
      <c r="AB63" t="str">
        <f t="shared" si="25"/>
        <v/>
      </c>
      <c r="AC63" t="str">
        <f>IF(LEN(V63),"MOV.D "&amp;$V63&amp;" "&amp;$B$15,"")</f>
        <v/>
      </c>
      <c r="AD63" t="str">
        <f t="shared" si="26"/>
        <v/>
      </c>
      <c r="AE63" t="str">
        <f t="shared" si="27"/>
        <v/>
      </c>
      <c r="AF63" t="str">
        <f t="shared" si="28"/>
        <v/>
      </c>
      <c r="AG63" t="str">
        <f t="shared" si="18"/>
        <v/>
      </c>
      <c r="AH63" t="str">
        <f t="shared" si="19"/>
        <v/>
      </c>
      <c r="AJ63" t="str">
        <f t="shared" si="29"/>
        <v/>
      </c>
      <c r="AK63" t="str">
        <f t="shared" si="30"/>
        <v/>
      </c>
      <c r="AL63" t="str">
        <f t="shared" si="20"/>
        <v/>
      </c>
      <c r="AM63" t="str">
        <f t="shared" si="21"/>
        <v/>
      </c>
      <c r="AN63" t="str">
        <f t="shared" si="31"/>
        <v/>
      </c>
    </row>
    <row r="64" spans="4:40" x14ac:dyDescent="0.55000000000000004">
      <c r="D64">
        <v>58</v>
      </c>
      <c r="N64" t="str">
        <f t="shared" si="12"/>
        <v/>
      </c>
      <c r="O64" t="str">
        <f t="shared" si="13"/>
        <v/>
      </c>
      <c r="P64" t="str">
        <f t="shared" si="13"/>
        <v/>
      </c>
      <c r="Q64" t="str">
        <f t="shared" si="32"/>
        <v/>
      </c>
      <c r="R64" t="str">
        <f t="shared" si="32"/>
        <v/>
      </c>
      <c r="S64" t="str">
        <f t="shared" si="32"/>
        <v/>
      </c>
      <c r="T64" t="str">
        <f t="shared" si="15"/>
        <v/>
      </c>
      <c r="U64" t="str">
        <f t="shared" si="16"/>
        <v/>
      </c>
      <c r="V64" t="str">
        <f t="shared" si="17"/>
        <v/>
      </c>
      <c r="X64" t="str">
        <f t="shared" si="22"/>
        <v/>
      </c>
      <c r="Y64" t="str">
        <f>IF(X64="●",Y$4+MOD(INT(MID(E64,5,3)),Y$2),"")</f>
        <v/>
      </c>
      <c r="Z64" t="str">
        <f t="shared" si="23"/>
        <v/>
      </c>
      <c r="AA64" t="str">
        <f t="shared" si="24"/>
        <v/>
      </c>
      <c r="AB64" t="str">
        <f t="shared" si="25"/>
        <v/>
      </c>
      <c r="AC64" t="str">
        <f>IF(LEN(V64),"MOV.D "&amp;$V64&amp;" "&amp;$B$15,"")</f>
        <v/>
      </c>
      <c r="AD64" t="str">
        <f t="shared" si="26"/>
        <v/>
      </c>
      <c r="AE64" t="str">
        <f t="shared" si="27"/>
        <v/>
      </c>
      <c r="AF64" t="str">
        <f t="shared" si="28"/>
        <v/>
      </c>
      <c r="AG64" t="str">
        <f t="shared" si="18"/>
        <v/>
      </c>
      <c r="AH64" t="str">
        <f t="shared" si="19"/>
        <v/>
      </c>
      <c r="AJ64" t="str">
        <f t="shared" si="29"/>
        <v/>
      </c>
      <c r="AK64" t="str">
        <f t="shared" si="30"/>
        <v/>
      </c>
      <c r="AL64" t="str">
        <f t="shared" si="20"/>
        <v/>
      </c>
      <c r="AM64" t="str">
        <f t="shared" si="21"/>
        <v/>
      </c>
      <c r="AN64" t="str">
        <f t="shared" si="31"/>
        <v/>
      </c>
    </row>
    <row r="65" spans="4:40" x14ac:dyDescent="0.55000000000000004">
      <c r="D65">
        <v>59</v>
      </c>
      <c r="N65" t="str">
        <f t="shared" si="12"/>
        <v/>
      </c>
      <c r="O65" t="str">
        <f t="shared" si="13"/>
        <v/>
      </c>
      <c r="P65" t="str">
        <f t="shared" si="13"/>
        <v/>
      </c>
      <c r="Q65" t="str">
        <f t="shared" si="32"/>
        <v/>
      </c>
      <c r="R65" t="str">
        <f t="shared" si="32"/>
        <v/>
      </c>
      <c r="S65" t="str">
        <f t="shared" si="32"/>
        <v/>
      </c>
      <c r="T65" t="str">
        <f t="shared" si="15"/>
        <v/>
      </c>
      <c r="U65" t="str">
        <f t="shared" si="16"/>
        <v/>
      </c>
      <c r="V65" t="str">
        <f t="shared" si="17"/>
        <v/>
      </c>
      <c r="X65" t="str">
        <f t="shared" si="22"/>
        <v/>
      </c>
      <c r="Y65" t="str">
        <f>IF(X65="●",Y$4+MOD(INT(MID(E65,5,3)),Y$2),"")</f>
        <v/>
      </c>
      <c r="Z65" t="str">
        <f t="shared" si="23"/>
        <v/>
      </c>
      <c r="AA65" t="str">
        <f t="shared" si="24"/>
        <v/>
      </c>
      <c r="AB65" t="str">
        <f t="shared" si="25"/>
        <v/>
      </c>
      <c r="AC65" t="str">
        <f>IF(LEN(V65),"MOV.D "&amp;$V65&amp;" "&amp;$B$15,"")</f>
        <v/>
      </c>
      <c r="AD65" t="str">
        <f t="shared" si="26"/>
        <v/>
      </c>
      <c r="AE65" t="str">
        <f t="shared" si="27"/>
        <v/>
      </c>
      <c r="AF65" t="str">
        <f t="shared" si="28"/>
        <v/>
      </c>
      <c r="AG65" t="str">
        <f t="shared" si="18"/>
        <v/>
      </c>
      <c r="AH65" t="str">
        <f t="shared" si="19"/>
        <v/>
      </c>
      <c r="AJ65" t="str">
        <f t="shared" si="29"/>
        <v/>
      </c>
      <c r="AK65" t="str">
        <f t="shared" si="30"/>
        <v/>
      </c>
      <c r="AL65" t="str">
        <f t="shared" si="20"/>
        <v/>
      </c>
      <c r="AM65" t="str">
        <f t="shared" si="21"/>
        <v/>
      </c>
      <c r="AN65" t="str">
        <f t="shared" si="31"/>
        <v/>
      </c>
    </row>
    <row r="66" spans="4:40" x14ac:dyDescent="0.55000000000000004">
      <c r="D66">
        <v>60</v>
      </c>
      <c r="N66" t="str">
        <f t="shared" si="12"/>
        <v/>
      </c>
      <c r="O66" t="str">
        <f t="shared" si="13"/>
        <v/>
      </c>
      <c r="P66" t="str">
        <f t="shared" si="13"/>
        <v/>
      </c>
      <c r="Q66" t="str">
        <f t="shared" si="32"/>
        <v/>
      </c>
      <c r="R66" t="str">
        <f t="shared" si="32"/>
        <v/>
      </c>
      <c r="S66" t="str">
        <f t="shared" si="32"/>
        <v/>
      </c>
      <c r="T66" t="str">
        <f t="shared" si="15"/>
        <v/>
      </c>
      <c r="U66" t="str">
        <f t="shared" si="16"/>
        <v/>
      </c>
      <c r="V66" t="str">
        <f t="shared" si="17"/>
        <v/>
      </c>
      <c r="X66" t="str">
        <f t="shared" si="22"/>
        <v/>
      </c>
      <c r="Y66" t="str">
        <f>IF(X66="●",Y$4+MOD(INT(MID(E66,5,3)),Y$2),"")</f>
        <v/>
      </c>
      <c r="Z66" t="str">
        <f t="shared" si="23"/>
        <v/>
      </c>
      <c r="AA66" t="str">
        <f t="shared" si="24"/>
        <v/>
      </c>
      <c r="AB66" t="str">
        <f t="shared" si="25"/>
        <v/>
      </c>
      <c r="AC66" t="str">
        <f>IF(LEN(V66),"MOV.D "&amp;$V66&amp;" "&amp;$B$15,"")</f>
        <v/>
      </c>
      <c r="AD66" t="str">
        <f t="shared" si="26"/>
        <v/>
      </c>
      <c r="AE66" t="str">
        <f t="shared" si="27"/>
        <v/>
      </c>
      <c r="AF66" t="str">
        <f t="shared" si="28"/>
        <v/>
      </c>
      <c r="AG66" t="str">
        <f t="shared" si="18"/>
        <v/>
      </c>
      <c r="AH66" t="str">
        <f t="shared" si="19"/>
        <v/>
      </c>
      <c r="AJ66" t="str">
        <f t="shared" si="29"/>
        <v/>
      </c>
      <c r="AK66" t="str">
        <f t="shared" si="30"/>
        <v/>
      </c>
      <c r="AL66" t="str">
        <f t="shared" si="20"/>
        <v/>
      </c>
      <c r="AM66" t="str">
        <f t="shared" si="21"/>
        <v/>
      </c>
      <c r="AN66" t="str">
        <f t="shared" si="31"/>
        <v/>
      </c>
    </row>
    <row r="67" spans="4:40" x14ac:dyDescent="0.55000000000000004">
      <c r="D67">
        <v>61</v>
      </c>
      <c r="N67" t="str">
        <f t="shared" si="12"/>
        <v/>
      </c>
      <c r="O67" t="str">
        <f t="shared" si="13"/>
        <v/>
      </c>
      <c r="P67" t="str">
        <f t="shared" si="13"/>
        <v/>
      </c>
      <c r="Q67" t="str">
        <f t="shared" si="32"/>
        <v/>
      </c>
      <c r="R67" t="str">
        <f t="shared" si="32"/>
        <v/>
      </c>
      <c r="S67" t="str">
        <f t="shared" si="32"/>
        <v/>
      </c>
      <c r="T67" t="str">
        <f t="shared" si="15"/>
        <v/>
      </c>
      <c r="U67" t="str">
        <f t="shared" si="16"/>
        <v/>
      </c>
      <c r="V67" t="str">
        <f t="shared" si="17"/>
        <v/>
      </c>
      <c r="X67" t="str">
        <f t="shared" si="22"/>
        <v/>
      </c>
      <c r="Y67" t="str">
        <f>IF(X67="●",Y$4+MOD(INT(MID(E67,5,3)),Y$2),"")</f>
        <v/>
      </c>
      <c r="Z67" t="str">
        <f t="shared" si="23"/>
        <v/>
      </c>
      <c r="AA67" t="str">
        <f t="shared" si="24"/>
        <v/>
      </c>
      <c r="AB67" t="str">
        <f t="shared" si="25"/>
        <v/>
      </c>
      <c r="AC67" t="str">
        <f>IF(LEN(V67),"MOV.D "&amp;$V67&amp;" "&amp;$B$15,"")</f>
        <v/>
      </c>
      <c r="AD67" t="str">
        <f t="shared" si="26"/>
        <v/>
      </c>
      <c r="AE67" t="str">
        <f t="shared" si="27"/>
        <v/>
      </c>
      <c r="AF67" t="str">
        <f t="shared" si="28"/>
        <v/>
      </c>
      <c r="AG67" t="str">
        <f t="shared" si="18"/>
        <v/>
      </c>
      <c r="AH67" t="str">
        <f t="shared" si="19"/>
        <v/>
      </c>
      <c r="AJ67" t="str">
        <f t="shared" si="29"/>
        <v/>
      </c>
      <c r="AK67" t="str">
        <f t="shared" si="30"/>
        <v/>
      </c>
      <c r="AL67" t="str">
        <f t="shared" si="20"/>
        <v/>
      </c>
      <c r="AM67" t="str">
        <f t="shared" si="21"/>
        <v/>
      </c>
      <c r="AN67" t="str">
        <f t="shared" si="31"/>
        <v/>
      </c>
    </row>
    <row r="68" spans="4:40" x14ac:dyDescent="0.55000000000000004">
      <c r="D68">
        <v>62</v>
      </c>
      <c r="N68" t="str">
        <f t="shared" si="12"/>
        <v/>
      </c>
      <c r="O68" t="str">
        <f t="shared" si="13"/>
        <v/>
      </c>
      <c r="P68" t="str">
        <f t="shared" si="13"/>
        <v/>
      </c>
      <c r="Q68" t="str">
        <f t="shared" si="32"/>
        <v/>
      </c>
      <c r="R68" t="str">
        <f t="shared" si="32"/>
        <v/>
      </c>
      <c r="S68" t="str">
        <f t="shared" si="32"/>
        <v/>
      </c>
      <c r="T68" t="str">
        <f t="shared" si="15"/>
        <v/>
      </c>
      <c r="U68" t="str">
        <f t="shared" si="16"/>
        <v/>
      </c>
      <c r="V68" t="str">
        <f t="shared" si="17"/>
        <v/>
      </c>
      <c r="X68" t="str">
        <f t="shared" si="22"/>
        <v/>
      </c>
      <c r="Y68" t="str">
        <f>IF(X68="●",Y$4+MOD(INT(MID(E68,5,3)),Y$2),"")</f>
        <v/>
      </c>
      <c r="Z68" t="str">
        <f t="shared" si="23"/>
        <v/>
      </c>
      <c r="AA68" t="str">
        <f t="shared" si="24"/>
        <v/>
      </c>
      <c r="AB68" t="str">
        <f t="shared" si="25"/>
        <v/>
      </c>
      <c r="AC68" t="str">
        <f>IF(LEN(V68),"MOV.D "&amp;$V68&amp;" "&amp;$B$15,"")</f>
        <v/>
      </c>
      <c r="AD68" t="str">
        <f t="shared" si="26"/>
        <v/>
      </c>
      <c r="AE68" t="str">
        <f t="shared" si="27"/>
        <v/>
      </c>
      <c r="AF68" t="str">
        <f t="shared" si="28"/>
        <v/>
      </c>
      <c r="AG68" t="str">
        <f t="shared" si="18"/>
        <v/>
      </c>
      <c r="AH68" t="str">
        <f t="shared" si="19"/>
        <v/>
      </c>
      <c r="AJ68" t="str">
        <f t="shared" si="29"/>
        <v/>
      </c>
      <c r="AK68" t="str">
        <f t="shared" si="30"/>
        <v/>
      </c>
      <c r="AL68" t="str">
        <f t="shared" si="20"/>
        <v/>
      </c>
      <c r="AM68" t="str">
        <f t="shared" si="21"/>
        <v/>
      </c>
      <c r="AN68" t="str">
        <f t="shared" si="31"/>
        <v/>
      </c>
    </row>
    <row r="69" spans="4:40" x14ac:dyDescent="0.55000000000000004">
      <c r="D69">
        <v>63</v>
      </c>
      <c r="N69" t="str">
        <f t="shared" si="12"/>
        <v/>
      </c>
      <c r="O69" t="str">
        <f t="shared" si="13"/>
        <v/>
      </c>
      <c r="P69" t="str">
        <f t="shared" si="13"/>
        <v/>
      </c>
      <c r="Q69" t="str">
        <f t="shared" si="32"/>
        <v/>
      </c>
      <c r="R69" t="str">
        <f t="shared" si="32"/>
        <v/>
      </c>
      <c r="S69" t="str">
        <f t="shared" si="32"/>
        <v/>
      </c>
      <c r="T69" t="str">
        <f t="shared" si="15"/>
        <v/>
      </c>
      <c r="U69" t="str">
        <f t="shared" si="16"/>
        <v/>
      </c>
      <c r="V69" t="str">
        <f t="shared" si="17"/>
        <v/>
      </c>
      <c r="X69" t="str">
        <f t="shared" si="22"/>
        <v/>
      </c>
      <c r="Y69" t="str">
        <f>IF(X69="●",Y$4+MOD(INT(MID(E69,5,3)),Y$2),"")</f>
        <v/>
      </c>
      <c r="Z69" t="str">
        <f t="shared" si="23"/>
        <v/>
      </c>
      <c r="AA69" t="str">
        <f t="shared" si="24"/>
        <v/>
      </c>
      <c r="AB69" t="str">
        <f t="shared" si="25"/>
        <v/>
      </c>
      <c r="AC69" t="str">
        <f>IF(LEN(V69),"MOV.D "&amp;$V69&amp;" "&amp;$B$15,"")</f>
        <v/>
      </c>
      <c r="AD69" t="str">
        <f t="shared" si="26"/>
        <v/>
      </c>
      <c r="AE69" t="str">
        <f t="shared" si="27"/>
        <v/>
      </c>
      <c r="AF69" t="str">
        <f t="shared" si="28"/>
        <v/>
      </c>
      <c r="AG69" t="str">
        <f t="shared" si="18"/>
        <v/>
      </c>
      <c r="AH69" t="str">
        <f t="shared" si="19"/>
        <v/>
      </c>
      <c r="AJ69" t="str">
        <f t="shared" si="29"/>
        <v/>
      </c>
      <c r="AK69" t="str">
        <f t="shared" si="30"/>
        <v/>
      </c>
      <c r="AL69" t="str">
        <f t="shared" si="20"/>
        <v/>
      </c>
      <c r="AM69" t="str">
        <f t="shared" si="21"/>
        <v/>
      </c>
      <c r="AN69" t="str">
        <f t="shared" si="31"/>
        <v/>
      </c>
    </row>
    <row r="70" spans="4:40" x14ac:dyDescent="0.55000000000000004">
      <c r="D70">
        <v>64</v>
      </c>
      <c r="N70" t="str">
        <f t="shared" si="12"/>
        <v/>
      </c>
      <c r="O70" t="str">
        <f t="shared" si="13"/>
        <v/>
      </c>
      <c r="P70" t="str">
        <f t="shared" si="13"/>
        <v/>
      </c>
      <c r="Q70" t="str">
        <f t="shared" si="32"/>
        <v/>
      </c>
      <c r="R70" t="str">
        <f t="shared" si="32"/>
        <v/>
      </c>
      <c r="S70" t="str">
        <f t="shared" si="32"/>
        <v/>
      </c>
      <c r="T70" t="str">
        <f t="shared" si="15"/>
        <v/>
      </c>
      <c r="U70" t="str">
        <f t="shared" si="16"/>
        <v/>
      </c>
      <c r="V70" t="str">
        <f t="shared" si="17"/>
        <v/>
      </c>
      <c r="X70" t="str">
        <f t="shared" ref="X70:X105" si="33">IF(LEN(L70),IF(OR(COUNTIF(L70,"*◆*"),COUNTIF(L70,"*▼*")),"","●"),"")</f>
        <v/>
      </c>
      <c r="Y70" t="str">
        <f>IF(X70="●",Y$4+MOD(INT(MID(E70,5,3)),Y$2),"")</f>
        <v/>
      </c>
      <c r="Z70" t="str">
        <f t="shared" ref="Z70:Z105" si="34">IF($X70="●","LDP "&amp;E70&amp;"."&amp;$B$12,"")</f>
        <v/>
      </c>
      <c r="AA70" t="str">
        <f t="shared" ref="AA70:AA105" si="35">IF($X70="●","AND=.D "&amp;$B$13&amp;" #0","")</f>
        <v/>
      </c>
      <c r="AB70" t="str">
        <f t="shared" ref="AB70:AB105" si="36">IF($X70="●","MOV.D #"&amp;Y70&amp;" "&amp;$B$13,"")</f>
        <v/>
      </c>
      <c r="AC70" t="str">
        <f>IF(LEN(V70),"MOV.D "&amp;$V70&amp;" "&amp;$B$15,"")</f>
        <v/>
      </c>
      <c r="AD70" t="str">
        <f t="shared" ref="AD70:AD105" si="37">IF(AND(D70&lt;&gt;0,X70="●"),CHAR(10),"")&amp;IF(LEN(Z70),Z70,"")</f>
        <v/>
      </c>
      <c r="AE70" t="str">
        <f t="shared" ref="AE70:AE101" si="38">IF(LEN(AD70),AD70&amp;CHAR(10),"")&amp;IF(LEN(AA70),AA70,"")</f>
        <v/>
      </c>
      <c r="AF70" t="str">
        <f t="shared" ref="AF70:AF101" si="39">IF(LEN(AE70),AE70&amp;CHAR(10),"")&amp;IF(LEN(AB70),AB70,"")</f>
        <v/>
      </c>
      <c r="AG70" t="str">
        <f t="shared" si="18"/>
        <v/>
      </c>
      <c r="AH70" t="str">
        <f t="shared" si="19"/>
        <v/>
      </c>
      <c r="AJ70" t="str">
        <f t="shared" ref="AJ70:AJ105" si="40">IF($X70="●",AE70&amp;CHAR(10)&amp;"BOX_ST"&amp;CHAR(10)&amp;";//"&amp;$B$8,"")</f>
        <v/>
      </c>
      <c r="AK70" t="str">
        <f t="shared" ref="AK70:AK101" si="41">IF($X70="●",IF(LEN(AJ70),AJ70&amp;CHAR(10),"")&amp;";//エラーNo.を入れる"&amp;CHAR(10)&amp;";"&amp;$B$13&amp;"	:= "&amp;Y70&amp;";","")</f>
        <v/>
      </c>
      <c r="AL70" t="str">
        <f t="shared" si="20"/>
        <v/>
      </c>
      <c r="AM70" t="str">
        <f t="shared" si="21"/>
        <v/>
      </c>
      <c r="AN70" t="str">
        <f t="shared" ref="AN70:AN101" si="42">IF($X70="●",IF(LEN(AM70),AM70&amp;CHAR(10),"")&amp;";//"&amp;$B$9,"")</f>
        <v/>
      </c>
    </row>
    <row r="71" spans="4:40" x14ac:dyDescent="0.55000000000000004">
      <c r="D71">
        <v>65</v>
      </c>
      <c r="N71" t="str">
        <f t="shared" ref="N71:N105" si="43">IF(COUNTIF($L71,"*"&amp;N$5&amp;"*"),INT(MID($L71,FIND(N$5,$L71)+LEN(N$5)+1,2)),"")</f>
        <v/>
      </c>
      <c r="O71" t="str">
        <f t="shared" ref="O71:P105" si="44">IF(COUNTIF($L71,"*"&amp;O$5&amp;"*"),INT(MID($L71,FIND(O$5,$L71)+LEN(O$5),2)),"")</f>
        <v/>
      </c>
      <c r="P71" t="str">
        <f t="shared" si="44"/>
        <v/>
      </c>
      <c r="Q71" t="str">
        <f t="shared" ref="Q71:S105" si="45">IF(AND(LEN($N71),Q$2&lt;=$N71,$N71&lt;=Q$3),Q$5&amp;"["&amp;$N71-Q$2&amp;"]","")</f>
        <v/>
      </c>
      <c r="R71" t="str">
        <f t="shared" si="45"/>
        <v/>
      </c>
      <c r="S71" t="str">
        <f t="shared" si="45"/>
        <v/>
      </c>
      <c r="T71" t="str">
        <f t="shared" ref="T71:T105" si="46">IF(AND(LEN($O71),T$2&lt;=$O71,$O71&lt;=T$3),T$5&amp;"["&amp;$O71-T$2&amp;"]","")</f>
        <v/>
      </c>
      <c r="U71" t="str">
        <f t="shared" ref="U71:U105" si="47">IF(AND(LEN($P71),U$2&lt;=$P71,$P71&lt;=U$3),U$5&amp;"["&amp;$P71-U$2&amp;"]","")</f>
        <v/>
      </c>
      <c r="V71" t="str">
        <f t="shared" ref="V71:V105" si="48">IF(LEN(_xlfn.CONCAT(Q71:U71)),_xlfn.CONCAT(Q71:U71),"")</f>
        <v/>
      </c>
      <c r="X71" t="str">
        <f t="shared" si="33"/>
        <v/>
      </c>
      <c r="Y71" t="str">
        <f>IF(X71="●",Y$4+MOD(INT(MID(E71,5,3)),Y$2),"")</f>
        <v/>
      </c>
      <c r="Z71" t="str">
        <f t="shared" si="34"/>
        <v/>
      </c>
      <c r="AA71" t="str">
        <f t="shared" si="35"/>
        <v/>
      </c>
      <c r="AB71" t="str">
        <f t="shared" si="36"/>
        <v/>
      </c>
      <c r="AC71" t="str">
        <f>IF(LEN(V71),"MOV.D "&amp;$V71&amp;" "&amp;$B$15,"")</f>
        <v/>
      </c>
      <c r="AD71" t="str">
        <f t="shared" si="37"/>
        <v/>
      </c>
      <c r="AE71" t="str">
        <f t="shared" si="38"/>
        <v/>
      </c>
      <c r="AF71" t="str">
        <f t="shared" si="39"/>
        <v/>
      </c>
      <c r="AG71" t="str">
        <f t="shared" ref="AG71:AG105" si="49">IF(LEN(AF71),AF71&amp;CHAR(10),"")&amp;IF(LEN(AC71),AC71,"")</f>
        <v/>
      </c>
      <c r="AH71" t="str">
        <f t="shared" ref="AH71:AH105" si="50">AG71</f>
        <v/>
      </c>
      <c r="AJ71" t="str">
        <f t="shared" si="40"/>
        <v/>
      </c>
      <c r="AK71" t="str">
        <f t="shared" si="41"/>
        <v/>
      </c>
      <c r="AL71" t="str">
        <f t="shared" ref="AL71:AL105" si="51">IF($X71="●",IF(LEN(AK71),AK71&amp;CHAR(10),"")&amp;";//カウントする"&amp;CHAR(10)&amp;";"&amp;$B$14&amp;"	:= "&amp;$B$14&amp;" + 1;","")</f>
        <v/>
      </c>
      <c r="AM71" t="str">
        <f t="shared" ref="AM71:AM105" si="52">IF($X71="●",IF(LEN(AL71),AL71&amp;CHAR(10),"")&amp;IF(LEN(V71),";//エラーコードを入れる"&amp;CHAR(10)&amp;";"&amp;$B$15&amp;"	:= "&amp;V71&amp;".udiErr;",""),"")</f>
        <v/>
      </c>
      <c r="AN71" t="str">
        <f t="shared" si="42"/>
        <v/>
      </c>
    </row>
    <row r="72" spans="4:40" x14ac:dyDescent="0.55000000000000004">
      <c r="D72">
        <v>66</v>
      </c>
      <c r="N72" t="str">
        <f t="shared" si="43"/>
        <v/>
      </c>
      <c r="O72" t="str">
        <f t="shared" si="44"/>
        <v/>
      </c>
      <c r="P72" t="str">
        <f t="shared" si="44"/>
        <v/>
      </c>
      <c r="Q72" t="str">
        <f t="shared" si="45"/>
        <v/>
      </c>
      <c r="R72" t="str">
        <f t="shared" si="45"/>
        <v/>
      </c>
      <c r="S72" t="str">
        <f t="shared" si="45"/>
        <v/>
      </c>
      <c r="T72" t="str">
        <f t="shared" si="46"/>
        <v/>
      </c>
      <c r="U72" t="str">
        <f t="shared" si="47"/>
        <v/>
      </c>
      <c r="V72" t="str">
        <f t="shared" si="48"/>
        <v/>
      </c>
      <c r="X72" t="str">
        <f t="shared" si="33"/>
        <v/>
      </c>
      <c r="Y72" t="str">
        <f>IF(X72="●",Y$4+MOD(INT(MID(E72,5,3)),Y$2),"")</f>
        <v/>
      </c>
      <c r="Z72" t="str">
        <f t="shared" si="34"/>
        <v/>
      </c>
      <c r="AA72" t="str">
        <f t="shared" si="35"/>
        <v/>
      </c>
      <c r="AB72" t="str">
        <f t="shared" si="36"/>
        <v/>
      </c>
      <c r="AC72" t="str">
        <f>IF(LEN(V72),"MOV.D "&amp;$V72&amp;" "&amp;$B$15,"")</f>
        <v/>
      </c>
      <c r="AD72" t="str">
        <f t="shared" si="37"/>
        <v/>
      </c>
      <c r="AE72" t="str">
        <f t="shared" si="38"/>
        <v/>
      </c>
      <c r="AF72" t="str">
        <f t="shared" si="39"/>
        <v/>
      </c>
      <c r="AG72" t="str">
        <f t="shared" si="49"/>
        <v/>
      </c>
      <c r="AH72" t="str">
        <f t="shared" si="50"/>
        <v/>
      </c>
      <c r="AJ72" t="str">
        <f t="shared" si="40"/>
        <v/>
      </c>
      <c r="AK72" t="str">
        <f t="shared" si="41"/>
        <v/>
      </c>
      <c r="AL72" t="str">
        <f t="shared" si="51"/>
        <v/>
      </c>
      <c r="AM72" t="str">
        <f t="shared" si="52"/>
        <v/>
      </c>
      <c r="AN72" t="str">
        <f t="shared" si="42"/>
        <v/>
      </c>
    </row>
    <row r="73" spans="4:40" x14ac:dyDescent="0.55000000000000004">
      <c r="D73">
        <v>67</v>
      </c>
      <c r="N73" t="str">
        <f t="shared" si="43"/>
        <v/>
      </c>
      <c r="O73" t="str">
        <f t="shared" si="44"/>
        <v/>
      </c>
      <c r="P73" t="str">
        <f t="shared" si="44"/>
        <v/>
      </c>
      <c r="Q73" t="str">
        <f t="shared" si="45"/>
        <v/>
      </c>
      <c r="R73" t="str">
        <f t="shared" si="45"/>
        <v/>
      </c>
      <c r="S73" t="str">
        <f t="shared" si="45"/>
        <v/>
      </c>
      <c r="T73" t="str">
        <f t="shared" si="46"/>
        <v/>
      </c>
      <c r="U73" t="str">
        <f t="shared" si="47"/>
        <v/>
      </c>
      <c r="V73" t="str">
        <f t="shared" si="48"/>
        <v/>
      </c>
      <c r="X73" t="str">
        <f t="shared" si="33"/>
        <v/>
      </c>
      <c r="Y73" t="str">
        <f>IF(X73="●",Y$4+MOD(INT(MID(E73,5,3)),Y$2),"")</f>
        <v/>
      </c>
      <c r="Z73" t="str">
        <f t="shared" si="34"/>
        <v/>
      </c>
      <c r="AA73" t="str">
        <f t="shared" si="35"/>
        <v/>
      </c>
      <c r="AB73" t="str">
        <f t="shared" si="36"/>
        <v/>
      </c>
      <c r="AC73" t="str">
        <f>IF(LEN(V73),"MOV.D "&amp;$V73&amp;" "&amp;$B$15,"")</f>
        <v/>
      </c>
      <c r="AD73" t="str">
        <f t="shared" si="37"/>
        <v/>
      </c>
      <c r="AE73" t="str">
        <f t="shared" si="38"/>
        <v/>
      </c>
      <c r="AF73" t="str">
        <f t="shared" si="39"/>
        <v/>
      </c>
      <c r="AG73" t="str">
        <f t="shared" si="49"/>
        <v/>
      </c>
      <c r="AH73" t="str">
        <f t="shared" si="50"/>
        <v/>
      </c>
      <c r="AJ73" t="str">
        <f t="shared" si="40"/>
        <v/>
      </c>
      <c r="AK73" t="str">
        <f t="shared" si="41"/>
        <v/>
      </c>
      <c r="AL73" t="str">
        <f t="shared" si="51"/>
        <v/>
      </c>
      <c r="AM73" t="str">
        <f t="shared" si="52"/>
        <v/>
      </c>
      <c r="AN73" t="str">
        <f t="shared" si="42"/>
        <v/>
      </c>
    </row>
    <row r="74" spans="4:40" x14ac:dyDescent="0.55000000000000004">
      <c r="D74">
        <v>68</v>
      </c>
      <c r="N74" t="str">
        <f t="shared" si="43"/>
        <v/>
      </c>
      <c r="O74" t="str">
        <f t="shared" si="44"/>
        <v/>
      </c>
      <c r="P74" t="str">
        <f t="shared" si="44"/>
        <v/>
      </c>
      <c r="Q74" t="str">
        <f t="shared" si="45"/>
        <v/>
      </c>
      <c r="R74" t="str">
        <f t="shared" si="45"/>
        <v/>
      </c>
      <c r="S74" t="str">
        <f t="shared" si="45"/>
        <v/>
      </c>
      <c r="T74" t="str">
        <f t="shared" si="46"/>
        <v/>
      </c>
      <c r="U74" t="str">
        <f t="shared" si="47"/>
        <v/>
      </c>
      <c r="V74" t="str">
        <f t="shared" si="48"/>
        <v/>
      </c>
      <c r="X74" t="str">
        <f t="shared" si="33"/>
        <v/>
      </c>
      <c r="Y74" t="str">
        <f>IF(X74="●",Y$4+MOD(INT(MID(E74,5,3)),Y$2),"")</f>
        <v/>
      </c>
      <c r="Z74" t="str">
        <f t="shared" si="34"/>
        <v/>
      </c>
      <c r="AA74" t="str">
        <f t="shared" si="35"/>
        <v/>
      </c>
      <c r="AB74" t="str">
        <f t="shared" si="36"/>
        <v/>
      </c>
      <c r="AC74" t="str">
        <f>IF(LEN(V74),"MOV.D "&amp;$V74&amp;" "&amp;$B$15,"")</f>
        <v/>
      </c>
      <c r="AD74" t="str">
        <f t="shared" si="37"/>
        <v/>
      </c>
      <c r="AE74" t="str">
        <f t="shared" si="38"/>
        <v/>
      </c>
      <c r="AF74" t="str">
        <f t="shared" si="39"/>
        <v/>
      </c>
      <c r="AG74" t="str">
        <f t="shared" si="49"/>
        <v/>
      </c>
      <c r="AH74" t="str">
        <f t="shared" si="50"/>
        <v/>
      </c>
      <c r="AJ74" t="str">
        <f t="shared" si="40"/>
        <v/>
      </c>
      <c r="AK74" t="str">
        <f t="shared" si="41"/>
        <v/>
      </c>
      <c r="AL74" t="str">
        <f t="shared" si="51"/>
        <v/>
      </c>
      <c r="AM74" t="str">
        <f t="shared" si="52"/>
        <v/>
      </c>
      <c r="AN74" t="str">
        <f t="shared" si="42"/>
        <v/>
      </c>
    </row>
    <row r="75" spans="4:40" x14ac:dyDescent="0.55000000000000004">
      <c r="D75">
        <v>69</v>
      </c>
      <c r="N75" t="str">
        <f t="shared" si="43"/>
        <v/>
      </c>
      <c r="O75" t="str">
        <f t="shared" si="44"/>
        <v/>
      </c>
      <c r="P75" t="str">
        <f t="shared" si="44"/>
        <v/>
      </c>
      <c r="Q75" t="str">
        <f t="shared" si="45"/>
        <v/>
      </c>
      <c r="R75" t="str">
        <f t="shared" si="45"/>
        <v/>
      </c>
      <c r="S75" t="str">
        <f t="shared" si="45"/>
        <v/>
      </c>
      <c r="T75" t="str">
        <f t="shared" si="46"/>
        <v/>
      </c>
      <c r="U75" t="str">
        <f t="shared" si="47"/>
        <v/>
      </c>
      <c r="V75" t="str">
        <f t="shared" si="48"/>
        <v/>
      </c>
      <c r="X75" t="str">
        <f t="shared" si="33"/>
        <v/>
      </c>
      <c r="Y75" t="str">
        <f>IF(X75="●",Y$4+MOD(INT(MID(E75,5,3)),Y$2),"")</f>
        <v/>
      </c>
      <c r="Z75" t="str">
        <f t="shared" si="34"/>
        <v/>
      </c>
      <c r="AA75" t="str">
        <f t="shared" si="35"/>
        <v/>
      </c>
      <c r="AB75" t="str">
        <f t="shared" si="36"/>
        <v/>
      </c>
      <c r="AC75" t="str">
        <f>IF(LEN(V75),"MOV.D "&amp;$V75&amp;" "&amp;$B$15,"")</f>
        <v/>
      </c>
      <c r="AD75" t="str">
        <f t="shared" si="37"/>
        <v/>
      </c>
      <c r="AE75" t="str">
        <f t="shared" si="38"/>
        <v/>
      </c>
      <c r="AF75" t="str">
        <f t="shared" si="39"/>
        <v/>
      </c>
      <c r="AG75" t="str">
        <f t="shared" si="49"/>
        <v/>
      </c>
      <c r="AH75" t="str">
        <f t="shared" si="50"/>
        <v/>
      </c>
      <c r="AJ75" t="str">
        <f t="shared" si="40"/>
        <v/>
      </c>
      <c r="AK75" t="str">
        <f t="shared" si="41"/>
        <v/>
      </c>
      <c r="AL75" t="str">
        <f t="shared" si="51"/>
        <v/>
      </c>
      <c r="AM75" t="str">
        <f t="shared" si="52"/>
        <v/>
      </c>
      <c r="AN75" t="str">
        <f t="shared" si="42"/>
        <v/>
      </c>
    </row>
    <row r="76" spans="4:40" x14ac:dyDescent="0.55000000000000004">
      <c r="D76">
        <v>70</v>
      </c>
      <c r="N76" t="str">
        <f t="shared" si="43"/>
        <v/>
      </c>
      <c r="O76" t="str">
        <f t="shared" si="44"/>
        <v/>
      </c>
      <c r="P76" t="str">
        <f t="shared" si="44"/>
        <v/>
      </c>
      <c r="Q76" t="str">
        <f t="shared" si="45"/>
        <v/>
      </c>
      <c r="R76" t="str">
        <f t="shared" si="45"/>
        <v/>
      </c>
      <c r="S76" t="str">
        <f t="shared" si="45"/>
        <v/>
      </c>
      <c r="T76" t="str">
        <f t="shared" si="46"/>
        <v/>
      </c>
      <c r="U76" t="str">
        <f t="shared" si="47"/>
        <v/>
      </c>
      <c r="V76" t="str">
        <f t="shared" si="48"/>
        <v/>
      </c>
      <c r="X76" t="str">
        <f t="shared" si="33"/>
        <v/>
      </c>
      <c r="Y76" t="str">
        <f>IF(X76="●",Y$4+MOD(INT(MID(E76,5,3)),Y$2),"")</f>
        <v/>
      </c>
      <c r="Z76" t="str">
        <f t="shared" si="34"/>
        <v/>
      </c>
      <c r="AA76" t="str">
        <f t="shared" si="35"/>
        <v/>
      </c>
      <c r="AB76" t="str">
        <f t="shared" si="36"/>
        <v/>
      </c>
      <c r="AC76" t="str">
        <f>IF(LEN(V76),"MOV.D "&amp;$V76&amp;" "&amp;$B$15,"")</f>
        <v/>
      </c>
      <c r="AD76" t="str">
        <f t="shared" si="37"/>
        <v/>
      </c>
      <c r="AE76" t="str">
        <f t="shared" si="38"/>
        <v/>
      </c>
      <c r="AF76" t="str">
        <f t="shared" si="39"/>
        <v/>
      </c>
      <c r="AG76" t="str">
        <f t="shared" si="49"/>
        <v/>
      </c>
      <c r="AH76" t="str">
        <f t="shared" si="50"/>
        <v/>
      </c>
      <c r="AJ76" t="str">
        <f t="shared" si="40"/>
        <v/>
      </c>
      <c r="AK76" t="str">
        <f t="shared" si="41"/>
        <v/>
      </c>
      <c r="AL76" t="str">
        <f t="shared" si="51"/>
        <v/>
      </c>
      <c r="AM76" t="str">
        <f t="shared" si="52"/>
        <v/>
      </c>
      <c r="AN76" t="str">
        <f t="shared" si="42"/>
        <v/>
      </c>
    </row>
    <row r="77" spans="4:40" x14ac:dyDescent="0.55000000000000004">
      <c r="D77">
        <v>71</v>
      </c>
      <c r="N77" t="str">
        <f t="shared" si="43"/>
        <v/>
      </c>
      <c r="O77" t="str">
        <f t="shared" si="44"/>
        <v/>
      </c>
      <c r="P77" t="str">
        <f t="shared" si="44"/>
        <v/>
      </c>
      <c r="Q77" t="str">
        <f t="shared" si="45"/>
        <v/>
      </c>
      <c r="R77" t="str">
        <f t="shared" si="45"/>
        <v/>
      </c>
      <c r="S77" t="str">
        <f t="shared" si="45"/>
        <v/>
      </c>
      <c r="T77" t="str">
        <f t="shared" si="46"/>
        <v/>
      </c>
      <c r="U77" t="str">
        <f t="shared" si="47"/>
        <v/>
      </c>
      <c r="V77" t="str">
        <f t="shared" si="48"/>
        <v/>
      </c>
      <c r="X77" t="str">
        <f t="shared" si="33"/>
        <v/>
      </c>
      <c r="Y77" t="str">
        <f>IF(X77="●",Y$4+MOD(INT(MID(E77,5,3)),Y$2),"")</f>
        <v/>
      </c>
      <c r="Z77" t="str">
        <f t="shared" si="34"/>
        <v/>
      </c>
      <c r="AA77" t="str">
        <f t="shared" si="35"/>
        <v/>
      </c>
      <c r="AB77" t="str">
        <f t="shared" si="36"/>
        <v/>
      </c>
      <c r="AC77" t="str">
        <f>IF(LEN(V77),"MOV.D "&amp;$V77&amp;" "&amp;$B$15,"")</f>
        <v/>
      </c>
      <c r="AD77" t="str">
        <f t="shared" si="37"/>
        <v/>
      </c>
      <c r="AE77" t="str">
        <f t="shared" si="38"/>
        <v/>
      </c>
      <c r="AF77" t="str">
        <f t="shared" si="39"/>
        <v/>
      </c>
      <c r="AG77" t="str">
        <f t="shared" si="49"/>
        <v/>
      </c>
      <c r="AH77" t="str">
        <f t="shared" si="50"/>
        <v/>
      </c>
      <c r="AJ77" t="str">
        <f t="shared" si="40"/>
        <v/>
      </c>
      <c r="AK77" t="str">
        <f t="shared" si="41"/>
        <v/>
      </c>
      <c r="AL77" t="str">
        <f t="shared" si="51"/>
        <v/>
      </c>
      <c r="AM77" t="str">
        <f t="shared" si="52"/>
        <v/>
      </c>
      <c r="AN77" t="str">
        <f t="shared" si="42"/>
        <v/>
      </c>
    </row>
    <row r="78" spans="4:40" x14ac:dyDescent="0.55000000000000004">
      <c r="D78">
        <v>72</v>
      </c>
      <c r="N78" t="str">
        <f t="shared" si="43"/>
        <v/>
      </c>
      <c r="O78" t="str">
        <f t="shared" si="44"/>
        <v/>
      </c>
      <c r="P78" t="str">
        <f t="shared" si="44"/>
        <v/>
      </c>
      <c r="Q78" t="str">
        <f t="shared" si="45"/>
        <v/>
      </c>
      <c r="R78" t="str">
        <f t="shared" si="45"/>
        <v/>
      </c>
      <c r="S78" t="str">
        <f t="shared" si="45"/>
        <v/>
      </c>
      <c r="T78" t="str">
        <f t="shared" si="46"/>
        <v/>
      </c>
      <c r="U78" t="str">
        <f t="shared" si="47"/>
        <v/>
      </c>
      <c r="V78" t="str">
        <f t="shared" si="48"/>
        <v/>
      </c>
      <c r="X78" t="str">
        <f t="shared" si="33"/>
        <v/>
      </c>
      <c r="Y78" t="str">
        <f>IF(X78="●",Y$4+MOD(INT(MID(E78,5,3)),Y$2),"")</f>
        <v/>
      </c>
      <c r="Z78" t="str">
        <f t="shared" si="34"/>
        <v/>
      </c>
      <c r="AA78" t="str">
        <f t="shared" si="35"/>
        <v/>
      </c>
      <c r="AB78" t="str">
        <f t="shared" si="36"/>
        <v/>
      </c>
      <c r="AC78" t="str">
        <f>IF(LEN(V78),"MOV.D "&amp;$V78&amp;" "&amp;$B$15,"")</f>
        <v/>
      </c>
      <c r="AD78" t="str">
        <f t="shared" si="37"/>
        <v/>
      </c>
      <c r="AE78" t="str">
        <f t="shared" si="38"/>
        <v/>
      </c>
      <c r="AF78" t="str">
        <f t="shared" si="39"/>
        <v/>
      </c>
      <c r="AG78" t="str">
        <f t="shared" si="49"/>
        <v/>
      </c>
      <c r="AH78" t="str">
        <f t="shared" si="50"/>
        <v/>
      </c>
      <c r="AJ78" t="str">
        <f t="shared" si="40"/>
        <v/>
      </c>
      <c r="AK78" t="str">
        <f t="shared" si="41"/>
        <v/>
      </c>
      <c r="AL78" t="str">
        <f t="shared" si="51"/>
        <v/>
      </c>
      <c r="AM78" t="str">
        <f t="shared" si="52"/>
        <v/>
      </c>
      <c r="AN78" t="str">
        <f t="shared" si="42"/>
        <v/>
      </c>
    </row>
    <row r="79" spans="4:40" x14ac:dyDescent="0.55000000000000004">
      <c r="D79">
        <v>73</v>
      </c>
      <c r="N79" t="str">
        <f t="shared" si="43"/>
        <v/>
      </c>
      <c r="O79" t="str">
        <f t="shared" si="44"/>
        <v/>
      </c>
      <c r="P79" t="str">
        <f t="shared" si="44"/>
        <v/>
      </c>
      <c r="Q79" t="str">
        <f t="shared" si="45"/>
        <v/>
      </c>
      <c r="R79" t="str">
        <f t="shared" si="45"/>
        <v/>
      </c>
      <c r="S79" t="str">
        <f t="shared" si="45"/>
        <v/>
      </c>
      <c r="T79" t="str">
        <f t="shared" si="46"/>
        <v/>
      </c>
      <c r="U79" t="str">
        <f t="shared" si="47"/>
        <v/>
      </c>
      <c r="V79" t="str">
        <f t="shared" si="48"/>
        <v/>
      </c>
      <c r="X79" t="str">
        <f t="shared" si="33"/>
        <v/>
      </c>
      <c r="Y79" t="str">
        <f>IF(X79="●",Y$4+MOD(INT(MID(E79,5,3)),Y$2),"")</f>
        <v/>
      </c>
      <c r="Z79" t="str">
        <f t="shared" si="34"/>
        <v/>
      </c>
      <c r="AA79" t="str">
        <f t="shared" si="35"/>
        <v/>
      </c>
      <c r="AB79" t="str">
        <f t="shared" si="36"/>
        <v/>
      </c>
      <c r="AC79" t="str">
        <f>IF(LEN(V79),"MOV.D "&amp;$V79&amp;" "&amp;$B$15,"")</f>
        <v/>
      </c>
      <c r="AD79" t="str">
        <f t="shared" si="37"/>
        <v/>
      </c>
      <c r="AE79" t="str">
        <f t="shared" si="38"/>
        <v/>
      </c>
      <c r="AF79" t="str">
        <f t="shared" si="39"/>
        <v/>
      </c>
      <c r="AG79" t="str">
        <f t="shared" si="49"/>
        <v/>
      </c>
      <c r="AH79" t="str">
        <f t="shared" si="50"/>
        <v/>
      </c>
      <c r="AJ79" t="str">
        <f t="shared" si="40"/>
        <v/>
      </c>
      <c r="AK79" t="str">
        <f t="shared" si="41"/>
        <v/>
      </c>
      <c r="AL79" t="str">
        <f t="shared" si="51"/>
        <v/>
      </c>
      <c r="AM79" t="str">
        <f t="shared" si="52"/>
        <v/>
      </c>
      <c r="AN79" t="str">
        <f t="shared" si="42"/>
        <v/>
      </c>
    </row>
    <row r="80" spans="4:40" x14ac:dyDescent="0.55000000000000004">
      <c r="D80">
        <v>74</v>
      </c>
      <c r="N80" t="str">
        <f t="shared" si="43"/>
        <v/>
      </c>
      <c r="O80" t="str">
        <f t="shared" si="44"/>
        <v/>
      </c>
      <c r="P80" t="str">
        <f t="shared" si="44"/>
        <v/>
      </c>
      <c r="Q80" t="str">
        <f t="shared" si="45"/>
        <v/>
      </c>
      <c r="R80" t="str">
        <f t="shared" si="45"/>
        <v/>
      </c>
      <c r="S80" t="str">
        <f t="shared" si="45"/>
        <v/>
      </c>
      <c r="T80" t="str">
        <f t="shared" si="46"/>
        <v/>
      </c>
      <c r="U80" t="str">
        <f t="shared" si="47"/>
        <v/>
      </c>
      <c r="V80" t="str">
        <f t="shared" si="48"/>
        <v/>
      </c>
      <c r="X80" t="str">
        <f t="shared" si="33"/>
        <v/>
      </c>
      <c r="Y80" t="str">
        <f>IF(X80="●",Y$4+MOD(INT(MID(E80,5,3)),Y$2),"")</f>
        <v/>
      </c>
      <c r="Z80" t="str">
        <f t="shared" si="34"/>
        <v/>
      </c>
      <c r="AA80" t="str">
        <f t="shared" si="35"/>
        <v/>
      </c>
      <c r="AB80" t="str">
        <f t="shared" si="36"/>
        <v/>
      </c>
      <c r="AC80" t="str">
        <f>IF(LEN(V80),"MOV.D "&amp;$V80&amp;" "&amp;$B$15,"")</f>
        <v/>
      </c>
      <c r="AD80" t="str">
        <f t="shared" si="37"/>
        <v/>
      </c>
      <c r="AE80" t="str">
        <f t="shared" si="38"/>
        <v/>
      </c>
      <c r="AF80" t="str">
        <f t="shared" si="39"/>
        <v/>
      </c>
      <c r="AG80" t="str">
        <f t="shared" si="49"/>
        <v/>
      </c>
      <c r="AH80" t="str">
        <f t="shared" si="50"/>
        <v/>
      </c>
      <c r="AJ80" t="str">
        <f t="shared" si="40"/>
        <v/>
      </c>
      <c r="AK80" t="str">
        <f t="shared" si="41"/>
        <v/>
      </c>
      <c r="AL80" t="str">
        <f t="shared" si="51"/>
        <v/>
      </c>
      <c r="AM80" t="str">
        <f t="shared" si="52"/>
        <v/>
      </c>
      <c r="AN80" t="str">
        <f t="shared" si="42"/>
        <v/>
      </c>
    </row>
    <row r="81" spans="4:40" x14ac:dyDescent="0.55000000000000004">
      <c r="D81">
        <v>75</v>
      </c>
      <c r="N81" t="str">
        <f t="shared" si="43"/>
        <v/>
      </c>
      <c r="O81" t="str">
        <f t="shared" si="44"/>
        <v/>
      </c>
      <c r="P81" t="str">
        <f t="shared" si="44"/>
        <v/>
      </c>
      <c r="Q81" t="str">
        <f t="shared" si="45"/>
        <v/>
      </c>
      <c r="R81" t="str">
        <f t="shared" si="45"/>
        <v/>
      </c>
      <c r="S81" t="str">
        <f t="shared" si="45"/>
        <v/>
      </c>
      <c r="T81" t="str">
        <f t="shared" si="46"/>
        <v/>
      </c>
      <c r="U81" t="str">
        <f t="shared" si="47"/>
        <v/>
      </c>
      <c r="V81" t="str">
        <f t="shared" si="48"/>
        <v/>
      </c>
      <c r="X81" t="str">
        <f t="shared" si="33"/>
        <v/>
      </c>
      <c r="Y81" t="str">
        <f>IF(X81="●",Y$4+MOD(INT(MID(E81,5,3)),Y$2),"")</f>
        <v/>
      </c>
      <c r="Z81" t="str">
        <f t="shared" si="34"/>
        <v/>
      </c>
      <c r="AA81" t="str">
        <f t="shared" si="35"/>
        <v/>
      </c>
      <c r="AB81" t="str">
        <f t="shared" si="36"/>
        <v/>
      </c>
      <c r="AC81" t="str">
        <f>IF(LEN(V81),"MOV.D "&amp;$V81&amp;" "&amp;$B$15,"")</f>
        <v/>
      </c>
      <c r="AD81" t="str">
        <f t="shared" si="37"/>
        <v/>
      </c>
      <c r="AE81" t="str">
        <f t="shared" si="38"/>
        <v/>
      </c>
      <c r="AF81" t="str">
        <f t="shared" si="39"/>
        <v/>
      </c>
      <c r="AG81" t="str">
        <f t="shared" si="49"/>
        <v/>
      </c>
      <c r="AH81" t="str">
        <f t="shared" si="50"/>
        <v/>
      </c>
      <c r="AJ81" t="str">
        <f t="shared" si="40"/>
        <v/>
      </c>
      <c r="AK81" t="str">
        <f t="shared" si="41"/>
        <v/>
      </c>
      <c r="AL81" t="str">
        <f t="shared" si="51"/>
        <v/>
      </c>
      <c r="AM81" t="str">
        <f t="shared" si="52"/>
        <v/>
      </c>
      <c r="AN81" t="str">
        <f t="shared" si="42"/>
        <v/>
      </c>
    </row>
    <row r="82" spans="4:40" x14ac:dyDescent="0.55000000000000004">
      <c r="D82">
        <v>76</v>
      </c>
      <c r="N82" t="str">
        <f t="shared" si="43"/>
        <v/>
      </c>
      <c r="O82" t="str">
        <f t="shared" si="44"/>
        <v/>
      </c>
      <c r="P82" t="str">
        <f t="shared" si="44"/>
        <v/>
      </c>
      <c r="Q82" t="str">
        <f t="shared" si="45"/>
        <v/>
      </c>
      <c r="R82" t="str">
        <f t="shared" si="45"/>
        <v/>
      </c>
      <c r="S82" t="str">
        <f t="shared" si="45"/>
        <v/>
      </c>
      <c r="T82" t="str">
        <f t="shared" si="46"/>
        <v/>
      </c>
      <c r="U82" t="str">
        <f t="shared" si="47"/>
        <v/>
      </c>
      <c r="V82" t="str">
        <f t="shared" si="48"/>
        <v/>
      </c>
      <c r="X82" t="str">
        <f t="shared" si="33"/>
        <v/>
      </c>
      <c r="Y82" t="str">
        <f>IF(X82="●",Y$4+MOD(INT(MID(E82,5,3)),Y$2),"")</f>
        <v/>
      </c>
      <c r="Z82" t="str">
        <f t="shared" si="34"/>
        <v/>
      </c>
      <c r="AA82" t="str">
        <f t="shared" si="35"/>
        <v/>
      </c>
      <c r="AB82" t="str">
        <f t="shared" si="36"/>
        <v/>
      </c>
      <c r="AC82" t="str">
        <f>IF(LEN(V82),"MOV.D "&amp;$V82&amp;" "&amp;$B$15,"")</f>
        <v/>
      </c>
      <c r="AD82" t="str">
        <f t="shared" si="37"/>
        <v/>
      </c>
      <c r="AE82" t="str">
        <f t="shared" si="38"/>
        <v/>
      </c>
      <c r="AF82" t="str">
        <f t="shared" si="39"/>
        <v/>
      </c>
      <c r="AG82" t="str">
        <f t="shared" si="49"/>
        <v/>
      </c>
      <c r="AH82" t="str">
        <f t="shared" si="50"/>
        <v/>
      </c>
      <c r="AJ82" t="str">
        <f t="shared" si="40"/>
        <v/>
      </c>
      <c r="AK82" t="str">
        <f t="shared" si="41"/>
        <v/>
      </c>
      <c r="AL82" t="str">
        <f t="shared" si="51"/>
        <v/>
      </c>
      <c r="AM82" t="str">
        <f t="shared" si="52"/>
        <v/>
      </c>
      <c r="AN82" t="str">
        <f t="shared" si="42"/>
        <v/>
      </c>
    </row>
    <row r="83" spans="4:40" x14ac:dyDescent="0.55000000000000004">
      <c r="D83">
        <v>77</v>
      </c>
      <c r="N83" t="str">
        <f t="shared" si="43"/>
        <v/>
      </c>
      <c r="O83" t="str">
        <f t="shared" si="44"/>
        <v/>
      </c>
      <c r="P83" t="str">
        <f t="shared" si="44"/>
        <v/>
      </c>
      <c r="Q83" t="str">
        <f t="shared" si="45"/>
        <v/>
      </c>
      <c r="R83" t="str">
        <f t="shared" si="45"/>
        <v/>
      </c>
      <c r="S83" t="str">
        <f t="shared" si="45"/>
        <v/>
      </c>
      <c r="T83" t="str">
        <f t="shared" si="46"/>
        <v/>
      </c>
      <c r="U83" t="str">
        <f t="shared" si="47"/>
        <v/>
      </c>
      <c r="V83" t="str">
        <f t="shared" si="48"/>
        <v/>
      </c>
      <c r="X83" t="str">
        <f t="shared" si="33"/>
        <v/>
      </c>
      <c r="Y83" t="str">
        <f>IF(X83="●",Y$4+MOD(INT(MID(E83,5,3)),Y$2),"")</f>
        <v/>
      </c>
      <c r="Z83" t="str">
        <f t="shared" si="34"/>
        <v/>
      </c>
      <c r="AA83" t="str">
        <f t="shared" si="35"/>
        <v/>
      </c>
      <c r="AB83" t="str">
        <f t="shared" si="36"/>
        <v/>
      </c>
      <c r="AC83" t="str">
        <f>IF(LEN(V83),"MOV.D "&amp;$V83&amp;" "&amp;$B$15,"")</f>
        <v/>
      </c>
      <c r="AD83" t="str">
        <f t="shared" si="37"/>
        <v/>
      </c>
      <c r="AE83" t="str">
        <f t="shared" si="38"/>
        <v/>
      </c>
      <c r="AF83" t="str">
        <f t="shared" si="39"/>
        <v/>
      </c>
      <c r="AG83" t="str">
        <f t="shared" si="49"/>
        <v/>
      </c>
      <c r="AH83" t="str">
        <f t="shared" si="50"/>
        <v/>
      </c>
      <c r="AJ83" t="str">
        <f t="shared" si="40"/>
        <v/>
      </c>
      <c r="AK83" t="str">
        <f t="shared" si="41"/>
        <v/>
      </c>
      <c r="AL83" t="str">
        <f t="shared" si="51"/>
        <v/>
      </c>
      <c r="AM83" t="str">
        <f t="shared" si="52"/>
        <v/>
      </c>
      <c r="AN83" t="str">
        <f t="shared" si="42"/>
        <v/>
      </c>
    </row>
    <row r="84" spans="4:40" x14ac:dyDescent="0.55000000000000004">
      <c r="D84">
        <v>78</v>
      </c>
      <c r="N84" t="str">
        <f t="shared" si="43"/>
        <v/>
      </c>
      <c r="O84" t="str">
        <f t="shared" si="44"/>
        <v/>
      </c>
      <c r="P84" t="str">
        <f t="shared" si="44"/>
        <v/>
      </c>
      <c r="Q84" t="str">
        <f t="shared" si="45"/>
        <v/>
      </c>
      <c r="R84" t="str">
        <f t="shared" si="45"/>
        <v/>
      </c>
      <c r="S84" t="str">
        <f t="shared" si="45"/>
        <v/>
      </c>
      <c r="T84" t="str">
        <f t="shared" si="46"/>
        <v/>
      </c>
      <c r="U84" t="str">
        <f t="shared" si="47"/>
        <v/>
      </c>
      <c r="V84" t="str">
        <f t="shared" si="48"/>
        <v/>
      </c>
      <c r="X84" t="str">
        <f t="shared" si="33"/>
        <v/>
      </c>
      <c r="Y84" t="str">
        <f>IF(X84="●",Y$4+MOD(INT(MID(E84,5,3)),Y$2),"")</f>
        <v/>
      </c>
      <c r="Z84" t="str">
        <f t="shared" si="34"/>
        <v/>
      </c>
      <c r="AA84" t="str">
        <f t="shared" si="35"/>
        <v/>
      </c>
      <c r="AB84" t="str">
        <f t="shared" si="36"/>
        <v/>
      </c>
      <c r="AC84" t="str">
        <f>IF(LEN(V84),"MOV.D "&amp;$V84&amp;" "&amp;$B$15,"")</f>
        <v/>
      </c>
      <c r="AD84" t="str">
        <f t="shared" si="37"/>
        <v/>
      </c>
      <c r="AE84" t="str">
        <f t="shared" si="38"/>
        <v/>
      </c>
      <c r="AF84" t="str">
        <f t="shared" si="39"/>
        <v/>
      </c>
      <c r="AG84" t="str">
        <f t="shared" si="49"/>
        <v/>
      </c>
      <c r="AH84" t="str">
        <f t="shared" si="50"/>
        <v/>
      </c>
      <c r="AJ84" t="str">
        <f t="shared" si="40"/>
        <v/>
      </c>
      <c r="AK84" t="str">
        <f t="shared" si="41"/>
        <v/>
      </c>
      <c r="AL84" t="str">
        <f t="shared" si="51"/>
        <v/>
      </c>
      <c r="AM84" t="str">
        <f t="shared" si="52"/>
        <v/>
      </c>
      <c r="AN84" t="str">
        <f t="shared" si="42"/>
        <v/>
      </c>
    </row>
    <row r="85" spans="4:40" x14ac:dyDescent="0.55000000000000004">
      <c r="D85">
        <v>79</v>
      </c>
      <c r="N85" t="str">
        <f t="shared" si="43"/>
        <v/>
      </c>
      <c r="O85" t="str">
        <f t="shared" si="44"/>
        <v/>
      </c>
      <c r="P85" t="str">
        <f t="shared" si="44"/>
        <v/>
      </c>
      <c r="Q85" t="str">
        <f t="shared" si="45"/>
        <v/>
      </c>
      <c r="R85" t="str">
        <f t="shared" si="45"/>
        <v/>
      </c>
      <c r="S85" t="str">
        <f t="shared" si="45"/>
        <v/>
      </c>
      <c r="T85" t="str">
        <f t="shared" si="46"/>
        <v/>
      </c>
      <c r="U85" t="str">
        <f t="shared" si="47"/>
        <v/>
      </c>
      <c r="V85" t="str">
        <f t="shared" si="48"/>
        <v/>
      </c>
      <c r="X85" t="str">
        <f t="shared" si="33"/>
        <v/>
      </c>
      <c r="Y85" t="str">
        <f>IF(X85="●",Y$4+MOD(INT(MID(E85,5,3)),Y$2),"")</f>
        <v/>
      </c>
      <c r="Z85" t="str">
        <f t="shared" si="34"/>
        <v/>
      </c>
      <c r="AA85" t="str">
        <f t="shared" si="35"/>
        <v/>
      </c>
      <c r="AB85" t="str">
        <f t="shared" si="36"/>
        <v/>
      </c>
      <c r="AC85" t="str">
        <f>IF(LEN(V85),"MOV.D "&amp;$V85&amp;" "&amp;$B$15,"")</f>
        <v/>
      </c>
      <c r="AD85" t="str">
        <f t="shared" si="37"/>
        <v/>
      </c>
      <c r="AE85" t="str">
        <f t="shared" si="38"/>
        <v/>
      </c>
      <c r="AF85" t="str">
        <f t="shared" si="39"/>
        <v/>
      </c>
      <c r="AG85" t="str">
        <f t="shared" si="49"/>
        <v/>
      </c>
      <c r="AH85" t="str">
        <f t="shared" si="50"/>
        <v/>
      </c>
      <c r="AJ85" t="str">
        <f t="shared" si="40"/>
        <v/>
      </c>
      <c r="AK85" t="str">
        <f t="shared" si="41"/>
        <v/>
      </c>
      <c r="AL85" t="str">
        <f t="shared" si="51"/>
        <v/>
      </c>
      <c r="AM85" t="str">
        <f t="shared" si="52"/>
        <v/>
      </c>
      <c r="AN85" t="str">
        <f t="shared" si="42"/>
        <v/>
      </c>
    </row>
    <row r="86" spans="4:40" x14ac:dyDescent="0.55000000000000004">
      <c r="D86">
        <v>80</v>
      </c>
      <c r="N86" t="str">
        <f t="shared" si="43"/>
        <v/>
      </c>
      <c r="O86" t="str">
        <f t="shared" si="44"/>
        <v/>
      </c>
      <c r="P86" t="str">
        <f t="shared" si="44"/>
        <v/>
      </c>
      <c r="Q86" t="str">
        <f t="shared" si="45"/>
        <v/>
      </c>
      <c r="R86" t="str">
        <f t="shared" si="45"/>
        <v/>
      </c>
      <c r="S86" t="str">
        <f t="shared" si="45"/>
        <v/>
      </c>
      <c r="T86" t="str">
        <f t="shared" si="46"/>
        <v/>
      </c>
      <c r="U86" t="str">
        <f t="shared" si="47"/>
        <v/>
      </c>
      <c r="V86" t="str">
        <f t="shared" si="48"/>
        <v/>
      </c>
      <c r="X86" t="str">
        <f t="shared" si="33"/>
        <v/>
      </c>
      <c r="Y86" t="str">
        <f>IF(X86="●",Y$4+MOD(INT(MID(E86,5,3)),Y$2),"")</f>
        <v/>
      </c>
      <c r="Z86" t="str">
        <f t="shared" si="34"/>
        <v/>
      </c>
      <c r="AA86" t="str">
        <f t="shared" si="35"/>
        <v/>
      </c>
      <c r="AB86" t="str">
        <f t="shared" si="36"/>
        <v/>
      </c>
      <c r="AC86" t="str">
        <f>IF(LEN(V86),"MOV.D "&amp;$V86&amp;" "&amp;$B$15,"")</f>
        <v/>
      </c>
      <c r="AD86" t="str">
        <f t="shared" si="37"/>
        <v/>
      </c>
      <c r="AE86" t="str">
        <f t="shared" si="38"/>
        <v/>
      </c>
      <c r="AF86" t="str">
        <f t="shared" si="39"/>
        <v/>
      </c>
      <c r="AG86" t="str">
        <f t="shared" si="49"/>
        <v/>
      </c>
      <c r="AH86" t="str">
        <f t="shared" si="50"/>
        <v/>
      </c>
      <c r="AJ86" t="str">
        <f t="shared" si="40"/>
        <v/>
      </c>
      <c r="AK86" t="str">
        <f t="shared" si="41"/>
        <v/>
      </c>
      <c r="AL86" t="str">
        <f t="shared" si="51"/>
        <v/>
      </c>
      <c r="AM86" t="str">
        <f t="shared" si="52"/>
        <v/>
      </c>
      <c r="AN86" t="str">
        <f t="shared" si="42"/>
        <v/>
      </c>
    </row>
    <row r="87" spans="4:40" x14ac:dyDescent="0.55000000000000004">
      <c r="D87">
        <v>81</v>
      </c>
      <c r="N87" t="str">
        <f t="shared" si="43"/>
        <v/>
      </c>
      <c r="O87" t="str">
        <f t="shared" si="44"/>
        <v/>
      </c>
      <c r="P87" t="str">
        <f t="shared" si="44"/>
        <v/>
      </c>
      <c r="Q87" t="str">
        <f t="shared" si="45"/>
        <v/>
      </c>
      <c r="R87" t="str">
        <f t="shared" si="45"/>
        <v/>
      </c>
      <c r="S87" t="str">
        <f t="shared" si="45"/>
        <v/>
      </c>
      <c r="T87" t="str">
        <f t="shared" si="46"/>
        <v/>
      </c>
      <c r="U87" t="str">
        <f t="shared" si="47"/>
        <v/>
      </c>
      <c r="V87" t="str">
        <f t="shared" si="48"/>
        <v/>
      </c>
      <c r="X87" t="str">
        <f t="shared" si="33"/>
        <v/>
      </c>
      <c r="Y87" t="str">
        <f>IF(X87="●",Y$4+MOD(INT(MID(E87,5,3)),Y$2),"")</f>
        <v/>
      </c>
      <c r="Z87" t="str">
        <f t="shared" si="34"/>
        <v/>
      </c>
      <c r="AA87" t="str">
        <f t="shared" si="35"/>
        <v/>
      </c>
      <c r="AB87" t="str">
        <f t="shared" si="36"/>
        <v/>
      </c>
      <c r="AC87" t="str">
        <f>IF(LEN(V87),"MOV.D "&amp;$V87&amp;" "&amp;$B$15,"")</f>
        <v/>
      </c>
      <c r="AD87" t="str">
        <f t="shared" si="37"/>
        <v/>
      </c>
      <c r="AE87" t="str">
        <f t="shared" si="38"/>
        <v/>
      </c>
      <c r="AF87" t="str">
        <f t="shared" si="39"/>
        <v/>
      </c>
      <c r="AG87" t="str">
        <f t="shared" si="49"/>
        <v/>
      </c>
      <c r="AH87" t="str">
        <f t="shared" si="50"/>
        <v/>
      </c>
      <c r="AJ87" t="str">
        <f t="shared" si="40"/>
        <v/>
      </c>
      <c r="AK87" t="str">
        <f t="shared" si="41"/>
        <v/>
      </c>
      <c r="AL87" t="str">
        <f t="shared" si="51"/>
        <v/>
      </c>
      <c r="AM87" t="str">
        <f t="shared" si="52"/>
        <v/>
      </c>
      <c r="AN87" t="str">
        <f t="shared" si="42"/>
        <v/>
      </c>
    </row>
    <row r="88" spans="4:40" x14ac:dyDescent="0.55000000000000004">
      <c r="D88">
        <v>82</v>
      </c>
      <c r="N88" t="str">
        <f t="shared" si="43"/>
        <v/>
      </c>
      <c r="O88" t="str">
        <f t="shared" si="44"/>
        <v/>
      </c>
      <c r="P88" t="str">
        <f t="shared" si="44"/>
        <v/>
      </c>
      <c r="Q88" t="str">
        <f t="shared" si="45"/>
        <v/>
      </c>
      <c r="R88" t="str">
        <f t="shared" si="45"/>
        <v/>
      </c>
      <c r="S88" t="str">
        <f t="shared" si="45"/>
        <v/>
      </c>
      <c r="T88" t="str">
        <f t="shared" si="46"/>
        <v/>
      </c>
      <c r="U88" t="str">
        <f t="shared" si="47"/>
        <v/>
      </c>
      <c r="V88" t="str">
        <f t="shared" si="48"/>
        <v/>
      </c>
      <c r="X88" t="str">
        <f t="shared" si="33"/>
        <v/>
      </c>
      <c r="Y88" t="str">
        <f>IF(X88="●",Y$4+MOD(INT(MID(E88,5,3)),Y$2),"")</f>
        <v/>
      </c>
      <c r="Z88" t="str">
        <f t="shared" si="34"/>
        <v/>
      </c>
      <c r="AA88" t="str">
        <f t="shared" si="35"/>
        <v/>
      </c>
      <c r="AB88" t="str">
        <f t="shared" si="36"/>
        <v/>
      </c>
      <c r="AC88" t="str">
        <f>IF(LEN(V88),"MOV.D "&amp;$V88&amp;" "&amp;$B$15,"")</f>
        <v/>
      </c>
      <c r="AD88" t="str">
        <f t="shared" si="37"/>
        <v/>
      </c>
      <c r="AE88" t="str">
        <f t="shared" si="38"/>
        <v/>
      </c>
      <c r="AF88" t="str">
        <f t="shared" si="39"/>
        <v/>
      </c>
      <c r="AG88" t="str">
        <f t="shared" si="49"/>
        <v/>
      </c>
      <c r="AH88" t="str">
        <f t="shared" si="50"/>
        <v/>
      </c>
      <c r="AJ88" t="str">
        <f t="shared" si="40"/>
        <v/>
      </c>
      <c r="AK88" t="str">
        <f t="shared" si="41"/>
        <v/>
      </c>
      <c r="AL88" t="str">
        <f t="shared" si="51"/>
        <v/>
      </c>
      <c r="AM88" t="str">
        <f t="shared" si="52"/>
        <v/>
      </c>
      <c r="AN88" t="str">
        <f t="shared" si="42"/>
        <v/>
      </c>
    </row>
    <row r="89" spans="4:40" x14ac:dyDescent="0.55000000000000004">
      <c r="D89">
        <v>83</v>
      </c>
      <c r="N89" t="str">
        <f t="shared" si="43"/>
        <v/>
      </c>
      <c r="O89" t="str">
        <f t="shared" si="44"/>
        <v/>
      </c>
      <c r="P89" t="str">
        <f t="shared" si="44"/>
        <v/>
      </c>
      <c r="Q89" t="str">
        <f t="shared" si="45"/>
        <v/>
      </c>
      <c r="R89" t="str">
        <f t="shared" si="45"/>
        <v/>
      </c>
      <c r="S89" t="str">
        <f t="shared" si="45"/>
        <v/>
      </c>
      <c r="T89" t="str">
        <f t="shared" si="46"/>
        <v/>
      </c>
      <c r="U89" t="str">
        <f t="shared" si="47"/>
        <v/>
      </c>
      <c r="V89" t="str">
        <f t="shared" si="48"/>
        <v/>
      </c>
      <c r="X89" t="str">
        <f t="shared" si="33"/>
        <v/>
      </c>
      <c r="Y89" t="str">
        <f>IF(X89="●",Y$4+MOD(INT(MID(E89,5,3)),Y$2),"")</f>
        <v/>
      </c>
      <c r="Z89" t="str">
        <f t="shared" si="34"/>
        <v/>
      </c>
      <c r="AA89" t="str">
        <f t="shared" si="35"/>
        <v/>
      </c>
      <c r="AB89" t="str">
        <f t="shared" si="36"/>
        <v/>
      </c>
      <c r="AC89" t="str">
        <f>IF(LEN(V89),"MOV.D "&amp;$V89&amp;" "&amp;$B$15,"")</f>
        <v/>
      </c>
      <c r="AD89" t="str">
        <f t="shared" si="37"/>
        <v/>
      </c>
      <c r="AE89" t="str">
        <f t="shared" si="38"/>
        <v/>
      </c>
      <c r="AF89" t="str">
        <f t="shared" si="39"/>
        <v/>
      </c>
      <c r="AG89" t="str">
        <f t="shared" si="49"/>
        <v/>
      </c>
      <c r="AH89" t="str">
        <f t="shared" si="50"/>
        <v/>
      </c>
      <c r="AJ89" t="str">
        <f t="shared" si="40"/>
        <v/>
      </c>
      <c r="AK89" t="str">
        <f t="shared" si="41"/>
        <v/>
      </c>
      <c r="AL89" t="str">
        <f t="shared" si="51"/>
        <v/>
      </c>
      <c r="AM89" t="str">
        <f t="shared" si="52"/>
        <v/>
      </c>
      <c r="AN89" t="str">
        <f t="shared" si="42"/>
        <v/>
      </c>
    </row>
    <row r="90" spans="4:40" x14ac:dyDescent="0.55000000000000004">
      <c r="D90">
        <v>84</v>
      </c>
      <c r="N90" t="str">
        <f t="shared" si="43"/>
        <v/>
      </c>
      <c r="O90" t="str">
        <f t="shared" si="44"/>
        <v/>
      </c>
      <c r="P90" t="str">
        <f t="shared" si="44"/>
        <v/>
      </c>
      <c r="Q90" t="str">
        <f t="shared" si="45"/>
        <v/>
      </c>
      <c r="R90" t="str">
        <f t="shared" si="45"/>
        <v/>
      </c>
      <c r="S90" t="str">
        <f t="shared" si="45"/>
        <v/>
      </c>
      <c r="T90" t="str">
        <f t="shared" si="46"/>
        <v/>
      </c>
      <c r="U90" t="str">
        <f t="shared" si="47"/>
        <v/>
      </c>
      <c r="V90" t="str">
        <f t="shared" si="48"/>
        <v/>
      </c>
      <c r="X90" t="str">
        <f t="shared" si="33"/>
        <v/>
      </c>
      <c r="Y90" t="str">
        <f>IF(X90="●",Y$4+MOD(INT(MID(E90,5,3)),Y$2),"")</f>
        <v/>
      </c>
      <c r="Z90" t="str">
        <f t="shared" si="34"/>
        <v/>
      </c>
      <c r="AA90" t="str">
        <f t="shared" si="35"/>
        <v/>
      </c>
      <c r="AB90" t="str">
        <f t="shared" si="36"/>
        <v/>
      </c>
      <c r="AC90" t="str">
        <f>IF(LEN(V90),"MOV.D "&amp;$V90&amp;" "&amp;$B$15,"")</f>
        <v/>
      </c>
      <c r="AD90" t="str">
        <f t="shared" si="37"/>
        <v/>
      </c>
      <c r="AE90" t="str">
        <f t="shared" si="38"/>
        <v/>
      </c>
      <c r="AF90" t="str">
        <f t="shared" si="39"/>
        <v/>
      </c>
      <c r="AG90" t="str">
        <f t="shared" si="49"/>
        <v/>
      </c>
      <c r="AH90" t="str">
        <f t="shared" si="50"/>
        <v/>
      </c>
      <c r="AJ90" t="str">
        <f t="shared" si="40"/>
        <v/>
      </c>
      <c r="AK90" t="str">
        <f t="shared" si="41"/>
        <v/>
      </c>
      <c r="AL90" t="str">
        <f t="shared" si="51"/>
        <v/>
      </c>
      <c r="AM90" t="str">
        <f t="shared" si="52"/>
        <v/>
      </c>
      <c r="AN90" t="str">
        <f t="shared" si="42"/>
        <v/>
      </c>
    </row>
    <row r="91" spans="4:40" x14ac:dyDescent="0.55000000000000004">
      <c r="D91">
        <v>85</v>
      </c>
      <c r="N91" t="str">
        <f t="shared" si="43"/>
        <v/>
      </c>
      <c r="O91" t="str">
        <f t="shared" si="44"/>
        <v/>
      </c>
      <c r="P91" t="str">
        <f t="shared" si="44"/>
        <v/>
      </c>
      <c r="Q91" t="str">
        <f t="shared" si="45"/>
        <v/>
      </c>
      <c r="R91" t="str">
        <f t="shared" si="45"/>
        <v/>
      </c>
      <c r="S91" t="str">
        <f t="shared" si="45"/>
        <v/>
      </c>
      <c r="T91" t="str">
        <f t="shared" si="46"/>
        <v/>
      </c>
      <c r="U91" t="str">
        <f t="shared" si="47"/>
        <v/>
      </c>
      <c r="V91" t="str">
        <f t="shared" si="48"/>
        <v/>
      </c>
      <c r="X91" t="str">
        <f t="shared" si="33"/>
        <v/>
      </c>
      <c r="Y91" t="str">
        <f>IF(X91="●",Y$4+MOD(INT(MID(E91,5,3)),Y$2),"")</f>
        <v/>
      </c>
      <c r="Z91" t="str">
        <f t="shared" si="34"/>
        <v/>
      </c>
      <c r="AA91" t="str">
        <f t="shared" si="35"/>
        <v/>
      </c>
      <c r="AB91" t="str">
        <f t="shared" si="36"/>
        <v/>
      </c>
      <c r="AC91" t="str">
        <f>IF(LEN(V91),"MOV.D "&amp;$V91&amp;" "&amp;$B$15,"")</f>
        <v/>
      </c>
      <c r="AD91" t="str">
        <f t="shared" si="37"/>
        <v/>
      </c>
      <c r="AE91" t="str">
        <f t="shared" si="38"/>
        <v/>
      </c>
      <c r="AF91" t="str">
        <f t="shared" si="39"/>
        <v/>
      </c>
      <c r="AG91" t="str">
        <f t="shared" si="49"/>
        <v/>
      </c>
      <c r="AH91" t="str">
        <f t="shared" si="50"/>
        <v/>
      </c>
      <c r="AJ91" t="str">
        <f t="shared" si="40"/>
        <v/>
      </c>
      <c r="AK91" t="str">
        <f t="shared" si="41"/>
        <v/>
      </c>
      <c r="AL91" t="str">
        <f t="shared" si="51"/>
        <v/>
      </c>
      <c r="AM91" t="str">
        <f t="shared" si="52"/>
        <v/>
      </c>
      <c r="AN91" t="str">
        <f t="shared" si="42"/>
        <v/>
      </c>
    </row>
    <row r="92" spans="4:40" x14ac:dyDescent="0.55000000000000004">
      <c r="D92">
        <v>86</v>
      </c>
      <c r="N92" t="str">
        <f t="shared" si="43"/>
        <v/>
      </c>
      <c r="O92" t="str">
        <f t="shared" si="44"/>
        <v/>
      </c>
      <c r="P92" t="str">
        <f t="shared" si="44"/>
        <v/>
      </c>
      <c r="Q92" t="str">
        <f t="shared" si="45"/>
        <v/>
      </c>
      <c r="R92" t="str">
        <f t="shared" si="45"/>
        <v/>
      </c>
      <c r="S92" t="str">
        <f t="shared" si="45"/>
        <v/>
      </c>
      <c r="T92" t="str">
        <f t="shared" si="46"/>
        <v/>
      </c>
      <c r="U92" t="str">
        <f t="shared" si="47"/>
        <v/>
      </c>
      <c r="V92" t="str">
        <f t="shared" si="48"/>
        <v/>
      </c>
      <c r="X92" t="str">
        <f t="shared" si="33"/>
        <v/>
      </c>
      <c r="Y92" t="str">
        <f>IF(X92="●",Y$4+MOD(INT(MID(E92,5,3)),Y$2),"")</f>
        <v/>
      </c>
      <c r="Z92" t="str">
        <f t="shared" si="34"/>
        <v/>
      </c>
      <c r="AA92" t="str">
        <f t="shared" si="35"/>
        <v/>
      </c>
      <c r="AB92" t="str">
        <f t="shared" si="36"/>
        <v/>
      </c>
      <c r="AC92" t="str">
        <f>IF(LEN(V92),"MOV.D "&amp;$V92&amp;" "&amp;$B$15,"")</f>
        <v/>
      </c>
      <c r="AD92" t="str">
        <f t="shared" si="37"/>
        <v/>
      </c>
      <c r="AE92" t="str">
        <f t="shared" si="38"/>
        <v/>
      </c>
      <c r="AF92" t="str">
        <f t="shared" si="39"/>
        <v/>
      </c>
      <c r="AG92" t="str">
        <f t="shared" si="49"/>
        <v/>
      </c>
      <c r="AH92" t="str">
        <f t="shared" si="50"/>
        <v/>
      </c>
      <c r="AJ92" t="str">
        <f t="shared" si="40"/>
        <v/>
      </c>
      <c r="AK92" t="str">
        <f t="shared" si="41"/>
        <v/>
      </c>
      <c r="AL92" t="str">
        <f t="shared" si="51"/>
        <v/>
      </c>
      <c r="AM92" t="str">
        <f t="shared" si="52"/>
        <v/>
      </c>
      <c r="AN92" t="str">
        <f t="shared" si="42"/>
        <v/>
      </c>
    </row>
    <row r="93" spans="4:40" x14ac:dyDescent="0.55000000000000004">
      <c r="D93">
        <v>87</v>
      </c>
      <c r="N93" t="str">
        <f t="shared" si="43"/>
        <v/>
      </c>
      <c r="O93" t="str">
        <f t="shared" si="44"/>
        <v/>
      </c>
      <c r="P93" t="str">
        <f t="shared" si="44"/>
        <v/>
      </c>
      <c r="Q93" t="str">
        <f t="shared" si="45"/>
        <v/>
      </c>
      <c r="R93" t="str">
        <f t="shared" si="45"/>
        <v/>
      </c>
      <c r="S93" t="str">
        <f t="shared" si="45"/>
        <v/>
      </c>
      <c r="T93" t="str">
        <f t="shared" si="46"/>
        <v/>
      </c>
      <c r="U93" t="str">
        <f t="shared" si="47"/>
        <v/>
      </c>
      <c r="V93" t="str">
        <f t="shared" si="48"/>
        <v/>
      </c>
      <c r="X93" t="str">
        <f t="shared" si="33"/>
        <v/>
      </c>
      <c r="Y93" t="str">
        <f>IF(X93="●",Y$4+MOD(INT(MID(E93,5,3)),Y$2),"")</f>
        <v/>
      </c>
      <c r="Z93" t="str">
        <f t="shared" si="34"/>
        <v/>
      </c>
      <c r="AA93" t="str">
        <f t="shared" si="35"/>
        <v/>
      </c>
      <c r="AB93" t="str">
        <f t="shared" si="36"/>
        <v/>
      </c>
      <c r="AC93" t="str">
        <f>IF(LEN(V93),"MOV.D "&amp;$V93&amp;" "&amp;$B$15,"")</f>
        <v/>
      </c>
      <c r="AD93" t="str">
        <f t="shared" si="37"/>
        <v/>
      </c>
      <c r="AE93" t="str">
        <f t="shared" si="38"/>
        <v/>
      </c>
      <c r="AF93" t="str">
        <f t="shared" si="39"/>
        <v/>
      </c>
      <c r="AG93" t="str">
        <f t="shared" si="49"/>
        <v/>
      </c>
      <c r="AH93" t="str">
        <f t="shared" si="50"/>
        <v/>
      </c>
      <c r="AJ93" t="str">
        <f t="shared" si="40"/>
        <v/>
      </c>
      <c r="AK93" t="str">
        <f t="shared" si="41"/>
        <v/>
      </c>
      <c r="AL93" t="str">
        <f t="shared" si="51"/>
        <v/>
      </c>
      <c r="AM93" t="str">
        <f t="shared" si="52"/>
        <v/>
      </c>
      <c r="AN93" t="str">
        <f t="shared" si="42"/>
        <v/>
      </c>
    </row>
    <row r="94" spans="4:40" x14ac:dyDescent="0.55000000000000004">
      <c r="D94">
        <v>88</v>
      </c>
      <c r="N94" t="str">
        <f t="shared" si="43"/>
        <v/>
      </c>
      <c r="O94" t="str">
        <f t="shared" si="44"/>
        <v/>
      </c>
      <c r="P94" t="str">
        <f t="shared" si="44"/>
        <v/>
      </c>
      <c r="Q94" t="str">
        <f t="shared" si="45"/>
        <v/>
      </c>
      <c r="R94" t="str">
        <f t="shared" si="45"/>
        <v/>
      </c>
      <c r="S94" t="str">
        <f t="shared" si="45"/>
        <v/>
      </c>
      <c r="T94" t="str">
        <f t="shared" si="46"/>
        <v/>
      </c>
      <c r="U94" t="str">
        <f t="shared" si="47"/>
        <v/>
      </c>
      <c r="V94" t="str">
        <f t="shared" si="48"/>
        <v/>
      </c>
      <c r="X94" t="str">
        <f t="shared" si="33"/>
        <v/>
      </c>
      <c r="Y94" t="str">
        <f>IF(X94="●",Y$4+MOD(INT(MID(E94,5,3)),Y$2),"")</f>
        <v/>
      </c>
      <c r="Z94" t="str">
        <f t="shared" si="34"/>
        <v/>
      </c>
      <c r="AA94" t="str">
        <f t="shared" si="35"/>
        <v/>
      </c>
      <c r="AB94" t="str">
        <f t="shared" si="36"/>
        <v/>
      </c>
      <c r="AC94" t="str">
        <f>IF(LEN(V94),"MOV.D "&amp;$V94&amp;" "&amp;$B$15,"")</f>
        <v/>
      </c>
      <c r="AD94" t="str">
        <f t="shared" si="37"/>
        <v/>
      </c>
      <c r="AE94" t="str">
        <f t="shared" si="38"/>
        <v/>
      </c>
      <c r="AF94" t="str">
        <f t="shared" si="39"/>
        <v/>
      </c>
      <c r="AG94" t="str">
        <f t="shared" si="49"/>
        <v/>
      </c>
      <c r="AH94" t="str">
        <f t="shared" si="50"/>
        <v/>
      </c>
      <c r="AJ94" t="str">
        <f t="shared" si="40"/>
        <v/>
      </c>
      <c r="AK94" t="str">
        <f t="shared" si="41"/>
        <v/>
      </c>
      <c r="AL94" t="str">
        <f t="shared" si="51"/>
        <v/>
      </c>
      <c r="AM94" t="str">
        <f t="shared" si="52"/>
        <v/>
      </c>
      <c r="AN94" t="str">
        <f t="shared" si="42"/>
        <v/>
      </c>
    </row>
    <row r="95" spans="4:40" x14ac:dyDescent="0.55000000000000004">
      <c r="D95">
        <v>89</v>
      </c>
      <c r="N95" t="str">
        <f t="shared" si="43"/>
        <v/>
      </c>
      <c r="O95" t="str">
        <f t="shared" si="44"/>
        <v/>
      </c>
      <c r="P95" t="str">
        <f t="shared" si="44"/>
        <v/>
      </c>
      <c r="Q95" t="str">
        <f t="shared" si="45"/>
        <v/>
      </c>
      <c r="R95" t="str">
        <f t="shared" si="45"/>
        <v/>
      </c>
      <c r="S95" t="str">
        <f t="shared" si="45"/>
        <v/>
      </c>
      <c r="T95" t="str">
        <f t="shared" si="46"/>
        <v/>
      </c>
      <c r="U95" t="str">
        <f t="shared" si="47"/>
        <v/>
      </c>
      <c r="V95" t="str">
        <f t="shared" si="48"/>
        <v/>
      </c>
      <c r="X95" t="str">
        <f t="shared" si="33"/>
        <v/>
      </c>
      <c r="Y95" t="str">
        <f>IF(X95="●",Y$4+MOD(INT(MID(E95,5,3)),Y$2),"")</f>
        <v/>
      </c>
      <c r="Z95" t="str">
        <f t="shared" si="34"/>
        <v/>
      </c>
      <c r="AA95" t="str">
        <f t="shared" si="35"/>
        <v/>
      </c>
      <c r="AB95" t="str">
        <f t="shared" si="36"/>
        <v/>
      </c>
      <c r="AC95" t="str">
        <f>IF(LEN(V95),"MOV.D "&amp;$V95&amp;" "&amp;$B$15,"")</f>
        <v/>
      </c>
      <c r="AD95" t="str">
        <f t="shared" si="37"/>
        <v/>
      </c>
      <c r="AE95" t="str">
        <f t="shared" si="38"/>
        <v/>
      </c>
      <c r="AF95" t="str">
        <f t="shared" si="39"/>
        <v/>
      </c>
      <c r="AG95" t="str">
        <f t="shared" si="49"/>
        <v/>
      </c>
      <c r="AH95" t="str">
        <f t="shared" si="50"/>
        <v/>
      </c>
      <c r="AJ95" t="str">
        <f t="shared" si="40"/>
        <v/>
      </c>
      <c r="AK95" t="str">
        <f t="shared" si="41"/>
        <v/>
      </c>
      <c r="AL95" t="str">
        <f t="shared" si="51"/>
        <v/>
      </c>
      <c r="AM95" t="str">
        <f t="shared" si="52"/>
        <v/>
      </c>
      <c r="AN95" t="str">
        <f t="shared" si="42"/>
        <v/>
      </c>
    </row>
    <row r="96" spans="4:40" x14ac:dyDescent="0.55000000000000004">
      <c r="D96">
        <v>90</v>
      </c>
      <c r="N96" t="str">
        <f t="shared" si="43"/>
        <v/>
      </c>
      <c r="O96" t="str">
        <f t="shared" si="44"/>
        <v/>
      </c>
      <c r="P96" t="str">
        <f t="shared" si="44"/>
        <v/>
      </c>
      <c r="Q96" t="str">
        <f t="shared" si="45"/>
        <v/>
      </c>
      <c r="R96" t="str">
        <f t="shared" si="45"/>
        <v/>
      </c>
      <c r="S96" t="str">
        <f t="shared" si="45"/>
        <v/>
      </c>
      <c r="T96" t="str">
        <f t="shared" si="46"/>
        <v/>
      </c>
      <c r="U96" t="str">
        <f t="shared" si="47"/>
        <v/>
      </c>
      <c r="V96" t="str">
        <f t="shared" si="48"/>
        <v/>
      </c>
      <c r="X96" t="str">
        <f t="shared" si="33"/>
        <v/>
      </c>
      <c r="Y96" t="str">
        <f>IF(X96="●",Y$4+MOD(INT(MID(E96,5,3)),Y$2),"")</f>
        <v/>
      </c>
      <c r="Z96" t="str">
        <f t="shared" si="34"/>
        <v/>
      </c>
      <c r="AA96" t="str">
        <f t="shared" si="35"/>
        <v/>
      </c>
      <c r="AB96" t="str">
        <f t="shared" si="36"/>
        <v/>
      </c>
      <c r="AC96" t="str">
        <f>IF(LEN(V96),"MOV.D "&amp;$V96&amp;" "&amp;$B$15,"")</f>
        <v/>
      </c>
      <c r="AD96" t="str">
        <f t="shared" si="37"/>
        <v/>
      </c>
      <c r="AE96" t="str">
        <f t="shared" si="38"/>
        <v/>
      </c>
      <c r="AF96" t="str">
        <f t="shared" si="39"/>
        <v/>
      </c>
      <c r="AG96" t="str">
        <f t="shared" si="49"/>
        <v/>
      </c>
      <c r="AH96" t="str">
        <f t="shared" si="50"/>
        <v/>
      </c>
      <c r="AJ96" t="str">
        <f t="shared" si="40"/>
        <v/>
      </c>
      <c r="AK96" t="str">
        <f t="shared" si="41"/>
        <v/>
      </c>
      <c r="AL96" t="str">
        <f t="shared" si="51"/>
        <v/>
      </c>
      <c r="AM96" t="str">
        <f t="shared" si="52"/>
        <v/>
      </c>
      <c r="AN96" t="str">
        <f t="shared" si="42"/>
        <v/>
      </c>
    </row>
    <row r="97" spans="4:40" x14ac:dyDescent="0.55000000000000004">
      <c r="D97">
        <v>91</v>
      </c>
      <c r="N97" t="str">
        <f t="shared" si="43"/>
        <v/>
      </c>
      <c r="O97" t="str">
        <f t="shared" si="44"/>
        <v/>
      </c>
      <c r="P97" t="str">
        <f t="shared" si="44"/>
        <v/>
      </c>
      <c r="Q97" t="str">
        <f t="shared" si="45"/>
        <v/>
      </c>
      <c r="R97" t="str">
        <f t="shared" si="45"/>
        <v/>
      </c>
      <c r="S97" t="str">
        <f t="shared" si="45"/>
        <v/>
      </c>
      <c r="T97" t="str">
        <f t="shared" si="46"/>
        <v/>
      </c>
      <c r="U97" t="str">
        <f t="shared" si="47"/>
        <v/>
      </c>
      <c r="V97" t="str">
        <f t="shared" si="48"/>
        <v/>
      </c>
      <c r="X97" t="str">
        <f t="shared" si="33"/>
        <v/>
      </c>
      <c r="Y97" t="str">
        <f>IF(X97="●",Y$4+MOD(INT(MID(E97,5,3)),Y$2),"")</f>
        <v/>
      </c>
      <c r="Z97" t="str">
        <f t="shared" si="34"/>
        <v/>
      </c>
      <c r="AA97" t="str">
        <f t="shared" si="35"/>
        <v/>
      </c>
      <c r="AB97" t="str">
        <f t="shared" si="36"/>
        <v/>
      </c>
      <c r="AC97" t="str">
        <f>IF(LEN(V97),"MOV.D "&amp;$V97&amp;" "&amp;$B$15,"")</f>
        <v/>
      </c>
      <c r="AD97" t="str">
        <f t="shared" si="37"/>
        <v/>
      </c>
      <c r="AE97" t="str">
        <f t="shared" si="38"/>
        <v/>
      </c>
      <c r="AF97" t="str">
        <f t="shared" si="39"/>
        <v/>
      </c>
      <c r="AG97" t="str">
        <f t="shared" si="49"/>
        <v/>
      </c>
      <c r="AH97" t="str">
        <f t="shared" si="50"/>
        <v/>
      </c>
      <c r="AJ97" t="str">
        <f t="shared" si="40"/>
        <v/>
      </c>
      <c r="AK97" t="str">
        <f t="shared" si="41"/>
        <v/>
      </c>
      <c r="AL97" t="str">
        <f t="shared" si="51"/>
        <v/>
      </c>
      <c r="AM97" t="str">
        <f t="shared" si="52"/>
        <v/>
      </c>
      <c r="AN97" t="str">
        <f t="shared" si="42"/>
        <v/>
      </c>
    </row>
    <row r="98" spans="4:40" x14ac:dyDescent="0.55000000000000004">
      <c r="D98">
        <v>92</v>
      </c>
      <c r="N98" t="str">
        <f t="shared" si="43"/>
        <v/>
      </c>
      <c r="O98" t="str">
        <f t="shared" si="44"/>
        <v/>
      </c>
      <c r="P98" t="str">
        <f t="shared" si="44"/>
        <v/>
      </c>
      <c r="Q98" t="str">
        <f t="shared" si="45"/>
        <v/>
      </c>
      <c r="R98" t="str">
        <f t="shared" si="45"/>
        <v/>
      </c>
      <c r="S98" t="str">
        <f t="shared" si="45"/>
        <v/>
      </c>
      <c r="T98" t="str">
        <f t="shared" si="46"/>
        <v/>
      </c>
      <c r="U98" t="str">
        <f t="shared" si="47"/>
        <v/>
      </c>
      <c r="V98" t="str">
        <f t="shared" si="48"/>
        <v/>
      </c>
      <c r="X98" t="str">
        <f t="shared" si="33"/>
        <v/>
      </c>
      <c r="Y98" t="str">
        <f>IF(X98="●",Y$4+MOD(INT(MID(E98,5,3)),Y$2),"")</f>
        <v/>
      </c>
      <c r="Z98" t="str">
        <f t="shared" si="34"/>
        <v/>
      </c>
      <c r="AA98" t="str">
        <f t="shared" si="35"/>
        <v/>
      </c>
      <c r="AB98" t="str">
        <f t="shared" si="36"/>
        <v/>
      </c>
      <c r="AC98" t="str">
        <f>IF(LEN(V98),"MOV.D "&amp;$V98&amp;" "&amp;$B$15,"")</f>
        <v/>
      </c>
      <c r="AD98" t="str">
        <f t="shared" si="37"/>
        <v/>
      </c>
      <c r="AE98" t="str">
        <f t="shared" si="38"/>
        <v/>
      </c>
      <c r="AF98" t="str">
        <f t="shared" si="39"/>
        <v/>
      </c>
      <c r="AG98" t="str">
        <f t="shared" si="49"/>
        <v/>
      </c>
      <c r="AH98" t="str">
        <f t="shared" si="50"/>
        <v/>
      </c>
      <c r="AJ98" t="str">
        <f t="shared" si="40"/>
        <v/>
      </c>
      <c r="AK98" t="str">
        <f t="shared" si="41"/>
        <v/>
      </c>
      <c r="AL98" t="str">
        <f t="shared" si="51"/>
        <v/>
      </c>
      <c r="AM98" t="str">
        <f t="shared" si="52"/>
        <v/>
      </c>
      <c r="AN98" t="str">
        <f t="shared" si="42"/>
        <v/>
      </c>
    </row>
    <row r="99" spans="4:40" x14ac:dyDescent="0.55000000000000004">
      <c r="D99">
        <v>93</v>
      </c>
      <c r="N99" t="str">
        <f t="shared" si="43"/>
        <v/>
      </c>
      <c r="O99" t="str">
        <f t="shared" si="44"/>
        <v/>
      </c>
      <c r="P99" t="str">
        <f t="shared" si="44"/>
        <v/>
      </c>
      <c r="Q99" t="str">
        <f t="shared" si="45"/>
        <v/>
      </c>
      <c r="R99" t="str">
        <f t="shared" si="45"/>
        <v/>
      </c>
      <c r="S99" t="str">
        <f t="shared" si="45"/>
        <v/>
      </c>
      <c r="T99" t="str">
        <f t="shared" si="46"/>
        <v/>
      </c>
      <c r="U99" t="str">
        <f t="shared" si="47"/>
        <v/>
      </c>
      <c r="V99" t="str">
        <f t="shared" si="48"/>
        <v/>
      </c>
      <c r="X99" t="str">
        <f t="shared" si="33"/>
        <v/>
      </c>
      <c r="Y99" t="str">
        <f>IF(X99="●",Y$4+MOD(INT(MID(E99,5,3)),Y$2),"")</f>
        <v/>
      </c>
      <c r="Z99" t="str">
        <f t="shared" si="34"/>
        <v/>
      </c>
      <c r="AA99" t="str">
        <f t="shared" si="35"/>
        <v/>
      </c>
      <c r="AB99" t="str">
        <f t="shared" si="36"/>
        <v/>
      </c>
      <c r="AC99" t="str">
        <f>IF(LEN(V99),"MOV.D "&amp;$V99&amp;" "&amp;$B$15,"")</f>
        <v/>
      </c>
      <c r="AD99" t="str">
        <f t="shared" si="37"/>
        <v/>
      </c>
      <c r="AE99" t="str">
        <f t="shared" si="38"/>
        <v/>
      </c>
      <c r="AF99" t="str">
        <f t="shared" si="39"/>
        <v/>
      </c>
      <c r="AG99" t="str">
        <f t="shared" si="49"/>
        <v/>
      </c>
      <c r="AH99" t="str">
        <f t="shared" si="50"/>
        <v/>
      </c>
      <c r="AJ99" t="str">
        <f t="shared" si="40"/>
        <v/>
      </c>
      <c r="AK99" t="str">
        <f t="shared" si="41"/>
        <v/>
      </c>
      <c r="AL99" t="str">
        <f t="shared" si="51"/>
        <v/>
      </c>
      <c r="AM99" t="str">
        <f t="shared" si="52"/>
        <v/>
      </c>
      <c r="AN99" t="str">
        <f t="shared" si="42"/>
        <v/>
      </c>
    </row>
    <row r="100" spans="4:40" x14ac:dyDescent="0.55000000000000004">
      <c r="D100">
        <v>94</v>
      </c>
      <c r="N100" t="str">
        <f t="shared" si="43"/>
        <v/>
      </c>
      <c r="O100" t="str">
        <f t="shared" si="44"/>
        <v/>
      </c>
      <c r="P100" t="str">
        <f t="shared" si="44"/>
        <v/>
      </c>
      <c r="Q100" t="str">
        <f t="shared" si="45"/>
        <v/>
      </c>
      <c r="R100" t="str">
        <f t="shared" si="45"/>
        <v/>
      </c>
      <c r="S100" t="str">
        <f t="shared" si="45"/>
        <v/>
      </c>
      <c r="T100" t="str">
        <f t="shared" si="46"/>
        <v/>
      </c>
      <c r="U100" t="str">
        <f t="shared" si="47"/>
        <v/>
      </c>
      <c r="V100" t="str">
        <f t="shared" si="48"/>
        <v/>
      </c>
      <c r="X100" t="str">
        <f t="shared" si="33"/>
        <v/>
      </c>
      <c r="Y100" t="str">
        <f>IF(X100="●",Y$4+MOD(INT(MID(E100,5,3)),Y$2),"")</f>
        <v/>
      </c>
      <c r="Z100" t="str">
        <f t="shared" si="34"/>
        <v/>
      </c>
      <c r="AA100" t="str">
        <f t="shared" si="35"/>
        <v/>
      </c>
      <c r="AB100" t="str">
        <f t="shared" si="36"/>
        <v/>
      </c>
      <c r="AC100" t="str">
        <f>IF(LEN(V100),"MOV.D "&amp;$V100&amp;" "&amp;$B$15,"")</f>
        <v/>
      </c>
      <c r="AD100" t="str">
        <f t="shared" si="37"/>
        <v/>
      </c>
      <c r="AE100" t="str">
        <f t="shared" si="38"/>
        <v/>
      </c>
      <c r="AF100" t="str">
        <f t="shared" si="39"/>
        <v/>
      </c>
      <c r="AG100" t="str">
        <f t="shared" si="49"/>
        <v/>
      </c>
      <c r="AH100" t="str">
        <f t="shared" si="50"/>
        <v/>
      </c>
      <c r="AJ100" t="str">
        <f t="shared" si="40"/>
        <v/>
      </c>
      <c r="AK100" t="str">
        <f t="shared" si="41"/>
        <v/>
      </c>
      <c r="AL100" t="str">
        <f t="shared" si="51"/>
        <v/>
      </c>
      <c r="AM100" t="str">
        <f t="shared" si="52"/>
        <v/>
      </c>
      <c r="AN100" t="str">
        <f t="shared" si="42"/>
        <v/>
      </c>
    </row>
    <row r="101" spans="4:40" x14ac:dyDescent="0.55000000000000004">
      <c r="D101">
        <v>95</v>
      </c>
      <c r="N101" t="str">
        <f t="shared" si="43"/>
        <v/>
      </c>
      <c r="O101" t="str">
        <f t="shared" si="44"/>
        <v/>
      </c>
      <c r="P101" t="str">
        <f t="shared" si="44"/>
        <v/>
      </c>
      <c r="Q101" t="str">
        <f t="shared" si="45"/>
        <v/>
      </c>
      <c r="R101" t="str">
        <f t="shared" si="45"/>
        <v/>
      </c>
      <c r="S101" t="str">
        <f t="shared" si="45"/>
        <v/>
      </c>
      <c r="T101" t="str">
        <f t="shared" si="46"/>
        <v/>
      </c>
      <c r="U101" t="str">
        <f t="shared" si="47"/>
        <v/>
      </c>
      <c r="V101" t="str">
        <f t="shared" si="48"/>
        <v/>
      </c>
      <c r="X101" t="str">
        <f t="shared" si="33"/>
        <v/>
      </c>
      <c r="Y101" t="str">
        <f>IF(X101="●",Y$4+MOD(INT(MID(E101,5,3)),Y$2),"")</f>
        <v/>
      </c>
      <c r="Z101" t="str">
        <f t="shared" si="34"/>
        <v/>
      </c>
      <c r="AA101" t="str">
        <f t="shared" si="35"/>
        <v/>
      </c>
      <c r="AB101" t="str">
        <f t="shared" si="36"/>
        <v/>
      </c>
      <c r="AC101" t="str">
        <f>IF(LEN(V101),"MOV.D "&amp;$V101&amp;" "&amp;$B$15,"")</f>
        <v/>
      </c>
      <c r="AD101" t="str">
        <f t="shared" si="37"/>
        <v/>
      </c>
      <c r="AE101" t="str">
        <f t="shared" si="38"/>
        <v/>
      </c>
      <c r="AF101" t="str">
        <f t="shared" si="39"/>
        <v/>
      </c>
      <c r="AG101" t="str">
        <f t="shared" si="49"/>
        <v/>
      </c>
      <c r="AH101" t="str">
        <f t="shared" si="50"/>
        <v/>
      </c>
      <c r="AJ101" t="str">
        <f t="shared" si="40"/>
        <v/>
      </c>
      <c r="AK101" t="str">
        <f t="shared" si="41"/>
        <v/>
      </c>
      <c r="AL101" t="str">
        <f t="shared" si="51"/>
        <v/>
      </c>
      <c r="AM101" t="str">
        <f t="shared" si="52"/>
        <v/>
      </c>
      <c r="AN101" t="str">
        <f t="shared" si="42"/>
        <v/>
      </c>
    </row>
    <row r="102" spans="4:40" x14ac:dyDescent="0.55000000000000004">
      <c r="D102">
        <v>96</v>
      </c>
      <c r="N102" t="str">
        <f t="shared" si="43"/>
        <v/>
      </c>
      <c r="O102" t="str">
        <f t="shared" si="44"/>
        <v/>
      </c>
      <c r="P102" t="str">
        <f t="shared" si="44"/>
        <v/>
      </c>
      <c r="Q102" t="str">
        <f t="shared" si="45"/>
        <v/>
      </c>
      <c r="R102" t="str">
        <f t="shared" si="45"/>
        <v/>
      </c>
      <c r="S102" t="str">
        <f t="shared" si="45"/>
        <v/>
      </c>
      <c r="T102" t="str">
        <f t="shared" si="46"/>
        <v/>
      </c>
      <c r="U102" t="str">
        <f t="shared" si="47"/>
        <v/>
      </c>
      <c r="V102" t="str">
        <f t="shared" si="48"/>
        <v/>
      </c>
      <c r="X102" t="str">
        <f t="shared" si="33"/>
        <v/>
      </c>
      <c r="Y102" t="str">
        <f>IF(X102="●",Y$4+MOD(INT(MID(E102,5,3)),Y$2),"")</f>
        <v/>
      </c>
      <c r="Z102" t="str">
        <f t="shared" si="34"/>
        <v/>
      </c>
      <c r="AA102" t="str">
        <f t="shared" si="35"/>
        <v/>
      </c>
      <c r="AB102" t="str">
        <f t="shared" si="36"/>
        <v/>
      </c>
      <c r="AC102" t="str">
        <f>IF(LEN(V102),"MOV.D "&amp;$V102&amp;" "&amp;$B$15,"")</f>
        <v/>
      </c>
      <c r="AD102" t="str">
        <f t="shared" si="37"/>
        <v/>
      </c>
      <c r="AE102" t="str">
        <f t="shared" ref="AE102:AE105" si="53">IF(LEN(AD102),AD102&amp;CHAR(10),"")&amp;IF(LEN(AA102),AA102,"")</f>
        <v/>
      </c>
      <c r="AF102" t="str">
        <f t="shared" ref="AF102:AF105" si="54">IF(LEN(AE102),AE102&amp;CHAR(10),"")&amp;IF(LEN(AB102),AB102,"")</f>
        <v/>
      </c>
      <c r="AG102" t="str">
        <f t="shared" si="49"/>
        <v/>
      </c>
      <c r="AH102" t="str">
        <f t="shared" si="50"/>
        <v/>
      </c>
      <c r="AJ102" t="str">
        <f t="shared" si="40"/>
        <v/>
      </c>
      <c r="AK102" t="str">
        <f t="shared" ref="AK102:AK133" si="55">IF($X102="●",IF(LEN(AJ102),AJ102&amp;CHAR(10),"")&amp;";//エラーNo.を入れる"&amp;CHAR(10)&amp;";"&amp;$B$13&amp;"	:= "&amp;Y102&amp;";","")</f>
        <v/>
      </c>
      <c r="AL102" t="str">
        <f t="shared" si="51"/>
        <v/>
      </c>
      <c r="AM102" t="str">
        <f t="shared" si="52"/>
        <v/>
      </c>
      <c r="AN102" t="str">
        <f t="shared" ref="AN102:AN133" si="56">IF($X102="●",IF(LEN(AM102),AM102&amp;CHAR(10),"")&amp;";//"&amp;$B$9,"")</f>
        <v/>
      </c>
    </row>
    <row r="103" spans="4:40" x14ac:dyDescent="0.55000000000000004">
      <c r="D103">
        <v>97</v>
      </c>
      <c r="N103" t="str">
        <f t="shared" si="43"/>
        <v/>
      </c>
      <c r="O103" t="str">
        <f t="shared" si="44"/>
        <v/>
      </c>
      <c r="P103" t="str">
        <f t="shared" si="44"/>
        <v/>
      </c>
      <c r="Q103" t="str">
        <f t="shared" si="45"/>
        <v/>
      </c>
      <c r="R103" t="str">
        <f t="shared" si="45"/>
        <v/>
      </c>
      <c r="S103" t="str">
        <f t="shared" si="45"/>
        <v/>
      </c>
      <c r="T103" t="str">
        <f t="shared" si="46"/>
        <v/>
      </c>
      <c r="U103" t="str">
        <f t="shared" si="47"/>
        <v/>
      </c>
      <c r="V103" t="str">
        <f t="shared" si="48"/>
        <v/>
      </c>
      <c r="X103" t="str">
        <f t="shared" si="33"/>
        <v/>
      </c>
      <c r="Y103" t="str">
        <f>IF(X103="●",Y$4+MOD(INT(MID(E103,5,3)),Y$2),"")</f>
        <v/>
      </c>
      <c r="Z103" t="str">
        <f t="shared" si="34"/>
        <v/>
      </c>
      <c r="AA103" t="str">
        <f t="shared" si="35"/>
        <v/>
      </c>
      <c r="AB103" t="str">
        <f t="shared" si="36"/>
        <v/>
      </c>
      <c r="AC103" t="str">
        <f>IF(LEN(V103),"MOV.D "&amp;$V103&amp;" "&amp;$B$15,"")</f>
        <v/>
      </c>
      <c r="AD103" t="str">
        <f t="shared" si="37"/>
        <v/>
      </c>
      <c r="AE103" t="str">
        <f t="shared" si="53"/>
        <v/>
      </c>
      <c r="AF103" t="str">
        <f t="shared" si="54"/>
        <v/>
      </c>
      <c r="AG103" t="str">
        <f t="shared" si="49"/>
        <v/>
      </c>
      <c r="AH103" t="str">
        <f t="shared" si="50"/>
        <v/>
      </c>
      <c r="AJ103" t="str">
        <f t="shared" si="40"/>
        <v/>
      </c>
      <c r="AK103" t="str">
        <f t="shared" si="55"/>
        <v/>
      </c>
      <c r="AL103" t="str">
        <f t="shared" si="51"/>
        <v/>
      </c>
      <c r="AM103" t="str">
        <f t="shared" si="52"/>
        <v/>
      </c>
      <c r="AN103" t="str">
        <f t="shared" si="56"/>
        <v/>
      </c>
    </row>
    <row r="104" spans="4:40" x14ac:dyDescent="0.55000000000000004">
      <c r="D104">
        <v>98</v>
      </c>
      <c r="N104" t="str">
        <f t="shared" si="43"/>
        <v/>
      </c>
      <c r="O104" t="str">
        <f t="shared" si="44"/>
        <v/>
      </c>
      <c r="P104" t="str">
        <f t="shared" si="44"/>
        <v/>
      </c>
      <c r="Q104" t="str">
        <f t="shared" si="45"/>
        <v/>
      </c>
      <c r="R104" t="str">
        <f t="shared" si="45"/>
        <v/>
      </c>
      <c r="S104" t="str">
        <f t="shared" si="45"/>
        <v/>
      </c>
      <c r="T104" t="str">
        <f t="shared" si="46"/>
        <v/>
      </c>
      <c r="U104" t="str">
        <f t="shared" si="47"/>
        <v/>
      </c>
      <c r="V104" t="str">
        <f t="shared" si="48"/>
        <v/>
      </c>
      <c r="X104" t="str">
        <f t="shared" si="33"/>
        <v/>
      </c>
      <c r="Y104" t="str">
        <f>IF(X104="●",Y$4+MOD(INT(MID(E104,5,3)),Y$2),"")</f>
        <v/>
      </c>
      <c r="Z104" t="str">
        <f t="shared" si="34"/>
        <v/>
      </c>
      <c r="AA104" t="str">
        <f t="shared" si="35"/>
        <v/>
      </c>
      <c r="AB104" t="str">
        <f t="shared" si="36"/>
        <v/>
      </c>
      <c r="AC104" t="str">
        <f>IF(LEN(V104),"MOV.D "&amp;$V104&amp;" "&amp;$B$15,"")</f>
        <v/>
      </c>
      <c r="AD104" t="str">
        <f t="shared" si="37"/>
        <v/>
      </c>
      <c r="AE104" t="str">
        <f t="shared" si="53"/>
        <v/>
      </c>
      <c r="AF104" t="str">
        <f t="shared" si="54"/>
        <v/>
      </c>
      <c r="AG104" t="str">
        <f t="shared" si="49"/>
        <v/>
      </c>
      <c r="AH104" t="str">
        <f t="shared" si="50"/>
        <v/>
      </c>
      <c r="AJ104" t="str">
        <f t="shared" si="40"/>
        <v/>
      </c>
      <c r="AK104" t="str">
        <f t="shared" si="55"/>
        <v/>
      </c>
      <c r="AL104" t="str">
        <f t="shared" si="51"/>
        <v/>
      </c>
      <c r="AM104" t="str">
        <f t="shared" si="52"/>
        <v/>
      </c>
      <c r="AN104" t="str">
        <f t="shared" si="56"/>
        <v/>
      </c>
    </row>
    <row r="105" spans="4:40" x14ac:dyDescent="0.55000000000000004">
      <c r="D105">
        <v>99</v>
      </c>
      <c r="N105" t="str">
        <f t="shared" si="43"/>
        <v/>
      </c>
      <c r="O105" t="str">
        <f t="shared" si="44"/>
        <v/>
      </c>
      <c r="P105" t="str">
        <f t="shared" si="44"/>
        <v/>
      </c>
      <c r="Q105" t="str">
        <f t="shared" si="45"/>
        <v/>
      </c>
      <c r="R105" t="str">
        <f t="shared" si="45"/>
        <v/>
      </c>
      <c r="S105" t="str">
        <f t="shared" si="45"/>
        <v/>
      </c>
      <c r="T105" t="str">
        <f t="shared" si="46"/>
        <v/>
      </c>
      <c r="U105" t="str">
        <f t="shared" si="47"/>
        <v/>
      </c>
      <c r="V105" t="str">
        <f t="shared" si="48"/>
        <v/>
      </c>
      <c r="X105" t="str">
        <f t="shared" si="33"/>
        <v/>
      </c>
      <c r="Y105" t="str">
        <f>IF(X105="●",Y$4+MOD(INT(MID(E105,5,3)),Y$2),"")</f>
        <v/>
      </c>
      <c r="Z105" t="str">
        <f t="shared" si="34"/>
        <v/>
      </c>
      <c r="AA105" t="str">
        <f t="shared" si="35"/>
        <v/>
      </c>
      <c r="AB105" t="str">
        <f t="shared" si="36"/>
        <v/>
      </c>
      <c r="AC105" t="str">
        <f>IF(LEN(V105),"MOV.D "&amp;$V105&amp;" "&amp;$B$15,"")</f>
        <v/>
      </c>
      <c r="AD105" t="str">
        <f t="shared" si="37"/>
        <v/>
      </c>
      <c r="AE105" t="str">
        <f t="shared" si="53"/>
        <v/>
      </c>
      <c r="AF105" t="str">
        <f t="shared" si="54"/>
        <v/>
      </c>
      <c r="AG105" t="str">
        <f t="shared" si="49"/>
        <v/>
      </c>
      <c r="AH105" t="str">
        <f t="shared" si="50"/>
        <v/>
      </c>
      <c r="AJ105" t="str">
        <f t="shared" si="40"/>
        <v/>
      </c>
      <c r="AK105" t="str">
        <f t="shared" si="55"/>
        <v/>
      </c>
      <c r="AL105" t="str">
        <f t="shared" si="51"/>
        <v/>
      </c>
      <c r="AM105" t="str">
        <f t="shared" si="52"/>
        <v/>
      </c>
      <c r="AN105" t="str">
        <f t="shared" si="56"/>
        <v/>
      </c>
    </row>
    <row r="107" spans="4:40" x14ac:dyDescent="0.55000000000000004">
      <c r="AH107" t="str">
        <f>_xlfn.CONCAT(AH6:AH105)</f>
        <v>LDP stEx400.x2
AND=.D stM.udiErrDev #0
MOV.D #1 stM.udiErrDev
LDP stEx401.x2
AND=.D stM.udiErrDev #0
MOV.D #2 stM.udiErrDev
LDP stEx402.x2
AND=.D stM.udiErrDev #0
MOV.D #3 stM.udiErrDev
LDP stEx404.x2
AND=.D stM.udiErrDev #0
MOV.D #5 stM.udiErrDev
MOV.D stDevIn.astCYL[6] udiSubErr
LDP stEx405.x2
AND=.D stM.udiErrDev #0
MOV.D #6 stM.udiErrDev
LDP stEx408.x2
AND=.D stM.udiErrDev #0
MOV.D #9 stM.udiErrDev
MOV.D stDevIn.astAXK[0] udiSubErr</v>
      </c>
      <c r="AN107" t="str">
        <f ca="1">_xlfn.CONCAT(AN6:AN105)</f>
        <v>LDP stEx400.x2
AND=.D stM.udiErrDev #0
BOX_ST
;//このスクリプトは C:\tk\prj\hg-0025-0016\git\kv-x520\doc\[kv_script_cycle_info.xlsx]info_index によって生成されました。
;//エラーNo.を入れる
;stM.udiErrDev	:= 1;
;//カウントする
;stM.uiEDCnt	:= stM.uiEDCnt + 1;
;//-----ここまで生成script-----
LDP stEx401.x2
AND=.D stM.udiErrDev #0
BOX_ST
;//このスクリプトは C:\tk\prj\hg-0025-0016\git\kv-x520\doc\[kv_script_cycle_info.xlsx]info_index によって生成されました。
;//エラーNo.を入れる
;stM.udiErrDev	:= 2;
;//カウントする
;stM.uiEDCnt	:= stM.uiEDCnt + 1;
;//-----ここまで生成script-----
LDP stEx402.x2
AND=.D stM.udiErrDev #0
BOX_ST
;//このスクリプトは C:\tk\prj\hg-0025-0016\git\kv-x520\doc\[kv_script_cycle_info.xlsx]info_index によって生成されました。
;//エラーNo.を入れる
;stM.udiErrDev	:= 3;
;//カウントする
;stM.uiEDCnt	:= stM.uiEDCnt + 1;
;//-----ここまで生成script-----
LDP stEx404.x2
AND=.D stM.udiErrDev #0
BOX_ST
;//このスクリプトは C:\tk\prj\hg-0025-0016\git\kv-x520\doc\[kv_script_cycle_info.xlsx]info_index によって生成されました。
;//エラーNo.を入れる
;stM.udiErrDev	:= 5;
;//カウントする
;stM.uiEDCnt	:= stM.uiEDCnt + 1;
;//エラーコードを入れる
;udiSubErr	:= stDevIn.astCYL[6].udiErr;
;//-----ここまで生成script-----
LDP stEx405.x2
AND=.D stM.udiErrDev #0
BOX_ST
;//このスクリプトは C:\tk\prj\hg-0025-0016\git\kv-x520\doc\[kv_script_cycle_info.xlsx]info_index によって生成されました。
;//エラーNo.を入れる
;stM.udiErrDev	:= 6;
;//カウントする
;stM.uiEDCnt	:= stM.uiEDCnt + 1;
;//-----ここまで生成script-----
LDP stEx408.x2
AND=.D stM.udiErrDev #0
BOX_ST
;//このスクリプトは C:\tk\prj\hg-0025-0016\git\kv-x520\doc\[kv_script_cycle_info.xlsx]info_index によって生成されました。
;//エラーNo.を入れる
;stM.udiErrDev	:= 9;
;//カウントする
;stM.uiEDCnt	:= stM.uiEDCnt + 1;
;//エラーコードを入れる
;udiSubErr	:= stDevIn.astAXK[0].udiErr;
;//-----ここまで生成script-----</v>
      </c>
    </row>
  </sheetData>
  <autoFilter ref="AH1:AH107" xr:uid="{072FD0F4-3707-4FCC-9D10-2DD76A7D546A}"/>
  <phoneticPr fontId="1"/>
  <conditionalFormatting sqref="A3:X3 Z3:XFD3 A1:XFD2 A4:XFD13 A19:XFD1048576 C14:XFD18 A17:B18 A14:B15">
    <cfRule type="expression" dxfId="0" priority="1">
      <formula>_xlfn.ISFORMULA(A1)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2026-01-06T23:36:54Z</dcterms:created>
  <dcterms:modified xsi:type="dcterms:W3CDTF">2026-02-13T08:29:45Z</dcterms:modified>
</cp:coreProperties>
</file>