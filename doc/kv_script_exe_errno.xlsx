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9E984B9C-7EA0-4465-9AD4-D08C7E7FB1C3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1" i="1" l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1" i="1"/>
  <c r="V30" i="1"/>
  <c r="V25" i="1"/>
  <c r="V24" i="1"/>
  <c r="V23" i="1"/>
  <c r="V22" i="1"/>
  <c r="V20" i="1"/>
  <c r="V19" i="1"/>
  <c r="V16" i="1"/>
  <c r="V15" i="1"/>
  <c r="V14" i="1"/>
  <c r="V13" i="1"/>
  <c r="V10" i="1"/>
  <c r="V7" i="1"/>
  <c r="V5" i="1"/>
  <c r="B2" i="1" a="1"/>
  <c r="B2" i="1" s="1"/>
  <c r="B4" i="1" s="1"/>
  <c r="V2" i="1" s="1"/>
  <c r="V8" i="1" l="1"/>
  <c r="V9" i="1"/>
  <c r="V4" i="1"/>
  <c r="V6" i="1"/>
  <c r="V18" i="1"/>
  <c r="V26" i="1"/>
  <c r="V3" i="1"/>
  <c r="V11" i="1"/>
  <c r="V27" i="1"/>
  <c r="V32" i="1"/>
  <c r="V17" i="1"/>
  <c r="V12" i="1"/>
  <c r="V28" i="1"/>
  <c r="V21" i="1"/>
  <c r="V29" i="1"/>
  <c r="M2" i="1" l="1"/>
  <c r="N2" i="1" s="1"/>
  <c r="M3" i="1"/>
  <c r="N3" i="1" s="1"/>
  <c r="P3" i="1"/>
  <c r="M4" i="1"/>
  <c r="N4" i="1"/>
  <c r="Q4" i="1" s="1"/>
  <c r="O4" i="1"/>
  <c r="M5" i="1"/>
  <c r="O5" i="1" s="1"/>
  <c r="M6" i="1"/>
  <c r="N6" i="1" s="1"/>
  <c r="M7" i="1"/>
  <c r="N7" i="1" s="1"/>
  <c r="P7" i="1"/>
  <c r="Q7" i="1"/>
  <c r="M8" i="1"/>
  <c r="N8" i="1"/>
  <c r="Q8" i="1" s="1"/>
  <c r="O8" i="1"/>
  <c r="M9" i="1"/>
  <c r="O9" i="1" s="1"/>
  <c r="M10" i="1"/>
  <c r="N10" i="1" s="1"/>
  <c r="M11" i="1"/>
  <c r="N11" i="1" s="1"/>
  <c r="P11" i="1"/>
  <c r="M12" i="1"/>
  <c r="P12" i="1" s="1"/>
  <c r="N12" i="1"/>
  <c r="M13" i="1"/>
  <c r="N13" i="1" s="1"/>
  <c r="M14" i="1"/>
  <c r="N14" i="1" s="1"/>
  <c r="P14" i="1"/>
  <c r="Q14" i="1"/>
  <c r="M15" i="1"/>
  <c r="N15" i="1"/>
  <c r="O15" i="1"/>
  <c r="Q15" i="1"/>
  <c r="M16" i="1"/>
  <c r="O16" i="1" s="1"/>
  <c r="M17" i="1"/>
  <c r="N17" i="1" s="1"/>
  <c r="M18" i="1"/>
  <c r="N18" i="1" s="1"/>
  <c r="P18" i="1"/>
  <c r="M19" i="1"/>
  <c r="R19" i="1" s="1"/>
  <c r="N19" i="1"/>
  <c r="O19" i="1"/>
  <c r="Q19" i="1"/>
  <c r="M20" i="1"/>
  <c r="O20" i="1" s="1"/>
  <c r="M21" i="1"/>
  <c r="N21" i="1" s="1"/>
  <c r="M22" i="1"/>
  <c r="N22" i="1" s="1"/>
  <c r="P22" i="1"/>
  <c r="Q22" i="1"/>
  <c r="M23" i="1"/>
  <c r="N23" i="1"/>
  <c r="O23" i="1"/>
  <c r="Q23" i="1"/>
  <c r="M24" i="1"/>
  <c r="O24" i="1" s="1"/>
  <c r="M25" i="1"/>
  <c r="N25" i="1" s="1"/>
  <c r="M26" i="1"/>
  <c r="N26" i="1" s="1"/>
  <c r="P26" i="1"/>
  <c r="M27" i="1"/>
  <c r="N27" i="1"/>
  <c r="Q27" i="1" s="1"/>
  <c r="O27" i="1"/>
  <c r="M28" i="1"/>
  <c r="O28" i="1" s="1"/>
  <c r="M29" i="1"/>
  <c r="N29" i="1" s="1"/>
  <c r="M30" i="1"/>
  <c r="N30" i="1" s="1"/>
  <c r="Q30" i="1"/>
  <c r="M31" i="1"/>
  <c r="R31" i="1" s="1"/>
  <c r="N31" i="1"/>
  <c r="O31" i="1"/>
  <c r="Q31" i="1"/>
  <c r="M32" i="1"/>
  <c r="O32" i="1" s="1"/>
  <c r="M33" i="1"/>
  <c r="N33" i="1" s="1"/>
  <c r="M34" i="1"/>
  <c r="N34" i="1" s="1"/>
  <c r="Q34" i="1"/>
  <c r="M35" i="1"/>
  <c r="N35" i="1"/>
  <c r="O35" i="1"/>
  <c r="Q35" i="1"/>
  <c r="M36" i="1"/>
  <c r="O36" i="1" s="1"/>
  <c r="M37" i="1"/>
  <c r="N37" i="1" s="1"/>
  <c r="M38" i="1"/>
  <c r="N38" i="1" s="1"/>
  <c r="Q38" i="1"/>
  <c r="M39" i="1"/>
  <c r="N39" i="1"/>
  <c r="O39" i="1"/>
  <c r="Q39" i="1"/>
  <c r="M40" i="1"/>
  <c r="O40" i="1" s="1"/>
  <c r="M41" i="1"/>
  <c r="N41" i="1" s="1"/>
  <c r="M42" i="1"/>
  <c r="N42" i="1" s="1"/>
  <c r="Q42" i="1"/>
  <c r="M43" i="1"/>
  <c r="N43" i="1"/>
  <c r="O43" i="1"/>
  <c r="Q43" i="1"/>
  <c r="M44" i="1"/>
  <c r="O44" i="1" s="1"/>
  <c r="M45" i="1"/>
  <c r="N45" i="1" s="1"/>
  <c r="M46" i="1"/>
  <c r="N46" i="1" s="1"/>
  <c r="Q46" i="1"/>
  <c r="M47" i="1"/>
  <c r="N47" i="1"/>
  <c r="O47" i="1"/>
  <c r="Q47" i="1"/>
  <c r="M48" i="1"/>
  <c r="O48" i="1" s="1"/>
  <c r="M49" i="1"/>
  <c r="N49" i="1" s="1"/>
  <c r="M50" i="1"/>
  <c r="N50" i="1" s="1"/>
  <c r="P50" i="1"/>
  <c r="Q50" i="1"/>
  <c r="M51" i="1"/>
  <c r="N51" i="1"/>
  <c r="O51" i="1"/>
  <c r="Q51" i="1"/>
  <c r="M52" i="1"/>
  <c r="M53" i="1"/>
  <c r="N53" i="1" s="1"/>
  <c r="M54" i="1"/>
  <c r="N54" i="1" s="1"/>
  <c r="Q54" i="1"/>
  <c r="M55" i="1"/>
  <c r="R55" i="1" s="1"/>
  <c r="N55" i="1"/>
  <c r="O55" i="1"/>
  <c r="Q55" i="1"/>
  <c r="M56" i="1"/>
  <c r="M57" i="1"/>
  <c r="N57" i="1" s="1"/>
  <c r="M58" i="1"/>
  <c r="N58" i="1" s="1"/>
  <c r="Q58" i="1"/>
  <c r="M59" i="1"/>
  <c r="N59" i="1"/>
  <c r="O59" i="1"/>
  <c r="Q59" i="1"/>
  <c r="M60" i="1"/>
  <c r="M61" i="1"/>
  <c r="N61" i="1" s="1"/>
  <c r="M62" i="1"/>
  <c r="N62" i="1" s="1"/>
  <c r="Q62" i="1"/>
  <c r="M63" i="1"/>
  <c r="N63" i="1"/>
  <c r="O63" i="1"/>
  <c r="Q63" i="1"/>
  <c r="M64" i="1"/>
  <c r="M65" i="1"/>
  <c r="N65" i="1" s="1"/>
  <c r="M66" i="1"/>
  <c r="N66" i="1" s="1"/>
  <c r="Q66" i="1"/>
  <c r="M67" i="1"/>
  <c r="N67" i="1"/>
  <c r="O67" i="1"/>
  <c r="Q67" i="1"/>
  <c r="M68" i="1"/>
  <c r="M69" i="1"/>
  <c r="N69" i="1" s="1"/>
  <c r="M70" i="1"/>
  <c r="O70" i="1" s="1"/>
  <c r="N70" i="1"/>
  <c r="Q70" i="1"/>
  <c r="R70" i="1"/>
  <c r="M71" i="1"/>
  <c r="N71" i="1"/>
  <c r="O71" i="1"/>
  <c r="R71" i="1" s="1"/>
  <c r="S71" i="1" s="1"/>
  <c r="P71" i="1"/>
  <c r="Q71" i="1"/>
  <c r="M72" i="1"/>
  <c r="N72" i="1" s="1"/>
  <c r="M73" i="1"/>
  <c r="O73" i="1" s="1"/>
  <c r="N73" i="1"/>
  <c r="P73" i="1"/>
  <c r="M74" i="1"/>
  <c r="O74" i="1" s="1"/>
  <c r="R74" i="1" s="1"/>
  <c r="N74" i="1"/>
  <c r="Q74" i="1"/>
  <c r="M75" i="1"/>
  <c r="N75" i="1"/>
  <c r="O75" i="1"/>
  <c r="R75" i="1" s="1"/>
  <c r="S75" i="1" s="1"/>
  <c r="P75" i="1"/>
  <c r="Q75" i="1"/>
  <c r="M76" i="1"/>
  <c r="N76" i="1"/>
  <c r="M77" i="1"/>
  <c r="O77" i="1" s="1"/>
  <c r="N77" i="1"/>
  <c r="P77" i="1"/>
  <c r="M78" i="1"/>
  <c r="O78" i="1" s="1"/>
  <c r="R78" i="1" s="1"/>
  <c r="N78" i="1"/>
  <c r="Q78" i="1"/>
  <c r="M79" i="1"/>
  <c r="N79" i="1"/>
  <c r="O79" i="1"/>
  <c r="R79" i="1" s="1"/>
  <c r="S79" i="1" s="1"/>
  <c r="W79" i="1" s="1"/>
  <c r="P79" i="1"/>
  <c r="Q79" i="1"/>
  <c r="M80" i="1"/>
  <c r="N80" i="1"/>
  <c r="M81" i="1"/>
  <c r="O81" i="1" s="1"/>
  <c r="N81" i="1"/>
  <c r="P81" i="1"/>
  <c r="M82" i="1"/>
  <c r="O82" i="1" s="1"/>
  <c r="R82" i="1" s="1"/>
  <c r="N82" i="1"/>
  <c r="Q82" i="1"/>
  <c r="M83" i="1"/>
  <c r="N83" i="1"/>
  <c r="O83" i="1"/>
  <c r="R83" i="1" s="1"/>
  <c r="P83" i="1"/>
  <c r="Q83" i="1"/>
  <c r="M84" i="1"/>
  <c r="N84" i="1"/>
  <c r="M85" i="1"/>
  <c r="O85" i="1" s="1"/>
  <c r="N85" i="1"/>
  <c r="P85" i="1"/>
  <c r="M86" i="1"/>
  <c r="O86" i="1" s="1"/>
  <c r="R86" i="1" s="1"/>
  <c r="N86" i="1"/>
  <c r="Q86" i="1"/>
  <c r="M87" i="1"/>
  <c r="N87" i="1"/>
  <c r="O87" i="1"/>
  <c r="R87" i="1" s="1"/>
  <c r="S87" i="1" s="1"/>
  <c r="W87" i="1" s="1"/>
  <c r="P87" i="1"/>
  <c r="Q87" i="1"/>
  <c r="M88" i="1"/>
  <c r="N88" i="1"/>
  <c r="M89" i="1"/>
  <c r="O89" i="1" s="1"/>
  <c r="N89" i="1"/>
  <c r="P89" i="1"/>
  <c r="M90" i="1"/>
  <c r="O90" i="1" s="1"/>
  <c r="R90" i="1" s="1"/>
  <c r="N90" i="1"/>
  <c r="Q90" i="1"/>
  <c r="M91" i="1"/>
  <c r="N91" i="1"/>
  <c r="O91" i="1"/>
  <c r="R91" i="1" s="1"/>
  <c r="P91" i="1"/>
  <c r="Q91" i="1"/>
  <c r="M92" i="1"/>
  <c r="N92" i="1"/>
  <c r="M93" i="1"/>
  <c r="O93" i="1" s="1"/>
  <c r="N93" i="1"/>
  <c r="P93" i="1"/>
  <c r="M94" i="1"/>
  <c r="O94" i="1" s="1"/>
  <c r="R94" i="1" s="1"/>
  <c r="N94" i="1"/>
  <c r="Q94" i="1"/>
  <c r="M95" i="1"/>
  <c r="N95" i="1"/>
  <c r="O95" i="1"/>
  <c r="R95" i="1" s="1"/>
  <c r="S95" i="1" s="1"/>
  <c r="P95" i="1"/>
  <c r="Q95" i="1"/>
  <c r="M96" i="1"/>
  <c r="N96" i="1"/>
  <c r="M97" i="1"/>
  <c r="O97" i="1" s="1"/>
  <c r="N97" i="1"/>
  <c r="P97" i="1"/>
  <c r="M98" i="1"/>
  <c r="O98" i="1" s="1"/>
  <c r="R98" i="1" s="1"/>
  <c r="N98" i="1"/>
  <c r="Q98" i="1"/>
  <c r="M99" i="1"/>
  <c r="N99" i="1"/>
  <c r="O99" i="1"/>
  <c r="R99" i="1" s="1"/>
  <c r="P99" i="1"/>
  <c r="Q99" i="1"/>
  <c r="M100" i="1"/>
  <c r="N100" i="1" s="1"/>
  <c r="M101" i="1"/>
  <c r="O101" i="1" s="1"/>
  <c r="N101" i="1"/>
  <c r="P101" i="1"/>
  <c r="R101" i="1"/>
  <c r="S101" i="1" s="1"/>
  <c r="R47" i="1" l="1"/>
  <c r="R39" i="1"/>
  <c r="R15" i="1"/>
  <c r="R8" i="1"/>
  <c r="S91" i="1"/>
  <c r="W91" i="1" s="1"/>
  <c r="R23" i="1"/>
  <c r="R4" i="1"/>
  <c r="S99" i="1"/>
  <c r="T99" i="1" s="1"/>
  <c r="W95" i="1"/>
  <c r="S83" i="1"/>
  <c r="W83" i="1" s="1"/>
  <c r="R27" i="1"/>
  <c r="R59" i="1"/>
  <c r="R43" i="1"/>
  <c r="R35" i="1"/>
  <c r="W101" i="1"/>
  <c r="T71" i="1"/>
  <c r="W71" i="1"/>
  <c r="P100" i="1"/>
  <c r="R67" i="1"/>
  <c r="O64" i="1"/>
  <c r="R64" i="1" s="1"/>
  <c r="S64" i="1" s="1"/>
  <c r="P64" i="1"/>
  <c r="Q64" i="1"/>
  <c r="N64" i="1"/>
  <c r="T75" i="1"/>
  <c r="W75" i="1"/>
  <c r="O72" i="1"/>
  <c r="R72" i="1" s="1"/>
  <c r="P72" i="1"/>
  <c r="Q72" i="1"/>
  <c r="O56" i="1"/>
  <c r="R56" i="1" s="1"/>
  <c r="P56" i="1"/>
  <c r="Q56" i="1"/>
  <c r="N56" i="1"/>
  <c r="O68" i="1"/>
  <c r="P68" i="1"/>
  <c r="Q68" i="1"/>
  <c r="R68" i="1"/>
  <c r="N68" i="1"/>
  <c r="Q26" i="1"/>
  <c r="O100" i="1"/>
  <c r="Q100" i="1"/>
  <c r="Q18" i="1"/>
  <c r="R51" i="1"/>
  <c r="Q11" i="1"/>
  <c r="O96" i="1"/>
  <c r="R96" i="1" s="1"/>
  <c r="P96" i="1"/>
  <c r="Q96" i="1"/>
  <c r="O92" i="1"/>
  <c r="R92" i="1" s="1"/>
  <c r="P92" i="1"/>
  <c r="Q92" i="1"/>
  <c r="O88" i="1"/>
  <c r="R88" i="1" s="1"/>
  <c r="P88" i="1"/>
  <c r="Q88" i="1"/>
  <c r="O84" i="1"/>
  <c r="R84" i="1" s="1"/>
  <c r="P84" i="1"/>
  <c r="Q84" i="1"/>
  <c r="O80" i="1"/>
  <c r="R80" i="1" s="1"/>
  <c r="P80" i="1"/>
  <c r="Q80" i="1"/>
  <c r="O76" i="1"/>
  <c r="R76" i="1" s="1"/>
  <c r="P76" i="1"/>
  <c r="Q76" i="1"/>
  <c r="R63" i="1"/>
  <c r="O60" i="1"/>
  <c r="R60" i="1" s="1"/>
  <c r="P60" i="1"/>
  <c r="Q60" i="1"/>
  <c r="N60" i="1"/>
  <c r="Q3" i="1"/>
  <c r="R100" i="1"/>
  <c r="S100" i="1" s="1"/>
  <c r="T95" i="1"/>
  <c r="T91" i="1"/>
  <c r="T87" i="1"/>
  <c r="T83" i="1"/>
  <c r="T79" i="1"/>
  <c r="O52" i="1"/>
  <c r="R52" i="1" s="1"/>
  <c r="P52" i="1"/>
  <c r="Q52" i="1"/>
  <c r="N52" i="1"/>
  <c r="P67" i="1"/>
  <c r="P63" i="1"/>
  <c r="P59" i="1"/>
  <c r="S59" i="1" s="1"/>
  <c r="P55" i="1"/>
  <c r="S55" i="1" s="1"/>
  <c r="P51" i="1"/>
  <c r="N48" i="1"/>
  <c r="P47" i="1"/>
  <c r="S47" i="1" s="1"/>
  <c r="N44" i="1"/>
  <c r="P43" i="1"/>
  <c r="S43" i="1" s="1"/>
  <c r="N40" i="1"/>
  <c r="P39" i="1"/>
  <c r="S39" i="1" s="1"/>
  <c r="N36" i="1"/>
  <c r="P35" i="1"/>
  <c r="S35" i="1" s="1"/>
  <c r="N32" i="1"/>
  <c r="P31" i="1"/>
  <c r="S31" i="1" s="1"/>
  <c r="N28" i="1"/>
  <c r="P27" i="1"/>
  <c r="S27" i="1" s="1"/>
  <c r="N24" i="1"/>
  <c r="P23" i="1"/>
  <c r="S23" i="1" s="1"/>
  <c r="N20" i="1"/>
  <c r="P19" i="1"/>
  <c r="S19" i="1" s="1"/>
  <c r="N16" i="1"/>
  <c r="P15" i="1"/>
  <c r="S15" i="1" s="1"/>
  <c r="O12" i="1"/>
  <c r="R12" i="1" s="1"/>
  <c r="S12" i="1" s="1"/>
  <c r="N9" i="1"/>
  <c r="P8" i="1"/>
  <c r="S8" i="1" s="1"/>
  <c r="N5" i="1"/>
  <c r="P4" i="1"/>
  <c r="S4" i="1" s="1"/>
  <c r="P98" i="1"/>
  <c r="S98" i="1" s="1"/>
  <c r="R97" i="1"/>
  <c r="S97" i="1" s="1"/>
  <c r="P94" i="1"/>
  <c r="S94" i="1" s="1"/>
  <c r="R93" i="1"/>
  <c r="S93" i="1" s="1"/>
  <c r="P90" i="1"/>
  <c r="S90" i="1" s="1"/>
  <c r="R89" i="1"/>
  <c r="S89" i="1" s="1"/>
  <c r="P86" i="1"/>
  <c r="S86" i="1" s="1"/>
  <c r="R85" i="1"/>
  <c r="S85" i="1" s="1"/>
  <c r="P82" i="1"/>
  <c r="S82" i="1" s="1"/>
  <c r="R81" i="1"/>
  <c r="S81" i="1" s="1"/>
  <c r="P78" i="1"/>
  <c r="S78" i="1" s="1"/>
  <c r="R77" i="1"/>
  <c r="S77" i="1" s="1"/>
  <c r="P74" i="1"/>
  <c r="S74" i="1" s="1"/>
  <c r="R73" i="1"/>
  <c r="S73" i="1" s="1"/>
  <c r="P70" i="1"/>
  <c r="S70" i="1" s="1"/>
  <c r="P66" i="1"/>
  <c r="P62" i="1"/>
  <c r="P58" i="1"/>
  <c r="P54" i="1"/>
  <c r="P46" i="1"/>
  <c r="P42" i="1"/>
  <c r="P38" i="1"/>
  <c r="P34" i="1"/>
  <c r="P30" i="1"/>
  <c r="Q101" i="1"/>
  <c r="T101" i="1" s="1"/>
  <c r="Q97" i="1"/>
  <c r="Q93" i="1"/>
  <c r="Q89" i="1"/>
  <c r="Q85" i="1"/>
  <c r="Q81" i="1"/>
  <c r="Q77" i="1"/>
  <c r="Q73" i="1"/>
  <c r="Q69" i="1"/>
  <c r="O66" i="1"/>
  <c r="R66" i="1" s="1"/>
  <c r="S66" i="1" s="1"/>
  <c r="Q65" i="1"/>
  <c r="O62" i="1"/>
  <c r="R62" i="1" s="1"/>
  <c r="Q61" i="1"/>
  <c r="O58" i="1"/>
  <c r="R58" i="1" s="1"/>
  <c r="S58" i="1" s="1"/>
  <c r="Q57" i="1"/>
  <c r="O54" i="1"/>
  <c r="R54" i="1" s="1"/>
  <c r="Q53" i="1"/>
  <c r="O50" i="1"/>
  <c r="R50" i="1" s="1"/>
  <c r="S50" i="1" s="1"/>
  <c r="Q49" i="1"/>
  <c r="O46" i="1"/>
  <c r="R46" i="1" s="1"/>
  <c r="Q45" i="1"/>
  <c r="O42" i="1"/>
  <c r="R42" i="1" s="1"/>
  <c r="Q41" i="1"/>
  <c r="O38" i="1"/>
  <c r="R38" i="1" s="1"/>
  <c r="S38" i="1" s="1"/>
  <c r="Q37" i="1"/>
  <c r="O34" i="1"/>
  <c r="R34" i="1" s="1"/>
  <c r="S34" i="1" s="1"/>
  <c r="Q33" i="1"/>
  <c r="O30" i="1"/>
  <c r="R30" i="1" s="1"/>
  <c r="S30" i="1" s="1"/>
  <c r="Q29" i="1"/>
  <c r="O26" i="1"/>
  <c r="R26" i="1" s="1"/>
  <c r="S26" i="1" s="1"/>
  <c r="Q25" i="1"/>
  <c r="O22" i="1"/>
  <c r="R22" i="1" s="1"/>
  <c r="S22" i="1" s="1"/>
  <c r="Q21" i="1"/>
  <c r="O18" i="1"/>
  <c r="R18" i="1" s="1"/>
  <c r="S18" i="1" s="1"/>
  <c r="Q17" i="1"/>
  <c r="O14" i="1"/>
  <c r="R14" i="1" s="1"/>
  <c r="S14" i="1" s="1"/>
  <c r="Q13" i="1"/>
  <c r="O11" i="1"/>
  <c r="R11" i="1" s="1"/>
  <c r="S11" i="1" s="1"/>
  <c r="Q10" i="1"/>
  <c r="O7" i="1"/>
  <c r="R7" i="1" s="1"/>
  <c r="S7" i="1" s="1"/>
  <c r="Q6" i="1"/>
  <c r="O3" i="1"/>
  <c r="R3" i="1" s="1"/>
  <c r="S3" i="1" s="1"/>
  <c r="Q2" i="1"/>
  <c r="P69" i="1"/>
  <c r="P65" i="1"/>
  <c r="P61" i="1"/>
  <c r="P57" i="1"/>
  <c r="P53" i="1"/>
  <c r="P49" i="1"/>
  <c r="R48" i="1"/>
  <c r="P45" i="1"/>
  <c r="R44" i="1"/>
  <c r="P41" i="1"/>
  <c r="R40" i="1"/>
  <c r="P37" i="1"/>
  <c r="R36" i="1"/>
  <c r="P33" i="1"/>
  <c r="R32" i="1"/>
  <c r="P29" i="1"/>
  <c r="R28" i="1"/>
  <c r="P25" i="1"/>
  <c r="R24" i="1"/>
  <c r="P21" i="1"/>
  <c r="R20" i="1"/>
  <c r="P17" i="1"/>
  <c r="R16" i="1"/>
  <c r="P13" i="1"/>
  <c r="P10" i="1"/>
  <c r="R9" i="1"/>
  <c r="P6" i="1"/>
  <c r="R5" i="1"/>
  <c r="P2" i="1"/>
  <c r="O69" i="1"/>
  <c r="R69" i="1" s="1"/>
  <c r="S69" i="1" s="1"/>
  <c r="O65" i="1"/>
  <c r="R65" i="1" s="1"/>
  <c r="S65" i="1" s="1"/>
  <c r="O61" i="1"/>
  <c r="R61" i="1" s="1"/>
  <c r="S61" i="1" s="1"/>
  <c r="O57" i="1"/>
  <c r="R57" i="1" s="1"/>
  <c r="S57" i="1" s="1"/>
  <c r="O53" i="1"/>
  <c r="R53" i="1" s="1"/>
  <c r="O49" i="1"/>
  <c r="R49" i="1" s="1"/>
  <c r="S49" i="1" s="1"/>
  <c r="Q48" i="1"/>
  <c r="O45" i="1"/>
  <c r="R45" i="1" s="1"/>
  <c r="S45" i="1" s="1"/>
  <c r="Q44" i="1"/>
  <c r="O41" i="1"/>
  <c r="R41" i="1" s="1"/>
  <c r="S41" i="1" s="1"/>
  <c r="Q40" i="1"/>
  <c r="O37" i="1"/>
  <c r="R37" i="1" s="1"/>
  <c r="S37" i="1" s="1"/>
  <c r="Q36" i="1"/>
  <c r="O33" i="1"/>
  <c r="R33" i="1" s="1"/>
  <c r="S33" i="1" s="1"/>
  <c r="Q32" i="1"/>
  <c r="O29" i="1"/>
  <c r="R29" i="1" s="1"/>
  <c r="S29" i="1" s="1"/>
  <c r="O25" i="1"/>
  <c r="R25" i="1" s="1"/>
  <c r="S25" i="1" s="1"/>
  <c r="Q24" i="1"/>
  <c r="O21" i="1"/>
  <c r="R21" i="1" s="1"/>
  <c r="S21" i="1" s="1"/>
  <c r="Q20" i="1"/>
  <c r="O17" i="1"/>
  <c r="R17" i="1" s="1"/>
  <c r="Q16" i="1"/>
  <c r="O13" i="1"/>
  <c r="R13" i="1" s="1"/>
  <c r="O10" i="1"/>
  <c r="R10" i="1" s="1"/>
  <c r="S10" i="1" s="1"/>
  <c r="Q9" i="1"/>
  <c r="O6" i="1"/>
  <c r="R6" i="1" s="1"/>
  <c r="Q5" i="1"/>
  <c r="O2" i="1"/>
  <c r="R2" i="1" s="1"/>
  <c r="P48" i="1"/>
  <c r="P44" i="1"/>
  <c r="P40" i="1"/>
  <c r="P36" i="1"/>
  <c r="P32" i="1"/>
  <c r="P28" i="1"/>
  <c r="P24" i="1"/>
  <c r="P20" i="1"/>
  <c r="P16" i="1"/>
  <c r="Q12" i="1"/>
  <c r="P9" i="1"/>
  <c r="P5" i="1"/>
  <c r="W99" i="1" l="1"/>
  <c r="S72" i="1"/>
  <c r="S84" i="1"/>
  <c r="S17" i="1"/>
  <c r="S42" i="1"/>
  <c r="T42" i="1" s="1"/>
  <c r="S16" i="1"/>
  <c r="W16" i="1" s="1"/>
  <c r="S32" i="1"/>
  <c r="S48" i="1"/>
  <c r="T48" i="1" s="1"/>
  <c r="S56" i="1"/>
  <c r="S46" i="1"/>
  <c r="S60" i="1"/>
  <c r="W60" i="1" s="1"/>
  <c r="S92" i="1"/>
  <c r="S52" i="1"/>
  <c r="W52" i="1" s="1"/>
  <c r="S13" i="1"/>
  <c r="W13" i="1" s="1"/>
  <c r="S24" i="1"/>
  <c r="S40" i="1"/>
  <c r="T40" i="1" s="1"/>
  <c r="S96" i="1"/>
  <c r="S53" i="1"/>
  <c r="S9" i="1"/>
  <c r="T9" i="1" s="1"/>
  <c r="S54" i="1"/>
  <c r="S76" i="1"/>
  <c r="T76" i="1" s="1"/>
  <c r="S2" i="1"/>
  <c r="T2" i="1" s="1"/>
  <c r="T34" i="1"/>
  <c r="W34" i="1"/>
  <c r="T78" i="1"/>
  <c r="W78" i="1"/>
  <c r="T94" i="1"/>
  <c r="W94" i="1"/>
  <c r="T12" i="1"/>
  <c r="W12" i="1"/>
  <c r="T27" i="1"/>
  <c r="W27" i="1"/>
  <c r="T43" i="1"/>
  <c r="W43" i="1"/>
  <c r="T72" i="1"/>
  <c r="W72" i="1"/>
  <c r="W33" i="1"/>
  <c r="T33" i="1"/>
  <c r="W49" i="1"/>
  <c r="T49" i="1"/>
  <c r="T22" i="1"/>
  <c r="W22" i="1"/>
  <c r="T15" i="1"/>
  <c r="W15" i="1"/>
  <c r="T96" i="1"/>
  <c r="W96" i="1"/>
  <c r="W53" i="1"/>
  <c r="T53" i="1"/>
  <c r="T38" i="1"/>
  <c r="W38" i="1"/>
  <c r="T54" i="1"/>
  <c r="W54" i="1"/>
  <c r="T82" i="1"/>
  <c r="W82" i="1"/>
  <c r="T98" i="1"/>
  <c r="W98" i="1"/>
  <c r="T31" i="1"/>
  <c r="W31" i="1"/>
  <c r="T47" i="1"/>
  <c r="W47" i="1"/>
  <c r="W57" i="1"/>
  <c r="T57" i="1"/>
  <c r="T11" i="1"/>
  <c r="W11" i="1"/>
  <c r="T26" i="1"/>
  <c r="W26" i="1"/>
  <c r="T4" i="1"/>
  <c r="W4" i="1"/>
  <c r="W61" i="1"/>
  <c r="T61" i="1"/>
  <c r="W42" i="1"/>
  <c r="T58" i="1"/>
  <c r="W58" i="1"/>
  <c r="T70" i="1"/>
  <c r="W70" i="1"/>
  <c r="T86" i="1"/>
  <c r="W86" i="1"/>
  <c r="T19" i="1"/>
  <c r="W19" i="1"/>
  <c r="W41" i="1"/>
  <c r="T41" i="1"/>
  <c r="W65" i="1"/>
  <c r="T65" i="1"/>
  <c r="T3" i="1"/>
  <c r="W3" i="1"/>
  <c r="T14" i="1"/>
  <c r="W14" i="1"/>
  <c r="T56" i="1"/>
  <c r="W56" i="1"/>
  <c r="W25" i="1"/>
  <c r="T25" i="1"/>
  <c r="T69" i="1"/>
  <c r="W69" i="1"/>
  <c r="T30" i="1"/>
  <c r="W30" i="1"/>
  <c r="T46" i="1"/>
  <c r="W46" i="1"/>
  <c r="T74" i="1"/>
  <c r="W74" i="1"/>
  <c r="T90" i="1"/>
  <c r="W90" i="1"/>
  <c r="T8" i="1"/>
  <c r="W8" i="1"/>
  <c r="T23" i="1"/>
  <c r="W23" i="1"/>
  <c r="T39" i="1"/>
  <c r="W39" i="1"/>
  <c r="T60" i="1"/>
  <c r="W29" i="1"/>
  <c r="T29" i="1"/>
  <c r="W45" i="1"/>
  <c r="T45" i="1"/>
  <c r="S20" i="1"/>
  <c r="S36" i="1"/>
  <c r="S62" i="1"/>
  <c r="W100" i="1"/>
  <c r="T100" i="1"/>
  <c r="T92" i="1"/>
  <c r="W92" i="1"/>
  <c r="S5" i="1"/>
  <c r="W73" i="1"/>
  <c r="T73" i="1"/>
  <c r="W89" i="1"/>
  <c r="T89" i="1"/>
  <c r="T55" i="1"/>
  <c r="W55" i="1"/>
  <c r="S63" i="1"/>
  <c r="W17" i="1"/>
  <c r="T17" i="1"/>
  <c r="T24" i="1"/>
  <c r="W24" i="1"/>
  <c r="W37" i="1"/>
  <c r="T37" i="1"/>
  <c r="T7" i="1"/>
  <c r="W7" i="1"/>
  <c r="T18" i="1"/>
  <c r="W18" i="1"/>
  <c r="T50" i="1"/>
  <c r="W50" i="1"/>
  <c r="T66" i="1"/>
  <c r="W66" i="1"/>
  <c r="T84" i="1"/>
  <c r="W84" i="1"/>
  <c r="T64" i="1"/>
  <c r="W64" i="1"/>
  <c r="W9" i="1"/>
  <c r="W77" i="1"/>
  <c r="T77" i="1"/>
  <c r="W93" i="1"/>
  <c r="T93" i="1"/>
  <c r="T35" i="1"/>
  <c r="W35" i="1"/>
  <c r="S51" i="1"/>
  <c r="S6" i="1"/>
  <c r="W21" i="1"/>
  <c r="T21" i="1"/>
  <c r="S28" i="1"/>
  <c r="S44" i="1"/>
  <c r="S68" i="1"/>
  <c r="W81" i="1"/>
  <c r="T81" i="1"/>
  <c r="T97" i="1"/>
  <c r="W97" i="1"/>
  <c r="S88" i="1"/>
  <c r="W10" i="1"/>
  <c r="T10" i="1"/>
  <c r="T32" i="1"/>
  <c r="W32" i="1"/>
  <c r="W48" i="1"/>
  <c r="T59" i="1"/>
  <c r="W59" i="1"/>
  <c r="S67" i="1"/>
  <c r="Q28" i="1"/>
  <c r="W85" i="1"/>
  <c r="T85" i="1"/>
  <c r="S80" i="1"/>
  <c r="T16" i="1" l="1"/>
  <c r="W76" i="1"/>
  <c r="W2" i="1"/>
  <c r="T13" i="1"/>
  <c r="W40" i="1"/>
  <c r="T52" i="1"/>
  <c r="T5" i="1"/>
  <c r="W5" i="1"/>
  <c r="W6" i="1"/>
  <c r="T6" i="1"/>
  <c r="T63" i="1"/>
  <c r="W63" i="1"/>
  <c r="T67" i="1"/>
  <c r="W67" i="1"/>
  <c r="T68" i="1"/>
  <c r="W68" i="1"/>
  <c r="T51" i="1"/>
  <c r="W51" i="1"/>
  <c r="T88" i="1"/>
  <c r="W88" i="1"/>
  <c r="T44" i="1"/>
  <c r="W44" i="1"/>
  <c r="T62" i="1"/>
  <c r="W62" i="1"/>
  <c r="T80" i="1"/>
  <c r="W80" i="1"/>
  <c r="T28" i="1"/>
  <c r="W28" i="1"/>
  <c r="T36" i="1"/>
  <c r="W36" i="1"/>
  <c r="T20" i="1"/>
  <c r="W20" i="1"/>
  <c r="T103" i="1" l="1"/>
  <c r="B12" i="1" s="1"/>
  <c r="W103" i="1"/>
  <c r="B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<sst xmlns="http://schemas.openxmlformats.org/spreadsheetml/2006/main" count="118" uniqueCount="82">
  <si>
    <t>▼巻き完成</t>
  </si>
  <si>
    <t>EXE_DIREC</t>
  </si>
  <si>
    <t>stEx431</t>
  </si>
  <si>
    <t>▼主軸 完成角度</t>
  </si>
  <si>
    <t>stEx430</t>
  </si>
  <si>
    <t>&gt;▼波板ｶｯﾄ</t>
  </si>
  <si>
    <t>stEx429</t>
  </si>
  <si>
    <t>&gt;&gt;●波板ｶｯﾄ</t>
  </si>
  <si>
    <t>stEx428</t>
  </si>
  <si>
    <t>&gt;◆波板ｶｯﾄ 有無判定</t>
  </si>
  <si>
    <t>stEx427</t>
  </si>
  <si>
    <t>&gt;▼平板ｶｯﾄ</t>
  </si>
  <si>
    <t>stEx426</t>
  </si>
  <si>
    <t>&gt;&gt;●軸5 排出</t>
  </si>
  <si>
    <t>stEx425</t>
  </si>
  <si>
    <t>&gt;&gt;●平板ｶｯﾄ</t>
  </si>
  <si>
    <t>stEx424</t>
  </si>
  <si>
    <t>&gt;&gt;●軸5 平板押え</t>
  </si>
  <si>
    <t>stEx423</t>
  </si>
  <si>
    <t>stEx422</t>
  </si>
  <si>
    <t>&gt;◆平板ｶｯﾄ 有無判定</t>
  </si>
  <si>
    <t>stEx421</t>
  </si>
  <si>
    <t>&gt;▼主軸+ﾉﾘ</t>
  </si>
  <si>
    <t>stEx420</t>
  </si>
  <si>
    <t>&gt;▼寄せ+測定</t>
  </si>
  <si>
    <t>stEx419</t>
  </si>
  <si>
    <t>&gt;&gt;▼排出測定 有無</t>
  </si>
  <si>
    <t>stEx433</t>
  </si>
  <si>
    <t>&gt;&gt;&gt;●排出 巻き中測定</t>
  </si>
  <si>
    <t>stEx418</t>
  </si>
  <si>
    <t>&gt;&gt;◆排出測定 有無</t>
  </si>
  <si>
    <t>stEx432</t>
  </si>
  <si>
    <t>&gt;&gt;▼調整軸 寄せ</t>
  </si>
  <si>
    <t>stEx417</t>
  </si>
  <si>
    <t>&gt;&gt;&gt;●調整軸 待機</t>
  </si>
  <si>
    <t>stEx416</t>
  </si>
  <si>
    <t>&gt;&gt;&gt;●調整軸 寄せ</t>
  </si>
  <si>
    <t>stEx415</t>
  </si>
  <si>
    <t>&gt;&gt;&gt;◆調整軸 寄せ継続</t>
  </si>
  <si>
    <t>stEx414</t>
  </si>
  <si>
    <t>&gt;&gt;◆調整軸 有無</t>
  </si>
  <si>
    <t>stEx413</t>
  </si>
  <si>
    <t>&gt;◆寄せ+測定 有無</t>
  </si>
  <si>
    <t>stEx412</t>
  </si>
  <si>
    <t>&gt;▼波板ﾉﾘ 終了</t>
  </si>
  <si>
    <t>stEx411</t>
  </si>
  <si>
    <t>ST</t>
    <phoneticPr fontId="1"/>
  </si>
  <si>
    <t>&gt;&gt;●波板ﾉﾘ2 塗布終了</t>
  </si>
  <si>
    <t>stEx410</t>
  </si>
  <si>
    <t>ニーモニック</t>
    <phoneticPr fontId="1"/>
  </si>
  <si>
    <t>&gt;&gt;●波板ﾉﾘ1 塗布終了</t>
  </si>
  <si>
    <t>stEx409</t>
  </si>
  <si>
    <t>&gt;&gt;▼波板ﾉﾘ 開始</t>
  </si>
  <si>
    <t>stEx408</t>
  </si>
  <si>
    <t>&gt;&gt;●波板ﾉﾘ2 塗布開始</t>
  </si>
  <si>
    <t>stEx407</t>
  </si>
  <si>
    <t>&gt;&gt;●波板ﾉﾘ1 塗布開始</t>
  </si>
  <si>
    <t>stEx406</t>
  </si>
  <si>
    <t>&gt;◆波板ﾉﾘ 有無判定</t>
  </si>
  <si>
    <t>stEx405</t>
  </si>
  <si>
    <t>&gt;●主軸 巻き回転</t>
  </si>
  <si>
    <t>stEx404</t>
  </si>
  <si>
    <t>◆主軸 巻き継続判定</t>
  </si>
  <si>
    <t>stEx403</t>
  </si>
  <si>
    <t>●溶接 押え</t>
  </si>
  <si>
    <t>stEx402</t>
  </si>
  <si>
    <t>●波板 巻き動作</t>
  </si>
  <si>
    <t>stEx401</t>
  </si>
  <si>
    <t>stM.udiErrNo</t>
  </si>
  <si>
    <t>エラーデバイス</t>
    <phoneticPr fontId="1"/>
  </si>
  <si>
    <t>●平板 巻き動作</t>
  </si>
  <si>
    <t>stEx400</t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</si>
  <si>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</si>
  <si>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</si>
  <si>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</si>
  <si>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</si>
  <si>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変数</t>
    <rPh sb="0" eb="2">
      <t>ヘンスウ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</si>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</sst>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dimension ref="A1:W103"/>
  <sheetViews>
    <sheetView tabSelected="1" workbookViewId="0">
      <pane ySplit="1" topLeftCell="A2" activePane="bottomLeft" state="frozen"/>
      <selection pane="bottomLeft" activeCell="B13" sqref="B13"/>
    </sheetView>
  </sheetViews>
  <sheetFormatPr defaultRowHeight="18" x14ac:dyDescent="0.55000000000000004"/>
  <cols>
    <col min="11" max="11" width="21.08203125" bestFit="1" customWidth="1"/>
    <col min="15" max="15" width="14.75" bestFit="1" customWidth="1"/>
    <col min="16" max="16" width="23.4140625" bestFit="1" customWidth="1"/>
    <col min="17" max="17" width="24" bestFit="1" customWidth="1"/>
    <col min="22" max="22" width="24" customWidth="1"/>
  </cols>
  <sheetData>
    <row r="1" spans="1:23" x14ac:dyDescent="0.55000000000000004">
      <c r="A1" t="s">
        <v>77</v>
      </c>
      <c r="E1" t="s">
        <v>76</v>
      </c>
      <c r="M1" t="s">
        <v>75</v>
      </c>
      <c r="N1" t="s">
        <v>74</v>
      </c>
      <c r="R1" t="s">
        <v>49</v>
      </c>
      <c r="W1" t="s">
        <v>46</v>
      </c>
    </row>
    <row r="2" spans="1:23" x14ac:dyDescent="0.55000000000000004">
      <c r="A2" t="s">
        <v>78</v>
      </c>
      <c r="B2" t="str" cm="1">
        <f t="array" aca="1" ref="B2" ca="1">CELL("filename")</f>
        <v>C:\tk\prj\hg-0025-0016\[置換変換.xlsx]Sheet3</v>
      </c>
      <c r="D2">
        <v>0</v>
      </c>
      <c r="E2" t="s">
        <v>71</v>
      </c>
      <c r="F2" t="s">
        <v>1</v>
      </c>
      <c r="H2" t="b">
        <v>0</v>
      </c>
      <c r="I2" t="b">
        <v>0</v>
      </c>
      <c r="J2" t="b">
        <v>0</v>
      </c>
      <c r="K2" t="s">
        <v>70</v>
      </c>
      <c r="M2" t="str">
        <f>IF(LEN(K2),IF(OR(COUNTIF(K2,"*◆*"),COUNTIF(K2,"*▼*")),"","●"),"")</f>
        <v>●</v>
      </c>
      <c r="N2">
        <f>IF(M2="●",INT(MID(E2,5,3)),"")</f>
        <v>400</v>
      </c>
      <c r="O2" t="str">
        <f>IF($M2="●","LDP "&amp;E2&amp;"."&amp;$B$8,"")</f>
        <v>LDP stEx400.x2</v>
      </c>
      <c r="P2" t="str">
        <f>IF($M2="●","AND=.D "&amp;$B$9&amp;" #0","")</f>
        <v>AND=.D stM.udiErrNo #0</v>
      </c>
      <c r="Q2" t="str">
        <f>IF($M2="●","MOV.D #"&amp;N2&amp;" "&amp;$B$9,"")</f>
        <v>MOV.D #400 stM.udiErrNo</v>
      </c>
      <c r="R2" t="str">
        <f>IF(AND(D2&lt;&gt;0,M2="●"),CHAR(10),"")&amp;IF(LEN(O2),O2,"")</f>
        <v>LDP stEx400.x2</v>
      </c>
      <c r="S2" t="str">
        <f>IF(LEN(R2),R2&amp;CHAR(10),"")&amp;IF(LEN(P2),P2,"")</f>
        <v>LDP stEx400.x2
AND=.D stM.udiErrNo #0</v>
      </c>
      <c r="T2" t="str">
        <f>IF(LEN(S2),S2&amp;CHAR(10),"")&amp;IF(LEN(Q2),Q2,"")</f>
        <v>LDP stEx400.x2
AND=.D stM.udiErrNo #0
MOV.D #400 stM.udiErrNo</v>
      </c>
      <c r="V2" t="str">
        <f ca="1">IF($M2="●","BOX_ST"&amp;CHAR(10)&amp;";//"&amp;$B$4&amp;CHAR(10)&amp;";//エラーNo.を入れる"&amp;CHAR(10)&amp;";"&amp;$B$9&amp;"	:= "&amp;N2&amp;";"&amp;CHAR(10)&amp;";//"&amp;$B$5,"")</f>
        <v>BOX_ST
;//このスクリプトは C:\tk\prj\hg-0025-0016\[置換変換.xlsx]Sheet3 によって生成されました。
;//エラーNo.を入れる
;stM.udiErrNo	:= 400;
;//-----ここまで生成script-----</v>
      </c>
      <c r="W2" t="str">
        <f ca="1">IF(LEN(S2),S2&amp;CHAR(10),"")&amp;IF(LEN(V2),V2,"")</f>
        <v>LDP stEx400.x2
AND=.D stM.udiErrNo #0
BOX_ST
;//このスクリプトは C:\tk\prj\hg-0025-0016\[置換変換.xlsx]Sheet3 によって生成されました。
;//エラーNo.を入れる
;stM.udiErrNo	:= 400;
;//-----ここまで生成script-----</v>
      </c>
    </row>
    <row r="3" spans="1:23" x14ac:dyDescent="0.55000000000000004">
      <c r="D3">
        <v>1</v>
      </c>
      <c r="E3" t="s">
        <v>67</v>
      </c>
      <c r="F3" t="s">
        <v>1</v>
      </c>
      <c r="H3" t="b">
        <v>0</v>
      </c>
      <c r="I3" t="b">
        <v>0</v>
      </c>
      <c r="J3" t="b">
        <v>0</v>
      </c>
      <c r="K3" t="s">
        <v>66</v>
      </c>
      <c r="M3" t="str">
        <f>IF(LEN(K3),IF(OR(COUNTIF(K3,"*◆*"),COUNTIF(K3,"*▼*")),"","●"),"")</f>
        <v>●</v>
      </c>
      <c r="N3">
        <f>IF(M3="●",INT(MID(E3,5,3)),"")</f>
        <v>401</v>
      </c>
      <c r="O3" t="str">
        <f>IF($M3="●","LDP "&amp;E3&amp;"."&amp;$B$8,"")</f>
        <v>LDP stEx401.x2</v>
      </c>
      <c r="P3" t="str">
        <f>IF($M3="●","AND=.D "&amp;$B$9&amp;" #0","")</f>
        <v>AND=.D stM.udiErrNo #0</v>
      </c>
      <c r="Q3" t="str">
        <f>IF($M3="●","MOV.D #"&amp;N3&amp;" "&amp;$B$9,"")</f>
        <v>MOV.D #401 stM.udiErrNo</v>
      </c>
      <c r="R3" t="str">
        <f>IF(AND(D3&lt;&gt;0,M3="●"),CHAR(10),"")&amp;IF(LEN(O3),O3,"")</f>
        <v xml:space="preserve">
LDP stEx401.x2</v>
      </c>
      <c r="S3" t="str">
        <f>IF(LEN(R3),R3&amp;CHAR(10),"")&amp;IF(LEN(P3),P3,"")</f>
        <v xml:space="preserve">
LDP stEx401.x2
AND=.D stM.udiErrNo #0</v>
      </c>
      <c r="T3" t="str">
        <f>IF(LEN(S3),S3&amp;CHAR(10),"")&amp;IF(LEN(Q3),Q3,"")</f>
        <v xml:space="preserve">
LDP stEx401.x2
AND=.D stM.udiErrNo #0
MOV.D #401 stM.udiErrNo</v>
      </c>
      <c r="V3" t="str">
        <f t="shared" ref="V3:V66" ca="1" si="0">IF($M3="●","BOX_ST"&amp;CHAR(10)&amp;";//"&amp;$B$4&amp;CHAR(10)&amp;";//エラーNo.を入れる"&amp;CHAR(10)&amp;";"&amp;$B$9&amp;"	:= "&amp;N3&amp;";"&amp;CHAR(10)&amp;";//"&amp;$B$5,"")</f>
        <v>BOX_ST
;//このスクリプトは C:\tk\prj\hg-0025-0016\[置換変換.xlsx]Sheet3 によって生成されました。
;//エラーNo.を入れる
;stM.udiErrNo	:= 401;
;//-----ここまで生成script-----</v>
      </c>
      <c r="W3" t="str">
        <f ca="1">IF(LEN(S3),S3&amp;CHAR(10),"")&amp;IF(LEN(V3),V3,"")</f>
        <v xml:space="preserve">
LDP stEx401.x2
AND=.D stM.udiErrNo #0
BOX_ST
;//このスクリプトは C:\tk\prj\hg-0025-0016\[置換変換.xlsx]Sheet3 によって生成されました。
;//エラーNo.を入れる
;stM.udiErrNo	:= 401;
;//-----ここまで生成script-----</v>
      </c>
    </row>
    <row r="4" spans="1:23" x14ac:dyDescent="0.55000000000000004">
      <c r="A4" t="s">
        <v>79</v>
      </c>
      <c r="B4" t="str">
        <f ca="1">"このスクリプトは "&amp;B2&amp;" によって生成されました。"</f>
        <v>このスクリプトは C:\tk\prj\hg-0025-0016\[置換変換.xlsx]Sheet3 によって生成されました。</v>
      </c>
      <c r="D4">
        <v>2</v>
      </c>
      <c r="E4" t="s">
        <v>65</v>
      </c>
      <c r="F4" t="s">
        <v>1</v>
      </c>
      <c r="H4" t="b">
        <v>0</v>
      </c>
      <c r="I4" t="b">
        <v>0</v>
      </c>
      <c r="J4" t="b">
        <v>0</v>
      </c>
      <c r="K4" t="s">
        <v>64</v>
      </c>
      <c r="M4" t="str">
        <f>IF(LEN(K4),IF(OR(COUNTIF(K4,"*◆*"),COUNTIF(K4,"*▼*")),"","●"),"")</f>
        <v>●</v>
      </c>
      <c r="N4">
        <f>IF(M4="●",INT(MID(E4,5,3)),"")</f>
        <v>402</v>
      </c>
      <c r="O4" t="str">
        <f>IF($M4="●","LDP "&amp;E4&amp;"."&amp;$B$8,"")</f>
        <v>LDP stEx402.x2</v>
      </c>
      <c r="P4" t="str">
        <f>IF($M4="●","AND=.D "&amp;$B$9&amp;" #0","")</f>
        <v>AND=.D stM.udiErrNo #0</v>
      </c>
      <c r="Q4" t="str">
        <f>IF($M4="●","MOV.D #"&amp;N4&amp;" "&amp;$B$9,"")</f>
        <v>MOV.D #402 stM.udiErrNo</v>
      </c>
      <c r="R4" t="str">
        <f>IF(AND(D4&lt;&gt;0,M4="●"),CHAR(10),"")&amp;IF(LEN(O4),O4,"")</f>
        <v xml:space="preserve">
LDP stEx402.x2</v>
      </c>
      <c r="S4" t="str">
        <f>IF(LEN(R4),R4&amp;CHAR(10),"")&amp;IF(LEN(P4),P4,"")</f>
        <v xml:space="preserve">
LDP stEx402.x2
AND=.D stM.udiErrNo #0</v>
      </c>
      <c r="T4" t="str">
        <f>IF(LEN(S4),S4&amp;CHAR(10),"")&amp;IF(LEN(Q4),Q4,"")</f>
        <v xml:space="preserve">
LDP stEx402.x2
AND=.D stM.udiErrNo #0
MOV.D #402 stM.udiErrNo</v>
      </c>
      <c r="V4" t="str">
        <f t="shared" ca="1" si="0"/>
        <v>BOX_ST
;//このスクリプトは C:\tk\prj\hg-0025-0016\[置換変換.xlsx]Sheet3 によって生成されました。
;//エラーNo.を入れる
;stM.udiErrNo	:= 402;
;//-----ここまで生成script-----</v>
      </c>
      <c r="W4" t="str">
        <f ca="1">IF(LEN(S4),S4&amp;CHAR(10),"")&amp;IF(LEN(V4),V4,"")</f>
        <v xml:space="preserve">
LDP stEx402.x2
AND=.D stM.udiErrNo #0
BOX_ST
;//このスクリプトは C:\tk\prj\hg-0025-0016\[置換変換.xlsx]Sheet3 によって生成されました。
;//エラーNo.を入れる
;stM.udiErrNo	:= 402;
;//-----ここまで生成script-----</v>
      </c>
    </row>
    <row r="5" spans="1:23" x14ac:dyDescent="0.55000000000000004">
      <c r="A5" t="s">
        <v>80</v>
      </c>
      <c r="B5" t="s">
        <v>81</v>
      </c>
      <c r="D5">
        <v>3</v>
      </c>
      <c r="E5" t="s">
        <v>63</v>
      </c>
      <c r="F5" t="s">
        <v>1</v>
      </c>
      <c r="H5" t="b">
        <v>0</v>
      </c>
      <c r="I5" t="b">
        <v>0</v>
      </c>
      <c r="J5" t="b">
        <v>0</v>
      </c>
      <c r="K5" t="s">
        <v>62</v>
      </c>
      <c r="M5" t="str">
        <f>IF(LEN(K5),IF(OR(COUNTIF(K5,"*◆*"),COUNTIF(K5,"*▼*")),"","●"),"")</f>
        <v/>
      </c>
      <c r="N5" t="str">
        <f>IF(M5="●",INT(MID(E5,5,3)),"")</f>
        <v/>
      </c>
      <c r="O5" t="str">
        <f>IF($M5="●","LDP "&amp;E5&amp;"."&amp;$B$8,"")</f>
        <v/>
      </c>
      <c r="P5" t="str">
        <f>IF($M5="●","AND=.D "&amp;$B$9&amp;" #0","")</f>
        <v/>
      </c>
      <c r="Q5" t="str">
        <f>IF($M5="●","MOV.D #"&amp;N5&amp;" "&amp;$B$9,"")</f>
        <v/>
      </c>
      <c r="R5" t="str">
        <f>IF(AND(D5&lt;&gt;0,M5="●"),CHAR(10),"")&amp;IF(LEN(O5),O5,"")</f>
        <v/>
      </c>
      <c r="S5" t="str">
        <f>IF(LEN(R5),R5&amp;CHAR(10),"")&amp;IF(LEN(P5),P5,"")</f>
        <v/>
      </c>
      <c r="T5" t="str">
        <f>IF(LEN(S5),S5&amp;CHAR(10),"")&amp;IF(LEN(Q5),Q5,"")</f>
        <v/>
      </c>
      <c r="V5" t="str">
        <f t="shared" si="0"/>
        <v/>
      </c>
      <c r="W5" t="str">
        <f>IF(LEN(S5),S5&amp;CHAR(10),"")&amp;IF(LEN(V5),V5,"")</f>
        <v/>
      </c>
    </row>
    <row r="6" spans="1:23" x14ac:dyDescent="0.55000000000000004">
      <c r="D6">
        <v>4</v>
      </c>
      <c r="E6" t="s">
        <v>61</v>
      </c>
      <c r="F6" t="s">
        <v>1</v>
      </c>
      <c r="H6" t="b">
        <v>0</v>
      </c>
      <c r="I6" t="b">
        <v>0</v>
      </c>
      <c r="J6" t="b">
        <v>0</v>
      </c>
      <c r="K6" t="s">
        <v>60</v>
      </c>
      <c r="M6" t="str">
        <f>IF(LEN(K6),IF(OR(COUNTIF(K6,"*◆*"),COUNTIF(K6,"*▼*")),"","●"),"")</f>
        <v>●</v>
      </c>
      <c r="N6">
        <f>IF(M6="●",INT(MID(E6,5,3)),"")</f>
        <v>404</v>
      </c>
      <c r="O6" t="str">
        <f>IF($M6="●","LDP "&amp;E6&amp;"."&amp;$B$8,"")</f>
        <v>LDP stEx404.x2</v>
      </c>
      <c r="P6" t="str">
        <f>IF($M6="●","AND=.D "&amp;$B$9&amp;" #0","")</f>
        <v>AND=.D stM.udiErrNo #0</v>
      </c>
      <c r="Q6" t="str">
        <f>IF($M6="●","MOV.D #"&amp;N6&amp;" "&amp;$B$9,"")</f>
        <v>MOV.D #404 stM.udiErrNo</v>
      </c>
      <c r="R6" t="str">
        <f>IF(AND(D6&lt;&gt;0,M6="●"),CHAR(10),"")&amp;IF(LEN(O6),O6,"")</f>
        <v xml:space="preserve">
LDP stEx404.x2</v>
      </c>
      <c r="S6" t="str">
        <f>IF(LEN(R6),R6&amp;CHAR(10),"")&amp;IF(LEN(P6),P6,"")</f>
        <v xml:space="preserve">
LDP stEx404.x2
AND=.D stM.udiErrNo #0</v>
      </c>
      <c r="T6" t="str">
        <f>IF(LEN(S6),S6&amp;CHAR(10),"")&amp;IF(LEN(Q6),Q6,"")</f>
        <v xml:space="preserve">
LDP stEx404.x2
AND=.D stM.udiErrNo #0
MOV.D #404 stM.udiErrNo</v>
      </c>
      <c r="V6" t="str">
        <f t="shared" ca="1" si="0"/>
        <v>BOX_ST
;//このスクリプトは C:\tk\prj\hg-0025-0016\[置換変換.xlsx]Sheet3 によって生成されました。
;//エラーNo.を入れる
;stM.udiErrNo	:= 404;
;//-----ここまで生成script-----</v>
      </c>
      <c r="W6" t="str">
        <f ca="1">IF(LEN(S6),S6&amp;CHAR(10),"")&amp;IF(LEN(V6),V6,"")</f>
        <v xml:space="preserve">
LDP stEx404.x2
AND=.D stM.udiErrNo #0
BOX_ST
;//このスクリプトは C:\tk\prj\hg-0025-0016\[置換変換.xlsx]Sheet3 によって生成されました。
;//エラーNo.を入れる
;stM.udiErrNo	:= 404;
;//-----ここまで生成script-----</v>
      </c>
    </row>
    <row r="7" spans="1:23" x14ac:dyDescent="0.55000000000000004">
      <c r="D7">
        <v>5</v>
      </c>
      <c r="E7" t="s">
        <v>59</v>
      </c>
      <c r="F7" t="s">
        <v>1</v>
      </c>
      <c r="H7" t="b">
        <v>0</v>
      </c>
      <c r="I7" t="b">
        <v>0</v>
      </c>
      <c r="J7" t="b">
        <v>0</v>
      </c>
      <c r="K7" t="s">
        <v>58</v>
      </c>
      <c r="M7" t="str">
        <f>IF(LEN(K7),IF(OR(COUNTIF(K7,"*◆*"),COUNTIF(K7,"*▼*")),"","●"),"")</f>
        <v/>
      </c>
      <c r="N7" t="str">
        <f>IF(M7="●",INT(MID(E7,5,3)),"")</f>
        <v/>
      </c>
      <c r="O7" t="str">
        <f>IF($M7="●","LDP "&amp;E7&amp;"."&amp;$B$8,"")</f>
        <v/>
      </c>
      <c r="P7" t="str">
        <f>IF($M7="●","AND=.D "&amp;$B$9&amp;" #0","")</f>
        <v/>
      </c>
      <c r="Q7" t="str">
        <f>IF($M7="●","MOV.D #"&amp;N7&amp;" "&amp;$B$9,"")</f>
        <v/>
      </c>
      <c r="R7" t="str">
        <f>IF(AND(D7&lt;&gt;0,M7="●"),CHAR(10),"")&amp;IF(LEN(O7),O7,"")</f>
        <v/>
      </c>
      <c r="S7" t="str">
        <f>IF(LEN(R7),R7&amp;CHAR(10),"")&amp;IF(LEN(P7),P7,"")</f>
        <v/>
      </c>
      <c r="T7" t="str">
        <f>IF(LEN(S7),S7&amp;CHAR(10),"")&amp;IF(LEN(Q7),Q7,"")</f>
        <v/>
      </c>
      <c r="V7" t="str">
        <f t="shared" si="0"/>
        <v/>
      </c>
      <c r="W7" t="str">
        <f>IF(LEN(S7),S7&amp;CHAR(10),"")&amp;IF(LEN(V7),V7,"")</f>
        <v/>
      </c>
    </row>
    <row r="8" spans="1:23" x14ac:dyDescent="0.55000000000000004">
      <c r="A8" t="s">
        <v>73</v>
      </c>
      <c r="B8" t="s">
        <v>72</v>
      </c>
      <c r="D8">
        <v>6</v>
      </c>
      <c r="E8" t="s">
        <v>57</v>
      </c>
      <c r="F8" t="s">
        <v>1</v>
      </c>
      <c r="H8" t="b">
        <v>0</v>
      </c>
      <c r="I8" t="b">
        <v>0</v>
      </c>
      <c r="J8" t="b">
        <v>0</v>
      </c>
      <c r="K8" t="s">
        <v>56</v>
      </c>
      <c r="M8" t="str">
        <f>IF(LEN(K8),IF(OR(COUNTIF(K8,"*◆*"),COUNTIF(K8,"*▼*")),"","●"),"")</f>
        <v>●</v>
      </c>
      <c r="N8">
        <f>IF(M8="●",INT(MID(E8,5,3)),"")</f>
        <v>406</v>
      </c>
      <c r="O8" t="str">
        <f>IF($M8="●","LDP "&amp;E8&amp;"."&amp;$B$8,"")</f>
        <v>LDP stEx406.x2</v>
      </c>
      <c r="P8" t="str">
        <f>IF($M8="●","AND=.D "&amp;$B$9&amp;" #0","")</f>
        <v>AND=.D stM.udiErrNo #0</v>
      </c>
      <c r="Q8" t="str">
        <f>IF($M8="●","MOV.D #"&amp;N8&amp;" "&amp;$B$9,"")</f>
        <v>MOV.D #406 stM.udiErrNo</v>
      </c>
      <c r="R8" t="str">
        <f>IF(AND(D8&lt;&gt;0,M8="●"),CHAR(10),"")&amp;IF(LEN(O8),O8,"")</f>
        <v xml:space="preserve">
LDP stEx406.x2</v>
      </c>
      <c r="S8" t="str">
        <f>IF(LEN(R8),R8&amp;CHAR(10),"")&amp;IF(LEN(P8),P8,"")</f>
        <v xml:space="preserve">
LDP stEx406.x2
AND=.D stM.udiErrNo #0</v>
      </c>
      <c r="T8" t="str">
        <f>IF(LEN(S8),S8&amp;CHAR(10),"")&amp;IF(LEN(Q8),Q8,"")</f>
        <v xml:space="preserve">
LDP stEx406.x2
AND=.D stM.udiErrNo #0
MOV.D #406 stM.udiErrNo</v>
      </c>
      <c r="V8" t="str">
        <f t="shared" ca="1" si="0"/>
        <v>BOX_ST
;//このスクリプトは C:\tk\prj\hg-0025-0016\[置換変換.xlsx]Sheet3 によって生成されました。
;//エラーNo.を入れる
;stM.udiErrNo	:= 406;
;//-----ここまで生成script-----</v>
      </c>
      <c r="W8" t="str">
        <f ca="1">IF(LEN(S8),S8&amp;CHAR(10),"")&amp;IF(LEN(V8),V8,"")</f>
        <v xml:space="preserve">
LDP stEx406.x2
AND=.D stM.udiErrNo #0
BOX_ST
;//このスクリプトは C:\tk\prj\hg-0025-0016\[置換変換.xlsx]Sheet3 によって生成されました。
;//エラーNo.を入れる
;stM.udiErrNo	:= 406;
;//-----ここまで生成script-----</v>
      </c>
    </row>
    <row r="9" spans="1:23" x14ac:dyDescent="0.55000000000000004">
      <c r="A9" t="s">
        <v>69</v>
      </c>
      <c r="B9" t="s">
        <v>68</v>
      </c>
      <c r="D9">
        <v>7</v>
      </c>
      <c r="E9" t="s">
        <v>55</v>
      </c>
      <c r="F9" t="s">
        <v>1</v>
      </c>
      <c r="H9" t="b">
        <v>0</v>
      </c>
      <c r="I9" t="b">
        <v>0</v>
      </c>
      <c r="J9" t="b">
        <v>0</v>
      </c>
      <c r="K9" t="s">
        <v>54</v>
      </c>
      <c r="M9" t="str">
        <f>IF(LEN(K9),IF(OR(COUNTIF(K9,"*◆*"),COUNTIF(K9,"*▼*")),"","●"),"")</f>
        <v>●</v>
      </c>
      <c r="N9">
        <f>IF(M9="●",INT(MID(E9,5,3)),"")</f>
        <v>407</v>
      </c>
      <c r="O9" t="str">
        <f>IF($M9="●","LDP "&amp;E9&amp;"."&amp;$B$8,"")</f>
        <v>LDP stEx407.x2</v>
      </c>
      <c r="P9" t="str">
        <f>IF($M9="●","AND=.D "&amp;$B$9&amp;" #0","")</f>
        <v>AND=.D stM.udiErrNo #0</v>
      </c>
      <c r="Q9" t="str">
        <f>IF($M9="●","MOV.D #"&amp;N9&amp;" "&amp;$B$9,"")</f>
        <v>MOV.D #407 stM.udiErrNo</v>
      </c>
      <c r="R9" t="str">
        <f>IF(AND(D9&lt;&gt;0,M9="●"),CHAR(10),"")&amp;IF(LEN(O9),O9,"")</f>
        <v xml:space="preserve">
LDP stEx407.x2</v>
      </c>
      <c r="S9" t="str">
        <f>IF(LEN(R9),R9&amp;CHAR(10),"")&amp;IF(LEN(P9),P9,"")</f>
        <v xml:space="preserve">
LDP stEx407.x2
AND=.D stM.udiErrNo #0</v>
      </c>
      <c r="T9" t="str">
        <f>IF(LEN(S9),S9&amp;CHAR(10),"")&amp;IF(LEN(Q9),Q9,"")</f>
        <v xml:space="preserve">
LDP stEx407.x2
AND=.D stM.udiErrNo #0
MOV.D #407 stM.udiErrNo</v>
      </c>
      <c r="V9" t="str">
        <f t="shared" ca="1" si="0"/>
        <v>BOX_ST
;//このスクリプトは C:\tk\prj\hg-0025-0016\[置換変換.xlsx]Sheet3 によって生成されました。
;//エラーNo.を入れる
;stM.udiErrNo	:= 407;
;//-----ここまで生成script-----</v>
      </c>
      <c r="W9" t="str">
        <f ca="1">IF(LEN(S9),S9&amp;CHAR(10),"")&amp;IF(LEN(V9),V9,"")</f>
        <v xml:space="preserve">
LDP stEx407.x2
AND=.D stM.udiErrNo #0
BOX_ST
;//このスクリプトは C:\tk\prj\hg-0025-0016\[置換変換.xlsx]Sheet3 によって生成されました。
;//エラーNo.を入れる
;stM.udiErrNo	:= 407;
;//-----ここまで生成script-----</v>
      </c>
    </row>
    <row r="10" spans="1:23" x14ac:dyDescent="0.55000000000000004">
      <c r="D10">
        <v>8</v>
      </c>
      <c r="E10" t="s">
        <v>53</v>
      </c>
      <c r="F10" t="s">
        <v>1</v>
      </c>
      <c r="H10" t="b">
        <v>0</v>
      </c>
      <c r="I10" t="b">
        <v>0</v>
      </c>
      <c r="J10" t="b">
        <v>0</v>
      </c>
      <c r="K10" t="s">
        <v>52</v>
      </c>
      <c r="M10" t="str">
        <f>IF(LEN(K10),IF(OR(COUNTIF(K10,"*◆*"),COUNTIF(K10,"*▼*")),"","●"),"")</f>
        <v/>
      </c>
      <c r="N10" t="str">
        <f>IF(M10="●",INT(MID(E10,5,3)),"")</f>
        <v/>
      </c>
      <c r="O10" t="str">
        <f>IF($M10="●","LDP "&amp;E10&amp;"."&amp;$B$8,"")</f>
        <v/>
      </c>
      <c r="P10" t="str">
        <f>IF($M10="●","AND=.D "&amp;$B$9&amp;" #0","")</f>
        <v/>
      </c>
      <c r="Q10" t="str">
        <f>IF($M10="●","MOV.D #"&amp;N10&amp;" "&amp;$B$9,"")</f>
        <v/>
      </c>
      <c r="R10" t="str">
        <f>IF(AND(D10&lt;&gt;0,M10="●"),CHAR(10),"")&amp;IF(LEN(O10),O10,"")</f>
        <v/>
      </c>
      <c r="S10" t="str">
        <f>IF(LEN(R10),R10&amp;CHAR(10),"")&amp;IF(LEN(P10),P10,"")</f>
        <v/>
      </c>
      <c r="T10" t="str">
        <f>IF(LEN(S10),S10&amp;CHAR(10),"")&amp;IF(LEN(Q10),Q10,"")</f>
        <v/>
      </c>
      <c r="V10" t="str">
        <f t="shared" si="0"/>
        <v/>
      </c>
      <c r="W10" t="str">
        <f>IF(LEN(S10),S10&amp;CHAR(10),"")&amp;IF(LEN(V10),V10,"")</f>
        <v/>
      </c>
    </row>
    <row r="11" spans="1:23" x14ac:dyDescent="0.55000000000000004">
      <c r="D11">
        <v>9</v>
      </c>
      <c r="E11" t="s">
        <v>51</v>
      </c>
      <c r="F11" t="s">
        <v>1</v>
      </c>
      <c r="H11" t="b">
        <v>0</v>
      </c>
      <c r="I11" t="b">
        <v>0</v>
      </c>
      <c r="J11" t="b">
        <v>0</v>
      </c>
      <c r="K11" t="s">
        <v>50</v>
      </c>
      <c r="M11" t="str">
        <f>IF(LEN(K11),IF(OR(COUNTIF(K11,"*◆*"),COUNTIF(K11,"*▼*")),"","●"),"")</f>
        <v>●</v>
      </c>
      <c r="N11">
        <f>IF(M11="●",INT(MID(E11,5,3)),"")</f>
        <v>409</v>
      </c>
      <c r="O11" t="str">
        <f>IF($M11="●","LDP "&amp;E11&amp;"."&amp;$B$8,"")</f>
        <v>LDP stEx409.x2</v>
      </c>
      <c r="P11" t="str">
        <f>IF($M11="●","AND=.D "&amp;$B$9&amp;" #0","")</f>
        <v>AND=.D stM.udiErrNo #0</v>
      </c>
      <c r="Q11" t="str">
        <f>IF($M11="●","MOV.D #"&amp;N11&amp;" "&amp;$B$9,"")</f>
        <v>MOV.D #409 stM.udiErrNo</v>
      </c>
      <c r="R11" t="str">
        <f>IF(AND(D11&lt;&gt;0,M11="●"),CHAR(10),"")&amp;IF(LEN(O11),O11,"")</f>
        <v xml:space="preserve">
LDP stEx409.x2</v>
      </c>
      <c r="S11" t="str">
        <f>IF(LEN(R11),R11&amp;CHAR(10),"")&amp;IF(LEN(P11),P11,"")</f>
        <v xml:space="preserve">
LDP stEx409.x2
AND=.D stM.udiErrNo #0</v>
      </c>
      <c r="T11" t="str">
        <f>IF(LEN(S11),S11&amp;CHAR(10),"")&amp;IF(LEN(Q11),Q11,"")</f>
        <v xml:space="preserve">
LDP stEx409.x2
AND=.D stM.udiErrNo #0
MOV.D #409 stM.udiErrNo</v>
      </c>
      <c r="V11" t="str">
        <f t="shared" ca="1" si="0"/>
        <v>BOX_ST
;//このスクリプトは C:\tk\prj\hg-0025-0016\[置換変換.xlsx]Sheet3 によって生成されました。
;//エラーNo.を入れる
;stM.udiErrNo	:= 409;
;//-----ここまで生成script-----</v>
      </c>
      <c r="W11" t="str">
        <f ca="1">IF(LEN(S11),S11&amp;CHAR(10),"")&amp;IF(LEN(V11),V11,"")</f>
        <v xml:space="preserve">
LDP stEx409.x2
AND=.D stM.udiErrNo #0
BOX_ST
;//このスクリプトは C:\tk\prj\hg-0025-0016\[置換変換.xlsx]Sheet3 によって生成されました。
;//エラーNo.を入れる
;stM.udiErrNo	:= 409;
;//-----ここまで生成script-----</v>
      </c>
    </row>
    <row r="12" spans="1:23" x14ac:dyDescent="0.55000000000000004">
      <c r="A12" t="s">
        <v>49</v>
      </c>
      <c r="B12" t="str">
        <f>T103</f>
        <v>LDP stEx400.x2
AND=.D stM.udiErrNo #0
MOV.D #400 stM.udiErrNo
LDP stEx401.x2
AND=.D stM.udiErrNo #0
MOV.D #401 stM.udiErrNo
LDP stEx402.x2
AND=.D stM.udiErrNo #0
MOV.D #402 stM.udiErrNo
LDP stEx404.x2
AND=.D stM.udiErrNo #0
MOV.D #404 stM.udiErrNo
LDP stEx406.x2
AND=.D stM.udiErrNo #0
MOV.D #406 stM.udiErrNo
LDP stEx407.x2
AND=.D stM.udiErrNo #0
MOV.D #407 stM.udiErrNo
LDP stEx409.x2
AND=.D stM.udiErrNo #0
MOV.D #409 stM.udiErrNo
LDP stEx410.x2
AND=.D stM.udiErrNo #0
MOV.D #410 stM.udiErrNo
LDP stEx415.x2
AND=.D stM.udiErrNo #0
MOV.D #415 stM.udiErrNo
LDP stEx416.x2
AND=.D stM.udiErrNo #0
MOV.D #416 stM.udiErrNo
LDP stEx418.x2
AND=.D stM.udiErrNo #0
MOV.D #418 stM.udiErrNo
LDP stEx422.x2
AND=.D stM.udiErrNo #0
MOV.D #422 stM.udiErrNo
LDP stEx423.x2
AND=.D stM.udiErrNo #0
MOV.D #423 stM.udiErrNo
LDP stEx424.x2
AND=.D stM.udiErrNo #0
MOV.D #424 stM.udiErrNo
LDP stEx425.x2
AND=.D stM.udiErrNo #0
MOV.D #425 stM.udiErrNo
LDP stEx428.x2
AND=.D stM.udiErrNo #0
MOV.D #428 stM.udiErrNo</v>
      </c>
      <c r="D12">
        <v>10</v>
      </c>
      <c r="E12" t="s">
        <v>48</v>
      </c>
      <c r="F12" t="s">
        <v>1</v>
      </c>
      <c r="H12" t="b">
        <v>0</v>
      </c>
      <c r="I12" t="b">
        <v>0</v>
      </c>
      <c r="J12" t="b">
        <v>0</v>
      </c>
      <c r="K12" t="s">
        <v>47</v>
      </c>
      <c r="M12" t="str">
        <f>IF(LEN(K12),IF(OR(COUNTIF(K12,"*◆*"),COUNTIF(K12,"*▼*")),"","●"),"")</f>
        <v>●</v>
      </c>
      <c r="N12">
        <f>IF(M12="●",INT(MID(E12,5,3)),"")</f>
        <v>410</v>
      </c>
      <c r="O12" t="str">
        <f>IF($M12="●","LDP "&amp;E12&amp;"."&amp;$B$8,"")</f>
        <v>LDP stEx410.x2</v>
      </c>
      <c r="P12" t="str">
        <f>IF($M12="●","AND=.D "&amp;$B$9&amp;" #0","")</f>
        <v>AND=.D stM.udiErrNo #0</v>
      </c>
      <c r="Q12" t="str">
        <f>IF($M12="●","MOV.D #"&amp;N12&amp;" "&amp;$B$9,"")</f>
        <v>MOV.D #410 stM.udiErrNo</v>
      </c>
      <c r="R12" t="str">
        <f>IF(AND(D12&lt;&gt;0,M12="●"),CHAR(10),"")&amp;IF(LEN(O12),O12,"")</f>
        <v xml:space="preserve">
LDP stEx410.x2</v>
      </c>
      <c r="S12" t="str">
        <f>IF(LEN(R12),R12&amp;CHAR(10),"")&amp;IF(LEN(P12),P12,"")</f>
        <v xml:space="preserve">
LDP stEx410.x2
AND=.D stM.udiErrNo #0</v>
      </c>
      <c r="T12" t="str">
        <f>IF(LEN(S12),S12&amp;CHAR(10),"")&amp;IF(LEN(Q12),Q12,"")</f>
        <v xml:space="preserve">
LDP stEx410.x2
AND=.D stM.udiErrNo #0
MOV.D #410 stM.udiErrNo</v>
      </c>
      <c r="V12" t="str">
        <f t="shared" ca="1" si="0"/>
        <v>BOX_ST
;//このスクリプトは C:\tk\prj\hg-0025-0016\[置換変換.xlsx]Sheet3 によって生成されました。
;//エラーNo.を入れる
;stM.udiErrNo	:= 410;
;//-----ここまで生成script-----</v>
      </c>
      <c r="W12" t="str">
        <f ca="1">IF(LEN(S12),S12&amp;CHAR(10),"")&amp;IF(LEN(V12),V12,"")</f>
        <v xml:space="preserve">
LDP stEx410.x2
AND=.D stM.udiErrNo #0
BOX_ST
;//このスクリプトは C:\tk\prj\hg-0025-0016\[置換変換.xlsx]Sheet3 によって生成されました。
;//エラーNo.を入れる
;stM.udiErrNo	:= 410;
;//-----ここまで生成script-----</v>
      </c>
    </row>
    <row r="13" spans="1:23" x14ac:dyDescent="0.55000000000000004">
      <c r="A13" t="s">
        <v>46</v>
      </c>
      <c r="B13" t="str">
        <f ca="1">W103</f>
        <v>LDP stEx400.x2
AND=.D stM.udiErrNo #0
BOX_ST
;//このスクリプトは C:\tk\prj\hg-0025-0016\[置換変換.xlsx]Sheet3 によって生成されました。
;//エラーNo.を入れる
;stM.udiErrNo	:= 400;
;//-----ここまで生成script-----
LDP stEx401.x2
AND=.D stM.udiErrNo #0
BOX_ST
;//このスクリプトは C:\tk\prj\hg-0025-0016\[置換変換.xlsx]Sheet3 によって生成されました。
;//エラーNo.を入れる
;stM.udiErrNo	:= 401;
;//-----ここまで生成script-----
LDP stEx402.x2
AND=.D stM.udiErrNo #0
BOX_ST
;//このスクリプトは C:\tk\prj\hg-0025-0016\[置換変換.xlsx]Sheet3 によって生成されました。
;//エラーNo.を入れる
;stM.udiErrNo	:= 402;
;//-----ここまで生成script-----
LDP stEx404.x2
AND=.D stM.udiErrNo #0
BOX_ST
;//このスクリプトは C:\tk\prj\hg-0025-0016\[置換変換.xlsx]Sheet3 によって生成されました。
;//エラーNo.を入れる
;stM.udiErrNo	:= 404;
;//-----ここまで生成script-----
LDP stEx406.x2
AND=.D stM.udiErrNo #0
BOX_ST
;//このスクリプトは C:\tk\prj\hg-0025-0016\[置換変換.xlsx]Sheet3 によって生成されました。
;//エラーNo.を入れる
;stM.udiErrNo	:= 406;
;//-----ここまで生成script-----
LDP stEx407.x2
AND=.D stM.udiErrNo #0
BOX_ST
;//このスクリプトは C:\tk\prj\hg-0025-0016\[置換変換.xlsx]Sheet3 によって生成されました。
;//エラーNo.を入れる
;stM.udiErrNo	:= 407;
;//-----ここまで生成script-----
LDP stEx409.x2
AND=.D stM.udiErrNo #0
BOX_ST
;//このスクリプトは C:\tk\prj\hg-0025-0016\[置換変換.xlsx]Sheet3 によって生成されました。
;//エラーNo.を入れる
;stM.udiErrNo	:= 409;
;//-----ここまで生成script-----
LDP stEx410.x2
AND=.D stM.udiErrNo #0
BOX_ST
;//このスクリプトは C:\tk\prj\hg-0025-0016\[置換変換.xlsx]Sheet3 によって生成されました。
;//エラーNo.を入れる
;stM.udiErrNo	:= 410;
;//-----ここまで生成script-----
LDP stEx415.x2
AND=.D stM.udiErrNo #0
BOX_ST
;//このスクリプトは C:\tk\prj\hg-0025-0016\[置換変換.xlsx]Sheet3 によって生成されました。
;//エラーNo.を入れる
;stM.udiErrNo	:= 415;
;//-----ここまで生成script-----
LDP stEx416.x2
AND=.D stM.udiErrNo #0
BOX_ST
;//このスクリプトは C:\tk\prj\hg-0025-0016\[置換変換.xlsx]Sheet3 によって生成されました。
;//エラーNo.を入れる
;stM.udiErrNo	:= 416;
;//-----ここまで生成script-----
LDP stEx418.x2
AND=.D stM.udiErrNo #0
BOX_ST
;//このスクリプトは C:\tk\prj\hg-0025-0016\[置換変換.xlsx]Sheet3 によって生成されました。
;//エラーNo.を入れる
;stM.udiErrNo	:= 418;
;//-----ここまで生成script-----
LDP stEx422.x2
AND=.D stM.udiErrNo #0
BOX_ST
;//このスクリプトは C:\tk\prj\hg-0025-0016\[置換変換.xlsx]Sheet3 によって生成されました。
;//エラーNo.を入れる
;stM.udiErrNo	:= 422;
;//-----ここまで生成script-----
LDP stEx423.x2
AND=.D stM.udiErrNo #0
BOX_ST
;//このスクリプトは C:\tk\prj\hg-0025-0016\[置換変換.xlsx]Sheet3 によって生成されました。
;//エラーNo.を入れる
;stM.udiErrNo	:= 423;
;//-----ここまで生成script-----
LDP stEx424.x2
AND=.D stM.udiErrNo #0
BOX_ST
;//このスクリプトは C:\tk\prj\hg-0025-0016\[置換変換.xlsx]Sheet3 によって生成されました。
;//エラーNo.を入れる
;stM.udiErrNo	:= 424;
;//-----ここまで生成script-----
LDP stEx425.x2
AND=.D stM.udiErrNo #0
BOX_ST
;//このスクリプトは C:\tk\prj\hg-0025-0016\[置換変換.xlsx]Sheet3 によって生成されました。
;//エラーNo.を入れる
;stM.udiErrNo	:= 425;
;//-----ここまで生成script-----
LDP stEx428.x2
AND=.D stM.udiErrNo #0
BOX_ST
;//このスクリプトは C:\tk\prj\hg-0025-0016\[置換変換.xlsx]Sheet3 によって生成されました。
;//エラーNo.を入れる
;stM.udiErrNo	:= 428;
;//-----ここまで生成script-----</v>
      </c>
      <c r="D13">
        <v>11</v>
      </c>
      <c r="E13" t="s">
        <v>45</v>
      </c>
      <c r="F13" t="s">
        <v>1</v>
      </c>
      <c r="H13" t="b">
        <v>0</v>
      </c>
      <c r="I13" t="b">
        <v>0</v>
      </c>
      <c r="J13" t="b">
        <v>0</v>
      </c>
      <c r="K13" t="s">
        <v>44</v>
      </c>
      <c r="M13" t="str">
        <f>IF(LEN(K13),IF(OR(COUNTIF(K13,"*◆*"),COUNTIF(K13,"*▼*")),"","●"),"")</f>
        <v/>
      </c>
      <c r="N13" t="str">
        <f>IF(M13="●",INT(MID(E13,5,3)),"")</f>
        <v/>
      </c>
      <c r="O13" t="str">
        <f>IF($M13="●","LDP "&amp;E13&amp;"."&amp;$B$8,"")</f>
        <v/>
      </c>
      <c r="P13" t="str">
        <f>IF($M13="●","AND=.D "&amp;$B$9&amp;" #0","")</f>
        <v/>
      </c>
      <c r="Q13" t="str">
        <f>IF($M13="●","MOV.D #"&amp;N13&amp;" "&amp;$B$9,"")</f>
        <v/>
      </c>
      <c r="R13" t="str">
        <f>IF(AND(D13&lt;&gt;0,M13="●"),CHAR(10),"")&amp;IF(LEN(O13),O13,"")</f>
        <v/>
      </c>
      <c r="S13" t="str">
        <f>IF(LEN(R13),R13&amp;CHAR(10),"")&amp;IF(LEN(P13),P13,"")</f>
        <v/>
      </c>
      <c r="T13" t="str">
        <f>IF(LEN(S13),S13&amp;CHAR(10),"")&amp;IF(LEN(Q13),Q13,"")</f>
        <v/>
      </c>
      <c r="V13" t="str">
        <f t="shared" si="0"/>
        <v/>
      </c>
      <c r="W13" t="str">
        <f>IF(LEN(S13),S13&amp;CHAR(10),"")&amp;IF(LEN(V13),V13,"")</f>
        <v/>
      </c>
    </row>
    <row r="14" spans="1:23" x14ac:dyDescent="0.55000000000000004">
      <c r="D14">
        <v>12</v>
      </c>
      <c r="E14" t="s">
        <v>43</v>
      </c>
      <c r="F14" t="s">
        <v>1</v>
      </c>
      <c r="H14" t="b">
        <v>0</v>
      </c>
      <c r="I14" t="b">
        <v>0</v>
      </c>
      <c r="J14" t="b">
        <v>0</v>
      </c>
      <c r="K14" t="s">
        <v>42</v>
      </c>
      <c r="M14" t="str">
        <f>IF(LEN(K14),IF(OR(COUNTIF(K14,"*◆*"),COUNTIF(K14,"*▼*")),"","●"),"")</f>
        <v/>
      </c>
      <c r="N14" t="str">
        <f>IF(M14="●",INT(MID(E14,5,3)),"")</f>
        <v/>
      </c>
      <c r="O14" t="str">
        <f>IF($M14="●","LDP "&amp;E14&amp;"."&amp;$B$8,"")</f>
        <v/>
      </c>
      <c r="P14" t="str">
        <f>IF($M14="●","AND=.D "&amp;$B$9&amp;" #0","")</f>
        <v/>
      </c>
      <c r="Q14" t="str">
        <f>IF($M14="●","MOV.D #"&amp;N14&amp;" "&amp;$B$9,"")</f>
        <v/>
      </c>
      <c r="R14" t="str">
        <f>IF(AND(D14&lt;&gt;0,M14="●"),CHAR(10),"")&amp;IF(LEN(O14),O14,"")</f>
        <v/>
      </c>
      <c r="S14" t="str">
        <f>IF(LEN(R14),R14&amp;CHAR(10),"")&amp;IF(LEN(P14),P14,"")</f>
        <v/>
      </c>
      <c r="T14" t="str">
        <f>IF(LEN(S14),S14&amp;CHAR(10),"")&amp;IF(LEN(Q14),Q14,"")</f>
        <v/>
      </c>
      <c r="V14" t="str">
        <f t="shared" si="0"/>
        <v/>
      </c>
      <c r="W14" t="str">
        <f>IF(LEN(S14),S14&amp;CHAR(10),"")&amp;IF(LEN(V14),V14,"")</f>
        <v/>
      </c>
    </row>
    <row r="15" spans="1:23" x14ac:dyDescent="0.55000000000000004">
      <c r="D15">
        <v>13</v>
      </c>
      <c r="E15" t="s">
        <v>41</v>
      </c>
      <c r="F15" t="s">
        <v>1</v>
      </c>
      <c r="H15" t="b">
        <v>0</v>
      </c>
      <c r="I15" t="b">
        <v>0</v>
      </c>
      <c r="J15" t="b">
        <v>0</v>
      </c>
      <c r="K15" t="s">
        <v>40</v>
      </c>
      <c r="M15" t="str">
        <f>IF(LEN(K15),IF(OR(COUNTIF(K15,"*◆*"),COUNTIF(K15,"*▼*")),"","●"),"")</f>
        <v/>
      </c>
      <c r="N15" t="str">
        <f>IF(M15="●",INT(MID(E15,5,3)),"")</f>
        <v/>
      </c>
      <c r="O15" t="str">
        <f>IF($M15="●","LDP "&amp;E15&amp;"."&amp;$B$8,"")</f>
        <v/>
      </c>
      <c r="P15" t="str">
        <f>IF($M15="●","AND=.D "&amp;$B$9&amp;" #0","")</f>
        <v/>
      </c>
      <c r="Q15" t="str">
        <f>IF($M15="●","MOV.D #"&amp;N15&amp;" "&amp;$B$9,"")</f>
        <v/>
      </c>
      <c r="R15" t="str">
        <f>IF(AND(D15&lt;&gt;0,M15="●"),CHAR(10),"")&amp;IF(LEN(O15),O15,"")</f>
        <v/>
      </c>
      <c r="S15" t="str">
        <f>IF(LEN(R15),R15&amp;CHAR(10),"")&amp;IF(LEN(P15),P15,"")</f>
        <v/>
      </c>
      <c r="T15" t="str">
        <f>IF(LEN(S15),S15&amp;CHAR(10),"")&amp;IF(LEN(Q15),Q15,"")</f>
        <v/>
      </c>
      <c r="V15" t="str">
        <f t="shared" si="0"/>
        <v/>
      </c>
      <c r="W15" t="str">
        <f>IF(LEN(S15),S15&amp;CHAR(10),"")&amp;IF(LEN(V15),V15,"")</f>
        <v/>
      </c>
    </row>
    <row r="16" spans="1:23" x14ac:dyDescent="0.55000000000000004">
      <c r="D16">
        <v>14</v>
      </c>
      <c r="E16" t="s">
        <v>39</v>
      </c>
      <c r="F16" t="s">
        <v>1</v>
      </c>
      <c r="H16" t="b">
        <v>0</v>
      </c>
      <c r="I16" t="b">
        <v>0</v>
      </c>
      <c r="J16" t="b">
        <v>0</v>
      </c>
      <c r="K16" t="s">
        <v>38</v>
      </c>
      <c r="M16" t="str">
        <f>IF(LEN(K16),IF(OR(COUNTIF(K16,"*◆*"),COUNTIF(K16,"*▼*")),"","●"),"")</f>
        <v/>
      </c>
      <c r="N16" t="str">
        <f>IF(M16="●",INT(MID(E16,5,3)),"")</f>
        <v/>
      </c>
      <c r="O16" t="str">
        <f>IF($M16="●","LDP "&amp;E16&amp;"."&amp;$B$8,"")</f>
        <v/>
      </c>
      <c r="P16" t="str">
        <f>IF($M16="●","AND=.D "&amp;$B$9&amp;" #0","")</f>
        <v/>
      </c>
      <c r="Q16" t="str">
        <f>IF($M16="●","MOV.D #"&amp;N16&amp;" "&amp;$B$9,"")</f>
        <v/>
      </c>
      <c r="R16" t="str">
        <f>IF(AND(D16&lt;&gt;0,M16="●"),CHAR(10),"")&amp;IF(LEN(O16),O16,"")</f>
        <v/>
      </c>
      <c r="S16" t="str">
        <f>IF(LEN(R16),R16&amp;CHAR(10),"")&amp;IF(LEN(P16),P16,"")</f>
        <v/>
      </c>
      <c r="T16" t="str">
        <f>IF(LEN(S16),S16&amp;CHAR(10),"")&amp;IF(LEN(Q16),Q16,"")</f>
        <v/>
      </c>
      <c r="V16" t="str">
        <f t="shared" si="0"/>
        <v/>
      </c>
      <c r="W16" t="str">
        <f>IF(LEN(S16),S16&amp;CHAR(10),"")&amp;IF(LEN(V16),V16,"")</f>
        <v/>
      </c>
    </row>
    <row r="17" spans="4:23" x14ac:dyDescent="0.55000000000000004">
      <c r="D17">
        <v>15</v>
      </c>
      <c r="E17" t="s">
        <v>37</v>
      </c>
      <c r="F17" t="s">
        <v>1</v>
      </c>
      <c r="H17" t="b">
        <v>0</v>
      </c>
      <c r="I17" t="b">
        <v>0</v>
      </c>
      <c r="J17" t="b">
        <v>0</v>
      </c>
      <c r="K17" t="s">
        <v>36</v>
      </c>
      <c r="M17" t="str">
        <f>IF(LEN(K17),IF(OR(COUNTIF(K17,"*◆*"),COUNTIF(K17,"*▼*")),"","●"),"")</f>
        <v>●</v>
      </c>
      <c r="N17">
        <f>IF(M17="●",INT(MID(E17,5,3)),"")</f>
        <v>415</v>
      </c>
      <c r="O17" t="str">
        <f>IF($M17="●","LDP "&amp;E17&amp;"."&amp;$B$8,"")</f>
        <v>LDP stEx415.x2</v>
      </c>
      <c r="P17" t="str">
        <f>IF($M17="●","AND=.D "&amp;$B$9&amp;" #0","")</f>
        <v>AND=.D stM.udiErrNo #0</v>
      </c>
      <c r="Q17" t="str">
        <f>IF($M17="●","MOV.D #"&amp;N17&amp;" "&amp;$B$9,"")</f>
        <v>MOV.D #415 stM.udiErrNo</v>
      </c>
      <c r="R17" t="str">
        <f>IF(AND(D17&lt;&gt;0,M17="●"),CHAR(10),"")&amp;IF(LEN(O17),O17,"")</f>
        <v xml:space="preserve">
LDP stEx415.x2</v>
      </c>
      <c r="S17" t="str">
        <f>IF(LEN(R17),R17&amp;CHAR(10),"")&amp;IF(LEN(P17),P17,"")</f>
        <v xml:space="preserve">
LDP stEx415.x2
AND=.D stM.udiErrNo #0</v>
      </c>
      <c r="T17" t="str">
        <f>IF(LEN(S17),S17&amp;CHAR(10),"")&amp;IF(LEN(Q17),Q17,"")</f>
        <v xml:space="preserve">
LDP stEx415.x2
AND=.D stM.udiErrNo #0
MOV.D #415 stM.udiErrNo</v>
      </c>
      <c r="V17" t="str">
        <f t="shared" ca="1" si="0"/>
        <v>BOX_ST
;//このスクリプトは C:\tk\prj\hg-0025-0016\[置換変換.xlsx]Sheet3 によって生成されました。
;//エラーNo.を入れる
;stM.udiErrNo	:= 415;
;//-----ここまで生成script-----</v>
      </c>
      <c r="W17" t="str">
        <f ca="1">IF(LEN(S17),S17&amp;CHAR(10),"")&amp;IF(LEN(V17),V17,"")</f>
        <v xml:space="preserve">
LDP stEx415.x2
AND=.D stM.udiErrNo #0
BOX_ST
;//このスクリプトは C:\tk\prj\hg-0025-0016\[置換変換.xlsx]Sheet3 によって生成されました。
;//エラーNo.を入れる
;stM.udiErrNo	:= 415;
;//-----ここまで生成script-----</v>
      </c>
    </row>
    <row r="18" spans="4:23" x14ac:dyDescent="0.55000000000000004">
      <c r="D18">
        <v>16</v>
      </c>
      <c r="E18" t="s">
        <v>35</v>
      </c>
      <c r="F18" t="s">
        <v>1</v>
      </c>
      <c r="H18" t="b">
        <v>0</v>
      </c>
      <c r="I18" t="b">
        <v>0</v>
      </c>
      <c r="J18" t="b">
        <v>0</v>
      </c>
      <c r="K18" t="s">
        <v>34</v>
      </c>
      <c r="M18" t="str">
        <f>IF(LEN(K18),IF(OR(COUNTIF(K18,"*◆*"),COUNTIF(K18,"*▼*")),"","●"),"")</f>
        <v>●</v>
      </c>
      <c r="N18">
        <f>IF(M18="●",INT(MID(E18,5,3)),"")</f>
        <v>416</v>
      </c>
      <c r="O18" t="str">
        <f>IF($M18="●","LDP "&amp;E18&amp;"."&amp;$B$8,"")</f>
        <v>LDP stEx416.x2</v>
      </c>
      <c r="P18" t="str">
        <f>IF($M18="●","AND=.D "&amp;$B$9&amp;" #0","")</f>
        <v>AND=.D stM.udiErrNo #0</v>
      </c>
      <c r="Q18" t="str">
        <f>IF($M18="●","MOV.D #"&amp;N18&amp;" "&amp;$B$9,"")</f>
        <v>MOV.D #416 stM.udiErrNo</v>
      </c>
      <c r="R18" t="str">
        <f>IF(AND(D18&lt;&gt;0,M18="●"),CHAR(10),"")&amp;IF(LEN(O18),O18,"")</f>
        <v xml:space="preserve">
LDP stEx416.x2</v>
      </c>
      <c r="S18" t="str">
        <f>IF(LEN(R18),R18&amp;CHAR(10),"")&amp;IF(LEN(P18),P18,"")</f>
        <v xml:space="preserve">
LDP stEx416.x2
AND=.D stM.udiErrNo #0</v>
      </c>
      <c r="T18" t="str">
        <f>IF(LEN(S18),S18&amp;CHAR(10),"")&amp;IF(LEN(Q18),Q18,"")</f>
        <v xml:space="preserve">
LDP stEx416.x2
AND=.D stM.udiErrNo #0
MOV.D #416 stM.udiErrNo</v>
      </c>
      <c r="V18" t="str">
        <f t="shared" ca="1" si="0"/>
        <v>BOX_ST
;//このスクリプトは C:\tk\prj\hg-0025-0016\[置換変換.xlsx]Sheet3 によって生成されました。
;//エラーNo.を入れる
;stM.udiErrNo	:= 416;
;//-----ここまで生成script-----</v>
      </c>
      <c r="W18" t="str">
        <f ca="1">IF(LEN(S18),S18&amp;CHAR(10),"")&amp;IF(LEN(V18),V18,"")</f>
        <v xml:space="preserve">
LDP stEx416.x2
AND=.D stM.udiErrNo #0
BOX_ST
;//このスクリプトは C:\tk\prj\hg-0025-0016\[置換変換.xlsx]Sheet3 によって生成されました。
;//エラーNo.を入れる
;stM.udiErrNo	:= 416;
;//-----ここまで生成script-----</v>
      </c>
    </row>
    <row r="19" spans="4:23" x14ac:dyDescent="0.55000000000000004">
      <c r="D19">
        <v>17</v>
      </c>
      <c r="E19" t="s">
        <v>33</v>
      </c>
      <c r="F19" t="s">
        <v>1</v>
      </c>
      <c r="H19" t="b">
        <v>0</v>
      </c>
      <c r="I19" t="b">
        <v>0</v>
      </c>
      <c r="J19" t="b">
        <v>0</v>
      </c>
      <c r="K19" t="s">
        <v>32</v>
      </c>
      <c r="M19" t="str">
        <f>IF(LEN(K19),IF(OR(COUNTIF(K19,"*◆*"),COUNTIF(K19,"*▼*")),"","●"),"")</f>
        <v/>
      </c>
      <c r="N19" t="str">
        <f>IF(M19="●",INT(MID(E19,5,3)),"")</f>
        <v/>
      </c>
      <c r="O19" t="str">
        <f>IF($M19="●","LDP "&amp;E19&amp;"."&amp;$B$8,"")</f>
        <v/>
      </c>
      <c r="P19" t="str">
        <f>IF($M19="●","AND=.D "&amp;$B$9&amp;" #0","")</f>
        <v/>
      </c>
      <c r="Q19" t="str">
        <f>IF($M19="●","MOV.D #"&amp;N19&amp;" "&amp;$B$9,"")</f>
        <v/>
      </c>
      <c r="R19" t="str">
        <f>IF(AND(D19&lt;&gt;0,M19="●"),CHAR(10),"")&amp;IF(LEN(O19),O19,"")</f>
        <v/>
      </c>
      <c r="S19" t="str">
        <f>IF(LEN(R19),R19&amp;CHAR(10),"")&amp;IF(LEN(P19),P19,"")</f>
        <v/>
      </c>
      <c r="T19" t="str">
        <f>IF(LEN(S19),S19&amp;CHAR(10),"")&amp;IF(LEN(Q19),Q19,"")</f>
        <v/>
      </c>
      <c r="V19" t="str">
        <f t="shared" si="0"/>
        <v/>
      </c>
      <c r="W19" t="str">
        <f>IF(LEN(S19),S19&amp;CHAR(10),"")&amp;IF(LEN(V19),V19,"")</f>
        <v/>
      </c>
    </row>
    <row r="20" spans="4:23" x14ac:dyDescent="0.55000000000000004">
      <c r="D20">
        <v>18</v>
      </c>
      <c r="E20" t="s">
        <v>31</v>
      </c>
      <c r="F20" t="s">
        <v>1</v>
      </c>
      <c r="H20" t="b">
        <v>0</v>
      </c>
      <c r="I20" t="b">
        <v>0</v>
      </c>
      <c r="J20" t="b">
        <v>0</v>
      </c>
      <c r="K20" t="s">
        <v>30</v>
      </c>
      <c r="M20" t="str">
        <f>IF(LEN(K20),IF(OR(COUNTIF(K20,"*◆*"),COUNTIF(K20,"*▼*")),"","●"),"")</f>
        <v/>
      </c>
      <c r="N20" t="str">
        <f>IF(M20="●",INT(MID(E20,5,3)),"")</f>
        <v/>
      </c>
      <c r="O20" t="str">
        <f>IF($M20="●","LDP "&amp;E20&amp;"."&amp;$B$8,"")</f>
        <v/>
      </c>
      <c r="P20" t="str">
        <f>IF($M20="●","AND=.D "&amp;$B$9&amp;" #0","")</f>
        <v/>
      </c>
      <c r="Q20" t="str">
        <f>IF($M20="●","MOV.D #"&amp;N20&amp;" "&amp;$B$9,"")</f>
        <v/>
      </c>
      <c r="R20" t="str">
        <f>IF(AND(D20&lt;&gt;0,M20="●"),CHAR(10),"")&amp;IF(LEN(O20),O20,"")</f>
        <v/>
      </c>
      <c r="S20" t="str">
        <f>IF(LEN(R20),R20&amp;CHAR(10),"")&amp;IF(LEN(P20),P20,"")</f>
        <v/>
      </c>
      <c r="T20" t="str">
        <f>IF(LEN(S20),S20&amp;CHAR(10),"")&amp;IF(LEN(Q20),Q20,"")</f>
        <v/>
      </c>
      <c r="V20" t="str">
        <f t="shared" si="0"/>
        <v/>
      </c>
      <c r="W20" t="str">
        <f>IF(LEN(S20),S20&amp;CHAR(10),"")&amp;IF(LEN(V20),V20,"")</f>
        <v/>
      </c>
    </row>
    <row r="21" spans="4:23" x14ac:dyDescent="0.55000000000000004">
      <c r="D21">
        <v>19</v>
      </c>
      <c r="E21" t="s">
        <v>29</v>
      </c>
      <c r="F21" t="s">
        <v>1</v>
      </c>
      <c r="H21" t="b">
        <v>0</v>
      </c>
      <c r="I21" t="b">
        <v>0</v>
      </c>
      <c r="J21" t="b">
        <v>0</v>
      </c>
      <c r="K21" t="s">
        <v>28</v>
      </c>
      <c r="M21" t="str">
        <f>IF(LEN(K21),IF(OR(COUNTIF(K21,"*◆*"),COUNTIF(K21,"*▼*")),"","●"),"")</f>
        <v>●</v>
      </c>
      <c r="N21">
        <f>IF(M21="●",INT(MID(E21,5,3)),"")</f>
        <v>418</v>
      </c>
      <c r="O21" t="str">
        <f>IF($M21="●","LDP "&amp;E21&amp;"."&amp;$B$8,"")</f>
        <v>LDP stEx418.x2</v>
      </c>
      <c r="P21" t="str">
        <f>IF($M21="●","AND=.D "&amp;$B$9&amp;" #0","")</f>
        <v>AND=.D stM.udiErrNo #0</v>
      </c>
      <c r="Q21" t="str">
        <f>IF($M21="●","MOV.D #"&amp;N21&amp;" "&amp;$B$9,"")</f>
        <v>MOV.D #418 stM.udiErrNo</v>
      </c>
      <c r="R21" t="str">
        <f>IF(AND(D21&lt;&gt;0,M21="●"),CHAR(10),"")&amp;IF(LEN(O21),O21,"")</f>
        <v xml:space="preserve">
LDP stEx418.x2</v>
      </c>
      <c r="S21" t="str">
        <f>IF(LEN(R21),R21&amp;CHAR(10),"")&amp;IF(LEN(P21),P21,"")</f>
        <v xml:space="preserve">
LDP stEx418.x2
AND=.D stM.udiErrNo #0</v>
      </c>
      <c r="T21" t="str">
        <f>IF(LEN(S21),S21&amp;CHAR(10),"")&amp;IF(LEN(Q21),Q21,"")</f>
        <v xml:space="preserve">
LDP stEx418.x2
AND=.D stM.udiErrNo #0
MOV.D #418 stM.udiErrNo</v>
      </c>
      <c r="V21" t="str">
        <f t="shared" ca="1" si="0"/>
        <v>BOX_ST
;//このスクリプトは C:\tk\prj\hg-0025-0016\[置換変換.xlsx]Sheet3 によって生成されました。
;//エラーNo.を入れる
;stM.udiErrNo	:= 418;
;//-----ここまで生成script-----</v>
      </c>
      <c r="W21" t="str">
        <f ca="1">IF(LEN(S21),S21&amp;CHAR(10),"")&amp;IF(LEN(V21),V21,"")</f>
        <v xml:space="preserve">
LDP stEx418.x2
AND=.D stM.udiErrNo #0
BOX_ST
;//このスクリプトは C:\tk\prj\hg-0025-0016\[置換変換.xlsx]Sheet3 によって生成されました。
;//エラーNo.を入れる
;stM.udiErrNo	:= 418;
;//-----ここまで生成script-----</v>
      </c>
    </row>
    <row r="22" spans="4:23" x14ac:dyDescent="0.55000000000000004">
      <c r="D22">
        <v>20</v>
      </c>
      <c r="E22" t="s">
        <v>27</v>
      </c>
      <c r="F22" t="s">
        <v>1</v>
      </c>
      <c r="H22" t="b">
        <v>0</v>
      </c>
      <c r="I22" t="b">
        <v>0</v>
      </c>
      <c r="J22" t="b">
        <v>0</v>
      </c>
      <c r="K22" t="s">
        <v>26</v>
      </c>
      <c r="M22" t="str">
        <f>IF(LEN(K22),IF(OR(COUNTIF(K22,"*◆*"),COUNTIF(K22,"*▼*")),"","●"),"")</f>
        <v/>
      </c>
      <c r="N22" t="str">
        <f>IF(M22="●",INT(MID(E22,5,3)),"")</f>
        <v/>
      </c>
      <c r="O22" t="str">
        <f>IF($M22="●","LDP "&amp;E22&amp;"."&amp;$B$8,"")</f>
        <v/>
      </c>
      <c r="P22" t="str">
        <f>IF($M22="●","AND=.D "&amp;$B$9&amp;" #0","")</f>
        <v/>
      </c>
      <c r="Q22" t="str">
        <f>IF($M22="●","MOV.D #"&amp;N22&amp;" "&amp;$B$9,"")</f>
        <v/>
      </c>
      <c r="R22" t="str">
        <f>IF(AND(D22&lt;&gt;0,M22="●"),CHAR(10),"")&amp;IF(LEN(O22),O22,"")</f>
        <v/>
      </c>
      <c r="S22" t="str">
        <f>IF(LEN(R22),R22&amp;CHAR(10),"")&amp;IF(LEN(P22),P22,"")</f>
        <v/>
      </c>
      <c r="T22" t="str">
        <f>IF(LEN(S22),S22&amp;CHAR(10),"")&amp;IF(LEN(Q22),Q22,"")</f>
        <v/>
      </c>
      <c r="V22" t="str">
        <f t="shared" si="0"/>
        <v/>
      </c>
      <c r="W22" t="str">
        <f>IF(LEN(S22),S22&amp;CHAR(10),"")&amp;IF(LEN(V22),V22,"")</f>
        <v/>
      </c>
    </row>
    <row r="23" spans="4:23" x14ac:dyDescent="0.55000000000000004">
      <c r="D23">
        <v>21</v>
      </c>
      <c r="E23" t="s">
        <v>25</v>
      </c>
      <c r="F23" t="s">
        <v>1</v>
      </c>
      <c r="H23" t="b">
        <v>0</v>
      </c>
      <c r="I23" t="b">
        <v>0</v>
      </c>
      <c r="J23" t="b">
        <v>0</v>
      </c>
      <c r="K23" t="s">
        <v>24</v>
      </c>
      <c r="M23" t="str">
        <f>IF(LEN(K23),IF(OR(COUNTIF(K23,"*◆*"),COUNTIF(K23,"*▼*")),"","●"),"")</f>
        <v/>
      </c>
      <c r="N23" t="str">
        <f>IF(M23="●",INT(MID(E23,5,3)),"")</f>
        <v/>
      </c>
      <c r="O23" t="str">
        <f>IF($M23="●","LDP "&amp;E23&amp;"."&amp;$B$8,"")</f>
        <v/>
      </c>
      <c r="P23" t="str">
        <f>IF($M23="●","AND=.D "&amp;$B$9&amp;" #0","")</f>
        <v/>
      </c>
      <c r="Q23" t="str">
        <f>IF($M23="●","MOV.D #"&amp;N23&amp;" "&amp;$B$9,"")</f>
        <v/>
      </c>
      <c r="R23" t="str">
        <f>IF(AND(D23&lt;&gt;0,M23="●"),CHAR(10),"")&amp;IF(LEN(O23),O23,"")</f>
        <v/>
      </c>
      <c r="S23" t="str">
        <f>IF(LEN(R23),R23&amp;CHAR(10),"")&amp;IF(LEN(P23),P23,"")</f>
        <v/>
      </c>
      <c r="T23" t="str">
        <f>IF(LEN(S23),S23&amp;CHAR(10),"")&amp;IF(LEN(Q23),Q23,"")</f>
        <v/>
      </c>
      <c r="V23" t="str">
        <f t="shared" si="0"/>
        <v/>
      </c>
      <c r="W23" t="str">
        <f>IF(LEN(S23),S23&amp;CHAR(10),"")&amp;IF(LEN(V23),V23,"")</f>
        <v/>
      </c>
    </row>
    <row r="24" spans="4:23" x14ac:dyDescent="0.55000000000000004">
      <c r="D24">
        <v>22</v>
      </c>
      <c r="E24" t="s">
        <v>23</v>
      </c>
      <c r="F24" t="s">
        <v>1</v>
      </c>
      <c r="H24" t="b">
        <v>0</v>
      </c>
      <c r="I24" t="b">
        <v>0</v>
      </c>
      <c r="J24" t="b">
        <v>0</v>
      </c>
      <c r="K24" t="s">
        <v>22</v>
      </c>
      <c r="M24" t="str">
        <f>IF(LEN(K24),IF(OR(COUNTIF(K24,"*◆*"),COUNTIF(K24,"*▼*")),"","●"),"")</f>
        <v/>
      </c>
      <c r="N24" t="str">
        <f>IF(M24="●",INT(MID(E24,5,3)),"")</f>
        <v/>
      </c>
      <c r="O24" t="str">
        <f>IF($M24="●","LDP "&amp;E24&amp;"."&amp;$B$8,"")</f>
        <v/>
      </c>
      <c r="P24" t="str">
        <f>IF($M24="●","AND=.D "&amp;$B$9&amp;" #0","")</f>
        <v/>
      </c>
      <c r="Q24" t="str">
        <f>IF($M24="●","MOV.D #"&amp;N24&amp;" "&amp;$B$9,"")</f>
        <v/>
      </c>
      <c r="R24" t="str">
        <f>IF(AND(D24&lt;&gt;0,M24="●"),CHAR(10),"")&amp;IF(LEN(O24),O24,"")</f>
        <v/>
      </c>
      <c r="S24" t="str">
        <f>IF(LEN(R24),R24&amp;CHAR(10),"")&amp;IF(LEN(P24),P24,"")</f>
        <v/>
      </c>
      <c r="T24" t="str">
        <f>IF(LEN(S24),S24&amp;CHAR(10),"")&amp;IF(LEN(Q24),Q24,"")</f>
        <v/>
      </c>
      <c r="V24" t="str">
        <f t="shared" si="0"/>
        <v/>
      </c>
      <c r="W24" t="str">
        <f>IF(LEN(S24),S24&amp;CHAR(10),"")&amp;IF(LEN(V24),V24,"")</f>
        <v/>
      </c>
    </row>
    <row r="25" spans="4:23" x14ac:dyDescent="0.55000000000000004">
      <c r="D25">
        <v>23</v>
      </c>
      <c r="E25" t="s">
        <v>21</v>
      </c>
      <c r="F25" t="s">
        <v>1</v>
      </c>
      <c r="H25" t="b">
        <v>0</v>
      </c>
      <c r="I25" t="b">
        <v>0</v>
      </c>
      <c r="J25" t="b">
        <v>0</v>
      </c>
      <c r="K25" t="s">
        <v>20</v>
      </c>
      <c r="M25" t="str">
        <f>IF(LEN(K25),IF(OR(COUNTIF(K25,"*◆*"),COUNTIF(K25,"*▼*")),"","●"),"")</f>
        <v/>
      </c>
      <c r="N25" t="str">
        <f>IF(M25="●",INT(MID(E25,5,3)),"")</f>
        <v/>
      </c>
      <c r="O25" t="str">
        <f>IF($M25="●","LDP "&amp;E25&amp;"."&amp;$B$8,"")</f>
        <v/>
      </c>
      <c r="P25" t="str">
        <f>IF($M25="●","AND=.D "&amp;$B$9&amp;" #0","")</f>
        <v/>
      </c>
      <c r="Q25" t="str">
        <f>IF($M25="●","MOV.D #"&amp;N25&amp;" "&amp;$B$9,"")</f>
        <v/>
      </c>
      <c r="R25" t="str">
        <f>IF(AND(D25&lt;&gt;0,M25="●"),CHAR(10),"")&amp;IF(LEN(O25),O25,"")</f>
        <v/>
      </c>
      <c r="S25" t="str">
        <f>IF(LEN(R25),R25&amp;CHAR(10),"")&amp;IF(LEN(P25),P25,"")</f>
        <v/>
      </c>
      <c r="T25" t="str">
        <f>IF(LEN(S25),S25&amp;CHAR(10),"")&amp;IF(LEN(Q25),Q25,"")</f>
        <v/>
      </c>
      <c r="V25" t="str">
        <f t="shared" si="0"/>
        <v/>
      </c>
      <c r="W25" t="str">
        <f>IF(LEN(S25),S25&amp;CHAR(10),"")&amp;IF(LEN(V25),V25,"")</f>
        <v/>
      </c>
    </row>
    <row r="26" spans="4:23" x14ac:dyDescent="0.55000000000000004">
      <c r="D26">
        <v>24</v>
      </c>
      <c r="E26" t="s">
        <v>19</v>
      </c>
      <c r="F26" t="s">
        <v>1</v>
      </c>
      <c r="H26" t="b">
        <v>0</v>
      </c>
      <c r="I26" t="b">
        <v>0</v>
      </c>
      <c r="J26" t="b">
        <v>0</v>
      </c>
      <c r="K26" t="s">
        <v>13</v>
      </c>
      <c r="M26" t="str">
        <f>IF(LEN(K26),IF(OR(COUNTIF(K26,"*◆*"),COUNTIF(K26,"*▼*")),"","●"),"")</f>
        <v>●</v>
      </c>
      <c r="N26">
        <f>IF(M26="●",INT(MID(E26,5,3)),"")</f>
        <v>422</v>
      </c>
      <c r="O26" t="str">
        <f>IF($M26="●","LDP "&amp;E26&amp;"."&amp;$B$8,"")</f>
        <v>LDP stEx422.x2</v>
      </c>
      <c r="P26" t="str">
        <f>IF($M26="●","AND=.D "&amp;$B$9&amp;" #0","")</f>
        <v>AND=.D stM.udiErrNo #0</v>
      </c>
      <c r="Q26" t="str">
        <f>IF($M26="●","MOV.D #"&amp;N26&amp;" "&amp;$B$9,"")</f>
        <v>MOV.D #422 stM.udiErrNo</v>
      </c>
      <c r="R26" t="str">
        <f>IF(AND(D26&lt;&gt;0,M26="●"),CHAR(10),"")&amp;IF(LEN(O26),O26,"")</f>
        <v xml:space="preserve">
LDP stEx422.x2</v>
      </c>
      <c r="S26" t="str">
        <f>IF(LEN(R26),R26&amp;CHAR(10),"")&amp;IF(LEN(P26),P26,"")</f>
        <v xml:space="preserve">
LDP stEx422.x2
AND=.D stM.udiErrNo #0</v>
      </c>
      <c r="T26" t="str">
        <f>IF(LEN(S26),S26&amp;CHAR(10),"")&amp;IF(LEN(Q26),Q26,"")</f>
        <v xml:space="preserve">
LDP stEx422.x2
AND=.D stM.udiErrNo #0
MOV.D #422 stM.udiErrNo</v>
      </c>
      <c r="V26" t="str">
        <f t="shared" ca="1" si="0"/>
        <v>BOX_ST
;//このスクリプトは C:\tk\prj\hg-0025-0016\[置換変換.xlsx]Sheet3 によって生成されました。
;//エラーNo.を入れる
;stM.udiErrNo	:= 422;
;//-----ここまで生成script-----</v>
      </c>
      <c r="W26" t="str">
        <f ca="1">IF(LEN(S26),S26&amp;CHAR(10),"")&amp;IF(LEN(V26),V26,"")</f>
        <v xml:space="preserve">
LDP stEx422.x2
AND=.D stM.udiErrNo #0
BOX_ST
;//このスクリプトは C:\tk\prj\hg-0025-0016\[置換変換.xlsx]Sheet3 によって生成されました。
;//エラーNo.を入れる
;stM.udiErrNo	:= 422;
;//-----ここまで生成script-----</v>
      </c>
    </row>
    <row r="27" spans="4:23" x14ac:dyDescent="0.55000000000000004">
      <c r="D27">
        <v>25</v>
      </c>
      <c r="E27" t="s">
        <v>18</v>
      </c>
      <c r="F27" t="s">
        <v>1</v>
      </c>
      <c r="H27" t="b">
        <v>0</v>
      </c>
      <c r="I27" t="b">
        <v>0</v>
      </c>
      <c r="J27" t="b">
        <v>0</v>
      </c>
      <c r="K27" t="s">
        <v>17</v>
      </c>
      <c r="M27" t="str">
        <f>IF(LEN(K27),IF(OR(COUNTIF(K27,"*◆*"),COUNTIF(K27,"*▼*")),"","●"),"")</f>
        <v>●</v>
      </c>
      <c r="N27">
        <f>IF(M27="●",INT(MID(E27,5,3)),"")</f>
        <v>423</v>
      </c>
      <c r="O27" t="str">
        <f>IF($M27="●","LDP "&amp;E27&amp;"."&amp;$B$8,"")</f>
        <v>LDP stEx423.x2</v>
      </c>
      <c r="P27" t="str">
        <f>IF($M27="●","AND=.D "&amp;$B$9&amp;" #0","")</f>
        <v>AND=.D stM.udiErrNo #0</v>
      </c>
      <c r="Q27" t="str">
        <f>IF($M27="●","MOV.D #"&amp;N27&amp;" "&amp;$B$9,"")</f>
        <v>MOV.D #423 stM.udiErrNo</v>
      </c>
      <c r="R27" t="str">
        <f>IF(AND(D27&lt;&gt;0,M27="●"),CHAR(10),"")&amp;IF(LEN(O27),O27,"")</f>
        <v xml:space="preserve">
LDP stEx423.x2</v>
      </c>
      <c r="S27" t="str">
        <f>IF(LEN(R27),R27&amp;CHAR(10),"")&amp;IF(LEN(P27),P27,"")</f>
        <v xml:space="preserve">
LDP stEx423.x2
AND=.D stM.udiErrNo #0</v>
      </c>
      <c r="T27" t="str">
        <f>IF(LEN(S27),S27&amp;CHAR(10),"")&amp;IF(LEN(Q27),Q27,"")</f>
        <v xml:space="preserve">
LDP stEx423.x2
AND=.D stM.udiErrNo #0
MOV.D #423 stM.udiErrNo</v>
      </c>
      <c r="V27" t="str">
        <f t="shared" ca="1" si="0"/>
        <v>BOX_ST
;//このスクリプトは C:\tk\prj\hg-0025-0016\[置換変換.xlsx]Sheet3 によって生成されました。
;//エラーNo.を入れる
;stM.udiErrNo	:= 423;
;//-----ここまで生成script-----</v>
      </c>
      <c r="W27" t="str">
        <f ca="1">IF(LEN(S27),S27&amp;CHAR(10),"")&amp;IF(LEN(V27),V27,"")</f>
        <v xml:space="preserve">
LDP stEx423.x2
AND=.D stM.udiErrNo #0
BOX_ST
;//このスクリプトは C:\tk\prj\hg-0025-0016\[置換変換.xlsx]Sheet3 によって生成されました。
;//エラーNo.を入れる
;stM.udiErrNo	:= 423;
;//-----ここまで生成script-----</v>
      </c>
    </row>
    <row r="28" spans="4:23" x14ac:dyDescent="0.55000000000000004">
      <c r="D28">
        <v>26</v>
      </c>
      <c r="E28" t="s">
        <v>16</v>
      </c>
      <c r="F28" t="s">
        <v>1</v>
      </c>
      <c r="H28" t="b">
        <v>0</v>
      </c>
      <c r="I28" t="b">
        <v>0</v>
      </c>
      <c r="J28" t="b">
        <v>0</v>
      </c>
      <c r="K28" t="s">
        <v>15</v>
      </c>
      <c r="M28" t="str">
        <f>IF(LEN(K28),IF(OR(COUNTIF(K28,"*◆*"),COUNTIF(K28,"*▼*")),"","●"),"")</f>
        <v>●</v>
      </c>
      <c r="N28">
        <f>IF(M28="●",INT(MID(E28,5,3)),"")</f>
        <v>424</v>
      </c>
      <c r="O28" t="str">
        <f>IF($M28="●","LDP "&amp;E28&amp;"."&amp;$B$8,"")</f>
        <v>LDP stEx424.x2</v>
      </c>
      <c r="P28" t="str">
        <f>IF($M28="●","AND=.D "&amp;$B$9&amp;" #0","")</f>
        <v>AND=.D stM.udiErrNo #0</v>
      </c>
      <c r="Q28" t="str">
        <f>IF($M28="●","MOV.D #"&amp;N28&amp;" "&amp;$B$9,"")</f>
        <v>MOV.D #424 stM.udiErrNo</v>
      </c>
      <c r="R28" t="str">
        <f>IF(AND(D28&lt;&gt;0,M28="●"),CHAR(10),"")&amp;IF(LEN(O28),O28,"")</f>
        <v xml:space="preserve">
LDP stEx424.x2</v>
      </c>
      <c r="S28" t="str">
        <f>IF(LEN(R28),R28&amp;CHAR(10),"")&amp;IF(LEN(P28),P28,"")</f>
        <v xml:space="preserve">
LDP stEx424.x2
AND=.D stM.udiErrNo #0</v>
      </c>
      <c r="T28" t="str">
        <f>IF(LEN(S28),S28&amp;CHAR(10),"")&amp;IF(LEN(Q28),Q28,"")</f>
        <v xml:space="preserve">
LDP stEx424.x2
AND=.D stM.udiErrNo #0
MOV.D #424 stM.udiErrNo</v>
      </c>
      <c r="V28" t="str">
        <f t="shared" ca="1" si="0"/>
        <v>BOX_ST
;//このスクリプトは C:\tk\prj\hg-0025-0016\[置換変換.xlsx]Sheet3 によって生成されました。
;//エラーNo.を入れる
;stM.udiErrNo	:= 424;
;//-----ここまで生成script-----</v>
      </c>
      <c r="W28" t="str">
        <f ca="1">IF(LEN(S28),S28&amp;CHAR(10),"")&amp;IF(LEN(V28),V28,"")</f>
        <v xml:space="preserve">
LDP stEx424.x2
AND=.D stM.udiErrNo #0
BOX_ST
;//このスクリプトは C:\tk\prj\hg-0025-0016\[置換変換.xlsx]Sheet3 によって生成されました。
;//エラーNo.を入れる
;stM.udiErrNo	:= 424;
;//-----ここまで生成script-----</v>
      </c>
    </row>
    <row r="29" spans="4:23" x14ac:dyDescent="0.55000000000000004">
      <c r="D29">
        <v>27</v>
      </c>
      <c r="E29" t="s">
        <v>14</v>
      </c>
      <c r="F29" t="s">
        <v>1</v>
      </c>
      <c r="H29" t="b">
        <v>0</v>
      </c>
      <c r="I29" t="b">
        <v>0</v>
      </c>
      <c r="J29" t="b">
        <v>0</v>
      </c>
      <c r="K29" t="s">
        <v>13</v>
      </c>
      <c r="M29" t="str">
        <f>IF(LEN(K29),IF(OR(COUNTIF(K29,"*◆*"),COUNTIF(K29,"*▼*")),"","●"),"")</f>
        <v>●</v>
      </c>
      <c r="N29">
        <f>IF(M29="●",INT(MID(E29,5,3)),"")</f>
        <v>425</v>
      </c>
      <c r="O29" t="str">
        <f>IF($M29="●","LDP "&amp;E29&amp;"."&amp;$B$8,"")</f>
        <v>LDP stEx425.x2</v>
      </c>
      <c r="P29" t="str">
        <f>IF($M29="●","AND=.D "&amp;$B$9&amp;" #0","")</f>
        <v>AND=.D stM.udiErrNo #0</v>
      </c>
      <c r="Q29" t="str">
        <f>IF($M29="●","MOV.D #"&amp;N29&amp;" "&amp;$B$9,"")</f>
        <v>MOV.D #425 stM.udiErrNo</v>
      </c>
      <c r="R29" t="str">
        <f>IF(AND(D29&lt;&gt;0,M29="●"),CHAR(10),"")&amp;IF(LEN(O29),O29,"")</f>
        <v xml:space="preserve">
LDP stEx425.x2</v>
      </c>
      <c r="S29" t="str">
        <f>IF(LEN(R29),R29&amp;CHAR(10),"")&amp;IF(LEN(P29),P29,"")</f>
        <v xml:space="preserve">
LDP stEx425.x2
AND=.D stM.udiErrNo #0</v>
      </c>
      <c r="T29" t="str">
        <f>IF(LEN(S29),S29&amp;CHAR(10),"")&amp;IF(LEN(Q29),Q29,"")</f>
        <v xml:space="preserve">
LDP stEx425.x2
AND=.D stM.udiErrNo #0
MOV.D #425 stM.udiErrNo</v>
      </c>
      <c r="V29" t="str">
        <f t="shared" ca="1" si="0"/>
        <v>BOX_ST
;//このスクリプトは C:\tk\prj\hg-0025-0016\[置換変換.xlsx]Sheet3 によって生成されました。
;//エラーNo.を入れる
;stM.udiErrNo	:= 425;
;//-----ここまで生成script-----</v>
      </c>
      <c r="W29" t="str">
        <f ca="1">IF(LEN(S29),S29&amp;CHAR(10),"")&amp;IF(LEN(V29),V29,"")</f>
        <v xml:space="preserve">
LDP stEx425.x2
AND=.D stM.udiErrNo #0
BOX_ST
;//このスクリプトは C:\tk\prj\hg-0025-0016\[置換変換.xlsx]Sheet3 によって生成されました。
;//エラーNo.を入れる
;stM.udiErrNo	:= 425;
;//-----ここまで生成script-----</v>
      </c>
    </row>
    <row r="30" spans="4:23" x14ac:dyDescent="0.55000000000000004">
      <c r="D30">
        <v>28</v>
      </c>
      <c r="E30" t="s">
        <v>12</v>
      </c>
      <c r="F30" t="s">
        <v>1</v>
      </c>
      <c r="H30" t="b">
        <v>0</v>
      </c>
      <c r="I30" t="b">
        <v>0</v>
      </c>
      <c r="J30" t="b">
        <v>0</v>
      </c>
      <c r="K30" t="s">
        <v>11</v>
      </c>
      <c r="M30" t="str">
        <f>IF(LEN(K30),IF(OR(COUNTIF(K30,"*◆*"),COUNTIF(K30,"*▼*")),"","●"),"")</f>
        <v/>
      </c>
      <c r="N30" t="str">
        <f>IF(M30="●",INT(MID(E30,5,3)),"")</f>
        <v/>
      </c>
      <c r="O30" t="str">
        <f>IF($M30="●","LDP "&amp;E30&amp;"."&amp;$B$8,"")</f>
        <v/>
      </c>
      <c r="P30" t="str">
        <f>IF($M30="●","AND=.D "&amp;$B$9&amp;" #0","")</f>
        <v/>
      </c>
      <c r="Q30" t="str">
        <f>IF($M30="●","MOV.D #"&amp;N30&amp;" "&amp;$B$9,"")</f>
        <v/>
      </c>
      <c r="R30" t="str">
        <f>IF(AND(D30&lt;&gt;0,M30="●"),CHAR(10),"")&amp;IF(LEN(O30),O30,"")</f>
        <v/>
      </c>
      <c r="S30" t="str">
        <f>IF(LEN(R30),R30&amp;CHAR(10),"")&amp;IF(LEN(P30),P30,"")</f>
        <v/>
      </c>
      <c r="T30" t="str">
        <f>IF(LEN(S30),S30&amp;CHAR(10),"")&amp;IF(LEN(Q30),Q30,"")</f>
        <v/>
      </c>
      <c r="V30" t="str">
        <f t="shared" si="0"/>
        <v/>
      </c>
      <c r="W30" t="str">
        <f>IF(LEN(S30),S30&amp;CHAR(10),"")&amp;IF(LEN(V30),V30,"")</f>
        <v/>
      </c>
    </row>
    <row r="31" spans="4:23" x14ac:dyDescent="0.55000000000000004">
      <c r="D31">
        <v>29</v>
      </c>
      <c r="E31" t="s">
        <v>10</v>
      </c>
      <c r="F31" t="s">
        <v>1</v>
      </c>
      <c r="H31" t="b">
        <v>0</v>
      </c>
      <c r="I31" t="b">
        <v>0</v>
      </c>
      <c r="J31" t="b">
        <v>0</v>
      </c>
      <c r="K31" t="s">
        <v>9</v>
      </c>
      <c r="M31" t="str">
        <f>IF(LEN(K31),IF(OR(COUNTIF(K31,"*◆*"),COUNTIF(K31,"*▼*")),"","●"),"")</f>
        <v/>
      </c>
      <c r="N31" t="str">
        <f>IF(M31="●",INT(MID(E31,5,3)),"")</f>
        <v/>
      </c>
      <c r="O31" t="str">
        <f>IF($M31="●","LDP "&amp;E31&amp;"."&amp;$B$8,"")</f>
        <v/>
      </c>
      <c r="P31" t="str">
        <f>IF($M31="●","AND=.D "&amp;$B$9&amp;" #0","")</f>
        <v/>
      </c>
      <c r="Q31" t="str">
        <f>IF($M31="●","MOV.D #"&amp;N31&amp;" "&amp;$B$9,"")</f>
        <v/>
      </c>
      <c r="R31" t="str">
        <f>IF(AND(D31&lt;&gt;0,M31="●"),CHAR(10),"")&amp;IF(LEN(O31),O31,"")</f>
        <v/>
      </c>
      <c r="S31" t="str">
        <f>IF(LEN(R31),R31&amp;CHAR(10),"")&amp;IF(LEN(P31),P31,"")</f>
        <v/>
      </c>
      <c r="T31" t="str">
        <f>IF(LEN(S31),S31&amp;CHAR(10),"")&amp;IF(LEN(Q31),Q31,"")</f>
        <v/>
      </c>
      <c r="V31" t="str">
        <f t="shared" si="0"/>
        <v/>
      </c>
      <c r="W31" t="str">
        <f>IF(LEN(S31),S31&amp;CHAR(10),"")&amp;IF(LEN(V31),V31,"")</f>
        <v/>
      </c>
    </row>
    <row r="32" spans="4:23" x14ac:dyDescent="0.55000000000000004">
      <c r="D32">
        <v>30</v>
      </c>
      <c r="E32" t="s">
        <v>8</v>
      </c>
      <c r="F32" t="s">
        <v>1</v>
      </c>
      <c r="H32" t="b">
        <v>0</v>
      </c>
      <c r="I32" t="b">
        <v>0</v>
      </c>
      <c r="J32" t="b">
        <v>0</v>
      </c>
      <c r="K32" t="s">
        <v>7</v>
      </c>
      <c r="M32" t="str">
        <f>IF(LEN(K32),IF(OR(COUNTIF(K32,"*◆*"),COUNTIF(K32,"*▼*")),"","●"),"")</f>
        <v>●</v>
      </c>
      <c r="N32">
        <f>IF(M32="●",INT(MID(E32,5,3)),"")</f>
        <v>428</v>
      </c>
      <c r="O32" t="str">
        <f>IF($M32="●","LDP "&amp;E32&amp;"."&amp;$B$8,"")</f>
        <v>LDP stEx428.x2</v>
      </c>
      <c r="P32" t="str">
        <f>IF($M32="●","AND=.D "&amp;$B$9&amp;" #0","")</f>
        <v>AND=.D stM.udiErrNo #0</v>
      </c>
      <c r="Q32" t="str">
        <f>IF($M32="●","MOV.D #"&amp;N32&amp;" "&amp;$B$9,"")</f>
        <v>MOV.D #428 stM.udiErrNo</v>
      </c>
      <c r="R32" t="str">
        <f>IF(AND(D32&lt;&gt;0,M32="●"),CHAR(10),"")&amp;IF(LEN(O32),O32,"")</f>
        <v xml:space="preserve">
LDP stEx428.x2</v>
      </c>
      <c r="S32" t="str">
        <f>IF(LEN(R32),R32&amp;CHAR(10),"")&amp;IF(LEN(P32),P32,"")</f>
        <v xml:space="preserve">
LDP stEx428.x2
AND=.D stM.udiErrNo #0</v>
      </c>
      <c r="T32" t="str">
        <f>IF(LEN(S32),S32&amp;CHAR(10),"")&amp;IF(LEN(Q32),Q32,"")</f>
        <v xml:space="preserve">
LDP stEx428.x2
AND=.D stM.udiErrNo #0
MOV.D #428 stM.udiErrNo</v>
      </c>
      <c r="V32" t="str">
        <f t="shared" ca="1" si="0"/>
        <v>BOX_ST
;//このスクリプトは C:\tk\prj\hg-0025-0016\[置換変換.xlsx]Sheet3 によって生成されました。
;//エラーNo.を入れる
;stM.udiErrNo	:= 428;
;//-----ここまで生成script-----</v>
      </c>
      <c r="W32" t="str">
        <f ca="1">IF(LEN(S32),S32&amp;CHAR(10),"")&amp;IF(LEN(V32),V32,"")</f>
        <v xml:space="preserve">
LDP stEx428.x2
AND=.D stM.udiErrNo #0
BOX_ST
;//このスクリプトは C:\tk\prj\hg-0025-0016\[置換変換.xlsx]Sheet3 によって生成されました。
;//エラーNo.を入れる
;stM.udiErrNo	:= 428;
;//-----ここまで生成script-----</v>
      </c>
    </row>
    <row r="33" spans="4:23" x14ac:dyDescent="0.55000000000000004">
      <c r="D33">
        <v>31</v>
      </c>
      <c r="E33" t="s">
        <v>6</v>
      </c>
      <c r="F33" t="s">
        <v>1</v>
      </c>
      <c r="H33" t="b">
        <v>0</v>
      </c>
      <c r="I33" t="b">
        <v>0</v>
      </c>
      <c r="J33" t="b">
        <v>0</v>
      </c>
      <c r="K33" t="s">
        <v>5</v>
      </c>
      <c r="M33" t="str">
        <f>IF(LEN(K33),IF(OR(COUNTIF(K33,"*◆*"),COUNTIF(K33,"*▼*")),"","●"),"")</f>
        <v/>
      </c>
      <c r="N33" t="str">
        <f>IF(M33="●",INT(MID(E33,5,3)),"")</f>
        <v/>
      </c>
      <c r="O33" t="str">
        <f>IF($M33="●","LDP "&amp;E33&amp;"."&amp;$B$8,"")</f>
        <v/>
      </c>
      <c r="P33" t="str">
        <f>IF($M33="●","AND=.D "&amp;$B$9&amp;" #0","")</f>
        <v/>
      </c>
      <c r="Q33" t="str">
        <f>IF($M33="●","MOV.D #"&amp;N33&amp;" "&amp;$B$9,"")</f>
        <v/>
      </c>
      <c r="R33" t="str">
        <f>IF(AND(D33&lt;&gt;0,M33="●"),CHAR(10),"")&amp;IF(LEN(O33),O33,"")</f>
        <v/>
      </c>
      <c r="S33" t="str">
        <f>IF(LEN(R33),R33&amp;CHAR(10),"")&amp;IF(LEN(P33),P33,"")</f>
        <v/>
      </c>
      <c r="T33" t="str">
        <f>IF(LEN(S33),S33&amp;CHAR(10),"")&amp;IF(LEN(Q33),Q33,"")</f>
        <v/>
      </c>
      <c r="V33" t="str">
        <f t="shared" si="0"/>
        <v/>
      </c>
      <c r="W33" t="str">
        <f>IF(LEN(S33),S33&amp;CHAR(10),"")&amp;IF(LEN(V33),V33,"")</f>
        <v/>
      </c>
    </row>
    <row r="34" spans="4:23" x14ac:dyDescent="0.55000000000000004">
      <c r="D34">
        <v>32</v>
      </c>
      <c r="E34" t="s">
        <v>4</v>
      </c>
      <c r="F34" t="s">
        <v>1</v>
      </c>
      <c r="H34" t="b">
        <v>0</v>
      </c>
      <c r="I34" t="b">
        <v>0</v>
      </c>
      <c r="J34" t="b">
        <v>0</v>
      </c>
      <c r="K34" t="s">
        <v>3</v>
      </c>
      <c r="M34" t="str">
        <f>IF(LEN(K34),IF(OR(COUNTIF(K34,"*◆*"),COUNTIF(K34,"*▼*")),"","●"),"")</f>
        <v/>
      </c>
      <c r="N34" t="str">
        <f>IF(M34="●",INT(MID(E34,5,3)),"")</f>
        <v/>
      </c>
      <c r="O34" t="str">
        <f>IF($M34="●","LDP "&amp;E34&amp;"."&amp;$B$8,"")</f>
        <v/>
      </c>
      <c r="P34" t="str">
        <f>IF($M34="●","AND=.D "&amp;$B$9&amp;" #0","")</f>
        <v/>
      </c>
      <c r="Q34" t="str">
        <f>IF($M34="●","MOV.D #"&amp;N34&amp;" "&amp;$B$9,"")</f>
        <v/>
      </c>
      <c r="R34" t="str">
        <f>IF(AND(D34&lt;&gt;0,M34="●"),CHAR(10),"")&amp;IF(LEN(O34),O34,"")</f>
        <v/>
      </c>
      <c r="S34" t="str">
        <f>IF(LEN(R34),R34&amp;CHAR(10),"")&amp;IF(LEN(P34),P34,"")</f>
        <v/>
      </c>
      <c r="T34" t="str">
        <f>IF(LEN(S34),S34&amp;CHAR(10),"")&amp;IF(LEN(Q34),Q34,"")</f>
        <v/>
      </c>
      <c r="V34" t="str">
        <f t="shared" si="0"/>
        <v/>
      </c>
      <c r="W34" t="str">
        <f>IF(LEN(S34),S34&amp;CHAR(10),"")&amp;IF(LEN(V34),V34,"")</f>
        <v/>
      </c>
    </row>
    <row r="35" spans="4:23" x14ac:dyDescent="0.55000000000000004">
      <c r="D35">
        <v>33</v>
      </c>
      <c r="E35" t="s">
        <v>2</v>
      </c>
      <c r="F35" t="s">
        <v>1</v>
      </c>
      <c r="H35" t="b">
        <v>0</v>
      </c>
      <c r="I35" t="b">
        <v>0</v>
      </c>
      <c r="J35" t="b">
        <v>0</v>
      </c>
      <c r="K35" t="s">
        <v>0</v>
      </c>
      <c r="M35" t="str">
        <f>IF(LEN(K35),IF(OR(COUNTIF(K35,"*◆*"),COUNTIF(K35,"*▼*")),"","●"),"")</f>
        <v/>
      </c>
      <c r="N35" t="str">
        <f>IF(M35="●",INT(MID(E35,5,3)),"")</f>
        <v/>
      </c>
      <c r="O35" t="str">
        <f>IF($M35="●","LDP "&amp;E35&amp;"."&amp;$B$8,"")</f>
        <v/>
      </c>
      <c r="P35" t="str">
        <f>IF($M35="●","AND=.D "&amp;$B$9&amp;" #0","")</f>
        <v/>
      </c>
      <c r="Q35" t="str">
        <f>IF($M35="●","MOV.D #"&amp;N35&amp;" "&amp;$B$9,"")</f>
        <v/>
      </c>
      <c r="R35" t="str">
        <f>IF(AND(D35&lt;&gt;0,M35="●"),CHAR(10),"")&amp;IF(LEN(O35),O35,"")</f>
        <v/>
      </c>
      <c r="S35" t="str">
        <f>IF(LEN(R35),R35&amp;CHAR(10),"")&amp;IF(LEN(P35),P35,"")</f>
        <v/>
      </c>
      <c r="T35" t="str">
        <f>IF(LEN(S35),S35&amp;CHAR(10),"")&amp;IF(LEN(Q35),Q35,"")</f>
        <v/>
      </c>
      <c r="V35" t="str">
        <f t="shared" si="0"/>
        <v/>
      </c>
      <c r="W35" t="str">
        <f>IF(LEN(S35),S35&amp;CHAR(10),"")&amp;IF(LEN(V35),V35,"")</f>
        <v/>
      </c>
    </row>
    <row r="36" spans="4:23" x14ac:dyDescent="0.55000000000000004">
      <c r="D36">
        <v>34</v>
      </c>
      <c r="M36" t="str">
        <f>IF(LEN(K36),IF(OR(COUNTIF(K36,"*◆*"),COUNTIF(K36,"*▼*")),"","●"),"")</f>
        <v/>
      </c>
      <c r="N36" t="str">
        <f>IF(M36="●",INT(MID(E36,5,3)),"")</f>
        <v/>
      </c>
      <c r="O36" t="str">
        <f>IF($M36="●","LDP "&amp;E36&amp;"."&amp;$B$8,"")</f>
        <v/>
      </c>
      <c r="P36" t="str">
        <f>IF($M36="●","AND=.D "&amp;$B$9&amp;" #0","")</f>
        <v/>
      </c>
      <c r="Q36" t="str">
        <f>IF($M36="●","MOV.D #"&amp;N36&amp;" "&amp;$B$9,"")</f>
        <v/>
      </c>
      <c r="R36" t="str">
        <f>IF(AND(D36&lt;&gt;0,M36="●"),CHAR(10),"")&amp;IF(LEN(O36),O36,"")</f>
        <v/>
      </c>
      <c r="S36" t="str">
        <f>IF(LEN(R36),R36&amp;CHAR(10),"")&amp;IF(LEN(P36),P36,"")</f>
        <v/>
      </c>
      <c r="T36" t="str">
        <f>IF(LEN(S36),S36&amp;CHAR(10),"")&amp;IF(LEN(Q36),Q36,"")</f>
        <v/>
      </c>
      <c r="V36" t="str">
        <f t="shared" si="0"/>
        <v/>
      </c>
      <c r="W36" t="str">
        <f>IF(LEN(S36),S36&amp;CHAR(10),"")&amp;IF(LEN(V36),V36,"")</f>
        <v/>
      </c>
    </row>
    <row r="37" spans="4:23" x14ac:dyDescent="0.55000000000000004">
      <c r="D37">
        <v>35</v>
      </c>
      <c r="M37" t="str">
        <f>IF(LEN(K37),IF(OR(COUNTIF(K37,"*◆*"),COUNTIF(K37,"*▼*")),"","●"),"")</f>
        <v/>
      </c>
      <c r="N37" t="str">
        <f>IF(M37="●",INT(MID(E37,5,3)),"")</f>
        <v/>
      </c>
      <c r="O37" t="str">
        <f>IF($M37="●","LDP "&amp;E37&amp;"."&amp;$B$8,"")</f>
        <v/>
      </c>
      <c r="P37" t="str">
        <f>IF($M37="●","AND=.D "&amp;$B$9&amp;" #0","")</f>
        <v/>
      </c>
      <c r="Q37" t="str">
        <f>IF($M37="●","MOV.D #"&amp;N37&amp;" "&amp;$B$9,"")</f>
        <v/>
      </c>
      <c r="R37" t="str">
        <f>IF(AND(D37&lt;&gt;0,M37="●"),CHAR(10),"")&amp;IF(LEN(O37),O37,"")</f>
        <v/>
      </c>
      <c r="S37" t="str">
        <f>IF(LEN(R37),R37&amp;CHAR(10),"")&amp;IF(LEN(P37),P37,"")</f>
        <v/>
      </c>
      <c r="T37" t="str">
        <f>IF(LEN(S37),S37&amp;CHAR(10),"")&amp;IF(LEN(Q37),Q37,"")</f>
        <v/>
      </c>
      <c r="V37" t="str">
        <f t="shared" si="0"/>
        <v/>
      </c>
      <c r="W37" t="str">
        <f>IF(LEN(S37),S37&amp;CHAR(10),"")&amp;IF(LEN(V37),V37,"")</f>
        <v/>
      </c>
    </row>
    <row r="38" spans="4:23" x14ac:dyDescent="0.55000000000000004">
      <c r="D38">
        <v>36</v>
      </c>
      <c r="M38" t="str">
        <f>IF(LEN(K38),IF(OR(COUNTIF(K38,"*◆*"),COUNTIF(K38,"*▼*")),"","●"),"")</f>
        <v/>
      </c>
      <c r="N38" t="str">
        <f>IF(M38="●",INT(MID(E38,5,3)),"")</f>
        <v/>
      </c>
      <c r="O38" t="str">
        <f>IF($M38="●","LDP "&amp;E38&amp;"."&amp;$B$8,"")</f>
        <v/>
      </c>
      <c r="P38" t="str">
        <f>IF($M38="●","AND=.D "&amp;$B$9&amp;" #0","")</f>
        <v/>
      </c>
      <c r="Q38" t="str">
        <f>IF($M38="●","MOV.D #"&amp;N38&amp;" "&amp;$B$9,"")</f>
        <v/>
      </c>
      <c r="R38" t="str">
        <f>IF(AND(D38&lt;&gt;0,M38="●"),CHAR(10),"")&amp;IF(LEN(O38),O38,"")</f>
        <v/>
      </c>
      <c r="S38" t="str">
        <f>IF(LEN(R38),R38&amp;CHAR(10),"")&amp;IF(LEN(P38),P38,"")</f>
        <v/>
      </c>
      <c r="T38" t="str">
        <f>IF(LEN(S38),S38&amp;CHAR(10),"")&amp;IF(LEN(Q38),Q38,"")</f>
        <v/>
      </c>
      <c r="V38" t="str">
        <f t="shared" si="0"/>
        <v/>
      </c>
      <c r="W38" t="str">
        <f>IF(LEN(S38),S38&amp;CHAR(10),"")&amp;IF(LEN(V38),V38,"")</f>
        <v/>
      </c>
    </row>
    <row r="39" spans="4:23" x14ac:dyDescent="0.55000000000000004">
      <c r="D39">
        <v>37</v>
      </c>
      <c r="M39" t="str">
        <f>IF(LEN(K39),IF(OR(COUNTIF(K39,"*◆*"),COUNTIF(K39,"*▼*")),"","●"),"")</f>
        <v/>
      </c>
      <c r="N39" t="str">
        <f>IF(M39="●",INT(MID(E39,5,3)),"")</f>
        <v/>
      </c>
      <c r="O39" t="str">
        <f>IF($M39="●","LDP "&amp;E39&amp;"."&amp;$B$8,"")</f>
        <v/>
      </c>
      <c r="P39" t="str">
        <f>IF($M39="●","AND=.D "&amp;$B$9&amp;" #0","")</f>
        <v/>
      </c>
      <c r="Q39" t="str">
        <f>IF($M39="●","MOV.D #"&amp;N39&amp;" "&amp;$B$9,"")</f>
        <v/>
      </c>
      <c r="R39" t="str">
        <f>IF(AND(D39&lt;&gt;0,M39="●"),CHAR(10),"")&amp;IF(LEN(O39),O39,"")</f>
        <v/>
      </c>
      <c r="S39" t="str">
        <f>IF(LEN(R39),R39&amp;CHAR(10),"")&amp;IF(LEN(P39),P39,"")</f>
        <v/>
      </c>
      <c r="T39" t="str">
        <f>IF(LEN(S39),S39&amp;CHAR(10),"")&amp;IF(LEN(Q39),Q39,"")</f>
        <v/>
      </c>
      <c r="V39" t="str">
        <f t="shared" si="0"/>
        <v/>
      </c>
      <c r="W39" t="str">
        <f>IF(LEN(S39),S39&amp;CHAR(10),"")&amp;IF(LEN(V39),V39,"")</f>
        <v/>
      </c>
    </row>
    <row r="40" spans="4:23" x14ac:dyDescent="0.55000000000000004">
      <c r="D40">
        <v>38</v>
      </c>
      <c r="M40" t="str">
        <f>IF(LEN(K40),IF(OR(COUNTIF(K40,"*◆*"),COUNTIF(K40,"*▼*")),"","●"),"")</f>
        <v/>
      </c>
      <c r="N40" t="str">
        <f>IF(M40="●",INT(MID(E40,5,3)),"")</f>
        <v/>
      </c>
      <c r="O40" t="str">
        <f>IF($M40="●","LDP "&amp;E40&amp;"."&amp;$B$8,"")</f>
        <v/>
      </c>
      <c r="P40" t="str">
        <f>IF($M40="●","AND=.D "&amp;$B$9&amp;" #0","")</f>
        <v/>
      </c>
      <c r="Q40" t="str">
        <f>IF($M40="●","MOV.D #"&amp;N40&amp;" "&amp;$B$9,"")</f>
        <v/>
      </c>
      <c r="R40" t="str">
        <f>IF(AND(D40&lt;&gt;0,M40="●"),CHAR(10),"")&amp;IF(LEN(O40),O40,"")</f>
        <v/>
      </c>
      <c r="S40" t="str">
        <f>IF(LEN(R40),R40&amp;CHAR(10),"")&amp;IF(LEN(P40),P40,"")</f>
        <v/>
      </c>
      <c r="T40" t="str">
        <f>IF(LEN(S40),S40&amp;CHAR(10),"")&amp;IF(LEN(Q40),Q40,"")</f>
        <v/>
      </c>
      <c r="V40" t="str">
        <f t="shared" si="0"/>
        <v/>
      </c>
      <c r="W40" t="str">
        <f>IF(LEN(S40),S40&amp;CHAR(10),"")&amp;IF(LEN(V40),V40,"")</f>
        <v/>
      </c>
    </row>
    <row r="41" spans="4:23" x14ac:dyDescent="0.55000000000000004">
      <c r="D41">
        <v>39</v>
      </c>
      <c r="M41" t="str">
        <f>IF(LEN(K41),IF(OR(COUNTIF(K41,"*◆*"),COUNTIF(K41,"*▼*")),"","●"),"")</f>
        <v/>
      </c>
      <c r="N41" t="str">
        <f>IF(M41="●",INT(MID(E41,5,3)),"")</f>
        <v/>
      </c>
      <c r="O41" t="str">
        <f>IF($M41="●","LDP "&amp;E41&amp;"."&amp;$B$8,"")</f>
        <v/>
      </c>
      <c r="P41" t="str">
        <f>IF($M41="●","AND=.D "&amp;$B$9&amp;" #0","")</f>
        <v/>
      </c>
      <c r="Q41" t="str">
        <f>IF($M41="●","MOV.D #"&amp;N41&amp;" "&amp;$B$9,"")</f>
        <v/>
      </c>
      <c r="R41" t="str">
        <f>IF(AND(D41&lt;&gt;0,M41="●"),CHAR(10),"")&amp;IF(LEN(O41),O41,"")</f>
        <v/>
      </c>
      <c r="S41" t="str">
        <f>IF(LEN(R41),R41&amp;CHAR(10),"")&amp;IF(LEN(P41),P41,"")</f>
        <v/>
      </c>
      <c r="T41" t="str">
        <f>IF(LEN(S41),S41&amp;CHAR(10),"")&amp;IF(LEN(Q41),Q41,"")</f>
        <v/>
      </c>
      <c r="V41" t="str">
        <f t="shared" si="0"/>
        <v/>
      </c>
      <c r="W41" t="str">
        <f>IF(LEN(S41),S41&amp;CHAR(10),"")&amp;IF(LEN(V41),V41,"")</f>
        <v/>
      </c>
    </row>
    <row r="42" spans="4:23" x14ac:dyDescent="0.55000000000000004">
      <c r="D42">
        <v>40</v>
      </c>
      <c r="M42" t="str">
        <f>IF(LEN(K42),IF(OR(COUNTIF(K42,"*◆*"),COUNTIF(K42,"*▼*")),"","●"),"")</f>
        <v/>
      </c>
      <c r="N42" t="str">
        <f>IF(M42="●",INT(MID(E42,5,3)),"")</f>
        <v/>
      </c>
      <c r="O42" t="str">
        <f>IF($M42="●","LDP "&amp;E42&amp;"."&amp;$B$8,"")</f>
        <v/>
      </c>
      <c r="P42" t="str">
        <f>IF($M42="●","AND=.D "&amp;$B$9&amp;" #0","")</f>
        <v/>
      </c>
      <c r="Q42" t="str">
        <f>IF($M42="●","MOV.D #"&amp;N42&amp;" "&amp;$B$9,"")</f>
        <v/>
      </c>
      <c r="R42" t="str">
        <f>IF(AND(D42&lt;&gt;0,M42="●"),CHAR(10),"")&amp;IF(LEN(O42),O42,"")</f>
        <v/>
      </c>
      <c r="S42" t="str">
        <f>IF(LEN(R42),R42&amp;CHAR(10),"")&amp;IF(LEN(P42),P42,"")</f>
        <v/>
      </c>
      <c r="T42" t="str">
        <f>IF(LEN(S42),S42&amp;CHAR(10),"")&amp;IF(LEN(Q42),Q42,"")</f>
        <v/>
      </c>
      <c r="V42" t="str">
        <f t="shared" si="0"/>
        <v/>
      </c>
      <c r="W42" t="str">
        <f>IF(LEN(S42),S42&amp;CHAR(10),"")&amp;IF(LEN(V42),V42,"")</f>
        <v/>
      </c>
    </row>
    <row r="43" spans="4:23" x14ac:dyDescent="0.55000000000000004">
      <c r="D43">
        <v>41</v>
      </c>
      <c r="M43" t="str">
        <f>IF(LEN(K43),IF(OR(COUNTIF(K43,"*◆*"),COUNTIF(K43,"*▼*")),"","●"),"")</f>
        <v/>
      </c>
      <c r="N43" t="str">
        <f>IF(M43="●",INT(MID(E43,5,3)),"")</f>
        <v/>
      </c>
      <c r="O43" t="str">
        <f>IF($M43="●","LDP "&amp;E43&amp;"."&amp;$B$8,"")</f>
        <v/>
      </c>
      <c r="P43" t="str">
        <f>IF($M43="●","AND=.D "&amp;$B$9&amp;" #0","")</f>
        <v/>
      </c>
      <c r="Q43" t="str">
        <f>IF($M43="●","MOV.D #"&amp;N43&amp;" "&amp;$B$9,"")</f>
        <v/>
      </c>
      <c r="R43" t="str">
        <f>IF(AND(D43&lt;&gt;0,M43="●"),CHAR(10),"")&amp;IF(LEN(O43),O43,"")</f>
        <v/>
      </c>
      <c r="S43" t="str">
        <f>IF(LEN(R43),R43&amp;CHAR(10),"")&amp;IF(LEN(P43),P43,"")</f>
        <v/>
      </c>
      <c r="T43" t="str">
        <f>IF(LEN(S43),S43&amp;CHAR(10),"")&amp;IF(LEN(Q43),Q43,"")</f>
        <v/>
      </c>
      <c r="V43" t="str">
        <f t="shared" si="0"/>
        <v/>
      </c>
      <c r="W43" t="str">
        <f>IF(LEN(S43),S43&amp;CHAR(10),"")&amp;IF(LEN(V43),V43,"")</f>
        <v/>
      </c>
    </row>
    <row r="44" spans="4:23" x14ac:dyDescent="0.55000000000000004">
      <c r="D44">
        <v>42</v>
      </c>
      <c r="M44" t="str">
        <f>IF(LEN(K44),IF(OR(COUNTIF(K44,"*◆*"),COUNTIF(K44,"*▼*")),"","●"),"")</f>
        <v/>
      </c>
      <c r="N44" t="str">
        <f>IF(M44="●",INT(MID(E44,5,3)),"")</f>
        <v/>
      </c>
      <c r="O44" t="str">
        <f>IF($M44="●","LDP "&amp;E44&amp;"."&amp;$B$8,"")</f>
        <v/>
      </c>
      <c r="P44" t="str">
        <f>IF($M44="●","AND=.D "&amp;$B$9&amp;" #0","")</f>
        <v/>
      </c>
      <c r="Q44" t="str">
        <f>IF($M44="●","MOV.D #"&amp;N44&amp;" "&amp;$B$9,"")</f>
        <v/>
      </c>
      <c r="R44" t="str">
        <f>IF(AND(D44&lt;&gt;0,M44="●"),CHAR(10),"")&amp;IF(LEN(O44),O44,"")</f>
        <v/>
      </c>
      <c r="S44" t="str">
        <f>IF(LEN(R44),R44&amp;CHAR(10),"")&amp;IF(LEN(P44),P44,"")</f>
        <v/>
      </c>
      <c r="T44" t="str">
        <f>IF(LEN(S44),S44&amp;CHAR(10),"")&amp;IF(LEN(Q44),Q44,"")</f>
        <v/>
      </c>
      <c r="V44" t="str">
        <f t="shared" si="0"/>
        <v/>
      </c>
      <c r="W44" t="str">
        <f>IF(LEN(S44),S44&amp;CHAR(10),"")&amp;IF(LEN(V44),V44,"")</f>
        <v/>
      </c>
    </row>
    <row r="45" spans="4:23" x14ac:dyDescent="0.55000000000000004">
      <c r="D45">
        <v>43</v>
      </c>
      <c r="M45" t="str">
        <f>IF(LEN(K45),IF(OR(COUNTIF(K45,"*◆*"),COUNTIF(K45,"*▼*")),"","●"),"")</f>
        <v/>
      </c>
      <c r="N45" t="str">
        <f>IF(M45="●",INT(MID(E45,5,3)),"")</f>
        <v/>
      </c>
      <c r="O45" t="str">
        <f>IF($M45="●","LDP "&amp;E45&amp;"."&amp;$B$8,"")</f>
        <v/>
      </c>
      <c r="P45" t="str">
        <f>IF($M45="●","AND=.D "&amp;$B$9&amp;" #0","")</f>
        <v/>
      </c>
      <c r="Q45" t="str">
        <f>IF($M45="●","MOV.D #"&amp;N45&amp;" "&amp;$B$9,"")</f>
        <v/>
      </c>
      <c r="R45" t="str">
        <f>IF(AND(D45&lt;&gt;0,M45="●"),CHAR(10),"")&amp;IF(LEN(O45),O45,"")</f>
        <v/>
      </c>
      <c r="S45" t="str">
        <f>IF(LEN(R45),R45&amp;CHAR(10),"")&amp;IF(LEN(P45),P45,"")</f>
        <v/>
      </c>
      <c r="T45" t="str">
        <f>IF(LEN(S45),S45&amp;CHAR(10),"")&amp;IF(LEN(Q45),Q45,"")</f>
        <v/>
      </c>
      <c r="V45" t="str">
        <f t="shared" si="0"/>
        <v/>
      </c>
      <c r="W45" t="str">
        <f>IF(LEN(S45),S45&amp;CHAR(10),"")&amp;IF(LEN(V45),V45,"")</f>
        <v/>
      </c>
    </row>
    <row r="46" spans="4:23" x14ac:dyDescent="0.55000000000000004">
      <c r="D46">
        <v>44</v>
      </c>
      <c r="M46" t="str">
        <f>IF(LEN(K46),IF(OR(COUNTIF(K46,"*◆*"),COUNTIF(K46,"*▼*")),"","●"),"")</f>
        <v/>
      </c>
      <c r="N46" t="str">
        <f>IF(M46="●",INT(MID(E46,5,3)),"")</f>
        <v/>
      </c>
      <c r="O46" t="str">
        <f>IF($M46="●","LDP "&amp;E46&amp;"."&amp;$B$8,"")</f>
        <v/>
      </c>
      <c r="P46" t="str">
        <f>IF($M46="●","AND=.D "&amp;$B$9&amp;" #0","")</f>
        <v/>
      </c>
      <c r="Q46" t="str">
        <f>IF($M46="●","MOV.D #"&amp;N46&amp;" "&amp;$B$9,"")</f>
        <v/>
      </c>
      <c r="R46" t="str">
        <f>IF(AND(D46&lt;&gt;0,M46="●"),CHAR(10),"")&amp;IF(LEN(O46),O46,"")</f>
        <v/>
      </c>
      <c r="S46" t="str">
        <f>IF(LEN(R46),R46&amp;CHAR(10),"")&amp;IF(LEN(P46),P46,"")</f>
        <v/>
      </c>
      <c r="T46" t="str">
        <f>IF(LEN(S46),S46&amp;CHAR(10),"")&amp;IF(LEN(Q46),Q46,"")</f>
        <v/>
      </c>
      <c r="V46" t="str">
        <f t="shared" si="0"/>
        <v/>
      </c>
      <c r="W46" t="str">
        <f>IF(LEN(S46),S46&amp;CHAR(10),"")&amp;IF(LEN(V46),V46,"")</f>
        <v/>
      </c>
    </row>
    <row r="47" spans="4:23" x14ac:dyDescent="0.55000000000000004">
      <c r="D47">
        <v>45</v>
      </c>
      <c r="M47" t="str">
        <f>IF(LEN(K47),IF(OR(COUNTIF(K47,"*◆*"),COUNTIF(K47,"*▼*")),"","●"),"")</f>
        <v/>
      </c>
      <c r="N47" t="str">
        <f>IF(M47="●",INT(MID(E47,5,3)),"")</f>
        <v/>
      </c>
      <c r="O47" t="str">
        <f>IF($M47="●","LDP "&amp;E47&amp;"."&amp;$B$8,"")</f>
        <v/>
      </c>
      <c r="P47" t="str">
        <f>IF($M47="●","AND=.D "&amp;$B$9&amp;" #0","")</f>
        <v/>
      </c>
      <c r="Q47" t="str">
        <f>IF($M47="●","MOV.D #"&amp;N47&amp;" "&amp;$B$9,"")</f>
        <v/>
      </c>
      <c r="R47" t="str">
        <f>IF(AND(D47&lt;&gt;0,M47="●"),CHAR(10),"")&amp;IF(LEN(O47),O47,"")</f>
        <v/>
      </c>
      <c r="S47" t="str">
        <f>IF(LEN(R47),R47&amp;CHAR(10),"")&amp;IF(LEN(P47),P47,"")</f>
        <v/>
      </c>
      <c r="T47" t="str">
        <f>IF(LEN(S47),S47&amp;CHAR(10),"")&amp;IF(LEN(Q47),Q47,"")</f>
        <v/>
      </c>
      <c r="V47" t="str">
        <f t="shared" si="0"/>
        <v/>
      </c>
      <c r="W47" t="str">
        <f>IF(LEN(S47),S47&amp;CHAR(10),"")&amp;IF(LEN(V47),V47,"")</f>
        <v/>
      </c>
    </row>
    <row r="48" spans="4:23" x14ac:dyDescent="0.55000000000000004">
      <c r="D48">
        <v>46</v>
      </c>
      <c r="M48" t="str">
        <f>IF(LEN(K48),IF(OR(COUNTIF(K48,"*◆*"),COUNTIF(K48,"*▼*")),"","●"),"")</f>
        <v/>
      </c>
      <c r="N48" t="str">
        <f>IF(M48="●",INT(MID(E48,5,3)),"")</f>
        <v/>
      </c>
      <c r="O48" t="str">
        <f>IF($M48="●","LDP "&amp;E48&amp;"."&amp;$B$8,"")</f>
        <v/>
      </c>
      <c r="P48" t="str">
        <f>IF($M48="●","AND=.D "&amp;$B$9&amp;" #0","")</f>
        <v/>
      </c>
      <c r="Q48" t="str">
        <f>IF($M48="●","MOV.D #"&amp;N48&amp;" "&amp;$B$9,"")</f>
        <v/>
      </c>
      <c r="R48" t="str">
        <f>IF(AND(D48&lt;&gt;0,M48="●"),CHAR(10),"")&amp;IF(LEN(O48),O48,"")</f>
        <v/>
      </c>
      <c r="S48" t="str">
        <f>IF(LEN(R48),R48&amp;CHAR(10),"")&amp;IF(LEN(P48),P48,"")</f>
        <v/>
      </c>
      <c r="T48" t="str">
        <f>IF(LEN(S48),S48&amp;CHAR(10),"")&amp;IF(LEN(Q48),Q48,"")</f>
        <v/>
      </c>
      <c r="V48" t="str">
        <f t="shared" si="0"/>
        <v/>
      </c>
      <c r="W48" t="str">
        <f>IF(LEN(S48),S48&amp;CHAR(10),"")&amp;IF(LEN(V48),V48,"")</f>
        <v/>
      </c>
    </row>
    <row r="49" spans="4:23" x14ac:dyDescent="0.55000000000000004">
      <c r="D49">
        <v>47</v>
      </c>
      <c r="M49" t="str">
        <f>IF(LEN(K49),IF(OR(COUNTIF(K49,"*◆*"),COUNTIF(K49,"*▼*")),"","●"),"")</f>
        <v/>
      </c>
      <c r="N49" t="str">
        <f>IF(M49="●",INT(MID(E49,5,3)),"")</f>
        <v/>
      </c>
      <c r="O49" t="str">
        <f>IF($M49="●","LDP "&amp;E49&amp;"."&amp;$B$8,"")</f>
        <v/>
      </c>
      <c r="P49" t="str">
        <f>IF($M49="●","AND=.D "&amp;$B$9&amp;" #0","")</f>
        <v/>
      </c>
      <c r="Q49" t="str">
        <f>IF($M49="●","MOV.D #"&amp;N49&amp;" "&amp;$B$9,"")</f>
        <v/>
      </c>
      <c r="R49" t="str">
        <f>IF(AND(D49&lt;&gt;0,M49="●"),CHAR(10),"")&amp;IF(LEN(O49),O49,"")</f>
        <v/>
      </c>
      <c r="S49" t="str">
        <f>IF(LEN(R49),R49&amp;CHAR(10),"")&amp;IF(LEN(P49),P49,"")</f>
        <v/>
      </c>
      <c r="T49" t="str">
        <f>IF(LEN(S49),S49&amp;CHAR(10),"")&amp;IF(LEN(Q49),Q49,"")</f>
        <v/>
      </c>
      <c r="V49" t="str">
        <f t="shared" si="0"/>
        <v/>
      </c>
      <c r="W49" t="str">
        <f>IF(LEN(S49),S49&amp;CHAR(10),"")&amp;IF(LEN(V49),V49,"")</f>
        <v/>
      </c>
    </row>
    <row r="50" spans="4:23" x14ac:dyDescent="0.55000000000000004">
      <c r="D50">
        <v>48</v>
      </c>
      <c r="M50" t="str">
        <f>IF(LEN(K50),IF(OR(COUNTIF(K50,"*◆*"),COUNTIF(K50,"*▼*")),"","●"),"")</f>
        <v/>
      </c>
      <c r="N50" t="str">
        <f>IF(M50="●",INT(MID(E50,5,3)),"")</f>
        <v/>
      </c>
      <c r="O50" t="str">
        <f>IF($M50="●","LDP "&amp;E50&amp;"."&amp;$B$8,"")</f>
        <v/>
      </c>
      <c r="P50" t="str">
        <f>IF($M50="●","AND=.D "&amp;$B$9&amp;" #0","")</f>
        <v/>
      </c>
      <c r="Q50" t="str">
        <f>IF($M50="●","MOV.D #"&amp;N50&amp;" "&amp;$B$9,"")</f>
        <v/>
      </c>
      <c r="R50" t="str">
        <f>IF(AND(D50&lt;&gt;0,M50="●"),CHAR(10),"")&amp;IF(LEN(O50),O50,"")</f>
        <v/>
      </c>
      <c r="S50" t="str">
        <f>IF(LEN(R50),R50&amp;CHAR(10),"")&amp;IF(LEN(P50),P50,"")</f>
        <v/>
      </c>
      <c r="T50" t="str">
        <f>IF(LEN(S50),S50&amp;CHAR(10),"")&amp;IF(LEN(Q50),Q50,"")</f>
        <v/>
      </c>
      <c r="V50" t="str">
        <f t="shared" si="0"/>
        <v/>
      </c>
      <c r="W50" t="str">
        <f>IF(LEN(S50),S50&amp;CHAR(10),"")&amp;IF(LEN(V50),V50,"")</f>
        <v/>
      </c>
    </row>
    <row r="51" spans="4:23" x14ac:dyDescent="0.55000000000000004">
      <c r="D51">
        <v>49</v>
      </c>
      <c r="M51" t="str">
        <f>IF(LEN(K51),IF(OR(COUNTIF(K51,"*◆*"),COUNTIF(K51,"*▼*")),"","●"),"")</f>
        <v/>
      </c>
      <c r="N51" t="str">
        <f>IF(M51="●",INT(MID(E51,5,3)),"")</f>
        <v/>
      </c>
      <c r="O51" t="str">
        <f>IF($M51="●","LDP "&amp;E51&amp;"."&amp;$B$8,"")</f>
        <v/>
      </c>
      <c r="P51" t="str">
        <f>IF($M51="●","AND=.D "&amp;$B$9&amp;" #0","")</f>
        <v/>
      </c>
      <c r="Q51" t="str">
        <f>IF($M51="●","MOV.D #"&amp;N51&amp;" "&amp;$B$9,"")</f>
        <v/>
      </c>
      <c r="R51" t="str">
        <f>IF(AND(D51&lt;&gt;0,M51="●"),CHAR(10),"")&amp;IF(LEN(O51),O51,"")</f>
        <v/>
      </c>
      <c r="S51" t="str">
        <f>IF(LEN(R51),R51&amp;CHAR(10),"")&amp;IF(LEN(P51),P51,"")</f>
        <v/>
      </c>
      <c r="T51" t="str">
        <f>IF(LEN(S51),S51&amp;CHAR(10),"")&amp;IF(LEN(Q51),Q51,"")</f>
        <v/>
      </c>
      <c r="V51" t="str">
        <f t="shared" si="0"/>
        <v/>
      </c>
      <c r="W51" t="str">
        <f>IF(LEN(S51),S51&amp;CHAR(10),"")&amp;IF(LEN(V51),V51,"")</f>
        <v/>
      </c>
    </row>
    <row r="52" spans="4:23" x14ac:dyDescent="0.55000000000000004">
      <c r="D52">
        <v>50</v>
      </c>
      <c r="M52" t="str">
        <f>IF(LEN(K52),IF(OR(COUNTIF(K52,"*◆*"),COUNTIF(K52,"*▼*")),"","●"),"")</f>
        <v/>
      </c>
      <c r="N52" t="str">
        <f>IF(M52="●",INT(MID(E52,5,3)),"")</f>
        <v/>
      </c>
      <c r="O52" t="str">
        <f>IF($M52="●","LDP "&amp;E52&amp;"."&amp;$B$8,"")</f>
        <v/>
      </c>
      <c r="P52" t="str">
        <f>IF($M52="●","AND=.D "&amp;$B$9&amp;" #0","")</f>
        <v/>
      </c>
      <c r="Q52" t="str">
        <f>IF($M52="●","MOV.D #"&amp;N52&amp;" "&amp;$B$9,"")</f>
        <v/>
      </c>
      <c r="R52" t="str">
        <f>IF(AND(D52&lt;&gt;0,M52="●"),CHAR(10),"")&amp;IF(LEN(O52),O52,"")</f>
        <v/>
      </c>
      <c r="S52" t="str">
        <f>IF(LEN(R52),R52&amp;CHAR(10),"")&amp;IF(LEN(P52),P52,"")</f>
        <v/>
      </c>
      <c r="T52" t="str">
        <f>IF(LEN(S52),S52&amp;CHAR(10),"")&amp;IF(LEN(Q52),Q52,"")</f>
        <v/>
      </c>
      <c r="V52" t="str">
        <f t="shared" si="0"/>
        <v/>
      </c>
      <c r="W52" t="str">
        <f>IF(LEN(S52),S52&amp;CHAR(10),"")&amp;IF(LEN(V52),V52,"")</f>
        <v/>
      </c>
    </row>
    <row r="53" spans="4:23" x14ac:dyDescent="0.55000000000000004">
      <c r="D53">
        <v>51</v>
      </c>
      <c r="M53" t="str">
        <f>IF(LEN(K53),IF(OR(COUNTIF(K53,"*◆*"),COUNTIF(K53,"*▼*")),"","●"),"")</f>
        <v/>
      </c>
      <c r="N53" t="str">
        <f>IF(M53="●",INT(MID(E53,5,3)),"")</f>
        <v/>
      </c>
      <c r="O53" t="str">
        <f>IF($M53="●","LDP "&amp;E53&amp;"."&amp;$B$8,"")</f>
        <v/>
      </c>
      <c r="P53" t="str">
        <f>IF($M53="●","AND=.D "&amp;$B$9&amp;" #0","")</f>
        <v/>
      </c>
      <c r="Q53" t="str">
        <f>IF($M53="●","MOV.D #"&amp;N53&amp;" "&amp;$B$9,"")</f>
        <v/>
      </c>
      <c r="R53" t="str">
        <f>IF(AND(D53&lt;&gt;0,M53="●"),CHAR(10),"")&amp;IF(LEN(O53),O53,"")</f>
        <v/>
      </c>
      <c r="S53" t="str">
        <f>IF(LEN(R53),R53&amp;CHAR(10),"")&amp;IF(LEN(P53),P53,"")</f>
        <v/>
      </c>
      <c r="T53" t="str">
        <f>IF(LEN(S53),S53&amp;CHAR(10),"")&amp;IF(LEN(Q53),Q53,"")</f>
        <v/>
      </c>
      <c r="V53" t="str">
        <f t="shared" si="0"/>
        <v/>
      </c>
      <c r="W53" t="str">
        <f>IF(LEN(S53),S53&amp;CHAR(10),"")&amp;IF(LEN(V53),V53,"")</f>
        <v/>
      </c>
    </row>
    <row r="54" spans="4:23" x14ac:dyDescent="0.55000000000000004">
      <c r="D54">
        <v>52</v>
      </c>
      <c r="M54" t="str">
        <f>IF(LEN(K54),IF(OR(COUNTIF(K54,"*◆*"),COUNTIF(K54,"*▼*")),"","●"),"")</f>
        <v/>
      </c>
      <c r="N54" t="str">
        <f>IF(M54="●",INT(MID(E54,5,3)),"")</f>
        <v/>
      </c>
      <c r="O54" t="str">
        <f>IF($M54="●","LDP "&amp;E54&amp;"."&amp;$B$8,"")</f>
        <v/>
      </c>
      <c r="P54" t="str">
        <f>IF($M54="●","AND=.D "&amp;$B$9&amp;" #0","")</f>
        <v/>
      </c>
      <c r="Q54" t="str">
        <f>IF($M54="●","MOV.D #"&amp;N54&amp;" "&amp;$B$9,"")</f>
        <v/>
      </c>
      <c r="R54" t="str">
        <f>IF(AND(D54&lt;&gt;0,M54="●"),CHAR(10),"")&amp;IF(LEN(O54),O54,"")</f>
        <v/>
      </c>
      <c r="S54" t="str">
        <f>IF(LEN(R54),R54&amp;CHAR(10),"")&amp;IF(LEN(P54),P54,"")</f>
        <v/>
      </c>
      <c r="T54" t="str">
        <f>IF(LEN(S54),S54&amp;CHAR(10),"")&amp;IF(LEN(Q54),Q54,"")</f>
        <v/>
      </c>
      <c r="V54" t="str">
        <f t="shared" si="0"/>
        <v/>
      </c>
      <c r="W54" t="str">
        <f>IF(LEN(S54),S54&amp;CHAR(10),"")&amp;IF(LEN(V54),V54,"")</f>
        <v/>
      </c>
    </row>
    <row r="55" spans="4:23" x14ac:dyDescent="0.55000000000000004">
      <c r="D55">
        <v>53</v>
      </c>
      <c r="M55" t="str">
        <f>IF(LEN(K55),IF(OR(COUNTIF(K55,"*◆*"),COUNTIF(K55,"*▼*")),"","●"),"")</f>
        <v/>
      </c>
      <c r="N55" t="str">
        <f>IF(M55="●",INT(MID(E55,5,3)),"")</f>
        <v/>
      </c>
      <c r="O55" t="str">
        <f>IF($M55="●","LDP "&amp;E55&amp;"."&amp;$B$8,"")</f>
        <v/>
      </c>
      <c r="P55" t="str">
        <f>IF($M55="●","AND=.D "&amp;$B$9&amp;" #0","")</f>
        <v/>
      </c>
      <c r="Q55" t="str">
        <f>IF($M55="●","MOV.D #"&amp;N55&amp;" "&amp;$B$9,"")</f>
        <v/>
      </c>
      <c r="R55" t="str">
        <f>IF(AND(D55&lt;&gt;0,M55="●"),CHAR(10),"")&amp;IF(LEN(O55),O55,"")</f>
        <v/>
      </c>
      <c r="S55" t="str">
        <f>IF(LEN(R55),R55&amp;CHAR(10),"")&amp;IF(LEN(P55),P55,"")</f>
        <v/>
      </c>
      <c r="T55" t="str">
        <f>IF(LEN(S55),S55&amp;CHAR(10),"")&amp;IF(LEN(Q55),Q55,"")</f>
        <v/>
      </c>
      <c r="V55" t="str">
        <f t="shared" si="0"/>
        <v/>
      </c>
      <c r="W55" t="str">
        <f>IF(LEN(S55),S55&amp;CHAR(10),"")&amp;IF(LEN(V55),V55,"")</f>
        <v/>
      </c>
    </row>
    <row r="56" spans="4:23" x14ac:dyDescent="0.55000000000000004">
      <c r="D56">
        <v>54</v>
      </c>
      <c r="M56" t="str">
        <f>IF(LEN(K56),IF(OR(COUNTIF(K56,"*◆*"),COUNTIF(K56,"*▼*")),"","●"),"")</f>
        <v/>
      </c>
      <c r="N56" t="str">
        <f>IF(M56="●",INT(MID(E56,5,3)),"")</f>
        <v/>
      </c>
      <c r="O56" t="str">
        <f>IF($M56="●","LDP "&amp;E56&amp;"."&amp;$B$8,"")</f>
        <v/>
      </c>
      <c r="P56" t="str">
        <f>IF($M56="●","AND=.D "&amp;$B$9&amp;" #0","")</f>
        <v/>
      </c>
      <c r="Q56" t="str">
        <f>IF($M56="●","MOV.D #"&amp;N56&amp;" "&amp;$B$9,"")</f>
        <v/>
      </c>
      <c r="R56" t="str">
        <f>IF(AND(D56&lt;&gt;0,M56="●"),CHAR(10),"")&amp;IF(LEN(O56),O56,"")</f>
        <v/>
      </c>
      <c r="S56" t="str">
        <f>IF(LEN(R56),R56&amp;CHAR(10),"")&amp;IF(LEN(P56),P56,"")</f>
        <v/>
      </c>
      <c r="T56" t="str">
        <f>IF(LEN(S56),S56&amp;CHAR(10),"")&amp;IF(LEN(Q56),Q56,"")</f>
        <v/>
      </c>
      <c r="V56" t="str">
        <f t="shared" si="0"/>
        <v/>
      </c>
      <c r="W56" t="str">
        <f>IF(LEN(S56),S56&amp;CHAR(10),"")&amp;IF(LEN(V56),V56,"")</f>
        <v/>
      </c>
    </row>
    <row r="57" spans="4:23" x14ac:dyDescent="0.55000000000000004">
      <c r="D57">
        <v>55</v>
      </c>
      <c r="M57" t="str">
        <f>IF(LEN(K57),IF(OR(COUNTIF(K57,"*◆*"),COUNTIF(K57,"*▼*")),"","●"),"")</f>
        <v/>
      </c>
      <c r="N57" t="str">
        <f>IF(M57="●",INT(MID(E57,5,3)),"")</f>
        <v/>
      </c>
      <c r="O57" t="str">
        <f>IF($M57="●","LDP "&amp;E57&amp;"."&amp;$B$8,"")</f>
        <v/>
      </c>
      <c r="P57" t="str">
        <f>IF($M57="●","AND=.D "&amp;$B$9&amp;" #0","")</f>
        <v/>
      </c>
      <c r="Q57" t="str">
        <f>IF($M57="●","MOV.D #"&amp;N57&amp;" "&amp;$B$9,"")</f>
        <v/>
      </c>
      <c r="R57" t="str">
        <f>IF(AND(D57&lt;&gt;0,M57="●"),CHAR(10),"")&amp;IF(LEN(O57),O57,"")</f>
        <v/>
      </c>
      <c r="S57" t="str">
        <f>IF(LEN(R57),R57&amp;CHAR(10),"")&amp;IF(LEN(P57),P57,"")</f>
        <v/>
      </c>
      <c r="T57" t="str">
        <f>IF(LEN(S57),S57&amp;CHAR(10),"")&amp;IF(LEN(Q57),Q57,"")</f>
        <v/>
      </c>
      <c r="V57" t="str">
        <f t="shared" si="0"/>
        <v/>
      </c>
      <c r="W57" t="str">
        <f>IF(LEN(S57),S57&amp;CHAR(10),"")&amp;IF(LEN(V57),V57,"")</f>
        <v/>
      </c>
    </row>
    <row r="58" spans="4:23" x14ac:dyDescent="0.55000000000000004">
      <c r="D58">
        <v>56</v>
      </c>
      <c r="M58" t="str">
        <f>IF(LEN(K58),IF(OR(COUNTIF(K58,"*◆*"),COUNTIF(K58,"*▼*")),"","●"),"")</f>
        <v/>
      </c>
      <c r="N58" t="str">
        <f>IF(M58="●",INT(MID(E58,5,3)),"")</f>
        <v/>
      </c>
      <c r="O58" t="str">
        <f>IF($M58="●","LDP "&amp;E58&amp;"."&amp;$B$8,"")</f>
        <v/>
      </c>
      <c r="P58" t="str">
        <f>IF($M58="●","AND=.D "&amp;$B$9&amp;" #0","")</f>
        <v/>
      </c>
      <c r="Q58" t="str">
        <f>IF($M58="●","MOV.D #"&amp;N58&amp;" "&amp;$B$9,"")</f>
        <v/>
      </c>
      <c r="R58" t="str">
        <f>IF(AND(D58&lt;&gt;0,M58="●"),CHAR(10),"")&amp;IF(LEN(O58),O58,"")</f>
        <v/>
      </c>
      <c r="S58" t="str">
        <f>IF(LEN(R58),R58&amp;CHAR(10),"")&amp;IF(LEN(P58),P58,"")</f>
        <v/>
      </c>
      <c r="T58" t="str">
        <f>IF(LEN(S58),S58&amp;CHAR(10),"")&amp;IF(LEN(Q58),Q58,"")</f>
        <v/>
      </c>
      <c r="V58" t="str">
        <f t="shared" si="0"/>
        <v/>
      </c>
      <c r="W58" t="str">
        <f>IF(LEN(S58),S58&amp;CHAR(10),"")&amp;IF(LEN(V58),V58,"")</f>
        <v/>
      </c>
    </row>
    <row r="59" spans="4:23" x14ac:dyDescent="0.55000000000000004">
      <c r="D59">
        <v>57</v>
      </c>
      <c r="M59" t="str">
        <f>IF(LEN(K59),IF(OR(COUNTIF(K59,"*◆*"),COUNTIF(K59,"*▼*")),"","●"),"")</f>
        <v/>
      </c>
      <c r="N59" t="str">
        <f>IF(M59="●",INT(MID(E59,5,3)),"")</f>
        <v/>
      </c>
      <c r="O59" t="str">
        <f>IF($M59="●","LDP "&amp;E59&amp;"."&amp;$B$8,"")</f>
        <v/>
      </c>
      <c r="P59" t="str">
        <f>IF($M59="●","AND=.D "&amp;$B$9&amp;" #0","")</f>
        <v/>
      </c>
      <c r="Q59" t="str">
        <f>IF($M59="●","MOV.D #"&amp;N59&amp;" "&amp;$B$9,"")</f>
        <v/>
      </c>
      <c r="R59" t="str">
        <f>IF(AND(D59&lt;&gt;0,M59="●"),CHAR(10),"")&amp;IF(LEN(O59),O59,"")</f>
        <v/>
      </c>
      <c r="S59" t="str">
        <f>IF(LEN(R59),R59&amp;CHAR(10),"")&amp;IF(LEN(P59),P59,"")</f>
        <v/>
      </c>
      <c r="T59" t="str">
        <f>IF(LEN(S59),S59&amp;CHAR(10),"")&amp;IF(LEN(Q59),Q59,"")</f>
        <v/>
      </c>
      <c r="V59" t="str">
        <f t="shared" si="0"/>
        <v/>
      </c>
      <c r="W59" t="str">
        <f>IF(LEN(S59),S59&amp;CHAR(10),"")&amp;IF(LEN(V59),V59,"")</f>
        <v/>
      </c>
    </row>
    <row r="60" spans="4:23" x14ac:dyDescent="0.55000000000000004">
      <c r="D60">
        <v>58</v>
      </c>
      <c r="M60" t="str">
        <f>IF(LEN(K60),IF(OR(COUNTIF(K60,"*◆*"),COUNTIF(K60,"*▼*")),"","●"),"")</f>
        <v/>
      </c>
      <c r="N60" t="str">
        <f>IF(M60="●",INT(MID(E60,5,3)),"")</f>
        <v/>
      </c>
      <c r="O60" t="str">
        <f>IF($M60="●","LDP "&amp;E60&amp;"."&amp;$B$8,"")</f>
        <v/>
      </c>
      <c r="P60" t="str">
        <f>IF($M60="●","AND=.D "&amp;$B$9&amp;" #0","")</f>
        <v/>
      </c>
      <c r="Q60" t="str">
        <f>IF($M60="●","MOV.D #"&amp;N60&amp;" "&amp;$B$9,"")</f>
        <v/>
      </c>
      <c r="R60" t="str">
        <f>IF(AND(D60&lt;&gt;0,M60="●"),CHAR(10),"")&amp;IF(LEN(O60),O60,"")</f>
        <v/>
      </c>
      <c r="S60" t="str">
        <f>IF(LEN(R60),R60&amp;CHAR(10),"")&amp;IF(LEN(P60),P60,"")</f>
        <v/>
      </c>
      <c r="T60" t="str">
        <f>IF(LEN(S60),S60&amp;CHAR(10),"")&amp;IF(LEN(Q60),Q60,"")</f>
        <v/>
      </c>
      <c r="V60" t="str">
        <f t="shared" si="0"/>
        <v/>
      </c>
      <c r="W60" t="str">
        <f>IF(LEN(S60),S60&amp;CHAR(10),"")&amp;IF(LEN(V60),V60,"")</f>
        <v/>
      </c>
    </row>
    <row r="61" spans="4:23" x14ac:dyDescent="0.55000000000000004">
      <c r="D61">
        <v>59</v>
      </c>
      <c r="M61" t="str">
        <f>IF(LEN(K61),IF(OR(COUNTIF(K61,"*◆*"),COUNTIF(K61,"*▼*")),"","●"),"")</f>
        <v/>
      </c>
      <c r="N61" t="str">
        <f>IF(M61="●",INT(MID(E61,5,3)),"")</f>
        <v/>
      </c>
      <c r="O61" t="str">
        <f>IF($M61="●","LDP "&amp;E61&amp;"."&amp;$B$8,"")</f>
        <v/>
      </c>
      <c r="P61" t="str">
        <f>IF($M61="●","AND=.D "&amp;$B$9&amp;" #0","")</f>
        <v/>
      </c>
      <c r="Q61" t="str">
        <f>IF($M61="●","MOV.D #"&amp;N61&amp;" "&amp;$B$9,"")</f>
        <v/>
      </c>
      <c r="R61" t="str">
        <f>IF(AND(D61&lt;&gt;0,M61="●"),CHAR(10),"")&amp;IF(LEN(O61),O61,"")</f>
        <v/>
      </c>
      <c r="S61" t="str">
        <f>IF(LEN(R61),R61&amp;CHAR(10),"")&amp;IF(LEN(P61),P61,"")</f>
        <v/>
      </c>
      <c r="T61" t="str">
        <f>IF(LEN(S61),S61&amp;CHAR(10),"")&amp;IF(LEN(Q61),Q61,"")</f>
        <v/>
      </c>
      <c r="V61" t="str">
        <f t="shared" si="0"/>
        <v/>
      </c>
      <c r="W61" t="str">
        <f>IF(LEN(S61),S61&amp;CHAR(10),"")&amp;IF(LEN(V61),V61,"")</f>
        <v/>
      </c>
    </row>
    <row r="62" spans="4:23" x14ac:dyDescent="0.55000000000000004">
      <c r="D62">
        <v>60</v>
      </c>
      <c r="M62" t="str">
        <f>IF(LEN(K62),IF(OR(COUNTIF(K62,"*◆*"),COUNTIF(K62,"*▼*")),"","●"),"")</f>
        <v/>
      </c>
      <c r="N62" t="str">
        <f>IF(M62="●",INT(MID(E62,5,3)),"")</f>
        <v/>
      </c>
      <c r="O62" t="str">
        <f>IF($M62="●","LDP "&amp;E62&amp;"."&amp;$B$8,"")</f>
        <v/>
      </c>
      <c r="P62" t="str">
        <f>IF($M62="●","AND=.D "&amp;$B$9&amp;" #0","")</f>
        <v/>
      </c>
      <c r="Q62" t="str">
        <f>IF($M62="●","MOV.D #"&amp;N62&amp;" "&amp;$B$9,"")</f>
        <v/>
      </c>
      <c r="R62" t="str">
        <f>IF(AND(D62&lt;&gt;0,M62="●"),CHAR(10),"")&amp;IF(LEN(O62),O62,"")</f>
        <v/>
      </c>
      <c r="S62" t="str">
        <f>IF(LEN(R62),R62&amp;CHAR(10),"")&amp;IF(LEN(P62),P62,"")</f>
        <v/>
      </c>
      <c r="T62" t="str">
        <f>IF(LEN(S62),S62&amp;CHAR(10),"")&amp;IF(LEN(Q62),Q62,"")</f>
        <v/>
      </c>
      <c r="V62" t="str">
        <f t="shared" si="0"/>
        <v/>
      </c>
      <c r="W62" t="str">
        <f>IF(LEN(S62),S62&amp;CHAR(10),"")&amp;IF(LEN(V62),V62,"")</f>
        <v/>
      </c>
    </row>
    <row r="63" spans="4:23" x14ac:dyDescent="0.55000000000000004">
      <c r="D63">
        <v>61</v>
      </c>
      <c r="M63" t="str">
        <f>IF(LEN(K63),IF(OR(COUNTIF(K63,"*◆*"),COUNTIF(K63,"*▼*")),"","●"),"")</f>
        <v/>
      </c>
      <c r="N63" t="str">
        <f>IF(M63="●",INT(MID(E63,5,3)),"")</f>
        <v/>
      </c>
      <c r="O63" t="str">
        <f>IF($M63="●","LDP "&amp;E63&amp;"."&amp;$B$8,"")</f>
        <v/>
      </c>
      <c r="P63" t="str">
        <f>IF($M63="●","AND=.D "&amp;$B$9&amp;" #0","")</f>
        <v/>
      </c>
      <c r="Q63" t="str">
        <f>IF($M63="●","MOV.D #"&amp;N63&amp;" "&amp;$B$9,"")</f>
        <v/>
      </c>
      <c r="R63" t="str">
        <f>IF(AND(D63&lt;&gt;0,M63="●"),CHAR(10),"")&amp;IF(LEN(O63),O63,"")</f>
        <v/>
      </c>
      <c r="S63" t="str">
        <f>IF(LEN(R63),R63&amp;CHAR(10),"")&amp;IF(LEN(P63),P63,"")</f>
        <v/>
      </c>
      <c r="T63" t="str">
        <f>IF(LEN(S63),S63&amp;CHAR(10),"")&amp;IF(LEN(Q63),Q63,"")</f>
        <v/>
      </c>
      <c r="V63" t="str">
        <f t="shared" si="0"/>
        <v/>
      </c>
      <c r="W63" t="str">
        <f>IF(LEN(S63),S63&amp;CHAR(10),"")&amp;IF(LEN(V63),V63,"")</f>
        <v/>
      </c>
    </row>
    <row r="64" spans="4:23" x14ac:dyDescent="0.55000000000000004">
      <c r="D64">
        <v>62</v>
      </c>
      <c r="M64" t="str">
        <f>IF(LEN(K64),IF(OR(COUNTIF(K64,"*◆*"),COUNTIF(K64,"*▼*")),"","●"),"")</f>
        <v/>
      </c>
      <c r="N64" t="str">
        <f>IF(M64="●",INT(MID(E64,5,3)),"")</f>
        <v/>
      </c>
      <c r="O64" t="str">
        <f>IF($M64="●","LDP "&amp;E64&amp;"."&amp;$B$8,"")</f>
        <v/>
      </c>
      <c r="P64" t="str">
        <f>IF($M64="●","AND=.D "&amp;$B$9&amp;" #0","")</f>
        <v/>
      </c>
      <c r="Q64" t="str">
        <f>IF($M64="●","MOV.D #"&amp;N64&amp;" "&amp;$B$9,"")</f>
        <v/>
      </c>
      <c r="R64" t="str">
        <f>IF(AND(D64&lt;&gt;0,M64="●"),CHAR(10),"")&amp;IF(LEN(O64),O64,"")</f>
        <v/>
      </c>
      <c r="S64" t="str">
        <f>IF(LEN(R64),R64&amp;CHAR(10),"")&amp;IF(LEN(P64),P64,"")</f>
        <v/>
      </c>
      <c r="T64" t="str">
        <f>IF(LEN(S64),S64&amp;CHAR(10),"")&amp;IF(LEN(Q64),Q64,"")</f>
        <v/>
      </c>
      <c r="V64" t="str">
        <f t="shared" si="0"/>
        <v/>
      </c>
      <c r="W64" t="str">
        <f>IF(LEN(S64),S64&amp;CHAR(10),"")&amp;IF(LEN(V64),V64,"")</f>
        <v/>
      </c>
    </row>
    <row r="65" spans="4:23" x14ac:dyDescent="0.55000000000000004">
      <c r="D65">
        <v>63</v>
      </c>
      <c r="M65" t="str">
        <f>IF(LEN(K65),IF(OR(COUNTIF(K65,"*◆*"),COUNTIF(K65,"*▼*")),"","●"),"")</f>
        <v/>
      </c>
      <c r="N65" t="str">
        <f>IF(M65="●",INT(MID(E65,5,3)),"")</f>
        <v/>
      </c>
      <c r="O65" t="str">
        <f>IF($M65="●","LDP "&amp;E65&amp;"."&amp;$B$8,"")</f>
        <v/>
      </c>
      <c r="P65" t="str">
        <f>IF($M65="●","AND=.D "&amp;$B$9&amp;" #0","")</f>
        <v/>
      </c>
      <c r="Q65" t="str">
        <f>IF($M65="●","MOV.D #"&amp;N65&amp;" "&amp;$B$9,"")</f>
        <v/>
      </c>
      <c r="R65" t="str">
        <f>IF(AND(D65&lt;&gt;0,M65="●"),CHAR(10),"")&amp;IF(LEN(O65),O65,"")</f>
        <v/>
      </c>
      <c r="S65" t="str">
        <f>IF(LEN(R65),R65&amp;CHAR(10),"")&amp;IF(LEN(P65),P65,"")</f>
        <v/>
      </c>
      <c r="T65" t="str">
        <f>IF(LEN(S65),S65&amp;CHAR(10),"")&amp;IF(LEN(Q65),Q65,"")</f>
        <v/>
      </c>
      <c r="V65" t="str">
        <f t="shared" si="0"/>
        <v/>
      </c>
      <c r="W65" t="str">
        <f>IF(LEN(S65),S65&amp;CHAR(10),"")&amp;IF(LEN(V65),V65,"")</f>
        <v/>
      </c>
    </row>
    <row r="66" spans="4:23" x14ac:dyDescent="0.55000000000000004">
      <c r="D66">
        <v>64</v>
      </c>
      <c r="M66" t="str">
        <f>IF(LEN(K66),IF(OR(COUNTIF(K66,"*◆*"),COUNTIF(K66,"*▼*")),"","●"),"")</f>
        <v/>
      </c>
      <c r="N66" t="str">
        <f>IF(M66="●",INT(MID(E66,5,3)),"")</f>
        <v/>
      </c>
      <c r="O66" t="str">
        <f>IF($M66="●","LDP "&amp;E66&amp;"."&amp;$B$8,"")</f>
        <v/>
      </c>
      <c r="P66" t="str">
        <f>IF($M66="●","AND=.D "&amp;$B$9&amp;" #0","")</f>
        <v/>
      </c>
      <c r="Q66" t="str">
        <f>IF($M66="●","MOV.D #"&amp;N66&amp;" "&amp;$B$9,"")</f>
        <v/>
      </c>
      <c r="R66" t="str">
        <f>IF(AND(D66&lt;&gt;0,M66="●"),CHAR(10),"")&amp;IF(LEN(O66),O66,"")</f>
        <v/>
      </c>
      <c r="S66" t="str">
        <f>IF(LEN(R66),R66&amp;CHAR(10),"")&amp;IF(LEN(P66),P66,"")</f>
        <v/>
      </c>
      <c r="T66" t="str">
        <f>IF(LEN(S66),S66&amp;CHAR(10),"")&amp;IF(LEN(Q66),Q66,"")</f>
        <v/>
      </c>
      <c r="V66" t="str">
        <f t="shared" si="0"/>
        <v/>
      </c>
      <c r="W66" t="str">
        <f>IF(LEN(S66),S66&amp;CHAR(10),"")&amp;IF(LEN(V66),V66,"")</f>
        <v/>
      </c>
    </row>
    <row r="67" spans="4:23" x14ac:dyDescent="0.55000000000000004">
      <c r="D67">
        <v>65</v>
      </c>
      <c r="M67" t="str">
        <f>IF(LEN(K67),IF(OR(COUNTIF(K67,"*◆*"),COUNTIF(K67,"*▼*")),"","●"),"")</f>
        <v/>
      </c>
      <c r="N67" t="str">
        <f>IF(M67="●",INT(MID(E67,5,3)),"")</f>
        <v/>
      </c>
      <c r="O67" t="str">
        <f>IF($M67="●","LDP "&amp;E67&amp;"."&amp;$B$8,"")</f>
        <v/>
      </c>
      <c r="P67" t="str">
        <f>IF($M67="●","AND=.D "&amp;$B$9&amp;" #0","")</f>
        <v/>
      </c>
      <c r="Q67" t="str">
        <f>IF($M67="●","MOV.D #"&amp;N67&amp;" "&amp;$B$9,"")</f>
        <v/>
      </c>
      <c r="R67" t="str">
        <f>IF(AND(D67&lt;&gt;0,M67="●"),CHAR(10),"")&amp;IF(LEN(O67),O67,"")</f>
        <v/>
      </c>
      <c r="S67" t="str">
        <f>IF(LEN(R67),R67&amp;CHAR(10),"")&amp;IF(LEN(P67),P67,"")</f>
        <v/>
      </c>
      <c r="T67" t="str">
        <f>IF(LEN(S67),S67&amp;CHAR(10),"")&amp;IF(LEN(Q67),Q67,"")</f>
        <v/>
      </c>
      <c r="V67" t="str">
        <f t="shared" ref="V67:V101" si="1">IF($M67="●","BOX_ST"&amp;CHAR(10)&amp;";//"&amp;$B$4&amp;CHAR(10)&amp;";//エラーNo.を入れる"&amp;CHAR(10)&amp;";"&amp;$B$9&amp;"	:= "&amp;N67&amp;";"&amp;CHAR(10)&amp;";//"&amp;$B$5,"")</f>
        <v/>
      </c>
      <c r="W67" t="str">
        <f>IF(LEN(S67),S67&amp;CHAR(10),"")&amp;IF(LEN(V67),V67,"")</f>
        <v/>
      </c>
    </row>
    <row r="68" spans="4:23" x14ac:dyDescent="0.55000000000000004">
      <c r="D68">
        <v>66</v>
      </c>
      <c r="M68" t="str">
        <f>IF(LEN(K68),IF(OR(COUNTIF(K68,"*◆*"),COUNTIF(K68,"*▼*")),"","●"),"")</f>
        <v/>
      </c>
      <c r="N68" t="str">
        <f>IF(M68="●",INT(MID(E68,5,3)),"")</f>
        <v/>
      </c>
      <c r="O68" t="str">
        <f>IF($M68="●","LDP "&amp;E68&amp;"."&amp;$B$8,"")</f>
        <v/>
      </c>
      <c r="P68" t="str">
        <f>IF($M68="●","AND=.D "&amp;$B$9&amp;" #0","")</f>
        <v/>
      </c>
      <c r="Q68" t="str">
        <f>IF($M68="●","MOV.D #"&amp;N68&amp;" "&amp;$B$9,"")</f>
        <v/>
      </c>
      <c r="R68" t="str">
        <f>IF(AND(D68&lt;&gt;0,M68="●"),CHAR(10),"")&amp;IF(LEN(O68),O68,"")</f>
        <v/>
      </c>
      <c r="S68" t="str">
        <f>IF(LEN(R68),R68&amp;CHAR(10),"")&amp;IF(LEN(P68),P68,"")</f>
        <v/>
      </c>
      <c r="T68" t="str">
        <f>IF(LEN(S68),S68&amp;CHAR(10),"")&amp;IF(LEN(Q68),Q68,"")</f>
        <v/>
      </c>
      <c r="V68" t="str">
        <f t="shared" si="1"/>
        <v/>
      </c>
      <c r="W68" t="str">
        <f>IF(LEN(S68),S68&amp;CHAR(10),"")&amp;IF(LEN(V68),V68,"")</f>
        <v/>
      </c>
    </row>
    <row r="69" spans="4:23" x14ac:dyDescent="0.55000000000000004">
      <c r="D69">
        <v>67</v>
      </c>
      <c r="M69" t="str">
        <f>IF(LEN(K69),IF(OR(COUNTIF(K69,"*◆*"),COUNTIF(K69,"*▼*")),"","●"),"")</f>
        <v/>
      </c>
      <c r="N69" t="str">
        <f>IF(M69="●",INT(MID(E69,5,3)),"")</f>
        <v/>
      </c>
      <c r="O69" t="str">
        <f>IF($M69="●","LDP "&amp;E69&amp;"."&amp;$B$8,"")</f>
        <v/>
      </c>
      <c r="P69" t="str">
        <f>IF($M69="●","AND=.D "&amp;$B$9&amp;" #0","")</f>
        <v/>
      </c>
      <c r="Q69" t="str">
        <f>IF($M69="●","MOV.D #"&amp;N69&amp;" "&amp;$B$9,"")</f>
        <v/>
      </c>
      <c r="R69" t="str">
        <f>IF(AND(D69&lt;&gt;0,M69="●"),CHAR(10),"")&amp;IF(LEN(O69),O69,"")</f>
        <v/>
      </c>
      <c r="S69" t="str">
        <f>IF(LEN(R69),R69&amp;CHAR(10),"")&amp;IF(LEN(P69),P69,"")</f>
        <v/>
      </c>
      <c r="T69" t="str">
        <f>IF(LEN(S69),S69&amp;CHAR(10),"")&amp;IF(LEN(Q69),Q69,"")</f>
        <v/>
      </c>
      <c r="V69" t="str">
        <f t="shared" si="1"/>
        <v/>
      </c>
      <c r="W69" t="str">
        <f>IF(LEN(S69),S69&amp;CHAR(10),"")&amp;IF(LEN(V69),V69,"")</f>
        <v/>
      </c>
    </row>
    <row r="70" spans="4:23" x14ac:dyDescent="0.55000000000000004">
      <c r="D70">
        <v>68</v>
      </c>
      <c r="M70" t="str">
        <f>IF(LEN(K70),IF(OR(COUNTIF(K70,"*◆*"),COUNTIF(K70,"*▼*")),"","●"),"")</f>
        <v/>
      </c>
      <c r="N70" t="str">
        <f>IF(M70="●",INT(MID(E70,5,3)),"")</f>
        <v/>
      </c>
      <c r="O70" t="str">
        <f>IF($M70="●","LDP "&amp;E70&amp;"."&amp;$B$8,"")</f>
        <v/>
      </c>
      <c r="P70" t="str">
        <f>IF($M70="●","AND=.D "&amp;$B$9&amp;" #0","")</f>
        <v/>
      </c>
      <c r="Q70" t="str">
        <f>IF($M70="●","MOV.D #"&amp;N70&amp;" "&amp;$B$9,"")</f>
        <v/>
      </c>
      <c r="R70" t="str">
        <f>IF(AND(D70&lt;&gt;0,M70="●"),CHAR(10),"")&amp;IF(LEN(O70),O70,"")</f>
        <v/>
      </c>
      <c r="S70" t="str">
        <f>IF(LEN(R70),R70&amp;CHAR(10),"")&amp;IF(LEN(P70),P70,"")</f>
        <v/>
      </c>
      <c r="T70" t="str">
        <f>IF(LEN(S70),S70&amp;CHAR(10),"")&amp;IF(LEN(Q70),Q70,"")</f>
        <v/>
      </c>
      <c r="V70" t="str">
        <f t="shared" si="1"/>
        <v/>
      </c>
      <c r="W70" t="str">
        <f>IF(LEN(S70),S70&amp;CHAR(10),"")&amp;IF(LEN(V70),V70,"")</f>
        <v/>
      </c>
    </row>
    <row r="71" spans="4:23" x14ac:dyDescent="0.55000000000000004">
      <c r="D71">
        <v>69</v>
      </c>
      <c r="M71" t="str">
        <f>IF(LEN(K71),IF(OR(COUNTIF(K71,"*◆*"),COUNTIF(K71,"*▼*")),"","●"),"")</f>
        <v/>
      </c>
      <c r="N71" t="str">
        <f>IF(M71="●",INT(MID(E71,5,3)),"")</f>
        <v/>
      </c>
      <c r="O71" t="str">
        <f>IF($M71="●","LDP "&amp;E71&amp;"."&amp;$B$8,"")</f>
        <v/>
      </c>
      <c r="P71" t="str">
        <f>IF($M71="●","AND=.D "&amp;$B$9&amp;" #0","")</f>
        <v/>
      </c>
      <c r="Q71" t="str">
        <f>IF($M71="●","MOV.D #"&amp;N71&amp;" "&amp;$B$9,"")</f>
        <v/>
      </c>
      <c r="R71" t="str">
        <f>IF(AND(D71&lt;&gt;0,M71="●"),CHAR(10),"")&amp;IF(LEN(O71),O71,"")</f>
        <v/>
      </c>
      <c r="S71" t="str">
        <f>IF(LEN(R71),R71&amp;CHAR(10),"")&amp;IF(LEN(P71),P71,"")</f>
        <v/>
      </c>
      <c r="T71" t="str">
        <f>IF(LEN(S71),S71&amp;CHAR(10),"")&amp;IF(LEN(Q71),Q71,"")</f>
        <v/>
      </c>
      <c r="V71" t="str">
        <f t="shared" si="1"/>
        <v/>
      </c>
      <c r="W71" t="str">
        <f>IF(LEN(S71),S71&amp;CHAR(10),"")&amp;IF(LEN(V71),V71,"")</f>
        <v/>
      </c>
    </row>
    <row r="72" spans="4:23" x14ac:dyDescent="0.55000000000000004">
      <c r="D72">
        <v>70</v>
      </c>
      <c r="M72" t="str">
        <f>IF(LEN(K72),IF(OR(COUNTIF(K72,"*◆*"),COUNTIF(K72,"*▼*")),"","●"),"")</f>
        <v/>
      </c>
      <c r="N72" t="str">
        <f>IF(M72="●",INT(MID(E72,5,3)),"")</f>
        <v/>
      </c>
      <c r="O72" t="str">
        <f>IF($M72="●","LDP "&amp;E72&amp;"."&amp;$B$8,"")</f>
        <v/>
      </c>
      <c r="P72" t="str">
        <f>IF($M72="●","AND=.D "&amp;$B$9&amp;" #0","")</f>
        <v/>
      </c>
      <c r="Q72" t="str">
        <f>IF($M72="●","MOV.D #"&amp;N72&amp;" "&amp;$B$9,"")</f>
        <v/>
      </c>
      <c r="R72" t="str">
        <f>IF(AND(D72&lt;&gt;0,M72="●"),CHAR(10),"")&amp;IF(LEN(O72),O72,"")</f>
        <v/>
      </c>
      <c r="S72" t="str">
        <f>IF(LEN(R72),R72&amp;CHAR(10),"")&amp;IF(LEN(P72),P72,"")</f>
        <v/>
      </c>
      <c r="T72" t="str">
        <f>IF(LEN(S72),S72&amp;CHAR(10),"")&amp;IF(LEN(Q72),Q72,"")</f>
        <v/>
      </c>
      <c r="V72" t="str">
        <f t="shared" si="1"/>
        <v/>
      </c>
      <c r="W72" t="str">
        <f>IF(LEN(S72),S72&amp;CHAR(10),"")&amp;IF(LEN(V72),V72,"")</f>
        <v/>
      </c>
    </row>
    <row r="73" spans="4:23" x14ac:dyDescent="0.55000000000000004">
      <c r="D73">
        <v>71</v>
      </c>
      <c r="M73" t="str">
        <f>IF(LEN(K73),IF(OR(COUNTIF(K73,"*◆*"),COUNTIF(K73,"*▼*")),"","●"),"")</f>
        <v/>
      </c>
      <c r="N73" t="str">
        <f>IF(M73="●",INT(MID(E73,5,3)),"")</f>
        <v/>
      </c>
      <c r="O73" t="str">
        <f>IF($M73="●","LDP "&amp;E73&amp;"."&amp;$B$8,"")</f>
        <v/>
      </c>
      <c r="P73" t="str">
        <f>IF($M73="●","AND=.D "&amp;$B$9&amp;" #0","")</f>
        <v/>
      </c>
      <c r="Q73" t="str">
        <f>IF($M73="●","MOV.D #"&amp;N73&amp;" "&amp;$B$9,"")</f>
        <v/>
      </c>
      <c r="R73" t="str">
        <f>IF(AND(D73&lt;&gt;0,M73="●"),CHAR(10),"")&amp;IF(LEN(O73),O73,"")</f>
        <v/>
      </c>
      <c r="S73" t="str">
        <f>IF(LEN(R73),R73&amp;CHAR(10),"")&amp;IF(LEN(P73),P73,"")</f>
        <v/>
      </c>
      <c r="T73" t="str">
        <f>IF(LEN(S73),S73&amp;CHAR(10),"")&amp;IF(LEN(Q73),Q73,"")</f>
        <v/>
      </c>
      <c r="V73" t="str">
        <f t="shared" si="1"/>
        <v/>
      </c>
      <c r="W73" t="str">
        <f>IF(LEN(S73),S73&amp;CHAR(10),"")&amp;IF(LEN(V73),V73,"")</f>
        <v/>
      </c>
    </row>
    <row r="74" spans="4:23" x14ac:dyDescent="0.55000000000000004">
      <c r="D74">
        <v>72</v>
      </c>
      <c r="M74" t="str">
        <f>IF(LEN(K74),IF(OR(COUNTIF(K74,"*◆*"),COUNTIF(K74,"*▼*")),"","●"),"")</f>
        <v/>
      </c>
      <c r="N74" t="str">
        <f>IF(M74="●",INT(MID(E74,5,3)),"")</f>
        <v/>
      </c>
      <c r="O74" t="str">
        <f>IF($M74="●","LDP "&amp;E74&amp;"."&amp;$B$8,"")</f>
        <v/>
      </c>
      <c r="P74" t="str">
        <f>IF($M74="●","AND=.D "&amp;$B$9&amp;" #0","")</f>
        <v/>
      </c>
      <c r="Q74" t="str">
        <f>IF($M74="●","MOV.D #"&amp;N74&amp;" "&amp;$B$9,"")</f>
        <v/>
      </c>
      <c r="R74" t="str">
        <f>IF(AND(D74&lt;&gt;0,M74="●"),CHAR(10),"")&amp;IF(LEN(O74),O74,"")</f>
        <v/>
      </c>
      <c r="S74" t="str">
        <f>IF(LEN(R74),R74&amp;CHAR(10),"")&amp;IF(LEN(P74),P74,"")</f>
        <v/>
      </c>
      <c r="T74" t="str">
        <f>IF(LEN(S74),S74&amp;CHAR(10),"")&amp;IF(LEN(Q74),Q74,"")</f>
        <v/>
      </c>
      <c r="V74" t="str">
        <f t="shared" si="1"/>
        <v/>
      </c>
      <c r="W74" t="str">
        <f>IF(LEN(S74),S74&amp;CHAR(10),"")&amp;IF(LEN(V74),V74,"")</f>
        <v/>
      </c>
    </row>
    <row r="75" spans="4:23" x14ac:dyDescent="0.55000000000000004">
      <c r="D75">
        <v>73</v>
      </c>
      <c r="M75" t="str">
        <f>IF(LEN(K75),IF(OR(COUNTIF(K75,"*◆*"),COUNTIF(K75,"*▼*")),"","●"),"")</f>
        <v/>
      </c>
      <c r="N75" t="str">
        <f>IF(M75="●",INT(MID(E75,5,3)),"")</f>
        <v/>
      </c>
      <c r="O75" t="str">
        <f>IF($M75="●","LDP "&amp;E75&amp;"."&amp;$B$8,"")</f>
        <v/>
      </c>
      <c r="P75" t="str">
        <f>IF($M75="●","AND=.D "&amp;$B$9&amp;" #0","")</f>
        <v/>
      </c>
      <c r="Q75" t="str">
        <f>IF($M75="●","MOV.D #"&amp;N75&amp;" "&amp;$B$9,"")</f>
        <v/>
      </c>
      <c r="R75" t="str">
        <f>IF(AND(D75&lt;&gt;0,M75="●"),CHAR(10),"")&amp;IF(LEN(O75),O75,"")</f>
        <v/>
      </c>
      <c r="S75" t="str">
        <f>IF(LEN(R75),R75&amp;CHAR(10),"")&amp;IF(LEN(P75),P75,"")</f>
        <v/>
      </c>
      <c r="T75" t="str">
        <f>IF(LEN(S75),S75&amp;CHAR(10),"")&amp;IF(LEN(Q75),Q75,"")</f>
        <v/>
      </c>
      <c r="V75" t="str">
        <f t="shared" si="1"/>
        <v/>
      </c>
      <c r="W75" t="str">
        <f>IF(LEN(S75),S75&amp;CHAR(10),"")&amp;IF(LEN(V75),V75,"")</f>
        <v/>
      </c>
    </row>
    <row r="76" spans="4:23" x14ac:dyDescent="0.55000000000000004">
      <c r="D76">
        <v>74</v>
      </c>
      <c r="M76" t="str">
        <f>IF(LEN(K76),IF(OR(COUNTIF(K76,"*◆*"),COUNTIF(K76,"*▼*")),"","●"),"")</f>
        <v/>
      </c>
      <c r="N76" t="str">
        <f>IF(M76="●",INT(MID(E76,5,3)),"")</f>
        <v/>
      </c>
      <c r="O76" t="str">
        <f>IF($M76="●","LDP "&amp;E76&amp;"."&amp;$B$8,"")</f>
        <v/>
      </c>
      <c r="P76" t="str">
        <f>IF($M76="●","AND=.D "&amp;$B$9&amp;" #0","")</f>
        <v/>
      </c>
      <c r="Q76" t="str">
        <f>IF($M76="●","MOV.D #"&amp;N76&amp;" "&amp;$B$9,"")</f>
        <v/>
      </c>
      <c r="R76" t="str">
        <f>IF(AND(D76&lt;&gt;0,M76="●"),CHAR(10),"")&amp;IF(LEN(O76),O76,"")</f>
        <v/>
      </c>
      <c r="S76" t="str">
        <f>IF(LEN(R76),R76&amp;CHAR(10),"")&amp;IF(LEN(P76),P76,"")</f>
        <v/>
      </c>
      <c r="T76" t="str">
        <f>IF(LEN(S76),S76&amp;CHAR(10),"")&amp;IF(LEN(Q76),Q76,"")</f>
        <v/>
      </c>
      <c r="V76" t="str">
        <f t="shared" si="1"/>
        <v/>
      </c>
      <c r="W76" t="str">
        <f>IF(LEN(S76),S76&amp;CHAR(10),"")&amp;IF(LEN(V76),V76,"")</f>
        <v/>
      </c>
    </row>
    <row r="77" spans="4:23" x14ac:dyDescent="0.55000000000000004">
      <c r="D77">
        <v>75</v>
      </c>
      <c r="M77" t="str">
        <f>IF(LEN(K77),IF(OR(COUNTIF(K77,"*◆*"),COUNTIF(K77,"*▼*")),"","●"),"")</f>
        <v/>
      </c>
      <c r="N77" t="str">
        <f>IF(M77="●",INT(MID(E77,5,3)),"")</f>
        <v/>
      </c>
      <c r="O77" t="str">
        <f>IF($M77="●","LDP "&amp;E77&amp;"."&amp;$B$8,"")</f>
        <v/>
      </c>
      <c r="P77" t="str">
        <f>IF($M77="●","AND=.D "&amp;$B$9&amp;" #0","")</f>
        <v/>
      </c>
      <c r="Q77" t="str">
        <f>IF($M77="●","MOV.D #"&amp;N77&amp;" "&amp;$B$9,"")</f>
        <v/>
      </c>
      <c r="R77" t="str">
        <f>IF(AND(D77&lt;&gt;0,M77="●"),CHAR(10),"")&amp;IF(LEN(O77),O77,"")</f>
        <v/>
      </c>
      <c r="S77" t="str">
        <f>IF(LEN(R77),R77&amp;CHAR(10),"")&amp;IF(LEN(P77),P77,"")</f>
        <v/>
      </c>
      <c r="T77" t="str">
        <f>IF(LEN(S77),S77&amp;CHAR(10),"")&amp;IF(LEN(Q77),Q77,"")</f>
        <v/>
      </c>
      <c r="V77" t="str">
        <f t="shared" si="1"/>
        <v/>
      </c>
      <c r="W77" t="str">
        <f>IF(LEN(S77),S77&amp;CHAR(10),"")&amp;IF(LEN(V77),V77,"")</f>
        <v/>
      </c>
    </row>
    <row r="78" spans="4:23" x14ac:dyDescent="0.55000000000000004">
      <c r="D78">
        <v>76</v>
      </c>
      <c r="M78" t="str">
        <f>IF(LEN(K78),IF(OR(COUNTIF(K78,"*◆*"),COUNTIF(K78,"*▼*")),"","●"),"")</f>
        <v/>
      </c>
      <c r="N78" t="str">
        <f>IF(M78="●",INT(MID(E78,5,3)),"")</f>
        <v/>
      </c>
      <c r="O78" t="str">
        <f>IF($M78="●","LDP "&amp;E78&amp;"."&amp;$B$8,"")</f>
        <v/>
      </c>
      <c r="P78" t="str">
        <f>IF($M78="●","AND=.D "&amp;$B$9&amp;" #0","")</f>
        <v/>
      </c>
      <c r="Q78" t="str">
        <f>IF($M78="●","MOV.D #"&amp;N78&amp;" "&amp;$B$9,"")</f>
        <v/>
      </c>
      <c r="R78" t="str">
        <f>IF(AND(D78&lt;&gt;0,M78="●"),CHAR(10),"")&amp;IF(LEN(O78),O78,"")</f>
        <v/>
      </c>
      <c r="S78" t="str">
        <f>IF(LEN(R78),R78&amp;CHAR(10),"")&amp;IF(LEN(P78),P78,"")</f>
        <v/>
      </c>
      <c r="T78" t="str">
        <f>IF(LEN(S78),S78&amp;CHAR(10),"")&amp;IF(LEN(Q78),Q78,"")</f>
        <v/>
      </c>
      <c r="V78" t="str">
        <f t="shared" si="1"/>
        <v/>
      </c>
      <c r="W78" t="str">
        <f>IF(LEN(S78),S78&amp;CHAR(10),"")&amp;IF(LEN(V78),V78,"")</f>
        <v/>
      </c>
    </row>
    <row r="79" spans="4:23" x14ac:dyDescent="0.55000000000000004">
      <c r="D79">
        <v>77</v>
      </c>
      <c r="M79" t="str">
        <f>IF(LEN(K79),IF(OR(COUNTIF(K79,"*◆*"),COUNTIF(K79,"*▼*")),"","●"),"")</f>
        <v/>
      </c>
      <c r="N79" t="str">
        <f>IF(M79="●",INT(MID(E79,5,3)),"")</f>
        <v/>
      </c>
      <c r="O79" t="str">
        <f>IF($M79="●","LDP "&amp;E79&amp;"."&amp;$B$8,"")</f>
        <v/>
      </c>
      <c r="P79" t="str">
        <f>IF($M79="●","AND=.D "&amp;$B$9&amp;" #0","")</f>
        <v/>
      </c>
      <c r="Q79" t="str">
        <f>IF($M79="●","MOV.D #"&amp;N79&amp;" "&amp;$B$9,"")</f>
        <v/>
      </c>
      <c r="R79" t="str">
        <f>IF(AND(D79&lt;&gt;0,M79="●"),CHAR(10),"")&amp;IF(LEN(O79),O79,"")</f>
        <v/>
      </c>
      <c r="S79" t="str">
        <f>IF(LEN(R79),R79&amp;CHAR(10),"")&amp;IF(LEN(P79),P79,"")</f>
        <v/>
      </c>
      <c r="T79" t="str">
        <f>IF(LEN(S79),S79&amp;CHAR(10),"")&amp;IF(LEN(Q79),Q79,"")</f>
        <v/>
      </c>
      <c r="V79" t="str">
        <f t="shared" si="1"/>
        <v/>
      </c>
      <c r="W79" t="str">
        <f>IF(LEN(S79),S79&amp;CHAR(10),"")&amp;IF(LEN(V79),V79,"")</f>
        <v/>
      </c>
    </row>
    <row r="80" spans="4:23" x14ac:dyDescent="0.55000000000000004">
      <c r="D80">
        <v>78</v>
      </c>
      <c r="M80" t="str">
        <f>IF(LEN(K80),IF(OR(COUNTIF(K80,"*◆*"),COUNTIF(K80,"*▼*")),"","●"),"")</f>
        <v/>
      </c>
      <c r="N80" t="str">
        <f>IF(M80="●",INT(MID(E80,5,3)),"")</f>
        <v/>
      </c>
      <c r="O80" t="str">
        <f>IF($M80="●","LDP "&amp;E80&amp;"."&amp;$B$8,"")</f>
        <v/>
      </c>
      <c r="P80" t="str">
        <f>IF($M80="●","AND=.D "&amp;$B$9&amp;" #0","")</f>
        <v/>
      </c>
      <c r="Q80" t="str">
        <f>IF($M80="●","MOV.D #"&amp;N80&amp;" "&amp;$B$9,"")</f>
        <v/>
      </c>
      <c r="R80" t="str">
        <f>IF(AND(D80&lt;&gt;0,M80="●"),CHAR(10),"")&amp;IF(LEN(O80),O80,"")</f>
        <v/>
      </c>
      <c r="S80" t="str">
        <f>IF(LEN(R80),R80&amp;CHAR(10),"")&amp;IF(LEN(P80),P80,"")</f>
        <v/>
      </c>
      <c r="T80" t="str">
        <f>IF(LEN(S80),S80&amp;CHAR(10),"")&amp;IF(LEN(Q80),Q80,"")</f>
        <v/>
      </c>
      <c r="V80" t="str">
        <f t="shared" si="1"/>
        <v/>
      </c>
      <c r="W80" t="str">
        <f>IF(LEN(S80),S80&amp;CHAR(10),"")&amp;IF(LEN(V80),V80,"")</f>
        <v/>
      </c>
    </row>
    <row r="81" spans="4:23" x14ac:dyDescent="0.55000000000000004">
      <c r="D81">
        <v>79</v>
      </c>
      <c r="M81" t="str">
        <f>IF(LEN(K81),IF(OR(COUNTIF(K81,"*◆*"),COUNTIF(K81,"*▼*")),"","●"),"")</f>
        <v/>
      </c>
      <c r="N81" t="str">
        <f>IF(M81="●",INT(MID(E81,5,3)),"")</f>
        <v/>
      </c>
      <c r="O81" t="str">
        <f>IF($M81="●","LDP "&amp;E81&amp;"."&amp;$B$8,"")</f>
        <v/>
      </c>
      <c r="P81" t="str">
        <f>IF($M81="●","AND=.D "&amp;$B$9&amp;" #0","")</f>
        <v/>
      </c>
      <c r="Q81" t="str">
        <f>IF($M81="●","MOV.D #"&amp;N81&amp;" "&amp;$B$9,"")</f>
        <v/>
      </c>
      <c r="R81" t="str">
        <f>IF(AND(D81&lt;&gt;0,M81="●"),CHAR(10),"")&amp;IF(LEN(O81),O81,"")</f>
        <v/>
      </c>
      <c r="S81" t="str">
        <f>IF(LEN(R81),R81&amp;CHAR(10),"")&amp;IF(LEN(P81),P81,"")</f>
        <v/>
      </c>
      <c r="T81" t="str">
        <f>IF(LEN(S81),S81&amp;CHAR(10),"")&amp;IF(LEN(Q81),Q81,"")</f>
        <v/>
      </c>
      <c r="V81" t="str">
        <f t="shared" si="1"/>
        <v/>
      </c>
      <c r="W81" t="str">
        <f>IF(LEN(S81),S81&amp;CHAR(10),"")&amp;IF(LEN(V81),V81,"")</f>
        <v/>
      </c>
    </row>
    <row r="82" spans="4:23" x14ac:dyDescent="0.55000000000000004">
      <c r="D82">
        <v>80</v>
      </c>
      <c r="M82" t="str">
        <f>IF(LEN(K82),IF(OR(COUNTIF(K82,"*◆*"),COUNTIF(K82,"*▼*")),"","●"),"")</f>
        <v/>
      </c>
      <c r="N82" t="str">
        <f>IF(M82="●",INT(MID(E82,5,3)),"")</f>
        <v/>
      </c>
      <c r="O82" t="str">
        <f>IF($M82="●","LDP "&amp;E82&amp;"."&amp;$B$8,"")</f>
        <v/>
      </c>
      <c r="P82" t="str">
        <f>IF($M82="●","AND=.D "&amp;$B$9&amp;" #0","")</f>
        <v/>
      </c>
      <c r="Q82" t="str">
        <f>IF($M82="●","MOV.D #"&amp;N82&amp;" "&amp;$B$9,"")</f>
        <v/>
      </c>
      <c r="R82" t="str">
        <f>IF(AND(D82&lt;&gt;0,M82="●"),CHAR(10),"")&amp;IF(LEN(O82),O82,"")</f>
        <v/>
      </c>
      <c r="S82" t="str">
        <f>IF(LEN(R82),R82&amp;CHAR(10),"")&amp;IF(LEN(P82),P82,"")</f>
        <v/>
      </c>
      <c r="T82" t="str">
        <f>IF(LEN(S82),S82&amp;CHAR(10),"")&amp;IF(LEN(Q82),Q82,"")</f>
        <v/>
      </c>
      <c r="V82" t="str">
        <f t="shared" si="1"/>
        <v/>
      </c>
      <c r="W82" t="str">
        <f>IF(LEN(S82),S82&amp;CHAR(10),"")&amp;IF(LEN(V82),V82,"")</f>
        <v/>
      </c>
    </row>
    <row r="83" spans="4:23" x14ac:dyDescent="0.55000000000000004">
      <c r="D83">
        <v>81</v>
      </c>
      <c r="M83" t="str">
        <f>IF(LEN(K83),IF(OR(COUNTIF(K83,"*◆*"),COUNTIF(K83,"*▼*")),"","●"),"")</f>
        <v/>
      </c>
      <c r="N83" t="str">
        <f>IF(M83="●",INT(MID(E83,5,3)),"")</f>
        <v/>
      </c>
      <c r="O83" t="str">
        <f>IF($M83="●","LDP "&amp;E83&amp;"."&amp;$B$8,"")</f>
        <v/>
      </c>
      <c r="P83" t="str">
        <f>IF($M83="●","AND=.D "&amp;$B$9&amp;" #0","")</f>
        <v/>
      </c>
      <c r="Q83" t="str">
        <f>IF($M83="●","MOV.D #"&amp;N83&amp;" "&amp;$B$9,"")</f>
        <v/>
      </c>
      <c r="R83" t="str">
        <f>IF(AND(D83&lt;&gt;0,M83="●"),CHAR(10),"")&amp;IF(LEN(O83),O83,"")</f>
        <v/>
      </c>
      <c r="S83" t="str">
        <f>IF(LEN(R83),R83&amp;CHAR(10),"")&amp;IF(LEN(P83),P83,"")</f>
        <v/>
      </c>
      <c r="T83" t="str">
        <f>IF(LEN(S83),S83&amp;CHAR(10),"")&amp;IF(LEN(Q83),Q83,"")</f>
        <v/>
      </c>
      <c r="V83" t="str">
        <f t="shared" si="1"/>
        <v/>
      </c>
      <c r="W83" t="str">
        <f>IF(LEN(S83),S83&amp;CHAR(10),"")&amp;IF(LEN(V83),V83,"")</f>
        <v/>
      </c>
    </row>
    <row r="84" spans="4:23" x14ac:dyDescent="0.55000000000000004">
      <c r="D84">
        <v>82</v>
      </c>
      <c r="M84" t="str">
        <f>IF(LEN(K84),IF(OR(COUNTIF(K84,"*◆*"),COUNTIF(K84,"*▼*")),"","●"),"")</f>
        <v/>
      </c>
      <c r="N84" t="str">
        <f>IF(M84="●",INT(MID(E84,5,3)),"")</f>
        <v/>
      </c>
      <c r="O84" t="str">
        <f>IF($M84="●","LDP "&amp;E84&amp;"."&amp;$B$8,"")</f>
        <v/>
      </c>
      <c r="P84" t="str">
        <f>IF($M84="●","AND=.D "&amp;$B$9&amp;" #0","")</f>
        <v/>
      </c>
      <c r="Q84" t="str">
        <f>IF($M84="●","MOV.D #"&amp;N84&amp;" "&amp;$B$9,"")</f>
        <v/>
      </c>
      <c r="R84" t="str">
        <f>IF(AND(D84&lt;&gt;0,M84="●"),CHAR(10),"")&amp;IF(LEN(O84),O84,"")</f>
        <v/>
      </c>
      <c r="S84" t="str">
        <f>IF(LEN(R84),R84&amp;CHAR(10),"")&amp;IF(LEN(P84),P84,"")</f>
        <v/>
      </c>
      <c r="T84" t="str">
        <f>IF(LEN(S84),S84&amp;CHAR(10),"")&amp;IF(LEN(Q84),Q84,"")</f>
        <v/>
      </c>
      <c r="V84" t="str">
        <f t="shared" si="1"/>
        <v/>
      </c>
      <c r="W84" t="str">
        <f>IF(LEN(S84),S84&amp;CHAR(10),"")&amp;IF(LEN(V84),V84,"")</f>
        <v/>
      </c>
    </row>
    <row r="85" spans="4:23" x14ac:dyDescent="0.55000000000000004">
      <c r="D85">
        <v>83</v>
      </c>
      <c r="M85" t="str">
        <f>IF(LEN(K85),IF(OR(COUNTIF(K85,"*◆*"),COUNTIF(K85,"*▼*")),"","●"),"")</f>
        <v/>
      </c>
      <c r="N85" t="str">
        <f>IF(M85="●",INT(MID(E85,5,3)),"")</f>
        <v/>
      </c>
      <c r="O85" t="str">
        <f>IF($M85="●","LDP "&amp;E85&amp;"."&amp;$B$8,"")</f>
        <v/>
      </c>
      <c r="P85" t="str">
        <f>IF($M85="●","AND=.D "&amp;$B$9&amp;" #0","")</f>
        <v/>
      </c>
      <c r="Q85" t="str">
        <f>IF($M85="●","MOV.D #"&amp;N85&amp;" "&amp;$B$9,"")</f>
        <v/>
      </c>
      <c r="R85" t="str">
        <f>IF(AND(D85&lt;&gt;0,M85="●"),CHAR(10),"")&amp;IF(LEN(O85),O85,"")</f>
        <v/>
      </c>
      <c r="S85" t="str">
        <f>IF(LEN(R85),R85&amp;CHAR(10),"")&amp;IF(LEN(P85),P85,"")</f>
        <v/>
      </c>
      <c r="T85" t="str">
        <f>IF(LEN(S85),S85&amp;CHAR(10),"")&amp;IF(LEN(Q85),Q85,"")</f>
        <v/>
      </c>
      <c r="V85" t="str">
        <f t="shared" si="1"/>
        <v/>
      </c>
      <c r="W85" t="str">
        <f>IF(LEN(S85),S85&amp;CHAR(10),"")&amp;IF(LEN(V85),V85,"")</f>
        <v/>
      </c>
    </row>
    <row r="86" spans="4:23" x14ac:dyDescent="0.55000000000000004">
      <c r="D86">
        <v>84</v>
      </c>
      <c r="M86" t="str">
        <f>IF(LEN(K86),IF(OR(COUNTIF(K86,"*◆*"),COUNTIF(K86,"*▼*")),"","●"),"")</f>
        <v/>
      </c>
      <c r="N86" t="str">
        <f>IF(M86="●",INT(MID(E86,5,3)),"")</f>
        <v/>
      </c>
      <c r="O86" t="str">
        <f>IF($M86="●","LDP "&amp;E86&amp;"."&amp;$B$8,"")</f>
        <v/>
      </c>
      <c r="P86" t="str">
        <f>IF($M86="●","AND=.D "&amp;$B$9&amp;" #0","")</f>
        <v/>
      </c>
      <c r="Q86" t="str">
        <f>IF($M86="●","MOV.D #"&amp;N86&amp;" "&amp;$B$9,"")</f>
        <v/>
      </c>
      <c r="R86" t="str">
        <f>IF(AND(D86&lt;&gt;0,M86="●"),CHAR(10),"")&amp;IF(LEN(O86),O86,"")</f>
        <v/>
      </c>
      <c r="S86" t="str">
        <f>IF(LEN(R86),R86&amp;CHAR(10),"")&amp;IF(LEN(P86),P86,"")</f>
        <v/>
      </c>
      <c r="T86" t="str">
        <f>IF(LEN(S86),S86&amp;CHAR(10),"")&amp;IF(LEN(Q86),Q86,"")</f>
        <v/>
      </c>
      <c r="V86" t="str">
        <f t="shared" si="1"/>
        <v/>
      </c>
      <c r="W86" t="str">
        <f>IF(LEN(S86),S86&amp;CHAR(10),"")&amp;IF(LEN(V86),V86,"")</f>
        <v/>
      </c>
    </row>
    <row r="87" spans="4:23" x14ac:dyDescent="0.55000000000000004">
      <c r="D87">
        <v>85</v>
      </c>
      <c r="M87" t="str">
        <f>IF(LEN(K87),IF(OR(COUNTIF(K87,"*◆*"),COUNTIF(K87,"*▼*")),"","●"),"")</f>
        <v/>
      </c>
      <c r="N87" t="str">
        <f>IF(M87="●",INT(MID(E87,5,3)),"")</f>
        <v/>
      </c>
      <c r="O87" t="str">
        <f>IF($M87="●","LDP "&amp;E87&amp;"."&amp;$B$8,"")</f>
        <v/>
      </c>
      <c r="P87" t="str">
        <f>IF($M87="●","AND=.D "&amp;$B$9&amp;" #0","")</f>
        <v/>
      </c>
      <c r="Q87" t="str">
        <f>IF($M87="●","MOV.D #"&amp;N87&amp;" "&amp;$B$9,"")</f>
        <v/>
      </c>
      <c r="R87" t="str">
        <f>IF(AND(D87&lt;&gt;0,M87="●"),CHAR(10),"")&amp;IF(LEN(O87),O87,"")</f>
        <v/>
      </c>
      <c r="S87" t="str">
        <f>IF(LEN(R87),R87&amp;CHAR(10),"")&amp;IF(LEN(P87),P87,"")</f>
        <v/>
      </c>
      <c r="T87" t="str">
        <f>IF(LEN(S87),S87&amp;CHAR(10),"")&amp;IF(LEN(Q87),Q87,"")</f>
        <v/>
      </c>
      <c r="V87" t="str">
        <f t="shared" si="1"/>
        <v/>
      </c>
      <c r="W87" t="str">
        <f>IF(LEN(S87),S87&amp;CHAR(10),"")&amp;IF(LEN(V87),V87,"")</f>
        <v/>
      </c>
    </row>
    <row r="88" spans="4:23" x14ac:dyDescent="0.55000000000000004">
      <c r="D88">
        <v>86</v>
      </c>
      <c r="M88" t="str">
        <f>IF(LEN(K88),IF(OR(COUNTIF(K88,"*◆*"),COUNTIF(K88,"*▼*")),"","●"),"")</f>
        <v/>
      </c>
      <c r="N88" t="str">
        <f>IF(M88="●",INT(MID(E88,5,3)),"")</f>
        <v/>
      </c>
      <c r="O88" t="str">
        <f>IF($M88="●","LDP "&amp;E88&amp;"."&amp;$B$8,"")</f>
        <v/>
      </c>
      <c r="P88" t="str">
        <f>IF($M88="●","AND=.D "&amp;$B$9&amp;" #0","")</f>
        <v/>
      </c>
      <c r="Q88" t="str">
        <f>IF($M88="●","MOV.D #"&amp;N88&amp;" "&amp;$B$9,"")</f>
        <v/>
      </c>
      <c r="R88" t="str">
        <f>IF(AND(D88&lt;&gt;0,M88="●"),CHAR(10),"")&amp;IF(LEN(O88),O88,"")</f>
        <v/>
      </c>
      <c r="S88" t="str">
        <f>IF(LEN(R88),R88&amp;CHAR(10),"")&amp;IF(LEN(P88),P88,"")</f>
        <v/>
      </c>
      <c r="T88" t="str">
        <f>IF(LEN(S88),S88&amp;CHAR(10),"")&amp;IF(LEN(Q88),Q88,"")</f>
        <v/>
      </c>
      <c r="V88" t="str">
        <f t="shared" si="1"/>
        <v/>
      </c>
      <c r="W88" t="str">
        <f>IF(LEN(S88),S88&amp;CHAR(10),"")&amp;IF(LEN(V88),V88,"")</f>
        <v/>
      </c>
    </row>
    <row r="89" spans="4:23" x14ac:dyDescent="0.55000000000000004">
      <c r="D89">
        <v>87</v>
      </c>
      <c r="M89" t="str">
        <f>IF(LEN(K89),IF(OR(COUNTIF(K89,"*◆*"),COUNTIF(K89,"*▼*")),"","●"),"")</f>
        <v/>
      </c>
      <c r="N89" t="str">
        <f>IF(M89="●",INT(MID(E89,5,3)),"")</f>
        <v/>
      </c>
      <c r="O89" t="str">
        <f>IF($M89="●","LDP "&amp;E89&amp;"."&amp;$B$8,"")</f>
        <v/>
      </c>
      <c r="P89" t="str">
        <f>IF($M89="●","AND=.D "&amp;$B$9&amp;" #0","")</f>
        <v/>
      </c>
      <c r="Q89" t="str">
        <f>IF($M89="●","MOV.D #"&amp;N89&amp;" "&amp;$B$9,"")</f>
        <v/>
      </c>
      <c r="R89" t="str">
        <f>IF(AND(D89&lt;&gt;0,M89="●"),CHAR(10),"")&amp;IF(LEN(O89),O89,"")</f>
        <v/>
      </c>
      <c r="S89" t="str">
        <f>IF(LEN(R89),R89&amp;CHAR(10),"")&amp;IF(LEN(P89),P89,"")</f>
        <v/>
      </c>
      <c r="T89" t="str">
        <f>IF(LEN(S89),S89&amp;CHAR(10),"")&amp;IF(LEN(Q89),Q89,"")</f>
        <v/>
      </c>
      <c r="V89" t="str">
        <f t="shared" si="1"/>
        <v/>
      </c>
      <c r="W89" t="str">
        <f>IF(LEN(S89),S89&amp;CHAR(10),"")&amp;IF(LEN(V89),V89,"")</f>
        <v/>
      </c>
    </row>
    <row r="90" spans="4:23" x14ac:dyDescent="0.55000000000000004">
      <c r="D90">
        <v>88</v>
      </c>
      <c r="M90" t="str">
        <f>IF(LEN(K90),IF(OR(COUNTIF(K90,"*◆*"),COUNTIF(K90,"*▼*")),"","●"),"")</f>
        <v/>
      </c>
      <c r="N90" t="str">
        <f>IF(M90="●",INT(MID(E90,5,3)),"")</f>
        <v/>
      </c>
      <c r="O90" t="str">
        <f>IF($M90="●","LDP "&amp;E90&amp;"."&amp;$B$8,"")</f>
        <v/>
      </c>
      <c r="P90" t="str">
        <f>IF($M90="●","AND=.D "&amp;$B$9&amp;" #0","")</f>
        <v/>
      </c>
      <c r="Q90" t="str">
        <f>IF($M90="●","MOV.D #"&amp;N90&amp;" "&amp;$B$9,"")</f>
        <v/>
      </c>
      <c r="R90" t="str">
        <f>IF(AND(D90&lt;&gt;0,M90="●"),CHAR(10),"")&amp;IF(LEN(O90),O90,"")</f>
        <v/>
      </c>
      <c r="S90" t="str">
        <f>IF(LEN(R90),R90&amp;CHAR(10),"")&amp;IF(LEN(P90),P90,"")</f>
        <v/>
      </c>
      <c r="T90" t="str">
        <f>IF(LEN(S90),S90&amp;CHAR(10),"")&amp;IF(LEN(Q90),Q90,"")</f>
        <v/>
      </c>
      <c r="V90" t="str">
        <f t="shared" si="1"/>
        <v/>
      </c>
      <c r="W90" t="str">
        <f>IF(LEN(S90),S90&amp;CHAR(10),"")&amp;IF(LEN(V90),V90,"")</f>
        <v/>
      </c>
    </row>
    <row r="91" spans="4:23" x14ac:dyDescent="0.55000000000000004">
      <c r="D91">
        <v>89</v>
      </c>
      <c r="M91" t="str">
        <f>IF(LEN(K91),IF(OR(COUNTIF(K91,"*◆*"),COUNTIF(K91,"*▼*")),"","●"),"")</f>
        <v/>
      </c>
      <c r="N91" t="str">
        <f>IF(M91="●",INT(MID(E91,5,3)),"")</f>
        <v/>
      </c>
      <c r="O91" t="str">
        <f>IF($M91="●","LDP "&amp;E91&amp;"."&amp;$B$8,"")</f>
        <v/>
      </c>
      <c r="P91" t="str">
        <f>IF($M91="●","AND=.D "&amp;$B$9&amp;" #0","")</f>
        <v/>
      </c>
      <c r="Q91" t="str">
        <f>IF($M91="●","MOV.D #"&amp;N91&amp;" "&amp;$B$9,"")</f>
        <v/>
      </c>
      <c r="R91" t="str">
        <f>IF(AND(D91&lt;&gt;0,M91="●"),CHAR(10),"")&amp;IF(LEN(O91),O91,"")</f>
        <v/>
      </c>
      <c r="S91" t="str">
        <f>IF(LEN(R91),R91&amp;CHAR(10),"")&amp;IF(LEN(P91),P91,"")</f>
        <v/>
      </c>
      <c r="T91" t="str">
        <f>IF(LEN(S91),S91&amp;CHAR(10),"")&amp;IF(LEN(Q91),Q91,"")</f>
        <v/>
      </c>
      <c r="V91" t="str">
        <f t="shared" si="1"/>
        <v/>
      </c>
      <c r="W91" t="str">
        <f>IF(LEN(S91),S91&amp;CHAR(10),"")&amp;IF(LEN(V91),V91,"")</f>
        <v/>
      </c>
    </row>
    <row r="92" spans="4:23" x14ac:dyDescent="0.55000000000000004">
      <c r="D92">
        <v>90</v>
      </c>
      <c r="M92" t="str">
        <f>IF(LEN(K92),IF(OR(COUNTIF(K92,"*◆*"),COUNTIF(K92,"*▼*")),"","●"),"")</f>
        <v/>
      </c>
      <c r="N92" t="str">
        <f>IF(M92="●",INT(MID(E92,5,3)),"")</f>
        <v/>
      </c>
      <c r="O92" t="str">
        <f>IF($M92="●","LDP "&amp;E92&amp;"."&amp;$B$8,"")</f>
        <v/>
      </c>
      <c r="P92" t="str">
        <f>IF($M92="●","AND=.D "&amp;$B$9&amp;" #0","")</f>
        <v/>
      </c>
      <c r="Q92" t="str">
        <f>IF($M92="●","MOV.D #"&amp;N92&amp;" "&amp;$B$9,"")</f>
        <v/>
      </c>
      <c r="R92" t="str">
        <f>IF(AND(D92&lt;&gt;0,M92="●"),CHAR(10),"")&amp;IF(LEN(O92),O92,"")</f>
        <v/>
      </c>
      <c r="S92" t="str">
        <f>IF(LEN(R92),R92&amp;CHAR(10),"")&amp;IF(LEN(P92),P92,"")</f>
        <v/>
      </c>
      <c r="T92" t="str">
        <f>IF(LEN(S92),S92&amp;CHAR(10),"")&amp;IF(LEN(Q92),Q92,"")</f>
        <v/>
      </c>
      <c r="V92" t="str">
        <f t="shared" si="1"/>
        <v/>
      </c>
      <c r="W92" t="str">
        <f>IF(LEN(S92),S92&amp;CHAR(10),"")&amp;IF(LEN(V92),V92,"")</f>
        <v/>
      </c>
    </row>
    <row r="93" spans="4:23" x14ac:dyDescent="0.55000000000000004">
      <c r="D93">
        <v>91</v>
      </c>
      <c r="M93" t="str">
        <f>IF(LEN(K93),IF(OR(COUNTIF(K93,"*◆*"),COUNTIF(K93,"*▼*")),"","●"),"")</f>
        <v/>
      </c>
      <c r="N93" t="str">
        <f>IF(M93="●",INT(MID(E93,5,3)),"")</f>
        <v/>
      </c>
      <c r="O93" t="str">
        <f>IF($M93="●","LDP "&amp;E93&amp;"."&amp;$B$8,"")</f>
        <v/>
      </c>
      <c r="P93" t="str">
        <f>IF($M93="●","AND=.D "&amp;$B$9&amp;" #0","")</f>
        <v/>
      </c>
      <c r="Q93" t="str">
        <f>IF($M93="●","MOV.D #"&amp;N93&amp;" "&amp;$B$9,"")</f>
        <v/>
      </c>
      <c r="R93" t="str">
        <f>IF(AND(D93&lt;&gt;0,M93="●"),CHAR(10),"")&amp;IF(LEN(O93),O93,"")</f>
        <v/>
      </c>
      <c r="S93" t="str">
        <f>IF(LEN(R93),R93&amp;CHAR(10),"")&amp;IF(LEN(P93),P93,"")</f>
        <v/>
      </c>
      <c r="T93" t="str">
        <f>IF(LEN(S93),S93&amp;CHAR(10),"")&amp;IF(LEN(Q93),Q93,"")</f>
        <v/>
      </c>
      <c r="V93" t="str">
        <f t="shared" si="1"/>
        <v/>
      </c>
      <c r="W93" t="str">
        <f>IF(LEN(S93),S93&amp;CHAR(10),"")&amp;IF(LEN(V93),V93,"")</f>
        <v/>
      </c>
    </row>
    <row r="94" spans="4:23" x14ac:dyDescent="0.55000000000000004">
      <c r="D94">
        <v>92</v>
      </c>
      <c r="M94" t="str">
        <f>IF(LEN(K94),IF(OR(COUNTIF(K94,"*◆*"),COUNTIF(K94,"*▼*")),"","●"),"")</f>
        <v/>
      </c>
      <c r="N94" t="str">
        <f>IF(M94="●",INT(MID(E94,5,3)),"")</f>
        <v/>
      </c>
      <c r="O94" t="str">
        <f>IF($M94="●","LDP "&amp;E94&amp;"."&amp;$B$8,"")</f>
        <v/>
      </c>
      <c r="P94" t="str">
        <f>IF($M94="●","AND=.D "&amp;$B$9&amp;" #0","")</f>
        <v/>
      </c>
      <c r="Q94" t="str">
        <f>IF($M94="●","MOV.D #"&amp;N94&amp;" "&amp;$B$9,"")</f>
        <v/>
      </c>
      <c r="R94" t="str">
        <f>IF(AND(D94&lt;&gt;0,M94="●"),CHAR(10),"")&amp;IF(LEN(O94),O94,"")</f>
        <v/>
      </c>
      <c r="S94" t="str">
        <f>IF(LEN(R94),R94&amp;CHAR(10),"")&amp;IF(LEN(P94),P94,"")</f>
        <v/>
      </c>
      <c r="T94" t="str">
        <f>IF(LEN(S94),S94&amp;CHAR(10),"")&amp;IF(LEN(Q94),Q94,"")</f>
        <v/>
      </c>
      <c r="V94" t="str">
        <f t="shared" si="1"/>
        <v/>
      </c>
      <c r="W94" t="str">
        <f>IF(LEN(S94),S94&amp;CHAR(10),"")&amp;IF(LEN(V94),V94,"")</f>
        <v/>
      </c>
    </row>
    <row r="95" spans="4:23" x14ac:dyDescent="0.55000000000000004">
      <c r="D95">
        <v>93</v>
      </c>
      <c r="M95" t="str">
        <f>IF(LEN(K95),IF(OR(COUNTIF(K95,"*◆*"),COUNTIF(K95,"*▼*")),"","●"),"")</f>
        <v/>
      </c>
      <c r="N95" t="str">
        <f>IF(M95="●",INT(MID(E95,5,3)),"")</f>
        <v/>
      </c>
      <c r="O95" t="str">
        <f>IF($M95="●","LDP "&amp;E95&amp;"."&amp;$B$8,"")</f>
        <v/>
      </c>
      <c r="P95" t="str">
        <f>IF($M95="●","AND=.D "&amp;$B$9&amp;" #0","")</f>
        <v/>
      </c>
      <c r="Q95" t="str">
        <f>IF($M95="●","MOV.D #"&amp;N95&amp;" "&amp;$B$9,"")</f>
        <v/>
      </c>
      <c r="R95" t="str">
        <f>IF(AND(D95&lt;&gt;0,M95="●"),CHAR(10),"")&amp;IF(LEN(O95),O95,"")</f>
        <v/>
      </c>
      <c r="S95" t="str">
        <f>IF(LEN(R95),R95&amp;CHAR(10),"")&amp;IF(LEN(P95),P95,"")</f>
        <v/>
      </c>
      <c r="T95" t="str">
        <f>IF(LEN(S95),S95&amp;CHAR(10),"")&amp;IF(LEN(Q95),Q95,"")</f>
        <v/>
      </c>
      <c r="V95" t="str">
        <f t="shared" si="1"/>
        <v/>
      </c>
      <c r="W95" t="str">
        <f>IF(LEN(S95),S95&amp;CHAR(10),"")&amp;IF(LEN(V95),V95,"")</f>
        <v/>
      </c>
    </row>
    <row r="96" spans="4:23" x14ac:dyDescent="0.55000000000000004">
      <c r="D96">
        <v>94</v>
      </c>
      <c r="M96" t="str">
        <f>IF(LEN(K96),IF(OR(COUNTIF(K96,"*◆*"),COUNTIF(K96,"*▼*")),"","●"),"")</f>
        <v/>
      </c>
      <c r="N96" t="str">
        <f>IF(M96="●",INT(MID(E96,5,3)),"")</f>
        <v/>
      </c>
      <c r="O96" t="str">
        <f>IF($M96="●","LDP "&amp;E96&amp;"."&amp;$B$8,"")</f>
        <v/>
      </c>
      <c r="P96" t="str">
        <f>IF($M96="●","AND=.D "&amp;$B$9&amp;" #0","")</f>
        <v/>
      </c>
      <c r="Q96" t="str">
        <f>IF($M96="●","MOV.D #"&amp;N96&amp;" "&amp;$B$9,"")</f>
        <v/>
      </c>
      <c r="R96" t="str">
        <f>IF(AND(D96&lt;&gt;0,M96="●"),CHAR(10),"")&amp;IF(LEN(O96),O96,"")</f>
        <v/>
      </c>
      <c r="S96" t="str">
        <f>IF(LEN(R96),R96&amp;CHAR(10),"")&amp;IF(LEN(P96),P96,"")</f>
        <v/>
      </c>
      <c r="T96" t="str">
        <f>IF(LEN(S96),S96&amp;CHAR(10),"")&amp;IF(LEN(Q96),Q96,"")</f>
        <v/>
      </c>
      <c r="V96" t="str">
        <f t="shared" si="1"/>
        <v/>
      </c>
      <c r="W96" t="str">
        <f>IF(LEN(S96),S96&amp;CHAR(10),"")&amp;IF(LEN(V96),V96,"")</f>
        <v/>
      </c>
    </row>
    <row r="97" spans="4:23" x14ac:dyDescent="0.55000000000000004">
      <c r="D97">
        <v>95</v>
      </c>
      <c r="M97" t="str">
        <f>IF(LEN(K97),IF(OR(COUNTIF(K97,"*◆*"),COUNTIF(K97,"*▼*")),"","●"),"")</f>
        <v/>
      </c>
      <c r="N97" t="str">
        <f>IF(M97="●",INT(MID(E97,5,3)),"")</f>
        <v/>
      </c>
      <c r="O97" t="str">
        <f>IF($M97="●","LDP "&amp;E97&amp;"."&amp;$B$8,"")</f>
        <v/>
      </c>
      <c r="P97" t="str">
        <f>IF($M97="●","AND=.D "&amp;$B$9&amp;" #0","")</f>
        <v/>
      </c>
      <c r="Q97" t="str">
        <f>IF($M97="●","MOV.D #"&amp;N97&amp;" "&amp;$B$9,"")</f>
        <v/>
      </c>
      <c r="R97" t="str">
        <f>IF(AND(D97&lt;&gt;0,M97="●"),CHAR(10),"")&amp;IF(LEN(O97),O97,"")</f>
        <v/>
      </c>
      <c r="S97" t="str">
        <f>IF(LEN(R97),R97&amp;CHAR(10),"")&amp;IF(LEN(P97),P97,"")</f>
        <v/>
      </c>
      <c r="T97" t="str">
        <f>IF(LEN(S97),S97&amp;CHAR(10),"")&amp;IF(LEN(Q97),Q97,"")</f>
        <v/>
      </c>
      <c r="V97" t="str">
        <f t="shared" si="1"/>
        <v/>
      </c>
      <c r="W97" t="str">
        <f>IF(LEN(S97),S97&amp;CHAR(10),"")&amp;IF(LEN(V97),V97,"")</f>
        <v/>
      </c>
    </row>
    <row r="98" spans="4:23" x14ac:dyDescent="0.55000000000000004">
      <c r="D98">
        <v>96</v>
      </c>
      <c r="M98" t="str">
        <f>IF(LEN(K98),IF(OR(COUNTIF(K98,"*◆*"),COUNTIF(K98,"*▼*")),"","●"),"")</f>
        <v/>
      </c>
      <c r="N98" t="str">
        <f>IF(M98="●",INT(MID(E98,5,3)),"")</f>
        <v/>
      </c>
      <c r="O98" t="str">
        <f>IF($M98="●","LDP "&amp;E98&amp;"."&amp;$B$8,"")</f>
        <v/>
      </c>
      <c r="P98" t="str">
        <f>IF($M98="●","AND=.D "&amp;$B$9&amp;" #0","")</f>
        <v/>
      </c>
      <c r="Q98" t="str">
        <f>IF($M98="●","MOV.D #"&amp;N98&amp;" "&amp;$B$9,"")</f>
        <v/>
      </c>
      <c r="R98" t="str">
        <f>IF(AND(D98&lt;&gt;0,M98="●"),CHAR(10),"")&amp;IF(LEN(O98),O98,"")</f>
        <v/>
      </c>
      <c r="S98" t="str">
        <f>IF(LEN(R98),R98&amp;CHAR(10),"")&amp;IF(LEN(P98),P98,"")</f>
        <v/>
      </c>
      <c r="T98" t="str">
        <f>IF(LEN(S98),S98&amp;CHAR(10),"")&amp;IF(LEN(Q98),Q98,"")</f>
        <v/>
      </c>
      <c r="V98" t="str">
        <f t="shared" si="1"/>
        <v/>
      </c>
      <c r="W98" t="str">
        <f>IF(LEN(S98),S98&amp;CHAR(10),"")&amp;IF(LEN(V98),V98,"")</f>
        <v/>
      </c>
    </row>
    <row r="99" spans="4:23" x14ac:dyDescent="0.55000000000000004">
      <c r="D99">
        <v>97</v>
      </c>
      <c r="M99" t="str">
        <f>IF(LEN(K99),IF(OR(COUNTIF(K99,"*◆*"),COUNTIF(K99,"*▼*")),"","●"),"")</f>
        <v/>
      </c>
      <c r="N99" t="str">
        <f>IF(M99="●",INT(MID(E99,5,3)),"")</f>
        <v/>
      </c>
      <c r="O99" t="str">
        <f>IF($M99="●","LDP "&amp;E99&amp;"."&amp;$B$8,"")</f>
        <v/>
      </c>
      <c r="P99" t="str">
        <f>IF($M99="●","AND=.D "&amp;$B$9&amp;" #0","")</f>
        <v/>
      </c>
      <c r="Q99" t="str">
        <f>IF($M99="●","MOV.D #"&amp;N99&amp;" "&amp;$B$9,"")</f>
        <v/>
      </c>
      <c r="R99" t="str">
        <f>IF(AND(D99&lt;&gt;0,M99="●"),CHAR(10),"")&amp;IF(LEN(O99),O99,"")</f>
        <v/>
      </c>
      <c r="S99" t="str">
        <f>IF(LEN(R99),R99&amp;CHAR(10),"")&amp;IF(LEN(P99),P99,"")</f>
        <v/>
      </c>
      <c r="T99" t="str">
        <f>IF(LEN(S99),S99&amp;CHAR(10),"")&amp;IF(LEN(Q99),Q99,"")</f>
        <v/>
      </c>
      <c r="V99" t="str">
        <f t="shared" si="1"/>
        <v/>
      </c>
      <c r="W99" t="str">
        <f>IF(LEN(S99),S99&amp;CHAR(10),"")&amp;IF(LEN(V99),V99,"")</f>
        <v/>
      </c>
    </row>
    <row r="100" spans="4:23" x14ac:dyDescent="0.55000000000000004">
      <c r="D100">
        <v>98</v>
      </c>
      <c r="M100" t="str">
        <f>IF(LEN(K100),IF(OR(COUNTIF(K100,"*◆*"),COUNTIF(K100,"*▼*")),"","●"),"")</f>
        <v/>
      </c>
      <c r="N100" t="str">
        <f>IF(M100="●",INT(MID(E100,5,3)),"")</f>
        <v/>
      </c>
      <c r="O100" t="str">
        <f>IF($M100="●","LDP "&amp;E100&amp;"."&amp;$B$8,"")</f>
        <v/>
      </c>
      <c r="P100" t="str">
        <f>IF($M100="●","AND=.D "&amp;$B$9&amp;" #0","")</f>
        <v/>
      </c>
      <c r="Q100" t="str">
        <f>IF($M100="●","MOV.D #"&amp;N100&amp;" "&amp;$B$9,"")</f>
        <v/>
      </c>
      <c r="R100" t="str">
        <f>IF(AND(D100&lt;&gt;0,M100="●"),CHAR(10),"")&amp;IF(LEN(O100),O100,"")</f>
        <v/>
      </c>
      <c r="S100" t="str">
        <f>IF(LEN(R100),R100&amp;CHAR(10),"")&amp;IF(LEN(P100),P100,"")</f>
        <v/>
      </c>
      <c r="T100" t="str">
        <f>IF(LEN(S100),S100&amp;CHAR(10),"")&amp;IF(LEN(Q100),Q100,"")</f>
        <v/>
      </c>
      <c r="V100" t="str">
        <f t="shared" si="1"/>
        <v/>
      </c>
      <c r="W100" t="str">
        <f>IF(LEN(S100),S100&amp;CHAR(10),"")&amp;IF(LEN(V100),V100,"")</f>
        <v/>
      </c>
    </row>
    <row r="101" spans="4:23" x14ac:dyDescent="0.55000000000000004">
      <c r="D101">
        <v>99</v>
      </c>
      <c r="M101" t="str">
        <f>IF(LEN(K101),IF(OR(COUNTIF(K101,"*◆*"),COUNTIF(K101,"*▼*")),"","●"),"")</f>
        <v/>
      </c>
      <c r="N101" t="str">
        <f>IF(M101="●",INT(MID(E101,5,3)),"")</f>
        <v/>
      </c>
      <c r="O101" t="str">
        <f>IF($M101="●","LDP "&amp;E101&amp;"."&amp;$B$8,"")</f>
        <v/>
      </c>
      <c r="P101" t="str">
        <f>IF($M101="●","AND=.D "&amp;$B$9&amp;" #0","")</f>
        <v/>
      </c>
      <c r="Q101" t="str">
        <f>IF($M101="●","MOV.D #"&amp;N101&amp;" "&amp;$B$9,"")</f>
        <v/>
      </c>
      <c r="R101" t="str">
        <f>IF(AND(D101&lt;&gt;0,M101="●"),CHAR(10),"")&amp;IF(LEN(O101),O101,"")</f>
        <v/>
      </c>
      <c r="S101" t="str">
        <f>IF(LEN(R101),R101&amp;CHAR(10),"")&amp;IF(LEN(P101),P101,"")</f>
        <v/>
      </c>
      <c r="T101" t="str">
        <f>IF(LEN(S101),S101&amp;CHAR(10),"")&amp;IF(LEN(Q101),Q101,"")</f>
        <v/>
      </c>
      <c r="V101" t="str">
        <f t="shared" si="1"/>
        <v/>
      </c>
      <c r="W101" t="str">
        <f>IF(LEN(S101),S101&amp;CHAR(10),"")&amp;IF(LEN(V101),V101,"")</f>
        <v/>
      </c>
    </row>
    <row r="103" spans="4:23" x14ac:dyDescent="0.55000000000000004">
      <c r="T103" t="str">
        <f>_xlfn.CONCAT(T2:T101)</f>
        <v>LDP stEx400.x2
AND=.D stM.udiErrNo #0
MOV.D #400 stM.udiErrNo
LDP stEx401.x2
AND=.D stM.udiErrNo #0
MOV.D #401 stM.udiErrNo
LDP stEx402.x2
AND=.D stM.udiErrNo #0
MOV.D #402 stM.udiErrNo
LDP stEx404.x2
AND=.D stM.udiErrNo #0
MOV.D #404 stM.udiErrNo
LDP stEx406.x2
AND=.D stM.udiErrNo #0
MOV.D #406 stM.udiErrNo
LDP stEx407.x2
AND=.D stM.udiErrNo #0
MOV.D #407 stM.udiErrNo
LDP stEx409.x2
AND=.D stM.udiErrNo #0
MOV.D #409 stM.udiErrNo
LDP stEx410.x2
AND=.D stM.udiErrNo #0
MOV.D #410 stM.udiErrNo
LDP stEx415.x2
AND=.D stM.udiErrNo #0
MOV.D #415 stM.udiErrNo
LDP stEx416.x2
AND=.D stM.udiErrNo #0
MOV.D #416 stM.udiErrNo
LDP stEx418.x2
AND=.D stM.udiErrNo #0
MOV.D #418 stM.udiErrNo
LDP stEx422.x2
AND=.D stM.udiErrNo #0
MOV.D #422 stM.udiErrNo
LDP stEx423.x2
AND=.D stM.udiErrNo #0
MOV.D #423 stM.udiErrNo
LDP stEx424.x2
AND=.D stM.udiErrNo #0
MOV.D #424 stM.udiErrNo
LDP stEx425.x2
AND=.D stM.udiErrNo #0
MOV.D #425 stM.udiErrNo
LDP stEx428.x2
AND=.D stM.udiErrNo #0
MOV.D #428 stM.udiErrNo</v>
      </c>
      <c r="W103" t="str">
        <f ca="1">_xlfn.CONCAT(W2:W101)</f>
        <v>LDP stEx400.x2
AND=.D stM.udiErrNo #0
BOX_ST
;//このスクリプトは C:\tk\prj\hg-0025-0016\[置換変換.xlsx]Sheet3 によって生成されました。
;//エラーNo.を入れる
;stM.udiErrNo	:= 400;
;//-----ここまで生成script-----
LDP stEx401.x2
AND=.D stM.udiErrNo #0
BOX_ST
;//このスクリプトは C:\tk\prj\hg-0025-0016\[置換変換.xlsx]Sheet3 によって生成されました。
;//エラーNo.を入れる
;stM.udiErrNo	:= 401;
;//-----ここまで生成script-----
LDP stEx402.x2
AND=.D stM.udiErrNo #0
BOX_ST
;//このスクリプトは C:\tk\prj\hg-0025-0016\[置換変換.xlsx]Sheet3 によって生成されました。
;//エラーNo.を入れる
;stM.udiErrNo	:= 402;
;//-----ここまで生成script-----
LDP stEx404.x2
AND=.D stM.udiErrNo #0
BOX_ST
;//このスクリプトは C:\tk\prj\hg-0025-0016\[置換変換.xlsx]Sheet3 によって生成されました。
;//エラーNo.を入れる
;stM.udiErrNo	:= 404;
;//-----ここまで生成script-----
LDP stEx406.x2
AND=.D stM.udiErrNo #0
BOX_ST
;//このスクリプトは C:\tk\prj\hg-0025-0016\[置換変換.xlsx]Sheet3 によって生成されました。
;//エラーNo.を入れる
;stM.udiErrNo	:= 406;
;//-----ここまで生成script-----
LDP stEx407.x2
AND=.D stM.udiErrNo #0
BOX_ST
;//このスクリプトは C:\tk\prj\hg-0025-0016\[置換変換.xlsx]Sheet3 によって生成されました。
;//エラーNo.を入れる
;stM.udiErrNo	:= 407;
;//-----ここまで生成script-----
LDP stEx409.x2
AND=.D stM.udiErrNo #0
BOX_ST
;//このスクリプトは C:\tk\prj\hg-0025-0016\[置換変換.xlsx]Sheet3 によって生成されました。
;//エラーNo.を入れる
;stM.udiErrNo	:= 409;
;//-----ここまで生成script-----
LDP stEx410.x2
AND=.D stM.udiErrNo #0
BOX_ST
;//このスクリプトは C:\tk\prj\hg-0025-0016\[置換変換.xlsx]Sheet3 によって生成されました。
;//エラーNo.を入れる
;stM.udiErrNo	:= 410;
;//-----ここまで生成script-----
LDP stEx415.x2
AND=.D stM.udiErrNo #0
BOX_ST
;//このスクリプトは C:\tk\prj\hg-0025-0016\[置換変換.xlsx]Sheet3 によって生成されました。
;//エラーNo.を入れる
;stM.udiErrNo	:= 415;
;//-----ここまで生成script-----
LDP stEx416.x2
AND=.D stM.udiErrNo #0
BOX_ST
;//このスクリプトは C:\tk\prj\hg-0025-0016\[置換変換.xlsx]Sheet3 によって生成されました。
;//エラーNo.を入れる
;stM.udiErrNo	:= 416;
;//-----ここまで生成script-----
LDP stEx418.x2
AND=.D stM.udiErrNo #0
BOX_ST
;//このスクリプトは C:\tk\prj\hg-0025-0016\[置換変換.xlsx]Sheet3 によって生成されました。
;//エラーNo.を入れる
;stM.udiErrNo	:= 418;
;//-----ここまで生成script-----
LDP stEx422.x2
AND=.D stM.udiErrNo #0
BOX_ST
;//このスクリプトは C:\tk\prj\hg-0025-0016\[置換変換.xlsx]Sheet3 によって生成されました。
;//エラーNo.を入れる
;stM.udiErrNo	:= 422;
;//-----ここまで生成script-----
LDP stEx423.x2
AND=.D stM.udiErrNo #0
BOX_ST
;//このスクリプトは C:\tk\prj\hg-0025-0016\[置換変換.xlsx]Sheet3 によって生成されました。
;//エラーNo.を入れる
;stM.udiErrNo	:= 423;
;//-----ここまで生成script-----
LDP stEx424.x2
AND=.D stM.udiErrNo #0
BOX_ST
;//このスクリプトは C:\tk\prj\hg-0025-0016\[置換変換.xlsx]Sheet3 によって生成されました。
;//エラーNo.を入れる
;stM.udiErrNo	:= 424;
;//-----ここまで生成script-----
LDP stEx425.x2
AND=.D stM.udiErrNo #0
BOX_ST
;//このスクリプトは C:\tk\prj\hg-0025-0016\[置換変換.xlsx]Sheet3 によって生成されました。
;//エラーNo.を入れる
;stM.udiErrNo	:= 425;
;//-----ここまで生成script-----
LDP stEx428.x2
AND=.D stM.udiErrNo #0
BOX_ST
;//このスクリプトは C:\tk\prj\hg-0025-0016\[置換変換.xlsx]Sheet3 によって生成されました。
;//エラーNo.を入れる
;stM.udiErrNo	:= 428;
;//-----ここまで生成script-----</v>
      </c>
    </row>
  </sheetData>
  <phoneticPr fontId="1"/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2026-01-07T09:27:42Z</dcterms:modified>
</cp:coreProperties>
</file>