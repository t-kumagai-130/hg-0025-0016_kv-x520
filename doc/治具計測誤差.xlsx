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tk\prj\hg-0025-0016\git\kv-x520\doc\"/>
    </mc:Choice>
  </mc:AlternateContent>
  <xr:revisionPtr revIDLastSave="0" documentId="13_ncr:1_{091AFCBA-4796-456D-A18B-482A4948D937}" xr6:coauthVersionLast="47" xr6:coauthVersionMax="47" xr10:uidLastSave="{00000000-0000-0000-0000-000000000000}"/>
  <bookViews>
    <workbookView xWindow="-110" yWindow="-110" windowWidth="38620" windowHeight="21100" xr2:uid="{CBB9E90B-56A0-4120-9230-95AA480B421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3" i="1" l="1"/>
  <c r="C6" i="1"/>
  <c r="C5" i="1"/>
  <c r="B3" i="1"/>
  <c r="C3" i="1" s="1"/>
  <c r="B4" i="1"/>
  <c r="C4" i="1" s="1"/>
  <c r="F12" i="1"/>
</calcChain>
</file>

<file path=xl/sharedStrings.xml><?xml version="1.0" encoding="utf-8"?>
<sst xmlns="http://schemas.openxmlformats.org/spreadsheetml/2006/main" count="9" uniqueCount="9">
  <si>
    <t>計測値</t>
    <rPh sb="0" eb="3">
      <t>ケイソクチ</t>
    </rPh>
    <phoneticPr fontId="1"/>
  </si>
  <si>
    <t>avg</t>
    <phoneticPr fontId="1"/>
  </si>
  <si>
    <t>治具直径</t>
    <rPh sb="0" eb="2">
      <t>ジグ</t>
    </rPh>
    <rPh sb="2" eb="4">
      <t>チョッケイ</t>
    </rPh>
    <phoneticPr fontId="1"/>
  </si>
  <si>
    <t>下限公差</t>
    <rPh sb="0" eb="2">
      <t>カゲン</t>
    </rPh>
    <rPh sb="2" eb="4">
      <t>コウサ</t>
    </rPh>
    <phoneticPr fontId="1"/>
  </si>
  <si>
    <t>上限公差</t>
    <rPh sb="0" eb="2">
      <t>ジョウゲン</t>
    </rPh>
    <rPh sb="2" eb="4">
      <t>コウサ</t>
    </rPh>
    <phoneticPr fontId="1"/>
  </si>
  <si>
    <t>平均</t>
    <rPh sb="0" eb="2">
      <t>ヘイキン</t>
    </rPh>
    <phoneticPr fontId="1"/>
  </si>
  <si>
    <t>周長</t>
    <rPh sb="0" eb="2">
      <t>シュウチョウ</t>
    </rPh>
    <phoneticPr fontId="1"/>
  </si>
  <si>
    <t>実物誤差</t>
    <rPh sb="0" eb="2">
      <t>ジツブツ</t>
    </rPh>
    <rPh sb="2" eb="4">
      <t>ゴサ</t>
    </rPh>
    <phoneticPr fontId="1"/>
  </si>
  <si>
    <t>計測日時：2026/01/26 22:39</t>
    <rPh sb="0" eb="4">
      <t>ケイソクニチジ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</si>
</sst>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80" formatCode="0.00\ &quot;mm&quot;"/>
    <numFmt numFmtId="183" formatCode="0.0000\ &quot;mm&quot;_ ;[Red]\-0.0000\ &quot;mm&quot;\ "/>
  </numFmts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180" fontId="0" fillId="0" borderId="0" xfId="0" applyNumberFormat="1">
      <alignment vertical="center"/>
    </xf>
    <xf numFmtId="183" fontId="0" fillId="0" borderId="0" xfId="0" applyNumberForma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0A46B6-D9FF-44E0-B68C-4B14D4FAE5BF}">
  <dimension ref="A1:H13"/>
  <sheetViews>
    <sheetView tabSelected="1" workbookViewId="0">
      <selection activeCell="H2" sqref="H2"/>
    </sheetView>
  </sheetViews>
  <sheetFormatPr defaultRowHeight="18" x14ac:dyDescent="0.55000000000000004"/>
  <cols>
    <col min="3" max="3" width="12.5" bestFit="1" customWidth="1"/>
    <col min="6" max="6" width="20.75" bestFit="1" customWidth="1"/>
  </cols>
  <sheetData>
    <row r="1" spans="1:8" x14ac:dyDescent="0.55000000000000004">
      <c r="F1" t="s">
        <v>0</v>
      </c>
      <c r="H1" t="s">
        <v>8</v>
      </c>
    </row>
    <row r="2" spans="1:8" x14ac:dyDescent="0.55000000000000004">
      <c r="A2" t="s">
        <v>2</v>
      </c>
      <c r="C2" s="1">
        <v>51</v>
      </c>
      <c r="E2">
        <v>1</v>
      </c>
      <c r="F2" s="2">
        <v>160.1439</v>
      </c>
    </row>
    <row r="3" spans="1:8" x14ac:dyDescent="0.55000000000000004">
      <c r="A3" t="s">
        <v>4</v>
      </c>
      <c r="B3">
        <f>-10*10^-3</f>
        <v>-0.01</v>
      </c>
      <c r="C3" s="1">
        <f>C2+B3</f>
        <v>50.99</v>
      </c>
      <c r="E3">
        <v>2</v>
      </c>
      <c r="F3" s="2">
        <v>160.14169999999999</v>
      </c>
    </row>
    <row r="4" spans="1:8" x14ac:dyDescent="0.55000000000000004">
      <c r="A4" t="s">
        <v>3</v>
      </c>
      <c r="B4">
        <f>-29*10^-3</f>
        <v>-2.9000000000000001E-2</v>
      </c>
      <c r="C4" s="1">
        <f>C2+B4</f>
        <v>50.970999999999997</v>
      </c>
      <c r="E4">
        <v>3</v>
      </c>
      <c r="F4" s="2">
        <v>160.1763</v>
      </c>
    </row>
    <row r="5" spans="1:8" x14ac:dyDescent="0.55000000000000004">
      <c r="A5" t="s">
        <v>5</v>
      </c>
      <c r="C5" s="1">
        <f>AVERAGE(C3:C4)</f>
        <v>50.980499999999999</v>
      </c>
      <c r="E5">
        <v>4</v>
      </c>
      <c r="F5" s="2">
        <v>160.13999999999999</v>
      </c>
    </row>
    <row r="6" spans="1:8" x14ac:dyDescent="0.55000000000000004">
      <c r="A6" t="s">
        <v>6</v>
      </c>
      <c r="C6" s="1">
        <f>C5*PI()</f>
        <v>160.15996427633445</v>
      </c>
      <c r="E6">
        <v>5</v>
      </c>
      <c r="F6" s="2">
        <v>160.14580000000001</v>
      </c>
    </row>
    <row r="7" spans="1:8" x14ac:dyDescent="0.55000000000000004">
      <c r="E7">
        <v>6</v>
      </c>
      <c r="F7" s="2">
        <v>160.1379</v>
      </c>
    </row>
    <row r="8" spans="1:8" x14ac:dyDescent="0.55000000000000004">
      <c r="E8">
        <v>7</v>
      </c>
      <c r="F8" s="2">
        <v>160.14150000000001</v>
      </c>
    </row>
    <row r="9" spans="1:8" x14ac:dyDescent="0.55000000000000004">
      <c r="E9">
        <v>8</v>
      </c>
      <c r="F9" s="2">
        <v>160.13480000000001</v>
      </c>
    </row>
    <row r="10" spans="1:8" x14ac:dyDescent="0.55000000000000004">
      <c r="E10">
        <v>9</v>
      </c>
      <c r="F10" s="2">
        <v>160.13910000000001</v>
      </c>
    </row>
    <row r="11" spans="1:8" x14ac:dyDescent="0.55000000000000004">
      <c r="E11">
        <v>10</v>
      </c>
      <c r="F11" s="2">
        <v>160.1404</v>
      </c>
    </row>
    <row r="12" spans="1:8" x14ac:dyDescent="0.55000000000000004">
      <c r="E12" t="s">
        <v>1</v>
      </c>
      <c r="F12" s="2">
        <f>AVERAGE(F2:F11)</f>
        <v>160.14414000000002</v>
      </c>
    </row>
    <row r="13" spans="1:8" x14ac:dyDescent="0.55000000000000004">
      <c r="E13" t="s">
        <v>7</v>
      </c>
      <c r="F13" s="2">
        <f>F12-C6</f>
        <v>-1.5824276334427623E-2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2026-01-26T13:27:26Z</dcterms:created>
  <dcterms:modified xsi:type="dcterms:W3CDTF">2026-01-26T13:39:57Z</dcterms:modified>
</cp:coreProperties>
</file>