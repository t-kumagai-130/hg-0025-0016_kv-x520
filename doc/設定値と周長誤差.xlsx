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4D4A0310-B4D0-494B-9A2D-A1FED917862E}" xr6:coauthVersionLast="47" xr6:coauthVersionMax="47" xr10:uidLastSave="{00000000-0000-0000-0000-000000000000}"/>
  <bookViews>
    <workbookView xWindow="-110" yWindow="-110" windowWidth="38620" windowHeight="21100" xr2:uid="{84F89900-73C7-49F2-8FD4-6011E42FA83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6" i="1" l="1"/>
  <c r="T26" i="1"/>
  <c r="U26" i="1"/>
  <c r="V26" i="1"/>
  <c r="S28" i="1"/>
  <c r="T28" i="1"/>
  <c r="U28" i="1"/>
  <c r="V28" i="1"/>
  <c r="S29" i="1"/>
  <c r="T29" i="1"/>
  <c r="U29" i="1"/>
  <c r="V29" i="1"/>
  <c r="S30" i="1"/>
  <c r="T30" i="1"/>
  <c r="U30" i="1"/>
  <c r="V30" i="1"/>
  <c r="S31" i="1"/>
  <c r="T31" i="1"/>
  <c r="U31" i="1"/>
  <c r="V31" i="1"/>
  <c r="S32" i="1"/>
  <c r="T32" i="1"/>
  <c r="U32" i="1"/>
  <c r="V32" i="1"/>
  <c r="S33" i="1"/>
  <c r="T33" i="1"/>
  <c r="U33" i="1"/>
  <c r="V33" i="1"/>
  <c r="S34" i="1"/>
  <c r="T34" i="1"/>
  <c r="U34" i="1"/>
  <c r="V34" i="1"/>
  <c r="S35" i="1"/>
  <c r="T35" i="1"/>
  <c r="U35" i="1"/>
  <c r="V35" i="1"/>
  <c r="S36" i="1"/>
  <c r="T36" i="1"/>
  <c r="U36" i="1"/>
  <c r="V36" i="1"/>
  <c r="S37" i="1"/>
  <c r="T37" i="1"/>
  <c r="U37" i="1"/>
  <c r="V37" i="1"/>
  <c r="S38" i="1"/>
  <c r="T38" i="1"/>
  <c r="U38" i="1"/>
  <c r="V38" i="1"/>
  <c r="S39" i="1"/>
  <c r="T39" i="1"/>
  <c r="U39" i="1"/>
  <c r="V39" i="1"/>
  <c r="S40" i="1"/>
  <c r="T40" i="1"/>
  <c r="U40" i="1"/>
  <c r="V40" i="1"/>
  <c r="S41" i="1"/>
  <c r="T41" i="1"/>
  <c r="U41" i="1"/>
  <c r="V41" i="1"/>
  <c r="S42" i="1"/>
  <c r="T42" i="1"/>
  <c r="U42" i="1"/>
  <c r="V42" i="1"/>
  <c r="S25" i="1"/>
  <c r="T25" i="1"/>
  <c r="U25" i="1"/>
  <c r="V25" i="1"/>
  <c r="V24" i="1"/>
  <c r="U24" i="1"/>
  <c r="T24" i="1"/>
  <c r="S24" i="1"/>
  <c r="V23" i="1"/>
  <c r="U23" i="1"/>
  <c r="T23" i="1"/>
  <c r="S23" i="1"/>
  <c r="V22" i="1"/>
  <c r="U22" i="1"/>
  <c r="T22" i="1"/>
  <c r="V21" i="1"/>
  <c r="U21" i="1"/>
  <c r="T21" i="1"/>
  <c r="V20" i="1"/>
  <c r="U20" i="1"/>
  <c r="T20" i="1"/>
  <c r="V19" i="1"/>
  <c r="U19" i="1"/>
  <c r="T19" i="1"/>
  <c r="V18" i="1"/>
  <c r="U18" i="1"/>
  <c r="T18" i="1"/>
  <c r="V17" i="1"/>
  <c r="U17" i="1"/>
  <c r="T17" i="1"/>
  <c r="V16" i="1"/>
  <c r="U16" i="1"/>
  <c r="T16" i="1"/>
  <c r="V15" i="1"/>
  <c r="U15" i="1"/>
  <c r="T15" i="1"/>
  <c r="V14" i="1"/>
  <c r="U14" i="1"/>
  <c r="T14" i="1"/>
  <c r="V13" i="1"/>
  <c r="U13" i="1"/>
  <c r="T13" i="1"/>
  <c r="V12" i="1"/>
  <c r="U12" i="1"/>
  <c r="T12" i="1"/>
  <c r="V11" i="1"/>
  <c r="U11" i="1"/>
  <c r="T11" i="1"/>
  <c r="V10" i="1"/>
  <c r="U10" i="1"/>
  <c r="T10" i="1"/>
  <c r="V9" i="1"/>
  <c r="U9" i="1"/>
  <c r="T9" i="1"/>
  <c r="V8" i="1"/>
  <c r="U8" i="1"/>
  <c r="T8" i="1"/>
  <c r="V7" i="1"/>
  <c r="U7" i="1"/>
  <c r="T7" i="1"/>
  <c r="V6" i="1"/>
  <c r="U6" i="1"/>
  <c r="T6" i="1"/>
  <c r="V5" i="1"/>
  <c r="U5" i="1"/>
  <c r="T5" i="1"/>
  <c r="V4" i="1"/>
  <c r="U4" i="1"/>
  <c r="T4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Y3" authorId="0" shapeId="0" xr:uid="{1CFFB9ED-04AF-4F7B-BA52-D3B416AECCFF}">
      <text>
        <r>
          <rPr>
            <b/>
            <sz val="9"/>
            <color indexed="81"/>
            <rFont val="MS P ゴシック"/>
            <family val="3"/>
            <charset val="128"/>
          </rPr>
          <t>巻かれた箔ロウを伸ばしてスケールで計測し目視でメモリを読んだ数字です。</t>
        </r>
      </text>
    </comment>
  </commentList>
</comments>
</file>

<file path=xl/sharedStrings.xml><?xml version="1.0" encoding="utf-8"?>
<sst xmlns="http://schemas.openxmlformats.org/spreadsheetml/2006/main" count="69" uniqueCount="37">
  <si>
    <t>rCutDegOfst[0]</t>
    <phoneticPr fontId="1"/>
  </si>
  <si>
    <t>rCutDegOfst[1]</t>
  </si>
  <si>
    <t>rCutDegOfst[2]</t>
  </si>
  <si>
    <t>コメント</t>
    <phoneticPr fontId="1"/>
  </si>
  <si>
    <t>作成日時</t>
    <rPh sb="0" eb="2">
      <t>サクセイ</t>
    </rPh>
    <rPh sb="2" eb="4">
      <t>ニチジ</t>
    </rPh>
    <phoneticPr fontId="1"/>
  </si>
  <si>
    <t>id</t>
    <phoneticPr fontId="1"/>
  </si>
  <si>
    <t>幅[mm]</t>
    <rPh sb="0" eb="1">
      <t>ハバ</t>
    </rPh>
    <phoneticPr fontId="1"/>
  </si>
  <si>
    <t>元厚[Mpa]</t>
    <rPh sb="0" eb="2">
      <t>モトアツ</t>
    </rPh>
    <phoneticPr fontId="1"/>
  </si>
  <si>
    <t>設定値を周長が近づくよう51.4mmへ変更。</t>
    <rPh sb="0" eb="3">
      <t>セッテイチ</t>
    </rPh>
    <rPh sb="4" eb="6">
      <t>シュウチョウ</t>
    </rPh>
    <rPh sb="7" eb="8">
      <t>チカ</t>
    </rPh>
    <rPh sb="19" eb="21">
      <t>ヘンコウ</t>
    </rPh>
    <phoneticPr fontId="1"/>
  </si>
  <si>
    <t>径[mm]</t>
    <rPh sb="0" eb="1">
      <t>ケイ</t>
    </rPh>
    <phoneticPr fontId="1"/>
  </si>
  <si>
    <t>一次近似を有効に補正。</t>
    <rPh sb="0" eb="2">
      <t>イチジ</t>
    </rPh>
    <rPh sb="2" eb="4">
      <t>キンジ</t>
    </rPh>
    <rPh sb="5" eb="7">
      <t>ユウコウ</t>
    </rPh>
    <rPh sb="8" eb="10">
      <t>ホセイ</t>
    </rPh>
    <phoneticPr fontId="1"/>
  </si>
  <si>
    <t>アルキメデス補正。</t>
    <rPh sb="6" eb="8">
      <t>ホセイ</t>
    </rPh>
    <phoneticPr fontId="1"/>
  </si>
  <si>
    <t>補正演算ミス修正</t>
    <rPh sb="0" eb="2">
      <t>ホセイ</t>
    </rPh>
    <rPh sb="2" eb="4">
      <t>エンザン</t>
    </rPh>
    <rPh sb="6" eb="8">
      <t>シュウセイ</t>
    </rPh>
    <phoneticPr fontId="1"/>
  </si>
  <si>
    <t>周長161.6を設定に追加して、その値をπで割ることで演算。</t>
    <rPh sb="0" eb="2">
      <t>シュウチョウ</t>
    </rPh>
    <rPh sb="8" eb="10">
      <t>セッテイ</t>
    </rPh>
    <rPh sb="11" eb="13">
      <t>ツイカ</t>
    </rPh>
    <rPh sb="18" eb="19">
      <t>アタイ</t>
    </rPh>
    <rPh sb="22" eb="23">
      <t>ワ</t>
    </rPh>
    <rPh sb="27" eb="29">
      <t>エンザン</t>
    </rPh>
    <phoneticPr fontId="1"/>
  </si>
  <si>
    <t>rCutDegOfst[3]</t>
    <phoneticPr fontId="1"/>
  </si>
  <si>
    <t>完成位置[deg]</t>
    <rPh sb="0" eb="2">
      <t>カンセイ</t>
    </rPh>
    <rPh sb="2" eb="4">
      <t>イチ</t>
    </rPh>
    <phoneticPr fontId="1"/>
  </si>
  <si>
    <t>糊付け位置[deg]</t>
    <rPh sb="0" eb="2">
      <t>ノリヅ</t>
    </rPh>
    <rPh sb="3" eb="5">
      <t>イチ</t>
    </rPh>
    <phoneticPr fontId="1"/>
  </si>
  <si>
    <t>平板カット[deg]</t>
    <rPh sb="0" eb="2">
      <t>ヒライタ</t>
    </rPh>
    <phoneticPr fontId="1"/>
  </si>
  <si>
    <t>波板カット[deg]</t>
    <rPh sb="0" eb="2">
      <t>ナミイタ</t>
    </rPh>
    <phoneticPr fontId="1"/>
  </si>
  <si>
    <t>周長実測値[mm]</t>
    <rPh sb="0" eb="2">
      <t>シュウチョウ</t>
    </rPh>
    <rPh sb="2" eb="5">
      <t>ジッソクチ</t>
    </rPh>
    <phoneticPr fontId="1"/>
  </si>
  <si>
    <t>最終予測地点</t>
    <rPh sb="0" eb="2">
      <t>サイシュウ</t>
    </rPh>
    <rPh sb="2" eb="6">
      <t>ヨソクチテン</t>
    </rPh>
    <phoneticPr fontId="1"/>
  </si>
  <si>
    <t>軸心ちょい戻りを-40から-60に。</t>
    <rPh sb="0" eb="2">
      <t>ジクシン</t>
    </rPh>
    <rPh sb="5" eb="6">
      <t>モド</t>
    </rPh>
    <phoneticPr fontId="1"/>
  </si>
  <si>
    <t>溶接位置を+195から+200へ。</t>
    <rPh sb="0" eb="2">
      <t>ヨウセツ</t>
    </rPh>
    <rPh sb="2" eb="4">
      <t>イチ</t>
    </rPh>
    <phoneticPr fontId="1"/>
  </si>
  <si>
    <t>箔ロウ長さ[mm]</t>
    <rPh sb="0" eb="1">
      <t>ハク</t>
    </rPh>
    <rPh sb="3" eb="4">
      <t>ナガ</t>
    </rPh>
    <phoneticPr fontId="1"/>
  </si>
  <si>
    <t>開始角度を平板を360°巻いた後を0°に設定。Xロールタワーが旧式に変更。</t>
    <rPh sb="0" eb="2">
      <t>カイシ</t>
    </rPh>
    <rPh sb="2" eb="4">
      <t>カクド</t>
    </rPh>
    <rPh sb="5" eb="7">
      <t>ヒライタ</t>
    </rPh>
    <rPh sb="12" eb="13">
      <t>マ</t>
    </rPh>
    <rPh sb="15" eb="16">
      <t>アト</t>
    </rPh>
    <rPh sb="20" eb="22">
      <t>セッテイ</t>
    </rPh>
    <rPh sb="31" eb="33">
      <t>キュウシキ</t>
    </rPh>
    <rPh sb="34" eb="36">
      <t>ヘンコウ</t>
    </rPh>
    <phoneticPr fontId="1"/>
  </si>
  <si>
    <t>自重</t>
    <rPh sb="0" eb="2">
      <t>ジジュウ</t>
    </rPh>
    <phoneticPr fontId="1"/>
  </si>
  <si>
    <t>開始位置[deg</t>
    <rPh sb="0" eb="2">
      <t>カイシ</t>
    </rPh>
    <rPh sb="2" eb="4">
      <t>イチ</t>
    </rPh>
    <phoneticPr fontId="1"/>
  </si>
  <si>
    <t>溶接余丁[mm]</t>
    <rPh sb="0" eb="2">
      <t>ヨウセツ</t>
    </rPh>
    <rPh sb="2" eb="4">
      <t>ヨチョウ</t>
    </rPh>
    <phoneticPr fontId="1"/>
  </si>
  <si>
    <t>平板溶接余丁なし。溶接不可停止。</t>
    <rPh sb="0" eb="2">
      <t>ヒライタ</t>
    </rPh>
    <rPh sb="2" eb="4">
      <t>ヨウセツ</t>
    </rPh>
    <rPh sb="4" eb="6">
      <t>ヨチョウ</t>
    </rPh>
    <rPh sb="9" eb="11">
      <t>ヨウセツ</t>
    </rPh>
    <rPh sb="11" eb="13">
      <t>フカ</t>
    </rPh>
    <rPh sb="13" eb="15">
      <t>テイシ</t>
    </rPh>
    <phoneticPr fontId="1"/>
  </si>
  <si>
    <t>初期予測地点</t>
    <rPh sb="0" eb="2">
      <t>ショキ</t>
    </rPh>
    <rPh sb="2" eb="6">
      <t>ヨソクチテン</t>
    </rPh>
    <phoneticPr fontId="1"/>
  </si>
  <si>
    <t>差</t>
    <rPh sb="0" eb="1">
      <t>サ</t>
    </rPh>
    <phoneticPr fontId="1"/>
  </si>
  <si>
    <t>補正なし。溶接余丁なし。</t>
    <rPh sb="0" eb="2">
      <t>ホセイ</t>
    </rPh>
    <rPh sb="5" eb="7">
      <t>ヨウセツ</t>
    </rPh>
    <rPh sb="7" eb="9">
      <t>ヨチョウ</t>
    </rPh>
    <phoneticPr fontId="1"/>
  </si>
  <si>
    <t>初期板厚[mm]</t>
    <rPh sb="0" eb="2">
      <t>ショキ</t>
    </rPh>
    <rPh sb="2" eb="3">
      <t>イタ</t>
    </rPh>
    <rPh sb="3" eb="4">
      <t>アツ</t>
    </rPh>
    <phoneticPr fontId="1"/>
  </si>
  <si>
    <t>&lt;0</t>
    <phoneticPr fontId="1"/>
  </si>
  <si>
    <t>波板切る前動作で波板供給なし停止発生。</t>
    <rPh sb="0" eb="2">
      <t>ナミイタ</t>
    </rPh>
    <rPh sb="2" eb="3">
      <t>キ</t>
    </rPh>
    <rPh sb="4" eb="5">
      <t>マエ</t>
    </rPh>
    <rPh sb="5" eb="7">
      <t>ドウサ</t>
    </rPh>
    <rPh sb="8" eb="10">
      <t>ナミイタ</t>
    </rPh>
    <rPh sb="10" eb="12">
      <t>キョウキュウ</t>
    </rPh>
    <rPh sb="14" eb="16">
      <t>テイシ</t>
    </rPh>
    <rPh sb="16" eb="18">
      <t>ハッセイ</t>
    </rPh>
    <phoneticPr fontId="1"/>
  </si>
  <si>
    <t>波板検索終了後手動停止。</t>
    <rPh sb="0" eb="2">
      <t>ナミイタ</t>
    </rPh>
    <rPh sb="2" eb="4">
      <t>ケンサク</t>
    </rPh>
    <rPh sb="4" eb="7">
      <t>シュウリョウゴ</t>
    </rPh>
    <rPh sb="7" eb="11">
      <t>シュドウテイシ</t>
    </rPh>
    <phoneticPr fontId="1"/>
  </si>
  <si>
    <t>計測演算で分解能における記録絶対角度を修正。溶接不可。</t>
    <rPh sb="0" eb="2">
      <t>ケイソク</t>
    </rPh>
    <rPh sb="2" eb="4">
      <t>エンザン</t>
    </rPh>
    <rPh sb="5" eb="8">
      <t>ブンカイノウ</t>
    </rPh>
    <rPh sb="12" eb="14">
      <t>キロク</t>
    </rPh>
    <rPh sb="14" eb="16">
      <t>ゼッタイ</t>
    </rPh>
    <rPh sb="16" eb="18">
      <t>カクド</t>
    </rPh>
    <rPh sb="19" eb="21">
      <t>シュウセイ</t>
    </rPh>
    <rPh sb="22" eb="24">
      <t>ヨウセツ</t>
    </rPh>
    <rPh sb="24" eb="26">
      <t>フカ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</si>
</sst>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;[Red]\-0.0000\ "/>
    <numFmt numFmtId="177" formatCode="0.00_ ;[Red]\-0.00\ "/>
    <numFmt numFmtId="178" formatCode="yy/mm/dd\ hh:mm:ss"/>
    <numFmt numFmtId="179" formatCode="\+0_ ;[Red]\-0\ "/>
    <numFmt numFmtId="183" formatCode="\+0.000_ ;[Red]\-0.000\ "/>
  </numFmts>
  <fonts count="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179" fontId="0" fillId="0" borderId="0" xfId="0" applyNumberFormat="1" applyAlignment="1">
      <alignment vertical="center" shrinkToFit="1"/>
    </xf>
    <xf numFmtId="176" fontId="0" fillId="0" borderId="0" xfId="0" applyNumberFormat="1" applyAlignment="1">
      <alignment vertical="center" shrinkToFit="1"/>
    </xf>
    <xf numFmtId="177" fontId="0" fillId="0" borderId="0" xfId="0" applyNumberFormat="1" applyAlignment="1">
      <alignment vertical="center" shrinkToFit="1"/>
    </xf>
    <xf numFmtId="178" fontId="0" fillId="0" borderId="0" xfId="0" applyNumberFormat="1" applyAlignment="1">
      <alignment vertical="center" shrinkToFit="1"/>
    </xf>
    <xf numFmtId="183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4BFC6-F08F-49E9-90C9-83D80FE6E6A2}">
  <sheetPr codeName="Sheet1"/>
  <dimension ref="A1:AA42"/>
  <sheetViews>
    <sheetView tabSelected="1" workbookViewId="0">
      <pane xSplit="1" ySplit="3" topLeftCell="G4" activePane="bottomRight" state="frozen"/>
      <selection pane="topRight" activeCell="B1" sqref="B1"/>
      <selection pane="bottomLeft" activeCell="A3" sqref="A3"/>
      <selection pane="bottomRight" activeCell="I29" sqref="I29"/>
    </sheetView>
  </sheetViews>
  <sheetFormatPr defaultRowHeight="18"/>
  <cols>
    <col min="2" max="6" width="8.58203125" customWidth="1"/>
    <col min="7" max="10" width="12.58203125" style="4" customWidth="1"/>
    <col min="11" max="14" width="10.58203125" customWidth="1"/>
    <col min="15" max="18" width="10.58203125" style="1" customWidth="1"/>
    <col min="19" max="22" width="10.58203125" customWidth="1"/>
    <col min="23" max="25" width="15.58203125" style="2" customWidth="1"/>
    <col min="26" max="26" width="59.33203125" customWidth="1"/>
    <col min="27" max="27" width="17.9140625" style="3" bestFit="1" customWidth="1"/>
  </cols>
  <sheetData>
    <row r="1" spans="1:27" s="5" customFormat="1">
      <c r="G1" s="6"/>
      <c r="H1" s="6"/>
      <c r="I1" s="6"/>
      <c r="J1" s="6"/>
      <c r="K1" s="7" t="s">
        <v>29</v>
      </c>
      <c r="L1" s="7"/>
      <c r="M1" s="7"/>
      <c r="N1" s="7"/>
      <c r="O1" s="7" t="s">
        <v>20</v>
      </c>
      <c r="P1" s="7"/>
      <c r="Q1" s="7"/>
      <c r="R1" s="7"/>
      <c r="S1" s="7" t="s">
        <v>30</v>
      </c>
      <c r="T1" s="7"/>
      <c r="U1" s="7"/>
      <c r="V1" s="7"/>
      <c r="W1" s="8"/>
      <c r="X1" s="8"/>
      <c r="Y1" s="8"/>
      <c r="AA1" s="9"/>
    </row>
    <row r="2" spans="1:27" s="5" customFormat="1">
      <c r="G2" s="6" t="s">
        <v>0</v>
      </c>
      <c r="H2" s="6" t="s">
        <v>1</v>
      </c>
      <c r="I2" s="6" t="s">
        <v>2</v>
      </c>
      <c r="J2" s="6" t="s">
        <v>14</v>
      </c>
      <c r="K2" s="7" t="s">
        <v>0</v>
      </c>
      <c r="L2" s="7" t="s">
        <v>1</v>
      </c>
      <c r="M2" s="7" t="s">
        <v>2</v>
      </c>
      <c r="N2" s="7" t="s">
        <v>14</v>
      </c>
      <c r="O2" s="7" t="s">
        <v>0</v>
      </c>
      <c r="P2" s="7" t="s">
        <v>1</v>
      </c>
      <c r="Q2" s="7" t="s">
        <v>2</v>
      </c>
      <c r="R2" s="7" t="s">
        <v>14</v>
      </c>
      <c r="S2" s="7" t="s">
        <v>0</v>
      </c>
      <c r="T2" s="7" t="s">
        <v>1</v>
      </c>
      <c r="U2" s="7" t="s">
        <v>2</v>
      </c>
      <c r="V2" s="7" t="s">
        <v>14</v>
      </c>
      <c r="W2" s="8"/>
      <c r="X2" s="8"/>
      <c r="Y2" s="8"/>
      <c r="AA2" s="9"/>
    </row>
    <row r="3" spans="1:27" s="5" customFormat="1">
      <c r="A3" s="5" t="s">
        <v>5</v>
      </c>
      <c r="B3" s="5" t="s">
        <v>9</v>
      </c>
      <c r="C3" s="5" t="s">
        <v>6</v>
      </c>
      <c r="D3" s="5" t="s">
        <v>7</v>
      </c>
      <c r="E3" s="5" t="s">
        <v>32</v>
      </c>
      <c r="F3" s="5" t="s">
        <v>26</v>
      </c>
      <c r="G3" s="6" t="s">
        <v>18</v>
      </c>
      <c r="H3" s="6" t="s">
        <v>17</v>
      </c>
      <c r="I3" s="6" t="s">
        <v>16</v>
      </c>
      <c r="J3" s="6" t="s">
        <v>15</v>
      </c>
      <c r="K3" s="7" t="s">
        <v>18</v>
      </c>
      <c r="L3" s="7" t="s">
        <v>17</v>
      </c>
      <c r="M3" s="7" t="s">
        <v>16</v>
      </c>
      <c r="N3" s="7" t="s">
        <v>15</v>
      </c>
      <c r="O3" s="7" t="s">
        <v>18</v>
      </c>
      <c r="P3" s="7" t="s">
        <v>17</v>
      </c>
      <c r="Q3" s="7" t="s">
        <v>16</v>
      </c>
      <c r="R3" s="7" t="s">
        <v>15</v>
      </c>
      <c r="S3" s="7" t="s">
        <v>18</v>
      </c>
      <c r="T3" s="7" t="s">
        <v>17</v>
      </c>
      <c r="U3" s="7" t="s">
        <v>16</v>
      </c>
      <c r="V3" s="7" t="s">
        <v>15</v>
      </c>
      <c r="W3" s="8" t="s">
        <v>19</v>
      </c>
      <c r="X3" s="8" t="s">
        <v>27</v>
      </c>
      <c r="Y3" s="8" t="s">
        <v>23</v>
      </c>
      <c r="Z3" s="5" t="s">
        <v>3</v>
      </c>
      <c r="AA3" s="9" t="s">
        <v>4</v>
      </c>
    </row>
    <row r="4" spans="1:27">
      <c r="A4">
        <v>0</v>
      </c>
      <c r="B4">
        <v>50</v>
      </c>
      <c r="C4">
        <v>50</v>
      </c>
      <c r="D4">
        <v>0.09</v>
      </c>
      <c r="E4">
        <v>1.29</v>
      </c>
      <c r="F4">
        <v>160</v>
      </c>
      <c r="G4" s="4">
        <v>120</v>
      </c>
      <c r="H4" s="4">
        <v>240</v>
      </c>
      <c r="I4" s="4">
        <v>0</v>
      </c>
      <c r="J4" s="4">
        <v>130</v>
      </c>
      <c r="S4" s="10" t="str">
        <f>IF(AND(LEN(K4),LEN(O4)),O4-K4,"")</f>
        <v/>
      </c>
      <c r="T4" s="10" t="str">
        <f t="shared" ref="T4:V19" si="0">IF(AND(LEN(L4),LEN(P4)),P4-L4,"")</f>
        <v/>
      </c>
      <c r="U4" s="10" t="str">
        <f t="shared" si="0"/>
        <v/>
      </c>
      <c r="V4" s="10" t="str">
        <f t="shared" si="0"/>
        <v/>
      </c>
      <c r="W4" s="2">
        <v>164.08</v>
      </c>
      <c r="Z4" t="s">
        <v>12</v>
      </c>
      <c r="AA4" s="3">
        <v>46049.698611111111</v>
      </c>
    </row>
    <row r="5" spans="1:27">
      <c r="A5">
        <v>1</v>
      </c>
      <c r="B5">
        <v>50</v>
      </c>
      <c r="C5">
        <v>50</v>
      </c>
      <c r="D5">
        <v>0.09</v>
      </c>
      <c r="E5">
        <v>1.29</v>
      </c>
      <c r="F5">
        <v>160</v>
      </c>
      <c r="G5" s="4">
        <v>80</v>
      </c>
      <c r="H5" s="4">
        <v>200</v>
      </c>
      <c r="I5" s="4">
        <v>0</v>
      </c>
      <c r="J5" s="4">
        <v>90</v>
      </c>
      <c r="S5" s="10" t="str">
        <f t="shared" ref="S5:S42" si="1">IF(AND(LEN(K5),LEN(O5)),O5-K5,"")</f>
        <v/>
      </c>
      <c r="T5" s="10" t="str">
        <f t="shared" si="0"/>
        <v/>
      </c>
      <c r="U5" s="10" t="str">
        <f t="shared" si="0"/>
        <v/>
      </c>
      <c r="V5" s="10" t="str">
        <f t="shared" si="0"/>
        <v/>
      </c>
      <c r="W5" s="2">
        <v>163.11000000000001</v>
      </c>
      <c r="AA5" s="3">
        <v>46049.7</v>
      </c>
    </row>
    <row r="6" spans="1:27">
      <c r="A6">
        <v>2</v>
      </c>
      <c r="B6">
        <v>50</v>
      </c>
      <c r="C6">
        <v>50</v>
      </c>
      <c r="D6">
        <v>0.09</v>
      </c>
      <c r="E6">
        <v>1.29</v>
      </c>
      <c r="F6">
        <v>160</v>
      </c>
      <c r="G6" s="4">
        <v>20</v>
      </c>
      <c r="H6" s="4">
        <v>140</v>
      </c>
      <c r="I6" s="4">
        <v>0</v>
      </c>
      <c r="J6" s="4">
        <v>30</v>
      </c>
      <c r="S6" s="10" t="str">
        <f t="shared" si="1"/>
        <v/>
      </c>
      <c r="T6" s="10" t="str">
        <f t="shared" si="0"/>
        <v/>
      </c>
      <c r="U6" s="10" t="str">
        <f t="shared" si="0"/>
        <v/>
      </c>
      <c r="V6" s="10" t="str">
        <f t="shared" si="0"/>
        <v/>
      </c>
      <c r="W6" s="2">
        <v>162.07</v>
      </c>
      <c r="AA6" s="3">
        <v>46049.701388888891</v>
      </c>
    </row>
    <row r="7" spans="1:27">
      <c r="A7">
        <v>3</v>
      </c>
      <c r="B7">
        <v>50</v>
      </c>
      <c r="C7">
        <v>50</v>
      </c>
      <c r="D7">
        <v>0.09</v>
      </c>
      <c r="E7">
        <v>1.29</v>
      </c>
      <c r="F7">
        <v>160</v>
      </c>
      <c r="G7" s="4">
        <v>20</v>
      </c>
      <c r="H7" s="4">
        <v>140</v>
      </c>
      <c r="I7" s="4">
        <v>0</v>
      </c>
      <c r="J7" s="4">
        <v>30</v>
      </c>
      <c r="S7" s="10" t="str">
        <f t="shared" si="1"/>
        <v/>
      </c>
      <c r="T7" s="10" t="str">
        <f t="shared" si="0"/>
        <v/>
      </c>
      <c r="U7" s="10" t="str">
        <f t="shared" si="0"/>
        <v/>
      </c>
      <c r="V7" s="10" t="str">
        <f t="shared" si="0"/>
        <v/>
      </c>
      <c r="W7" s="2">
        <v>163.5</v>
      </c>
      <c r="Z7" t="s">
        <v>8</v>
      </c>
      <c r="AA7" s="3">
        <v>46049.701388888891</v>
      </c>
    </row>
    <row r="8" spans="1:27">
      <c r="A8">
        <v>4</v>
      </c>
      <c r="B8">
        <v>50</v>
      </c>
      <c r="C8">
        <v>50</v>
      </c>
      <c r="D8">
        <v>0.09</v>
      </c>
      <c r="E8">
        <v>1.29</v>
      </c>
      <c r="F8">
        <v>160</v>
      </c>
      <c r="G8" s="4">
        <v>0</v>
      </c>
      <c r="H8" s="4">
        <v>120</v>
      </c>
      <c r="I8" s="4">
        <v>0</v>
      </c>
      <c r="J8" s="4">
        <v>0</v>
      </c>
      <c r="S8" s="10" t="str">
        <f t="shared" si="1"/>
        <v/>
      </c>
      <c r="T8" s="10" t="str">
        <f t="shared" si="0"/>
        <v/>
      </c>
      <c r="U8" s="10" t="str">
        <f t="shared" si="0"/>
        <v/>
      </c>
      <c r="V8" s="10" t="str">
        <f t="shared" si="0"/>
        <v/>
      </c>
      <c r="W8" s="2">
        <v>159.44999999999999</v>
      </c>
      <c r="Z8" t="s">
        <v>10</v>
      </c>
      <c r="AA8" s="3">
        <v>46049.712500000001</v>
      </c>
    </row>
    <row r="9" spans="1:27">
      <c r="A9">
        <v>5</v>
      </c>
      <c r="B9">
        <v>50</v>
      </c>
      <c r="C9">
        <v>50</v>
      </c>
      <c r="D9">
        <v>0.09</v>
      </c>
      <c r="E9">
        <v>1.29</v>
      </c>
      <c r="F9">
        <v>160</v>
      </c>
      <c r="G9" s="4">
        <v>0</v>
      </c>
      <c r="H9" s="4">
        <v>120</v>
      </c>
      <c r="I9" s="4">
        <v>0</v>
      </c>
      <c r="J9" s="4">
        <v>0</v>
      </c>
      <c r="S9" s="10" t="str">
        <f t="shared" si="1"/>
        <v/>
      </c>
      <c r="T9" s="10" t="str">
        <f t="shared" si="0"/>
        <v/>
      </c>
      <c r="U9" s="10" t="str">
        <f t="shared" si="0"/>
        <v/>
      </c>
      <c r="V9" s="10" t="str">
        <f t="shared" si="0"/>
        <v/>
      </c>
      <c r="W9" s="2">
        <v>162.94999999999999</v>
      </c>
      <c r="Z9" t="s">
        <v>11</v>
      </c>
      <c r="AA9" s="3">
        <v>46049.715277777781</v>
      </c>
    </row>
    <row r="10" spans="1:27">
      <c r="A10">
        <v>6</v>
      </c>
      <c r="B10">
        <v>50</v>
      </c>
      <c r="C10">
        <v>50</v>
      </c>
      <c r="D10">
        <v>0.09</v>
      </c>
      <c r="E10">
        <v>1.29</v>
      </c>
      <c r="F10">
        <v>160</v>
      </c>
      <c r="G10" s="4">
        <v>0</v>
      </c>
      <c r="H10" s="4">
        <v>120</v>
      </c>
      <c r="I10" s="4">
        <v>0</v>
      </c>
      <c r="J10" s="4">
        <v>0</v>
      </c>
      <c r="S10" s="10" t="str">
        <f t="shared" si="1"/>
        <v/>
      </c>
      <c r="T10" s="10" t="str">
        <f t="shared" si="0"/>
        <v/>
      </c>
      <c r="U10" s="10" t="str">
        <f t="shared" si="0"/>
        <v/>
      </c>
      <c r="V10" s="10" t="str">
        <f t="shared" si="0"/>
        <v/>
      </c>
      <c r="W10" s="2">
        <v>163.18</v>
      </c>
      <c r="Z10" t="s">
        <v>13</v>
      </c>
      <c r="AA10" s="3">
        <v>46049.74722222222</v>
      </c>
    </row>
    <row r="11" spans="1:27">
      <c r="A11">
        <v>7</v>
      </c>
      <c r="B11">
        <v>50</v>
      </c>
      <c r="C11">
        <v>50</v>
      </c>
      <c r="D11">
        <v>0.09</v>
      </c>
      <c r="E11">
        <v>1.29</v>
      </c>
      <c r="F11">
        <v>160</v>
      </c>
      <c r="G11" s="4">
        <v>0</v>
      </c>
      <c r="H11" s="4">
        <v>120</v>
      </c>
      <c r="I11" s="4">
        <v>0</v>
      </c>
      <c r="J11" s="4">
        <v>0</v>
      </c>
      <c r="O11" s="1">
        <v>6441.8040000000001</v>
      </c>
      <c r="P11" s="1">
        <v>6765.5649999999996</v>
      </c>
      <c r="Q11" s="1">
        <v>6470.3549999999996</v>
      </c>
      <c r="R11" s="1">
        <v>7191.3549999999996</v>
      </c>
      <c r="S11" s="10" t="str">
        <f t="shared" si="1"/>
        <v/>
      </c>
      <c r="T11" s="10" t="str">
        <f t="shared" si="0"/>
        <v/>
      </c>
      <c r="U11" s="10" t="str">
        <f t="shared" si="0"/>
        <v/>
      </c>
      <c r="V11" s="10" t="str">
        <f t="shared" si="0"/>
        <v/>
      </c>
      <c r="W11" s="2">
        <v>162.97</v>
      </c>
      <c r="AA11" s="3">
        <v>46049.781944444447</v>
      </c>
    </row>
    <row r="12" spans="1:27">
      <c r="A12">
        <v>8</v>
      </c>
      <c r="B12">
        <v>50</v>
      </c>
      <c r="C12">
        <v>50</v>
      </c>
      <c r="D12">
        <v>0.09</v>
      </c>
      <c r="E12">
        <v>1.29</v>
      </c>
      <c r="F12">
        <v>160</v>
      </c>
      <c r="G12" s="4">
        <v>0</v>
      </c>
      <c r="H12" s="4">
        <v>120</v>
      </c>
      <c r="I12" s="4">
        <v>0</v>
      </c>
      <c r="J12" s="4">
        <v>0</v>
      </c>
      <c r="O12" s="1">
        <v>6434.6409999999996</v>
      </c>
      <c r="P12" s="1">
        <v>6758.3959999999997</v>
      </c>
      <c r="Q12" s="1">
        <v>6464.1729999999998</v>
      </c>
      <c r="R12" s="1">
        <v>7184.1729999999998</v>
      </c>
      <c r="S12" s="10" t="str">
        <f t="shared" si="1"/>
        <v/>
      </c>
      <c r="T12" s="10" t="str">
        <f t="shared" si="0"/>
        <v/>
      </c>
      <c r="U12" s="10" t="str">
        <f t="shared" si="0"/>
        <v/>
      </c>
      <c r="V12" s="10" t="str">
        <f t="shared" si="0"/>
        <v/>
      </c>
      <c r="W12" s="2">
        <v>163.02000000000001</v>
      </c>
      <c r="AA12" s="3">
        <v>46049.977083333331</v>
      </c>
    </row>
    <row r="13" spans="1:27">
      <c r="A13">
        <v>9</v>
      </c>
      <c r="B13">
        <v>50</v>
      </c>
      <c r="C13">
        <v>50</v>
      </c>
      <c r="D13">
        <v>0.09</v>
      </c>
      <c r="E13">
        <v>1.29</v>
      </c>
      <c r="F13">
        <v>160</v>
      </c>
      <c r="G13" s="4">
        <v>0</v>
      </c>
      <c r="H13" s="4">
        <v>120</v>
      </c>
      <c r="I13" s="4">
        <v>0</v>
      </c>
      <c r="J13" s="4">
        <v>0</v>
      </c>
      <c r="S13" s="10" t="str">
        <f t="shared" si="1"/>
        <v/>
      </c>
      <c r="T13" s="10" t="str">
        <f t="shared" si="0"/>
        <v/>
      </c>
      <c r="U13" s="10" t="str">
        <f t="shared" si="0"/>
        <v/>
      </c>
      <c r="V13" s="10" t="str">
        <f t="shared" si="0"/>
        <v/>
      </c>
      <c r="W13" s="2">
        <v>163.11000000000001</v>
      </c>
      <c r="AA13" s="3">
        <v>46049.977083333331</v>
      </c>
    </row>
    <row r="14" spans="1:27">
      <c r="A14">
        <v>10</v>
      </c>
      <c r="B14">
        <v>50</v>
      </c>
      <c r="C14">
        <v>50</v>
      </c>
      <c r="D14">
        <v>0.09</v>
      </c>
      <c r="E14">
        <v>1.29</v>
      </c>
      <c r="F14">
        <v>160</v>
      </c>
      <c r="G14" s="4">
        <v>0</v>
      </c>
      <c r="H14" s="4">
        <v>120</v>
      </c>
      <c r="I14" s="4">
        <v>0</v>
      </c>
      <c r="J14" s="4">
        <v>0</v>
      </c>
      <c r="O14" s="1">
        <v>6430.4409999999998</v>
      </c>
      <c r="P14" s="1">
        <v>6786.7839999999997</v>
      </c>
      <c r="Q14" s="1">
        <v>6411.6260000000002</v>
      </c>
      <c r="R14" s="1">
        <v>7131.6260000000002</v>
      </c>
      <c r="S14" s="10" t="str">
        <f t="shared" si="1"/>
        <v/>
      </c>
      <c r="T14" s="10" t="str">
        <f t="shared" si="0"/>
        <v/>
      </c>
      <c r="U14" s="10" t="str">
        <f t="shared" si="0"/>
        <v/>
      </c>
      <c r="V14" s="10" t="str">
        <f t="shared" si="0"/>
        <v/>
      </c>
      <c r="W14" s="2">
        <v>163.72</v>
      </c>
      <c r="Y14" s="2">
        <v>164</v>
      </c>
      <c r="AA14" s="3">
        <v>46049.977083333331</v>
      </c>
    </row>
    <row r="15" spans="1:27">
      <c r="A15">
        <v>11</v>
      </c>
      <c r="B15">
        <v>50</v>
      </c>
      <c r="C15">
        <v>50</v>
      </c>
      <c r="D15">
        <v>0.09</v>
      </c>
      <c r="E15">
        <v>1.29</v>
      </c>
      <c r="F15">
        <v>160</v>
      </c>
      <c r="G15" s="4">
        <v>0</v>
      </c>
      <c r="H15" s="4">
        <v>120</v>
      </c>
      <c r="I15" s="4">
        <v>0</v>
      </c>
      <c r="J15" s="4">
        <v>0</v>
      </c>
      <c r="O15" s="1">
        <v>6473.4369999999999</v>
      </c>
      <c r="P15" s="1">
        <v>6829.7579999999998</v>
      </c>
      <c r="Q15" s="1">
        <v>6454.6480000000001</v>
      </c>
      <c r="R15" s="1">
        <v>7174.6480000000001</v>
      </c>
      <c r="S15" s="10" t="str">
        <f t="shared" si="1"/>
        <v/>
      </c>
      <c r="T15" s="10" t="str">
        <f t="shared" si="0"/>
        <v/>
      </c>
      <c r="U15" s="10" t="str">
        <f t="shared" si="0"/>
        <v/>
      </c>
      <c r="V15" s="10" t="str">
        <f t="shared" si="0"/>
        <v/>
      </c>
      <c r="W15" s="2">
        <v>163.92</v>
      </c>
      <c r="Y15" s="2">
        <v>164.2</v>
      </c>
      <c r="AA15" s="3">
        <v>46049.977083333331</v>
      </c>
    </row>
    <row r="16" spans="1:27">
      <c r="A16">
        <v>12</v>
      </c>
      <c r="B16">
        <v>50</v>
      </c>
      <c r="C16">
        <v>50</v>
      </c>
      <c r="D16">
        <v>0.09</v>
      </c>
      <c r="E16">
        <v>1.29</v>
      </c>
      <c r="F16">
        <v>160</v>
      </c>
      <c r="G16" s="4">
        <v>-20</v>
      </c>
      <c r="H16" s="4">
        <v>80</v>
      </c>
      <c r="I16" s="4">
        <v>0</v>
      </c>
      <c r="J16" s="4">
        <v>-20</v>
      </c>
      <c r="K16">
        <v>6140.0839999999998</v>
      </c>
      <c r="L16">
        <v>6443.8379999999997</v>
      </c>
      <c r="M16">
        <v>6189.6109999999999</v>
      </c>
      <c r="N16">
        <v>6889.6109999999999</v>
      </c>
      <c r="O16" s="1">
        <v>6407.2629999999999</v>
      </c>
      <c r="P16" s="1">
        <v>6743.5060000000003</v>
      </c>
      <c r="Q16" s="1">
        <v>6408.5640000000003</v>
      </c>
      <c r="R16" s="1">
        <v>7108.5640000000003</v>
      </c>
      <c r="S16" s="10">
        <f t="shared" si="1"/>
        <v>267.17900000000009</v>
      </c>
      <c r="T16" s="10">
        <f t="shared" si="0"/>
        <v>299.66800000000057</v>
      </c>
      <c r="U16" s="10">
        <f t="shared" si="0"/>
        <v>218.95300000000043</v>
      </c>
      <c r="V16" s="10">
        <f t="shared" si="0"/>
        <v>218.95300000000043</v>
      </c>
      <c r="W16" s="2">
        <v>163.25</v>
      </c>
      <c r="Y16" s="2">
        <v>163.30000000000001</v>
      </c>
      <c r="Z16" t="s">
        <v>21</v>
      </c>
      <c r="AA16" s="3">
        <v>46049.977083333331</v>
      </c>
    </row>
    <row r="17" spans="1:27">
      <c r="A17">
        <v>13</v>
      </c>
      <c r="B17">
        <v>50</v>
      </c>
      <c r="C17">
        <v>50</v>
      </c>
      <c r="D17">
        <v>0.09</v>
      </c>
      <c r="E17">
        <v>1.29</v>
      </c>
      <c r="F17">
        <v>160</v>
      </c>
      <c r="G17" s="4">
        <v>-60</v>
      </c>
      <c r="H17" s="4">
        <v>20</v>
      </c>
      <c r="I17" s="4">
        <v>0</v>
      </c>
      <c r="J17" s="4">
        <v>-60</v>
      </c>
      <c r="K17">
        <v>6100.0839999999998</v>
      </c>
      <c r="L17">
        <v>6383.8379999999997</v>
      </c>
      <c r="M17">
        <v>6189.6109999999999</v>
      </c>
      <c r="N17">
        <v>6849.6109999999999</v>
      </c>
      <c r="O17" s="1">
        <v>6380.9930000000004</v>
      </c>
      <c r="P17" s="1">
        <v>6697.424</v>
      </c>
      <c r="Q17" s="1">
        <v>6422.0739999999996</v>
      </c>
      <c r="R17" s="1">
        <v>7082.0739999999996</v>
      </c>
      <c r="S17" s="10">
        <f t="shared" si="1"/>
        <v>280.90900000000056</v>
      </c>
      <c r="T17" s="10">
        <f t="shared" si="0"/>
        <v>313.58600000000024</v>
      </c>
      <c r="U17" s="10">
        <f t="shared" si="0"/>
        <v>232.46299999999974</v>
      </c>
      <c r="V17" s="10">
        <f t="shared" si="0"/>
        <v>232.46299999999974</v>
      </c>
      <c r="W17" s="2">
        <v>162.38</v>
      </c>
      <c r="Y17" s="2">
        <v>162.80000000000001</v>
      </c>
      <c r="AA17" s="3">
        <v>46049.977083333331</v>
      </c>
    </row>
    <row r="18" spans="1:27">
      <c r="A18">
        <v>14</v>
      </c>
      <c r="B18">
        <v>50</v>
      </c>
      <c r="C18">
        <v>50</v>
      </c>
      <c r="D18">
        <v>0.09</v>
      </c>
      <c r="E18">
        <v>1.29</v>
      </c>
      <c r="F18">
        <v>160</v>
      </c>
      <c r="G18" s="4">
        <v>-100</v>
      </c>
      <c r="H18" s="4">
        <v>20</v>
      </c>
      <c r="I18" s="4">
        <v>0</v>
      </c>
      <c r="J18" s="4">
        <v>-100</v>
      </c>
      <c r="K18" s="4">
        <v>6060.0839999999998</v>
      </c>
      <c r="L18">
        <v>6383.8379999999997</v>
      </c>
      <c r="M18">
        <v>6189.6109999999999</v>
      </c>
      <c r="N18">
        <v>6809.6109999999999</v>
      </c>
      <c r="O18" s="1">
        <v>6363.768</v>
      </c>
      <c r="P18" s="1">
        <v>6720.2629999999999</v>
      </c>
      <c r="Q18" s="1">
        <v>6444.7719999999999</v>
      </c>
      <c r="R18" s="1">
        <v>7064.7719999999999</v>
      </c>
      <c r="S18" s="10">
        <f t="shared" si="1"/>
        <v>303.6840000000002</v>
      </c>
      <c r="T18" s="10">
        <f t="shared" si="0"/>
        <v>336.42500000000018</v>
      </c>
      <c r="U18" s="10">
        <f t="shared" si="0"/>
        <v>255.16100000000006</v>
      </c>
      <c r="V18" s="10">
        <f t="shared" si="0"/>
        <v>255.16100000000006</v>
      </c>
      <c r="W18" s="2">
        <v>162.11000000000001</v>
      </c>
      <c r="Y18" s="2">
        <v>162.30000000000001</v>
      </c>
      <c r="Z18" t="s">
        <v>22</v>
      </c>
      <c r="AA18" s="3">
        <v>46049.981944444444</v>
      </c>
    </row>
    <row r="19" spans="1:27">
      <c r="A19">
        <v>15</v>
      </c>
      <c r="B19">
        <v>50</v>
      </c>
      <c r="C19">
        <v>50</v>
      </c>
      <c r="D19" t="s">
        <v>25</v>
      </c>
      <c r="E19">
        <v>1.29</v>
      </c>
      <c r="F19">
        <v>180</v>
      </c>
      <c r="G19" s="4">
        <v>0</v>
      </c>
      <c r="H19" s="4">
        <v>120</v>
      </c>
      <c r="I19" s="4">
        <v>0</v>
      </c>
      <c r="J19" s="4">
        <v>0</v>
      </c>
      <c r="K19">
        <v>6160.0839999999998</v>
      </c>
      <c r="L19">
        <v>6483.8379999999997</v>
      </c>
      <c r="M19">
        <v>6189.6109999999999</v>
      </c>
      <c r="N19">
        <v>6909.6109999999999</v>
      </c>
      <c r="O19" s="1">
        <v>6672.4110000000001</v>
      </c>
      <c r="P19" s="1">
        <v>7030.2809999999999</v>
      </c>
      <c r="Q19" s="1">
        <v>6651.3590000000004</v>
      </c>
      <c r="R19" s="1">
        <v>7371.3590000000004</v>
      </c>
      <c r="S19" s="10">
        <f t="shared" si="1"/>
        <v>512.32700000000023</v>
      </c>
      <c r="T19" s="10">
        <f t="shared" si="0"/>
        <v>546.44300000000021</v>
      </c>
      <c r="U19" s="10">
        <f t="shared" si="0"/>
        <v>461.7480000000005</v>
      </c>
      <c r="V19" s="10">
        <f t="shared" si="0"/>
        <v>461.7480000000005</v>
      </c>
      <c r="W19" s="2">
        <v>167.38</v>
      </c>
      <c r="Y19" s="2">
        <v>167.9</v>
      </c>
      <c r="Z19" t="s">
        <v>24</v>
      </c>
      <c r="AA19" s="3">
        <v>46050.573611111111</v>
      </c>
    </row>
    <row r="20" spans="1:27">
      <c r="A20">
        <v>16</v>
      </c>
      <c r="B20">
        <v>50</v>
      </c>
      <c r="C20">
        <v>50</v>
      </c>
      <c r="D20" t="s">
        <v>25</v>
      </c>
      <c r="E20">
        <v>1.29</v>
      </c>
      <c r="F20">
        <v>180</v>
      </c>
      <c r="G20" s="4">
        <v>0</v>
      </c>
      <c r="H20" s="4">
        <v>120</v>
      </c>
      <c r="I20" s="4">
        <v>0</v>
      </c>
      <c r="J20" s="4">
        <v>0</v>
      </c>
      <c r="K20">
        <v>6160.0839999999998</v>
      </c>
      <c r="L20">
        <v>6483.8379999999997</v>
      </c>
      <c r="M20">
        <v>6189.6109999999999</v>
      </c>
      <c r="N20">
        <v>6909.6109999999999</v>
      </c>
      <c r="O20" s="1">
        <v>6930.07</v>
      </c>
      <c r="P20" s="1">
        <v>7288.0209999999997</v>
      </c>
      <c r="Q20" s="1">
        <v>6908.9250000000002</v>
      </c>
      <c r="R20" s="1">
        <v>7628.9250000000002</v>
      </c>
      <c r="S20" s="10">
        <f t="shared" si="1"/>
        <v>769.98599999999988</v>
      </c>
      <c r="T20" s="10">
        <f t="shared" ref="T20:T42" si="2">IF(AND(LEN(L20),LEN(P20)),P20-L20,"")</f>
        <v>804.18299999999999</v>
      </c>
      <c r="U20" s="10">
        <f t="shared" ref="U20:U42" si="3">IF(AND(LEN(M20),LEN(Q20)),Q20-M20,"")</f>
        <v>719.31400000000031</v>
      </c>
      <c r="V20" s="10">
        <f t="shared" ref="V20:V42" si="4">IF(AND(LEN(N20),LEN(R20)),R20-N20,"")</f>
        <v>719.31400000000031</v>
      </c>
      <c r="W20" s="2">
        <v>167.31</v>
      </c>
      <c r="Y20" s="2">
        <v>167.7</v>
      </c>
      <c r="AA20" s="3">
        <v>46050.57916666667</v>
      </c>
    </row>
    <row r="21" spans="1:27">
      <c r="A21">
        <v>17</v>
      </c>
      <c r="B21">
        <v>50</v>
      </c>
      <c r="C21">
        <v>50</v>
      </c>
      <c r="D21" t="s">
        <v>25</v>
      </c>
      <c r="E21">
        <v>1.29</v>
      </c>
      <c r="F21">
        <v>180</v>
      </c>
      <c r="G21" s="4">
        <v>0</v>
      </c>
      <c r="H21" s="4">
        <v>120</v>
      </c>
      <c r="I21" s="4">
        <v>0</v>
      </c>
      <c r="J21" s="4">
        <v>0</v>
      </c>
      <c r="K21">
        <v>6160.0839999999998</v>
      </c>
      <c r="L21">
        <v>6483.8379999999997</v>
      </c>
      <c r="M21">
        <v>6189.6109999999999</v>
      </c>
      <c r="N21">
        <v>6909.6109999999999</v>
      </c>
      <c r="O21" s="1">
        <v>6931.63</v>
      </c>
      <c r="P21" s="1">
        <v>7289.5820000000003</v>
      </c>
      <c r="Q21" s="1">
        <v>6910.4849999999997</v>
      </c>
      <c r="R21" s="1">
        <v>7630.4849999999997</v>
      </c>
      <c r="S21" s="10">
        <f t="shared" si="1"/>
        <v>771.54600000000028</v>
      </c>
      <c r="T21" s="10">
        <f t="shared" si="2"/>
        <v>805.7440000000006</v>
      </c>
      <c r="U21" s="10">
        <f t="shared" si="3"/>
        <v>720.8739999999998</v>
      </c>
      <c r="V21" s="10">
        <f t="shared" si="4"/>
        <v>720.8739999999998</v>
      </c>
      <c r="X21" s="2" t="s">
        <v>33</v>
      </c>
      <c r="Y21" s="2">
        <v>167.6</v>
      </c>
      <c r="Z21" t="s">
        <v>28</v>
      </c>
      <c r="AA21" s="3">
        <v>46050.586111111108</v>
      </c>
    </row>
    <row r="22" spans="1:27">
      <c r="A22">
        <v>18</v>
      </c>
      <c r="B22">
        <v>50</v>
      </c>
      <c r="C22">
        <v>50</v>
      </c>
      <c r="D22" t="s">
        <v>25</v>
      </c>
      <c r="E22">
        <v>1.29</v>
      </c>
      <c r="F22">
        <v>180</v>
      </c>
      <c r="G22" s="4">
        <v>0</v>
      </c>
      <c r="H22" s="4">
        <v>120</v>
      </c>
      <c r="I22" s="4">
        <v>0</v>
      </c>
      <c r="J22" s="4">
        <v>0</v>
      </c>
      <c r="K22">
        <v>6160.0839999999998</v>
      </c>
      <c r="L22">
        <v>6483.8379999999997</v>
      </c>
      <c r="M22">
        <v>6189.6109999999999</v>
      </c>
      <c r="N22">
        <v>6909.6109999999999</v>
      </c>
      <c r="O22">
        <v>6160.0839999999998</v>
      </c>
      <c r="P22">
        <v>6483.8379999999997</v>
      </c>
      <c r="Q22">
        <v>6189.6109999999999</v>
      </c>
      <c r="R22">
        <v>6909.6109999999999</v>
      </c>
      <c r="S22" s="10">
        <f t="shared" si="1"/>
        <v>0</v>
      </c>
      <c r="T22" s="10">
        <f t="shared" si="2"/>
        <v>0</v>
      </c>
      <c r="U22" s="10">
        <f t="shared" si="3"/>
        <v>0</v>
      </c>
      <c r="V22" s="10">
        <f t="shared" si="4"/>
        <v>0</v>
      </c>
      <c r="X22" s="2" t="s">
        <v>33</v>
      </c>
      <c r="Y22" s="2">
        <v>157</v>
      </c>
      <c r="Z22" t="s">
        <v>31</v>
      </c>
      <c r="AA22" s="3">
        <v>46050.62222222222</v>
      </c>
    </row>
    <row r="23" spans="1:27">
      <c r="A23">
        <v>19</v>
      </c>
      <c r="B23">
        <v>50</v>
      </c>
      <c r="C23">
        <v>50</v>
      </c>
      <c r="D23" t="s">
        <v>25</v>
      </c>
      <c r="E23">
        <v>1.29</v>
      </c>
      <c r="F23">
        <v>180</v>
      </c>
      <c r="G23" s="4">
        <v>0</v>
      </c>
      <c r="H23" s="4">
        <v>120</v>
      </c>
      <c r="I23" s="4">
        <v>0</v>
      </c>
      <c r="J23" s="4">
        <v>0</v>
      </c>
      <c r="K23">
        <v>6160.0839999999998</v>
      </c>
      <c r="L23">
        <v>6483.8379999999997</v>
      </c>
      <c r="M23">
        <v>6189.6109999999999</v>
      </c>
      <c r="N23">
        <v>6909.6109999999999</v>
      </c>
      <c r="O23">
        <v>6160.0839999999998</v>
      </c>
      <c r="P23">
        <v>6483.8379999999997</v>
      </c>
      <c r="Q23">
        <v>6189.6109999999999</v>
      </c>
      <c r="R23">
        <v>6909.6109999999999</v>
      </c>
      <c r="S23" s="10">
        <f t="shared" ref="S23" si="5">IF(AND(LEN(K23),LEN(O23)),O23-K23,"")</f>
        <v>0</v>
      </c>
      <c r="T23" s="10">
        <f t="shared" ref="T23" si="6">IF(AND(LEN(L23),LEN(P23)),P23-L23,"")</f>
        <v>0</v>
      </c>
      <c r="U23" s="10">
        <f t="shared" ref="U23" si="7">IF(AND(LEN(M23),LEN(Q23)),Q23-M23,"")</f>
        <v>0</v>
      </c>
      <c r="V23" s="10">
        <f t="shared" ref="V23" si="8">IF(AND(LEN(N23),LEN(R23)),R23-N23,"")</f>
        <v>0</v>
      </c>
      <c r="X23" s="2">
        <v>14</v>
      </c>
      <c r="Y23" s="2">
        <v>153.4</v>
      </c>
      <c r="Z23" t="s">
        <v>34</v>
      </c>
      <c r="AA23" s="3">
        <v>46050.631944444445</v>
      </c>
    </row>
    <row r="24" spans="1:27">
      <c r="A24">
        <v>20</v>
      </c>
      <c r="B24">
        <v>50</v>
      </c>
      <c r="C24">
        <v>50</v>
      </c>
      <c r="D24" t="s">
        <v>25</v>
      </c>
      <c r="E24">
        <v>1.29</v>
      </c>
      <c r="F24">
        <v>180</v>
      </c>
      <c r="G24" s="4">
        <v>0</v>
      </c>
      <c r="H24" s="4">
        <v>120</v>
      </c>
      <c r="I24" s="4">
        <v>0</v>
      </c>
      <c r="J24" s="4">
        <v>0</v>
      </c>
      <c r="K24">
        <v>6160.0839999999998</v>
      </c>
      <c r="L24">
        <v>6483.8379999999997</v>
      </c>
      <c r="M24">
        <v>6189.6109999999999</v>
      </c>
      <c r="N24">
        <v>6909.6109999999999</v>
      </c>
      <c r="O24">
        <v>6160.0839999999998</v>
      </c>
      <c r="P24">
        <v>6483.8379999999997</v>
      </c>
      <c r="Q24">
        <v>6189.6109999999999</v>
      </c>
      <c r="R24">
        <v>6909.6109999999999</v>
      </c>
      <c r="S24" s="10">
        <f t="shared" ref="S24" si="9">IF(AND(LEN(K24),LEN(O24)),O24-K24,"")</f>
        <v>0</v>
      </c>
      <c r="T24" s="10">
        <f t="shared" ref="T24" si="10">IF(AND(LEN(L24),LEN(P24)),P24-L24,"")</f>
        <v>0</v>
      </c>
      <c r="U24" s="10">
        <f t="shared" ref="U24" si="11">IF(AND(LEN(M24),LEN(Q24)),Q24-M24,"")</f>
        <v>0</v>
      </c>
      <c r="V24" s="10">
        <f t="shared" ref="V24" si="12">IF(AND(LEN(N24),LEN(R24)),R24-N24,"")</f>
        <v>0</v>
      </c>
      <c r="X24" s="2">
        <v>-16</v>
      </c>
      <c r="Y24" s="2">
        <v>155.5</v>
      </c>
      <c r="Z24" t="s">
        <v>35</v>
      </c>
      <c r="AA24" s="3">
        <v>46050.636111111111</v>
      </c>
    </row>
    <row r="25" spans="1:27">
      <c r="A25">
        <v>21</v>
      </c>
      <c r="B25">
        <v>50</v>
      </c>
      <c r="C25">
        <v>50</v>
      </c>
      <c r="D25" t="s">
        <v>25</v>
      </c>
      <c r="E25">
        <v>1.29</v>
      </c>
      <c r="F25">
        <v>180</v>
      </c>
      <c r="G25" s="4">
        <v>-100</v>
      </c>
      <c r="H25" s="4">
        <v>20</v>
      </c>
      <c r="I25" s="4">
        <v>0</v>
      </c>
      <c r="J25" s="4">
        <v>-100</v>
      </c>
      <c r="K25">
        <v>6060.0839999999998</v>
      </c>
      <c r="L25">
        <v>6383.8379999999997</v>
      </c>
      <c r="M25">
        <v>6189.6109999999999</v>
      </c>
      <c r="N25">
        <v>6809.6109999999999</v>
      </c>
      <c r="O25" s="1">
        <v>6753.8130000000001</v>
      </c>
      <c r="P25" s="1">
        <v>7111.3130000000001</v>
      </c>
      <c r="Q25" s="1">
        <v>6833.1949999999997</v>
      </c>
      <c r="R25" s="1">
        <v>7453.1949999999997</v>
      </c>
      <c r="S25" s="10">
        <f t="shared" ref="S25:S26" si="13">IF(AND(LEN(K25),LEN(O25)),O25-K25,"")</f>
        <v>693.72900000000027</v>
      </c>
      <c r="T25" s="10">
        <f t="shared" ref="T25:T26" si="14">IF(AND(LEN(L25),LEN(P25)),P25-L25,"")</f>
        <v>727.47500000000036</v>
      </c>
      <c r="U25" s="10">
        <f t="shared" ref="U25:U26" si="15">IF(AND(LEN(M25),LEN(Q25)),Q25-M25,"")</f>
        <v>643.58399999999983</v>
      </c>
      <c r="V25" s="10">
        <f t="shared" ref="V25:V26" si="16">IF(AND(LEN(N25),LEN(R25)),R25-N25,"")</f>
        <v>643.58399999999983</v>
      </c>
      <c r="W25" s="2">
        <v>165.27</v>
      </c>
      <c r="X25" s="2">
        <v>16</v>
      </c>
      <c r="Y25" s="2">
        <v>165.7</v>
      </c>
      <c r="AA25" s="3">
        <v>46050.655555555553</v>
      </c>
    </row>
    <row r="26" spans="1:27">
      <c r="A26">
        <v>22</v>
      </c>
      <c r="B26">
        <v>50</v>
      </c>
      <c r="C26">
        <v>50</v>
      </c>
      <c r="D26" t="s">
        <v>25</v>
      </c>
      <c r="E26">
        <v>1.29</v>
      </c>
      <c r="F26">
        <v>180</v>
      </c>
      <c r="G26" s="4">
        <v>-100</v>
      </c>
      <c r="H26" s="4">
        <v>20</v>
      </c>
      <c r="I26" s="4">
        <v>0</v>
      </c>
      <c r="J26" s="4">
        <v>-100</v>
      </c>
      <c r="K26">
        <v>6060.0839999999998</v>
      </c>
      <c r="L26">
        <v>6383.8379999999997</v>
      </c>
      <c r="M26">
        <v>6189.6109999999999</v>
      </c>
      <c r="N26">
        <v>6809.6109999999999</v>
      </c>
      <c r="O26" s="1">
        <v>6686.0630000000001</v>
      </c>
      <c r="P26" s="1">
        <v>7043.5379999999996</v>
      </c>
      <c r="Q26" s="1">
        <v>6765.473</v>
      </c>
      <c r="R26" s="1">
        <v>7385.473</v>
      </c>
      <c r="S26" s="10">
        <f t="shared" si="13"/>
        <v>625.97900000000027</v>
      </c>
      <c r="T26" s="10">
        <f t="shared" si="14"/>
        <v>659.69999999999982</v>
      </c>
      <c r="U26" s="10">
        <f t="shared" si="15"/>
        <v>575.86200000000008</v>
      </c>
      <c r="V26" s="10">
        <f t="shared" si="16"/>
        <v>575.86200000000008</v>
      </c>
      <c r="W26" s="2">
        <v>165.37</v>
      </c>
      <c r="Y26" s="2">
        <v>165.5</v>
      </c>
      <c r="AA26" s="3">
        <v>46050.675000000003</v>
      </c>
    </row>
    <row r="27" spans="1:27">
      <c r="A27">
        <v>23</v>
      </c>
      <c r="G27" s="4">
        <v>-100</v>
      </c>
      <c r="H27" s="4">
        <v>20</v>
      </c>
      <c r="I27" s="4">
        <v>0</v>
      </c>
      <c r="J27" s="4">
        <v>-100</v>
      </c>
      <c r="K27">
        <v>6060.0839999999998</v>
      </c>
      <c r="L27">
        <v>6383.8379999999997</v>
      </c>
      <c r="M27">
        <v>6189.6109999999999</v>
      </c>
      <c r="N27">
        <v>6809.6109999999999</v>
      </c>
      <c r="O27" s="1">
        <v>6686.0630000000001</v>
      </c>
      <c r="P27" s="1">
        <v>7043.5379999999996</v>
      </c>
      <c r="Q27" s="1">
        <v>6765.473</v>
      </c>
      <c r="R27" s="1">
        <v>7385.473</v>
      </c>
      <c r="S27" s="10">
        <v>6701.4170000000004</v>
      </c>
      <c r="T27" s="10">
        <v>7058.8969999999999</v>
      </c>
      <c r="U27" s="10">
        <v>6780.8209999999999</v>
      </c>
      <c r="V27" s="10">
        <v>7400.8209999999999</v>
      </c>
      <c r="X27" s="2">
        <v>3</v>
      </c>
      <c r="Y27" s="2">
        <v>166</v>
      </c>
      <c r="Z27" t="s">
        <v>36</v>
      </c>
      <c r="AA27" s="3">
        <v>46050.715277777781</v>
      </c>
    </row>
    <row r="28" spans="1:27">
      <c r="A28">
        <v>24</v>
      </c>
      <c r="S28" s="10" t="str">
        <f t="shared" ref="S27:S42" si="17">IF(AND(LEN(K28),LEN(O28)),O28-K28,"")</f>
        <v/>
      </c>
      <c r="T28" s="10" t="str">
        <f t="shared" ref="T27:T42" si="18">IF(AND(LEN(L28),LEN(P28)),P28-L28,"")</f>
        <v/>
      </c>
      <c r="U28" s="10" t="str">
        <f t="shared" ref="U27:U42" si="19">IF(AND(LEN(M28),LEN(Q28)),Q28-M28,"")</f>
        <v/>
      </c>
      <c r="V28" s="10" t="str">
        <f t="shared" ref="V27:V42" si="20">IF(AND(LEN(N28),LEN(R28)),R28-N28,"")</f>
        <v/>
      </c>
    </row>
    <row r="29" spans="1:27">
      <c r="A29">
        <v>25</v>
      </c>
      <c r="S29" s="10" t="str">
        <f t="shared" si="17"/>
        <v/>
      </c>
      <c r="T29" s="10" t="str">
        <f t="shared" si="18"/>
        <v/>
      </c>
      <c r="U29" s="10" t="str">
        <f t="shared" si="19"/>
        <v/>
      </c>
      <c r="V29" s="10" t="str">
        <f t="shared" si="20"/>
        <v/>
      </c>
    </row>
    <row r="30" spans="1:27">
      <c r="A30">
        <v>26</v>
      </c>
      <c r="S30" s="10" t="str">
        <f t="shared" si="17"/>
        <v/>
      </c>
      <c r="T30" s="10" t="str">
        <f t="shared" si="18"/>
        <v/>
      </c>
      <c r="U30" s="10" t="str">
        <f t="shared" si="19"/>
        <v/>
      </c>
      <c r="V30" s="10" t="str">
        <f t="shared" si="20"/>
        <v/>
      </c>
    </row>
    <row r="31" spans="1:27">
      <c r="A31">
        <v>27</v>
      </c>
      <c r="S31" s="10" t="str">
        <f t="shared" si="17"/>
        <v/>
      </c>
      <c r="T31" s="10" t="str">
        <f t="shared" si="18"/>
        <v/>
      </c>
      <c r="U31" s="10" t="str">
        <f t="shared" si="19"/>
        <v/>
      </c>
      <c r="V31" s="10" t="str">
        <f t="shared" si="20"/>
        <v/>
      </c>
    </row>
    <row r="32" spans="1:27">
      <c r="A32">
        <v>28</v>
      </c>
      <c r="S32" s="10" t="str">
        <f t="shared" si="17"/>
        <v/>
      </c>
      <c r="T32" s="10" t="str">
        <f t="shared" si="18"/>
        <v/>
      </c>
      <c r="U32" s="10" t="str">
        <f t="shared" si="19"/>
        <v/>
      </c>
      <c r="V32" s="10" t="str">
        <f t="shared" si="20"/>
        <v/>
      </c>
    </row>
    <row r="33" spans="1:22">
      <c r="A33">
        <v>29</v>
      </c>
      <c r="S33" s="10" t="str">
        <f t="shared" si="17"/>
        <v/>
      </c>
      <c r="T33" s="10" t="str">
        <f t="shared" si="18"/>
        <v/>
      </c>
      <c r="U33" s="10" t="str">
        <f t="shared" si="19"/>
        <v/>
      </c>
      <c r="V33" s="10" t="str">
        <f t="shared" si="20"/>
        <v/>
      </c>
    </row>
    <row r="34" spans="1:22">
      <c r="A34">
        <v>30</v>
      </c>
      <c r="S34" s="10" t="str">
        <f t="shared" si="17"/>
        <v/>
      </c>
      <c r="T34" s="10" t="str">
        <f t="shared" si="18"/>
        <v/>
      </c>
      <c r="U34" s="10" t="str">
        <f t="shared" si="19"/>
        <v/>
      </c>
      <c r="V34" s="10" t="str">
        <f t="shared" si="20"/>
        <v/>
      </c>
    </row>
    <row r="35" spans="1:22">
      <c r="A35">
        <v>31</v>
      </c>
      <c r="S35" s="10" t="str">
        <f t="shared" si="17"/>
        <v/>
      </c>
      <c r="T35" s="10" t="str">
        <f t="shared" si="18"/>
        <v/>
      </c>
      <c r="U35" s="10" t="str">
        <f t="shared" si="19"/>
        <v/>
      </c>
      <c r="V35" s="10" t="str">
        <f t="shared" si="20"/>
        <v/>
      </c>
    </row>
    <row r="36" spans="1:22">
      <c r="A36">
        <v>32</v>
      </c>
      <c r="S36" s="10" t="str">
        <f t="shared" si="17"/>
        <v/>
      </c>
      <c r="T36" s="10" t="str">
        <f t="shared" si="18"/>
        <v/>
      </c>
      <c r="U36" s="10" t="str">
        <f t="shared" si="19"/>
        <v/>
      </c>
      <c r="V36" s="10" t="str">
        <f t="shared" si="20"/>
        <v/>
      </c>
    </row>
    <row r="37" spans="1:22">
      <c r="A37">
        <v>33</v>
      </c>
      <c r="S37" s="10" t="str">
        <f t="shared" si="17"/>
        <v/>
      </c>
      <c r="T37" s="10" t="str">
        <f t="shared" si="18"/>
        <v/>
      </c>
      <c r="U37" s="10" t="str">
        <f t="shared" si="19"/>
        <v/>
      </c>
      <c r="V37" s="10" t="str">
        <f t="shared" si="20"/>
        <v/>
      </c>
    </row>
    <row r="38" spans="1:22">
      <c r="A38">
        <v>34</v>
      </c>
      <c r="S38" s="10" t="str">
        <f t="shared" si="17"/>
        <v/>
      </c>
      <c r="T38" s="10" t="str">
        <f t="shared" si="18"/>
        <v/>
      </c>
      <c r="U38" s="10" t="str">
        <f t="shared" si="19"/>
        <v/>
      </c>
      <c r="V38" s="10" t="str">
        <f t="shared" si="20"/>
        <v/>
      </c>
    </row>
    <row r="39" spans="1:22">
      <c r="A39">
        <v>35</v>
      </c>
      <c r="S39" s="10" t="str">
        <f t="shared" si="17"/>
        <v/>
      </c>
      <c r="T39" s="10" t="str">
        <f t="shared" si="18"/>
        <v/>
      </c>
      <c r="U39" s="10" t="str">
        <f t="shared" si="19"/>
        <v/>
      </c>
      <c r="V39" s="10" t="str">
        <f t="shared" si="20"/>
        <v/>
      </c>
    </row>
    <row r="40" spans="1:22">
      <c r="A40">
        <v>36</v>
      </c>
      <c r="S40" s="10" t="str">
        <f t="shared" si="17"/>
        <v/>
      </c>
      <c r="T40" s="10" t="str">
        <f t="shared" si="18"/>
        <v/>
      </c>
      <c r="U40" s="10" t="str">
        <f t="shared" si="19"/>
        <v/>
      </c>
      <c r="V40" s="10" t="str">
        <f t="shared" si="20"/>
        <v/>
      </c>
    </row>
    <row r="41" spans="1:22">
      <c r="A41">
        <v>37</v>
      </c>
      <c r="S41" s="10" t="str">
        <f t="shared" si="17"/>
        <v/>
      </c>
      <c r="T41" s="10" t="str">
        <f t="shared" si="18"/>
        <v/>
      </c>
      <c r="U41" s="10" t="str">
        <f t="shared" si="19"/>
        <v/>
      </c>
      <c r="V41" s="10" t="str">
        <f t="shared" si="20"/>
        <v/>
      </c>
    </row>
    <row r="42" spans="1:22">
      <c r="A42">
        <v>38</v>
      </c>
      <c r="S42" s="10" t="str">
        <f t="shared" si="17"/>
        <v/>
      </c>
      <c r="T42" s="10" t="str">
        <f t="shared" si="18"/>
        <v/>
      </c>
      <c r="U42" s="10" t="str">
        <f t="shared" si="19"/>
        <v/>
      </c>
      <c r="V42" s="10" t="str">
        <f t="shared" si="20"/>
        <v/>
      </c>
    </row>
  </sheetData>
  <phoneticPr fontId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2026-01-27T07:43:04Z</dcterms:created>
  <dcterms:modified xsi:type="dcterms:W3CDTF">2026-01-28T08:25:27Z</dcterms:modified>
</cp:coreProperties>
</file>